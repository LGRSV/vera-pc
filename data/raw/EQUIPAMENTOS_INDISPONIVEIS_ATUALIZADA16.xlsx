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6.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energisa-my.sharepoint.com/personal/allan_souza_energisa_com_br1/Documents/"/>
    </mc:Choice>
  </mc:AlternateContent>
  <xr:revisionPtr revIDLastSave="4682" documentId="8_{A260C4AA-1159-47AF-95C1-ADF358CCB959}" xr6:coauthVersionLast="47" xr6:coauthVersionMax="47" xr10:uidLastSave="{45DCA9F2-250C-4A74-974F-DB0AED08628F}"/>
  <bookViews>
    <workbookView xWindow="20370" yWindow="-120" windowWidth="29040" windowHeight="15720" firstSheet="7" activeTab="7" xr2:uid="{00000000-000D-0000-FFFF-FFFF00000000}"/>
  </bookViews>
  <sheets>
    <sheet name="Gerencial" sheetId="19" state="hidden" r:id="rId1"/>
    <sheet name="Pendentes" sheetId="14" r:id="rId2"/>
    <sheet name="Premissas por Equipamento" sheetId="16" state="hidden" r:id="rId3"/>
    <sheet name="Planilha1" sheetId="23" r:id="rId4"/>
    <sheet name="Concluídas" sheetId="17" r:id="rId5"/>
    <sheet name="Criticidade por Equipamento Joa" sheetId="24" state="hidden" r:id="rId6"/>
    <sheet name="Joao" sheetId="25" state="hidden" r:id="rId7"/>
    <sheet name="Criticidade por Equipamento" sheetId="13" r:id="rId8"/>
    <sheet name="Premissas" sheetId="3" r:id="rId9"/>
    <sheet name="SGM" sheetId="26" r:id="rId10"/>
    <sheet name="Planilha2" sheetId="22" r:id="rId11"/>
    <sheet name="Localidades" sheetId="15" state="hidden" r:id="rId12"/>
    <sheet name="Matriz de Criticidade" sheetId="10" r:id="rId13"/>
  </sheets>
  <definedNames>
    <definedName name="_xlnm._FilterDatabase" localSheetId="10" hidden="1">Planilha2!$A$1:$AA$117</definedName>
    <definedName name="DadosExternos_1" localSheetId="1" hidden="1">Pendentes!$A$1:$W$94</definedName>
    <definedName name="DadosExternos_2" localSheetId="11" hidden="1">Localidades!$A$1:$G$276</definedName>
    <definedName name="DadosExternos_3" localSheetId="2" hidden="1">'Premissas por Equipamento'!$A$1:$AG$131</definedName>
    <definedName name="DadosExternos_4" localSheetId="4" hidden="1">'Concluídas'!$A$1:$L$42</definedName>
  </definedNames>
  <calcPr calcId="191028"/>
  <pivotCaches>
    <pivotCache cacheId="0" r:id="rId14"/>
    <pivotCache cacheId="1"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13" l="1"/>
  <c r="O30" i="13" l="1"/>
  <c r="F4" i="13"/>
  <c r="O4" i="13" s="1"/>
  <c r="B4" i="24"/>
  <c r="B26" i="24"/>
  <c r="B9" i="24"/>
  <c r="B15" i="24"/>
  <c r="B73" i="24"/>
  <c r="B95" i="24"/>
  <c r="B96" i="24"/>
  <c r="B47" i="24"/>
  <c r="B110" i="24"/>
  <c r="B28" i="24"/>
  <c r="B53" i="24"/>
  <c r="B78" i="24"/>
  <c r="B35" i="24"/>
  <c r="B90" i="24"/>
  <c r="B61" i="24"/>
  <c r="B98" i="24"/>
  <c r="B99" i="24"/>
  <c r="B46" i="24"/>
  <c r="B69" i="24"/>
  <c r="B127" i="24"/>
  <c r="B84" i="24"/>
  <c r="B60" i="24"/>
  <c r="B8" i="24"/>
  <c r="B107" i="24"/>
  <c r="B39" i="24"/>
  <c r="B79" i="24"/>
  <c r="B12" i="24"/>
  <c r="B36" i="24"/>
  <c r="B44" i="24"/>
  <c r="B49" i="24"/>
  <c r="B94" i="24"/>
  <c r="B58" i="24"/>
  <c r="B6" i="24"/>
  <c r="B80" i="24"/>
  <c r="B75" i="24"/>
  <c r="B11" i="24"/>
  <c r="B32" i="24"/>
  <c r="B25" i="24"/>
  <c r="B5" i="24"/>
  <c r="B119" i="24"/>
  <c r="B45" i="24"/>
  <c r="B115" i="24"/>
  <c r="B7" i="24"/>
  <c r="B2" i="24"/>
  <c r="B18" i="24"/>
  <c r="B21" i="24"/>
  <c r="B24" i="24"/>
  <c r="B52" i="24"/>
  <c r="B68" i="24"/>
  <c r="B86" i="24"/>
  <c r="B82" i="24"/>
  <c r="B34" i="24"/>
  <c r="B101" i="24"/>
  <c r="B93" i="24"/>
  <c r="B102" i="24"/>
  <c r="B118" i="24"/>
  <c r="B3" i="24"/>
  <c r="B14" i="24"/>
  <c r="B23" i="24"/>
  <c r="B43" i="24"/>
  <c r="B87" i="24"/>
  <c r="B103" i="24"/>
  <c r="B109" i="24"/>
  <c r="B10" i="24"/>
  <c r="B56" i="24"/>
  <c r="B71" i="24"/>
  <c r="B77" i="24"/>
  <c r="B83" i="24"/>
  <c r="B97" i="24"/>
  <c r="B106" i="24"/>
  <c r="B108" i="24"/>
  <c r="B124" i="24"/>
  <c r="B130" i="24"/>
  <c r="B41" i="24"/>
  <c r="B89" i="24"/>
  <c r="B19" i="24"/>
  <c r="B20" i="24"/>
  <c r="B27" i="24"/>
  <c r="B40" i="24"/>
  <c r="B54" i="24"/>
  <c r="B70" i="24"/>
  <c r="B74" i="24"/>
  <c r="B85" i="24"/>
  <c r="B88" i="24"/>
  <c r="B105" i="24"/>
  <c r="B117" i="24"/>
  <c r="B120" i="24"/>
  <c r="B123" i="24"/>
  <c r="B50" i="24"/>
  <c r="B55" i="24"/>
  <c r="B62" i="24"/>
  <c r="B64" i="24"/>
  <c r="B66" i="24"/>
  <c r="B31" i="24"/>
  <c r="B16" i="24"/>
  <c r="B67" i="24"/>
  <c r="B81" i="24"/>
  <c r="B116" i="24"/>
  <c r="B104" i="24"/>
  <c r="B29" i="24"/>
  <c r="B30" i="24"/>
  <c r="B42" i="24"/>
  <c r="B76" i="24"/>
  <c r="B111" i="24"/>
  <c r="B122" i="24"/>
  <c r="B92" i="24"/>
  <c r="B51" i="24"/>
  <c r="B113" i="24"/>
  <c r="B112" i="24"/>
  <c r="B125" i="24"/>
  <c r="B57" i="24"/>
  <c r="B114" i="24"/>
  <c r="B65" i="24"/>
  <c r="B13" i="24"/>
  <c r="B100" i="24"/>
  <c r="B63" i="24"/>
  <c r="B22" i="24"/>
  <c r="B128" i="24"/>
  <c r="B91" i="24"/>
  <c r="B48" i="24"/>
  <c r="B121" i="24"/>
  <c r="B17" i="24"/>
  <c r="B59" i="24"/>
  <c r="B72" i="24"/>
  <c r="B33" i="24"/>
  <c r="B38" i="24"/>
  <c r="B37" i="24"/>
  <c r="B129" i="24"/>
  <c r="C4" i="24"/>
  <c r="G4" i="24"/>
  <c r="N4" i="24"/>
  <c r="W4" i="24"/>
  <c r="C26" i="24"/>
  <c r="G26" i="24"/>
  <c r="N26" i="24"/>
  <c r="W26" i="24"/>
  <c r="C9" i="24"/>
  <c r="G9" i="24"/>
  <c r="N9" i="24"/>
  <c r="W9" i="24"/>
  <c r="C15" i="24"/>
  <c r="G15" i="24"/>
  <c r="N15" i="24"/>
  <c r="W15" i="24"/>
  <c r="C73" i="24"/>
  <c r="G73" i="24"/>
  <c r="N73" i="24"/>
  <c r="W73" i="24"/>
  <c r="C95" i="24"/>
  <c r="G95" i="24"/>
  <c r="N95" i="24"/>
  <c r="W95" i="24"/>
  <c r="C96" i="24"/>
  <c r="G96" i="24"/>
  <c r="N96" i="24"/>
  <c r="W96" i="24"/>
  <c r="C47" i="24"/>
  <c r="G47" i="24"/>
  <c r="N47" i="24"/>
  <c r="W47" i="24"/>
  <c r="C110" i="24"/>
  <c r="G110" i="24"/>
  <c r="N110" i="24"/>
  <c r="W110" i="24"/>
  <c r="C28" i="24"/>
  <c r="G28" i="24"/>
  <c r="N28" i="24"/>
  <c r="W28" i="24"/>
  <c r="C53" i="24"/>
  <c r="G53" i="24"/>
  <c r="N53" i="24"/>
  <c r="W53" i="24"/>
  <c r="C78" i="24"/>
  <c r="G78" i="24"/>
  <c r="N78" i="24"/>
  <c r="W78" i="24"/>
  <c r="C35" i="24"/>
  <c r="G35" i="24"/>
  <c r="N35" i="24"/>
  <c r="W35" i="24"/>
  <c r="C90" i="24"/>
  <c r="G90" i="24"/>
  <c r="N90" i="24"/>
  <c r="W90" i="24"/>
  <c r="C61" i="24"/>
  <c r="G61" i="24"/>
  <c r="N61" i="24"/>
  <c r="W61" i="24"/>
  <c r="C98" i="24"/>
  <c r="G98" i="24"/>
  <c r="N98" i="24"/>
  <c r="W98" i="24"/>
  <c r="C99" i="24"/>
  <c r="G99" i="24"/>
  <c r="N99" i="24"/>
  <c r="W99" i="24"/>
  <c r="C46" i="24"/>
  <c r="G46" i="24"/>
  <c r="N46" i="24"/>
  <c r="W46" i="24"/>
  <c r="C69" i="24"/>
  <c r="G69" i="24"/>
  <c r="N69" i="24"/>
  <c r="W69" i="24"/>
  <c r="C127" i="24"/>
  <c r="G127" i="24"/>
  <c r="N127" i="24"/>
  <c r="W127" i="24"/>
  <c r="C84" i="24"/>
  <c r="G84" i="24"/>
  <c r="N84" i="24"/>
  <c r="W84" i="24"/>
  <c r="C60" i="24"/>
  <c r="G60" i="24"/>
  <c r="N60" i="24"/>
  <c r="W60" i="24"/>
  <c r="C8" i="24"/>
  <c r="G8" i="24"/>
  <c r="N8" i="24"/>
  <c r="W8" i="24"/>
  <c r="C107" i="24"/>
  <c r="G107" i="24"/>
  <c r="N107" i="24"/>
  <c r="W107" i="24"/>
  <c r="C39" i="24"/>
  <c r="G39" i="24"/>
  <c r="N39" i="24"/>
  <c r="W39" i="24"/>
  <c r="C79" i="24"/>
  <c r="G79" i="24"/>
  <c r="N79" i="24"/>
  <c r="W79" i="24"/>
  <c r="C12" i="24"/>
  <c r="G12" i="24"/>
  <c r="N12" i="24"/>
  <c r="W12" i="24"/>
  <c r="C36" i="24"/>
  <c r="G36" i="24"/>
  <c r="N36" i="24"/>
  <c r="W36" i="24"/>
  <c r="C44" i="24"/>
  <c r="N44" i="24"/>
  <c r="W44" i="24"/>
  <c r="C49" i="24"/>
  <c r="G49" i="24"/>
  <c r="N49" i="24"/>
  <c r="W49" i="24"/>
  <c r="C94" i="24"/>
  <c r="G94" i="24"/>
  <c r="N94" i="24"/>
  <c r="W94" i="24"/>
  <c r="C58" i="24"/>
  <c r="G58" i="24"/>
  <c r="N58" i="24"/>
  <c r="W58" i="24"/>
  <c r="C6" i="24"/>
  <c r="G6" i="24"/>
  <c r="N6" i="24"/>
  <c r="W6" i="24"/>
  <c r="C80" i="24"/>
  <c r="G80" i="24"/>
  <c r="N80" i="24"/>
  <c r="W80" i="24"/>
  <c r="C75" i="24"/>
  <c r="G75" i="24"/>
  <c r="N75" i="24"/>
  <c r="W75" i="24"/>
  <c r="C11" i="24"/>
  <c r="G11" i="24"/>
  <c r="N11" i="24"/>
  <c r="W11" i="24"/>
  <c r="C32" i="24"/>
  <c r="G32" i="24"/>
  <c r="N32" i="24"/>
  <c r="W32" i="24"/>
  <c r="C25" i="24"/>
  <c r="G25" i="24"/>
  <c r="N25" i="24"/>
  <c r="W25" i="24"/>
  <c r="C5" i="24"/>
  <c r="G5" i="24"/>
  <c r="N5" i="24"/>
  <c r="W5" i="24"/>
  <c r="C119" i="24"/>
  <c r="G119" i="24"/>
  <c r="N119" i="24"/>
  <c r="W119" i="24"/>
  <c r="C45" i="24"/>
  <c r="G45" i="24"/>
  <c r="N45" i="24"/>
  <c r="W45" i="24"/>
  <c r="C115" i="24"/>
  <c r="G115" i="24"/>
  <c r="N115" i="24"/>
  <c r="W115" i="24"/>
  <c r="C7" i="24"/>
  <c r="G7" i="24"/>
  <c r="N7" i="24"/>
  <c r="W7" i="24"/>
  <c r="C2" i="24"/>
  <c r="G2" i="24"/>
  <c r="N2" i="24"/>
  <c r="W2" i="24"/>
  <c r="C18" i="24"/>
  <c r="G18" i="24"/>
  <c r="N18" i="24"/>
  <c r="W18" i="24"/>
  <c r="C21" i="24"/>
  <c r="G21" i="24"/>
  <c r="N21" i="24"/>
  <c r="W21" i="24"/>
  <c r="C24" i="24"/>
  <c r="G24" i="24"/>
  <c r="N24" i="24"/>
  <c r="W24" i="24"/>
  <c r="C52" i="24"/>
  <c r="G52" i="24"/>
  <c r="N52" i="24"/>
  <c r="W52" i="24"/>
  <c r="C68" i="24"/>
  <c r="G68" i="24"/>
  <c r="N68" i="24"/>
  <c r="W68" i="24"/>
  <c r="C86" i="24"/>
  <c r="G86" i="24"/>
  <c r="N86" i="24"/>
  <c r="W86" i="24"/>
  <c r="C82" i="24"/>
  <c r="G82" i="24"/>
  <c r="N82" i="24"/>
  <c r="W82" i="24"/>
  <c r="C34" i="24"/>
  <c r="G34" i="24"/>
  <c r="N34" i="24"/>
  <c r="W34" i="24"/>
  <c r="C101" i="24"/>
  <c r="G101" i="24"/>
  <c r="N101" i="24"/>
  <c r="W101" i="24"/>
  <c r="C93" i="24"/>
  <c r="G93" i="24"/>
  <c r="N93" i="24"/>
  <c r="W93" i="24"/>
  <c r="C102" i="24"/>
  <c r="G102" i="24"/>
  <c r="N102" i="24"/>
  <c r="W102" i="24"/>
  <c r="C118" i="24"/>
  <c r="G118" i="24"/>
  <c r="N118" i="24"/>
  <c r="W118" i="24"/>
  <c r="C3" i="24"/>
  <c r="G3" i="24"/>
  <c r="W3" i="24"/>
  <c r="C14" i="24"/>
  <c r="G14" i="24"/>
  <c r="N14" i="24"/>
  <c r="W14" i="24"/>
  <c r="C23" i="24"/>
  <c r="G23" i="24"/>
  <c r="N23" i="24"/>
  <c r="W23" i="24"/>
  <c r="C43" i="24"/>
  <c r="G43" i="24"/>
  <c r="N43" i="24"/>
  <c r="W43" i="24"/>
  <c r="C87" i="24"/>
  <c r="G87" i="24"/>
  <c r="N87" i="24"/>
  <c r="W87" i="24"/>
  <c r="C103" i="24"/>
  <c r="G103" i="24"/>
  <c r="N103" i="24"/>
  <c r="W103" i="24"/>
  <c r="C109" i="24"/>
  <c r="G109" i="24"/>
  <c r="N109" i="24"/>
  <c r="W109" i="24"/>
  <c r="C10" i="24"/>
  <c r="G10" i="24"/>
  <c r="N10" i="24"/>
  <c r="W10" i="24"/>
  <c r="C56" i="24"/>
  <c r="G56" i="24"/>
  <c r="N56" i="24"/>
  <c r="W56" i="24"/>
  <c r="C71" i="24"/>
  <c r="G71" i="24"/>
  <c r="N71" i="24"/>
  <c r="W71" i="24"/>
  <c r="C77" i="24"/>
  <c r="G77" i="24"/>
  <c r="N77" i="24"/>
  <c r="W77" i="24"/>
  <c r="C83" i="24"/>
  <c r="G83" i="24"/>
  <c r="N83" i="24"/>
  <c r="W83" i="24"/>
  <c r="C97" i="24"/>
  <c r="G97" i="24"/>
  <c r="N97" i="24"/>
  <c r="W97" i="24"/>
  <c r="C106" i="24"/>
  <c r="G106" i="24"/>
  <c r="N106" i="24"/>
  <c r="W106" i="24"/>
  <c r="C108" i="24"/>
  <c r="G108" i="24"/>
  <c r="N108" i="24"/>
  <c r="W108" i="24"/>
  <c r="C124" i="24"/>
  <c r="G124" i="24"/>
  <c r="N124" i="24"/>
  <c r="W124" i="24"/>
  <c r="C130" i="24"/>
  <c r="G130" i="24"/>
  <c r="N130" i="24"/>
  <c r="W130" i="24"/>
  <c r="C41" i="24"/>
  <c r="G41" i="24"/>
  <c r="N41" i="24"/>
  <c r="W41" i="24"/>
  <c r="C89" i="24"/>
  <c r="G89" i="24"/>
  <c r="N89" i="24"/>
  <c r="W89" i="24"/>
  <c r="C126" i="24"/>
  <c r="G126" i="24"/>
  <c r="N126" i="24"/>
  <c r="W126" i="24"/>
  <c r="C19" i="24"/>
  <c r="G19" i="24"/>
  <c r="N19" i="24"/>
  <c r="W19" i="24"/>
  <c r="C20" i="24"/>
  <c r="G20" i="24"/>
  <c r="N20" i="24"/>
  <c r="W20" i="24"/>
  <c r="C27" i="24"/>
  <c r="G27" i="24"/>
  <c r="N27" i="24"/>
  <c r="W27" i="24"/>
  <c r="C40" i="24"/>
  <c r="G40" i="24"/>
  <c r="N40" i="24"/>
  <c r="W40" i="24"/>
  <c r="C54" i="24"/>
  <c r="G54" i="24"/>
  <c r="N54" i="24"/>
  <c r="W54" i="24"/>
  <c r="C70" i="24"/>
  <c r="G70" i="24"/>
  <c r="N70" i="24"/>
  <c r="W70" i="24"/>
  <c r="C74" i="24"/>
  <c r="G74" i="24"/>
  <c r="N74" i="24"/>
  <c r="W74" i="24"/>
  <c r="C85" i="24"/>
  <c r="G85" i="24"/>
  <c r="N85" i="24"/>
  <c r="W85" i="24"/>
  <c r="C88" i="24"/>
  <c r="G88" i="24"/>
  <c r="N88" i="24"/>
  <c r="W88" i="24"/>
  <c r="C105" i="24"/>
  <c r="G105" i="24"/>
  <c r="N105" i="24"/>
  <c r="W105" i="24"/>
  <c r="C117" i="24"/>
  <c r="G117" i="24"/>
  <c r="N117" i="24"/>
  <c r="W117" i="24"/>
  <c r="C120" i="24"/>
  <c r="G120" i="24"/>
  <c r="N120" i="24"/>
  <c r="W120" i="24"/>
  <c r="C123" i="24"/>
  <c r="G123" i="24"/>
  <c r="N123" i="24"/>
  <c r="W123" i="24"/>
  <c r="C50" i="24"/>
  <c r="G50" i="24"/>
  <c r="N50" i="24"/>
  <c r="W50" i="24"/>
  <c r="C55" i="24"/>
  <c r="G55" i="24"/>
  <c r="N55" i="24"/>
  <c r="W55" i="24"/>
  <c r="C62" i="24"/>
  <c r="G62" i="24"/>
  <c r="N62" i="24"/>
  <c r="W62" i="24"/>
  <c r="C64" i="24"/>
  <c r="G64" i="24"/>
  <c r="N64" i="24"/>
  <c r="W64" i="24"/>
  <c r="C66" i="24"/>
  <c r="G66" i="24"/>
  <c r="N66" i="24"/>
  <c r="W66" i="24"/>
  <c r="C31" i="24"/>
  <c r="G31" i="24"/>
  <c r="N31" i="24"/>
  <c r="W31" i="24"/>
  <c r="C16" i="24"/>
  <c r="G16" i="24"/>
  <c r="N16" i="24"/>
  <c r="W16" i="24"/>
  <c r="C67" i="24"/>
  <c r="G67" i="24"/>
  <c r="N67" i="24"/>
  <c r="W67" i="24"/>
  <c r="C81" i="24"/>
  <c r="G81" i="24"/>
  <c r="N81" i="24"/>
  <c r="W81" i="24"/>
  <c r="C116" i="24"/>
  <c r="G116" i="24"/>
  <c r="N116" i="24"/>
  <c r="W116" i="24"/>
  <c r="C104" i="24"/>
  <c r="G104" i="24"/>
  <c r="N104" i="24"/>
  <c r="W104" i="24"/>
  <c r="C29" i="24"/>
  <c r="G29" i="24"/>
  <c r="N29" i="24"/>
  <c r="W29" i="24"/>
  <c r="C30" i="24"/>
  <c r="G30" i="24"/>
  <c r="N30" i="24"/>
  <c r="W30" i="24"/>
  <c r="C42" i="24"/>
  <c r="G42" i="24"/>
  <c r="N42" i="24"/>
  <c r="W42" i="24"/>
  <c r="C76" i="24"/>
  <c r="G76" i="24"/>
  <c r="N76" i="24"/>
  <c r="W76" i="24"/>
  <c r="C111" i="24"/>
  <c r="G111" i="24"/>
  <c r="N111" i="24"/>
  <c r="W111" i="24"/>
  <c r="C122" i="24"/>
  <c r="G122" i="24"/>
  <c r="N122" i="24"/>
  <c r="W122" i="24"/>
  <c r="C92" i="24"/>
  <c r="G92" i="24"/>
  <c r="N92" i="24"/>
  <c r="W92" i="24"/>
  <c r="C51" i="24"/>
  <c r="G51" i="24"/>
  <c r="N51" i="24"/>
  <c r="W51" i="24"/>
  <c r="C113" i="24"/>
  <c r="G113" i="24"/>
  <c r="N113" i="24"/>
  <c r="W113" i="24"/>
  <c r="C112" i="24"/>
  <c r="G112" i="24"/>
  <c r="N112" i="24"/>
  <c r="W112" i="24"/>
  <c r="C125" i="24"/>
  <c r="G125" i="24"/>
  <c r="N125" i="24"/>
  <c r="W125" i="24"/>
  <c r="C57" i="24"/>
  <c r="G57" i="24"/>
  <c r="N57" i="24"/>
  <c r="W57" i="24"/>
  <c r="C114" i="24"/>
  <c r="G114" i="24"/>
  <c r="N114" i="24"/>
  <c r="W114" i="24"/>
  <c r="C65" i="24"/>
  <c r="G65" i="24"/>
  <c r="N65" i="24"/>
  <c r="W65" i="24"/>
  <c r="C13" i="24"/>
  <c r="G13" i="24"/>
  <c r="N13" i="24"/>
  <c r="W13" i="24"/>
  <c r="C100" i="24"/>
  <c r="G100" i="24"/>
  <c r="N100" i="24"/>
  <c r="W100" i="24"/>
  <c r="C63" i="24"/>
  <c r="G63" i="24"/>
  <c r="N63" i="24"/>
  <c r="W63" i="24"/>
  <c r="C22" i="24"/>
  <c r="G22" i="24"/>
  <c r="N22" i="24"/>
  <c r="W22" i="24"/>
  <c r="C128" i="24"/>
  <c r="G128" i="24"/>
  <c r="N128" i="24"/>
  <c r="W128" i="24"/>
  <c r="C91" i="24"/>
  <c r="G91" i="24"/>
  <c r="N91" i="24"/>
  <c r="W91" i="24"/>
  <c r="C48" i="24"/>
  <c r="G48" i="24"/>
  <c r="N48" i="24"/>
  <c r="W48" i="24"/>
  <c r="C121" i="24"/>
  <c r="G121" i="24"/>
  <c r="N121" i="24"/>
  <c r="W121" i="24"/>
  <c r="C17" i="24"/>
  <c r="G17" i="24"/>
  <c r="N17" i="24"/>
  <c r="W17" i="24"/>
  <c r="C59" i="24"/>
  <c r="G59" i="24"/>
  <c r="N59" i="24"/>
  <c r="W59" i="24"/>
  <c r="C72" i="24"/>
  <c r="G72" i="24"/>
  <c r="N72" i="24"/>
  <c r="W72" i="24"/>
  <c r="C33" i="24"/>
  <c r="G33" i="24"/>
  <c r="N33" i="24"/>
  <c r="W33" i="24"/>
  <c r="C38" i="24"/>
  <c r="G38" i="24"/>
  <c r="N38" i="24"/>
  <c r="W38" i="24"/>
  <c r="C37" i="24"/>
  <c r="G37" i="24"/>
  <c r="N37" i="24"/>
  <c r="W37" i="24"/>
  <c r="C129" i="24"/>
  <c r="G129" i="24"/>
  <c r="N129" i="24"/>
  <c r="W129" i="24"/>
  <c r="B110" i="13"/>
  <c r="B111" i="13"/>
  <c r="B112" i="13"/>
  <c r="F110" i="13"/>
  <c r="O110" i="13" s="1"/>
  <c r="F111" i="13"/>
  <c r="O111" i="13" s="1"/>
  <c r="F112" i="13"/>
  <c r="O112" i="13" s="1"/>
  <c r="V110" i="13"/>
  <c r="V111" i="13"/>
  <c r="V112" i="13"/>
  <c r="AE110" i="13"/>
  <c r="AE111" i="13"/>
  <c r="AE112" i="13"/>
  <c r="V101" i="13"/>
  <c r="V99" i="13"/>
  <c r="V98" i="13"/>
  <c r="V97" i="13"/>
  <c r="V95" i="13"/>
  <c r="V91"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V59" i="13"/>
  <c r="V55" i="13"/>
  <c r="V46" i="13"/>
  <c r="V3" i="13"/>
  <c r="V4" i="13"/>
  <c r="V5" i="13"/>
  <c r="V6" i="13"/>
  <c r="V7" i="13"/>
  <c r="V8" i="13"/>
  <c r="V9" i="13"/>
  <c r="V10" i="13"/>
  <c r="V11" i="13"/>
  <c r="V12" i="13"/>
  <c r="V13" i="13"/>
  <c r="V14" i="13"/>
  <c r="V15" i="13"/>
  <c r="V16" i="13"/>
  <c r="V17" i="13"/>
  <c r="V18" i="13"/>
  <c r="V19" i="13"/>
  <c r="V20" i="13"/>
  <c r="V21" i="13"/>
  <c r="V22" i="13"/>
  <c r="V23" i="13"/>
  <c r="V24" i="13"/>
  <c r="V25" i="13"/>
  <c r="V26" i="13"/>
  <c r="V27" i="13"/>
  <c r="V28" i="13"/>
  <c r="V29" i="13"/>
  <c r="V30" i="13"/>
  <c r="V31" i="13"/>
  <c r="V32" i="13"/>
  <c r="V33" i="13"/>
  <c r="V34" i="13"/>
  <c r="V35" i="13"/>
  <c r="V36" i="13"/>
  <c r="V37" i="13"/>
  <c r="V38" i="13"/>
  <c r="V39" i="13"/>
  <c r="V40" i="13"/>
  <c r="V41" i="13"/>
  <c r="V42" i="13"/>
  <c r="V43" i="13"/>
  <c r="V44" i="13"/>
  <c r="V45" i="13"/>
  <c r="V47" i="13"/>
  <c r="V48" i="13"/>
  <c r="V49" i="13"/>
  <c r="V50" i="13"/>
  <c r="V51" i="13"/>
  <c r="V52" i="13"/>
  <c r="V53" i="13"/>
  <c r="V54" i="13"/>
  <c r="V56" i="13"/>
  <c r="V57" i="13"/>
  <c r="V60" i="13"/>
  <c r="V61" i="13"/>
  <c r="V62" i="13"/>
  <c r="V63" i="13"/>
  <c r="V64" i="13"/>
  <c r="V65" i="13"/>
  <c r="V66" i="13"/>
  <c r="V67" i="13"/>
  <c r="V68" i="13"/>
  <c r="V69" i="13"/>
  <c r="V70" i="13"/>
  <c r="V71" i="13"/>
  <c r="V72" i="13"/>
  <c r="V73" i="13"/>
  <c r="V74" i="13"/>
  <c r="V75" i="13"/>
  <c r="V76" i="13"/>
  <c r="V77" i="13"/>
  <c r="V78" i="13"/>
  <c r="V79" i="13"/>
  <c r="V80" i="13"/>
  <c r="V81" i="13"/>
  <c r="V82" i="13"/>
  <c r="V83" i="13"/>
  <c r="V84" i="13"/>
  <c r="V85" i="13"/>
  <c r="V86" i="13"/>
  <c r="V87" i="13"/>
  <c r="V88" i="13"/>
  <c r="V89" i="13"/>
  <c r="V90" i="13"/>
  <c r="V92" i="13"/>
  <c r="V93" i="13"/>
  <c r="V94" i="13"/>
  <c r="V96" i="13"/>
  <c r="V100" i="13"/>
  <c r="V102" i="13"/>
  <c r="V103" i="13"/>
  <c r="V104" i="13"/>
  <c r="V105" i="13"/>
  <c r="V107" i="13"/>
  <c r="V108" i="13"/>
  <c r="V109" i="13"/>
  <c r="F3" i="13"/>
  <c r="O3" i="13" s="1"/>
  <c r="F5" i="13"/>
  <c r="O5" i="13" s="1"/>
  <c r="F6" i="13"/>
  <c r="O6" i="13" s="1"/>
  <c r="F7" i="13"/>
  <c r="O7" i="13" s="1"/>
  <c r="F8" i="13"/>
  <c r="O8" i="13" s="1"/>
  <c r="F9" i="13"/>
  <c r="O9" i="13" s="1"/>
  <c r="F10" i="13"/>
  <c r="O10" i="13" s="1"/>
  <c r="F11" i="13"/>
  <c r="O11" i="13" s="1"/>
  <c r="F12" i="13"/>
  <c r="O12" i="13" s="1"/>
  <c r="F13" i="13"/>
  <c r="O13" i="13" s="1"/>
  <c r="F14" i="13"/>
  <c r="O14" i="13" s="1"/>
  <c r="F15" i="13"/>
  <c r="O15" i="13" s="1"/>
  <c r="F16" i="13"/>
  <c r="O16" i="13" s="1"/>
  <c r="F17" i="13"/>
  <c r="O17" i="13" s="1"/>
  <c r="F18" i="13"/>
  <c r="O18" i="13" s="1"/>
  <c r="F19" i="13"/>
  <c r="O19" i="13" s="1"/>
  <c r="F20" i="13"/>
  <c r="O20" i="13" s="1"/>
  <c r="F21" i="13"/>
  <c r="O21" i="13" s="1"/>
  <c r="F22" i="13"/>
  <c r="O22" i="13" s="1"/>
  <c r="F23" i="13"/>
  <c r="O23" i="13" s="1"/>
  <c r="F24" i="13"/>
  <c r="O24" i="13" s="1"/>
  <c r="F25" i="13"/>
  <c r="O25" i="13" s="1"/>
  <c r="F26" i="13"/>
  <c r="O26" i="13" s="1"/>
  <c r="F27" i="13"/>
  <c r="O27" i="13" s="1"/>
  <c r="F28" i="13"/>
  <c r="O28" i="13" s="1"/>
  <c r="F29" i="13"/>
  <c r="O29" i="13" s="1"/>
  <c r="F31" i="13"/>
  <c r="O31" i="13" s="1"/>
  <c r="F32" i="13"/>
  <c r="O32" i="13" s="1"/>
  <c r="F33" i="13"/>
  <c r="O33" i="13" s="1"/>
  <c r="F34" i="13"/>
  <c r="O34" i="13" s="1"/>
  <c r="F35" i="13"/>
  <c r="O35" i="13" s="1"/>
  <c r="F36" i="13"/>
  <c r="O36" i="13" s="1"/>
  <c r="F37" i="13"/>
  <c r="O37" i="13" s="1"/>
  <c r="F38" i="13"/>
  <c r="O38" i="13" s="1"/>
  <c r="F39" i="13"/>
  <c r="O39" i="13" s="1"/>
  <c r="F40" i="13"/>
  <c r="O40" i="13" s="1"/>
  <c r="F41" i="13"/>
  <c r="O41" i="13" s="1"/>
  <c r="F42" i="13"/>
  <c r="O42" i="13" s="1"/>
  <c r="F43" i="13"/>
  <c r="O43" i="13" s="1"/>
  <c r="F44" i="13"/>
  <c r="O44" i="13" s="1"/>
  <c r="F45" i="13"/>
  <c r="O45" i="13" s="1"/>
  <c r="F46" i="13"/>
  <c r="O46" i="13" s="1"/>
  <c r="F47" i="13"/>
  <c r="O47" i="13" s="1"/>
  <c r="F48" i="13"/>
  <c r="O48" i="13" s="1"/>
  <c r="F49" i="13"/>
  <c r="O49" i="13" s="1"/>
  <c r="F50" i="13"/>
  <c r="O50" i="13" s="1"/>
  <c r="F51" i="13"/>
  <c r="O51" i="13" s="1"/>
  <c r="F52" i="13"/>
  <c r="O52" i="13" s="1"/>
  <c r="F53" i="13"/>
  <c r="O53" i="13" s="1"/>
  <c r="F54" i="13"/>
  <c r="O54" i="13" s="1"/>
  <c r="F55" i="13"/>
  <c r="O55" i="13" s="1"/>
  <c r="F56" i="13"/>
  <c r="O56" i="13" s="1"/>
  <c r="F57" i="13"/>
  <c r="O57" i="13" s="1"/>
  <c r="F58" i="13"/>
  <c r="O58" i="13" s="1"/>
  <c r="F59" i="13"/>
  <c r="O59" i="13" s="1"/>
  <c r="F60" i="13"/>
  <c r="O60" i="13" s="1"/>
  <c r="F61" i="13"/>
  <c r="O61" i="13" s="1"/>
  <c r="F62" i="13"/>
  <c r="O62" i="13" s="1"/>
  <c r="F63" i="13"/>
  <c r="O63" i="13" s="1"/>
  <c r="F64" i="13"/>
  <c r="O64" i="13" s="1"/>
  <c r="F65" i="13"/>
  <c r="O65" i="13" s="1"/>
  <c r="F66" i="13"/>
  <c r="O66" i="13" s="1"/>
  <c r="F67" i="13"/>
  <c r="O67" i="13" s="1"/>
  <c r="F68" i="13"/>
  <c r="F69" i="13"/>
  <c r="O69" i="13" s="1"/>
  <c r="F70" i="13"/>
  <c r="O70" i="13" s="1"/>
  <c r="F71" i="13"/>
  <c r="O71" i="13" s="1"/>
  <c r="F72" i="13"/>
  <c r="O72" i="13" s="1"/>
  <c r="F73" i="13"/>
  <c r="O73" i="13" s="1"/>
  <c r="F74" i="13"/>
  <c r="O74" i="13" s="1"/>
  <c r="F75" i="13"/>
  <c r="O75" i="13" s="1"/>
  <c r="F76" i="13"/>
  <c r="O76" i="13" s="1"/>
  <c r="F77" i="13"/>
  <c r="O77" i="13" s="1"/>
  <c r="F78" i="13"/>
  <c r="O78" i="13" s="1"/>
  <c r="F79" i="13"/>
  <c r="O79" i="13" s="1"/>
  <c r="F80" i="13"/>
  <c r="O80" i="13" s="1"/>
  <c r="F81" i="13"/>
  <c r="O81" i="13" s="1"/>
  <c r="F82" i="13"/>
  <c r="O82" i="13" s="1"/>
  <c r="F83" i="13"/>
  <c r="O83" i="13" s="1"/>
  <c r="F84" i="13"/>
  <c r="O84" i="13" s="1"/>
  <c r="F85" i="13"/>
  <c r="O85" i="13" s="1"/>
  <c r="F86" i="13"/>
  <c r="O86" i="13" s="1"/>
  <c r="F87" i="13"/>
  <c r="O87" i="13" s="1"/>
  <c r="F88" i="13"/>
  <c r="O88" i="13" s="1"/>
  <c r="F89" i="13"/>
  <c r="O89" i="13" s="1"/>
  <c r="F90" i="13"/>
  <c r="O90" i="13" s="1"/>
  <c r="F91" i="13"/>
  <c r="O91" i="13" s="1"/>
  <c r="F92" i="13"/>
  <c r="O92" i="13" s="1"/>
  <c r="F93" i="13"/>
  <c r="O93" i="13" s="1"/>
  <c r="F94" i="13"/>
  <c r="O94" i="13" s="1"/>
  <c r="F95" i="13"/>
  <c r="O95" i="13" s="1"/>
  <c r="F96" i="13"/>
  <c r="O96" i="13" s="1"/>
  <c r="F97" i="13"/>
  <c r="O97" i="13" s="1"/>
  <c r="F98" i="13"/>
  <c r="O98" i="13" s="1"/>
  <c r="F99" i="13"/>
  <c r="O99" i="13" s="1"/>
  <c r="F100" i="13"/>
  <c r="O100" i="13" s="1"/>
  <c r="F101" i="13"/>
  <c r="O101" i="13" s="1"/>
  <c r="F102" i="13"/>
  <c r="O102" i="13" s="1"/>
  <c r="F103" i="13"/>
  <c r="O103" i="13" s="1"/>
  <c r="F104" i="13"/>
  <c r="O104" i="13" s="1"/>
  <c r="F105" i="13"/>
  <c r="O105" i="13" s="1"/>
  <c r="F106" i="13"/>
  <c r="O106" i="13" s="1"/>
  <c r="F107" i="13"/>
  <c r="O107" i="13" s="1"/>
  <c r="F108" i="13"/>
  <c r="O108" i="13" s="1"/>
  <c r="F109" i="13"/>
  <c r="O109" i="13" s="1"/>
  <c r="AE59" i="13" l="1"/>
  <c r="AE105" i="13" l="1"/>
  <c r="AE106" i="13"/>
  <c r="AE107" i="13"/>
  <c r="AE108" i="13"/>
  <c r="AE109" i="13"/>
  <c r="I4" i="19" l="1"/>
  <c r="I5" i="19"/>
  <c r="I6" i="19"/>
  <c r="I7" i="19"/>
  <c r="I3" i="19"/>
  <c r="I8" i="19" s="1"/>
  <c r="AE9" i="13" l="1"/>
  <c r="AE46" i="13"/>
  <c r="AE38" i="13"/>
  <c r="AE95" i="13"/>
  <c r="AE48" i="13"/>
  <c r="AE17" i="13"/>
  <c r="AE97" i="13"/>
  <c r="AE47" i="13"/>
  <c r="AE19" i="13"/>
  <c r="AE45" i="13"/>
  <c r="AE71" i="13"/>
  <c r="AE4" i="13"/>
  <c r="AE12" i="13" l="1"/>
  <c r="AE6" i="13"/>
  <c r="AE15" i="13"/>
  <c r="AE64" i="13"/>
  <c r="AE91" i="13"/>
  <c r="AE73" i="13"/>
  <c r="AE13" i="13"/>
  <c r="AE27" i="13"/>
  <c r="AE43" i="13"/>
  <c r="AE33" i="13"/>
  <c r="AE90" i="13"/>
  <c r="AE99" i="13"/>
  <c r="AE74" i="13"/>
  <c r="AE37" i="13"/>
  <c r="AE68" i="13"/>
  <c r="AE75" i="13"/>
  <c r="AE83" i="13"/>
  <c r="AE98" i="13"/>
  <c r="AE22" i="13"/>
  <c r="V2" i="13" l="1"/>
  <c r="F2" i="13"/>
  <c r="O2" i="13" s="1"/>
  <c r="AE7" i="13" l="1"/>
  <c r="AE10" i="13"/>
  <c r="AE104" i="13"/>
  <c r="AE35" i="13"/>
  <c r="AE41" i="13"/>
  <c r="AE94" i="13"/>
  <c r="AE60" i="13"/>
  <c r="AE2" i="13"/>
  <c r="B2" i="13"/>
  <c r="AE69" i="13"/>
  <c r="AE89" i="13"/>
  <c r="AE56" i="13"/>
  <c r="AE100" i="13"/>
  <c r="AE70" i="13"/>
  <c r="AE65" i="13"/>
  <c r="AE92" i="13"/>
  <c r="AE72" i="13"/>
  <c r="AE93" i="13"/>
  <c r="AE31" i="13"/>
  <c r="AE67" i="13"/>
  <c r="AE30" i="13"/>
  <c r="AE102" i="13"/>
  <c r="AE103" i="13"/>
  <c r="AE101" i="13"/>
  <c r="AE96" i="13"/>
  <c r="AE81" i="13"/>
  <c r="AE88" i="13"/>
  <c r="AE87" i="13"/>
  <c r="AE86" i="13"/>
  <c r="AE85" i="13"/>
  <c r="AE84" i="13"/>
  <c r="AE82" i="13"/>
  <c r="AE80" i="13"/>
  <c r="AE79" i="13"/>
  <c r="AE78" i="13"/>
  <c r="AE77" i="13"/>
  <c r="AE76" i="13"/>
  <c r="AE66" i="13"/>
  <c r="AE63" i="13"/>
  <c r="AE62" i="13"/>
  <c r="AE61" i="13"/>
  <c r="AE58" i="13"/>
  <c r="AE57" i="13"/>
  <c r="AE55" i="13"/>
  <c r="AE52" i="13"/>
  <c r="AE51" i="13"/>
  <c r="AE54" i="13"/>
  <c r="AE49" i="13"/>
  <c r="AE53" i="13"/>
  <c r="AE50" i="13"/>
  <c r="AE44" i="13"/>
  <c r="AE42" i="13"/>
  <c r="AE34" i="13"/>
  <c r="AE40" i="13"/>
  <c r="AE39" i="13"/>
  <c r="AE36" i="13"/>
  <c r="AE25" i="13"/>
  <c r="AE29" i="13"/>
  <c r="AE28" i="13"/>
  <c r="AE32" i="13"/>
  <c r="AE26" i="13"/>
  <c r="AE24" i="13"/>
  <c r="AE23" i="13"/>
  <c r="AE21" i="13"/>
  <c r="AE18" i="13"/>
  <c r="AE20" i="13"/>
  <c r="AE16" i="13"/>
  <c r="AE14" i="13"/>
  <c r="AE11" i="13"/>
  <c r="AE8" i="13"/>
  <c r="AE3" i="13"/>
  <c r="AE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tc={6E139C2E-CDD2-4D41-B3DB-7E6D67770E02}</author>
    <author>tc={B9554FAB-B93A-4A33-A94A-18003134722F}</author>
    <author>tc={D708458E-3082-42BE-BA9C-FB76140F8A89}</author>
    <author>tc={5E0A5B36-30BA-4785-9EC7-D9E59F1B16CE}</author>
    <author>tc={2832532F-3601-467A-AD62-C3A497EF3F2F}</author>
    <author>tc={59C5E8B4-950F-4728-A552-4F68E2A85566}</author>
    <author>tc={C67DE103-245C-480C-AFF1-8C8083938B75}</author>
    <author>tc={2058EF75-2506-49C6-943C-0BAF81E854D5}</author>
    <author>tc={2A646E23-7359-4DAA-8D67-66CEB4A83557}</author>
    <author>tc={B310DD81-FDB4-4F35-8D41-78710C9E81A3}</author>
    <author>tc={4B850DF9-9D81-4FD5-8455-43E1F38C3E1F}</author>
    <author>tc={9AD85768-E606-4DBC-95DD-02B1E72530BC}</author>
    <author>tc={F375E268-C2EA-4FF1-BEB3-31A2F451652F}</author>
    <author>tc={CD0B1590-A453-4743-B7D1-8AF3FB367521}</author>
    <author>tc={535E2C4F-7CF7-4D1A-BED5-6155ADC108E2}</author>
    <author>tc={DC2E55DF-8169-487D-A11A-15E83A494C0F}</author>
    <author>tc={0325A06D-7BE0-4393-AAAC-8D5E8037A023}</author>
    <author>tc={1E8F91FD-46BF-4C84-BBB2-1D5735B92A8E}</author>
    <author>tc={15EA5A79-A9E3-4B39-958F-C93A8E6CC1DA}</author>
    <author>tc={2AF65545-6B4E-4DD7-9198-31E0C1B096EA}</author>
    <author>tc={255CB460-5F6C-4BF8-8027-E4F6AD6F6B58}</author>
    <author>tc={D704E761-0AD8-4A99-B919-33F6BAC9A363}</author>
  </authors>
  <commentList>
    <comment ref="A6" authorId="0" shapeId="0" xr:uid="{6E139C2E-CDD2-4D41-B3DB-7E6D67770E02}">
      <text>
        <t>[Comentário encadeado]
Sua versão do Excel permite que você leia este comentário encadeado, no entanto, as edições serão removidas se o arquivo for aberto em uma versão mais recente do Excel. Saiba mais: https://go.microsoft.com/fwlink/?linkid=870924
Comentário:
    Equipamento alinhado com o Jean para colocar os cabos compatibilizadores</t>
      </text>
    </comment>
    <comment ref="H7" authorId="1" shapeId="0" xr:uid="{B9554FAB-B93A-4A33-A94A-18003134722F}">
      <text>
        <t>[Comentário encadeado]
Sua versão do Excel permite que você leia este comentário encadeado, no entanto, as edições serão removidas se o arquivo for aberto em uma versão mais recente do Excel. Saiba mais: https://go.microsoft.com/fwlink/?linkid=870924
Comentário:
    Ocorreu simultaneo era caso de furto</t>
      </text>
    </comment>
    <comment ref="A9" authorId="2" shapeId="0" xr:uid="{D708458E-3082-42BE-BA9C-FB76140F8A89}">
      <text>
        <t>[Comentário encadeado]
Sua versão do Excel permite que você leia este comentário encadeado, no entanto, as edições serão removidas se o arquivo for aberto em uma versão mais recente do Excel. Saiba mais: https://go.microsoft.com/fwlink/?linkid=870924
Comentário:
    Equipamento alinhado com o Jean para colocar os cabos compatibilizadores , vamos só instalar o controle e o suporte</t>
      </text>
    </comment>
    <comment ref="A16" authorId="3" shapeId="0" xr:uid="{5E0A5B36-30BA-4785-9EC7-D9E59F1B16CE}">
      <text>
        <t>[Comentário encadeado]
Sua versão do Excel permite que você leia este comentário encadeado, no entanto, as edições serão removidas se o arquivo for aberto em uma versão mais recente do Excel. Saiba mais: https://go.microsoft.com/fwlink/?linkid=870924
Comentário:
    Equipamento não abre a tela de controle de sinais, Zenilson verificar.</t>
      </text>
    </comment>
    <comment ref="A20" authorId="4" shapeId="0" xr:uid="{2832532F-3601-467A-AD62-C3A497EF3F2F}">
      <text>
        <t>[Comentário encadeado]
Sua versão do Excel permite que você leia este comentário encadeado, no entanto, as edições serão removidas se o arquivo for aberto em uma versão mais recente do Excel. Saiba mais: https://go.microsoft.com/fwlink/?linkid=870924
Comentário:
    Equipamento fora de operação, baixada erroneamente pelo COCM.</t>
      </text>
    </comment>
    <comment ref="A25" authorId="5" shapeId="0" xr:uid="{59C5E8B4-950F-4728-A552-4F68E2A85566}">
      <text>
        <t>[Comentário encadeado]
Sua versão do Excel permite que você leia este comentário encadeado, no entanto, as edições serão removidas se o arquivo for aberto em uma versão mais recente do Excel. Saiba mais: https://go.microsoft.com/fwlink/?linkid=870924
Comentário:
    Joelson vai mandar uma equipe de campo ver</t>
      </text>
    </comment>
    <comment ref="H25" authorId="6" shapeId="0" xr:uid="{C67DE103-245C-480C-AFF1-8C8083938B75}">
      <text>
        <t>[Comentário encadeado]
Sua versão do Excel permite que você leia este comentário encadeado, no entanto, as edições serão removidas se o arquivo for aberto em uma versão mais recente do Excel. Saiba mais: https://go.microsoft.com/fwlink/?linkid=870924
Comentário:
    Conversar Com o Sandro Para Podermos mandar o e-mail para o Juridico</t>
      </text>
    </comment>
    <comment ref="I28" authorId="7" shapeId="0" xr:uid="{2058EF75-2506-49C6-943C-0BAF81E854D5}">
      <text>
        <t>[Comentário encadeado]
Sua versão do Excel permite que você leia este comentário encadeado, no entanto, as edições serão removidas se o arquivo for aberto em uma versão mais recente do Excel. Saiba mais: https://go.microsoft.com/fwlink/?linkid=870924
Comentário:
    21/08 Se a DB Machado for pro Sul</t>
      </text>
    </comment>
    <comment ref="A29" authorId="8" shapeId="0" xr:uid="{2A646E23-7359-4DAA-8D67-66CEB4A83557}">
      <text>
        <t>[Comentário encadeado]
Sua versão do Excel permite que você leia este comentário encadeado, no entanto, as edições serão removidas se o arquivo for aberto em uma versão mais recente do Excel. Saiba mais: https://go.microsoft.com/fwlink/?linkid=870924
Comentário:
    Equipamento não abre a tela de controle de sinais, Zenilson verificar.</t>
      </text>
    </comment>
    <comment ref="A39" authorId="9" shapeId="0" xr:uid="{B310DD81-FDB4-4F35-8D41-78710C9E81A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Foi redirecionado para priorizar o RL 7933726256 </t>
      </text>
    </comment>
    <comment ref="A42" authorId="10" shapeId="0" xr:uid="{4B850DF9-9D81-4FD5-8455-43E1F38C3E1F}">
      <text>
        <t>[Comentário encadeado]
Sua versão do Excel permite que você leia este comentário encadeado, no entanto, as edições serão removidas se o arquivo for aberto em uma versão mais recente do Excel. Saiba mais: https://go.microsoft.com/fwlink/?linkid=870924
Comentário:
    Paramos aqui</t>
      </text>
    </comment>
    <comment ref="A54" authorId="11" shapeId="0" xr:uid="{9AD85768-E606-4DBC-95DD-02B1E72530BC}">
      <text>
        <t>[Comentário encadeado]
Sua versão do Excel permite que você leia este comentário encadeado, no entanto, as edições serão removidas se o arquivo for aberto em uma versão mais recente do Excel. Saiba mais: https://go.microsoft.com/fwlink/?linkid=870924
Comentário:
    Confirmar informação de remanejamento inserida na SS.</t>
      </text>
    </comment>
    <comment ref="I61" authorId="12" shapeId="0" xr:uid="{F375E268-C2EA-4FF1-BEB3-31A2F451652F}">
      <text>
        <t>[Comentário encadeado]
Sua versão do Excel permite que você leia este comentário encadeado, no entanto, as edições serão removidas se o arquivo for aberto em uma versão mais recente do Excel. Saiba mais: https://go.microsoft.com/fwlink/?linkid=870924
Comentário:
    22/08 Se a DB Machado for pro Sul</t>
      </text>
    </comment>
    <comment ref="A62" authorId="13" shapeId="0" xr:uid="{CD0B1590-A453-4743-B7D1-8AF3FB367521}">
      <text>
        <t>[Comentário encadeado]
Sua versão do Excel permite que você leia este comentário encadeado, no entanto, as edições serão removidas se o arquivo for aberto em uma versão mais recente do Excel. Saiba mais: https://go.microsoft.com/fwlink/?linkid=870924
Comentário:
    Nota baixada erroneamente pelo DMSL, aguardando retorno da Lorrane.</t>
      </text>
    </comment>
    <comment ref="A71" authorId="14" shapeId="0" xr:uid="{535E2C4F-7CF7-4D1A-BED5-6155ADC108E2}">
      <text>
        <t>[Comentário encadeado]
Sua versão do Excel permite que você leia este comentário encadeado, no entanto, as edições serão removidas se o arquivo for aberto em uma versão mais recente do Excel. Saiba mais: https://go.microsoft.com/fwlink/?linkid=870924
Comentário:
    Verificar com a PROT sobre os ajustes, equipamento já em operação.</t>
      </text>
    </comment>
    <comment ref="L73" authorId="15" shapeId="0" xr:uid="{DC2E55DF-8169-487D-A11A-15E83A494C0F}">
      <text>
        <t>[Comentário encadeado]
Sua versão do Excel permite que você leia este comentário encadeado, no entanto, as edições serão removidas se o arquivo for aberto em uma versão mais recente do Excel. Saiba mais: https://go.microsoft.com/fwlink/?linkid=870924
Comentário:
    Artech</t>
      </text>
    </comment>
    <comment ref="L95" authorId="16" shapeId="0" xr:uid="{0325A06D-7BE0-4393-AAAC-8D5E8037A023}">
      <text>
        <t>[Comentário encadeado]
Sua versão do Excel permite que você leia este comentário encadeado, no entanto, as edições serão removidas se o arquivo for aberto em uma versão mais recente do Excel. Saiba mais: https://go.microsoft.com/fwlink/?linkid=870924
Comentário:
    Redirecionar tanque do 7955946007 
Responder:
    7955520116 - Redirecionar para esse</t>
      </text>
    </comment>
    <comment ref="A102" authorId="17" shapeId="0" xr:uid="{1E8F91FD-46BF-4C84-BBB2-1D5735B92A8E}">
      <text>
        <t>[Comentário encadeado]
Sua versão do Excel permite que você leia este comentário encadeado, no entanto, as edições serão removidas se o arquivo for aberto em uma versão mais recente do Excel. Saiba mais: https://go.microsoft.com/fwlink/?linkid=870924
Comentário:
    Nota baixada erroneamente pelo DMSL, aguardando retorno da Lorrane.</t>
      </text>
    </comment>
    <comment ref="A106" authorId="18" shapeId="0" xr:uid="{15EA5A79-A9E3-4B39-958F-C93A8E6CC1DA}">
      <text>
        <t>[Comentário encadeado]
Sua versão do Excel permite que você leia este comentário encadeado, no entanto, as edições serão removidas se o arquivo for aberto em uma versão mais recente do Excel. Saiba mais: https://go.microsoft.com/fwlink/?linkid=870924
Comentário:
    Equipamento em operação, necessário confirmar com o COCM Palmas</t>
      </text>
    </comment>
    <comment ref="L110" authorId="19" shapeId="0" xr:uid="{2AF65545-6B4E-4DD7-9198-31E0C1B096EA}">
      <text>
        <t>[Comentário encadeado]
Sua versão do Excel permite que você leia este comentário encadeado, no entanto, as edições serão removidas se o arquivo for aberto em uma versão mais recente do Excel. Saiba mais: https://go.microsoft.com/fwlink/?linkid=870924
Comentário:
    Tanque de Caseara e o Controle do Estoque Sono</t>
      </text>
    </comment>
    <comment ref="H113" authorId="20" shapeId="0" xr:uid="{255CB460-5F6C-4BF8-8027-E4F6AD6F6B58}">
      <text>
        <t>[Comentário encadeado]
Sua versão do Excel permite que você leia este comentário encadeado, no entanto, as edições serão removidas se o arquivo for aberto em uma versão mais recente do Excel. Saiba mais: https://go.microsoft.com/fwlink/?linkid=870924
Comentário:
    Tenho um Controle ou consigo reaproveitar o tanque em outro, dependendo da criticidade</t>
      </text>
    </comment>
    <comment ref="A130" authorId="21" shapeId="0" xr:uid="{D704E761-0AD8-4A99-B919-33F6BAC9A363}">
      <text>
        <t>[Comentário encadeado]
Sua versão do Excel permite que você leia este comentário encadeado, no entanto, as edições serão removidas se o arquivo for aberto em uma versão mais recente do Excel. Saiba mais: https://go.microsoft.com/fwlink/?linkid=870924
Comentário:
    Linha viva substituiu a CH danificada, confirmar com o Zenilson se esta em operação.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tc={1B0F795D-3058-4FFA-9ECB-DE8BDEA03539}</author>
    <author>tc={FA3BD34B-2A07-467F-8B11-22E1D1AB5C33}</author>
    <author>tc={09E9CC8C-1E39-4639-B284-6A088BD46121}</author>
    <author>tc={15DCDDF5-AEE2-4B96-AD0E-11D15B25A282}</author>
    <author>tc={6D07E0F6-4DF0-4ADE-9949-3A718B5AFBAE}</author>
    <author>tc={D5B2FBD9-7E55-4394-8714-701EBCC35144}</author>
    <author>tc={B1C788A8-7A79-44EE-A54B-CBC5AFDBD9F4}</author>
    <author>tc={92D052E1-98AB-486D-9A79-11DA2A2DACF3}</author>
    <author>tc={E8206474-6697-48E9-A31E-69138945C5CA}</author>
    <author>tc={0041C59C-F9F9-4C83-993D-D122C9399368}</author>
    <author>tc={72850F46-6F99-4AE9-AA9C-0D35C56ACC60}</author>
    <author>tc={390B3EE9-C964-4BBF-8A8C-EF83FE61AE2A}</author>
    <author>tc={824C3832-6F9A-4886-A556-58C556E545B8}</author>
    <author>tc={9EFFF02E-E71A-4EAA-B7B0-BDEC52ED4DEF}</author>
    <author>tc={08741313-3F60-4F2B-856E-7E8FFB04A879}</author>
    <author>tc={A5CAD942-B372-4B9A-8A2D-F37251F74BF3}</author>
    <author>tc={272641DD-DFB7-4672-8214-D86F06479939}</author>
    <author>tc={6F55BA77-480E-40E4-B08D-D74D81B7284E}</author>
    <author>tc={D0D64B82-4998-4C28-9AD4-CD7B13F39588}</author>
    <author>tc={60FB343E-7068-4516-969E-F4791E8E04F1}</author>
    <author>tc={715334F1-1F6D-435D-BF76-109CE1206DB1}</author>
    <author>tc={C907F8D6-B9B1-4147-8FED-064820BD0B3A}</author>
    <author>tc={E94CBFE0-6B9E-4BC2-A75F-87CF5CC98DEC}</author>
  </authors>
  <commentList>
    <comment ref="F3" authorId="0" shapeId="0" xr:uid="{1B0F795D-3058-4FFA-9ECB-DE8BDEA03539}">
      <text>
        <t>[Comentário encadeado]
Sua versão do Excel permite que você leia este comentário encadeado, no entanto, as edições serão removidas se o arquivo for aberto em uma versão mais recente do Excel. Saiba mais: https://go.microsoft.com/fwlink/?linkid=870924
Comentário:
    ETO-PROT</t>
      </text>
    </comment>
    <comment ref="A4" authorId="1" shapeId="0" xr:uid="{FA3BD34B-2A07-467F-8B11-22E1D1AB5C33}">
      <text>
        <t>[Comentário encadeado]
Sua versão do Excel permite que você leia este comentário encadeado, no entanto, as edições serão removidas se o arquivo for aberto em uma versão mais recente do Excel. Saiba mais: https://go.microsoft.com/fwlink/?linkid=870924
Comentário:
    Equipamento alinhado com o Jean para colocar os cabos compatibilizadores , vamos só instalar o controle e o suporte</t>
      </text>
    </comment>
    <comment ref="F4" authorId="2" shapeId="0" xr:uid="{09E9CC8C-1E39-4639-B284-6A088BD46121}">
      <text>
        <t>[Comentário encadeado]
Sua versão do Excel permite que você leia este comentário encadeado, no entanto, as edições serão removidas se o arquivo for aberto em uma versão mais recente do Excel. Saiba mais: https://go.microsoft.com/fwlink/?linkid=870924
Comentário:
    ETO-TELE 1037/2026</t>
      </text>
    </comment>
    <comment ref="T6" authorId="3" shapeId="0" xr:uid="{15DCDDF5-AEE2-4B96-AD0E-11D15B25A282}">
      <text>
        <t>[Comentário encadeado]
Sua versão do Excel permite que você leia este comentário encadeado, no entanto, as edições serão removidas se o arquivo for aberto em uma versão mais recente do Excel. Saiba mais: https://go.microsoft.com/fwlink/?linkid=870924
Comentário:
    Artech</t>
      </text>
    </comment>
    <comment ref="T7" authorId="4" shapeId="0" xr:uid="{6D07E0F6-4DF0-4ADE-9949-3A718B5AFBAE}">
      <text>
        <t>[Comentário encadeado]
Sua versão do Excel permite que você leia este comentário encadeado, no entanto, as edições serão removidas se o arquivo for aberto em uma versão mais recente do Excel. Saiba mais: https://go.microsoft.com/fwlink/?linkid=870924
Comentário:
    Redirecionar tanque do 7955946007 
Responder:
    7955520116 - Redirecionar para esse</t>
      </text>
    </comment>
    <comment ref="T10" authorId="5" shapeId="0" xr:uid="{D5B2FBD9-7E55-4394-8714-701EBCC35144}">
      <text>
        <t>[Comentário encadeado]
Sua versão do Excel permite que você leia este comentário encadeado, no entanto, as edições serão removidas se o arquivo for aberto em uma versão mais recente do Excel. Saiba mais: https://go.microsoft.com/fwlink/?linkid=870924
Comentário:
    Tanque de Caseara e o Controle do Estoque Sono</t>
      </text>
    </comment>
    <comment ref="R11" authorId="6" shapeId="0" xr:uid="{B1C788A8-7A79-44EE-A54B-CBC5AFDBD9F4}">
      <text>
        <t>[Comentário encadeado]
Sua versão do Excel permite que você leia este comentário encadeado, no entanto, as edições serão removidas se o arquivo for aberto em uma versão mais recente do Excel. Saiba mais: https://go.microsoft.com/fwlink/?linkid=870924
Comentário:
    21/08 Se a DB Machado for pro Sul</t>
      </text>
    </comment>
    <comment ref="R16" authorId="7" shapeId="0" xr:uid="{92D052E1-98AB-486D-9A79-11DA2A2DACF3}">
      <text>
        <t>[Comentário encadeado]
Sua versão do Excel permite que você leia este comentário encadeado, no entanto, as edições serão removidas se o arquivo for aberto em uma versão mais recente do Excel. Saiba mais: https://go.microsoft.com/fwlink/?linkid=870924
Comentário:
    22/08 Se a DB Machado for pro Sul</t>
      </text>
    </comment>
    <comment ref="A26" authorId="8" shapeId="0" xr:uid="{E8206474-6697-48E9-A31E-69138945C5C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Foi redirecionado para priorizar o RL 7933726256 </t>
      </text>
    </comment>
    <comment ref="A34" authorId="9" shapeId="0" xr:uid="{0041C59C-F9F9-4C83-993D-D122C9399368}">
      <text>
        <t>[Comentário encadeado]
Sua versão do Excel permite que você leia este comentário encadeado, no entanto, as edições serão removidas se o arquivo for aberto em uma versão mais recente do Excel. Saiba mais: https://go.microsoft.com/fwlink/?linkid=870924
Comentário:
    Equipamento alinhado com o Jean para colocar os cabos compatibilizadores</t>
      </text>
    </comment>
    <comment ref="A39" authorId="10" shapeId="0" xr:uid="{72850F46-6F99-4AE9-AA9C-0D35C56ACC60}">
      <text>
        <t>[Comentário encadeado]
Sua versão do Excel permite que você leia este comentário encadeado, no entanto, as edições serão removidas se o arquivo for aberto em uma versão mais recente do Excel. Saiba mais: https://go.microsoft.com/fwlink/?linkid=870924
Comentário:
    Joelson vai mandar uma equipe de campo ver</t>
      </text>
    </comment>
    <comment ref="G39" authorId="11" shapeId="0" xr:uid="{390B3EE9-C964-4BBF-8A8C-EF83FE61AE2A}">
      <text>
        <t>[Comentário encadeado]
Sua versão do Excel permite que você leia este comentário encadeado, no entanto, as edições serão removidas se o arquivo for aberto em uma versão mais recente do Excel. Saiba mais: https://go.microsoft.com/fwlink/?linkid=870924
Comentário:
    Conversar Com o Sandro Para Podermos mandar o e-mail para o Juridico</t>
      </text>
    </comment>
    <comment ref="G44" authorId="12" shapeId="0" xr:uid="{824C3832-6F9A-4886-A556-58C556E545B8}">
      <text>
        <t>[Comentário encadeado]
Sua versão do Excel permite que você leia este comentário encadeado, no entanto, as edições serão removidas se o arquivo for aberto em uma versão mais recente do Excel. Saiba mais: https://go.microsoft.com/fwlink/?linkid=870924
Comentário:
    Ocorreu simultaneo era caso de furto</t>
      </text>
    </comment>
    <comment ref="A56" authorId="13" shapeId="0" xr:uid="{9EFFF02E-E71A-4EAA-B7B0-BDEC52ED4DEF}">
      <text>
        <t>[Comentário encadeado]
Sua versão do Excel permite que você leia este comentário encadeado, no entanto, as edições serão removidas se o arquivo for aberto em uma versão mais recente do Excel. Saiba mais: https://go.microsoft.com/fwlink/?linkid=870924
Comentário:
    Nota baixada erroneamente pelo DMSL, aguardando retorno da Lorrane.</t>
      </text>
    </comment>
    <comment ref="A67" authorId="14" shapeId="0" xr:uid="{08741313-3F60-4F2B-856E-7E8FFB04A879}">
      <text>
        <t>[Comentário encadeado]
Sua versão do Excel permite que você leia este comentário encadeado, no entanto, as edições serão removidas se o arquivo for aberto em uma versão mais recente do Excel. Saiba mais: https://go.microsoft.com/fwlink/?linkid=870924
Comentário:
    Verificar com a PROT sobre os ajustes, equipamento já em operação.</t>
      </text>
    </comment>
    <comment ref="A71" authorId="15" shapeId="0" xr:uid="{A5CAD942-B372-4B9A-8A2D-F37251F74BF3}">
      <text>
        <t>[Comentário encadeado]
Sua versão do Excel permite que você leia este comentário encadeado, no entanto, as edições serão removidas se o arquivo for aberto em uma versão mais recente do Excel. Saiba mais: https://go.microsoft.com/fwlink/?linkid=870924
Comentário:
    Equipamento em operação, necessário confirmar com o COCM Palmas</t>
      </text>
    </comment>
    <comment ref="A74" authorId="16" shapeId="0" xr:uid="{272641DD-DFB7-4672-8214-D86F06479939}">
      <text>
        <t>[Comentário encadeado]
Sua versão do Excel permite que você leia este comentário encadeado, no entanto, as edições serão removidas se o arquivo for aberto em uma versão mais recente do Excel. Saiba mais: https://go.microsoft.com/fwlink/?linkid=870924
Comentário:
    Linha viva substituiu a CH danificada, confirmar com o Zenilson se esta em operação.</t>
      </text>
    </comment>
    <comment ref="A79" authorId="17" shapeId="0" xr:uid="{6F55BA77-480E-40E4-B08D-D74D81B7284E}">
      <text>
        <t>[Comentário encadeado]
Sua versão do Excel permite que você leia este comentário encadeado, no entanto, as edições serão removidas se o arquivo for aberto em uma versão mais recente do Excel. Saiba mais: https://go.microsoft.com/fwlink/?linkid=870924
Comentário:
    Equipamento fora de operação, baixada erroneamente pelo COCM.</t>
      </text>
    </comment>
    <comment ref="A82" authorId="18" shapeId="0" xr:uid="{D0D64B82-4998-4C28-9AD4-CD7B13F39588}">
      <text>
        <t>[Comentário encadeado]
Sua versão do Excel permite que você leia este comentário encadeado, no entanto, as edições serão removidas se o arquivo for aberto em uma versão mais recente do Excel. Saiba mais: https://go.microsoft.com/fwlink/?linkid=870924
Comentário:
    Confirmar informação de remanejamento inserida na SS.</t>
      </text>
    </comment>
    <comment ref="A93" authorId="19" shapeId="0" xr:uid="{60FB343E-7068-4516-969E-F4791E8E04F1}">
      <text>
        <t>[Comentário encadeado]
Sua versão do Excel permite que você leia este comentário encadeado, no entanto, as edições serão removidas se o arquivo for aberto em uma versão mais recente do Excel. Saiba mais: https://go.microsoft.com/fwlink/?linkid=870924
Comentário:
    Nota baixada erroneamente pelo DMSL, aguardando retorno da Lorrane.</t>
      </text>
    </comment>
    <comment ref="A97" authorId="20" shapeId="0" xr:uid="{715334F1-1F6D-435D-BF76-109CE1206DB1}">
      <text>
        <t>[Comentário encadeado]
Sua versão do Excel permite que você leia este comentário encadeado, no entanto, as edições serão removidas se o arquivo for aberto em uma versão mais recente do Excel. Saiba mais: https://go.microsoft.com/fwlink/?linkid=870924
Comentário:
    Equipamento não abre a tela de controle de sinais, Zenilson verificar.</t>
      </text>
    </comment>
    <comment ref="A102" authorId="21" shapeId="0" xr:uid="{C907F8D6-B9B1-4147-8FED-064820BD0B3A}">
      <text>
        <t>[Comentário encadeado]
Sua versão do Excel permite que você leia este comentário encadeado, no entanto, as edições serão removidas se o arquivo for aberto em uma versão mais recente do Excel. Saiba mais: https://go.microsoft.com/fwlink/?linkid=870924
Comentário:
    Equipamento não abre a tela de controle de sinais, Zenilson verificar.</t>
      </text>
    </comment>
    <comment ref="A104" authorId="22" shapeId="0" xr:uid="{E94CBFE0-6B9E-4BC2-A75F-87CF5CC98DEC}">
      <text>
        <t>[Comentário encadeado]
Sua versão do Excel permite que você leia este comentário encadeado, no entanto, as edições serão removidas se o arquivo for aberto em uma versão mais recente do Excel. Saiba mais: https://go.microsoft.com/fwlink/?linkid=870924
Comentário:
    Paramos aqui</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tc={DF772875-8A42-4BAA-AFB3-6FFE8C3AB7EB}</author>
  </authors>
  <commentList>
    <comment ref="B14" authorId="0" shapeId="0" xr:uid="{DF772875-8A42-4BAA-AFB3-6FFE8C3AB7EB}">
      <text>
        <t>[Comentário encadeado]
Sua versão do Excel permite que você leia este comentário encadeado, no entanto, as edições serão removidas se o arquivo for aberto em uma versão mais recente do Excel. Saiba mais: https://go.microsoft.com/fwlink/?linkid=870924
Comentário:
    02125725
Responder:
    17/07/2026</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119C98-B38C-4879-9A70-4A9FB72408C1}" keepAlive="1" name="Consulta - Concluídas" description="Conexão com a consulta 'Concluídas' na pasta de trabalho." type="5" refreshedVersion="8" background="1" saveData="1">
    <dbPr connection="Provider=Microsoft.Mashup.OleDb.1;Data Source=$Workbook$;Location=Concluídas;Extended Properties=&quot;&quot;" command="SELECT * FROM [Concluídas]"/>
  </connection>
  <connection id="2" xr16:uid="{8CBBA375-42DC-4BE9-AE7B-8E9721924E16}" keepAlive="1" name="Consulta - Localidades" description="Conexão com a consulta 'Localidades' na pasta de trabalho." type="5" refreshedVersion="8" background="1" saveData="1">
    <dbPr connection="Provider=Microsoft.Mashup.OleDb.1;Data Source=$Workbook$;Location=Localidades;Extended Properties=&quot;&quot;" command="SELECT * FROM [Localidades]"/>
  </connection>
  <connection id="3" xr16:uid="{D51265C0-A74B-4CFC-83FE-479C8A514C75}" keepAlive="1" name="Consulta - Pendentes" description="Conexão com a consulta 'Pendentes' na pasta de trabalho." type="5" refreshedVersion="8" background="1" saveData="1">
    <dbPr connection="Provider=Microsoft.Mashup.OleDb.1;Data Source=$Workbook$;Location=Pendentes;Extended Properties=&quot;&quot;" command="SELECT * FROM [Pendentes]"/>
  </connection>
  <connection id="4" xr16:uid="{7061224A-39BD-48A6-8A1C-47547A22151D}" keepAlive="1" name="Consulta - Premissas por Equipamento" description="Conexão com a consulta 'Premissas por Equipamento' na pasta de trabalho." type="5" refreshedVersion="8" background="1" saveData="1">
    <dbPr connection="Provider=Microsoft.Mashup.OleDb.1;Data Source=$Workbook$;Location=&quot;Premissas por Equipamento&quot;;Extended Properties=&quot;&quot;" command="SELECT * FROM [Premissas por Equipamento]"/>
  </connection>
</connections>
</file>

<file path=xl/sharedStrings.xml><?xml version="1.0" encoding="utf-8"?>
<sst xmlns="http://schemas.openxmlformats.org/spreadsheetml/2006/main" count="41475" uniqueCount="5432">
  <si>
    <t>DESTINO_SS</t>
  </si>
  <si>
    <t>(Vários itens)</t>
  </si>
  <si>
    <t>Criticidade</t>
  </si>
  <si>
    <t>Quantidade</t>
  </si>
  <si>
    <t>Total</t>
  </si>
  <si>
    <t>RL</t>
  </si>
  <si>
    <t>RT</t>
  </si>
  <si>
    <t>Qtd</t>
  </si>
  <si>
    <t>Cód</t>
  </si>
  <si>
    <t>Muito Alta</t>
  </si>
  <si>
    <t>58</t>
  </si>
  <si>
    <t>79</t>
  </si>
  <si>
    <t>Total Geral</t>
  </si>
  <si>
    <t>Alta</t>
  </si>
  <si>
    <t>Média</t>
  </si>
  <si>
    <t>Baixa</t>
  </si>
  <si>
    <t>Em definição</t>
  </si>
  <si>
    <t>ANO_SS</t>
  </si>
  <si>
    <t>SS_ORIGINAL</t>
  </si>
  <si>
    <t>COD_RELIGADOR</t>
  </si>
  <si>
    <t>TIPO</t>
  </si>
  <si>
    <t>DTA_ABERTURA</t>
  </si>
  <si>
    <t>COD_LOC</t>
  </si>
  <si>
    <t>LOCALIDADE</t>
  </si>
  <si>
    <t>POLO</t>
  </si>
  <si>
    <t>REGIONAL</t>
  </si>
  <si>
    <t>ALIMENTADOR</t>
  </si>
  <si>
    <t>DESCRICAO</t>
  </si>
  <si>
    <t>Premissa 1</t>
  </si>
  <si>
    <t>Premissa 2</t>
  </si>
  <si>
    <t>Premissa 3</t>
  </si>
  <si>
    <t>Premissa 4</t>
  </si>
  <si>
    <t>Premissa 5</t>
  </si>
  <si>
    <t>Premissa 6</t>
  </si>
  <si>
    <t>Premissa 7</t>
  </si>
  <si>
    <t>Premissa 8</t>
  </si>
  <si>
    <t>Priorização</t>
  </si>
  <si>
    <t>Observação após análise</t>
  </si>
  <si>
    <t>ETO-RD-DP 00479/2026</t>
  </si>
  <si>
    <t>ETO-RD-DP</t>
  </si>
  <si>
    <t>ALMAS</t>
  </si>
  <si>
    <t>DIANOPOLIS</t>
  </si>
  <si>
    <t>SUL</t>
  </si>
  <si>
    <t>LD04002091</t>
  </si>
  <si>
    <t>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</si>
  <si>
    <t>-</t>
  </si>
  <si>
    <t>Atendimento da região da Engegold, Nativa, cidade Natividade e Chapada da Natividade</t>
  </si>
  <si>
    <t>ETO-PROT 00158/2026</t>
  </si>
  <si>
    <t>ETO-PROT</t>
  </si>
  <si>
    <t>SILVANOPOLIS</t>
  </si>
  <si>
    <t>PORTO NACIONAL</t>
  </si>
  <si>
    <t>CENTRO</t>
  </si>
  <si>
    <t>LD02072001</t>
  </si>
  <si>
    <t>24/07/2026 - PARECE COCM: EQUIPAMENTO SUBSTITUIDO NA OBRA 0312600352 OS: ETO-RD-PO 1873/202622/07/2026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</si>
  <si>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Aumento de reclamações no atendimento de Silvanópolis por Porto Nacional no período seco (Outra fonte com defeito também)</t>
  </si>
  <si>
    <t>ETO-COEP 00123/2026</t>
  </si>
  <si>
    <t>ETO-COEP</t>
  </si>
  <si>
    <t>ARAGUATINS</t>
  </si>
  <si>
    <t>AUGUSTINOPOLIS</t>
  </si>
  <si>
    <t>NORTE</t>
  </si>
  <si>
    <t>LD02109039</t>
  </si>
  <si>
    <t>PARECER COEP: EQUIPAMENTO SELECIONADO PARA COMPRATroca do sistema de comunicação do equipamentoDMSL 28/07/2025: Equipamento com tanque, modulo e rele com defeito, solicitar troca do equipamento ao DCMD.Fotos vão ser enviadas por e-mail</t>
  </si>
  <si>
    <t>Transferência entre 424R Araguatins e 434R Augustinópolis</t>
  </si>
  <si>
    <t>ETO-RD-DP 00409/2026</t>
  </si>
  <si>
    <t>AURORA DO TOCANTINS</t>
  </si>
  <si>
    <t>AL01015049</t>
  </si>
  <si>
    <t>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t>
  </si>
  <si>
    <t>Proteção da baixa do TF de força da SE Aurora</t>
  </si>
  <si>
    <t>ETO-COEP 00124/2026</t>
  </si>
  <si>
    <t>ARAGUAINA</t>
  </si>
  <si>
    <t>AL04010004</t>
  </si>
  <si>
    <t>PARECER COEP: Verificar Disponibilidade de equipamento no Scada e enviar modelo e tensão para a compra.RELIGADOR COM RELÉ DANIFICADO, REALIZAR SUBSTITUIÇÃO</t>
  </si>
  <si>
    <t>Transferência de cargas na RDU de Araguaína (2797 UCs)</t>
  </si>
  <si>
    <t>ETO-COEP 00040/2026</t>
  </si>
  <si>
    <t>TAQUARALTO</t>
  </si>
  <si>
    <t>AL05099059</t>
  </si>
  <si>
    <t>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t>
  </si>
  <si>
    <t>Transferência dos bairros Morada do Sol, Vale do Sol, Morada do Sol II, Nova Esperança, Sõa João, Araras I e II e Jardim Laila em Taquaralto (6033 UCs)</t>
  </si>
  <si>
    <t>ETO-COEP 00184/2025</t>
  </si>
  <si>
    <t>LD05010004</t>
  </si>
  <si>
    <t>20/07 PARECER COEP: EQUIPAMENTO SELECIONADO PARA COMPRAApós testes no RLG 7903112004 foi constatado defeito no mesmo e como se trata de um modelo COOPER FORM6 que está obsoleto e não possuímos peças sobressalentes, faz-se necessária substituição completa por modelo NOJA RC10.</t>
  </si>
  <si>
    <t>Transferência de Babaçulândia, 4 RLs sendo 2 operando</t>
  </si>
  <si>
    <t>ETO-COEP 00152/2026</t>
  </si>
  <si>
    <t>AL05010004</t>
  </si>
  <si>
    <t>PARECER COEP 28/07/2026 : EQUIPAMENTO SELECIONADO PARA COMPRAEquipamento baypassado PARECER DMSL em 12/03: Realizar substituição do equipamento todo e parte ativa.</t>
  </si>
  <si>
    <t>Transferência dos bairros JD Santa Helena, Jd Filadelfiae Setor Caraja em Araguaína (2053 UCs), AL 254R de AR I e AL 214R de AR III</t>
  </si>
  <si>
    <t>ETO-COEP 00131/2026</t>
  </si>
  <si>
    <t>RIO SONO</t>
  </si>
  <si>
    <t>LD02424015</t>
  </si>
  <si>
    <t>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t>
  </si>
  <si>
    <t>Transferência da RDU de Lizarda (1650 UCs) para fonte alternativa</t>
  </si>
  <si>
    <t>ETO-TELE 01040/2026</t>
  </si>
  <si>
    <t>ETO-TELE</t>
  </si>
  <si>
    <t>ARAPOEMA</t>
  </si>
  <si>
    <t>COLINAS DO TOCANTINS</t>
  </si>
  <si>
    <t>LD02010153</t>
  </si>
  <si>
    <t>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.Parecer DCMD: foi substituido célula 30/07/2026. o mesmo está liberado para ser colocado em operação</t>
  </si>
  <si>
    <t>Aumento de reclamações no atendimento de Arapoema no período seco</t>
  </si>
  <si>
    <t>ETO-COEP 00156/2026</t>
  </si>
  <si>
    <t>BARROLANDIA</t>
  </si>
  <si>
    <t>MIRACEMA DO TOCANTINS</t>
  </si>
  <si>
    <t>AL02017017</t>
  </si>
  <si>
    <t>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t>
  </si>
  <si>
    <t>Atendimento do Assentamento Irmã Adelaide</t>
  </si>
  <si>
    <t>ETO-COEP 00059/2026</t>
  </si>
  <si>
    <t>GOIANORTE</t>
  </si>
  <si>
    <t>GUARAI</t>
  </si>
  <si>
    <t>LD02022033</t>
  </si>
  <si>
    <t>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t>
  </si>
  <si>
    <t>Transferência de Goianorte, fonte principal operando</t>
  </si>
  <si>
    <t>ETO-COEP 00168/2026</t>
  </si>
  <si>
    <t>FIGUEIROPOLIS</t>
  </si>
  <si>
    <t>FORMOSO DO ARAGUAIA</t>
  </si>
  <si>
    <t>AL02033047</t>
  </si>
  <si>
    <t>03/08/2026 PARECER DMSL: FOI CONFIRMADO PELO VONES DO DCMD QUE O EQUIPAMENTO AINDA NÃO FOI SUBSTITUÍDO. FAVOR, APÓS SUBSTITUIÇÃO, REPASSAR A NOTA PARA A PROTEÇÃO PARA REVISAR OS AJUSTES, POIS TRATA-SE DE ALTERAÇÃO DO MODELO DO EQUIPAMENTO.13/07/2026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t>
  </si>
  <si>
    <t>Seccionamento do Rural e energização do 224R</t>
  </si>
  <si>
    <t>ETO-PROT 00154/2026</t>
  </si>
  <si>
    <t>PARAISO DO TOCANTINS</t>
  </si>
  <si>
    <t>AL01062013</t>
  </si>
  <si>
    <t>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t>
  </si>
  <si>
    <t>Transferência do 214R de Paraíso I, Centro Comercial de Paraíso</t>
  </si>
  <si>
    <t>ETO-PROT 00153/2026</t>
  </si>
  <si>
    <t>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t>
  </si>
  <si>
    <t>Transferência da Bunge, Saneatins e secadora</t>
  </si>
  <si>
    <t>ETO-TELE 01107/2026</t>
  </si>
  <si>
    <t>BABACULANDIA</t>
  </si>
  <si>
    <t>13/08/2026 PARECER COEP: EQUIPAMENTO FOI TROCADO A PEÇA , CONFIRMAMOS COM O LEONARDO DE ARAGUAÍNA , LAUDO EM ANEXO , FAVOR REALIZAR COMISSIONAMENTOPARECER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t>
  </si>
  <si>
    <t>Transferência de Babaçulândia, fonte principal operando</t>
  </si>
  <si>
    <t>ETO-COEP 00221/2025</t>
  </si>
  <si>
    <t>LD03028074</t>
  </si>
  <si>
    <t>PARECER COEP: EQUIPAMENTO SELECIONADO PARA COMPRASubstituir as 3 células- Melhoria na malha de aterramento - Melhoria no circuito de aterramento qua aterra as células.- Substituir conectores paralelos</t>
  </si>
  <si>
    <t>Atendimento da COELBA e GA Alessandro Maurício (1600 kVA)</t>
  </si>
  <si>
    <t>ETO-SE-PCM 00092/2026</t>
  </si>
  <si>
    <t>ETO-SE-PCM</t>
  </si>
  <si>
    <t>MATEIROS</t>
  </si>
  <si>
    <t>PONTE ALTA TOCANTINS</t>
  </si>
  <si>
    <t>LD03046026</t>
  </si>
  <si>
    <t>17/08/2026 PARECER DA PROTEÇÃO:NOTA REPASSADA PARA DMSL COMISSIONARENG° IRLLEY CASTELO BRANCO07/07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t>
  </si>
  <si>
    <t>Transferência da cidade de Mateiros (733 UCs) para o gerador</t>
  </si>
  <si>
    <t>ETO-COEP 00024/2026</t>
  </si>
  <si>
    <t>30/06 PARECER COEP: EQUIPAMENTO SELECIONADO PARA COMPRAREALIZAR SUBSTITUIÇÃO DO TANQUE, O MESMO ESTÁ COM DEFEITO.</t>
  </si>
  <si>
    <t>Atendimento da COELBA</t>
  </si>
  <si>
    <t>ETO-SE-PA 00107/2026</t>
  </si>
  <si>
    <t>ETO-SE-PA</t>
  </si>
  <si>
    <t>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t>
  </si>
  <si>
    <t>Religador responsável pela proteção da barra da SE Ponte Alta (2381 UCs)</t>
  </si>
  <si>
    <t>ETO-COEP 00151/2026</t>
  </si>
  <si>
    <t>BANDEIRANTES DO TOCANTINS</t>
  </si>
  <si>
    <t>LD01054060</t>
  </si>
  <si>
    <t>PARECER COEP 27/07/2026 : EM PROCESSO DE AQUISIÇÃOPARECER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t>
  </si>
  <si>
    <t>Atendimento da RDU Bandeirantes e clientes rurais</t>
  </si>
  <si>
    <t>ETO-COEP 00061/2026</t>
  </si>
  <si>
    <t>DIVINOPOLIS</t>
  </si>
  <si>
    <t>LD04062013</t>
  </si>
  <si>
    <t>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t>
  </si>
  <si>
    <t>Localizado na fonte principal de atendimento de Divinópolis e Abreulândia</t>
  </si>
  <si>
    <t>ETO-COEP 00133/2026</t>
  </si>
  <si>
    <t>14/07/2026 PARECER COEP : SUBSTIUIR CONTROLE COMPLETOPARECER DMSL: Equipamento com a placa de alimentação ca em curto, será necessário substituir a placa do equipamento. (Antiga nota era pra ter sido repassada porém foi baixada indevidamente pela equipe)</t>
  </si>
  <si>
    <t>Transferência de cargas do 444R da SE Paraíso I</t>
  </si>
  <si>
    <t>ETO-COEP 00141/2026</t>
  </si>
  <si>
    <t>LD01072001</t>
  </si>
  <si>
    <t>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t>
  </si>
  <si>
    <t>Transferência do Distrito Ind de Porto Nacional e GAs</t>
  </si>
  <si>
    <t>ETO-PROT 00159/2026</t>
  </si>
  <si>
    <t>PIUM</t>
  </si>
  <si>
    <t>LD02025012</t>
  </si>
  <si>
    <t>24/07 PARECER COCM: EQUIPAMENTO FOI SUBSTITUIDO OBRA 021260042510/07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t>
  </si>
  <si>
    <t>Fonte principal de Pium, RL de transferência operando</t>
  </si>
  <si>
    <t>ETO-SE-PCM 00091/2026</t>
  </si>
  <si>
    <t>CENTENARIO</t>
  </si>
  <si>
    <t>LD01065015</t>
  </si>
  <si>
    <t>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 - 17/08/2026:FAVOR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t>
  </si>
  <si>
    <t>Atendimento das RDUs de Centenário, Recursolândia e clientes rurais</t>
  </si>
  <si>
    <t>ETO-COEP 00169/2026</t>
  </si>
  <si>
    <t>PARECER DMSL 06/08: Substituir célula da Fase B do banco de Regulador de tensão e realizar melhorias na malha de aterramento do ReguladorBoa noite,Segue SS para as devidas tratativas, verificar flutuação de tensão do regulador 5800440256 pois a tensão está oscilando de 16kv a 23kv    favor verificar esta anomalia pois cliente BRK está abrindo reclamação todas as noites.</t>
  </si>
  <si>
    <t>Aumento de reclamações no atendimento de São Felix e Mateiros no período seco</t>
  </si>
  <si>
    <t>ETO-TELE 00896/2026</t>
  </si>
  <si>
    <t>ESPERANTINA</t>
  </si>
  <si>
    <t>PARECER DCMD:Serviço realizado , substituição da parte ativa  do RELIGADOR 7943790134 - Favor realizar comissionamento</t>
  </si>
  <si>
    <t>Transferência de Esperantina, fonte principal operando</t>
  </si>
  <si>
    <t>ETO-COEP 00045/2026</t>
  </si>
  <si>
    <t>LD03036052</t>
  </si>
  <si>
    <t>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t>
  </si>
  <si>
    <t>Equipamento localizado Fonte principal de atendimento a SE Cobrape</t>
  </si>
  <si>
    <t>ETO-COEP 00087/2026</t>
  </si>
  <si>
    <t>SANTA RITA DO TOCANTINS</t>
  </si>
  <si>
    <t>LD03040003</t>
  </si>
  <si>
    <t>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t>
  </si>
  <si>
    <t>Transferência de Santa Rita, fonte principal operando</t>
  </si>
  <si>
    <t>ETO-COEP 00048/2026</t>
  </si>
  <si>
    <t>GOIATINS</t>
  </si>
  <si>
    <t>LD03105019</t>
  </si>
  <si>
    <t>27/07 PARECER COEP: EM PROCESSO DE AQUISIÇÃOPARECER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t>
  </si>
  <si>
    <t>Transferência de Goiatins e GAs (2492 UCs)</t>
  </si>
  <si>
    <t>ETO-COEP 00063/2026</t>
  </si>
  <si>
    <t>CASEARA</t>
  </si>
  <si>
    <t>LD01434149</t>
  </si>
  <si>
    <t>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t>
  </si>
  <si>
    <t>Atendimento de cargas rurais entre Caseara e Araguacema (221 UCs)</t>
  </si>
  <si>
    <t>ETO-COEP 00149/2026</t>
  </si>
  <si>
    <t>AL01102271</t>
  </si>
  <si>
    <t>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t>
  </si>
  <si>
    <t>Em caso de perca da fonte principal é necessário esse RT para alimentação da Frísia</t>
  </si>
  <si>
    <t>ETO-SE-PCM 00090/2026</t>
  </si>
  <si>
    <t>PALMEIRANTE</t>
  </si>
  <si>
    <t>LD02105019</t>
  </si>
  <si>
    <t>PARECER DA PROTEÇÃO - 17/08/2026:SEGUE NOTA PARA COMISSIONAMENTO JUNTO COM TIME SCADA, EQUIPAMENTO JA NO DESENHO ADMS.ENG° IRLLEY CASTELO BRANCO07/07/2026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t>
  </si>
  <si>
    <t>Fonte principal de Palmeirante, RL de transferência operando</t>
  </si>
  <si>
    <t>ETO-COEP 00114/2026</t>
  </si>
  <si>
    <t>DUERE</t>
  </si>
  <si>
    <t>GURUPI</t>
  </si>
  <si>
    <t>AL01031076</t>
  </si>
  <si>
    <t>27/07 PARECER COEP: TANQUE DANIFICADO DA 13,5Aberto nota para substituir tanque danificado e chave de entrada fase B danificadaPARECER DMSL: Foi confirmado pela equipe DMSL o defeito do tanque, favor seguir com a substituição e correção da chave de entrada fase B danificada.</t>
  </si>
  <si>
    <t>Atendimento do Ramal do Bacuri (168 UCs)</t>
  </si>
  <si>
    <t>ETO-PROT 00165/2026</t>
  </si>
  <si>
    <t>CHAPADA DA NATIVIDADE</t>
  </si>
  <si>
    <t>COCMS: 12/08/2026PART ATIVA DO RELIGADOR FOI SUBSTITUIDA.GENTILEZA COMISSIONAR EQUIPAMENTO. SUBSTITUIR PARTE ATIVA DO RELIGADOR 7908708116. LV. ABRIR JUNTE DE ENTRADA E SAIDA DO RELIGADOR PARA POSSIBILITAR SUBSTITUIÇÃO DO MESMO.</t>
  </si>
  <si>
    <t>Atendimento do PA Xobo (194 UCs)</t>
  </si>
  <si>
    <t>ETO-COEP 00078/2026</t>
  </si>
  <si>
    <t>LD03062013</t>
  </si>
  <si>
    <t>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t>
  </si>
  <si>
    <t>Transferência da RDU de Chapada de Areia (937 UCs) para fonte alternativa</t>
  </si>
  <si>
    <t>ETO-PROT 00152/2026</t>
  </si>
  <si>
    <t>PARANA</t>
  </si>
  <si>
    <t>PEIXE</t>
  </si>
  <si>
    <t>LD01010021</t>
  </si>
  <si>
    <t>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t>
  </si>
  <si>
    <t>Primeiro RL do 414R de Paranã, RL a jusante na LD também está bay-passado (630 UCs)</t>
  </si>
  <si>
    <t>ETO-PROT 00151/2026</t>
  </si>
  <si>
    <t>AL03062013</t>
  </si>
  <si>
    <t>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t>
  </si>
  <si>
    <t>Atendimento da RDU Luzimangues Industrial por fonte alternativa</t>
  </si>
  <si>
    <t>ETO-COEP 00154/2026</t>
  </si>
  <si>
    <t>LAGOA DO TOCANTINS</t>
  </si>
  <si>
    <t>LD02059122</t>
  </si>
  <si>
    <t>13/07/2026 PARECER COEP: NÃO FAZ SENTIDO FAZER A TROCA DE EQUIPAMENTO COMPLETO APENAS POR CAUSA DA FASE B , QUE PARECE SER UM ERRO DE CALIBRAÇÃO.PARECER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equipe)PARECER DMSL(22/07/26): O religador está fora de operação desde 11/2025. Necessitando substituição completa em função do defeito de leitura de corrente da fase B. Preservar apenas o radio e antena.</t>
  </si>
  <si>
    <t>Atendimento do Ramal do Rio Preto (197 UCs)</t>
  </si>
  <si>
    <t>ETO-RD-PS 00323/2025</t>
  </si>
  <si>
    <t>ETO-RD-PS</t>
  </si>
  <si>
    <t>LD05050008</t>
  </si>
  <si>
    <t>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t>
  </si>
  <si>
    <t>Aumento de reclamações no atendimento de Miracema no período seco</t>
  </si>
  <si>
    <t>ETO-PROT 00157/2026</t>
  </si>
  <si>
    <t>24/07/2026 - PARECE COCM: EQUIPAMENTO SUBSTIUIDO NA OS:ETO-RD-PO 2020/202614/07/2026 -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t>
  </si>
  <si>
    <t>Atenidmento da COELBA (Alto potencial de compensação)</t>
  </si>
  <si>
    <t>ETO-COEP 00134/2026</t>
  </si>
  <si>
    <t>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t>
  </si>
  <si>
    <t>Alimentação do serviço auxiliar da Investco e clientes rurais (260 UCs)</t>
  </si>
  <si>
    <t>ETO-TELE 00986/2026</t>
  </si>
  <si>
    <t>LD04040003</t>
  </si>
  <si>
    <t>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t>
  </si>
  <si>
    <t>Atendimento da RDU Sucupira e clientes rurais</t>
  </si>
  <si>
    <t>ETO-TELE 01102/2026</t>
  </si>
  <si>
    <t>NOVA OLINDA</t>
  </si>
  <si>
    <t>AL01054060</t>
  </si>
  <si>
    <t>Segue nota para verificar falha em comandos via supervisório e constantes travamento no regulador de tensão 5844630060 - rural- Nova Olinda .Foi executado comandos no relé via supervisório, porém sem sucesso , em campo o equipamento está com a fase B travada no -16 .Obs: equipamento ficou fora de operação bay passado , favor agilizar atendimento !</t>
  </si>
  <si>
    <t>Atendimento dos ramais PA Remansão e Água Branca</t>
  </si>
  <si>
    <t>ETO-COEP 00120/2025</t>
  </si>
  <si>
    <t>PALMEIRAS DO TOCANTINS</t>
  </si>
  <si>
    <t>TOCANTINOPOLIS</t>
  </si>
  <si>
    <t>LD01084002</t>
  </si>
  <si>
    <t>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t>
  </si>
  <si>
    <t>Transferência de Palmeiras, 3 fontes operando</t>
  </si>
  <si>
    <t>ETO-COEP 00148/2026</t>
  </si>
  <si>
    <t>PALMAS</t>
  </si>
  <si>
    <t>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t>
  </si>
  <si>
    <t>Transferência entre 414R e 424R SE Palmas II</t>
  </si>
  <si>
    <t>ETO-COEP 00029/2026</t>
  </si>
  <si>
    <t>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t>
  </si>
  <si>
    <t>Opção de isolação de São Félix e Mateiros para alimentação por gerador</t>
  </si>
  <si>
    <t>ETO-PROT 00156/2026</t>
  </si>
  <si>
    <t>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t>
  </si>
  <si>
    <t>Transferência dos Grupos A -  VLI e Frisia</t>
  </si>
  <si>
    <t>ETO-COEP 00150/2026</t>
  </si>
  <si>
    <t>LD01100001</t>
  </si>
  <si>
    <t>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t>
  </si>
  <si>
    <t>Transferência dos Grupos A -  Ramal do Rossato (TF 225kVA e TF 750kVA)</t>
  </si>
  <si>
    <t>ETO-PROT 00164/2026</t>
  </si>
  <si>
    <t>PUGMIL</t>
  </si>
  <si>
    <t>LD01062013</t>
  </si>
  <si>
    <t>PARECER COCM: FOI SUBSTITUÍDO OS EQUIPAMENTO FEITO A MELHORIA DO ATERRAMENTO ATENDIDO PELA OBRA N-0212600609PARECER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t>
  </si>
  <si>
    <t>Aumento de reclamações no atendimento de Pugmil no período seco</t>
  </si>
  <si>
    <t>ETO-COEP 00173/2025</t>
  </si>
  <si>
    <t>SANTA FE DO ARAGUAIA</t>
  </si>
  <si>
    <t>LD03010004</t>
  </si>
  <si>
    <t>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t>
  </si>
  <si>
    <t>Atendimento 3 povoados, na perca 4 ficam fora (900 UCs)</t>
  </si>
  <si>
    <t>ETO-COEP 00058/2026</t>
  </si>
  <si>
    <t>PEDRO AFONSO</t>
  </si>
  <si>
    <t>LD01414015</t>
  </si>
  <si>
    <t>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t>
  </si>
  <si>
    <t>Transferência do Ramal Agrovila (73 UCs)</t>
  </si>
  <si>
    <t>ETO-COEP 00157/2026</t>
  </si>
  <si>
    <t>SAO SALVADOR DO TOCANTINS</t>
  </si>
  <si>
    <t>LD02010021</t>
  </si>
  <si>
    <t>segue SS para REALIZAR SUBSTITUIÇÃO DO TANQUE do RL 7927713200 danificado , com equipe de manutencao tensao 34,5kv mesmo atende Povoado retiro na rural de sao salvador  .</t>
  </si>
  <si>
    <t>Transferência do Ramal do Retiro (246UCs), fonte principal by-passado</t>
  </si>
  <si>
    <t>ETO-COEP 00125/2026</t>
  </si>
  <si>
    <t>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t>
  </si>
  <si>
    <t>Tranferência do Ramal do Chaparral (251 UCs)</t>
  </si>
  <si>
    <t>ETO-COEP 00129/2026</t>
  </si>
  <si>
    <t>SAO VALERIO DA NATIVIDADE</t>
  </si>
  <si>
    <t>LD01066094</t>
  </si>
  <si>
    <t>PARECER COEP: REAVALIAR DISPONIBILIDADE DO EQUIPAMENTO NO SCADA ASSIM COMO , FORNECER MODELO DO EQUIPAMENTO E FAIXA DE TENSÃO PARA COMPRA / AQUISIÇÃOTanque com defeito, realizar substituição do tanque.</t>
  </si>
  <si>
    <t>Fonte principal do Ramal Serranópolis (181 UCs), RL de transferência operando</t>
  </si>
  <si>
    <t>ETO-COEP 00038/2026</t>
  </si>
  <si>
    <t>SANTA ROSA DO TOCANTINS</t>
  </si>
  <si>
    <t>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</si>
  <si>
    <t>Atendimento de zona rural em Santa Rosa (160 UCs)</t>
  </si>
  <si>
    <t>ETO-COEP 00158/2025</t>
  </si>
  <si>
    <t>PINDORAMA DO TOCANTINS</t>
  </si>
  <si>
    <t>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t>
  </si>
  <si>
    <t>Transferência da PCH Bagagem</t>
  </si>
  <si>
    <t>ETO-COEP 00132/2026</t>
  </si>
  <si>
    <t>LD01025012</t>
  </si>
  <si>
    <t>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t>
  </si>
  <si>
    <t>Atendimento de Clientes rurais (483 UCs)</t>
  </si>
  <si>
    <t>ETO-PROT 00155/2026</t>
  </si>
  <si>
    <t>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t>
  </si>
  <si>
    <t>Atendimento do Ramal do Marasca e GAs (108 UCs)</t>
  </si>
  <si>
    <t>ETO-COEP 00143/2025</t>
  </si>
  <si>
    <t>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t>
  </si>
  <si>
    <t>Alimentação de Monte do Carmo por Porto Nacional</t>
  </si>
  <si>
    <t>ETO-COEP 00128/2026</t>
  </si>
  <si>
    <t>LD02066094</t>
  </si>
  <si>
    <t>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</si>
  <si>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Fonte principal do Ramal do Retiro (246UCs), RL transferência by-passado</t>
  </si>
  <si>
    <t>ETO-COEP 00158/2026</t>
  </si>
  <si>
    <t>LD05002091</t>
  </si>
  <si>
    <t>27/07 PARECER COEP: PEÇAS REDIRECIONADAS 5856070091 PRIORIDADE MAIOR20/07 PARECER COEP: EQUIPAMENTO ENTREGUE , FAVOR EDITAR A SS COM A DATA PREVISTA DE SUBSTITUIÇÃO NO PARECER DOS COCM´S Realizar substituição da FASE B.Célula da fase B estava com a tampa do contador de tape aberta, pegou chuva e molhou os contatos danificando a peça toda.</t>
  </si>
  <si>
    <t>Atendimento da LD Vale Rio Doce (Nova Aura Mineradora)</t>
  </si>
  <si>
    <t>ETO-COEP 00095/2026</t>
  </si>
  <si>
    <t>24/07 PARECER COEP:EQUIPAMENTO EM LOGISTICA DE ENTREGA Favor levar outro regulador de tensão, pois o mesmo foi furtado em campo.</t>
  </si>
  <si>
    <t>Atendimento de clientes rurais na LD Peixe Angical - Peixe</t>
  </si>
  <si>
    <t>ETO-COEP 00159/2026</t>
  </si>
  <si>
    <t>LD01047073</t>
  </si>
  <si>
    <t>27/07/2026 PARECER COEP: EM PROCESSO DE AQUISIÇÃO , COMPLETOPARECER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t>
  </si>
  <si>
    <t>Atendimento de Clientes rurais (48 UCs)</t>
  </si>
  <si>
    <t>ETO-COEP 00051/2026</t>
  </si>
  <si>
    <t>MONTE DO CARMO</t>
  </si>
  <si>
    <t>LD01051035</t>
  </si>
  <si>
    <t>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t>
  </si>
  <si>
    <t>Atenidmento do PA Principado (200 UCs)</t>
  </si>
  <si>
    <t>ETO-COEP 00144/2026</t>
  </si>
  <si>
    <t>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t>
  </si>
  <si>
    <t>Transferência do Irmã Adelaide (470 UCs)</t>
  </si>
  <si>
    <t>ETO-COEP 00160/2026</t>
  </si>
  <si>
    <t>27/07/2026 PARECER COEP: EQUIPAMENTO SELECIONADO PARA COMPRA, PORÉM PODEMOS DESATIVAR DE ACORDO COM A ASPODCMD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t>
  </si>
  <si>
    <t>Equipamento novo furtado antes de ser colocado em operação</t>
  </si>
  <si>
    <t>ETO-COEP 00164/2026</t>
  </si>
  <si>
    <t>SAO BENTO DO TOCANTINS</t>
  </si>
  <si>
    <t>LD03005098</t>
  </si>
  <si>
    <t>PARECER DMSL 31/07/2026: RT 5858783119 SE ECONTRA NA MESMA SITUAÇÃO INFORMADA NO DIA 16/06/2026. FAVOR, REGULARIZAR A SITUAÇÃO DO EQUIPAMENTO, SUBSTITUINDO OS 3 TANQUES E  INSTALAR NOVOS PARA-RAIOS.27/07/2026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</si>
  <si>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Equipamento não inserido no SCADA</t>
  </si>
  <si>
    <t>ETO-COEP 00138/2026</t>
  </si>
  <si>
    <t>LD03414149</t>
  </si>
  <si>
    <t>PARECER DMSL 07/07/2026: equipamento tem que ser subistuido pois não faz comando, parte ativa com defeito FEITO O PRIMEIRO ATAQUE NO RELIGADOR 7930359149 E MESMO NÃO ACEITA COMANDO NEM LOCAL E NEM REMOTO SEGUNDO EQUIPE 149OP02 E PLACA DO RL ESTA CARBONIZADA COM SINAL DE CURTO.</t>
  </si>
  <si>
    <t>Falta definir</t>
  </si>
  <si>
    <t>ETO-COEP 00147/2026</t>
  </si>
  <si>
    <t>ITAPIRATINS</t>
  </si>
  <si>
    <t>LD03038009</t>
  </si>
  <si>
    <t>20/07 PARECER COEP: EQUIPAMENTO SELECIONADO PARA COMPRASegue nota para substituir relé religador avariado marca noja , equipamento N: 7953211079 - Itapiratins .Obs: informação repassado pelo técnico DMSL Bruno .</t>
  </si>
  <si>
    <t>ETO-TELE 00929/2026</t>
  </si>
  <si>
    <t>MAURILANDIA DO TOCANTINS</t>
  </si>
  <si>
    <t>AL02043081</t>
  </si>
  <si>
    <t>FEITO PRIMEIRO ATAQUE COM A EQUIPE LOCAL E NÃO VOLTOU A COMUNICAR. PROVIDENCIAR MANUTENÇÃO PARA O MESMO.</t>
  </si>
  <si>
    <t>ETO-TELE 00938/2026</t>
  </si>
  <si>
    <t>Segue nota para verificar falha intermitência na comunicação RL 7908300096 RDU- Pindorama .</t>
  </si>
  <si>
    <t>ETO-TELE 01029/2026</t>
  </si>
  <si>
    <t>CAMPOS LINDOS</t>
  </si>
  <si>
    <t>PS01112193</t>
  </si>
  <si>
    <t>Religador sem comunicação, apos primeiro ataque não retornou a comunicação.</t>
  </si>
  <si>
    <t>ETO-TELE 00985/2026</t>
  </si>
  <si>
    <t>COUTO MAGALHAES</t>
  </si>
  <si>
    <t>AL01024113</t>
  </si>
  <si>
    <t>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t>
  </si>
  <si>
    <t>ETO-TELE 01027/2026</t>
  </si>
  <si>
    <t>LD03010021</t>
  </si>
  <si>
    <t>Segue SS para verificar falha de comunicação no religador 7923110021. Equipe foi no local realizar primeiro ataque e informou que o radio de comunicação encontra-se com defeito</t>
  </si>
  <si>
    <t>ETO-TELE 01058/2026</t>
  </si>
  <si>
    <t>LD02110005</t>
  </si>
  <si>
    <t>religador de poste 7950296049 com falha no dispaly do equipamento tensão 34.5 kv acesso livre indisponivel para operação e aberto em campo e sem comunicação .</t>
  </si>
  <si>
    <t>ETO-TELE 01057/2026</t>
  </si>
  <si>
    <t>AL04040004</t>
  </si>
  <si>
    <t>Religador sem comunicação, apos primeiro ataque não retornou as comunicação.</t>
  </si>
  <si>
    <t>ETO-TELE 01048/2026</t>
  </si>
  <si>
    <t>AL01033047</t>
  </si>
  <si>
    <t>segue nota equipamento RL 7961515047 desarmou em campo e nao sinalizou no AMDS mesmo nao estar comunicando , feito primeiro ataque equepe 047op01 e com orientaçoes da EDNA DMSL , mesmo nao voltou a comunicaçao , ficou em operacao e sem comunicar .</t>
  </si>
  <si>
    <t>ETO-COEP 00153/2026</t>
  </si>
  <si>
    <t>BRASILANDIA DO TOCANTINS</t>
  </si>
  <si>
    <t>LD02020023</t>
  </si>
  <si>
    <t>PARECER DMSL: Foi identificado que a fase A esta em curto (892Kbps) no teste de Megometro, o curto afetou o rele RUA 01 e rompeu o jamper da chave faca para a linha de distribuição.PROVIDENCIAR MANUTENÇÃO PARA O REGULADOR 5825703064 POIS O MESMO ESTA EM CURTO E FASE A DE SAIDE ESTA ROMPIDO.</t>
  </si>
  <si>
    <t>ETO-TELE 01098/2026</t>
  </si>
  <si>
    <t>Enviar equipe  da TELE, para sanar defeito de comunicação do RL 7938048113, não aceita comandos de fechamento e nem  de abertura remoto.Situação  no sistema  ABERTO NO ADMS, porém fechado  normalmente em campo</t>
  </si>
  <si>
    <t>ETO-RD-PO 00183/2026</t>
  </si>
  <si>
    <t>ETO-RD-PO</t>
  </si>
  <si>
    <t>ITACAJA</t>
  </si>
  <si>
    <t>08/07/2026 PARECER COEP: SUBSTITUIÇÃO DE TRAFO AUXILIAR ENCAMINHADO PARA REALIZAR A TROCA , FAVOR COLOCAR O PARECER AQUI E MANDAR DEPOIS PARA PROTEÇÃO , POR FAVORPARECER COEP: SUBSTITUIÇÃO DO TRAFO É DIRETO COM OS COCM'S, NÃO TEM COMPRA DE EQUIPAMENTO ESPECIAL.PARECER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religador.FAZER INSPEÇÃO E MANUTENÇÃO DO RL 7931219078. RELIGADOR CHAVE ESTA MUDANDO SOZINHA PARA LOCAL.</t>
  </si>
  <si>
    <t>ETO-TELEAR 00008/2026</t>
  </si>
  <si>
    <t>ETO-TELEAR</t>
  </si>
  <si>
    <t>ITAPORA DO TOCANTINS</t>
  </si>
  <si>
    <t>Favor deslocar equipe no religador 7949656024 foi realizado primeiro ataque no mesmo, porem sem sucesso.Religador se encontra fechado em campo e aberto no ADMS.</t>
  </si>
  <si>
    <t>ETO-TELE 01051/2026</t>
  </si>
  <si>
    <t>NATIVIDADE</t>
  </si>
  <si>
    <t>Religador de poste 7944353028 sem comunicação com coi equipe 091op02 feito primeiro ataque os 99 porem não retornou a comunição enviar equipe ao local verificar possivel falha.</t>
  </si>
  <si>
    <t>ETO-TELE 01111/2026</t>
  </si>
  <si>
    <t>AL02054060</t>
  </si>
  <si>
    <t>Foi feito o primeiro ataque não retornou a comunicaçãoRL 7925126060 com apoio do Jean</t>
  </si>
  <si>
    <t>ETO-TELE 01100/2026</t>
  </si>
  <si>
    <t>AL01059122</t>
  </si>
  <si>
    <t>Segue SS aberta para Religador 7908709122equipe sinergia fez o primeiro ataque porem ,o mesmo não voltou a comunicação.equipe sinergia.contato equipe 63 98414-0477 almir</t>
  </si>
  <si>
    <t>ETO-TELE 01110/2026</t>
  </si>
  <si>
    <t>AL06060122</t>
  </si>
  <si>
    <t>Segue nota para verificar falha sinalização status religador 7905320122 - rdu- Palmas .Equipamento está fechado em campo porem está sinalizando aberto .</t>
  </si>
  <si>
    <t>ETO-TELE 01059/2026</t>
  </si>
  <si>
    <t>PALMEIROPOLIS</t>
  </si>
  <si>
    <t>religador 7926242029 sem comunicação com sistema em operação com anomalia insdisponivel para operação acesso bom porem veiculo não chega ao local .feito primeiro ataque sem sucesso</t>
  </si>
  <si>
    <t>ETO-TELE 01099/2026</t>
  </si>
  <si>
    <t>LD02065015</t>
  </si>
  <si>
    <t>RELIGADOR COM CONTROLE APAGADO - REALIZADO PRIMEIRO ATAQUE SEM SUCESSO - EQUIPAMENTO FICOU BY PASSADO.</t>
  </si>
  <si>
    <t>ETO-TELE 01055/2026</t>
  </si>
  <si>
    <t>RL 7908693026SEM COMUNICAÇÃO INDISPONIVEL PARA OPERAÇÃO EQUIPE 059OP12 TAQUARALTO ESTEVE NO LOCALFAVOR TRATAR O MESMO .</t>
  </si>
  <si>
    <t>ETO-TELE 01097/2026</t>
  </si>
  <si>
    <t>LD03072001</t>
  </si>
  <si>
    <t>encaminhar equipe dmsl no RT fase C não está comutando tap -16 não zera ficou bypassado</t>
  </si>
  <si>
    <t>ETO-TELE 01105/2026</t>
  </si>
  <si>
    <t>SAO FELIX DO TOCANTINS</t>
  </si>
  <si>
    <t>RL 7902702257PROBLEMA NA COMUNICAÇÃO MESMO QUANDO PERDE C.A PEDER A COMUNICAÇÃO INSTANTANEA . FAVOR VERIFICAR E DAR DEVIDAS TRATATIVAS.....</t>
  </si>
  <si>
    <t>ETO-TELE 01052/2026</t>
  </si>
  <si>
    <t>AL02084002</t>
  </si>
  <si>
    <t>Segue nota para verificar falha de comunicação no religador 7925727002 quando falta CA , Local RDU- Tocantinopolis  .Equipamento perde a comunicação quando falta CA !</t>
  </si>
  <si>
    <t>Ativo</t>
  </si>
  <si>
    <t>Tipo</t>
  </si>
  <si>
    <t>Localidade</t>
  </si>
  <si>
    <t>Polo</t>
  </si>
  <si>
    <t>Regional</t>
  </si>
  <si>
    <t>SS aberta</t>
  </si>
  <si>
    <t>Parecer COEP</t>
  </si>
  <si>
    <t>SS DCMD</t>
  </si>
  <si>
    <t>Status DCMD</t>
  </si>
  <si>
    <t>Previsão DCMD</t>
  </si>
  <si>
    <t>SS Proteção</t>
  </si>
  <si>
    <t>Status Proteção</t>
  </si>
  <si>
    <t>Previsão Proteção</t>
  </si>
  <si>
    <t>SS DMSL</t>
  </si>
  <si>
    <t>Status DMSL</t>
  </si>
  <si>
    <t>Previsão DMSL</t>
  </si>
  <si>
    <t>Status COI</t>
  </si>
  <si>
    <t>Observação</t>
  </si>
  <si>
    <t>Check de concluídas</t>
  </si>
  <si>
    <t>Defeito identificado</t>
  </si>
  <si>
    <t>Descrição SS</t>
  </si>
  <si>
    <t>CONCLUÍDA</t>
  </si>
  <si>
    <t>Ok</t>
  </si>
  <si>
    <t/>
  </si>
  <si>
    <t>Aumento de reclamações no atendimento de Goiatins e GAs relevantes na região</t>
  </si>
  <si>
    <t>ETO-RD-PO 00213/2026</t>
  </si>
  <si>
    <t>Em fase de ajustes</t>
  </si>
  <si>
    <t>Pendente laudo da empreteira</t>
  </si>
  <si>
    <t>Em andamento</t>
  </si>
  <si>
    <t>Célula</t>
  </si>
  <si>
    <t>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</si>
  <si>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TUPIRAMA</t>
  </si>
  <si>
    <t>ETO-RD-GR 00735/2026</t>
  </si>
  <si>
    <t>Aguardando comissionamento</t>
  </si>
  <si>
    <t>Previsão de substituição 27/08</t>
  </si>
  <si>
    <t xml:space="preserve">Controle </t>
  </si>
  <si>
    <t>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t>
  </si>
  <si>
    <t>Atendimento de parte da RDU Guaraí por fonte alternativa</t>
  </si>
  <si>
    <t>ARAGUACU</t>
  </si>
  <si>
    <t>ALVORADA</t>
  </si>
  <si>
    <t>Aumento de reclamações no atendimento de Araguaçu no período seco</t>
  </si>
  <si>
    <t>Em processo de aquisição</t>
  </si>
  <si>
    <t>Estava aguardando retorno DMSL</t>
  </si>
  <si>
    <t>Pendente</t>
  </si>
  <si>
    <t>Tanque + controle</t>
  </si>
  <si>
    <t>Tanque e rádio</t>
  </si>
  <si>
    <t>ETO-TELE 01025/2026</t>
  </si>
  <si>
    <t>SS ATENDIDA</t>
  </si>
  <si>
    <t xml:space="preserve">Tanque e antena </t>
  </si>
  <si>
    <t>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t>
  </si>
  <si>
    <t>Transferência entre 284R SE Palmas IV e 2294R SE Palmas II</t>
  </si>
  <si>
    <t>ARAGUACEMA</t>
  </si>
  <si>
    <t>Transferência da RDU de Araguacema (1506 UCs)</t>
  </si>
  <si>
    <t>Controle</t>
  </si>
  <si>
    <t>Equipamento entregue ao COCM</t>
  </si>
  <si>
    <t>Previsão de substituição 07/08// Nova previsão de entrega 21/08 se a DB Machado for para o Sul</t>
  </si>
  <si>
    <t>Células + controle</t>
  </si>
  <si>
    <t>Mandar reformar</t>
  </si>
  <si>
    <t>Tanque e cabo umbilical</t>
  </si>
  <si>
    <t>ETO-COEP 00120/2026</t>
  </si>
  <si>
    <t>Concuído DCMD</t>
  </si>
  <si>
    <t>Construir Reporte</t>
  </si>
  <si>
    <t>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t>
  </si>
  <si>
    <t>Previsão de substituição 07/08 // 22/08 Se a DB Machado for pro Sul</t>
  </si>
  <si>
    <t>ETO-PROT 00145/2026</t>
  </si>
  <si>
    <t xml:space="preserve">Destinada parte ativa do RL 7900453110 </t>
  </si>
  <si>
    <t xml:space="preserve">Tanque </t>
  </si>
  <si>
    <t>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t>
  </si>
  <si>
    <t>ETO-TELE 01024/2026</t>
  </si>
  <si>
    <t>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t>
  </si>
  <si>
    <t>Seccionamento de trecho do Setor Taquari</t>
  </si>
  <si>
    <t>RIO DOS BOIS</t>
  </si>
  <si>
    <t>Fonte principal de Rio dos Bois, RL de transferência operando</t>
  </si>
  <si>
    <t xml:space="preserve">Atendimento da RDU de Bom Jesus e parcial da RDU de Pedro Afonso </t>
  </si>
  <si>
    <t>ETO-RD-PS 00302/2026</t>
  </si>
  <si>
    <t>Concluído DCMD</t>
  </si>
  <si>
    <t>Verificar se já foi repassado</t>
  </si>
  <si>
    <t>Tanque</t>
  </si>
  <si>
    <t>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t>
  </si>
  <si>
    <t>SS PENDENTE</t>
  </si>
  <si>
    <t>Previsão de entrega 20/10</t>
  </si>
  <si>
    <t>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t>
  </si>
  <si>
    <t>Em processo logístico</t>
  </si>
  <si>
    <t>Previsão de entrega 10/08</t>
  </si>
  <si>
    <t>Controle e aterramento</t>
  </si>
  <si>
    <t>ETO-PROT 00143/2026</t>
  </si>
  <si>
    <t>Tanque e PR do trafo e chave</t>
  </si>
  <si>
    <t>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t>
  </si>
  <si>
    <t>APARECIDA DO RIO NEGRO</t>
  </si>
  <si>
    <t>Atendimento da RDU de Aparecida do Rio Negro</t>
  </si>
  <si>
    <t>ARAGOMINAS</t>
  </si>
  <si>
    <t>Proteção da baixa do TF de força da SE Aragominas</t>
  </si>
  <si>
    <t>MARIANOPOLIS</t>
  </si>
  <si>
    <t>Fonte principal de Marianópolis, RL transferência operando</t>
  </si>
  <si>
    <t>ETO-TELE 00997/2026</t>
  </si>
  <si>
    <t>Primeiro ataque DMSL</t>
  </si>
  <si>
    <t>RL teve nota baixada (ETO-TELE 970/2026) pore´m eqp continua fora de operação, solicito programação para equipe verificar em campo</t>
  </si>
  <si>
    <t>Isolação de trecho e transferência das cidades de São Felix e Mateiros para gerador, além de atendimento de clientes rurais</t>
  </si>
  <si>
    <t>ETO-RD-GR 00766/2026</t>
  </si>
  <si>
    <t>Previsão de substituição 28/07</t>
  </si>
  <si>
    <t>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t>
  </si>
  <si>
    <t>ETO-PROT 00144/2026</t>
  </si>
  <si>
    <t>Melhoria de aterramento</t>
  </si>
  <si>
    <t>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t>
  </si>
  <si>
    <t>Problema na autorização de passagem</t>
  </si>
  <si>
    <t xml:space="preserve">Cliente não autorizou entrar na propriedade </t>
  </si>
  <si>
    <t>WANDERLANDIA</t>
  </si>
  <si>
    <t>Aumento de reclamações no atendimento de Wanderlândia no período seco</t>
  </si>
  <si>
    <t>Equipamento para apoio na transferência de cargas na região de Natividade</t>
  </si>
  <si>
    <t>ETO-RD-PO 00208/2026</t>
  </si>
  <si>
    <t>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t>
  </si>
  <si>
    <t>ETO-RD-DP 00404/2026</t>
  </si>
  <si>
    <t>Concluído DCMD e DMSL</t>
  </si>
  <si>
    <t>Previsão de substituição 07/08</t>
  </si>
  <si>
    <t>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t>
  </si>
  <si>
    <t>Atendimento da região da Engegold, Nativa, cidade Natividade e Chapada da Natividade (Fonte alternativa)</t>
  </si>
  <si>
    <t>TAIPAS DO TOCANTINS</t>
  </si>
  <si>
    <t>Atendimento de Taipas</t>
  </si>
  <si>
    <t>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t>
  </si>
  <si>
    <t>24/08/206</t>
  </si>
  <si>
    <t>ETO-TELE 00881/2026</t>
  </si>
  <si>
    <t>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t>
  </si>
  <si>
    <t>Atendimento da RDU Marianópolis e clientes rurais</t>
  </si>
  <si>
    <t xml:space="preserve">Concluído DCMD </t>
  </si>
  <si>
    <t>Tanque + controle e chave</t>
  </si>
  <si>
    <t>Transferência de Aragominas, 3 fontes operando</t>
  </si>
  <si>
    <t>Atendimento do PA Mumbuca (106 UCs), no desarme a jusante penaliza parte da RDU de Tocantinópolis (1384 UCs)</t>
  </si>
  <si>
    <t>Cancelada errada pelo DMSL</t>
  </si>
  <si>
    <t>Transferência do Grupo A - Xavante (TF 1087,5 kVA) e outros GA menores</t>
  </si>
  <si>
    <t>Transferência do Grupo A - Engegold (TF 7500 kVA)</t>
  </si>
  <si>
    <t>ETO-RD-PO 00097/2026</t>
  </si>
  <si>
    <t>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t>
  </si>
  <si>
    <t>Aumento de reclamações no atendimento de Silvanópolis por Monte do Carmo no período seco</t>
  </si>
  <si>
    <t>ETO-RD-PS 00289/2026</t>
  </si>
  <si>
    <t>Concluído poço para melhoria de aterramento aberto</t>
  </si>
  <si>
    <t>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t>
  </si>
  <si>
    <t>Atendimento de parte da RDU de Guaraí e ramal da PRF/Repetidora</t>
  </si>
  <si>
    <t>Equipamento em Logistica</t>
  </si>
  <si>
    <t>Vamos retirar de uma obra de construção de uma linha antiga e usar na manutenção</t>
  </si>
  <si>
    <t>Células + melhoria de aterramento</t>
  </si>
  <si>
    <t>ETO-PROT 00135/2026</t>
  </si>
  <si>
    <t>Em operação</t>
  </si>
  <si>
    <t>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t>
  </si>
  <si>
    <t>Atendimento do PA Esperança Viva (396 UCs)</t>
  </si>
  <si>
    <t>Validado</t>
  </si>
  <si>
    <t>Atendimento do Grupo A - Matosul (TF 1500 kVA)</t>
  </si>
  <si>
    <t>Linha viva substiui as chaves pode ser que esteja dentro de operação</t>
  </si>
  <si>
    <t>Transferência de Palmeiras, 3 RLs sendo 2 operando</t>
  </si>
  <si>
    <t>MONTE SANTO DO TOCANTINS</t>
  </si>
  <si>
    <t>444R de Paraíso I, atendimento de Monte Santo, devido defeito a RDU está manobrada para o 454R</t>
  </si>
  <si>
    <t>NOVO JARDIM</t>
  </si>
  <si>
    <t>Desmobilizado</t>
  </si>
  <si>
    <t>Equipamento obsoleto com a entrada da SE Serras Gerais</t>
  </si>
  <si>
    <t>Equipamento entregue aos COCM's</t>
  </si>
  <si>
    <t>Previsão de entrega 20/07 // Foi entregue a eles verificar o porque eles baixaram</t>
  </si>
  <si>
    <t>Atendimento do Ramal do Gato (288 UCs) e UFV Videira, no desarme a jusante penaliza a cidade de Pindorama</t>
  </si>
  <si>
    <t>ETO-TELE 01002/2026</t>
  </si>
  <si>
    <t>SS REPASSADA</t>
  </si>
  <si>
    <t>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t>
  </si>
  <si>
    <t>DOIS IRMAOS DO TOCANTINS</t>
  </si>
  <si>
    <t>Atendimento do Ramal do Boleu (13 UCs), no desarme a jusante penaliza parte 303 UCs rurais</t>
  </si>
  <si>
    <t>Fonte alternativa de atendimento do Ramal Bacuri (217 UCs)</t>
  </si>
  <si>
    <t>Atendimento do PA Novo Plano (102 UCs)</t>
  </si>
  <si>
    <t>Equipamento Fora de operação</t>
  </si>
  <si>
    <t>1 controle NOJA sobrando</t>
  </si>
  <si>
    <t>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t>
  </si>
  <si>
    <t>ETO-RD-DP 00457/2026</t>
  </si>
  <si>
    <t>20/07 PARECER COEP: EQUIPAMENTO ENTREGUE , FAVOR EDITAR A SS COM A DATA PREVISTA DE SUBSTITUIÇÃO NO PARECER DOS COCM´S Realizar substituição da FASE B.Célula da fase B estava com a tampa do contador de tape aberta, pegou chuva e molhou os contatos danificando a peça toda.</t>
  </si>
  <si>
    <t>Previsão de entrega 16/08</t>
  </si>
  <si>
    <t>ETO-RD-PS 00327/2026</t>
  </si>
  <si>
    <t>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t>
  </si>
  <si>
    <t>Trafo auxiliar e tanque</t>
  </si>
  <si>
    <t>Atendimento do PA Piedade (125 UCs)</t>
  </si>
  <si>
    <t>Trafo auxiliar e completo</t>
  </si>
  <si>
    <t>ETO-RD-DP 00403/2026</t>
  </si>
  <si>
    <t>Furtado 2 vezes</t>
  </si>
  <si>
    <t>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t>
  </si>
  <si>
    <t>ETO-TELE 01032/2026</t>
  </si>
  <si>
    <t>Aguardando parecer DMSL</t>
  </si>
  <si>
    <t>DMSL reportou a necessidade de substituição do RT dia 16/06/2025</t>
  </si>
  <si>
    <t>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</si>
  <si>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PIRAQUE</t>
  </si>
  <si>
    <t>REPASSAR O DMSL (EQUIPAMENTO OPERANDO NO SCADA)</t>
  </si>
  <si>
    <t>Completo</t>
  </si>
  <si>
    <t>Equipamento não identificado no SCADA e Mapa TS</t>
  </si>
  <si>
    <t>ETO-TELE 00982/2026</t>
  </si>
  <si>
    <t>SEGUE SOLICITAÇÃO DE SERVIÇO PARA REALIZAR VERIFICAÇÃO DO RL 7955832052 EQUIPAMENTO DE INTEELIGAÇÃO O MESMO ESTA SEM COMUNICAÇÃO ...FOI REALIZADO PRIMEIRO ATAQUE COM EQUIPE SINERGIA DE FORMOSO EO EQUIPAMENTO NÃO VOLTOU</t>
  </si>
  <si>
    <t>ETO-TELE 00932/2026</t>
  </si>
  <si>
    <t>Segue SS de religador 7902098003 sem comunicação. Foi realizado o primeiro ataque porem o mesmo não retornou a comunicação.</t>
  </si>
  <si>
    <t>Este equipamento  ainda não foi comissionado devido a instabilidade da comunicação sendo preciso instalar uma antena telespázio.</t>
  </si>
  <si>
    <t>A REPROGRAMAR</t>
  </si>
  <si>
    <t>ETO-TELE 00892/2026</t>
  </si>
  <si>
    <t>Segue RL 7953570026 O MESMO FOI FEITO PRIMEIRO ATAQUE, painel do religador acendeu porem não voltou a comunicação junto ao SCADA, equipe fez teste em comando local, tudo normal porem sem retorno de comunicação, rl na SE DE PONTE ALTA</t>
  </si>
  <si>
    <t>DG-RD-PO 00444/2026</t>
  </si>
  <si>
    <t>Melhoria de aterramento concluída</t>
  </si>
  <si>
    <t>Segue nota para recuperar malha de aterramento no RL 7911120026 RDU- Ponte Alta .OBS: Provavelmente foi furtado cabos de aterramento   .</t>
  </si>
  <si>
    <t>TAGUATINGA</t>
  </si>
  <si>
    <t>ETO-TELE 01019/2026</t>
  </si>
  <si>
    <t>Novo</t>
  </si>
  <si>
    <t>Segue nota para verificar falha de comunicação no religador 7908716091 - Rural -  Almas  .Equipamento perdeu a comunicação quando faltou CA , porém mesmo ao retorna o CA não retornou à comunicação !</t>
  </si>
  <si>
    <t>ETO-TELE 01005/2026</t>
  </si>
  <si>
    <t>Segue nota para verificar falha e constantes travamento no regulador de tensão 5848305116 - chapada da Natividade .Foi identificado que regulador está com divergência em TAP"S analógico e digital .Foi executado comandos no relé para comutar TAP na fase AB foi executado no relé , porém não alterou analógico e nem fez barulho algum , a princípio a fase C está normal .</t>
  </si>
  <si>
    <t>ETO-TELE 01007/2026</t>
  </si>
  <si>
    <t>Favor verifcar Religador 7961368005 , equipamento sem comunicação , feito primeiro ataque com equipe operacional , porem não ouve retorno .</t>
  </si>
  <si>
    <t>ETO-TELE 01026/2026</t>
  </si>
  <si>
    <t>Segue nota para verificar falha de comunicação no religador 7929663074  rural - Dianópolis  .Equipamento perde a comunicação quando falta CA !</t>
  </si>
  <si>
    <t>OK</t>
  </si>
  <si>
    <t>Equipe reportou que após ajuste remoto, retornou. Foi confirmado no ADMS que o equipamento está comunicando normalmente. Solicitada a baixa da nota.</t>
  </si>
  <si>
    <t>ETO-TELE 00999/2026</t>
  </si>
  <si>
    <t>RELIGADOR DE POSTE 7955792076 SEM COMUNIÇÃO COM COI ,FEITO PRIMEIRO ATAQUE COM EQUIPE OPERACIONAL O MESMO NÃO RETORNOU A COMUNICAÇÃO ENVIAR EQUIPE ESPECIAL VERIFICAR EM CAMPO</t>
  </si>
  <si>
    <t>Aguardando resposta da equipe. Comunicando no ADMS</t>
  </si>
  <si>
    <t>ETO-TELE 00998/2026</t>
  </si>
  <si>
    <t>rl 7908683122  retirado de operaçao devido falha na base do rele  equipamento.</t>
  </si>
  <si>
    <t>ETO-TELE 01018/2026</t>
  </si>
  <si>
    <t>Segue nota para falha de comunicação no religador 7900001096 - Rural - Pindorama .Equipamento perdeu a comunicação quando faltou CA , porém mesmo ao retorna o CA não retornou a comunicação !Feito primeiro ataque sem sucesso !</t>
  </si>
  <si>
    <t>ETO-TELE 01020/2026</t>
  </si>
  <si>
    <t>Segue nota para verificar falha de comunicação no religador 7900451096 - Rural -  Pindorama  .Equipamento perde a comunicação quando falta CA !</t>
  </si>
  <si>
    <t>ETO-TELE 01021/2026</t>
  </si>
  <si>
    <t>Boa noite .Segue nota para verificar falha de comunicação no religador 7900259096 -  Pindorama .Equipamento perde a comunicação quando falta CA !</t>
  </si>
  <si>
    <t>ETO-TELE 01008/2026</t>
  </si>
  <si>
    <t>por favor deslocar equipe da manutenção no RL 7962734119 por que foi feito o primeiro ataque no mesmo mais não voltou comunção no sistema escada</t>
  </si>
  <si>
    <t>Rótulos de Linha</t>
  </si>
  <si>
    <t>Contagem de Ativo</t>
  </si>
  <si>
    <t>Concluído</t>
  </si>
  <si>
    <t>DTA_CONCLUSAO</t>
  </si>
  <si>
    <t>ETO-TELE 00963/2026</t>
  </si>
  <si>
    <t>PARECER COEP: Equipamento está em operação no Scada, preciso da especificação do modelo do equipamento para realizar a compraPARECER DMSL:Realizar substituição do equipamento todo e parte ativa.Equipe: Adeilton e EdicleberData: 12/03-----------------------------------------------------------------------------Religador sem comunicação, apos  primeiro ataque o mesmo não retornou as comunicação.</t>
  </si>
  <si>
    <t>ETO-TELE 00941/2026</t>
  </si>
  <si>
    <t>FEITO O PRIMEIRO ATAQUE NO RL 7954668084 E O DISPLAY ESTÁ QUEIMADO, NÃO LIGA.OS (99) 106230846PRECISA SER FEITO A ANÀLISE DO DMSL, PARA A COMPRA DO EQUIPAMENTO</t>
  </si>
  <si>
    <t>ETO-TELE 00959/2026</t>
  </si>
  <si>
    <t>PARECER COEP: Equipamento em operação no SCADA, favor revisitar ou explicar defeito e modelo do equipamento.Substituição de tanque e controle, os mesmos estão com defeitos.</t>
  </si>
  <si>
    <t>ETO-TELE 00962/2026</t>
  </si>
  <si>
    <t>LD02040003</t>
  </si>
  <si>
    <t>PARECER COEP: Equipamento em operação no SCADA, se for necessário , favor especificar peça e modelo para substituiçãoTanque do RLG 7936038076 queimado, favor substituir o mesmo.NS do tanque: 0320118112616</t>
  </si>
  <si>
    <t>ETO-TELE 00961/2026</t>
  </si>
  <si>
    <t>PARECER COEP: Equipamento em operação no Scada, além de não especificar o defeito, ainda não especificou marca e modelo para substituiçãoSolicitação de serviço para substituição de parte ativa de RL [7955520116] danificada conforme imagens anexadas.</t>
  </si>
  <si>
    <t>ETO-TELE 00960/2026</t>
  </si>
  <si>
    <t>PARECER COEP: Equipamento em operação no SCADA, favor reavaliar necessidade de substituição ,assim como especificar modelo das peças a serem substituidas e os defeitos.REALIZAR SUBSTITUIÇÃO DO TANQUE.</t>
  </si>
  <si>
    <t>ETO-TELE 00861/2026</t>
  </si>
  <si>
    <t>SEGUE SS DE RELIGADOR COM CURTO INTERNO, DJUNTOR DE BT NÃO ACEITA.</t>
  </si>
  <si>
    <t>ETO-PROT 00147/2026</t>
  </si>
  <si>
    <t>Segue nota para verificar ajustes no regulador de tensão 5800657026 S/E Ponte Alta , motivo constantes reclamações de tensão na LD , foi identificado que no período das 17:30 às 22:00 a tensão reduz muito , os reguladores de tensão na LD não conseguem controlar o nivel de tensão ficando a tensão entorno de 18,5 KV ,  principalmente na fase A no regulador 5864441026 . No regulador 5800440256 a fase que fica mais baixa e a fase C .Obs: Nesse período crítico o nível de tensão no Dj 414 da S/E Ponte alta fica entorno de 33 KV , porém o regulador de tensão da S/E ponte Alta N: 5800657026 foi identificado que estava em Tap's  abaixo do 4 , tendo possibilidade de melhorar o nível de tensão .Foi feito testes reguladores comutou normal , porém não ficou no nível ideal !Parecer da proteção:Qualquer alteração no Regulador de Tensão (RT) da SE Ponte Alta impactará diretamente o barramento de 13,8 kV. Atualmente, o transformador encontra-se ajustado no TAP 4 (33,638 kV), e uma mudança nesse ajuste poderá ocasionar novas reclamações de tensão por parte dos consumidores atendidos nesse nível de tensão.Por outro lado, caso o transformador 34,5/13,8 kV seja ajustado para a posição nominal, poderemos ter reclamações de tensão baixa na rede de distribuição urbana (RDU), considerando que não possuímos controle sobre os TAPs dos transformadores de distribuição. Em contrapartida, essa alteração proporcionaria maior margem operacional para o ajuste do RT do sistema de 34,5 kV.Diante desse cenário, é imprescindível embasar qualquer tomada de decisão em dados de campo. Como primeira etapa, sugiro realizar um levantamento amostral dos TAPs dos transformadores de distribuição localizados na região central da cidade de Ponte Alta, de forma a identificar a posição em que atualmente estão operando.Além disso, considero importante realizarmos uma reunião técnica para conduzir um estudo de engenharia mais aprofundado. As decisões relativas aos ajustes operacionais devem ser</t>
  </si>
  <si>
    <t>ETO-PROT 00134/2026</t>
  </si>
  <si>
    <t>LD01414027</t>
  </si>
  <si>
    <t>Segue nota para verificar falha em regulador de tensão N: 5820790038- Rural - Taguatinga .A mineradora Nativo está constantemente reclamando de tensão baixa, porém equipamento está regulando inserindo taps negativosE tensão ficando entorno de 19,7 kv .Favor analisar ajustes , ou possíveis falhas como aterramento . Parecer da proteção:Alterado a tensão de referência de 20.120 para 21.000.Eng° Irlley Castelo Branco.</t>
  </si>
  <si>
    <t>ETO-TELE 00978/2026</t>
  </si>
  <si>
    <t>FOI REALIZADO O PRIMEIRO ATAQUE E O MESMO NÃO RETORNOU A COMUNICAÇÃO</t>
  </si>
  <si>
    <t>ETO-RD-PS 00303/2026</t>
  </si>
  <si>
    <t>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t>
  </si>
  <si>
    <t>ETO-TELE 00924/2026</t>
  </si>
  <si>
    <t>SEGUE SS PARA REGULARIZAR FALTA DE COMUNICAÇÃO DO RELIGADOR 7925713040</t>
  </si>
  <si>
    <t>LD05062013</t>
  </si>
  <si>
    <t>ETO-TELE 00954/2026</t>
  </si>
  <si>
    <t>FEITO PRIMEIRO ATAQUE E RELIGADOR 7934697002, NÃO REALIZA COMANDOS. FOI BY PASSADO.PROVIDENCIAR MANUTENÇÃO.</t>
  </si>
  <si>
    <t>ETO-RD-AR 01131/2026</t>
  </si>
  <si>
    <t>ETO-RD-AR</t>
  </si>
  <si>
    <t>20/07 PARECER COEP: EQUIPAMENTO ENTREGUE AOS COCM´S , AGUARDO A PREVISÃO DE SUSBTITUIÇÃO NA PLANILHA E SUBSTIUIÇÃO DEPOIS SEGUIR COM O FLUXO , DESCREVER A ATIVIDADE REALIZADA E DATA, PASSAR PARA A PROTEÇÃO COM LAUDO EM ANEXO E DEPOIS COMISSIONAR14/07 PARECER COEP: EQUIPAMENTO EM ROTA DE ENTREGAPARECER DMSL: Célula da fase A encontra-se com vazamento de óleo no pé da torneira. Necessário substituição da célula.Aberto nota para verificar vazamento de óleo fase A no RT 5844630060 - RDU Nova Olinda</t>
  </si>
  <si>
    <t>LD01035052</t>
  </si>
  <si>
    <t>AL10059122</t>
  </si>
  <si>
    <t>ETO-RD-PO 00234/2026</t>
  </si>
  <si>
    <t>AL01099059</t>
  </si>
  <si>
    <t>AL08060122</t>
  </si>
  <si>
    <t>ETO-RD-DP 00491/2026</t>
  </si>
  <si>
    <t>COCMS: 07/08/2026FECHAR JUNPER DE ENTRADA E SAIDA COM LINHA VIVACOCMS: 05/08/2026SUBSTITUIDO PARTE ATIVA DO RELIGADOR COOPER</t>
  </si>
  <si>
    <t>ARRAIAS</t>
  </si>
  <si>
    <t>LD01110005</t>
  </si>
  <si>
    <t>LD05028074</t>
  </si>
  <si>
    <t>ETO-TELE 01033/2026</t>
  </si>
  <si>
    <t>PARECER DCMD: MELHORIA DE ATERRAMENTO REALIZADA (05/06/2026) VOU MANDAR AS EVIDÊNCIAS PARA EDNA E PARA O JOHN PAUL (JOÃO ANTONIO LAGARES )PARECER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t>
  </si>
  <si>
    <t>ETO-TELE 01036/2026</t>
  </si>
  <si>
    <t>20/07 parecer coep. equipamento entre aos cocms. aguardando a previsão de substituição na planilha e substituição depois seguir com o fluxo. descreverr a atividade realizada e data passa para proteção com laaudo e depois comissicionar 14/07 parecer coep. equipamento em rota de entregaparecer dmsl: células da fase A encontra-se com vazamento de oleo no pé da torneira substituição de célula.Aberto nota para verificar vazamento de oleo fase A no TR 5844630060 -RDU DE NOVA OLINDA.Parecer DCMD: foi substituido célula 23/07/2026. o mesmo está liberado para ser colocado em operação</t>
  </si>
  <si>
    <t>AL01041003</t>
  </si>
  <si>
    <t>ETO-RD-AR 01243/2026</t>
  </si>
  <si>
    <t>12/08/2026 PARECER COEP:COCM´S ,FAVOR SUBSTITUIR TRANSFORMADOR FURTADO NOTA: DMSL ABRIU NOTA ERRADO PARA O COEP PARECER DMSL 06/08: Trafofurtado, providenciar subsituiçãoSEgue nota para área responsavel tratar, religador 7901151022 sem comunicação no ADMS foi verificado campo relé apagado</t>
  </si>
  <si>
    <t>ETO-TELE 01037/2026</t>
  </si>
  <si>
    <t>AL01065015</t>
  </si>
  <si>
    <t>28-07-2026 PARECER DCMD: FOI INSTALADO O CONTROLE E A ANTENA NO REGULADOR CONFORME SOLICITADO. FOI ANEXADO AS FOTOS NA SS16/07/2026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t>
  </si>
  <si>
    <t>ETO-TELE 01039/2026</t>
  </si>
  <si>
    <t>29/07/2026 - AJUSTES DO RT VERIFICADOS. ENCAMINHADO PARA COMISSIONAMENTO.28/07/2026COCMS GENTILEZA COMISSIORAR O EQUIPAMENTO NO DIA 04/08/2026. SEGUE DADOS DE PLACA DO REGULADOR01/07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t>
  </si>
  <si>
    <t>ETO-TELE 01043/2026</t>
  </si>
  <si>
    <t>AL01072001</t>
  </si>
  <si>
    <t>Religador sem comunicação apos primeiro ataque não retornou.</t>
  </si>
  <si>
    <t>AL03109039</t>
  </si>
  <si>
    <t>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equipamentoParecer da Proteção: 17/08/2026Religador já se encontra no sistema em operação.Eng° Irlley Castelo Branco</t>
  </si>
  <si>
    <t>ETO-TELE 01050/2026</t>
  </si>
  <si>
    <t>LD04010004</t>
  </si>
  <si>
    <t>PROVIDENCIAR MANUTENÇÃO PARA O RELIGADOR 7928462040 POIS O MESMO ESTA PERDENDO COMUNICAÇÃO . FOI FEITO PRIMEIRO ATAQUE COM EQUIPE 004OIP22 E LOGO PERDEU A COMUNICAÇÃO.</t>
  </si>
  <si>
    <t>Coluna1</t>
  </si>
  <si>
    <t>Coluna2</t>
  </si>
  <si>
    <t>Legenda</t>
  </si>
  <si>
    <t>Cancelada em operação</t>
  </si>
  <si>
    <t>(*)</t>
  </si>
  <si>
    <t>Não houve ataque do DMSL</t>
  </si>
  <si>
    <t>Concluído Melhoria de aterramento</t>
  </si>
  <si>
    <t>Concluído Reporte Kelliton</t>
  </si>
  <si>
    <t>Reporte Dener</t>
  </si>
  <si>
    <t>Equipamento alinhado com o Jean para colocar os cabos compatibilizadores , vamos só instalar o controle e o suporte</t>
  </si>
  <si>
    <t>Report Kelliton</t>
  </si>
  <si>
    <t>Aguardando o Marcelo Primo gerar a obra em abertura contabil</t>
  </si>
  <si>
    <t xml:space="preserve"> </t>
  </si>
  <si>
    <t xml:space="preserve">Desmobilizado </t>
  </si>
  <si>
    <t>Tratativas do Allan</t>
  </si>
  <si>
    <t>Concluído DCMD24/07</t>
  </si>
  <si>
    <t>Report Edson</t>
  </si>
  <si>
    <t>Reporte do Wander</t>
  </si>
  <si>
    <t>Reporte Wandersson</t>
  </si>
  <si>
    <t>Equipamento entregue, redirecionaremos para o Caso 7933726256</t>
  </si>
  <si>
    <t>Verificar se já foi repassado// Reporte Joelson</t>
  </si>
  <si>
    <t>Estava aguardando análise DMSL</t>
  </si>
  <si>
    <t>Construir Reporte Leonardo</t>
  </si>
  <si>
    <t>Report Marcelo Primo ou Edson</t>
  </si>
  <si>
    <t>Em análise</t>
  </si>
  <si>
    <t>Reporte do Luanderson</t>
  </si>
  <si>
    <t>Reporte Edson Cursino</t>
  </si>
  <si>
    <t>Equipamento em operação no SCADA, favor enviar tanque enviado para Porto Nacional e cancelar a Obra. Utilizaremos tanque para Porto7953610256</t>
  </si>
  <si>
    <t>Executado realmente concluído todos os passos</t>
  </si>
  <si>
    <t>Campo deve ser prenchido pelo COEP</t>
  </si>
  <si>
    <t>Campo deve ser prenchido pelo COCM</t>
  </si>
  <si>
    <t>Equipamento</t>
  </si>
  <si>
    <t>MODELO</t>
  </si>
  <si>
    <t>Tensão</t>
  </si>
  <si>
    <t>Potencia</t>
  </si>
  <si>
    <t>OS Associada</t>
  </si>
  <si>
    <t>Necessário COEP Requisitar material</t>
  </si>
  <si>
    <t>Cod Material P/ Requisitar</t>
  </si>
  <si>
    <t>Tecnico Responsável</t>
  </si>
  <si>
    <t>Previsão de Regularização COCM</t>
  </si>
  <si>
    <t>Status da Substituição</t>
  </si>
  <si>
    <t>Equipamento Entregue ?</t>
  </si>
  <si>
    <t>Data da Substituição</t>
  </si>
  <si>
    <t>OBRA</t>
  </si>
  <si>
    <t>SIGCCO</t>
  </si>
  <si>
    <t>Deposito</t>
  </si>
  <si>
    <t>EMD</t>
  </si>
  <si>
    <t>Status Entrega</t>
  </si>
  <si>
    <t>Previsão de entrega</t>
  </si>
  <si>
    <t>Data Entrega</t>
  </si>
  <si>
    <t>Posto COEP</t>
  </si>
  <si>
    <t>EL NINO</t>
  </si>
  <si>
    <t>Religador</t>
  </si>
  <si>
    <t>NOJA RC10</t>
  </si>
  <si>
    <t>ETO-COEP 00104/2025</t>
  </si>
  <si>
    <t>ETO-RD-GR 00472/2026</t>
  </si>
  <si>
    <t>Rádio, antena, controle</t>
  </si>
  <si>
    <t>Sim</t>
  </si>
  <si>
    <t>WANDER DA SILVA LEITE</t>
  </si>
  <si>
    <t>Concluída</t>
  </si>
  <si>
    <t>0712600316</t>
  </si>
  <si>
    <t>7902</t>
  </si>
  <si>
    <t>Concluido</t>
  </si>
  <si>
    <t>DIANÓPOLIS</t>
  </si>
  <si>
    <t>ETO-RD-DP 01344/2026</t>
  </si>
  <si>
    <t>7955520116</t>
  </si>
  <si>
    <t>Tanque (parte ativa)</t>
  </si>
  <si>
    <t>Não</t>
  </si>
  <si>
    <t>Dener Soares</t>
  </si>
  <si>
    <t>NA</t>
  </si>
  <si>
    <t>0512600178</t>
  </si>
  <si>
    <t>8495</t>
  </si>
  <si>
    <t>ETO-RD-DP 1344/2026</t>
  </si>
  <si>
    <t>COOPER F6</t>
  </si>
  <si>
    <t>PONTE ALTA DO TOCANTINS</t>
  </si>
  <si>
    <t>ETO-COEP 00113/2026</t>
  </si>
  <si>
    <t>ETO-RD-PO 01860/2026</t>
  </si>
  <si>
    <t>Parte Ativa e o Tanque</t>
  </si>
  <si>
    <t>Edson Curcino</t>
  </si>
  <si>
    <t>0312600354</t>
  </si>
  <si>
    <t>Indeferir a obra</t>
  </si>
  <si>
    <t>Deslocamento  da ASPO Alinhado com o Allan de Guaraí para Pedro Afonso</t>
  </si>
  <si>
    <t>ETO-RD-PO 185/2026</t>
  </si>
  <si>
    <t>ETO-COEP 50/2026</t>
  </si>
  <si>
    <t>ETO-RD-PO 2020/2026</t>
  </si>
  <si>
    <t>Utilizaremos o que foi direcionado para o Polo Paraíso que já estava em operação e enviar para esse caso</t>
  </si>
  <si>
    <t>ETO-RD-PO 208/2026</t>
  </si>
  <si>
    <t>ETO-COEP 00181/2025</t>
  </si>
  <si>
    <t>ETO-RD-AG 365/2026</t>
  </si>
  <si>
    <t>Luanderson</t>
  </si>
  <si>
    <t>0662600266</t>
  </si>
  <si>
    <t>6905</t>
  </si>
  <si>
    <t>Ainda no nosso posto , mas de acordo com o Luanderson vai disponibilizar a equipe na terça-feira 03/06</t>
  </si>
  <si>
    <t>ETO-TELE 00869/2026</t>
  </si>
  <si>
    <t>SCHNEIDER ADVC</t>
  </si>
  <si>
    <t>ETO-COEP 00034/2026</t>
  </si>
  <si>
    <t>ETO-RD-PS 00193/2026</t>
  </si>
  <si>
    <t>Rádio, trafo,Tanque e Controle</t>
  </si>
  <si>
    <t>Vinicius Camargo Costa</t>
  </si>
  <si>
    <t>Não podermos atender agora, rádio foi requisitado para obra do PN</t>
  </si>
  <si>
    <t>0212600423</t>
  </si>
  <si>
    <t>Não Houve entrega do Material</t>
  </si>
  <si>
    <t>ETO-COEP 00094/2025</t>
  </si>
  <si>
    <t>ETO-RD-AG 364/2026</t>
  </si>
  <si>
    <t>0662600265</t>
  </si>
  <si>
    <t>ETO - RD-AG 549/2025</t>
  </si>
  <si>
    <t>ETO-COEP 00211/2025</t>
  </si>
  <si>
    <t>ETO-RD-PA 00283/2026</t>
  </si>
  <si>
    <t>Marcelo Primo</t>
  </si>
  <si>
    <t>0112600424</t>
  </si>
  <si>
    <t>1905</t>
  </si>
  <si>
    <t>SS ETO-RD-PA 00431/2026</t>
  </si>
  <si>
    <t>ETO-COEP 00108/2026</t>
  </si>
  <si>
    <t>ETO-RD-PO 1859/2026</t>
  </si>
  <si>
    <t>0312600351</t>
  </si>
  <si>
    <t>Utilizaremos o que foi direcionado para Santa Rita , Favor Cancelar a obra COCM´S</t>
  </si>
  <si>
    <t>ETO-RD-PO 181/2026</t>
  </si>
  <si>
    <t>ETO-COEP 00206/2025</t>
  </si>
  <si>
    <t>ETO-RD-PA 00282/2026</t>
  </si>
  <si>
    <t>Tanque e antena</t>
  </si>
  <si>
    <t>0112600383</t>
  </si>
  <si>
    <t>SS ETO-RD-PA 433/2026</t>
  </si>
  <si>
    <t>Controle Completo</t>
  </si>
  <si>
    <t>Leonardo Santos da Silva</t>
  </si>
  <si>
    <t>Aguardando entrega do Equipamento</t>
  </si>
  <si>
    <t>0612600565</t>
  </si>
  <si>
    <t>6903</t>
  </si>
  <si>
    <t>510069 , 515116</t>
  </si>
  <si>
    <t>PROBLEMA NO ENVIO DO CONTROLE</t>
  </si>
  <si>
    <t>ETO-COEP 00036/2026</t>
  </si>
  <si>
    <t>0112600425</t>
  </si>
  <si>
    <t>SS ETO-RD-PA 432/2026</t>
  </si>
  <si>
    <t>ETO-COEP 00222/2025</t>
  </si>
  <si>
    <t>Julio Cesar</t>
  </si>
  <si>
    <t>0412600392</t>
  </si>
  <si>
    <t>4906</t>
  </si>
  <si>
    <t>ETO-RD-GU 1391/2026 (atrasada) Aguardando previsão de substituição</t>
  </si>
  <si>
    <t>ETO-RD-AG 697/2026</t>
  </si>
  <si>
    <t>ETO-COEP 00177/2025</t>
  </si>
  <si>
    <t>ETO-RD-DP 00271/2026</t>
  </si>
  <si>
    <t>0512600135</t>
  </si>
  <si>
    <t>5908</t>
  </si>
  <si>
    <t>ETO-RD-DP 788/2026</t>
  </si>
  <si>
    <t>ETO-COEP 00174/2024</t>
  </si>
  <si>
    <t>ETO-RD-PS 00194/2026</t>
  </si>
  <si>
    <t>Joelson Silva de Souza</t>
  </si>
  <si>
    <t>0212600425</t>
  </si>
  <si>
    <t>2903</t>
  </si>
  <si>
    <t>Previsão de Substiuição atrasada</t>
  </si>
  <si>
    <t>ETO-RD-OS 302/2026</t>
  </si>
  <si>
    <t>Tanque - cooper - Aproveitar do 7900018004</t>
  </si>
  <si>
    <t>CONTROLE NOJA ENVIADO</t>
  </si>
  <si>
    <t>ETO-COEP 00169/2025</t>
  </si>
  <si>
    <t>ETO-RD-PO 00121/2026</t>
  </si>
  <si>
    <t>0312600264</t>
  </si>
  <si>
    <t>3905</t>
  </si>
  <si>
    <t>Regulador</t>
  </si>
  <si>
    <t>ETO-COEP 00160/2025</t>
  </si>
  <si>
    <t>ETO-RD-PO 01873/2026</t>
  </si>
  <si>
    <t>Celula Fase B</t>
  </si>
  <si>
    <t>0312600352</t>
  </si>
  <si>
    <t>Aguardando previsão de substituição</t>
  </si>
  <si>
    <t>ETO-COEP 00156/2025</t>
  </si>
  <si>
    <t>ETO-RD-PS  001001/2026</t>
  </si>
  <si>
    <t>Controle e ajuste</t>
  </si>
  <si>
    <t>0212600428</t>
  </si>
  <si>
    <t>510216</t>
  </si>
  <si>
    <t>ETO-RD-PS 301/2026</t>
  </si>
  <si>
    <t>ETO-COEP 00122/2025</t>
  </si>
  <si>
    <t>ETO-RD-PS 00192/2026</t>
  </si>
  <si>
    <t>Completo - Relé Cooper</t>
  </si>
  <si>
    <t>Equipamento Entregue</t>
  </si>
  <si>
    <t>0212600422</t>
  </si>
  <si>
    <t>Calendário logistco vai sair hoje 29/05/2026, assim que tiver rota de entrga avisamos</t>
  </si>
  <si>
    <t>ETO-RD-OS 325/2026</t>
  </si>
  <si>
    <t>ETO-COEP 00199/2025</t>
  </si>
  <si>
    <t>5855411017</t>
  </si>
  <si>
    <t>Vamos requisitar 1 controle</t>
  </si>
  <si>
    <t>0212600536</t>
  </si>
  <si>
    <t>8389</t>
  </si>
  <si>
    <t>ETO-RD-PS 304/2026</t>
  </si>
  <si>
    <t>ETO-COEP 00178/2025</t>
  </si>
  <si>
    <t>Completo (Controle - cooper)</t>
  </si>
  <si>
    <t>0612600439</t>
  </si>
  <si>
    <t>ETO-COEP 00223/2025</t>
  </si>
  <si>
    <t>3 celulas</t>
  </si>
  <si>
    <t>Requisição</t>
  </si>
  <si>
    <t>0512600177</t>
  </si>
  <si>
    <t>8481</t>
  </si>
  <si>
    <t>REQUISITAR 03 PEÇAS POIS 02  PÇ FOI RETIRADA PARA INSTALAÇÃO EM OBRA DE CONSTRUÇÃO.</t>
  </si>
  <si>
    <t>ETO-RD-DP 479/2026</t>
  </si>
  <si>
    <t>ETO-COEP 00123/2025</t>
  </si>
  <si>
    <t>Vamos requisitar , 3 celulas</t>
  </si>
  <si>
    <t>LUANDERSON</t>
  </si>
  <si>
    <t>Selecionado Para Aquisição</t>
  </si>
  <si>
    <t>0662600361</t>
  </si>
  <si>
    <t>Por estrategia não será enviado neste momento equipamento, iremos utilizar em outros reguladores</t>
  </si>
  <si>
    <t>Redirecionado para atender 5854566043 e 5862236091</t>
  </si>
  <si>
    <t>ETO-TELE 1032/2026</t>
  </si>
  <si>
    <t>ETO-COEP 00216/2025</t>
  </si>
  <si>
    <t>ETO-RD-PS  001614/2026</t>
  </si>
  <si>
    <t>5827102054</t>
  </si>
  <si>
    <t>Transferir para o COMC, corrigir o aterramento e verificar a possibilidade de corrigir a infiltração do controle com a cola utilizada para vedar vazamento no transformadores</t>
  </si>
  <si>
    <t>0212600537</t>
  </si>
  <si>
    <t>Repasse COCM´s</t>
  </si>
  <si>
    <t>Cancelar a obra tentar vedação do equipamento Melhoria de aterramento</t>
  </si>
  <si>
    <t>Media</t>
  </si>
  <si>
    <t>ETO-COEP 00077/2026</t>
  </si>
  <si>
    <t>ETO-RD-PS  001616/2026</t>
  </si>
  <si>
    <t>5801866013</t>
  </si>
  <si>
    <t>Vamos requisitar, 1 celula</t>
  </si>
  <si>
    <t>Aguardando a criação da obra para abrir a requisição</t>
  </si>
  <si>
    <t>0212600539</t>
  </si>
  <si>
    <t>ETO-RD-OS 303/2026</t>
  </si>
  <si>
    <t>ETO-COEP 00209/2025</t>
  </si>
  <si>
    <t>ETO-RD-GU 00493/2026</t>
  </si>
  <si>
    <t>0412600391</t>
  </si>
  <si>
    <t>511539, 511541</t>
  </si>
  <si>
    <t>ATRASO COCM´S</t>
  </si>
  <si>
    <t>ETO-RD-AG 696/2026</t>
  </si>
  <si>
    <t>ETO-COEP 00167/2025</t>
  </si>
  <si>
    <t>Vamos requisitar 1 celula fase A</t>
  </si>
  <si>
    <t>LEONARDO SANTOS DA SILVA</t>
  </si>
  <si>
    <t>0612600626</t>
  </si>
  <si>
    <t>Entrega 16/07</t>
  </si>
  <si>
    <t>ETO-RD-AR 1131/2026</t>
  </si>
  <si>
    <t>ETO-COEP 00106/2025</t>
  </si>
  <si>
    <t>SEM OBRA</t>
  </si>
  <si>
    <t>ETO-COEP 00180/2025</t>
  </si>
  <si>
    <t>5850308009</t>
  </si>
  <si>
    <t>Aguardando equipamento ser entregue</t>
  </si>
  <si>
    <t>0712600418</t>
  </si>
  <si>
    <t>Equipamento em operação em campo de acordo com a visita do Luanderson tem fotos
Equipamento já em operação , realocar controle de Regulador para Arapoema 5800371025</t>
  </si>
  <si>
    <t>ETO-COEP 00115/2026</t>
  </si>
  <si>
    <t>0712600419</t>
  </si>
  <si>
    <t>514632 , 516125</t>
  </si>
  <si>
    <t>ETO-COEP 00171/2025</t>
  </si>
  <si>
    <t>ETO-RD-DP 1548/2026</t>
  </si>
  <si>
    <t>5800438116</t>
  </si>
  <si>
    <t>Vamos requisitar , fase B e C</t>
  </si>
  <si>
    <t>Será utilizado regulador retirado de obra de construção</t>
  </si>
  <si>
    <t>0512600179</t>
  </si>
  <si>
    <t>Peças no Polo sobressalentes</t>
  </si>
  <si>
    <t>NÃO PRECISA REQUISITAR EQUIPAMENTO, VAMOS UTILIZAR EQ RETIRADO DE OBRA DE CONSTRUÇÃO.</t>
  </si>
  <si>
    <t>TOSCHIBA</t>
  </si>
  <si>
    <t>ETO-COEP 00187/2025</t>
  </si>
  <si>
    <t>SIm</t>
  </si>
  <si>
    <t>0712600318</t>
  </si>
  <si>
    <t>20/07/026</t>
  </si>
  <si>
    <t>ITB</t>
  </si>
  <si>
    <t>PEIXES</t>
  </si>
  <si>
    <t>ETO-RD-GU 3374/2026</t>
  </si>
  <si>
    <t>1 Celula</t>
  </si>
  <si>
    <t>690240</t>
  </si>
  <si>
    <t>DIONE SOUSA MARQUES</t>
  </si>
  <si>
    <t>0412600550</t>
  </si>
  <si>
    <t>Aguardando criação da Obra</t>
  </si>
  <si>
    <t>ETO-RD-PS 323/2025</t>
  </si>
  <si>
    <t>Melhoria de Aterramento</t>
  </si>
  <si>
    <t>JOELSON SILVA DE SOUZA</t>
  </si>
  <si>
    <t>5803327001</t>
  </si>
  <si>
    <t>LUZIMANGUES</t>
  </si>
  <si>
    <t>1 Controle</t>
  </si>
  <si>
    <t>CONTROLE RUA QUE VOLTOU DE DIANÓPOLIS</t>
  </si>
  <si>
    <t>DMSL reportou a necessidade de substituição do RT dia 16/06/2025 e novamente dia 31/07/2026.</t>
  </si>
  <si>
    <t>RELIGADOR</t>
  </si>
  <si>
    <t>REGULADOR</t>
  </si>
  <si>
    <t>1º critério</t>
  </si>
  <si>
    <t>Localização</t>
  </si>
  <si>
    <t>Funcionamento por fonte alternativa</t>
  </si>
  <si>
    <t>condições</t>
  </si>
  <si>
    <t>Clientes UB</t>
  </si>
  <si>
    <t>Clientes RR</t>
  </si>
  <si>
    <t xml:space="preserve">Não </t>
  </si>
  <si>
    <t>Não tem</t>
  </si>
  <si>
    <t>pesos</t>
  </si>
  <si>
    <t>2º critério</t>
  </si>
  <si>
    <t>Quantidade de clientes</t>
  </si>
  <si>
    <t>Atendimento de RDU</t>
  </si>
  <si>
    <t>Acima de 1000</t>
  </si>
  <si>
    <t>Até 1000</t>
  </si>
  <si>
    <t>Outro RL (RDU)</t>
  </si>
  <si>
    <t>Até 500</t>
  </si>
  <si>
    <t>3º critério</t>
  </si>
  <si>
    <t>Clientes Grupo A</t>
  </si>
  <si>
    <t>Risco do Imagem</t>
  </si>
  <si>
    <t>GA relevante</t>
  </si>
  <si>
    <t>Não relevante</t>
  </si>
  <si>
    <t>Não tem GA</t>
  </si>
  <si>
    <t>4º critério</t>
  </si>
  <si>
    <t>Risco de imagem</t>
  </si>
  <si>
    <t>5º critério</t>
  </si>
  <si>
    <t>Contém fonte alternativa</t>
  </si>
  <si>
    <t>Sensibilidade da operação</t>
  </si>
  <si>
    <t>Tem transferência</t>
  </si>
  <si>
    <t>6º critério</t>
  </si>
  <si>
    <t>Religador de Transferência</t>
  </si>
  <si>
    <t>7º critério</t>
  </si>
  <si>
    <t>Ramal radial</t>
  </si>
  <si>
    <t>8º critério</t>
  </si>
  <si>
    <t>Código da Solicitação</t>
  </si>
  <si>
    <t>Ano</t>
  </si>
  <si>
    <t>Descrição</t>
  </si>
  <si>
    <t>DataOcorrência</t>
  </si>
  <si>
    <t>Abrangencia</t>
  </si>
  <si>
    <t>Instalação</t>
  </si>
  <si>
    <t>Trecho</t>
  </si>
  <si>
    <t>Complemento</t>
  </si>
  <si>
    <t>Sigla Orgao</t>
  </si>
  <si>
    <t>SolicNome</t>
  </si>
  <si>
    <t>DescPrioridade</t>
  </si>
  <si>
    <t>SS-Estados</t>
  </si>
  <si>
    <t>Data/Hora Limite</t>
  </si>
  <si>
    <t>Ativos</t>
  </si>
  <si>
    <t>Qtd_Clientes</t>
  </si>
  <si>
    <t>Espécies</t>
  </si>
  <si>
    <t>SS-Tipos</t>
  </si>
  <si>
    <t>Término</t>
  </si>
  <si>
    <t>OSNumero</t>
  </si>
  <si>
    <t>OS-Estados</t>
  </si>
  <si>
    <t>PlanDataInicio</t>
  </si>
  <si>
    <t>PlanDataFinal</t>
  </si>
  <si>
    <t>DescOrigem</t>
  </si>
  <si>
    <t>Condição Operativa COI</t>
  </si>
  <si>
    <t>Descrição do Defeito</t>
  </si>
  <si>
    <t>Lida</t>
  </si>
  <si>
    <t>Processo</t>
  </si>
  <si>
    <t>DEPARTCODE</t>
  </si>
  <si>
    <t>UF</t>
  </si>
  <si>
    <t>Bairro</t>
  </si>
  <si>
    <t>Logradouro</t>
  </si>
  <si>
    <t>OS SIATT</t>
  </si>
  <si>
    <t>SS PRINCIPAL</t>
  </si>
  <si>
    <t>SOMA</t>
  </si>
  <si>
    <t>COORDENADA UTM Y</t>
  </si>
  <si>
    <t>COORDENADA UTM X</t>
  </si>
  <si>
    <t>EST PRIMÁRIA</t>
  </si>
  <si>
    <t>EST SECUNDÁRIA</t>
  </si>
  <si>
    <t>ETO-TELE 00520/2026</t>
  </si>
  <si>
    <t>REALIZAR SUBSTITUIÇÃO DE BATERIA</t>
  </si>
  <si>
    <t>190-17512894</t>
  </si>
  <si>
    <t>SCADA</t>
  </si>
  <si>
    <t>LARA SOARES FARIAS</t>
  </si>
  <si>
    <t>PROGRAMAVEL</t>
  </si>
  <si>
    <t>RELIGADOR DE REDE GIS</t>
  </si>
  <si>
    <t>SOLICITAÇÃO DE SERVIÇO</t>
  </si>
  <si>
    <t>ETO-TELE  000556/2026</t>
  </si>
  <si>
    <t>EXECUTADA</t>
  </si>
  <si>
    <t> </t>
  </si>
  <si>
    <t>NÃO</t>
  </si>
  <si>
    <t>ETO-TELE 00829/2026</t>
  </si>
  <si>
    <t>Segue nota para verificar falha de comunicação no regulador 5833578028 - Rural - Natividade.
equipe operacional foi no local, feito reset , porém não conseguiram normalizar sua comunicação .</t>
  </si>
  <si>
    <t>190-43520035</t>
  </si>
  <si>
    <t>COI</t>
  </si>
  <si>
    <t>DIOMAR FERREIRA PEREIRA</t>
  </si>
  <si>
    <t>EMERGENCIAL</t>
  </si>
  <si>
    <t>REGULADOR DE TENSÃO DE DISTRIBUIÇÃO GIS</t>
  </si>
  <si>
    <t>INDISPONIBILIDADE PARA OPERAÇÃO</t>
  </si>
  <si>
    <t>ETO-TELEGU  000167/2026</t>
  </si>
  <si>
    <t>REGULADOR DE TENSÃO</t>
  </si>
  <si>
    <t>ILEGÍVEL</t>
  </si>
  <si>
    <t>ETO-TELE 00845/2026</t>
  </si>
  <si>
    <t>Atualizar os ajustes e base do religador em campo, devido a inserção da SE.
Estagiário Rafael P Marques
*************************</t>
  </si>
  <si>
    <t>190-17512659</t>
  </si>
  <si>
    <t>COEP</t>
  </si>
  <si>
    <t>Rafael Pereira Marques</t>
  </si>
  <si>
    <t>ALTA</t>
  </si>
  <si>
    <t>AJUSTES DE PROTEÇÃO</t>
  </si>
  <si>
    <t>ETO-TELE  000591/2026</t>
  </si>
  <si>
    <t>ETO-TELECOM 00016/2026</t>
  </si>
  <si>
    <t>ETO-TELE 00047/2026</t>
  </si>
  <si>
    <t>REALIZAR TROCA DE BATERIA DO EQUIPAMENTO</t>
  </si>
  <si>
    <t>LD01059122</t>
  </si>
  <si>
    <t>190-17512718</t>
  </si>
  <si>
    <t>MANUT</t>
  </si>
  <si>
    <t>JULIA GRAZYELLE BRITO OLIVEIRA</t>
  </si>
  <si>
    <t>ETO-TELEPA  000110/2026</t>
  </si>
  <si>
    <t>NOVO ACORDO</t>
  </si>
  <si>
    <t>ETO-TELE 00942/2026</t>
  </si>
  <si>
    <t>PARECER DMSL 13/07/2026: Realizados ensaios de isolação nas três células, e foi identificado curto na fase A, sendo necessário a sua substituição. Os cabos das buchas ficaram desconectados para melhor identificação no momento da sua substituiçã
SEGUE PARA O DMSL AVALIAR ANTES DE SEGUIRMOS COM O SERVIÇO
SEGUE PARA REALIZAR TROCA
---------------------------------------------------------
Boa noite,
Segue SS para tratativas regulador de tensão 5840227063 fase C em curto</t>
  </si>
  <si>
    <t>190-31814641</t>
  </si>
  <si>
    <t>JANES FERREIRA DA SILVA</t>
  </si>
  <si>
    <t>BUCHA MT - CARGA (C)</t>
  </si>
  <si>
    <t>CORROSÃO / OXIDAÇÃO</t>
  </si>
  <si>
    <t>ETO-RD-AR 00150/2026</t>
  </si>
  <si>
    <t>ETO-TELE 00037/2026</t>
  </si>
  <si>
    <t>AL03072001</t>
  </si>
  <si>
    <t>190-17421725</t>
  </si>
  <si>
    <t>ETO-TELEPA  000039/2026</t>
  </si>
  <si>
    <t>ETO-TELE 00772/2026</t>
  </si>
  <si>
    <t>favor verificar a comunicação do RL, feito primeiro ataque mas não resolveu</t>
  </si>
  <si>
    <t>190-27297080</t>
  </si>
  <si>
    <t>WANDERLEY TAVARES DA SILVA</t>
  </si>
  <si>
    <t>ETO-TELE  000564/2026</t>
  </si>
  <si>
    <t>ETO-TELE 00940/2026</t>
  </si>
  <si>
    <t>Enviar equipe verificar relé 79, de religamento do Religador 7953211079, o mesmo  não está executando o seu clclo de religamento, desde modo penalizando cargas desnecessariamente, um total de 1438 Clientes penalizados</t>
  </si>
  <si>
    <t>190-47912485</t>
  </si>
  <si>
    <t>DELIO NUNES OSCAR</t>
  </si>
  <si>
    <t>SS CANCELADA</t>
  </si>
  <si>
    <t>RELÉ</t>
  </si>
  <si>
    <t>RELÉ DE PROTEÇÃO COM DEFEITO / FALHA</t>
  </si>
  <si>
    <t>ETO-TELE 00026/2026</t>
  </si>
  <si>
    <t>190-17512882</t>
  </si>
  <si>
    <t>ETO-TELEPA  000189/2026</t>
  </si>
  <si>
    <t>ETO-TELE 00627/2026</t>
  </si>
  <si>
    <t>LD01036052</t>
  </si>
  <si>
    <t>190-17512937</t>
  </si>
  <si>
    <t>Giovanna Gomes Maximo</t>
  </si>
  <si>
    <t>ETO-TELEGU  000232/2026</t>
  </si>
  <si>
    <t>ETO-TELE 00132/2026</t>
  </si>
  <si>
    <t>Religador com rele em curto, enviar equipe para vericar.</t>
  </si>
  <si>
    <t>190-34807324</t>
  </si>
  <si>
    <t>CLESIO CARVALHO MOURA</t>
  </si>
  <si>
    <t>LOCAL INSTAL RELIGADOR DE LINHA GIS</t>
  </si>
  <si>
    <t>ETO-TELEPA  000058/2026</t>
  </si>
  <si>
    <t>FALTANDO</t>
  </si>
  <si>
    <t>ETO-TELE 00719/2026</t>
  </si>
  <si>
    <t>AL11060122</t>
  </si>
  <si>
    <t>190-17421484</t>
  </si>
  <si>
    <t>ETO-TELEPA  000315/2026</t>
  </si>
  <si>
    <t>ETO-TELE 00416/2026</t>
  </si>
  <si>
    <t>DA PROTEÇÃO: Atualizar os ajustes do RL 7931383086, disponíveis no APP da proteção.
Estagiário Rafael P Marques
****************************</t>
  </si>
  <si>
    <t>190-17413960</t>
  </si>
  <si>
    <t>ETO-TELEPA  000345/2026</t>
  </si>
  <si>
    <t>Tocantins</t>
  </si>
  <si>
    <t>MARIANOPOLIS DO TOCANTINS</t>
  </si>
  <si>
    <t>190-36259504</t>
  </si>
  <si>
    <t>VINICIUS DE MORAIS NERY</t>
  </si>
  <si>
    <t>ETO-TELEGU  000307/2026</t>
  </si>
  <si>
    <t>PROGRAMADA</t>
  </si>
  <si>
    <t>INSPEÇÃO VISUAL</t>
  </si>
  <si>
    <t>ETO-TELE 00120/2026</t>
  </si>
  <si>
    <t>AL01061029</t>
  </si>
  <si>
    <t>190-17421763</t>
  </si>
  <si>
    <t>ETO-TELE  000021/2026</t>
  </si>
  <si>
    <t>ETO-TELE 00269/2026</t>
  </si>
  <si>
    <t>ALTERAR A BASE DO RELÉ NOJA PARA A MAIS ATUAL, BEM COMO ALTERAR OS AJUSTES DE PROTEÇÃO.</t>
  </si>
  <si>
    <t>AL01001037</t>
  </si>
  <si>
    <t>190-17403660</t>
  </si>
  <si>
    <t>COPO</t>
  </si>
  <si>
    <t>IRLLEY J A C BRANCO</t>
  </si>
  <si>
    <t>ETO-TELEGU  000050/2026</t>
  </si>
  <si>
    <t>ALIANCA DO TOCANTINS</t>
  </si>
  <si>
    <t>ETO-TELE 00221/2026</t>
  </si>
  <si>
    <t>ALTERAR OS AJUSTES DE PROTEÇÃO, SE FEZ NECESSÁRIO APLICAR DIRECIONALIDADE EM TODAS AS PROTEÇÕES DE ATUAÇÃO.</t>
  </si>
  <si>
    <t>AL02224073</t>
  </si>
  <si>
    <t>190-32589140</t>
  </si>
  <si>
    <t>ETO-TELE  000399/2026</t>
  </si>
  <si>
    <t>LAGOA DA CONFUSAO</t>
  </si>
  <si>
    <t>ETO-TELE 00801/2026</t>
  </si>
  <si>
    <t>FEITO O PRIMEIRO ATAQUE NO RL 7934678004 E O MESMO NÃO VOLTOU A COMUNICAÇÃO.
PROVIDENCIAR A MANUTENÇÃO NO MESMO.</t>
  </si>
  <si>
    <t>AL03010004</t>
  </si>
  <si>
    <t>190-17412151</t>
  </si>
  <si>
    <t>GERALDO JOSE DE FARIA</t>
  </si>
  <si>
    <t>ETO-TELE  000505/2026</t>
  </si>
  <si>
    <t>FORA DE SERVIÇO</t>
  </si>
  <si>
    <t>QUEIMADO</t>
  </si>
  <si>
    <t>ETO-TELE 00336/2026</t>
  </si>
  <si>
    <t>Favor,  substituir a bateria e instalar circuito para segregar a alimentação do skyedge.</t>
  </si>
  <si>
    <t>LD01105019</t>
  </si>
  <si>
    <t>190-17514006</t>
  </si>
  <si>
    <t>EDNA MARIA DOS SANTOS PINTO</t>
  </si>
  <si>
    <t>ETO-TELEAR  000012/2026</t>
  </si>
  <si>
    <t>FILADELFIA</t>
  </si>
  <si>
    <t>ETO-TELE 00862/2026</t>
  </si>
  <si>
    <t>VERIFICAR FALHA NA ABERTURA DO RELIGADOR 7930910156, FOI ENCONTRADO DEFEITO A FRENTE E O MESMO NÃO ABRIU, RELIGADOR QUE ABRIU FOI O SEC 7930271171.
PARECER DA PROTEÇÃO:
SE FAZ NECESSÁRIO TESTE FUNCIONAL COM VERIFICAÇÃO DE CORRENTE EM CADA FASE E ABERTURA DA PROTEÇÃO POR TRIP DO RELÉ.
ENGº IRLLEY CASTELO BRANCO</t>
  </si>
  <si>
    <t>190-17408102</t>
  </si>
  <si>
    <t>ETO-PROT 00050/2025</t>
  </si>
  <si>
    <t>LUZINOPOLIS</t>
  </si>
  <si>
    <t>ETO-TELE 01014/2026</t>
  </si>
  <si>
    <t>Olá, solicito ajuste no RL:
Habilitar Unsolicited – Colocar como Forçado;
Ajustar as bandas mortas do equipamento para os valores padrão;
Ajustar a temporização do Keep Alive para 172800s.</t>
  </si>
  <si>
    <t>AL01040003</t>
  </si>
  <si>
    <t>190-26356576</t>
  </si>
  <si>
    <t>Lorrane Sousa Gonçalves</t>
  </si>
  <si>
    <t>ETO-TELEGU  000262/2026</t>
  </si>
  <si>
    <t>ETO-TELE 00008/2026</t>
  </si>
  <si>
    <t>PARECER DA PROTEÇÃO:
ATUALIZAR AJUSTES DO RELIGADOR 7955223016 AL 01 WANDERLANDIA. ATUALIZAR VERSÃO DO RELE PARA VERSÃO ATUAL.
ESTUDO DE COORDENAÇÃO E SELETIVIDADE DISPONIVEIS NO APP DA PROTEÇÃO.
------------------------------------------------------------------------------------------------------------
Solicitação de serviço para analise de atuação do RL 7955223016.
Em caso de religamento da rede a montante o mesmo abre sinalizando curto.</t>
  </si>
  <si>
    <t>AL01086016</t>
  </si>
  <si>
    <t>190-22934649</t>
  </si>
  <si>
    <t>LEONARDO SIQUEIRA AMORIM</t>
  </si>
  <si>
    <t>AVISO PROTEÇÃO &amp; SELETIVIDADE</t>
  </si>
  <si>
    <t>ETO-TLAR01  000008/2026</t>
  </si>
  <si>
    <t>ETO-PROT 00190/2025</t>
  </si>
  <si>
    <t>ETO-TELE 00361/2026</t>
  </si>
  <si>
    <t>Favor, realizar correção da malha de aterramento do RLG 7965032004 pois as medições deram acima de 280 Ohms. Após correção retornar nota para DMSL, no posto ETO-TELE.
Parecer DCMD: Foi realizado correção no aterrmanento</t>
  </si>
  <si>
    <t>AL02096004</t>
  </si>
  <si>
    <t>190-39145664</t>
  </si>
  <si>
    <t>COCM</t>
  </si>
  <si>
    <t>COMISSIONAMENTO</t>
  </si>
  <si>
    <t>ETO-TELEAR  000017/2026</t>
  </si>
  <si>
    <t>SIM</t>
  </si>
  <si>
    <t>ETO-TELE 00460/2026</t>
  </si>
  <si>
    <t>Alterar meio de comunicação de Orbicomm para antena telespazio.</t>
  </si>
  <si>
    <t>190-40144694</t>
  </si>
  <si>
    <t>ETO-TELE 00588/2026</t>
  </si>
  <si>
    <t>Substituição de bateria.</t>
  </si>
  <si>
    <t>190-65887188</t>
  </si>
  <si>
    <t>ETO-TELE  000439/2026</t>
  </si>
  <si>
    <t>ANGICO</t>
  </si>
  <si>
    <t>ETO-TELE 00446/2026</t>
  </si>
  <si>
    <t xml:space="preserve">
PARECER DMSL: Serviço Executado: foi feita a migração de orbicon, para telespazio  realizado a instalação antena, foi realizado o apontamento da antena, foi feito o comissionamento, atualizada a base juntamente com  com escada
Equipamento ficou em operação? não , FAVOR VERIFICAR AS CHAVES FACAS
Pendência: Sim fazer manutenção nas chaves facas que não estão fechando Bateria(s) Substituída(s): Não
Data Fabricação/Instalação da(s) bateria(s):
Equipe: Carliel João Vitor Fernando e Elson
--------------------------------------------------------
Alterar meio de comunicação de Orbicomm para antena telespazio.</t>
  </si>
  <si>
    <t>LD01056046</t>
  </si>
  <si>
    <t>190-17512956</t>
  </si>
  <si>
    <t>NOVA ROSALANDIA</t>
  </si>
  <si>
    <t>ETO-TELE 00767/2026</t>
  </si>
  <si>
    <t>PROVIDENCIAR INSPEÇÃO E MANUTENÇÃO NO RL 7924823034 O MESMO QUANDO PERDE A COMUNICAÇÃO SO VOLTA COM UM RESET LOCAL.
OBS.: DESLIGA E LIGA DJ E VOLTA</t>
  </si>
  <si>
    <t>190-17404094</t>
  </si>
  <si>
    <t>ETO-TELE  000506/2026</t>
  </si>
  <si>
    <t>PRESIDENTE KENNEDY</t>
  </si>
  <si>
    <t>ETO-TELE 00893/2026</t>
  </si>
  <si>
    <t>PARECER DA PROTEÇÃO:
AJUSTES REALIZADOS, DISPONÍVEIS NO APP DA PROTEÇÃO.
Estagiário Rafael P Marques
***********************
RELIGADOR N°7967182124 INSTALADO NA OBRA 0652400756 GENTILEZA, REALIZAR O COMISSIONAMENTO.
LAUDO EM ANEXO.
COORD EO: 817446, 9287029
----------------------------------------------------
PARECER DMSL:
Chamado de desenvolvimento 30550623 criado. Favor, programar comissionamento a partir do dia 15/06/2026.</t>
  </si>
  <si>
    <t>AL01030124</t>
  </si>
  <si>
    <t>190-45805293</t>
  </si>
  <si>
    <t>COPC</t>
  </si>
  <si>
    <t>Leonardo Sousa de Lima</t>
  </si>
  <si>
    <t>ETO-PROT 00019/2026</t>
  </si>
  <si>
    <t>RIACHINHO</t>
  </si>
  <si>
    <t>ETO-TELE 00673/2026</t>
  </si>
  <si>
    <t>LD02003036</t>
  </si>
  <si>
    <t>190-17512990</t>
  </si>
  <si>
    <t>ETO-TELEGU  000146/2026</t>
  </si>
  <si>
    <t>ETO-TELE 00901/2026</t>
  </si>
  <si>
    <t>Favor, realizar troca de bateria.</t>
  </si>
  <si>
    <t>190-17512795</t>
  </si>
  <si>
    <t>ETO-TELEPA  000387/2026</t>
  </si>
  <si>
    <t>TOCANTINIA</t>
  </si>
  <si>
    <t>ETO-TELE 00973/2026</t>
  </si>
  <si>
    <t>PARECER COEP: FAVOR AVALIAR SE REALMENTE SERÁ A SUBSTITUIÇÃO DO EQUIPAMENTO COMPLETO JÁ QUE O PROBLEMA OCORRE NA FASE B E O EQUIPAMENTO PARECE ESTAR EM OPERAÇÃO E COMUNICANDO COM O SCADA
Verificar RL 7910027196- sem comunicação
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 Subsituição do Equipamento Completo exceto o Radio)
Time do COEP, Assim que Tiver Compra do Equipamento, Favor Tranferir a SS Posto ETO RD PA, para que Possamos seguir com a Substituição!</t>
  </si>
  <si>
    <t>190-17403325</t>
  </si>
  <si>
    <t>MACKYS NASCIMENTO LIMA</t>
  </si>
  <si>
    <t>ETO-TELEPA  000365/2026</t>
  </si>
  <si>
    <t>ETO-TELE 00522/2025</t>
  </si>
  <si>
    <t>ETO-TELE 00150/2026</t>
  </si>
  <si>
    <t>REALIZAR TROCA DE BATERIA</t>
  </si>
  <si>
    <t>190-17514118</t>
  </si>
  <si>
    <t>ETO-TELEGU  000019/2026</t>
  </si>
  <si>
    <t>ETO-TELE 00689/2026</t>
  </si>
  <si>
    <t>AL01081100</t>
  </si>
  <si>
    <t>190-46152525</t>
  </si>
  <si>
    <t>ETO-TELEPA  000341/2026</t>
  </si>
  <si>
    <t>ETO-TELE 00824/2026</t>
  </si>
  <si>
    <t>CHAVE FACA RT 5837543086
FASE C ESTA DANIFICADA NECESSARIO SUBSTITUIÇAÕ COM EQUIPE DE LINHA VIVA
NECESSARIO TAMBEM,TROCA DO  PARA REAIO FASE C QUE ESTA QUEIMADO .
EQUIPE 086OP01 ERSTEVE NO LOCAL
PARECER DCMD: CHAVE FACA E PARA-RAIO JÁ FOI SUBSTITUIDO.</t>
  </si>
  <si>
    <t>190-1363326</t>
  </si>
  <si>
    <t>Felipe Batista Ferrreira</t>
  </si>
  <si>
    <t>POSTE RD GIS</t>
  </si>
  <si>
    <t>AVISO DE ANOMALIA</t>
  </si>
  <si>
    <t>ETO-TELE  000605/2026</t>
  </si>
  <si>
    <t>CHAVE</t>
  </si>
  <si>
    <t>QUEBRADO(A)/DANIFICADO(A)</t>
  </si>
  <si>
    <t>ENC-RD-PS 00496/2026</t>
  </si>
  <si>
    <t>HT</t>
  </si>
  <si>
    <t>S3</t>
  </si>
  <si>
    <t>ETO-TELE 00907/2026</t>
  </si>
  <si>
    <t>190-17421499</t>
  </si>
  <si>
    <t>ETO-TELEPA  000185/2026</t>
  </si>
  <si>
    <t>ETO-TELE 00921/2026</t>
  </si>
  <si>
    <t>LD02047073</t>
  </si>
  <si>
    <t>190-47573287</t>
  </si>
  <si>
    <t>ETO-TELEPA  000054/2026</t>
  </si>
  <si>
    <t>ETO-TELE 00145/2026</t>
  </si>
  <si>
    <t>190-53292883</t>
  </si>
  <si>
    <t>ETO-TELE 00421/2026</t>
  </si>
  <si>
    <t>Senhores, segue para conecimento rl 7952401151 , 7908694196, 7944239196  quando falta CA perde a comunicaçao,
favor verifica pois esta impactando pois nao conseguimos trasferir a cidade de Lagoa do Tocantins</t>
  </si>
  <si>
    <t>190-17403394</t>
  </si>
  <si>
    <t>CLEONE PEREIRA DE SOUZA LIMA</t>
  </si>
  <si>
    <t>ETO-TELE  000468/2026</t>
  </si>
  <si>
    <t>ETO-TELE 00637/2026</t>
  </si>
  <si>
    <t>AL04040003</t>
  </si>
  <si>
    <t>190-17421123</t>
  </si>
  <si>
    <t>ETO-TELEGU  000095/2026</t>
  </si>
  <si>
    <t>ETO-TELE 00093/2026</t>
  </si>
  <si>
    <t>AL06097122</t>
  </si>
  <si>
    <t>190-17419984</t>
  </si>
  <si>
    <t>ETO-TELEPA  000017/2026</t>
  </si>
  <si>
    <t>ETO-TELE 00889/2026</t>
  </si>
  <si>
    <t>SEGUE RL 7942191013 PERDE COMUNICAÇÃO QUANDO FICA SEM C/A, O MESMO PENALIZOU 3696 UCS EM DESARME DO DJ 254R PARAISO NECESITA URGENCIA O MESMO E N/A EM CAMPO</t>
  </si>
  <si>
    <t>AL02062013</t>
  </si>
  <si>
    <t>190-17439729</t>
  </si>
  <si>
    <t>ARTHUR MAGALHAES DAS DORES</t>
  </si>
  <si>
    <t>ANOMALIA EM RELIGADOR</t>
  </si>
  <si>
    <t>ETO-SE-PA  000455/2026</t>
  </si>
  <si>
    <t>CIRCUITO DE COMANDO</t>
  </si>
  <si>
    <t>ETO-TELE 00347/2026</t>
  </si>
  <si>
    <t>caixa do religador 7955686076 caminhão de carvão passou no local e bateu fotos com cos.
PARECER DMSL: Favor, fixar novamente controle do equipamento 7955686076  no poste e retornar nota para o DMSL verificar a comunicação e colocar o RLG em operação.</t>
  </si>
  <si>
    <t>190-41785095</t>
  </si>
  <si>
    <t>MARCELO LIMA DAMASCENO</t>
  </si>
  <si>
    <t>PARTES TRINCADAS OU QUEBRADAS</t>
  </si>
  <si>
    <t>ETO-TELE 00694/2026</t>
  </si>
  <si>
    <t>190-17513734</t>
  </si>
  <si>
    <t>ETO-TELE  000586/2026</t>
  </si>
  <si>
    <t>ETO-TELE 00691/2026</t>
  </si>
  <si>
    <t>190-17592882</t>
  </si>
  <si>
    <t>ETO-TELEPA  000420/2026</t>
  </si>
  <si>
    <t>DIVINOPOLIS DO TOCANTINS</t>
  </si>
  <si>
    <t>ETO-TELE 00118/2026</t>
  </si>
  <si>
    <t>190-17512732</t>
  </si>
  <si>
    <t>ETO-TELE  000059/2026</t>
  </si>
  <si>
    <t>ETO-TELE 00402/2026</t>
  </si>
  <si>
    <t xml:space="preserve">
Segue RL 7913348136 O MESMO ABRIU EM CAMPOMAS NÃO SINALIZOU NO SISTEMA DURANTE MANOBRAS NA LD, PENALIZANDO CARGAS RDU DE PAU D´ARCO RL DE TRANSFERENCIA DA CIDADE O MEMSO FICOU BY-PASSADO EM CAMPO</t>
  </si>
  <si>
    <t>190-17512898</t>
  </si>
  <si>
    <t>OUTROS</t>
  </si>
  <si>
    <t>PAU D'ARCO</t>
  </si>
  <si>
    <t>ETO-TELE 00880/2026</t>
  </si>
  <si>
    <t>Segue nota para verificar falha em comunicação e automação no RL-7900280041, Feito primeiro ataque com equipe 037op01, porém sem sucesso.</t>
  </si>
  <si>
    <t>190-17514239</t>
  </si>
  <si>
    <t>SAMUEL PINTO GOMES</t>
  </si>
  <si>
    <t>EM OPERAÇÃO COM ANOMALIA</t>
  </si>
  <si>
    <t>ETO-TELEGU  000192/2026</t>
  </si>
  <si>
    <t>CRIXÁS DO TOCANTINS</t>
  </si>
  <si>
    <t>ETO-TELE 00990/2026</t>
  </si>
  <si>
    <t>Fazer medição de aterramento - Criticidade: Muito alta - Alimentador: LD DIANOPOLIS P ALTA TAGUATINGA E ARRAIAS</t>
  </si>
  <si>
    <t>190-53795327</t>
  </si>
  <si>
    <t>Regina Victória de Lucena Pero</t>
  </si>
  <si>
    <t>ETO-TELEGU  000251/2026</t>
  </si>
  <si>
    <t>ATERRAMENTO</t>
  </si>
  <si>
    <t>ETO-TELE 00317/2026</t>
  </si>
  <si>
    <t>Realizar substituição de bateria do RLG 7901151022.
PARECER DMSL:
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
DCMD : FOI INSTALADO O TRAFO DIA 06/02</t>
  </si>
  <si>
    <t>190-17513071</t>
  </si>
  <si>
    <t>ETO-TELE 00191/2026</t>
  </si>
  <si>
    <t>ETO-TELE 00381/2026</t>
  </si>
  <si>
    <t>Atualizar base do Religador 7900626055 com a proteção de Subtensão 27
Estagiário Rafael P Marques
****************************</t>
  </si>
  <si>
    <t>190-17410075</t>
  </si>
  <si>
    <t>ETO-TELEPA  000145/2026</t>
  </si>
  <si>
    <t>ETO-TELE 00667/2026</t>
  </si>
  <si>
    <t>190-17514249</t>
  </si>
  <si>
    <t>ETO-TELEGU  000195/2026</t>
  </si>
  <si>
    <t>SAO VALERIO</t>
  </si>
  <si>
    <t>ETO-TELE 00739/2026</t>
  </si>
  <si>
    <t>LD03050008</t>
  </si>
  <si>
    <t>190-56637911</t>
  </si>
  <si>
    <t>ETO-TELE  000520/2026</t>
  </si>
  <si>
    <t>ETO-TELE 00380/2026</t>
  </si>
  <si>
    <t>Religador 7931503001 com disjuntor desarmando frequente perdendo comunicação, tensão 13.8.</t>
  </si>
  <si>
    <t>AL01101271</t>
  </si>
  <si>
    <t>190-17337392</t>
  </si>
  <si>
    <t>HELDER SILVA CARVALHO</t>
  </si>
  <si>
    <t>ETO-TELE  000368/2026</t>
  </si>
  <si>
    <t>ETO-TELE 00391/2026</t>
  </si>
  <si>
    <t>PARECER DMSL: Substituir Equipamento completo problema na placa de alimentação e na parte ativa, falta colocar placa de identificação correta na topologia, baixar o controle.
Equipamento ficou em operação?: nao
Pendência: sim
Bateria(s) substituída(s)? NÃO
Equipe: Kaique/ Benvindo
----------------------------------------------
PARECER DA PROTEÇÃO:
Prosseguir com o comissionamento. Ajustes de religador permanecem os mesmos, disponíveis no APP da Proteção.
********************************
RELIGADOR N°7919270014 REMANEJADO NA OBRA 0212501060 GENTILEZA, REALIZAR O COMISSIONAMENTO.
LAUDO EM ANEXO. 
COORD EO: 617422, 8830787</t>
  </si>
  <si>
    <t>190-17407946</t>
  </si>
  <si>
    <t>ETO-PROT 00053/2026</t>
  </si>
  <si>
    <t>ETO-TELE 00842/2026</t>
  </si>
  <si>
    <t>Foi  Constatado RL 7955635116 Em curto Quando fechado com cargas ou faz alguma manobra .  
equipe informou que o problema a na chave de entrada quando faz manobra o mesmo da arco , favor verificar as conexoes de entrada e saida do do mesmo .
PARECER DMSL: REALIZAR MANUTENÇÃO NOS PARA-RAIO RETIRANDO DE PRÓXIMO DA MÃO FRANCESA, POIS ESTÁ CAUSANDO CURTO DEVIDO A PASSARASOS. O EQUIPAMENTO FICOU BYPASSADO, APÓS MANUTENÇÃO, FAVOR COLOCAR O EQUIPAMENTO EM OPERAÇÃO.</t>
  </si>
  <si>
    <t>190-37134826</t>
  </si>
  <si>
    <t>ETO-TELE 00725/2026</t>
  </si>
  <si>
    <t>190-17512704</t>
  </si>
  <si>
    <t>ETO-TELE 01061/2026</t>
  </si>
  <si>
    <t>ALTERAR NO MAPA TS:
ELO FUSIVEM NOMINAL: 10K
ELOS INSTALADOS: 10K</t>
  </si>
  <si>
    <t>190-17399633</t>
  </si>
  <si>
    <t>LOCAL INSTAL CHAVE FUSÍVEL GIS</t>
  </si>
  <si>
    <t>AVISO DE CADASTRO</t>
  </si>
  <si>
    <t>CHAVE FUSÍVEL</t>
  </si>
  <si>
    <t>MAL APLICADO</t>
  </si>
  <si>
    <t>ETO-TELE 00014/2026</t>
  </si>
  <si>
    <t>AL07059122</t>
  </si>
  <si>
    <t>190-26597072</t>
  </si>
  <si>
    <t>ETO-TELEPA  000030/2026</t>
  </si>
  <si>
    <t>ETO-TELE 00140/2026</t>
  </si>
  <si>
    <t>RELIGADOR SEM COMUNICAÇÃO, BY PASSADO, NECESSITA VERIFICAÇÃO.</t>
  </si>
  <si>
    <t>LD07002091</t>
  </si>
  <si>
    <t>190-30367970</t>
  </si>
  <si>
    <t>ZENILSON MOREIRA SANTOS</t>
  </si>
  <si>
    <t>ETO-TELEGU  000037/2026</t>
  </si>
  <si>
    <t>PORTO ALEGRE DO TOCANTINS</t>
  </si>
  <si>
    <t>ETO-TELE 00727/2026</t>
  </si>
  <si>
    <t>190-17512688</t>
  </si>
  <si>
    <t>ETO-TELEPA  000421/2026</t>
  </si>
  <si>
    <t>190-34691569</t>
  </si>
  <si>
    <t>ETO-TELEPA  000399/2026</t>
  </si>
  <si>
    <t>ETO-TELE 00477/2026</t>
  </si>
  <si>
    <t>190-25330474</t>
  </si>
  <si>
    <t>ETO-TELE 00882/2026</t>
  </si>
  <si>
    <t>PARECER DCMD:
Serviço realizado , substituição da caixa de controle do RELIGADOR 7934698002 - Favor realizar comissionamento
OBS:DMSL levar rádio e cabo da antena !</t>
  </si>
  <si>
    <t>190-17338880</t>
  </si>
  <si>
    <t>LUANDERSON MARTINS ALMEIDA</t>
  </si>
  <si>
    <t>ETO-TELEAR  000092/2026</t>
  </si>
  <si>
    <t>ARMÁRIO DE CONTROLE</t>
  </si>
  <si>
    <t>ETO-TELE 00784/2026</t>
  </si>
  <si>
    <t>segue nota para manutençao em RL 7901279052 o mesmo esta em curto interno</t>
  </si>
  <si>
    <t>AL01036052</t>
  </si>
  <si>
    <t>190-28314659</t>
  </si>
  <si>
    <t>CARLOS ALBERTO COUTINHO DE MOR</t>
  </si>
  <si>
    <t>ETO-TELEGU  000078/2026</t>
  </si>
  <si>
    <t>PARECER DMSL 31/07/2026: RT 5858783119 SE ECONTRA NA MESMA SITUAÇÃO INFORMADA NO DIA 16/06/2026. FAVOR, REGULARIZAR A SITUAÇÃO DO EQUIPAMENTO, SUBSTITUINDO OS 3 TANQUES E  INSTALAR NOVOS PARA-RAIOS.
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
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</si>
  <si>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190-57123183</t>
  </si>
  <si>
    <t>Thais Jordanna Jesus Silva</t>
  </si>
  <si>
    <t>ETO-PROT 00119/2025</t>
  </si>
  <si>
    <t>ETO-TELE 00395/2026</t>
  </si>
  <si>
    <t>DESLOCAR EQUIPE ATE O RL 7932924070 substituir o equipamento MDS-SD4 que segundo DMSL esta danificado</t>
  </si>
  <si>
    <t>190-17403347</t>
  </si>
  <si>
    <t>JORGE BOAZ FERREIRA SOUSA DA S</t>
  </si>
  <si>
    <t>INEXISTENTE</t>
  </si>
  <si>
    <t>ETO-TELE 00910/2026</t>
  </si>
  <si>
    <t>190-17512698</t>
  </si>
  <si>
    <t>ETO-TELE  000613/2026</t>
  </si>
  <si>
    <t>ETO-TELE 00227/2026</t>
  </si>
  <si>
    <t>ATUALIZAR AJUSTES DO RL 7925586075 LD MIRANORTE ARAGUACEMA. NA OPORTUNIDADE ATUALIZAR VERSÃO DO RELE PARA VERSÃO ATUAL. AJUSTES DISPONIVEL NO APP DA PROTEÇÃO.</t>
  </si>
  <si>
    <t>LD02050008</t>
  </si>
  <si>
    <t>190-17410061</t>
  </si>
  <si>
    <t>CLEBSON ALVES DUARTE</t>
  </si>
  <si>
    <t>ETO-TELEPA  000098/2026</t>
  </si>
  <si>
    <t>ETO-TELE 00659/2026</t>
  </si>
  <si>
    <t>190-17514240</t>
  </si>
  <si>
    <t>ETO-TELEGU  000145/2026</t>
  </si>
  <si>
    <t>ETO-TELE 00865/2026</t>
  </si>
  <si>
    <t>Religador 7930359149 não subiu as informações de corrente no elipse.</t>
  </si>
  <si>
    <t>190-17413951</t>
  </si>
  <si>
    <t>ETO-TELEPA  000346/2026</t>
  </si>
  <si>
    <t>PARECER DA PROTEÇÃO:
RECOMISSIONAR RELIGADOR, AJUSTES DE PROTEÇÃO PERMANECEM OS MESMOS.
Estagiário Rafael P Marques
****************************
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
****** Parecer do COCM Centro***
Equipámento Substituido em Campo pela Ordem de ServIÇO DLP-MPPA01 244/2026, ONDE OS RELATORIO ESTÃO ANEXADO..</t>
  </si>
  <si>
    <t>190-17409267</t>
  </si>
  <si>
    <t>HERIK BUARQUE DOS SANTOS</t>
  </si>
  <si>
    <t>ETO-TELEPA  000495/2026</t>
  </si>
  <si>
    <t>ETO-TELE 01183/2025</t>
  </si>
  <si>
    <t>ETO-TELE 00519/2026</t>
  </si>
  <si>
    <t>LD04105019</t>
  </si>
  <si>
    <t>190-42997188</t>
  </si>
  <si>
    <t>ETO-TELEAR  000045/2026</t>
  </si>
  <si>
    <t>ETO-TELE 00669/2026</t>
  </si>
  <si>
    <t>190-17512833</t>
  </si>
  <si>
    <t>ETO-TELEGU  000147/2026</t>
  </si>
  <si>
    <t>JAU DO TOCANTINS</t>
  </si>
  <si>
    <t>ETO-TELE 00693/2026</t>
  </si>
  <si>
    <t>190-33773658</t>
  </si>
  <si>
    <t>ETO-TELEPA  000401/2026</t>
  </si>
  <si>
    <t>LAJEADO</t>
  </si>
  <si>
    <t>ETO-TELE 00610/2026</t>
  </si>
  <si>
    <t>realizado primeiro ataque no religador 7927000155, o mesmo não retornou comunicação. indisponivel para operação.</t>
  </si>
  <si>
    <t>190-17408810</t>
  </si>
  <si>
    <t>LEANDRO BISPO DE BARROS</t>
  </si>
  <si>
    <t>ETO-TELE  000507/2026</t>
  </si>
  <si>
    <t>ETO-TELE 01073/2026</t>
  </si>
  <si>
    <t>• Ponto 0 (Corrente Fase A): Ajustar para 5A;
• Ponto 1 (Corrente Fase B): Ajustar para 5A;
• Ponto 2 (Corrente Fase C): Ajustar para 5A
• Ponto 11 (Corrente de Neutro): Ajustar para 3A;
• Ajustar a temporização do Keep Alive para 172800s.</t>
  </si>
  <si>
    <t>190-17513083</t>
  </si>
  <si>
    <t>RECURSOLANDIA</t>
  </si>
  <si>
    <t>ETO-TELE 00419/2026</t>
  </si>
  <si>
    <t>190-40076039</t>
  </si>
  <si>
    <t>ETO-TELE  000395/2026</t>
  </si>
  <si>
    <t>SANTA TEREZA DO TOCANTINS</t>
  </si>
  <si>
    <t>190-45409110</t>
  </si>
  <si>
    <t>JURANDY GOMES DE OLIVEIRA</t>
  </si>
  <si>
    <t>ETO-TELEGU  000252/2026</t>
  </si>
  <si>
    <t>ETO-TELE 00324/2026</t>
  </si>
  <si>
    <t>Segue SS para veerificação RL em curto na taque
PARECER DMSL: FOI CONSTATADO JUNTAMENTE COM A EQUIPE SINERGIA,   Estava sem comunicação. Defeito no tanque. Religador está by Pass
PENDENCIA: Necesario   substituir tanque
COEP: Realizar substituição do tanque
Parecer da proteção:
Ajuste disponibilizado no app da proteção, segue nota para DMSL comissionar o equipamento.
Eng° Irlley Castelo Branco</t>
  </si>
  <si>
    <t>190-17339315</t>
  </si>
  <si>
    <t>ETO-TELE  000387/2026</t>
  </si>
  <si>
    <t>ETO-TELE 01523/2025</t>
  </si>
  <si>
    <t>ETO-TELE 00535/2026</t>
  </si>
  <si>
    <t>190-17512692</t>
  </si>
  <si>
    <t>ETO-TELE  000548/2026</t>
  </si>
  <si>
    <t>ETO-TELE 00072/2026</t>
  </si>
  <si>
    <t>AL01082006</t>
  </si>
  <si>
    <t>190-17419859</t>
  </si>
  <si>
    <t>ETO-TELEPA  000243/2026</t>
  </si>
  <si>
    <t>ETO-TELE 00173/2026</t>
  </si>
  <si>
    <t>COLETAR LOG's DE EVENTOS DO RL 7953298122 AL 06 SE PALMAS IV. 
ENVIAR DADOS PARA AREA DE PROTEÇÃO.</t>
  </si>
  <si>
    <t>190-33167060</t>
  </si>
  <si>
    <t>ETO-TELE  000524/2026</t>
  </si>
  <si>
    <t>ETO-TELE 00233/2026</t>
  </si>
  <si>
    <t>nota aberta para primeiro ataque em RT 5844369186 o mesmo encontra se fora de operaçao</t>
  </si>
  <si>
    <t>190-15776937</t>
  </si>
  <si>
    <t>ETO-TELEGU  000045/2026</t>
  </si>
  <si>
    <t>RELÉ REGULADOR DE TENSÃO</t>
  </si>
  <si>
    <t>ETO-RD-GU 00140/2026</t>
  </si>
  <si>
    <t>ETO-TELE 00895/2026</t>
  </si>
  <si>
    <t>FOI CONSTATADO RL 7908203091, SEM COMUNICAÇÃO EM CURTO AO LIGAR O DISJUNTOR , FAVOR DISPONIBILIZAR EQUIPE PARA DEVIDAS TRATATIVAS</t>
  </si>
  <si>
    <t>LD06002091</t>
  </si>
  <si>
    <t>190-17408285</t>
  </si>
  <si>
    <t>GILMAR VIEIRA DE SOUSA</t>
  </si>
  <si>
    <t>ETO-TELEGU  000224/2026</t>
  </si>
  <si>
    <t>ETO-TELE 00903/2026</t>
  </si>
  <si>
    <t>AL09060122</t>
  </si>
  <si>
    <t>190-17421723</t>
  </si>
  <si>
    <t>ETO-TELEPA  000397/2026</t>
  </si>
  <si>
    <t>ETO-TELE 00887/2026</t>
  </si>
  <si>
    <t>PARECER DA PROTEÇÃO:
Favor prosseguir com o comissionamento, ajustes disponíveis no APP da proteção. Planilha com informações em anexo.
Estagiário Rafael P Marques.
•REGULADOR OBRA 0702400711
CODIGO TOPOLOGIA 5868303009
COORDENADAS: 776908,9046587
POSTE (40991046)
LAUDO EM ANEXO
-----------------------------------------------------------------------------------
PARECER DMSL: Chamado de desenvolvimento 30548917 criado. Favor, programar comissionamento a partir do dia 09/06/2026.</t>
  </si>
  <si>
    <t>190-40991046</t>
  </si>
  <si>
    <t>Rafael Rodrigues Paiva Araujo</t>
  </si>
  <si>
    <t>ETO-TELE  000597/2026</t>
  </si>
  <si>
    <t>ETO-PROT 00116/2026</t>
  </si>
  <si>
    <t>N1</t>
  </si>
  <si>
    <t>ETO-TELE 00570/2026</t>
  </si>
  <si>
    <t>AL03096004</t>
  </si>
  <si>
    <t>190-17421593</t>
  </si>
  <si>
    <t>ETO-TELE  000436/2026</t>
  </si>
  <si>
    <t>ETO-TELE 00920/2026</t>
  </si>
  <si>
    <t>190-17512892</t>
  </si>
  <si>
    <t>ETO-TELEPA  000497/2026</t>
  </si>
  <si>
    <t>CRISTALANDIA</t>
  </si>
  <si>
    <t>FEITO O PRIMEIRO ATAQUE NO RL 7954668084 E O DISPLAY ESTÁ QUEIMADO, NÃO LIGA.
OS (99) 106230846
PRECISA SER FEITO A ANÀLISE DO DMSL, PARA A COMPRA DO EQUIPAMENTO</t>
  </si>
  <si>
    <t>190-37207659</t>
  </si>
  <si>
    <t>EVA RAIANE CASTELO BONFIM DA S</t>
  </si>
  <si>
    <t>ETO-TELEPA  000440/2026</t>
  </si>
  <si>
    <t>ENC-RD-PS 00188/2026</t>
  </si>
  <si>
    <t>PARECER COEP: Equipamento em operação no SCADA, favor revisitar ou explicar defeito e modelo do equipamento.
Substituição de tanque e controle, os mesmos estão com defeitos.</t>
  </si>
  <si>
    <t>190-17512824</t>
  </si>
  <si>
    <t>ETO-TELEGU  000243/2026</t>
  </si>
  <si>
    <t>ETO-COEP 00020/2026</t>
  </si>
  <si>
    <t>Segue nota para falha de comunicação no religador 7900001096 - Rural - Pindorama .
Equipamento perdeu a comunicação quando faltou CA , porém mesmo ao retorna o CA não retornou a comunicação !
Feito primeiro ataque sem sucesso !</t>
  </si>
  <si>
    <t>190-17512767</t>
  </si>
  <si>
    <t>ETO-TELEPA  000485/2026</t>
  </si>
  <si>
    <t>ETO-TELE 00479/2026</t>
  </si>
  <si>
    <t>190-52477019</t>
  </si>
  <si>
    <t>ETO-TELEAR  000069/2026</t>
  </si>
  <si>
    <t>ETO-TELE 00573/2026</t>
  </si>
  <si>
    <t>190-17512938</t>
  </si>
  <si>
    <t>ETO-TELE  000480/2026</t>
  </si>
  <si>
    <t>ETO-TELE 00701/2026</t>
  </si>
  <si>
    <t>190-17421615</t>
  </si>
  <si>
    <t>ETO-TELEPA  000338/2026</t>
  </si>
  <si>
    <t>ETO-TELE 00130/2026</t>
  </si>
  <si>
    <t>.</t>
  </si>
  <si>
    <t>AL01026041</t>
  </si>
  <si>
    <t>190-41132494</t>
  </si>
  <si>
    <t>ETO-TELE  000529/2026</t>
  </si>
  <si>
    <t>ABERTURA INDEVIDA DA PROTEÇÃO</t>
  </si>
  <si>
    <t>ETO-TELE 01542/2025</t>
  </si>
  <si>
    <t>ETO-TELE 00758/2026</t>
  </si>
  <si>
    <t>AL04060122</t>
  </si>
  <si>
    <t>190-17419960</t>
  </si>
  <si>
    <t>ETO-TELE 00344/2026</t>
  </si>
  <si>
    <t>Senhores, segue para conhecimento rl 7955946007 feito primeiro ataque o mesmo nao retornou a comunicaçao ,identificado dj desarmando, favor verificar.</t>
  </si>
  <si>
    <t>190-21578328</t>
  </si>
  <si>
    <t>ETO-TELE 00822/2026</t>
  </si>
  <si>
    <t>senhores segue religador 7908203091 sem comunicaçao feito primeriro ataque sem sucesso . na rural de Almas</t>
  </si>
  <si>
    <t>ETO-RD-DP 00307/2026</t>
  </si>
  <si>
    <t>ETO-TELE 00055/2026</t>
  </si>
  <si>
    <t>AL05097122</t>
  </si>
  <si>
    <t>190-17421621</t>
  </si>
  <si>
    <t>ETO-TELE  000007/2026</t>
  </si>
  <si>
    <t>ETO-TELE 00246/2026</t>
  </si>
  <si>
    <t>PARECER DMSL: *DATA*16/03/2026
Serviço Executado: É NECESSARIO REALIZAR A SUBSTITUIÇAO COMPLETA DO CONTROLE, EQUIPAMENTO DANIFICADO - FABRICANTE NOJA Equipamento ficou em operação?: Não
Pendência: Sim, FAVOR REALIZAR AS CORREÇOES
Bateria(s) Substituída(s): Não
Data Fabricação/Instalação da(s) bateria(s): 07/2025
Equipe: Benvindo e Kaique
PARECER DMSL :
Solicitação já cumprida.
Chamado 3047281 aberto em caráter emergencial, com comissionamento programado a partir de 02/02/2026.
PARECER DA PROTEÇÃO:
NOTA REPASSADA PARA DMSL, ABRIR CHAMADOS DE SCADA E COMISSIONAMENTO DO EQUIPAMENTO.
ENG° IRLLEY CASTELO BRANCO.
RELIGADOR N° 7963661046 INSTALADO NA OBRA 0202500503 GENTILEZA, REALIZAR O COMISSIONAMENTO.
LAUDO EM ANEXO.
COORD EO:  728315, 8830256</t>
  </si>
  <si>
    <t>190-53434837</t>
  </si>
  <si>
    <t>ETO-PROT 00033/2026</t>
  </si>
  <si>
    <t>ETO-TELE 00708/2026</t>
  </si>
  <si>
    <t>190-17421491</t>
  </si>
  <si>
    <t>ETO-TELEPA  000321/2026</t>
  </si>
  <si>
    <t>ETO-TELE 01093/2026</t>
  </si>
  <si>
    <t>AL01044024</t>
  </si>
  <si>
    <t>190-17421459</t>
  </si>
  <si>
    <t>190-45752738</t>
  </si>
  <si>
    <t>ETO-TELEPA  000518/2026</t>
  </si>
  <si>
    <t>DESPACHADA</t>
  </si>
  <si>
    <t>ETO-TELE 00681/2026</t>
  </si>
  <si>
    <t>190-17513992</t>
  </si>
  <si>
    <t>ETO-TELEGU  000208/2026</t>
  </si>
  <si>
    <t>ETO-TELE 01096/2026</t>
  </si>
  <si>
    <t>LD04038009</t>
  </si>
  <si>
    <t>190-43901954</t>
  </si>
  <si>
    <t>COLMEIA</t>
  </si>
  <si>
    <t>ETO-TELE 00108/2026</t>
  </si>
  <si>
    <t>190-17512922</t>
  </si>
  <si>
    <t>ETO-TELE  000014/2026</t>
  </si>
  <si>
    <t>ETO-TELE 00585/2026</t>
  </si>
  <si>
    <t>190-65015488</t>
  </si>
  <si>
    <t>ETO-TELE  000499/2026</t>
  </si>
  <si>
    <t>ETO-TELE 00623/2026</t>
  </si>
  <si>
    <t>LD01003036</t>
  </si>
  <si>
    <t>190-17514251</t>
  </si>
  <si>
    <t>ETO-TELEGU  000116/2026</t>
  </si>
  <si>
    <t>ETO-TELE 00947/2026</t>
  </si>
  <si>
    <t>favor enviar equipe no Regulador 5800440256, o mesmo esta travado e com a comunicaçao intermitente</t>
  </si>
  <si>
    <t>190-31222234</t>
  </si>
  <si>
    <t>LAISON OLIVEIRA CARVALHO</t>
  </si>
  <si>
    <t>ETO-TELEPA  000406/2026</t>
  </si>
  <si>
    <t>DISP ELÉTRICO COMANDO</t>
  </si>
  <si>
    <t>ETO-TELE 00672/2026</t>
  </si>
  <si>
    <t>190-17512902</t>
  </si>
  <si>
    <t>ETO-TELEGU  000138/2026</t>
  </si>
  <si>
    <t>ETO-TELE 00768/2026</t>
  </si>
  <si>
    <t>senhores religador 7964803072 sem comunicaçao feito primeiro ataque sem sucesso , mesmo atende rdu de conceiçao</t>
  </si>
  <si>
    <t>190-40445784</t>
  </si>
  <si>
    <t>ETO-TELEGU  000164/2026</t>
  </si>
  <si>
    <t>CONCEICAO DO TOCANTINS</t>
  </si>
  <si>
    <t>ETO-TELE 00830/2026</t>
  </si>
  <si>
    <t>Segue nota para verificar falha de comutação no regulador 5800566084 fase A , Reg 1- Rural -Divinópolis .
obs: regulador está com a fase A travada , verificar a possibilidade de instalar comunicação no mesmo e inserir no SCADA !</t>
  </si>
  <si>
    <t>190-15831247</t>
  </si>
  <si>
    <t>ETO-TELE 00936/2026</t>
  </si>
  <si>
    <t>PARECER COEP:
TRAFO FURTADO JÁ INSTALADO, FAVOR REALIZAR COMISSIONAMENTO
-------------------------------------------------------
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</si>
  <si>
    <t>190-44718396</t>
  </si>
  <si>
    <t>ETO-TELE  000603/2026</t>
  </si>
  <si>
    <t>ETO-PROT 00391/2025</t>
  </si>
  <si>
    <t>ETO-TELE 00088/2026</t>
  </si>
  <si>
    <t>190-17512971</t>
  </si>
  <si>
    <t>ETO-TELE  000404/2026</t>
  </si>
  <si>
    <t>ETO-TELE 00241/2026</t>
  </si>
  <si>
    <t>primeiro ataque no religador 7952534136, o mesmo se encontra sem comunicação, voltou a comunicação e depois perdeu novamente, equipe tbm relata DPS queimado no painel</t>
  </si>
  <si>
    <t>190-47929702</t>
  </si>
  <si>
    <t>ROBSON FERNANDO LAUERMANN RICO</t>
  </si>
  <si>
    <t>ETO-TELE  000338/2026</t>
  </si>
  <si>
    <t>ETO-TELE 00067/2026</t>
  </si>
  <si>
    <t>190-17512828</t>
  </si>
  <si>
    <t>ETO-TELE 00107/2026</t>
  </si>
  <si>
    <t>190-17514112</t>
  </si>
  <si>
    <t>ETO-TELE  000013/2026</t>
  </si>
  <si>
    <t>ETO-TELE 00731/2026</t>
  </si>
  <si>
    <t>LD03059122</t>
  </si>
  <si>
    <t>190-17514267</t>
  </si>
  <si>
    <t>ETO-TELEPA  000313/2026</t>
  </si>
  <si>
    <t>ETO-TELE 00766/2026</t>
  </si>
  <si>
    <t>segue SS para as devidas tratativas, religador 7933726256 LD ponte Alta / Mateiros não aceita comando de fechamento remota e nem local, feito primeiro ataque, porém sem sucesso, o mesmo e de suma importância para manobras de transferência da RDU de mateiros,  </t>
  </si>
  <si>
    <t>190-17512994</t>
  </si>
  <si>
    <t>DANIEL DAS NEVES TEIXEIRA</t>
  </si>
  <si>
    <t>DANIFICADO(A)</t>
  </si>
  <si>
    <t>ETO-TELE 00494/2026</t>
  </si>
  <si>
    <t>A antena será usada em outro equipamento.</t>
  </si>
  <si>
    <t>190-17512903</t>
  </si>
  <si>
    <t>ETO-TELE  000611/2026</t>
  </si>
  <si>
    <t>CANCELADA</t>
  </si>
  <si>
    <t>ETO-TELE 00300/2026</t>
  </si>
  <si>
    <t>RL 7930287154 com display apagado, feito primeiro ataque o mesmo não retornou rl prioridade transferencia de cargas da rdu Juarina e Couto Magalhaes</t>
  </si>
  <si>
    <t>LD01010153</t>
  </si>
  <si>
    <t>190-17512788</t>
  </si>
  <si>
    <t>ETO-TELEAR  000065/2026</t>
  </si>
  <si>
    <t>JUARINA</t>
  </si>
  <si>
    <t>ETO-TELE 00710/2026</t>
  </si>
  <si>
    <t>AL08059122</t>
  </si>
  <si>
    <t>190-17419961</t>
  </si>
  <si>
    <t>ETO-TELEPA  000464/2026</t>
  </si>
  <si>
    <t>ETO-TELE 00063/2026</t>
  </si>
  <si>
    <t>190-17421500</t>
  </si>
  <si>
    <t>ETO-TELE  000405/2026</t>
  </si>
  <si>
    <t>ETO-TELE 00426/2026</t>
  </si>
  <si>
    <t>Religador de poste 7956993021 com falha na comunição rdr de Paranã ,feito primeiro ataque porem comunição não retornou enviar equipe verificar em campo possivel falha .</t>
  </si>
  <si>
    <t>190-31406791</t>
  </si>
  <si>
    <t>ETO-TELEGU  000069/2026</t>
  </si>
  <si>
    <t>ETO-TELE 00546/2026</t>
  </si>
  <si>
    <t>AL01010004</t>
  </si>
  <si>
    <t>190-17421115</t>
  </si>
  <si>
    <t>ETO-TELE  000478/2026</t>
  </si>
  <si>
    <t>ETO-TELE 00778/2026</t>
  </si>
  <si>
    <t>Na falta de CA equipamento perde automação instataneo, favor verificar.</t>
  </si>
  <si>
    <t>190-17512745</t>
  </si>
  <si>
    <t>ANTONIO FAGNER ALVES RIBEIRO</t>
  </si>
  <si>
    <t>ETO-TELEGU  000247/2026</t>
  </si>
  <si>
    <t>FALHA DE ALIMENTAÇÃO CA/CC</t>
  </si>
  <si>
    <t>ETO-TELE 00456/2026</t>
  </si>
  <si>
    <t>LD02010004</t>
  </si>
  <si>
    <t>190-27477342</t>
  </si>
  <si>
    <t>DARCINOPOLIS</t>
  </si>
  <si>
    <t>ETO-TELE 00146/2026</t>
  </si>
  <si>
    <t>190-17514139</t>
  </si>
  <si>
    <t>ETO-TELE 00330/2026</t>
  </si>
  <si>
    <t>Segue ss de religador do ramal do taquari com defeito na comunicacão com coi já foi feito primeiro ataque por 03 vezes seguidas sem sucesso favor dar a manutencão necessaria para que o equipamento fique disponivel para o COI  chave de referencia 7927661026  favor agilizar o atendimento por gentileza</t>
  </si>
  <si>
    <t>190-17403389</t>
  </si>
  <si>
    <t>JOAO PAULO VASCONCELOS MARINHO</t>
  </si>
  <si>
    <t>ETO-TELEPA  000135/2026</t>
  </si>
  <si>
    <t>ETO-TELE 00547/2026</t>
  </si>
  <si>
    <t>AL01103004</t>
  </si>
  <si>
    <t>190-17421369</t>
  </si>
  <si>
    <t>ETO-TELE  000477/2026</t>
  </si>
  <si>
    <t>ETO-TELE 00818/2026</t>
  </si>
  <si>
    <t>REGULADOR COM RELÉ APAGADO - REALIZADO PRIMEIRO ATAQUE COORDENADO COM DMSL, PORÉM NÃO FOI POSSÍVEL RESOLVER PROBLEMA.</t>
  </si>
  <si>
    <t>190-31363452</t>
  </si>
  <si>
    <t>ETO-TELEPA  000360/2026</t>
  </si>
  <si>
    <t>ETO-TELE 00785/2026</t>
  </si>
  <si>
    <t>Religador  7931863074  sem comunicação , feito primeiro ataque o mesmo não  retornou a comunicar.  favor disponibilizar equipe para devidas tratativas</t>
  </si>
  <si>
    <t>AL01028074</t>
  </si>
  <si>
    <t>190-17414431</t>
  </si>
  <si>
    <t>ETO-TELEGU  000160/2026</t>
  </si>
  <si>
    <t>ETO-TELE 00928/2026</t>
  </si>
  <si>
    <t>SEGUE SS DE RELIGADOR RURAL QUE NÃO ESTÁ FAZENDO CICLO DE RELIGAMENTO, O MESMO NÃO FAZ NENHUM RELIGAMENTO AUTOMATICO, ULTIMAS OCORRENCIAS FOI DESARME POR DESCARGA ATMOSFERICA, TENDO QUE DESLOCAR EQUIPE PARA MANOBRAR O RAMAL.
PARECER DA PROTEÇÃO:
VERIFICAR OS AJUSTES IMPLEMENTADOS SE ESTÃO DE ACORDO COM O ESTUDO DE PROTEÇÃO.
ENGº IRLLEY CASTELO BRANCO</t>
  </si>
  <si>
    <t>AL02003036</t>
  </si>
  <si>
    <t>190-31853174</t>
  </si>
  <si>
    <t>Wilmar Lucas Rodrigues Noleto</t>
  </si>
  <si>
    <t>ETO-TELEGU  000235/2026</t>
  </si>
  <si>
    <t>AJUSTE DE PROTEÇÃO INCORRETO</t>
  </si>
  <si>
    <t>ETO-PROT 00388/2025</t>
  </si>
  <si>
    <t>ETO-TELE 00589/2026</t>
  </si>
  <si>
    <t>190-17512906</t>
  </si>
  <si>
    <t>ETO-TELE  000561/2026</t>
  </si>
  <si>
    <t>SANTA MARIA DO TOCANTINS</t>
  </si>
  <si>
    <t>ETO-TELE 00684/2026</t>
  </si>
  <si>
    <t>ETO-TELEGU  000140/2026</t>
  </si>
  <si>
    <t>ETO-TELE 00734/2026</t>
  </si>
  <si>
    <t>AL05072001</t>
  </si>
  <si>
    <t>190-17421590</t>
  </si>
  <si>
    <t>ETO-TELEPA  000330/2026</t>
  </si>
  <si>
    <t>ETO-TELE 01053/2026</t>
  </si>
  <si>
    <t>Boa noite,
Segue SS para as devidas tratativas, SE Taquaruçu perde automação quando falta CA nos DJ 404R e 7913655100 favor deslocar equipe DMSL</t>
  </si>
  <si>
    <t>2TQS</t>
  </si>
  <si>
    <t>2TQSRL404</t>
  </si>
  <si>
    <t>190-42601015</t>
  </si>
  <si>
    <t>RELIGADOR 34,5 KV GIS</t>
  </si>
  <si>
    <t>ETO-TELEPA 00002/2026</t>
  </si>
  <si>
    <t>ETO-TELE 01106/2026</t>
  </si>
  <si>
    <t>teste</t>
  </si>
  <si>
    <t>LD02414027</t>
  </si>
  <si>
    <t>190-17377693</t>
  </si>
  <si>
    <t xml:space="preserve">Joao Antonio Lagares Milhomem </t>
  </si>
  <si>
    <t>BAIXA</t>
  </si>
  <si>
    <t>LOCAL INSTAL CHAVE FUSÍVEL RELIGADORA GIS</t>
  </si>
  <si>
    <t>ETO-RD-DP  002087/2026</t>
  </si>
  <si>
    <t>CRIADA</t>
  </si>
  <si>
    <t>REDE SECUNDÁRIA PODA DE ÁRVORE</t>
  </si>
  <si>
    <t>ÁRVORE NA REDE BT</t>
  </si>
  <si>
    <t>ETO-TELE 00528/2026</t>
  </si>
  <si>
    <t>AL02040004</t>
  </si>
  <si>
    <t>190-17421370</t>
  </si>
  <si>
    <t>ETO-TELE  000539/2026</t>
  </si>
  <si>
    <t>ETO-TELE 00788/2026</t>
  </si>
  <si>
    <t>Enviar equipe do DMSL  verificar  comnicação  intermitente do DJ 224R44, da S/E  de Itaguatins , pois o mesmo passa mais tempo  sem comunicação</t>
  </si>
  <si>
    <t>190-28031419</t>
  </si>
  <si>
    <t>LOCAL INSTAL CHAVE FACA GIS</t>
  </si>
  <si>
    <t>ITAGUATINS</t>
  </si>
  <si>
    <t>ETO-TELE 01070/2026</t>
  </si>
  <si>
    <t>ETO-TELE 00339/2026</t>
  </si>
  <si>
    <t>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</si>
  <si>
    <t>190-35644534</t>
  </si>
  <si>
    <t>EQUIPAMENTO</t>
  </si>
  <si>
    <t>ETO-TELE 00197/2026</t>
  </si>
  <si>
    <t>Primeiro ataque no religador 7954050193, o mesmo se encontra sem comunicação, mesmo tendo feito primeiro ataque</t>
  </si>
  <si>
    <t>190-52477018</t>
  </si>
  <si>
    <t>ETO-TELEAR  000010/2026</t>
  </si>
  <si>
    <t>ETO-TELE 00333/2026</t>
  </si>
  <si>
    <t>PARECER DMSL:
PENDÊNCIA: Instalar antena telespázio e abrir chamado para comissionamento com scada.
--------------------------------------------------------------------------
PARECER DA PROTEÇÃO:
FAVOR COMISSIONAR REGULADOR 5860477104 – Al Pedro Afonso Sentido Santa Maria. AJUSTE REALIZADO, DISPONÍVEL NO APP DA PROTEÇÃO.
************************
REGULADOR N°5860477104 INSTALADO NA OBRA 0702400277 GENTILEZA, REALIZAR O COMISSIONAMENTO.
LAUDO EM ANEXO.
COORD EO: 833865, 9015313</t>
  </si>
  <si>
    <t>190-31363424</t>
  </si>
  <si>
    <t>ETO-PROT 00042/2026</t>
  </si>
  <si>
    <t>ETO-TELE 00640/2026</t>
  </si>
  <si>
    <t>AL05040003</t>
  </si>
  <si>
    <t>190-17421242</t>
  </si>
  <si>
    <t>ETO-TELEGU  000099/2026</t>
  </si>
  <si>
    <t>ETO-TELE 00678/2026</t>
  </si>
  <si>
    <t>LD02036052</t>
  </si>
  <si>
    <t>190-54520966</t>
  </si>
  <si>
    <t>ETO-TELEGU  000087/2026</t>
  </si>
  <si>
    <t>ETO-TELE 00492/2026</t>
  </si>
  <si>
    <t>190-31376305</t>
  </si>
  <si>
    <t>ETO-TELEGU  000254/2026</t>
  </si>
  <si>
    <t>ETO-TELE 00046/2026</t>
  </si>
  <si>
    <t>AL06059122</t>
  </si>
  <si>
    <t>190-17421618</t>
  </si>
  <si>
    <t>ETO-TELEPA  000015/2026</t>
  </si>
  <si>
    <t>ETO-TELE 00487/2026</t>
  </si>
  <si>
    <t>190-17514237</t>
  </si>
  <si>
    <t>ETO-TELEGU  000127/2026</t>
  </si>
  <si>
    <t>ETO-TELE 00131/2026</t>
  </si>
  <si>
    <t>-CANALETAS NO SOLO SEM TAMPAS - PARECER COLABORADORES JOSE RICARDO E JARDEL EM INSPEÇÃO VISUAL</t>
  </si>
  <si>
    <t>2PA2</t>
  </si>
  <si>
    <t>190-75</t>
  </si>
  <si>
    <t>SUBESTAÇÃO ELÉTRICA GIS</t>
  </si>
  <si>
    <t>ETO-TELE 00879/2026</t>
  </si>
  <si>
    <t>PARECER DCMD:
Servio realizado , favor comissionar
Obra: 0712600316
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
rl 7957620015 com anomalia na antena de comunicação do mesmo, e painel não acende equipe fez primeira ataque e o mesmo não retornou comunicação, rl ficou by passado
NECESSITA URGENCIA O MESMO PERTENCE CIRCUITO DO ALIMENTADOR 2 DE PEDRO AFONSO ATEDE RDU DE BOM JESUS</t>
  </si>
  <si>
    <t>AL02065015</t>
  </si>
  <si>
    <t>190-22432477</t>
  </si>
  <si>
    <t>ETO-TELE  000592/2026</t>
  </si>
  <si>
    <t>ETO-TELE 00523/2025</t>
  </si>
  <si>
    <t>ETO-TELE 01074/2026</t>
  </si>
  <si>
    <t>190-38169444</t>
  </si>
  <si>
    <t>BOM JESUS DO TOCANTINS</t>
  </si>
  <si>
    <t>ETO-TELE 01082/2026</t>
  </si>
  <si>
    <t>190-20813196</t>
  </si>
  <si>
    <t>ETO-TELEGU  000305/2026</t>
  </si>
  <si>
    <t>ETO-TELE 00579/2026</t>
  </si>
  <si>
    <t>190-17513754</t>
  </si>
  <si>
    <t>ETO-TELE  000551/2026</t>
  </si>
  <si>
    <t>BERNARDO SAYAO</t>
  </si>
  <si>
    <t>ETO-TELE 00401/2026</t>
  </si>
  <si>
    <t>segue ss de religador de linha com defeito de comunicacão com centroo de operacão favor coorigir o defeito com equipe de manutencão para que o mesmo volte a comunicacão para o COI  favor agilizar o atendimento devido ser religador de linha acesso livre</t>
  </si>
  <si>
    <t>190-17513155</t>
  </si>
  <si>
    <t>ETO-TELEPA  000156/2026</t>
  </si>
  <si>
    <t>ETO-TELE 00730/2026</t>
  </si>
  <si>
    <t>190-17512952</t>
  </si>
  <si>
    <t>ETO-TELEPA  000314/2026</t>
  </si>
  <si>
    <t>ETO-TELE 00032/2026</t>
  </si>
  <si>
    <t>190-17513178</t>
  </si>
  <si>
    <t>ETO-TELEPA  000335/2026</t>
  </si>
  <si>
    <t>ETO-TELE 00101/2026</t>
  </si>
  <si>
    <t>190-17512697</t>
  </si>
  <si>
    <t>ETO-TELE  000025/2026</t>
  </si>
  <si>
    <t>SANDOLANDIA</t>
  </si>
  <si>
    <t>ETO-TELE 00154/2026</t>
  </si>
  <si>
    <t>190-17512771</t>
  </si>
  <si>
    <t>ETO-TELE 00266/2026</t>
  </si>
  <si>
    <t>Realizar manutenção preventiva na repetidora Colinas.</t>
  </si>
  <si>
    <t>REP.COLINAS</t>
  </si>
  <si>
    <t>REPETIDORA COLINAS</t>
  </si>
  <si>
    <t xml:space="preserve">LOC INSTAL REPETIDORA   </t>
  </si>
  <si>
    <t>ETO-TELEAR  000001/2026</t>
  </si>
  <si>
    <t>ETO-TELE 00275/2026</t>
  </si>
  <si>
    <t>FAVOR CORRIGIR ATERRAMENTO ENCONTRA SE ROMPIDO NA BASE DO RL 7911120026 ATENDIDA PELA OS 106331927</t>
  </si>
  <si>
    <t>190-17512741</t>
  </si>
  <si>
    <t>ETO-TELEPA  000248/2026</t>
  </si>
  <si>
    <t>ETO-TELE 00389/2026</t>
  </si>
  <si>
    <t>Religador com Circuito interno em curto (DJ desarmado) Enviar equipe para regularizar</t>
  </si>
  <si>
    <t>190-17421461</t>
  </si>
  <si>
    <t>ETO-TELEGU  000067/2026</t>
  </si>
  <si>
    <t>CURTO CIRCUITO</t>
  </si>
  <si>
    <t>ETO-TELE 00392/2026</t>
  </si>
  <si>
    <t>OS gerada para primeiro ataque no RL/ RT 7957465048 causa sem comunicação foi feito o primeiro ataque mais o RL não voltou comunicação</t>
  </si>
  <si>
    <t>LD02038009</t>
  </si>
  <si>
    <t>190-25446844</t>
  </si>
  <si>
    <t>SIRDEIS ALVES MONTEIRO</t>
  </si>
  <si>
    <t>ETO-TELE  000369/2026</t>
  </si>
  <si>
    <t>FORTALEZA DO TABOCAO</t>
  </si>
  <si>
    <t>ETO-TELE 01072/2026</t>
  </si>
  <si>
    <t>190-17512978</t>
  </si>
  <si>
    <t>ETO-TELE 00128/2026</t>
  </si>
  <si>
    <t>190-17514136</t>
  </si>
  <si>
    <t>ETO-TELE  000018/2026</t>
  </si>
  <si>
    <t>ETO-TELE 00946/2026</t>
  </si>
  <si>
    <t>ALTERAR OS AJUSTES E ATUALIZAR A BASE DO RELÉ NOJA JUNTO COM O TIME SCADA.</t>
  </si>
  <si>
    <t>190-37650202</t>
  </si>
  <si>
    <t>ETO-TELE  000623/2026</t>
  </si>
  <si>
    <t>ETO-TELE 00218/2026</t>
  </si>
  <si>
    <t>RELIGADOR DE POSTE 7944559149 com falha de comunicaçao, feito o primeiro ataque, porem o mesmo esta arrmando o disjuntor - curto-circuito.</t>
  </si>
  <si>
    <t>190-17410082</t>
  </si>
  <si>
    <t>THIAGO BORGES DE OLIVEIRA</t>
  </si>
  <si>
    <t>ETO-TELEPA  000123/2026</t>
  </si>
  <si>
    <t>ETO-TELE 00240/2026</t>
  </si>
  <si>
    <t>Religador 7942731193 sem comunicação apos primeiro ataque não retornou as comunicação.</t>
  </si>
  <si>
    <t>190-17407930</t>
  </si>
  <si>
    <t>MAIKOM DOUGLAS DA SILVA</t>
  </si>
  <si>
    <t>ETO-TELEAR  000014/2026</t>
  </si>
  <si>
    <t>ETO-TELE 00898/2026</t>
  </si>
  <si>
    <t>190-25394766</t>
  </si>
  <si>
    <t>ETO-TELEPA  000424/2026</t>
  </si>
  <si>
    <t>ABREULANDIA</t>
  </si>
  <si>
    <t>ETO-TELE 00590/2026</t>
  </si>
  <si>
    <t>190-17512643</t>
  </si>
  <si>
    <t>ETO-TELE  000504/2026</t>
  </si>
  <si>
    <t>ETO-TELE 00713/2026</t>
  </si>
  <si>
    <t>AL03059122</t>
  </si>
  <si>
    <t>190-17421474</t>
  </si>
  <si>
    <t>ETO-TELEPA  000395/2026</t>
  </si>
  <si>
    <t>ETO-TELE 00035/2026</t>
  </si>
  <si>
    <t>ETO-TELE  000411/2026</t>
  </si>
  <si>
    <t>ETO-TELE 00098/2026</t>
  </si>
  <si>
    <t>190-17512735</t>
  </si>
  <si>
    <t>ETO-TELE  000012/2026</t>
  </si>
  <si>
    <t>ETO-TELE 00451/2026</t>
  </si>
  <si>
    <t>190-47702080</t>
  </si>
  <si>
    <t>ETO-TELEPA  000506/2026</t>
  </si>
  <si>
    <t>ETO-TELE 00512/2026</t>
  </si>
  <si>
    <t>RL 7937112036 DE POSTE FEITO PRIMEIRO ATAQUE E NÃO SUBIU COMUNICAÇÃO, FAVOR ENVIAR EQUIPE ESPECIAL PARA VERIFICAÇÃO DO MESMO</t>
  </si>
  <si>
    <t>AL01003036</t>
  </si>
  <si>
    <t>190-17421762</t>
  </si>
  <si>
    <t>DEOP</t>
  </si>
  <si>
    <t>Glauk Henrique Miranda Cardoso</t>
  </si>
  <si>
    <t>ETO-TELEGU  000132/2026</t>
  </si>
  <si>
    <t>ETO-TELE 00657/2026</t>
  </si>
  <si>
    <t>190-17514261</t>
  </si>
  <si>
    <t>ETO-TELEGU  000141/2026</t>
  </si>
  <si>
    <t>ETO-TELE 00806/2026</t>
  </si>
  <si>
    <t>Segue nota para verificar falha de comunicação no religador 7909577092 -RDU- Novo Acordo .
OBS: foi feito primeiro ataque, porém sem sucesso , segundo informação técnico do DMSL Ben Vindo , e necessário substituir antena !</t>
  </si>
  <si>
    <t>ETO-TELE  000568/2026</t>
  </si>
  <si>
    <t>ETO-TELE 00808/2026</t>
  </si>
  <si>
    <t>ETO-TELEAR  000111/2026</t>
  </si>
  <si>
    <t>ETO-TELE 00466/2026</t>
  </si>
  <si>
    <t>190-17514131</t>
  </si>
  <si>
    <t>ETO-TELEAR  000089/2026</t>
  </si>
  <si>
    <t>ETO-TELE 00572/2026</t>
  </si>
  <si>
    <t>190-17512503</t>
  </si>
  <si>
    <t>ETO-TELE  000435/2026</t>
  </si>
  <si>
    <t>ETO-TELE 00860/2026</t>
  </si>
  <si>
    <t>Religador 7908690013 sem comunicação, apos primeiro ataque ele não retornou a comunicação.</t>
  </si>
  <si>
    <t>190-17413658</t>
  </si>
  <si>
    <t>ETO-TELEPA  000358/2026</t>
  </si>
  <si>
    <t>ETO-DEOP 00015/2026</t>
  </si>
  <si>
    <t>ETO-TELE 00532/2026</t>
  </si>
  <si>
    <t>190-51008434</t>
  </si>
  <si>
    <t>ETO-TELE  000538/2026</t>
  </si>
  <si>
    <t>ETO-TELE 00613/2026</t>
  </si>
  <si>
    <t>190-28658403</t>
  </si>
  <si>
    <t>ETO-TELEGU  000085/2026</t>
  </si>
  <si>
    <t>ETO-TELE 00780/2026</t>
  </si>
  <si>
    <t>Religador com curto no rele, equipe vai ao local fecha o dijuntor em seguida perde novamente.</t>
  </si>
  <si>
    <t>AL11059122</t>
  </si>
  <si>
    <t>190-22346142</t>
  </si>
  <si>
    <t>ETO-TELE  000470/2026</t>
  </si>
  <si>
    <t>ETO-TELE 00995/2026</t>
  </si>
  <si>
    <t>PARECER DMSL: Realizada melhorias no aterramento a medicação deu muito alta.
Fazer medição de aterramento - Criticidade: Muito Alto - Alimentador: LD ARAGUAINA I A DARCINOPOLIS</t>
  </si>
  <si>
    <t>190-29487099</t>
  </si>
  <si>
    <t>ETO-TELE 00360/2026</t>
  </si>
  <si>
    <t>PARECER DMSL:
Realizar substituição do equipamento todo e parte ativa.
Equipe: Adeilton e Edicleber
Data: 12/03
-----------------------------------------------------------------------------
Religador sem comunicação, apos  primeiro ataque o mesmo não retornou as comunicação.</t>
  </si>
  <si>
    <t>190-17337604</t>
  </si>
  <si>
    <t>ETO-TELE 00396/2026</t>
  </si>
  <si>
    <t>Segue nota para equipameto sem comunicaçao em campo (nao permite a execultar execução de comandos ) equipe esteve no local e constatou o mesmo com painel em curto</t>
  </si>
  <si>
    <t>190-43091071</t>
  </si>
  <si>
    <t>ETO-TELEGU  000066/2026</t>
  </si>
  <si>
    <t>ETO-TELE 00194/2026</t>
  </si>
  <si>
    <t>Realizar instalação de roteador de telecom</t>
  </si>
  <si>
    <t>2PRN</t>
  </si>
  <si>
    <t>190-378234</t>
  </si>
  <si>
    <t>ETO-TELEGU  000056/2026</t>
  </si>
  <si>
    <t>ETO-TELE 00408/2026</t>
  </si>
  <si>
    <t>PARECER DMSL: *FEEDBACK EQUIP. ESPECIAIS*
*Nº DO EQUIPAMENTO:* 7925737080
*DATA DA MANUTENÇÃO:* 09/04/2026
*SID:* 1763/2026
*DESCRIÇÃO:* 2 FASE PARA RESTAURAR B e C (Trocar 2 Para-Raios)
*PENDÊNCIA:* Sim.
*EQUIPE:* Adeilton e Edicleber
_________________________________________________________
realizado primeiro ataque no religador 7925737080 o mesmo esta com a tela do visor apagada, depois o resete não retornou.</t>
  </si>
  <si>
    <t>190-17412797</t>
  </si>
  <si>
    <t>ETO-TELE 00634/2026</t>
  </si>
  <si>
    <t>AL03040003</t>
  </si>
  <si>
    <t>190-17421361</t>
  </si>
  <si>
    <t>ETO-TELEGU  000096/2026</t>
  </si>
  <si>
    <t>ETO-TELE 00943/2026</t>
  </si>
  <si>
    <t>DA PROTEÇÃO: ATUALIZAR OS AJUSTES DO RELIGADOR. COOPER. AJUSTES DISPONÍVEIS NO APP DA PROTEÇÃO.
Estagiário Rafael P Marques</t>
  </si>
  <si>
    <t>ETO-TELEGU  000293/2026</t>
  </si>
  <si>
    <t>ETO-TELE 00328/2026</t>
  </si>
  <si>
    <t>segue ss de religador com problemas de comunicacão e já foi feito o primeiro ataque mas o equipamento não voltou a comunicacão favor dar a manutencão necessaria para que o equipamento fique disponivel para a operacão chave de referencia, 7930426070 favor agilizar o atendimento por gentileza</t>
  </si>
  <si>
    <t>190-17403346</t>
  </si>
  <si>
    <t>ETO-TELEPA  000134/2026</t>
  </si>
  <si>
    <t>ETO-TELE 00950/2026</t>
  </si>
  <si>
    <t>PARECER DMSL 07/07/2026: equipamento tem que ser subistuido pois não faz comando, parte ativa com defeito
FEITO O PRIMEIRO ATAQUE NO RELIGADOR 7930359149 E MESMO NÃO ACEITA COMANDO NEM LOCAL E NEM REMOTO SEGUNDO EQUIPE 149OP02 E PLACA DO RL ESTA CARBONIZADA COM SINAL DE CURTO.</t>
  </si>
  <si>
    <t>PAULO SERGIO CAETANO FREIRE</t>
  </si>
  <si>
    <t>ETO-TELE 01090/2026</t>
  </si>
  <si>
    <t>LD01095030</t>
  </si>
  <si>
    <t>190-17513738</t>
  </si>
  <si>
    <t>ETO-TELE 00769/2026</t>
  </si>
  <si>
    <t>Por gentileza, verificar perda de comunicação instantaneo  assim que  perde CA, equipamento  fica indisponivel para  transferencia remota, substituir bateria  e  fazer levantamento  da perda de comuniicação</t>
  </si>
  <si>
    <t>190-17512842</t>
  </si>
  <si>
    <t>ETO-TELE  000495/2026</t>
  </si>
  <si>
    <t>ETO-TELE 00453/2026</t>
  </si>
  <si>
    <t>AL01018071</t>
  </si>
  <si>
    <t>190-24274204</t>
  </si>
  <si>
    <t>ETO-TELE  000614/2026</t>
  </si>
  <si>
    <t>BREJINHO DE NAZARE</t>
  </si>
  <si>
    <t>ETO-TELE 00489/2026</t>
  </si>
  <si>
    <t>190-17512846</t>
  </si>
  <si>
    <t>ETO-TELEGU  000242/2026</t>
  </si>
  <si>
    <t>ETO-TELE 00720/2026</t>
  </si>
  <si>
    <t>LD02062013</t>
  </si>
  <si>
    <t>190-17512635</t>
  </si>
  <si>
    <t>ETO-TELEPA  000456/2026</t>
  </si>
  <si>
    <t>ETO-TELE 01063/2026</t>
  </si>
  <si>
    <t>AL01032044</t>
  </si>
  <si>
    <t>190-17439727</t>
  </si>
  <si>
    <t>FATIMA</t>
  </si>
  <si>
    <t>ETO-TELE 00545/2026</t>
  </si>
  <si>
    <t>190-17421130</t>
  </si>
  <si>
    <t>ETO-TELE  000536/2026</t>
  </si>
  <si>
    <t>ETO-TELE 00228/2026</t>
  </si>
  <si>
    <t>ATUALIZAR AJUSTES DO RL 7930430075 LD MIRANORTE ARAGUACEMA. NA OPORTUNIDADE ATUALIZAR VERSÃO DO RELE PARA VERSÃO ATUAL. AJUSTES DISPONIVEL NO APP DA PROTEÇÃO.</t>
  </si>
  <si>
    <t>190-17410078</t>
  </si>
  <si>
    <t>ETO-TELEPA  000102/2026</t>
  </si>
  <si>
    <t>ETO-TELE 00724/2026</t>
  </si>
  <si>
    <t>AL01007055</t>
  </si>
  <si>
    <t>190-35142147</t>
  </si>
  <si>
    <t>ETO-TELE 00733/2026</t>
  </si>
  <si>
    <t>190-43124695</t>
  </si>
  <si>
    <t>ETO-TELEPA  000331/2026</t>
  </si>
  <si>
    <t>ETO-TELE 01042/2026</t>
  </si>
  <si>
    <t>PARECER DMSL 06/08: Trafofurtado, providenciar subsituição
SEgue nota para área responsavel tratar, religador 7901151022 sem comunicação no ADMS foi verificado campo relé apagado</t>
  </si>
  <si>
    <t>190-17412528</t>
  </si>
  <si>
    <t>CLEIDSON RODRIGUES VIEIRA</t>
  </si>
  <si>
    <t>ETO-TELE 01065/2026</t>
  </si>
  <si>
    <t>190-38092900</t>
  </si>
  <si>
    <t>ETO-TELE 00271/2026</t>
  </si>
  <si>
    <t>segue nota para equipe DMSL verificar rl 7900158156 sem comunicação, foi feito primeiro ataque sem sucesso</t>
  </si>
  <si>
    <t>190-17408093</t>
  </si>
  <si>
    <t>ETO-TELE  000326/2026</t>
  </si>
  <si>
    <t>CACHOEIRINHA</t>
  </si>
  <si>
    <t>ETO-TELE 00334/2026</t>
  </si>
  <si>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FAVOR COMISSIONAR REGULADOR 5865120195 – LD Santa Maria Ramal Centenário e Recursolândia – 34,5kV. AJUSTE REALIZADO, DISPONÍVEL NO APP DA PROTEÇÃO.
***********************
 INSTALADO NA OBRA 0702400720 GENTILEZA, REALIZAR O COMISSIONAMENTO.
LAUDO EM ANEXO.
COORD EO: 889017, 9016857</t>
  </si>
  <si>
    <t>190-38281711</t>
  </si>
  <si>
    <t>ETO-PROT 00041/2026</t>
  </si>
  <si>
    <t>ETO-TELE 00491/2026</t>
  </si>
  <si>
    <t>190-38933843</t>
  </si>
  <si>
    <t>ETO-TELE 00729/2026</t>
  </si>
  <si>
    <t>190-17512786</t>
  </si>
  <si>
    <t>ETO-TELE  000513/2026</t>
  </si>
  <si>
    <t>ETO-TELE 00840/2026</t>
  </si>
  <si>
    <t>PARECER DMSL 03/07: Corrigir malha de aterramento
PARECER DA PROTEÇÃO:
Planilha com as informações em anexo
Estagiário Rafael P Marques
____________________________
Regulador 5867938149 instalado pela obra
0202600193 gentiliza, realizar o comissionamento
laudo em anexo
Corrd eo: 625135,8930298
obs:  O sgm esta passando por uma melhoria devido ao ADMS, por esse motivo não integrou as informações do eo com sgm, a ss foi aberta no poste mais proximo</t>
  </si>
  <si>
    <t>190-39480378</t>
  </si>
  <si>
    <t>ETO-PROT 00097/2026</t>
  </si>
  <si>
    <t>ETO-TELE 00349/2026</t>
  </si>
  <si>
    <t>segue ss:
equipamento 7931382084 esta com indisponibilidade para operaçao
equipamento sem comunicaçao e baypassado em campo, nao perminte execuçao de comandos</t>
  </si>
  <si>
    <t>190-17413958</t>
  </si>
  <si>
    <t>ETO-TELEPA  000140/2026</t>
  </si>
  <si>
    <t>COMANDO MECÂNICO</t>
  </si>
  <si>
    <t>ENC-RD-PS 00318/2026</t>
  </si>
  <si>
    <t>ETO-TELE 00630/2026</t>
  </si>
  <si>
    <t>AL01008032</t>
  </si>
  <si>
    <t>190-17421344</t>
  </si>
  <si>
    <t>ETO-TELEGU  000129/2026</t>
  </si>
  <si>
    <t>ETO-TELE 00452/2026</t>
  </si>
  <si>
    <t>190-53593652</t>
  </si>
  <si>
    <t>ETO-TELEPA  000368/2026</t>
  </si>
  <si>
    <t>Foi feito o primeiro ataque não retornou a comunicação
RL 7925126060 com apoio do Jean</t>
  </si>
  <si>
    <t>190-17339163</t>
  </si>
  <si>
    <t>EZEQUIEL CAVALCANTE DOS SANTOS</t>
  </si>
  <si>
    <t>PARECER DMSL: FAVOR SOLUCIONAR PENDENCIAS
RT: 5851753086
Relé R.U.A 
Data: _19/05/2026
Sid: 2740/2026
Possui rádio?: Sim
Possui antena?: Sim
Possui módulo nobreak?: Sim
Serviço Executado:
* Feito testes no equipamento,o mesmo está normal.
* Será necessário fazer melhorias na malha de terra e colocar em operação.
Equipamento ficou em operação?
Não
Pendência: Sim. É necessário fazer melhorias na malha de aterramento.
Bateria(s) substituída(s)? _nao
Data Fabricação/Instalação da(s) bateria(s): 12/2025
Equipe: Jean e Benvindo
PARECER DCMD: FEITO MELHORIA NA MALHA DO ATERRAMENTO, FAVOR ENVIAR EQUIPE PARA COLOCA-LO EM OPERAÇÃO
RT 5851753086
MESMO ESTA BY-PASSADO EM CAMPO
EQUIPE SINERGIA 086OP01 ESTEVE NO LOCAL
APARENTIMENTE SEM DEFEITO APARENTE
MESMO FOI BY PASSADO POR TER TIRADO LINHA.
DESDE ENTAO MESMO NAO VOLTOU PARA OPERAÇÃO .
FAVOR VERIFICAR PARA TESTES POSSIVEIS .PARA QUE O MESMO VOLTA COM DISPONIBILIDADE PARA OPERAÇÃO .</t>
  </si>
  <si>
    <t>190-22161662</t>
  </si>
  <si>
    <t>ETO-TELEPA  000458/2026</t>
  </si>
  <si>
    <t>ETO-TELE 00815/2026</t>
  </si>
  <si>
    <t>ETO-TELE 00968/2026</t>
  </si>
  <si>
    <t>PARECER COEP: QUAL O MODELO / CODIGO DO MATERIAL DA PLACA DE ALIMENTAÇÃO, AGUARDO O RETORNO
PARECER DMSL :
Equipamento com a placa de alimentação ca em curto, será necessário substituir a placa do equipamento.
Equipamento ficou em operação?: Não
Pendência: Sim
OBS :Data Fabricação/Instalação da(s) bateria(s): 04/2024
Equipe: Benvindo e Kaique- SS ANTIGA 277/2026 BAIXADA POR ENGANO PELA EQUIPE</t>
  </si>
  <si>
    <t>190-28065672</t>
  </si>
  <si>
    <t>URGENTE</t>
  </si>
  <si>
    <t>ETO-TELEPA  000175/2026</t>
  </si>
  <si>
    <t>ETO-RD-PS 00162/2026</t>
  </si>
  <si>
    <t>ETO-TELE 00211/2026</t>
  </si>
  <si>
    <t>senhores favor enviar equipe para verificar religador 7913668072 e religador 7900666072 os mesmo aceitou comando remoto de abertura , porem de fechamento nao fechou remotamente , apenas manual com equipe , feito primeiro ataque sem sucesso . na LD conceiçao a parana</t>
  </si>
  <si>
    <t>190-17337707</t>
  </si>
  <si>
    <t>ETO-TELEGU  000033/2026</t>
  </si>
  <si>
    <t>ETO-TELE 00160/2026</t>
  </si>
  <si>
    <t>AL01078038</t>
  </si>
  <si>
    <t>190-17421501</t>
  </si>
  <si>
    <t>ETO-TELE 00170/2026</t>
  </si>
  <si>
    <t>190-17558735</t>
  </si>
  <si>
    <t>PARECER COEP: Equipamento está em operação no Scada, preciso da especificação do modelo do equipamento para realizar a compra
PARECER DMSL:
Realizar substituição do equipamento todo e parte ativa.
Equipe: Adeilton e Edicleber
Data: 12/03
-----------------------------------------------------------------------------
Religador sem comunicação, apos  primeiro ataque o mesmo não retornou as comunicação.</t>
  </si>
  <si>
    <t>ETO-TELEAR  000122/2026</t>
  </si>
  <si>
    <t>ETO-TELE 00061/2026</t>
  </si>
  <si>
    <t>190-17592883</t>
  </si>
  <si>
    <t>ETO-TELEPA  000044/2026</t>
  </si>
  <si>
    <t>ETO-TELE 00172/2026</t>
  </si>
  <si>
    <t>AL02040003</t>
  </si>
  <si>
    <t>190-25330386</t>
  </si>
  <si>
    <t>ETO-TELE 00215/2026</t>
  </si>
  <si>
    <t>Foi realizado testes no RT 5863887001 e constatado que o tanque da fase A está com defeito, sendo necessário acionar a garantia do equipamento ou substituir o tanque da fase A.</t>
  </si>
  <si>
    <t>AL01057189</t>
  </si>
  <si>
    <t>190-36485057</t>
  </si>
  <si>
    <t>DEFEITO MECANICO</t>
  </si>
  <si>
    <t>ETO-COEP 00219/2025</t>
  </si>
  <si>
    <t>ETO-TELE 00543/2026</t>
  </si>
  <si>
    <t>190-17421106</t>
  </si>
  <si>
    <t>ETO-TELE  000537/2026</t>
  </si>
  <si>
    <t>ETO-TELE 01095/2026</t>
  </si>
  <si>
    <t>190-17512652</t>
  </si>
  <si>
    <t>ETO-TELE 00366/2026</t>
  </si>
  <si>
    <t>RL 7900654055 DE TRANSFERÊNCIA DA RDU ARAGUACEMAESTÁ FALHANDO MUITO A COMUNICAÇÃO, MAIOR PARTE DO TEMPO FICA SEM COMUNICAR E DEPENDE DE RESET COM FREQUÊNCIA.</t>
  </si>
  <si>
    <t>LD03022033</t>
  </si>
  <si>
    <t>190-42012534</t>
  </si>
  <si>
    <t>ETO-TELEPA  000143/2026</t>
  </si>
  <si>
    <t>ETO-TELE 00404/2026</t>
  </si>
  <si>
    <t>Tanque do religador com passagem na fase B.</t>
  </si>
  <si>
    <t>190-17412690</t>
  </si>
  <si>
    <t>ETO-TELEPA  000150/2026</t>
  </si>
  <si>
    <t>DESNIVELADO (A)</t>
  </si>
  <si>
    <t>ETO-TELE 00002/2026</t>
  </si>
  <si>
    <t>Favor verificar ajustes do RL 7924349007, defeito a jusante do mesmo ocasionou desarme do RL 7901503007. Intervenção 20264060707580.</t>
  </si>
  <si>
    <t>LD01050008</t>
  </si>
  <si>
    <t>190-17409863</t>
  </si>
  <si>
    <t>ETO-TELEPA  000390/2026</t>
  </si>
  <si>
    <t>ETO-TELE 00918/2026</t>
  </si>
  <si>
    <t>ETO-TELE 01091/2026</t>
  </si>
  <si>
    <t>190-17513739</t>
  </si>
  <si>
    <t>XAMBIOA</t>
  </si>
  <si>
    <t>ETO-TELE 00010/2026</t>
  </si>
  <si>
    <t>190-17421741</t>
  </si>
  <si>
    <t>ETO-TELEPA  000026/2026</t>
  </si>
  <si>
    <t>ETO-TELE 00199/2026</t>
  </si>
  <si>
    <t>Segue SS do religador 7908708116.
O mesmo ficou bay passado em devido não aceitar comando de fechamento.
Religador esta com varias aberturas sem causa.
Por gentileza enviar uma equipe do DMSL no local.
ver a possibilidade de troca do equipamento, religador problematico demais. FORM 6</t>
  </si>
  <si>
    <t>190-17338365</t>
  </si>
  <si>
    <t>ETO-TELEGU  000031/2026</t>
  </si>
  <si>
    <t>ETO-TELE 00409/2026</t>
  </si>
  <si>
    <t>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</si>
  <si>
    <t>190-17408409</t>
  </si>
  <si>
    <t>GERCILIO PEDROZA JUNIOR</t>
  </si>
  <si>
    <t>ETO-TELE 00011/2026</t>
  </si>
  <si>
    <t>190-17512860</t>
  </si>
  <si>
    <t>ETO-TELEPA  000050/2026</t>
  </si>
  <si>
    <t>ETO-TELE 00367/2026</t>
  </si>
  <si>
    <t>PARECER DMSL:
FEEDBACK EQUIP. ESPECIAIS
Nº DO EQUIPAMENTO: 7925733015
TIPO EQUIPAMENTO: Noja RC10
TIPO DE COMUNICAÇÃO: Rádio GE
DATA DA MANUTENÇÃO: 24/03/2026
SID: 1475/2026
DESCRIÇÃO: Tanque do equipamento em Curto
FICOU EM OPERAÇÃO?: Não
PENDÊNCIA: Sim, repassar a nota para DCMD substituir tanque.
DADOS DIVERGENTES DA PROGRAMAÇÃO: Não
BATERIA SUBSTITUÍDA?: Não
TIPO DE BATERIA: Lítio
EQUIPE: Edicleber e Jhonata(DEOP)
------------------------------------------------------------------------------------------------------
religador 7925733015 com defeito, equipe fez abertura da chave de saida do mesmo e ele não aceita fehcamento devido provavel curto-circuito interno, enviar equipe para verificar o mesmo ficou by-pass fechado</t>
  </si>
  <si>
    <t>190-17404247</t>
  </si>
  <si>
    <t>ETO-TELE 00624/2026</t>
  </si>
  <si>
    <t>190-17512901</t>
  </si>
  <si>
    <t>ETO-TELEGU  000118/2026</t>
  </si>
  <si>
    <t>ETO-TELE 00306/2026</t>
  </si>
  <si>
    <t>Religador 7925713040 esta com disjuntor em curto, sem comunicação.</t>
  </si>
  <si>
    <t>190-17413249</t>
  </si>
  <si>
    <t>ETO-TELE  000381/2026</t>
  </si>
  <si>
    <t>ETO-TELE 00867/2026</t>
  </si>
  <si>
    <t>FAVOR VERIFICAR RELIGADOR 7929763027 MESMO ESTA PERDENDO COMUNICAÇÃO COM FREQUENCIA FOI FEITO PRIMEIRO ATAQUE TODAS AS VEZES EQUIPE ENCONTRA RELE APAGADO FAZ, RESETE VOLTA ACOMUNICAR.</t>
  </si>
  <si>
    <t>AL01070027</t>
  </si>
  <si>
    <t>190-27323092</t>
  </si>
  <si>
    <t>ZELITO ALVES DELGADO</t>
  </si>
  <si>
    <t>PONTE ALTA DO BOM JESUS</t>
  </si>
  <si>
    <t>ETO-TELE 00355/2026</t>
  </si>
  <si>
    <t>REP. AXIXÁ
Inspeção preventiva</t>
  </si>
  <si>
    <t>REP.AXIXA</t>
  </si>
  <si>
    <t>REPETIDORA AXIXÁ</t>
  </si>
  <si>
    <t>ETO-TELEAR  000018/2026</t>
  </si>
  <si>
    <t>ETO-TELE 00420/2026</t>
  </si>
  <si>
    <t>190-17403329</t>
  </si>
  <si>
    <t>ETO-TELE  000467/2026</t>
  </si>
  <si>
    <t>ETO-TELE 00461/2026</t>
  </si>
  <si>
    <t>190-49561456</t>
  </si>
  <si>
    <t>ETO-TELE 00071/2026</t>
  </si>
  <si>
    <t>ETO-TELEPA  000471/2026</t>
  </si>
  <si>
    <t>ETO-TELE 00431/2026</t>
  </si>
  <si>
    <t>Atualizar ajustes do RL 7900663086, disponíveis no APP da proteção.
Estagiário Rafael P Marques</t>
  </si>
  <si>
    <t>190-17413955</t>
  </si>
  <si>
    <t>ETO-TELEPA  000224/2026</t>
  </si>
  <si>
    <t>ETO-TELE 00668/2026</t>
  </si>
  <si>
    <t>190-17513061</t>
  </si>
  <si>
    <t>ETO-TELEGU  000137/2026</t>
  </si>
  <si>
    <t>ETO-TELE 00231/2026</t>
  </si>
  <si>
    <t>Realizar manutenção na Repetidora Dianópolis</t>
  </si>
  <si>
    <t>REP.DIANOPOLIS</t>
  </si>
  <si>
    <t>REPETIDORA DIANÓPOLIS</t>
  </si>
  <si>
    <t>ETO-TELEGU  000039/2026</t>
  </si>
  <si>
    <t>ETO-TELE 00911/2026</t>
  </si>
  <si>
    <t>190-17512985</t>
  </si>
  <si>
    <t>ETO-TELEPA  000403/2026</t>
  </si>
  <si>
    <t>ETO-TELE 01094/2026</t>
  </si>
  <si>
    <t>AL01022033</t>
  </si>
  <si>
    <t>190-17421384</t>
  </si>
  <si>
    <t>ETO-TELE 00039/2026</t>
  </si>
  <si>
    <t>AL03099059</t>
  </si>
  <si>
    <t>190-17419957</t>
  </si>
  <si>
    <t>ETO-TELEPA  000009/2026</t>
  </si>
  <si>
    <t>ETO-TELE 01079/2026</t>
  </si>
  <si>
    <t>190-53529049</t>
  </si>
  <si>
    <t>ETO-TELEGU  000297/2026</t>
  </si>
  <si>
    <t>ETO-TELE 00813/2026</t>
  </si>
  <si>
    <t>"SS aberta para comissionamento do RT 5800586084, devido substituição da célula danificada ter sido realizada através da SS ETO-RD-PS 361/2025"</t>
  </si>
  <si>
    <t>190-28847429</t>
  </si>
  <si>
    <t>ETO-TELE  000553/2026</t>
  </si>
  <si>
    <t>ETO-TELE 00296/2026</t>
  </si>
  <si>
    <t>foi feito primeiro ataque pela equipe 029op01 o mesmo nao voltou comunicaçao para o coi</t>
  </si>
  <si>
    <t>190-17512674</t>
  </si>
  <si>
    <t>ETO-TELE  000348/2026</t>
  </si>
  <si>
    <t>ETO-TELE 00423/2026</t>
  </si>
  <si>
    <t>Segue rl 7930912039 feito primeiro ataque e display apagado sem retorno de comunicação os 107409157
RDU ARAGUATINS RL N/A TRANSFERENCIA DE CARGAS 214R E 224R ARAGUATINS</t>
  </si>
  <si>
    <t>AL02109039</t>
  </si>
  <si>
    <t>190-17421456</t>
  </si>
  <si>
    <t>ETO-TELE  000486/2026</t>
  </si>
  <si>
    <t>ETO-TELE 00625/2026</t>
  </si>
  <si>
    <t>190-17512958</t>
  </si>
  <si>
    <t>ETO-TELEGU  000122/2026</t>
  </si>
  <si>
    <t>190-17338371</t>
  </si>
  <si>
    <t>ETO-TELE 00155/2026</t>
  </si>
  <si>
    <t>190-17512715</t>
  </si>
  <si>
    <t>LAVANDEIRA</t>
  </si>
  <si>
    <t>ETO-TELE 00757/2026</t>
  </si>
  <si>
    <t>190-17512531</t>
  </si>
  <si>
    <t>ETO-TELE 00705/2026</t>
  </si>
  <si>
    <t>190-17512953</t>
  </si>
  <si>
    <t>ETO-TELEPA  000389/2026</t>
  </si>
  <si>
    <t>ETO-TELE 00723/2026</t>
  </si>
  <si>
    <t>190-17512683</t>
  </si>
  <si>
    <t>ETO-TELE 00737/2026</t>
  </si>
  <si>
    <t>190-17514115</t>
  </si>
  <si>
    <t>ETO-TELE 01031/2026</t>
  </si>
  <si>
    <t>RL 7900002055, AL 1 de Araguacema, não tem acesso remoto para avaliação e alteração de ajustes de proteção. O equipamento pode ser acessado remotamente se utilizar o mesmo canal de comunicação da SE Araguacema</t>
  </si>
  <si>
    <t>MARLON TORRES SALMEIRAO</t>
  </si>
  <si>
    <t>ETO-TELEPA  000493/2026</t>
  </si>
  <si>
    <t>RELÉ DE PROTEÇÃO</t>
  </si>
  <si>
    <t>ETO-TELE 00754/2026</t>
  </si>
  <si>
    <t>AL03101271</t>
  </si>
  <si>
    <t>190-17421744</t>
  </si>
  <si>
    <t>ETO-TELEPA  000333/2026</t>
  </si>
  <si>
    <t>ETO-TELE 00001/2026</t>
  </si>
  <si>
    <t>Religador sem comunicação, foi ecerrado nota e o mesmo continua sem comunicação.</t>
  </si>
  <si>
    <t>190-17409806</t>
  </si>
  <si>
    <t>ETO-TELE  000001/2026</t>
  </si>
  <si>
    <t>ETO-TELE 00058/2026</t>
  </si>
  <si>
    <t>190-17421383</t>
  </si>
  <si>
    <t>ETO-TELEPA  000326/2026</t>
  </si>
  <si>
    <t>ETO-TELE 00410/2026</t>
  </si>
  <si>
    <t>PARECER PROTEÇÃO: FALHA DE COMUNICAÇÃO DO RELIGADOR, VERIFICAR
************************
Segue nota para verificar falha da atuação do religador de linha 7900308104 na ocorrencia de desarme do 414R de Pedro Afonso o mesmo não atuou para isolar o defeito. Intervenção 20264071677839</t>
  </si>
  <si>
    <t>190-17404155</t>
  </si>
  <si>
    <t>JOAO FERREIRA DOS SANTOS</t>
  </si>
  <si>
    <t>ETO-TELE  000637/2026</t>
  </si>
  <si>
    <t>ETO-PROT 00014/2026</t>
  </si>
  <si>
    <t>ETO-TELE 01071/2026</t>
  </si>
  <si>
    <t>190-17514264</t>
  </si>
  <si>
    <t>ETO-TELE 00147/2026</t>
  </si>
  <si>
    <t>190-17513160</t>
  </si>
  <si>
    <t>ETO-TELE 00417/2026</t>
  </si>
  <si>
    <t>ATUALIZAR AJUSTES DO RL 7901771014 LD PARAISO I  A  PIUM. IMPLEMENTAÇÃO DA FUNÇÃO 27 SUBTENSÃO.
AJUSTES DISPONIVEIS NO APP DA PROTEÇÃO.</t>
  </si>
  <si>
    <t>190-17414378</t>
  </si>
  <si>
    <t>ETO-TELE  000396/2026</t>
  </si>
  <si>
    <t>ETO-TELE 00792/2026</t>
  </si>
  <si>
    <t>Segue nota para verificar intermitência de comunicação nos religadores 7908301026 , 7911120026, 7947959026 , 7908692026, 7900594026 rural- Ponte Alta .</t>
  </si>
  <si>
    <t>ETO-TELE 00363/2026</t>
  </si>
  <si>
    <t>Alteração do meio de comunicação 7965013080</t>
  </si>
  <si>
    <t>190-38376536</t>
  </si>
  <si>
    <t>ETO-TELEAR  000020/2026</t>
  </si>
  <si>
    <t>ETO-TELE 00971/2026</t>
  </si>
  <si>
    <t>PARECER COEP: É PARA REALIZAR A SUBSTITUIÇÃO DO RELIGADOR OU DAS BUCHAS, CASO SEJA BUCHAS , REPASSAR PARA OS COCM'S , CASO NÃO SEJA ESPECIFIQUE O MODELO , E A TENSÃO, FICO NO AGUARDO DO RETORNO
Nota para manutenção substituir religador 7900525015 que está com as buchas de entrada danificadas fase A estourada e bc danificadas
Local LD Pedro Afonso A Chaparral</t>
  </si>
  <si>
    <t>190-17404244</t>
  </si>
  <si>
    <t>ETO-RD-GR 00431/2026</t>
  </si>
  <si>
    <t>ETO-TELE 00436/2026</t>
  </si>
  <si>
    <t>DA PROTEÇÃO: Recomissionar Religador 7956992021, falhas recorrentes de comunicação e operação via supervisório SCADA.
Estagiário Rafael P Marques.
*************************************</t>
  </si>
  <si>
    <t>190-31445590</t>
  </si>
  <si>
    <t>ETO-TELEGU  000191/2026</t>
  </si>
  <si>
    <t>ETO-TELE 00965/2026</t>
  </si>
  <si>
    <t>PARECER DMSL DATA 16/07/2026: será necessário fazer a substituição da parte ativa do equipamento.
PARECER COEP: Equipamento Funcionando no SCADA , favor reavaliar a necessidade de substituição e se necessário mandar o modelo do equipamento.
Segue nota para substituir Taque do RL-7930428001 na LD Porto Nacional / São João, Identificado pela Int-20253617520441 equipamento dando passagem na fase A ficou bay-passado até substituição, Tensão 34,5kva, Acesso livre.</t>
  </si>
  <si>
    <t>190-17408525</t>
  </si>
  <si>
    <t>DG-RD-PO 00419/2025</t>
  </si>
  <si>
    <t>ETO-TELE 00308/2026</t>
  </si>
  <si>
    <t>FEITO PRIMEIRO ATAQUE NO RL 7957466015 EM CAMPO E NÃO RETORNOU A COMUNICAÇÃO</t>
  </si>
  <si>
    <t>190-44945412</t>
  </si>
  <si>
    <t>ETO-TELE  000373/2026</t>
  </si>
  <si>
    <t>ETO-TELE 00284/2026</t>
  </si>
  <si>
    <t>PARECER DMSL: FEEDBACK EQUIP. ESPECIAIS
Nº DO EQUIPAMENTO:  7925744087
TIPO EQUIPAMENTO: Noja RC 10
TIPO DE COMUNICAÇÃO: Radio GE IP
DATA DA MANUTENÇÃO: 19/02/2026
SID: 735/2026
DESCRIÇÃO: foi identificado água dentro da parte interna do tanque e cabo umbilical encharcado de água foi passado essas informações para COS.
FICOU EM OPERAÇÃO?: Não
PENDÊNCIA: Sim substituir tanque e cabo umbilical
DADOS DIVERGENTES DA PROGRAMAÇÃO: Não
BATERIA SUBSTITUÍDA?: Não
DATA DA BATERIA: 07/05/2025
TIPO DE BATERIA: Lítio
EQUIPE: Edeglan e Janio
-------------------------------------------------------------------------------------------------
RELIGADOR SEM COMUNICAÇÃO, APOS PRIMEIRO ATAQUE RETORNA E FICAR INDEFINIDO.</t>
  </si>
  <si>
    <t>190-17408622</t>
  </si>
  <si>
    <t>ETO-TELE 00511/2026</t>
  </si>
  <si>
    <t>Foi feito primeiro ataque no RL 7944353028 e a equipe repassou que o dusjuntor estava desarmado. Foi feito rearme do disjuntor e so voltou a comunicção apos uns 50 minutos , o mesmo ficou bay passado em campo .</t>
  </si>
  <si>
    <t>ETO-TELEGU  000163/2026</t>
  </si>
  <si>
    <t>ETO-TELE 00599/2026</t>
  </si>
  <si>
    <t>190-17512728</t>
  </si>
  <si>
    <t>ETO-TELE  000441/2026</t>
  </si>
  <si>
    <t>NAZARE</t>
  </si>
  <si>
    <t>ETO-TELE 01069/2026</t>
  </si>
  <si>
    <t>190-17513753</t>
  </si>
  <si>
    <t>ETO-TELE 00467/2026</t>
  </si>
  <si>
    <t>190-35721880</t>
  </si>
  <si>
    <t>ETO-TELEAR  000090/2026</t>
  </si>
  <si>
    <t>ETO-TELE 00670/2026</t>
  </si>
  <si>
    <t>190-17514243</t>
  </si>
  <si>
    <t>ETO-TELEGU  000139/2026</t>
  </si>
  <si>
    <t>ETO-TELE 00542/2026</t>
  </si>
  <si>
    <t>190-17421707</t>
  </si>
  <si>
    <t>ETO-TELE  000544/2026</t>
  </si>
  <si>
    <t>ETO-TELE 00142/2026</t>
  </si>
  <si>
    <t>RL 7901195014
MESMO SEM COMUNICAÇÃO PARA OPERAÇÃO
EQUIPE 086OP01 ESTEVE NO LOCAL FEZ RESET E VERIFICAÇÕES O MESMO NAO VOLTOU A COMUNICAÇÃO
FAVOR DIRECIONAR EQUIPE PARA TRATATIVAS;
RL DE TRASFERENCIA RAMAL GRUPO A BOA FURTUNA</t>
  </si>
  <si>
    <t>190-17413947</t>
  </si>
  <si>
    <t>ETO-TELEPA  000072/2026</t>
  </si>
  <si>
    <t>ETO-TELE 00312/2026</t>
  </si>
  <si>
    <t>Aberto nota para subestituir banco de baterias SE Araguacema devido as baterias não estarem carregando</t>
  </si>
  <si>
    <t>2AGC</t>
  </si>
  <si>
    <t>190-17270</t>
  </si>
  <si>
    <t>CASSIO GOMES BONFIM</t>
  </si>
  <si>
    <t>ETO-TELE  000383/2026</t>
  </si>
  <si>
    <t>ETO-TELE 00905/2026</t>
  </si>
  <si>
    <t>190-17421112</t>
  </si>
  <si>
    <t>ETO-TELE  000601/2026</t>
  </si>
  <si>
    <t>ETO-TELE 01023/2026</t>
  </si>
  <si>
    <t>Religador 7900722193 sem comunicação, apos primeiro ataque não retornou as comunicação.</t>
  </si>
  <si>
    <t>190-17407922</t>
  </si>
  <si>
    <t>ETO-TELE 00298/2026</t>
  </si>
  <si>
    <t>PARECER DMSL: Data: 12/03/2026 Serviço Executado:
- Análise técnica constatou:
- Parte ativa do equipamento danificada: necessita substituição
- Trafo danificado: foi feitos testes nas buchas secundárias o mesmo não chega tensão
    - Vazamento de óleo
    - Necessita substituição
Equipamento ficou em operação? Não
Pendências:
- Solicitar limpeza de faixa para acesso ao equipamento
- Trocar parte ativa do equipamento
- Substituir o trafo
Equipe: Carliel e João Vitor
Segue nota para envia equipe verificar falha de comunicação e automação no RL-7926442035 feito primeiro ataque com equipe 035OP02, porém sem sucesso. </t>
  </si>
  <si>
    <t>190-17513078</t>
  </si>
  <si>
    <t>ETO-TELE 00646/2026</t>
  </si>
  <si>
    <t>ETO-TELEGU  000125/2026</t>
  </si>
  <si>
    <t>ETO-TELE 00012/2026</t>
  </si>
  <si>
    <t>190-17421381</t>
  </si>
  <si>
    <t>ETO-TELEPA  000027/2026</t>
  </si>
  <si>
    <t>ETO-TELE 00230/2026</t>
  </si>
  <si>
    <t>Senhores, favor verificar rl 7955936122 perde comunicaçao quando falta CA e nao aceitou comando de fecha em local favor verificar</t>
  </si>
  <si>
    <t>190-54572505</t>
  </si>
  <si>
    <t>ETO-TELEPA  000079/2026</t>
  </si>
  <si>
    <t>ETO-TELE 00353/2026</t>
  </si>
  <si>
    <t>REP. ITACAJÁ
Inspeção preventiva.</t>
  </si>
  <si>
    <t>REP.ITACAJA</t>
  </si>
  <si>
    <t>REPETIDORA ITACAJÁ</t>
  </si>
  <si>
    <t>ETO-TELE  000068/2026</t>
  </si>
  <si>
    <t>ETO-TELE 00111/2026</t>
  </si>
  <si>
    <t>190-26949200</t>
  </si>
  <si>
    <t>ETO-TELE  000015/2026</t>
  </si>
  <si>
    <t>ETO-TELE 00006/2026</t>
  </si>
  <si>
    <t>RL 7921202014
RELIAGDOR BY PASSADO EM CAMPO O MESMO FICA INTERMIENTE TODO TEMPO FEITO PRIMEIRO ATAQUE . NAO VOLTOU COMUNICAÇÃO E NAO ACEITA COMANDOS . NECESSARIO VERIFICAÇÃO PARA TRATATIVA RL LINHA CRISTALANDIA A MARIANOPOLIS .</t>
  </si>
  <si>
    <t>190-17412842</t>
  </si>
  <si>
    <t>ETO-TELEPA  000022/2026</t>
  </si>
  <si>
    <t>ETO-TELE 00234/2026</t>
  </si>
  <si>
    <t>Religador 7956399193, sem comunicação apos primeiro ataque não retornou as comunicação.</t>
  </si>
  <si>
    <t>190-33773373</t>
  </si>
  <si>
    <t>ETO-TELE  000293/2026</t>
  </si>
  <si>
    <t>ETO-TELE 00049/2026</t>
  </si>
  <si>
    <t>190-26412406</t>
  </si>
  <si>
    <t>ETO-TELEPA  000016/2026</t>
  </si>
  <si>
    <t>ETO-TELE 00926/2026</t>
  </si>
  <si>
    <t>segue nota para linha viva, poda de arvore, elemento referencia 03005519059, proximo ao trafo 5700060059, tensao 13,08kv, rdu de taquaralto</t>
  </si>
  <si>
    <t>190-15772103</t>
  </si>
  <si>
    <t>MARCO ANTONIO LOURENCO CAMPOS</t>
  </si>
  <si>
    <t>TRANSFORMADOR DE DISTRIBUIÇÃO GIS</t>
  </si>
  <si>
    <t>NOTA DE SERVIÇO (NS) - LINHA VIVA</t>
  </si>
  <si>
    <t>ETO-TELE 01447/2025</t>
  </si>
  <si>
    <t>PARECER DMSL: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REALIZAR TESTE FUNIONAL VIA SOFTWARE PARA TRIP DO EQUIPAMENTO, TEMOS A SUSPEITA QUE NÃO ESTA LENDO CORRENTE EM SEUS SENSORES VISTO QUE JÁ TIROU A LD VÁRIAS VEZES.
ATUALIZAR O ESTUDO DE PROTEÇÃO.</t>
  </si>
  <si>
    <t>ETO-TELE 00502/2026</t>
  </si>
  <si>
    <t>SEGUE SOLICITAÇÃO DE SERVIÇO PARA EQUIPAMENTO SEM COMUNICAÇÃO O MESMO JA FOI REALIZADO 3 ATAQUES EA A ANOMALIA SEMPRE EO DISJUNTOR DESARMADO.</t>
  </si>
  <si>
    <t>190-17512789</t>
  </si>
  <si>
    <t>JONATAN ALVES DE SOUZA</t>
  </si>
  <si>
    <t>ETO-TELEGU  000082/2026</t>
  </si>
  <si>
    <t>ETO-TELE 00563/2026</t>
  </si>
  <si>
    <t>190-17512660</t>
  </si>
  <si>
    <t>ETO-TELE  000428/2026</t>
  </si>
  <si>
    <t>ETO-TELE 00849/2026</t>
  </si>
  <si>
    <t>RL 7931383086
RDU MARIANOPOLIS MESMO ESTA DESARMANDO O DISJUNTOR DOM FREQUENCIA EQUIPE SINERGIA 086OP01 ESTEVE NO LOCAL POREM NAO CONSTATOU REAL DEFEITO . EQUIPAMENTO FICANDO INDIPONIVEL PARA OPERAÇÃO</t>
  </si>
  <si>
    <t>ETO-TELE  000567/2026</t>
  </si>
  <si>
    <t>ETO-TELE 00181/2026</t>
  </si>
  <si>
    <t>PARECER DCMD: foi feito a mudança de lugar do religador conforme solicitado o mesmo ja esta cadastrado no local novo
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
Favor, avaliar a possibilidade de mudar o local de instalação do ativo e ou aguardar o período de estiagem.
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</si>
  <si>
    <t>AL01016065</t>
  </si>
  <si>
    <t>190-38651168</t>
  </si>
  <si>
    <t>ETO-TELE  001171/2025</t>
  </si>
  <si>
    <t>ETO-PROT 00346/2025</t>
  </si>
  <si>
    <t>AXIXA DO TOCANTINS</t>
  </si>
  <si>
    <t>ETO-TELE 00213/2026</t>
  </si>
  <si>
    <t>Boa noite segue RL 7900701033, verificar o mesmo, perde comunicação quando fica sem CA e o mesmo tinha defeito a jusante e não desarmou pelo curto da linha, causando o desarme do 424R DE COLMEIA perdendo a LD, POR FAVOR VERIFICAR</t>
  </si>
  <si>
    <t>190-17408627</t>
  </si>
  <si>
    <t>ETO-TELE  000071/2026</t>
  </si>
  <si>
    <t>ETO-PROT 00180/2025</t>
  </si>
  <si>
    <t>ETO-TELE 00868/2026</t>
  </si>
  <si>
    <t>Verificar atuação da proteção do religador 7903696001 durante ebento da LD 414R São o defeito estava a jusante do religador 7903696001
Parecer da proteção:
Realizar teste funcional para verificar se está abrindo de fato. Caso esteja tudo ok atualizar a base junto ao time SCADA.
Eng° Irlley Castelo Branco</t>
  </si>
  <si>
    <t>190-17410148</t>
  </si>
  <si>
    <t>ETO-TELEPA  000329/2026</t>
  </si>
  <si>
    <t>ETO-PROT 00297/2025</t>
  </si>
  <si>
    <t>ETO-TELE 00278/2026</t>
  </si>
  <si>
    <t>Segue SS para verificação do RL 7935635043, o mesmo está sem comunicação. Feito o primeiro ataque porém sem sucesso.
Eq. 152OP01 63 98413-9467</t>
  </si>
  <si>
    <t>190-73848212</t>
  </si>
  <si>
    <t>JOSE MARIA ALVES MONTEL</t>
  </si>
  <si>
    <t>ETO-TELEPA  000086/2026</t>
  </si>
  <si>
    <t>ETO-TELE 01034/2026</t>
  </si>
  <si>
    <t>PARECER DMSL 06/08: Substituir célula da Fase B do banco de Regulador de tensão e realizar melhorias na malha de aterramento do Regulador
Boa noite,
Segue SS para as devidas tratativas, verificar flutuação de tensão do regulador 5800440256 pois a tensão está oscilando de 16kv a 23kv    favor verificar esta anomalia pois cliente BRK está abrindo reclamação todas as noites.</t>
  </si>
  <si>
    <t>COMUTAÇÃO INDEVIDA</t>
  </si>
  <si>
    <t>ETO-TELE 00448/2026</t>
  </si>
  <si>
    <t>190-17512993</t>
  </si>
  <si>
    <t>LIZARDA</t>
  </si>
  <si>
    <t>ETO-TELE 00584/2026</t>
  </si>
  <si>
    <t>190-65041253</t>
  </si>
  <si>
    <t>ETO-TELE  000430/2026</t>
  </si>
  <si>
    <t>ETO-TELE 00945/2026</t>
  </si>
  <si>
    <t>190-17404083</t>
  </si>
  <si>
    <t>ETO-TELE  000624/2026</t>
  </si>
  <si>
    <t>ETO-TELE 00224/2026</t>
  </si>
  <si>
    <t>Rele do religador em curto.</t>
  </si>
  <si>
    <t>ETO-TELE  000321/2026</t>
  </si>
  <si>
    <t>ETO-TELE 00493/2026</t>
  </si>
  <si>
    <t>190-36898546</t>
  </si>
  <si>
    <t>ETO-TELEGU  000150/2026</t>
  </si>
  <si>
    <t>ETO-TELE 00326/2026</t>
  </si>
  <si>
    <t>Religador  na classificação de G3, porém  ativado para  proteção  G1, onde  não  permite  mudança de ajuste para G3.
Parecer da proteção:
Necessário atualização da base do relé NOJA junto com o time SCADA, conferir o ajuste de proteção.
Eng° Irlley Castelo Branco</t>
  </si>
  <si>
    <t>190-19975750</t>
  </si>
  <si>
    <t>ETO-TELEAR  000059/2026</t>
  </si>
  <si>
    <t>ETO-PROT 00519/2024</t>
  </si>
  <si>
    <t>ETO-TELE 00514/2026</t>
  </si>
  <si>
    <t>equipe053op01 fez o primeiro ataque no RL 7942706030 a tampa que da acesso ao rele esta emperrada, RL ta sem comunicação.</t>
  </si>
  <si>
    <t>190-17408961</t>
  </si>
  <si>
    <t>ETO-TELE  000458/2026</t>
  </si>
  <si>
    <t>ETO-TELE 01078/2026</t>
  </si>
  <si>
    <t>ETO-TELE 00094/2026</t>
  </si>
  <si>
    <t>190-17403386</t>
  </si>
  <si>
    <t>ETO-TELEPA  000090/2026</t>
  </si>
  <si>
    <t>ETO-TELE 00144/2026</t>
  </si>
  <si>
    <t>Aberto nota para verificar perda de automação na SE Fátima, quando falta CA</t>
  </si>
  <si>
    <t>2FTM</t>
  </si>
  <si>
    <t>190-94</t>
  </si>
  <si>
    <t>ETO-TELEPA  000133/2026</t>
  </si>
  <si>
    <t>ETO-TELE 00165/2026</t>
  </si>
  <si>
    <t>AL02085042</t>
  </si>
  <si>
    <t>190-17421468</t>
  </si>
  <si>
    <t>CARIRI DO TOCANTINS</t>
  </si>
  <si>
    <t>ETO-TELE 00539/2026</t>
  </si>
  <si>
    <t>AL02020023</t>
  </si>
  <si>
    <t>190-17421132</t>
  </si>
  <si>
    <t>ETO-TELE  000569/2026</t>
  </si>
  <si>
    <t>ETO-TELE 00786/2026</t>
  </si>
  <si>
    <t>190-17337706</t>
  </si>
  <si>
    <t>ETO-TELE 01084/2026</t>
  </si>
  <si>
    <t>190-49977934</t>
  </si>
  <si>
    <t>ETO-TELEGU  000298/2026</t>
  </si>
  <si>
    <t>ETO-TELE 00580/2026</t>
  </si>
  <si>
    <t>AL01053090</t>
  </si>
  <si>
    <t>190-23059379</t>
  </si>
  <si>
    <t>ETO-TELE  000440/2026</t>
  </si>
  <si>
    <t>ETO-TELE 00856/2026</t>
  </si>
  <si>
    <t>Verificar situação de equipamento by passado, falta comissionamento ???</t>
  </si>
  <si>
    <t>190-27979871</t>
  </si>
  <si>
    <t>ETO-TELEGU  000178/2026</t>
  </si>
  <si>
    <t>ETO-TELE 00030/2026</t>
  </si>
  <si>
    <t>190-17512529</t>
  </si>
  <si>
    <t>ETO-TELEPA  000029/2026</t>
  </si>
  <si>
    <t>ETO-TELE 00249/2026</t>
  </si>
  <si>
    <t>SEGUE SS DE RELIGADOR SEM COMUNICAÇÃO, EQUIPE 076OP01 FEZ PRIMEIRO ATAQUE NO MESMO.</t>
  </si>
  <si>
    <t>ETO-TELE  000347/2026</t>
  </si>
  <si>
    <t>ETO-TELE 01009/2026</t>
  </si>
  <si>
    <t>DISJUNTOR EM CURTO DO RL 7949315055, 055op01 fez reset voltou a comunicar porém perde a comunicação devido algum curto ou defeito no disjuntor de alimentação.</t>
  </si>
  <si>
    <t>190-21586057</t>
  </si>
  <si>
    <t>ETO-TELEPA  000488/2026</t>
  </si>
  <si>
    <t>ETO-TELE 00102/2026</t>
  </si>
  <si>
    <t>190-17419854</t>
  </si>
  <si>
    <t>ETO-TELE  000026/2026</t>
  </si>
  <si>
    <t>ETO-TELE 00472/2026</t>
  </si>
  <si>
    <t>190-17512750</t>
  </si>
  <si>
    <t>ETO-TELE 00697/2026</t>
  </si>
  <si>
    <t>AL10060122</t>
  </si>
  <si>
    <t>190-66312298</t>
  </si>
  <si>
    <t>ETO-TELE  000493/2026</t>
  </si>
  <si>
    <t>ETO-TELE 00790/2026</t>
  </si>
  <si>
    <t>Segue nota para verificar intermitência de comunicação nos religadores 7908301026 , 7911120026, 7947959026 , 7908692026, 7900594026 rural- Ponte Alta .
Obs: equipamentos estão com intermitência na comunicação , perdem a comunicação quase todos ao mesmo tempo !</t>
  </si>
  <si>
    <t>190-23030125</t>
  </si>
  <si>
    <t>ETO-TELEPA  000413/2026</t>
  </si>
  <si>
    <t>ETO-TELE 00576/2026</t>
  </si>
  <si>
    <t>AL05103004</t>
  </si>
  <si>
    <t>190-17421387</t>
  </si>
  <si>
    <t>ETO-TELE  000389/2026</t>
  </si>
  <si>
    <t>ETO-TELE 00821/2026</t>
  </si>
  <si>
    <t>foi feito primeiro ataque RL 7900722193 não retorno a comunicação.</t>
  </si>
  <si>
    <t>ETO-TELEAR  000081/2026</t>
  </si>
  <si>
    <t>ETO-RD-AR 00809/2026</t>
  </si>
  <si>
    <t>ETO-TELE 00044/2026</t>
  </si>
  <si>
    <t>AL04097122</t>
  </si>
  <si>
    <t>190-26597068</t>
  </si>
  <si>
    <t>ETO-TELEPA  000261/2026</t>
  </si>
  <si>
    <t>ETO-TELE 00089/2026</t>
  </si>
  <si>
    <t>190-17512720</t>
  </si>
  <si>
    <t>ETO-TELEPA  000052/2026</t>
  </si>
  <si>
    <t>IPUEIRAS</t>
  </si>
  <si>
    <t>ETO-TELE 00654/2026</t>
  </si>
  <si>
    <t>190-17512497</t>
  </si>
  <si>
    <t>ETO-TELEGU  000154/2026</t>
  </si>
  <si>
    <t>ETO-TELE 00661/2026</t>
  </si>
  <si>
    <t>190-17513179</t>
  </si>
  <si>
    <t>ETO-TELEGU  000144/2026</t>
  </si>
  <si>
    <t>ETO-TELE 00706/2026</t>
  </si>
  <si>
    <t>AL03097122</t>
  </si>
  <si>
    <t>190-17419978</t>
  </si>
  <si>
    <t>ETO-TELEPA  000258/2026</t>
  </si>
  <si>
    <t>ETO-TELE 00876/2026</t>
  </si>
  <si>
    <t>segue religador 7929658038 sem comunicçao feito primeiro ataque , sem sucesso
obs. mesmo estar sinalizando falaha na bateria com led vermelho, na rdu de taguatinga</t>
  </si>
  <si>
    <t>190-17413588</t>
  </si>
  <si>
    <t>ETO-TELEGU  000226/2026</t>
  </si>
  <si>
    <t>ETO-TELE 01015/2026</t>
  </si>
  <si>
    <t>AL04113003</t>
  </si>
  <si>
    <t>190-26412418</t>
  </si>
  <si>
    <t>ETO-TELEGU  000264/2026</t>
  </si>
  <si>
    <t>ETO-TELE 00909/2026</t>
  </si>
  <si>
    <t>ETO-TELE 01086/2026</t>
  </si>
  <si>
    <t>190-17514265</t>
  </si>
  <si>
    <t>ETO-TELEAR  000156/2026</t>
  </si>
  <si>
    <t>ETO-TELE 00004/2026</t>
  </si>
  <si>
    <t>RL 7900654055
SEM COMUNICAÇÃO COM FREQUENCIA EQUIPE FEZ PRIMEIRO ATAQUE O MESMO VOLTA COMUNICAÇÃO POREM QUANDO PERDE C.A O MESMO PERDE A COMUNICAÇÃO IMPOSSIBILITANDO TRANSFERENCIA DA RDU DE ARAGUACEMA
055OP01 ESTEVE NO LOCAL</t>
  </si>
  <si>
    <t>190-17408899</t>
  </si>
  <si>
    <t>ETO-TELE  000041/2026</t>
  </si>
  <si>
    <t>ETO-TELE 00536/2026</t>
  </si>
  <si>
    <t>190-17512693</t>
  </si>
  <si>
    <t>ETO-TELE  000547/2026</t>
  </si>
  <si>
    <t>ETO-TELE 00554/2026</t>
  </si>
  <si>
    <t>190-17421377</t>
  </si>
  <si>
    <t>ETO-TELE  000572/2026</t>
  </si>
  <si>
    <t>ETO-TELE 00756/2026</t>
  </si>
  <si>
    <t>190-21280624</t>
  </si>
  <si>
    <t>ETO-TELE 01000/2026</t>
  </si>
  <si>
    <t>Foi aberto somente o chamado de comissionamento fizemos o comissionamento do mesmo só que a base está desatualizada, no escada está a base do noja rc 01,  será necessário abrir o chamado de comissionamento e  atualização de base do equipamento!</t>
  </si>
  <si>
    <t>190-17419851</t>
  </si>
  <si>
    <t>Eveline Teixeira da Silva</t>
  </si>
  <si>
    <t>ETO-TELEPA  000484/2026</t>
  </si>
  <si>
    <t>ETO-TELE 00931/2026</t>
  </si>
  <si>
    <t>FEITO PRIMEIRO ATAQUE NO RL 7929383045 E NÃO RETORNOU A COMUNICAÇÃO. PROVIDENCIAR MANUTENÇÃO PARA O MESMO</t>
  </si>
  <si>
    <t>LD03014045</t>
  </si>
  <si>
    <t>190-17403366</t>
  </si>
  <si>
    <t>ETO-TELE 00955/2026</t>
  </si>
  <si>
    <t>PARECER DMSL: não foi regularizado a instalação do equipamento, nota repassada conforme alinhado com o supervisor.
____________________________________________
COCMS 26.03.26. SS REPASSADA PARA COEP PROVIDENCIAR MATERIAL. NÃO TEMOS AS PÇ EM ESTOQUE PARA FAZER A SUBSTITUIÇÃO.
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</si>
  <si>
    <t>190-55087821</t>
  </si>
  <si>
    <t>ETO-COEP 00153/2025</t>
  </si>
  <si>
    <t>ETO-TELE 00632/2026</t>
  </si>
  <si>
    <t>LD02001037</t>
  </si>
  <si>
    <t>190-39861239</t>
  </si>
  <si>
    <t>ETO-TELEGU  000196/2026</t>
  </si>
  <si>
    <t>ETO-TELE 00612/2026</t>
  </si>
  <si>
    <t>190-17513086</t>
  </si>
  <si>
    <t>ETO-TELEGU  000120/2026</t>
  </si>
  <si>
    <t>ETO-TELE 00235/2026</t>
  </si>
  <si>
    <t>boa noite,
Segue SS para as devidas tratativas, religador 7951455001 perde comunicação quando falta CA favor substituir a bateria do mesmo </t>
  </si>
  <si>
    <t>190-25759996</t>
  </si>
  <si>
    <t>ETO-TELE  000367/2026</t>
  </si>
  <si>
    <t>ETO-TELE 00378/2026</t>
  </si>
  <si>
    <t>RELIGADOR 7957920111 ESTÁ COM RELE APAGADO COM DEFEITO.</t>
  </si>
  <si>
    <t>LD03020023</t>
  </si>
  <si>
    <t>190-24317137</t>
  </si>
  <si>
    <t>PEQUIZEIRO</t>
  </si>
  <si>
    <t>ETO-TELE 00782/2026</t>
  </si>
  <si>
    <t>RELIGADOR BY PASSADO SEM COMUNICAÇÃO, REALIZADO PRIMEIRO ATAQUE SEM SUCESSO.</t>
  </si>
  <si>
    <t>190-52142048</t>
  </si>
  <si>
    <t>ETO-TELE 00226/2026</t>
  </si>
  <si>
    <t>ATUALIZAR AJUSTES DO RL 7930429075 LD MIRANORTE ARAGUACEMA. NA OPORTUNIDADE ATUALIZAR VERSÃO DO RELE PARA VERSÃO ATUAL. AJUSTES DISPONIVEL NO APP DA PROTEÇÃO.</t>
  </si>
  <si>
    <t>190-17410077</t>
  </si>
  <si>
    <t>ETO-TELE  000522/2026</t>
  </si>
  <si>
    <t>ETO-TELE 00454/2026</t>
  </si>
  <si>
    <t>190-43820335</t>
  </si>
  <si>
    <t>ETO-TELE 00616/2026</t>
  </si>
  <si>
    <t>190-17421347</t>
  </si>
  <si>
    <t>ETO-TELEGU  000084/2026</t>
  </si>
  <si>
    <t>ETO-TELE 00622/2026</t>
  </si>
  <si>
    <t>ETO-TELE  000489/2026</t>
  </si>
  <si>
    <t>ETO-TELE 00310/2026</t>
  </si>
  <si>
    <t>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</si>
  <si>
    <t>190-61399933</t>
  </si>
  <si>
    <t>ETO-PROT 00027/2026</t>
  </si>
  <si>
    <t>ETO-TELE 01062/2026</t>
  </si>
  <si>
    <t>ETO-TELEGU  000279/2026</t>
  </si>
  <si>
    <t>ETO-TELE 00718/2026</t>
  </si>
  <si>
    <t>AL09059122</t>
  </si>
  <si>
    <t>190-17421382</t>
  </si>
  <si>
    <t>ETO-TELE 00291/2026</t>
  </si>
  <si>
    <t>RL 7942300004 FEITO PRIMEIRO ATAQUE, RETORNOU COMUNICAÇÃO POREM PERDE QUANDO FALTAA CA E QUANDO NORMALIZA CA TEM QUE ENVIAR EQUIPE NELE NOVAMENTE RL N/A DE TRANSFERENCIA PA COCALANDIA</t>
  </si>
  <si>
    <t>190-17413255</t>
  </si>
  <si>
    <t>ETO-TELE  000352/2026</t>
  </si>
  <si>
    <t>ETO-TELE 00773/2026</t>
  </si>
  <si>
    <t>Foi realizado primeiro ataque e encontrado disjuntor desarmado. Foi feito o rearme e voltou a comunicação. Porém é necessario enviar equipe do DMSL varificar pois é recorrente esse desarme do disjuntor.
OS: 107814766</t>
  </si>
  <si>
    <t>190-29564292</t>
  </si>
  <si>
    <t>ETO-TELE  000494/2026</t>
  </si>
  <si>
    <t>SOBRECARGA</t>
  </si>
  <si>
    <t>ETO-TELE 00777/2026</t>
  </si>
  <si>
    <t>Feito primeiro ataque no RL 7924612052 e não voltou a comunicação devido esta fechando curto no circuito interno do mesmo</t>
  </si>
  <si>
    <t>190-17512832</t>
  </si>
  <si>
    <t>ETO-TELEGU  000077/2026</t>
  </si>
  <si>
    <t>ETO-TELE 00439/2026</t>
  </si>
  <si>
    <t>ATUALIZAR A BASE DO RELÉ JUNTO AO SCADA, ALTERAR TAMBÉM OS AJUSTES DE PROTEÇÃO.</t>
  </si>
  <si>
    <t>190-17421349</t>
  </si>
  <si>
    <t>ETO-TELEPA  000426/2026</t>
  </si>
  <si>
    <t>PARECER DCMD:
Serviço realizado , substituição da parte ativa  do RELIGADOR 7943790134 - Favor realizar comissionamento</t>
  </si>
  <si>
    <t>190-17407446</t>
  </si>
  <si>
    <t>190-17338316</t>
  </si>
  <si>
    <t>ETO-TELEPA  000503/2026</t>
  </si>
  <si>
    <t>ETO-TELE 00062/2026</t>
  </si>
  <si>
    <t>AL02072001</t>
  </si>
  <si>
    <t>190-45778660</t>
  </si>
  <si>
    <t>ETO-TELEPA  000040/2026</t>
  </si>
  <si>
    <t>ETO-TELE 00276/2026</t>
  </si>
  <si>
    <t>Realizar coleta do historico do log de eventos do RL 7900414025, Ramal Garimpinho em Arapoema. Coletar dados com registros apartir do dia 05/02/2026. Priozar a coletar, pois no dia 06/02/2026 houve um acidente falta com a comunidade, e os registros são necessarios para compor o laudo de analise do acidente. Os dados deverão ser enviados para a area de proteção do sistema, aos cuidados de Clebson Duarte e Irlley José.</t>
  </si>
  <si>
    <t>190-17337877</t>
  </si>
  <si>
    <t>ETO-TELE  000331/2026</t>
  </si>
  <si>
    <t>ETO-TELE 00212/2026</t>
  </si>
  <si>
    <t>ETO-TELEGU  000032/2026</t>
  </si>
  <si>
    <t>ETO-TELE 00717/2026</t>
  </si>
  <si>
    <t>190-17421236</t>
  </si>
  <si>
    <t>ETO-TELEPA  000316/2026</t>
  </si>
  <si>
    <t>PARECER COEP: Equipamento em operação no SCADA, se for necessário , favor especificar peça e modelo para substituição
Tanque do RLG 7936038076 queimado, favor substituir o mesmo.
NS do tanque: 0320118112616</t>
  </si>
  <si>
    <t>190-17512614</t>
  </si>
  <si>
    <t>ETO-TELEGU  000246/2026</t>
  </si>
  <si>
    <t>ETO-COEP 00044/2026</t>
  </si>
  <si>
    <t>ETO-TELE 01092/2026</t>
  </si>
  <si>
    <t>LD01005098</t>
  </si>
  <si>
    <t>190-33304551</t>
  </si>
  <si>
    <t>ANANAS</t>
  </si>
  <si>
    <t>ETO-TELE 00917/2026</t>
  </si>
  <si>
    <t>190-17513081</t>
  </si>
  <si>
    <t>ETO-TELEPA  000430/2026</t>
  </si>
  <si>
    <t>ETO-TELE 00441/2026</t>
  </si>
  <si>
    <t>Não tem antena mapeada para este equipamento.</t>
  </si>
  <si>
    <t>190-27477350</t>
  </si>
  <si>
    <t>ETO-TELEPA  000354/2026</t>
  </si>
  <si>
    <t>ETO-TELE 00462/2026</t>
  </si>
  <si>
    <t>190-17421496</t>
  </si>
  <si>
    <t>ETO-TELE 00807/2026</t>
  </si>
  <si>
    <t>DCMD 28/04/2026 - Foi realizado a melhoria de aterramento e manutenção em todas as chaves conforme solicitado.
PARECER DMSL: Realizar manutenção em todas as chaves do RT 5836764032 , entrada , saída e baypass. Fazer melhoria na malha de aterramento.
Foi Constatado Falha no Regulador de tensão  5836764032 fase B
PARECER COEP: Favor, realizar atendimento conforme alinhado com Julio.</t>
  </si>
  <si>
    <t>190-32303800</t>
  </si>
  <si>
    <t>ETO-TELEGU  000134/2026</t>
  </si>
  <si>
    <t>ETO-TELE 00836/2025</t>
  </si>
  <si>
    <t>ETO-TELE 00207/2026</t>
  </si>
  <si>
    <t>SEGUE SS DE RELIGADOR INTERMITENTE, OS MESMO FOI FEITO PRIMEIRO ATAQUE PELA EQUIPE 002FT01, FAVOR VERIFICAR.</t>
  </si>
  <si>
    <t>190-17512520</t>
  </si>
  <si>
    <t>ETO-TELE  000554/2026</t>
  </si>
  <si>
    <t>ETO-TELE 00435/2026</t>
  </si>
  <si>
    <t>segue ss de religador n. 7927312010 com defeito com falta de comunicacao com centro de operacão foi feito o primeiro ataque com equipe local e mesmo assim o equipamento não voltou a comunicação  favor agilizar o atendimento devido ser equipamento de linha que normalmaente é usado para manobras em linha e transferencia de cargas chave de referencia 7927312010 endereço rural do Lajeado</t>
  </si>
  <si>
    <t>190-17512734</t>
  </si>
  <si>
    <t>ETO-TELE  000526/2026</t>
  </si>
  <si>
    <t>ETO-TELE 00471/2026</t>
  </si>
  <si>
    <t>ETO-TELE 00703/2026</t>
  </si>
  <si>
    <t>AL02048007</t>
  </si>
  <si>
    <t>190-17421721</t>
  </si>
  <si>
    <t>ETO-TELEPA  000392/2026</t>
  </si>
  <si>
    <t>ETO-TELE 01016/2026</t>
  </si>
  <si>
    <t>ETO-TELEGU  000260/2026</t>
  </si>
  <si>
    <t>ETO-TELE 00184/2026</t>
  </si>
  <si>
    <t>Segue nota para verificar falha de comunicação RL 7900032086 - Rural- Marianópolis .
obs: foi feito primeiro ataque porem o mesmo esta com painel elétrico em curto .</t>
  </si>
  <si>
    <t>190-17512707</t>
  </si>
  <si>
    <t>ETO-TELEPA  000068/2026</t>
  </si>
  <si>
    <t>ETO-TELE 00972/2026</t>
  </si>
  <si>
    <t>PARECER COEP: PROBLEMA IDENTIFICADO É NA PARTE ATIVA? OU NO RELIGADOR? FAVOR VERIFICAR SE EQUIPAMENTO ESTÁ EM OPERAÇÃO NO SCADA, OU SE É NECESSARIO APENAS A MELHORIA DE ATERRAMENTO
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</si>
  <si>
    <t>EQP-7921202014</t>
  </si>
  <si>
    <t>ETO-RD-PA 00109/2026</t>
  </si>
  <si>
    <t>ETO-TELE 00315/2026</t>
  </si>
  <si>
    <t>REP. XAMBIOÁ</t>
  </si>
  <si>
    <t>REP.XAMBIOA</t>
  </si>
  <si>
    <t>REPETIDORA XAMBIOÁ</t>
  </si>
  <si>
    <t>ETO-TELEAR  000005/2026</t>
  </si>
  <si>
    <t>ETO-TELE 00450/2026</t>
  </si>
  <si>
    <t>190-17513990</t>
  </si>
  <si>
    <t>ETO-TELEPA  000364/2026</t>
  </si>
  <si>
    <t>ETO-TELE 00594/2026</t>
  </si>
  <si>
    <t>190-17512908</t>
  </si>
  <si>
    <t>ETO-TELE  000502/2026</t>
  </si>
  <si>
    <t>ETO-TELE 00711/2026</t>
  </si>
  <si>
    <t>AL07099059</t>
  </si>
  <si>
    <t>190-17421487</t>
  </si>
  <si>
    <t>ETO-TELEPA  000337/2026</t>
  </si>
  <si>
    <t>ETO-TELE 00285/2026</t>
  </si>
  <si>
    <t>Segue nota para envia equipe verificar falha de comunicação e automação do RL-7900543083 feito primeiro ataque com equipe local 083op01 sem sucesso identificada falha na comunicação do rádio no equipamento. </t>
  </si>
  <si>
    <t>ETO-TELE 00789/2026</t>
  </si>
  <si>
    <t>RELIGADOR SEM COMUNICAÇÃO - REALIZADO PRIMEIRO ATAQUE SEM SUCESSO.</t>
  </si>
  <si>
    <t>ETO-TELEPA  000296/2026</t>
  </si>
  <si>
    <t>ETO-TELE 00314/2026</t>
  </si>
  <si>
    <t>REP. ARAGUAIANA</t>
  </si>
  <si>
    <t>REP.ARAGUAINA</t>
  </si>
  <si>
    <t>REPETIDORA ARAGUAÍNA</t>
  </si>
  <si>
    <t>ETO-TELEAR  000006/2026</t>
  </si>
  <si>
    <t>ETO-TELE 00538/2026</t>
  </si>
  <si>
    <t>AL01020023</t>
  </si>
  <si>
    <t>190-17421755</t>
  </si>
  <si>
    <t>ETO-TELE  000570/2026</t>
  </si>
  <si>
    <t>ETO-TELE 00779/2026</t>
  </si>
  <si>
    <t>Segue nota , para implantar sistema para monitoramento e contingenciamento na repetidora de Araguaçu  .
Obs: Sistema Grafana .</t>
  </si>
  <si>
    <t>REP.ARAGUAÇU</t>
  </si>
  <si>
    <t>REPETIDORA ARAGUAÇU</t>
  </si>
  <si>
    <t>ETO-TELEGU  000248/2026</t>
  </si>
  <si>
    <t>SISTEMA ELÉTRICO</t>
  </si>
  <si>
    <t>FALHA DE COMUNICAÇÃO</t>
  </si>
  <si>
    <t>ETO-TELE 00858/2026</t>
  </si>
  <si>
    <t>Religador 7900032086 esta desarmando dj de alimentação.</t>
  </si>
  <si>
    <t>190-17413948</t>
  </si>
  <si>
    <t>ETO-TELE  000566/2026</t>
  </si>
  <si>
    <t>ETO-TELE 00424/2026</t>
  </si>
  <si>
    <t>190-40144693</t>
  </si>
  <si>
    <t>ETO-TELE  000376/2026</t>
  </si>
  <si>
    <t>ETO-TELE 00690/2026</t>
  </si>
  <si>
    <t>190-33579766</t>
  </si>
  <si>
    <t>ETO-TELE 00433/2026</t>
  </si>
  <si>
    <t>PARECER DMSL: *Segue feedback*
*Equipamento:* RLG 7927413001
 *RELÉ TAVRIDA
*Data:* 16/04/2026
*SID:* 1817/2026
*Serviço executado:* Placa de alimentação do equipamento com defeito, VERIFICAR SE É POSSIVEL  substituir o equipamento completo.
*Equipamento ficou em operação?*_Não
*Pendência:*_Sim
*Bateria(s) substituída(s)?*_Nao
*Equipe:* Benvindo e Kaique
-------------------------------------------------------------------------------------------------
Religador 7927413001 sem comunicação foi realizado primeiro ataque porem a comunicação não retornou. Favor enviar equipe para devidas trattivas</t>
  </si>
  <si>
    <t>190-17408527</t>
  </si>
  <si>
    <t>Leonardo Oliveira Bezerra Mato</t>
  </si>
  <si>
    <t>190-17404139</t>
  </si>
  <si>
    <t>ETO-TELEGU  000237/2026</t>
  </si>
  <si>
    <t>ETO-TELE 00073/2026</t>
  </si>
  <si>
    <t>190-17421712</t>
  </si>
  <si>
    <t>ETO-TELE  000406/2026</t>
  </si>
  <si>
    <t>ETO-TELE 00090/2026</t>
  </si>
  <si>
    <t>190-17514238</t>
  </si>
  <si>
    <t>ETO-TELEPA  000091/2026</t>
  </si>
  <si>
    <t>ETO-TELE 00163/2026</t>
  </si>
  <si>
    <t>ETO-TELE 00256/2026</t>
  </si>
  <si>
    <t>ATUALIZAR AJUSTES DO RL 7910063075 LD MIRANORTE ARAGUACEMA. NA OPORTUNIDADE ATUALIZAR VERSÃO DO RELE.
AJUSTES DISPONIVEIS NO APP DA PROTEÇÃO.</t>
  </si>
  <si>
    <t>190-17410057</t>
  </si>
  <si>
    <t>ETO-TELEPA  000093/2026</t>
  </si>
  <si>
    <t>ETO-TELE 00866/2026</t>
  </si>
  <si>
    <t>Boa tarde favor enviar equipe do DMSL para substituir modulo após equipe fazer primeiro ataque e identifcar o mesmo com defeito. Feito contato o Reinaldo</t>
  </si>
  <si>
    <t>190-17409748</t>
  </si>
  <si>
    <t>ETO-TELEAR  000123/2026</t>
  </si>
  <si>
    <t>ETO-TELE 00124/2026</t>
  </si>
  <si>
    <t>AL01098118</t>
  </si>
  <si>
    <t>190-17421756</t>
  </si>
  <si>
    <t>ETO-TELE  000029/2026</t>
  </si>
  <si>
    <t>ETO-TELE 00470/2026</t>
  </si>
  <si>
    <t>190-17592884</t>
  </si>
  <si>
    <t>ETO-TELE 00571/2026</t>
  </si>
  <si>
    <t>190-17513156</t>
  </si>
  <si>
    <t>ETO-TELEAR  000071/2026</t>
  </si>
  <si>
    <t>CARMOLANDIA</t>
  </si>
  <si>
    <t>ETO-TELE 00164/2026</t>
  </si>
  <si>
    <t>190-17421583</t>
  </si>
  <si>
    <t>ETO-TELE 00518/2026</t>
  </si>
  <si>
    <t>190-17513075</t>
  </si>
  <si>
    <t>ETO-TELE  000574/2026</t>
  </si>
  <si>
    <t>ETO-TELE 00885/2026</t>
  </si>
  <si>
    <t>Parecer da Proteção:
Comissionar regulador, planilha com informações em anexo.
Ajustes disponíveis no APP da proteção.
Estagiário Rafael Pereira Marques.
OBRA 0502500639
REGULADOR TOPOLOGIA 5863050038
COORDENADA 995867,8622255
POSTE 1081293
LAUDO EM ANEXO
-----------------------------------------------------------------------------------
PARECER DMSL: Chamado de desenvolvimento 30548888 criado. Favor, programar comissionamento a partir do dia 09/06/2026.</t>
  </si>
  <si>
    <t>190-1081293</t>
  </si>
  <si>
    <t>ETO-PROT 00112/2026</t>
  </si>
  <si>
    <t>ETO-TELE 00260/2026</t>
  </si>
  <si>
    <t>ATUALIZAR AJUSTES DO RL 7901184075 LD MIRANORTE ARAGUACEMA. NA OPORTUNIDADE ATUALIZAR VERSÃO DO RELE PARA VERSÃO ATUAL. AJUSTES DISPONIVEL NO APP DA PROTEÇÃO.</t>
  </si>
  <si>
    <t>190-17410059</t>
  </si>
  <si>
    <t>ETO-TELE  000515/2026</t>
  </si>
  <si>
    <t>ETO-TELE 00695/2026</t>
  </si>
  <si>
    <t>190-66312352</t>
  </si>
  <si>
    <t>ETO-TELEPA  000257/2026</t>
  </si>
  <si>
    <t>ETO-TELE 00203/2026</t>
  </si>
  <si>
    <t>PARECER DA PROTEÇÃO:
ATUALIZAR AJUSTES DO RL 7955790094 AL 01 SE PEIXE. AJUSTES DISPONIVEIS NO APP DA PROTEÇÃO.</t>
  </si>
  <si>
    <t>AL01067094</t>
  </si>
  <si>
    <t>190-33471898</t>
  </si>
  <si>
    <t>ETO-TELEGU  000052/2026</t>
  </si>
  <si>
    <t>ETO-TELE 00505/2026</t>
  </si>
  <si>
    <t>Foi feito primeiro ataque e a equipe repassou que o dusjuntor estava desarmado. Foi feito rearme do disjuntor e voltou a comunicção, porém é recorrente esse desarme. Enviar equipe para verificar situação.</t>
  </si>
  <si>
    <t>190-52112436</t>
  </si>
  <si>
    <t>ETO-TELE  000549/2026</t>
  </si>
  <si>
    <t>ETO-TELE 00952/2026</t>
  </si>
  <si>
    <t>DA PROTEÇÃO: COMISSIONAR RELIGADOR. AJUSTES DISPONÍVEIS NO APP DA PROTEÇÃO.
ESTAGIÁRIO RAFAEL P MARQUES.
______
•RELIGADOR OBRA 0502500627, CODIGO TOPOLOGIA 7964751038; COORDENADAS: 345934,8630354
ISO 22 998662,8626462
laudo em anexo
-------------------
PARECER DMSL: Chamado de Desenvolvimento 30559732 criado. Favor, programar comissionamento a partir do dia 29/06/2026. POLO DIANÓPOLIS.</t>
  </si>
  <si>
    <t>190-66458256</t>
  </si>
  <si>
    <t>ETO-TELEGU  000295/2026</t>
  </si>
  <si>
    <t>ETO-PROT 00101/2026</t>
  </si>
  <si>
    <t>N4</t>
  </si>
  <si>
    <t>SI1</t>
  </si>
  <si>
    <t>ETO-TELE 00133/2026</t>
  </si>
  <si>
    <t>ETO-TELE 00743/2026</t>
  </si>
  <si>
    <t>ETO-TELE 01089/2026</t>
  </si>
  <si>
    <t>190-17512995</t>
  </si>
  <si>
    <t>ETO-TELE 00797/2026</t>
  </si>
  <si>
    <t>ATUALIZAR AJUSTES DO RT 5866894016, DISPONÍVEIS NO APP DA PROTEÇÃO
ESTAGIÁRIO RAFAEL P MARQUES</t>
  </si>
  <si>
    <t>190-120144</t>
  </si>
  <si>
    <t>ETO-TELEAR  000084/2026</t>
  </si>
  <si>
    <t>U3</t>
  </si>
  <si>
    <t>ETO-TELE 00382/2026</t>
  </si>
  <si>
    <t>Atualizar base do Religador 7900888055 com a Proteção 27 (Subtensão).
Estagiário Rafael P Marques
**************************</t>
  </si>
  <si>
    <t>190-17410063</t>
  </si>
  <si>
    <t>ETO-TELEPA  000144/2026</t>
  </si>
  <si>
    <t>ETO-TELE 00292/2026</t>
  </si>
  <si>
    <t>PARECER DMSL: Data: 10/03/2026,Serviço Executado: Foi substituído o relé do equipamento, o mesmo estava danificado. Trocado o DPS, o mesmo estava queimado devido ao tanque estar furado. O equipamento ficou em bypass.
Equipamento ficou em operação? Não
Pendência? Sim, substituir a parte ativa com cordão umbilical.Equipe: Carliel e João Vitor
SEGUE SS PARA REGULARIZAR AUTOMAÇÃO DO RL 7953610256 NA INTERLIGAÇÃO COM A COELBA (CHAPADA DA MANGABEIRA) - EQUIPE INFOMOU CURTO INTERNO NO GABINETE DJ AC NÃO FECHA</t>
  </si>
  <si>
    <t>190-43820334</t>
  </si>
  <si>
    <t>DIONES COSTA SILVA</t>
  </si>
  <si>
    <t>ETO-TELE 00644/2026</t>
  </si>
  <si>
    <t>190-17421250</t>
  </si>
  <si>
    <t>ETO-TELEGU  000105/2026</t>
  </si>
  <si>
    <t>ETO-TELE 00825/2026</t>
  </si>
  <si>
    <t>favor verificar religador 7908203091 foi feito primeiro ataque encontrado disjuntor desligado ja aconteceu algumas vezes, e mesmo perde  comunicação</t>
  </si>
  <si>
    <t>ETO-TELE 00080/2026</t>
  </si>
  <si>
    <t>190-17512853</t>
  </si>
  <si>
    <t>ETO-TELEPA  000051/2026</t>
  </si>
  <si>
    <t>ETO-TELE 00166/2026</t>
  </si>
  <si>
    <t>AL01085042</t>
  </si>
  <si>
    <t>190-17419856</t>
  </si>
  <si>
    <t>ETO-TELE 00639/2026</t>
  </si>
  <si>
    <t>AL04244003</t>
  </si>
  <si>
    <t>190-28872902</t>
  </si>
  <si>
    <t>ETO-TELEGU  000098/2026</t>
  </si>
  <si>
    <t>13/08/2026 PARECER COEP: EQUIPAMENTO FOI TROCADO A PEÇA , CONFIRMAMOS COM O LEONARDO DE ARAGUAÍNA , LAUDO EM ANEXO , FAVOR REALIZAR COMISSIONAMENTO
PARECER COEP: PROBLEMA NO ENVIO COCM'S CONTROLE ENVIADO FOI O NOJA , DEVIDO A FALTA DO MODELO NA SS (GRAVE)
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</si>
  <si>
    <t>ETO-TELE 01049/2026</t>
  </si>
  <si>
    <t>Segue SS para repor regulador de tensão fase C danificado apos furto.</t>
  </si>
  <si>
    <t>AL06072001</t>
  </si>
  <si>
    <t>190-15803271</t>
  </si>
  <si>
    <t>ETO-TELEPA  000498/2026</t>
  </si>
  <si>
    <t>ETO-TELE 00303/2026</t>
  </si>
  <si>
    <t>ATUALIZAR AJUSTES DO RL 7929763027 AL A1 SE PONTE ALTA. AJUSTES DISPONIVEIS NO APP DA PROTEÇÃO.</t>
  </si>
  <si>
    <t>ETO-TELE  000344/2026</t>
  </si>
  <si>
    <t>Segue nota para verificar falha sinalização status religador 7905320122 - rdu- Palmas .
Equipamento está fechado em campo porem está sinalizando aberto .</t>
  </si>
  <si>
    <t>ETO-TELE 00443/2026</t>
  </si>
  <si>
    <t>190-17513985</t>
  </si>
  <si>
    <t>ETO-TELEPA  000372/2026</t>
  </si>
  <si>
    <t>ETO-TELE 01056/2026</t>
  </si>
  <si>
    <t>Bom dia,
Segue SS para as devidas tratativas, SE Palmeirópolis perde automação quando falta CA nos DJ 404R / 204R e 7900713029 impossibilitando manobra remota de transferência,  favor deslocar equipe DMSL verificar esta anomalia. </t>
  </si>
  <si>
    <t>2PLM</t>
  </si>
  <si>
    <t>RL404</t>
  </si>
  <si>
    <t>190-103545</t>
  </si>
  <si>
    <t>ETO-TELE 00060/2026</t>
  </si>
  <si>
    <t>Aberto na equipe errada</t>
  </si>
  <si>
    <t>190-17421470</t>
  </si>
  <si>
    <t>ETO-TELE 00957/2026</t>
  </si>
  <si>
    <t>RELIGADOR SEM COMUNICAÇÃO - REALIZADO PRIMEIRO ATAQUE SEM SUCESSO</t>
  </si>
  <si>
    <t>ETO-TELEPA  000059/2026</t>
  </si>
  <si>
    <t>ETO-TELE 00529/2026</t>
  </si>
  <si>
    <t>AL02010004</t>
  </si>
  <si>
    <t>190-17421602</t>
  </si>
  <si>
    <t>ETO-TELE  000473/2026</t>
  </si>
  <si>
    <t>ETO-TELE 00592/2026</t>
  </si>
  <si>
    <t>190-17514263</t>
  </si>
  <si>
    <t>ETO-TELE  000503/2026</t>
  </si>
  <si>
    <t>ETO-TELE 00641/2026</t>
  </si>
  <si>
    <t>AL02113003</t>
  </si>
  <si>
    <t>190-17419976</t>
  </si>
  <si>
    <t>ETO-TELEGU  000083/2026</t>
  </si>
  <si>
    <t>ETO-TELE 01076/2026</t>
  </si>
  <si>
    <t>190-17514004</t>
  </si>
  <si>
    <t>ETO-TELEGU  000304/2026</t>
  </si>
  <si>
    <t>ETO-TELE 00066/2026</t>
  </si>
  <si>
    <t>ETO-TELE 00040/2026</t>
  </si>
  <si>
    <t>190-17421750</t>
  </si>
  <si>
    <t>ETO-TELE  000006/2026</t>
  </si>
  <si>
    <t>ETO-TELE 00242/2026</t>
  </si>
  <si>
    <t>FEITO primeiro ataque no religador 7942731193, o mesmo se encontra sem comunicação</t>
  </si>
  <si>
    <t>ETO-TELE 00476/2026</t>
  </si>
  <si>
    <t>190-17514000</t>
  </si>
  <si>
    <t>ETO-TELEAR  000077/2026</t>
  </si>
  <si>
    <t>ETO-TELE 00574/2026</t>
  </si>
  <si>
    <t>190-17512633</t>
  </si>
  <si>
    <t>ETO-TELE  000431/2026</t>
  </si>
  <si>
    <t>ETO-TELE 00267/2026</t>
  </si>
  <si>
    <t>SEGUE SS DE RELIGADOR COM ATUAÇÃO INDEVIDA ,  O MESMO ABRIU E NÃO ACEITAVA COMANDO REMOTO, EQUIPE TEVE QUE IR NO LOCAL E FAZER UM RESET NO MESMO, SEGUE IMAGEM ANEXADA.
PARECER DA PROTEÇÃO:
NECESSÁRIO CORRIGIR A CALIBRAÇÃO DE TENSÃO E CORRENTE DEVIDO TROCA DO EQUIPAMENTO.
ENG° IRLLEY CASTELO BRANCO.</t>
  </si>
  <si>
    <t>ETO-TELE  000345/2026</t>
  </si>
  <si>
    <t>ETO-TELE 00259/2026</t>
  </si>
  <si>
    <t>ETO-TELE 00662/2026</t>
  </si>
  <si>
    <t>190-17514246</t>
  </si>
  <si>
    <t>ETO-TELEGU  000076/2026</t>
  </si>
  <si>
    <t>ETO-TELE 00738/2026</t>
  </si>
  <si>
    <t>190-17513158</t>
  </si>
  <si>
    <t>03/08/2026 PARECER DMSL: FOI CONFIRMADO PELO VONES DO DCMD QUE O EQUIPAMENTO AINDA NÃO FOI SUBSTITUÍDO. FAVOR, APÓS SUBSTITUIÇÃO, REPASSAR A NOTA PARA A PROTEÇÃO PARA REVISAR OS AJUSTES, POIS TRATA-SE DE ALTERAÇÃO DO MODELO DO EQUIPAMENTO.
13/07/2026 PARECER COEP: EQUIPAMENTO REMANEJADO FAVOR FAZER O COMISSIONAMENTO
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</si>
  <si>
    <t>190-19172792</t>
  </si>
  <si>
    <t>ETO-PROT 00286/2025</t>
  </si>
  <si>
    <t>ETO-TELE 00070/2026</t>
  </si>
  <si>
    <t>190-17512884</t>
  </si>
  <si>
    <t>ETO-TELEPA  000103/2026</t>
  </si>
  <si>
    <t>ETO-TELE 00663/2026</t>
  </si>
  <si>
    <t>190-33519687</t>
  </si>
  <si>
    <t>ETO-TELEGU  000135/2026</t>
  </si>
  <si>
    <t>ETO-TELE 00819/2026</t>
  </si>
  <si>
    <t>verificar RT 5863887001 esta travando, ja realizado primeiro ataque, porem trava constantemente</t>
  </si>
  <si>
    <t>ETO-TELE  000607/2026</t>
  </si>
  <si>
    <t>ETO-TELE 01112/2026</t>
  </si>
  <si>
    <t>Equipe foi 07/08/2026 e foi apontada a pedencia fazer conexão da malhar de aterramento
******* Parecer do COCM Malhar de Aterramento Recuperada e Atendida pela Ordem de Serviço DLP-MLPA02 131/2026</t>
  </si>
  <si>
    <t>MELHORIA POSTO DE TRANSFORMAÇÃO</t>
  </si>
  <si>
    <t>ETO-RD-PA 00523/2026</t>
  </si>
  <si>
    <t>ETO-TELE 00019/2026</t>
  </si>
  <si>
    <t>190-17512782</t>
  </si>
  <si>
    <t>ETO-TELEPA  000271/2026</t>
  </si>
  <si>
    <t>ETO-TELE 00053/2026</t>
  </si>
  <si>
    <t>190-28872894</t>
  </si>
  <si>
    <t>ETO-TELEPA  000042/2026</t>
  </si>
  <si>
    <t>ETO-TELE 00313/2026</t>
  </si>
  <si>
    <t>APOS EQUIPE DMSL IR PARA A TROCA DO RELE FOI CONSTATADO :  EQUIPAMENTO ESTA NORMAL EM PR2ISA ABRIR CHAMADO NO SCADA PARA ATUALIZAR A BASE- SS ANTIGA 1437/2025</t>
  </si>
  <si>
    <t>190-17514124</t>
  </si>
  <si>
    <t>ETO-TELE  000384/2026</t>
  </si>
  <si>
    <t>ETO-TELE 00709/2026</t>
  </si>
  <si>
    <t>AL08097122</t>
  </si>
  <si>
    <t>190-17419963</t>
  </si>
  <si>
    <t>ETO-TELEPA  000320/2026</t>
  </si>
  <si>
    <t>ETO-TELE  000625/2026</t>
  </si>
  <si>
    <t>ETO-TELE 00321/2026</t>
  </si>
  <si>
    <t>ATUALIZAR AJUSTES DO RL 7957126085 LD PARAISO A DIVINOPOLIS. IMPLEMENTAÇÃO DE PROTEÇÃO DE SUBTENSÃO (27)
AJUSTES NO APP DA PROTEÇÃO</t>
  </si>
  <si>
    <t>190-48432152</t>
  </si>
  <si>
    <t>ETO-TELEPA  000417/2026</t>
  </si>
  <si>
    <t>ETO-TELE 00665/2026</t>
  </si>
  <si>
    <t>190-17512852</t>
  </si>
  <si>
    <t>ETO-TELEGU  000136/2026</t>
  </si>
  <si>
    <t>ETO-TELE 00735/2026</t>
  </si>
  <si>
    <t>190-17512684</t>
  </si>
  <si>
    <t>ETO-TELE 00890/2026</t>
  </si>
  <si>
    <t>segue ss religador 7960798037 feito primerio ataque sem sucesso ,
obs religador ficou bay passado em campo.</t>
  </si>
  <si>
    <t>190-35666756</t>
  </si>
  <si>
    <t>ETO-TELEGU  000193/2026</t>
  </si>
  <si>
    <t>ETO-TELE 00106/2026</t>
  </si>
  <si>
    <t>190-17512975</t>
  </si>
  <si>
    <t>ETO-TELE  000056/2026</t>
  </si>
  <si>
    <t>ETO-TELE 00834/2026</t>
  </si>
  <si>
    <t>feito o primeiro ataque e dijuntor esta em curto enviar equipe para recuperar religador que esta sem comunicao 033po01</t>
  </si>
  <si>
    <t>190-17512756</t>
  </si>
  <si>
    <t>CLEIBER DA SILVA</t>
  </si>
  <si>
    <t>ETO-TELE  000599/2026</t>
  </si>
  <si>
    <t>ETO-TELE 00899/2026</t>
  </si>
  <si>
    <t>190-25708178</t>
  </si>
  <si>
    <t>ETO-TELE  000602/2026</t>
  </si>
  <si>
    <t>ETO-TELE 00085/2026</t>
  </si>
  <si>
    <t>190-17512739</t>
  </si>
  <si>
    <t>ETO-TELEPA  000045/2026</t>
  </si>
  <si>
    <t>ETO-TELE 00949/2026</t>
  </si>
  <si>
    <t>SEGUE NOTA PARA VERIFICAR FALHA NO COMANDO DO RELIGADOR 7931220060 NA RDU DE NOVA OLINDA - O MESMO AO EXECUTAR O COMANDO DE FECHAR ELE FECHA EM CAMPO E NÃO SINALIZA FECHADO NO SCADA - APOS FECHADO O MESMO NÃO ACEITA O COMANDO DE ABRIR REMOTO SOMENTE LOCAL EQUIPE 060OP01 ESTEVE NO LOCAL.</t>
  </si>
  <si>
    <t>190-17421614</t>
  </si>
  <si>
    <t>ETO-TELEAR  000116/2026</t>
  </si>
  <si>
    <t>COMANDO DE RELIGAMENTO COM FALHA</t>
  </si>
  <si>
    <t>ETO-TELE 00202/2026</t>
  </si>
  <si>
    <t>SEGUE SOLICITAÇÃO DE SERVIÇO PARA VERIFICAR COMUNICAÇÃO DE RL 7927396052 TRECHO DE INTERLIGAÇÃO LD DE FORMOSO/COBRAPE, A EQUIPE DEOP SINERGIA DE FORMOSO 052OP10 JA FEZ PRIMEIRO ATAQUE POREM O EQUIPAMENTO NÃO VOLTOU.</t>
  </si>
  <si>
    <t>190-17512947</t>
  </si>
  <si>
    <t>DISPLAY COM FALHA</t>
  </si>
  <si>
    <t>ETO-TELE 00086/2026</t>
  </si>
  <si>
    <t>ETO-TELE  000418/2026</t>
  </si>
  <si>
    <t>ETO-TELE 00617/2026</t>
  </si>
  <si>
    <t>190-17513999</t>
  </si>
  <si>
    <t>ETO-TELEGU  000115/2026</t>
  </si>
  <si>
    <t>TALISMA</t>
  </si>
  <si>
    <t>PARECER COEP: Equipamento em operação no Scada, além de não especificar o defeito, ainda não especificou marca e modelo para substituição
Solicitação de serviço para substituição de parte ativa de RL [7955520116] danificada conforme imagens anexadas.</t>
  </si>
  <si>
    <t>190-36481923</t>
  </si>
  <si>
    <t>ETO-TELEGU  000245/2026</t>
  </si>
  <si>
    <t>ETO-COEP 00149/2025</t>
  </si>
  <si>
    <t>190-17338199</t>
  </si>
  <si>
    <t>ETO-TELEAR  000157/2026</t>
  </si>
  <si>
    <t>ETO-TELE 01115/2026</t>
  </si>
  <si>
    <t>ATUALIZAR BASE JUNTO AO TIME SCADA E ATUALZIAR O AJUSTE DE PROTEÇÃO CONFORME ESTUDO DISPONIBILIZADO.</t>
  </si>
  <si>
    <t>190-17337393</t>
  </si>
  <si>
    <t>ETO-TELE 00081/2026</t>
  </si>
  <si>
    <t>190-17512710</t>
  </si>
  <si>
    <t>ETO-TELEPA  000046/2026</t>
  </si>
  <si>
    <t>ETO-TELE 00174/2026</t>
  </si>
  <si>
    <t>Realizar manutenção na repetidora Colinas, levar corebox.</t>
  </si>
  <si>
    <t>ETO-TELEAR  000097/2026</t>
  </si>
  <si>
    <t>ETO-TELE 00680/2026</t>
  </si>
  <si>
    <t>ETO-TELEGU  000230/2026</t>
  </si>
  <si>
    <t>ETO-TELE 00871/2026</t>
  </si>
  <si>
    <t>Segue nota para verificar coordenação ajuste entre reguladores 5863887001 e 5854782001 - Ramal Zé Martins - Porto Nacional .
Obs: mesmo durante a noite com reclamação dos clientes de tensão baixa este regulador 5854782001 na maioria das vezes sinaliza tap negativos mandando baixar tensão , porém regulador 5854782001 fica em tap próximo a zero indicando tensão normal !
Outra observação,  esse regulador 5854782001 indica que a fase B está com demanda elevada o dobro da fase A .</t>
  </si>
  <si>
    <t>190-60974879</t>
  </si>
  <si>
    <t>ETO-TELE 00966/2026</t>
  </si>
  <si>
    <t>PARECER COEP: QUAL O MODELO DA PLACA OU CÓDIGO DO MATERIAL?
EXISTE DIFERENÇA DE MODELO OU POTÊNCIA?
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</si>
  <si>
    <t>190-68154393</t>
  </si>
  <si>
    <t>ETO-TELE 01381/2025</t>
  </si>
  <si>
    <t>RL 7902702257
PROBLEMA NA COMUNICAÇÃO
MESMO QUANDO PERDE C.A PEDER A COMUNICAÇÃO INSTANTANEA . FAVOR VERIFICAR E DAR DEVIDAS TRATATIVAS.....</t>
  </si>
  <si>
    <t>190-17412742</t>
  </si>
  <si>
    <t>ETO-TELE 00091/2026</t>
  </si>
  <si>
    <t>190-17512881</t>
  </si>
  <si>
    <t>ETO-TELEPA  000344/2026</t>
  </si>
  <si>
    <t>ETO-TELE 00327/2026</t>
  </si>
  <si>
    <t>Senhores favor verifica rl 7925325007 nao para de subir alarme aberto o mesmo ficou desativado comunicaçao devido isso . favor verificar</t>
  </si>
  <si>
    <t>AL01048007</t>
  </si>
  <si>
    <t>190-17413639</t>
  </si>
  <si>
    <t>ETO-TELE  000461/2026</t>
  </si>
  <si>
    <t>Segue nota para verificar falha em comandos via supervisório e constantes travamento no regulador de tensão 5844630060 - rural- Nova Olinda .
Foi executado comandos no relé via supervisório, porém sem sucesso , em campo o equipamento está com a fase B travada no -16 .
Obs: equipamento ficou fora de operação bay passado , favor agilizar atendimento !</t>
  </si>
  <si>
    <t>190-29126245</t>
  </si>
  <si>
    <t>ETO-TELE 01012/2026</t>
  </si>
  <si>
    <t>Olá, solicito ajuste no RL:
Ponto 0 (Corrente Fase A): Ajustar para 5A;
Ponto 1 (Corrente Fase B): Ajustar para 5A;
Ponto 2 (Corrente Fase C): Ajustar para 5A;
Ponto 26 (Fator de Potência): Ajustar para apenas Classe 0;
Ajustar a temporização do Keep Alive para 172800s.</t>
  </si>
  <si>
    <t>190-17421259</t>
  </si>
  <si>
    <t>ETO-TELEGU  000259/2026</t>
  </si>
  <si>
    <t>ETO-TELE 00254/2026</t>
  </si>
  <si>
    <t>PARECER DMSL:  31/03/2026
Serviço Executado: realizado a medição da malha de aterramento e vistoria do equipamento.
Equipamento ficou em operação?: Não
Possui nobreak: Sim
Possui antena: Sim
Possui rádio:Não
Pendência:
* Abaixar o controle rua
* ¿Abaixar as 3 células do banco regulador de tensão, pois além de dificultar o trabalho da equipe no momento dos ensaios elétricos não oferece segurança.
Equipe: Benvindo e Kaique
-------------------------------------------------------------------------------------------------------
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</si>
  <si>
    <t>190-35910322</t>
  </si>
  <si>
    <t>ETO-PROT 00215/2025</t>
  </si>
  <si>
    <t>ETO-TELE 00509/2026</t>
  </si>
  <si>
    <t>RELIGADOR 7959680004 SEM COMNICAÇÃO, REALIZADO PRIMEIRO ATAQUE SEM SUCESSO.</t>
  </si>
  <si>
    <t>AL06010004</t>
  </si>
  <si>
    <t>190-42064228</t>
  </si>
  <si>
    <t>ETO-TELE 00714/2026</t>
  </si>
  <si>
    <t>190-17421630</t>
  </si>
  <si>
    <t>ETO-TELEPA  000318/2026</t>
  </si>
  <si>
    <t>ETO-TELE 00129/2026</t>
  </si>
  <si>
    <t>190-17512749</t>
  </si>
  <si>
    <t>ETO-TELE  000017/2026</t>
  </si>
  <si>
    <t>ETO-TELE 00161/2026</t>
  </si>
  <si>
    <t>190-56268589</t>
  </si>
  <si>
    <t>ETO-TELE 00204/2026</t>
  </si>
  <si>
    <t>POR GENTILEZA REALIZAR MANUTENÇÃO EQUIPAMENTO O MESMO ASSIM QUE PERDE CA PERDA A COMUNICAÇÃO QUASE DE IMEDIATO</t>
  </si>
  <si>
    <t>ETO-TELE  000050/2026</t>
  </si>
  <si>
    <t>ETO-TELE 00586/2026</t>
  </si>
  <si>
    <t>190-29963580</t>
  </si>
  <si>
    <t>ETO-TELE  000560/2026</t>
  </si>
  <si>
    <t>ETO-TELE 00245/2026</t>
  </si>
  <si>
    <t>Falha de comunicação e faseamento incorreto. Melhores informações falar com Karoline 63 9214-4282</t>
  </si>
  <si>
    <t>190-17512783</t>
  </si>
  <si>
    <t>ETO-TELEPA  000089/2026</t>
  </si>
  <si>
    <t>ETO-TELE 00796/2026</t>
  </si>
  <si>
    <t>ATUALIZAR AJUSTES DO RT 5855063080, DISPONÍVEIS NO APP DA PROTEÇÃO.
ESTAGIÁRIO RAFAEL P MARQUES.</t>
  </si>
  <si>
    <t>190-52099428</t>
  </si>
  <si>
    <t>ETO-TELE  000543/2026</t>
  </si>
  <si>
    <t>ETO-TELE 00501/2026</t>
  </si>
  <si>
    <t>SEGUE SOLICITAÇÃO PARA VERIFICAÇÃO DE EQUIPAMENTO SEM COMUNICAÇÃO NA RDU DE FIGUEIROPOLIS JA FOI REALIZADO 3 ATAQUES CONSECUTIVOS, EQUIPAMENTO VOLTA A COMUNICAÇÃO E LOGO PERDE A COMUNICAÇÃO A EQUIPE JA FEZ AÇÕES COM DMSL E JA ESTÃO CIENTE DO PROBLEMA QUE INCIDE O EQUIPAMENTO</t>
  </si>
  <si>
    <t>190-36259505</t>
  </si>
  <si>
    <t>ETO-TELEGU  000074/2026</t>
  </si>
  <si>
    <t>FECHADURA COM DEFEITO</t>
  </si>
  <si>
    <t>ETO-TELE 00870/2026</t>
  </si>
  <si>
    <t>Segue nota para verificar falha de comunicação regulador 5863887001 - Ramal Zé Martins - Porto Nacional .
Feito reset sem sucesso !</t>
  </si>
  <si>
    <t>ETO-TELE 00158/2026</t>
  </si>
  <si>
    <t>190-17512967</t>
  </si>
  <si>
    <t>ETO-TELE 00342/2026</t>
  </si>
  <si>
    <t>Senhores, rl 7908308006 feirto primeiro ataque com equipe de Lajeado, rl nao retornou a comunicaçao favor verificar o mesmo esta com B  bateria fraca</t>
  </si>
  <si>
    <t>ETO-TELEPA  000148/2026</t>
  </si>
  <si>
    <t>ETO-TELE 00281/2026</t>
  </si>
  <si>
    <t>PARECER DA PROTEÇÃO:
AJUSTES RELIZADOS E DISPONÍVEIS NO APP DA PROTEÇÃO. REGULADOR JÁ ESTÁ NO SCADA DEVIDO A UMA DEMANDA URGENTE, MAS AINDA SÃO NECESSÁRIAS AS INFORMAÇÕES DE COMUNICAÇÃO.
ESTAGIÁRIO RAFAEL MARQUES
_____________________________________________________
REGULADOR N° 5857855056 INSTALADO NA OBRA 0602400687 GENTILEZA, REALIZAR O COMISSIONAMENTO.
LAUDO EM ANEXO.
COORD EO: 800643, 8255486</t>
  </si>
  <si>
    <t>190-40952896</t>
  </si>
  <si>
    <t>ETO-TELEAR  000003/2026</t>
  </si>
  <si>
    <t>ETO-PROT 00028/2026</t>
  </si>
  <si>
    <t>ETO-TELE 00123/2026</t>
  </si>
  <si>
    <t>190-17421360</t>
  </si>
  <si>
    <t>ETO-TELE  000060/2026</t>
  </si>
  <si>
    <t>ETO-TELE 00469/2026</t>
  </si>
  <si>
    <t>190-17513181</t>
  </si>
  <si>
    <t>ETO-TELE 00992/2026</t>
  </si>
  <si>
    <t>Fazer medição de aterramento - Criticidade: Muito Alta - Alimentador: AL 1 SE LUZIMANGUES</t>
  </si>
  <si>
    <t>190-30272761</t>
  </si>
  <si>
    <t>ETO-TELE  000638/2026</t>
  </si>
  <si>
    <t>ETO-TELE 00179/2026</t>
  </si>
  <si>
    <t>DJ COM DISPLEI APAGADO E SEM COMUNICAÇÃO.</t>
  </si>
  <si>
    <t>2CNT</t>
  </si>
  <si>
    <t>RL424</t>
  </si>
  <si>
    <t>190-19872720</t>
  </si>
  <si>
    <t>ETO-TELE 00137/2026</t>
  </si>
  <si>
    <t>Asegue ss de equipamento com problema na automacão foi feito o primeiro ataque e o mesmo não retornou a comunicacão favor fazer a correcão do mesmo para que fique disponivel para o COI chave de referencia 7931608059</t>
  </si>
  <si>
    <t>AL08099059</t>
  </si>
  <si>
    <t>190-17407404</t>
  </si>
  <si>
    <t>ETO-TELEPA  000047/2026</t>
  </si>
  <si>
    <t>ETO-TELE 00414/2026</t>
  </si>
  <si>
    <t>Parecer DMSL:chamado de desenvolvimento 30508348 criado favor, programar o comissionamento a partir do dia 02/04/2026. Polo MIRACEMA DO TOCANTINS
-----------------------------------------------------------------
PARECER DA PROTEÇÃO: Ajustes finalizados, planilha com as informações em anexo. Ajustes detalhados disponíveis no APP da Proteção.
Estagiário Rafael Pereira Marques.
*************************************
RELIGADOR N° 7963253008 INSTALADO NA OBRA 0202200726 GENTILEZA, REALIZAR O COMISSIONAMENTO.
LAUDO EM ANEXO.
COORD EO: 764595, 8944794</t>
  </si>
  <si>
    <t>190-66724602</t>
  </si>
  <si>
    <t>CLUSTER</t>
  </si>
  <si>
    <t>ETO-TELEPA  000212/2026</t>
  </si>
  <si>
    <t>ETO-PROT 00072/2026</t>
  </si>
  <si>
    <t>MIRANORTE</t>
  </si>
  <si>
    <t>ETO-TELE 00219/2026</t>
  </si>
  <si>
    <t>Favor enviar equipe pra verificar o rele do regulador de tensão 5800366016, pois o mesmo está com falha no rele.</t>
  </si>
  <si>
    <t>190-31363456</t>
  </si>
  <si>
    <t>WESLEY MARCAL MENDES DE OLIVEI</t>
  </si>
  <si>
    <t>ETO-TELE 00445/2026</t>
  </si>
  <si>
    <t>190-17512991</t>
  </si>
  <si>
    <t>ETO-TELEPA  000355/2026</t>
  </si>
  <si>
    <t>ETO-TELE 00685/2026</t>
  </si>
  <si>
    <t>190-17513986</t>
  </si>
  <si>
    <t>ETO-TELEGU  000142/2026</t>
  </si>
  <si>
    <t>ETO-TELE 01075/2026</t>
  </si>
  <si>
    <t>190-17421462</t>
  </si>
  <si>
    <t>ETO-TELEGU  000300/2026</t>
  </si>
  <si>
    <t>ETO-TELE 00337/2026</t>
  </si>
  <si>
    <t>Realizar substituição da fonte ou da placa fonte do RLG 7925871077.</t>
  </si>
  <si>
    <t>190-17512510</t>
  </si>
  <si>
    <t>ETO-TELEAR  000011/2026</t>
  </si>
  <si>
    <t>ETO-TELE 00559/2026</t>
  </si>
  <si>
    <t>190-17512950</t>
  </si>
  <si>
    <t>ETO-TELE  000535/2026</t>
  </si>
  <si>
    <t>ETO-TELE 00629/2026</t>
  </si>
  <si>
    <t>190-17512942</t>
  </si>
  <si>
    <t>ETO-TELEGU  000088/2026</t>
  </si>
  <si>
    <t>ETO-TELE 00655/2026</t>
  </si>
  <si>
    <t>190-17512817</t>
  </si>
  <si>
    <t>ETO-TELEGU  000158/2026</t>
  </si>
  <si>
    <t>ETO-TELE 01041/2026</t>
  </si>
  <si>
    <t>Por genitleza enviar equipe no RT 5855063080, operacionalmente normal para COI, mas temos reclamações e Hemera do Clientes mostrando tensão baixa, envolvaver proteção no atendimento</t>
  </si>
  <si>
    <t>190-29487097</t>
  </si>
  <si>
    <t>REDE PRIMÁRIA PODA DE ÁRVORE</t>
  </si>
  <si>
    <t>ETO-TELE 01104/2026</t>
  </si>
  <si>
    <t>Religador fechado no SCADA/ADMS e aberto em campo.</t>
  </si>
  <si>
    <t>190-17512850</t>
  </si>
  <si>
    <t>Mateus Henrique Campos</t>
  </si>
  <si>
    <t>CHAVE DE COMANDO REMOTO COM DEFEITO</t>
  </si>
  <si>
    <t>ETO-TELE 00220/2026</t>
  </si>
  <si>
    <t>ATUALIZAR A BASE DO RELÉ E CORRIGIR OS AJUSTES QUE SAIRÁ DE ALARME PARA PROTEÇÃO.</t>
  </si>
  <si>
    <t>190-28327616</t>
  </si>
  <si>
    <t>ETO-TELE  000466/2026</t>
  </si>
  <si>
    <t>ETO-TELE 00331/2026</t>
  </si>
  <si>
    <t>SUBSTITUIR DISPLAY QUEIMADO NO RELIGADOR 7963661046 ORIGO II, E TOCAR DISJUNTORES DE ALIMNETAÇÃO E DR. ATENDIDO PELA OS 99- 106631722. 046OP01 984566872</t>
  </si>
  <si>
    <t>190-53434838</t>
  </si>
  <si>
    <t>ETO-TELE  000357/2026</t>
  </si>
  <si>
    <t>ETO-TELE 00162/2026</t>
  </si>
  <si>
    <t>190-17512969</t>
  </si>
  <si>
    <t>ETO-TELE 00800/2026</t>
  </si>
  <si>
    <t>Regulador de tensão não aceitando comando remoto.</t>
  </si>
  <si>
    <t>190-26107626</t>
  </si>
  <si>
    <t>ETO-TELE  000523/2026</t>
  </si>
  <si>
    <t>ETO-TELE 00430/2026</t>
  </si>
  <si>
    <t>Atualizar ajustes do RL 7946687086, disponíveis no APP da Proteção
Estagiário Rafael P Marques</t>
  </si>
  <si>
    <t>190-30283774</t>
  </si>
  <si>
    <t>ETO-TELEPA  000222/2026</t>
  </si>
  <si>
    <t>ETO-TELE 00552/2026</t>
  </si>
  <si>
    <t>190-17421493</t>
  </si>
  <si>
    <t>ETO-TELE  000393/2026</t>
  </si>
  <si>
    <t>ETO-TELE 00602/2026</t>
  </si>
  <si>
    <t>190-17514134</t>
  </si>
  <si>
    <t>ETO-TELE  000442/2026</t>
  </si>
  <si>
    <t>PARECER DMSL: FAVOR SOLUCIONAR PENDENCIAS
RT: 5851753086
Relé R.U.A 
Data: _19/05/2026
Sid: 2740/2026
Possui rádio?: Sim
Possui antena?: Sim
Possui módulo nobreak?: Sim
Serviço Executado:
* Feito testes no equipamento,o mesmo está normal.
* Será necessário fazer melhorias na malha de terra e colocar em operação.
Equipamento ficou em operação?
Não
Pendência: Sim. É necessário fazer melhorias na malha de aterramento.
Bateria(s) substituída(s)? _nao
Data Fabricação/Instalação da(s) bateria(s): 12/2025
Equipe: Jean e Benvindo
RT 5851753086
MESMO ESTA BY-PASSADO EM CAMPO
EQUIPE SINERGIA 086OP01 ESTEVE NO LOCAL
APARENTIMENTE SEM DEFEITO APARENTE
MESMO FOI BY PASSADO POR TER TIRADO LINHA.
DESDE ENTAO MESMO NAO VOLTOU PARA OPERAÇÃO .
FAVOR VERIFICAR PARA TESTES POSSIVEIS .PARA QUE O MESMO VOLTA COM DISPONIBILIDADE PARA OPERAÇÃO .</t>
  </si>
  <si>
    <t>ETO-TELE 00549/2026</t>
  </si>
  <si>
    <t>AL07103004</t>
  </si>
  <si>
    <t>190-17421238</t>
  </si>
  <si>
    <t>ETO-TELE  000476/2026</t>
  </si>
  <si>
    <t>ETO-TELE 00647/2026</t>
  </si>
  <si>
    <t>190-17421249</t>
  </si>
  <si>
    <t>ETO-TELEGU  000100/2026</t>
  </si>
  <si>
    <t>ETO-TELE 01067/2026</t>
  </si>
  <si>
    <t>LD03002091</t>
  </si>
  <si>
    <t>EQP-7908710028</t>
  </si>
  <si>
    <t>ETO-TELE 00268/2026</t>
  </si>
  <si>
    <t>Boa tarde,
Segue SS para verificação falha de comunicação primeira ataque DEOP sem sucesso .</t>
  </si>
  <si>
    <t>190-17403333</t>
  </si>
  <si>
    <t>ETO-TELEPA  000131/2026</t>
  </si>
  <si>
    <t>ETO-TELE 00356/2026</t>
  </si>
  <si>
    <t>PARECER DMSL : Chamado de desenvolvimento 30498376 criado. Favor, programar comissionamento a partir do dia 18/03/2026. POLOGUA.
------------------------------------------------------------------------------------------------------
PARECER DA PROTEÇÃO:
AJUSTES REALIZADOS, DISPONÍVEIS NO APP DA PROTEÇÃO. PLANILHA COM AS INFORMAÇÕES EM ANEXO.
Estagiário Rafael P Marques
RELIGADOR N° 7965133015 INSTALADADO NA OBRA 0702500511 GENTILEZA, REALIZAR O COMISSIONAMENTO.
LAUDO EM ANEXO.
COORD EO: 811395, 9004553</t>
  </si>
  <si>
    <t>190-59416293</t>
  </si>
  <si>
    <t>ETO-TELE  000360/2026</t>
  </si>
  <si>
    <t>ETO-PROT 00038/2026</t>
  </si>
  <si>
    <t>ETO-TELE 00238/2026</t>
  </si>
  <si>
    <t>boa tarde, feito primeiro ataque no religador 7957089155, o mesmo se encontra sem comunicação</t>
  </si>
  <si>
    <t>LD01020023</t>
  </si>
  <si>
    <t>190-28804235</t>
  </si>
  <si>
    <t>ETO-TELE  000070/2026</t>
  </si>
  <si>
    <t>ETO-TELE 00368/2026</t>
  </si>
  <si>
    <t>Religador sem comunicação, apos primeio ataque não retornou, levar bateria nova.</t>
  </si>
  <si>
    <t>190-17412795</t>
  </si>
  <si>
    <t>ETO-TELE  000362/2026</t>
  </si>
  <si>
    <t>ETO-TELE 00614/2026</t>
  </si>
  <si>
    <t>AL02036052</t>
  </si>
  <si>
    <t>190-17421616</t>
  </si>
  <si>
    <t>ETO-TELEGU  000086/2026</t>
  </si>
  <si>
    <t>ETO-TELE 00878/2026</t>
  </si>
  <si>
    <t>ACOMPANHAR A INVERSÃO DOS REGULADORES DE TENSÃO E REALIZAR NOVOS AJUSTES NO EQUIPAMENTO.</t>
  </si>
  <si>
    <t>190-38375897</t>
  </si>
  <si>
    <t>ETO-TELE  000617/2026</t>
  </si>
  <si>
    <t>REGULADOR MAL FIXADO</t>
  </si>
  <si>
    <t>190-61365612</t>
  </si>
  <si>
    <t>ETO-TELE  000632/2026</t>
  </si>
  <si>
    <t>ETO-TELE 00587/2026</t>
  </si>
  <si>
    <t>ETO-TELE  000438/2026</t>
  </si>
  <si>
    <t>ETO-TELE 00399/2026</t>
  </si>
  <si>
    <t>Religador de poste 7957021094 com falha na comunicação com centro de operaçoes indisponivel , feito primeiro ataque sem sucesso no retorno de comunicao em campo ficou by passado o equipamento religador da praia do peixe</t>
  </si>
  <si>
    <t>190-36877028</t>
  </si>
  <si>
    <t>OXIDAÇÃO</t>
  </si>
  <si>
    <t>ETO-TELE 00488/2026</t>
  </si>
  <si>
    <t>190-29250751</t>
  </si>
  <si>
    <t>ETO-TELEGU  000278/2026</t>
  </si>
  <si>
    <t>ETO-TELE 00626/2026</t>
  </si>
  <si>
    <t>190-17512713</t>
  </si>
  <si>
    <t>ETO-TELEGU  000233/2026</t>
  </si>
  <si>
    <t>ETO-TELE 00877/2026</t>
  </si>
  <si>
    <t>segue rl 7903572004 sem comunicação equipe fez primeiro ataque e identificou cabos PP DE ALIMENTAÇÃO  C/A oxidado e rompido, display apagado, enviar equipe para fazer correções, RL N/A urgencia devido ser de transferencia de cargas do dj 244R ARA 1 e 224R ARA 3</t>
  </si>
  <si>
    <t>190-17409469</t>
  </si>
  <si>
    <t>ETO-TELEAR  000091/2026</t>
  </si>
  <si>
    <t>ETO-TELE 00159/2026</t>
  </si>
  <si>
    <t>190-17421365</t>
  </si>
  <si>
    <t>ETO-TELE 00425/2026</t>
  </si>
  <si>
    <t>Segue nota , para verificar falha de comunicação nos religadores que estão agrupados na  repetidora de Itacajá  , quando falta CA perde a comunicação em vários religadores na região .</t>
  </si>
  <si>
    <t>ETO-TELE  000616/2026</t>
  </si>
  <si>
    <t>ETO-TELE 00533/2026</t>
  </si>
  <si>
    <t>AL01014045</t>
  </si>
  <si>
    <t>190-17421454</t>
  </si>
  <si>
    <t>ETO-TELE  000445/2026</t>
  </si>
  <si>
    <t>ETO-TELE 00621/2026</t>
  </si>
  <si>
    <t>190-46066721</t>
  </si>
  <si>
    <t>ETO-TELEGU  000117/2026</t>
  </si>
  <si>
    <t>ETO-TELE 00851/2026</t>
  </si>
  <si>
    <t>Por genteliiza verificar RT 5846328094 situação de equipamento, se encontra by passado em campo
PARECER DMSL:
Favor, realizar melhoria de aterramento que se encontra alta e substituir todos os conectores das buchas por conectores estrangulador.</t>
  </si>
  <si>
    <t>190-31814634</t>
  </si>
  <si>
    <t>PARECER DCMD: MELHORIA DE ATERRAMENTO REALIZADA (05/06/2026) VOU MANDAR AS EVIDÊNCIAS PARA EDNA E PARA O JOHN PAUL (JOÃO ANTONIO LAGARES )
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Obs.: Fizeram melhoria na malha de terra, mas não está dentro do aceitável! As outras pendências continuam, favor corrigir.
Equipamento ficou em operação?: Não  - Equipe: Benvindo e Kaique- SS ANTIGA ETO-TELE 358/2026</t>
  </si>
  <si>
    <t>190-30990216</t>
  </si>
  <si>
    <t>ETO-TELEPA  000496/2026</t>
  </si>
  <si>
    <t>ETO-TELE 00127/2026</t>
  </si>
  <si>
    <t>190-17512849</t>
  </si>
  <si>
    <t>ETO-TELE  000019/2026</t>
  </si>
  <si>
    <t>ETO-TELE 00746/2026</t>
  </si>
  <si>
    <t>190-38225450</t>
  </si>
  <si>
    <t>ETO-TELEPA  000462/2026</t>
  </si>
  <si>
    <t>ETO-TELE 00993/2026</t>
  </si>
  <si>
    <t>Fazer medição de aterramento - Criticidade: Muito alto - Alimentador: LD NOVA OLINDA A ARAPOEMA</t>
  </si>
  <si>
    <t>190-32303816</t>
  </si>
  <si>
    <t>ETO-TELEAR  000128/2026</t>
  </si>
  <si>
    <t>ETO-TELE 00948/2026</t>
  </si>
  <si>
    <t>PARECER DMSL: Foi identificado que a fase A esta em curto (892Kbps) no teste de Megometro, o curto afetou o rele RUA 01 e rompeu o jamper da chave faca para a linha de distribuição.
PROVIDENCIAR MANUTENÇÃO PARA O REGULADOR 5825703064 POIS O MESMO ESTA EM CURTO E FASE A DE SAIDE ESTA ROMPIDO.</t>
  </si>
  <si>
    <t>190-15838899</t>
  </si>
  <si>
    <t>DEFEITO ELETRICO</t>
  </si>
  <si>
    <t>ETO-TELE 00811/2026</t>
  </si>
  <si>
    <t>PROVIDENCIAR A MANUTENÇÃO POIS NÃO TEM COMUNICAÇÃO NO SCADA ( SEM SUPERVISORIO )
SEM POSSIBILIDADE DE CONTROLE PELO OPERADOR.  GERANDO HH SEMPRE QUE CLIENTES RECLAMAM DE NIVEL DE TENSÃO NA LD.</t>
  </si>
  <si>
    <t>190-32303814</t>
  </si>
  <si>
    <t>ETO-TELE 00927/2026</t>
  </si>
  <si>
    <t>Noa para equipe de proteção avaliar a Proteção do RL 794968145 ramal com proteção não atua e abrir o religador a mantante.
Parecer da proteção:
Atualizar a base do religador com os ajustes e realizar teste funcional para verificar a abertura por proteção, pode ser feito via programa da NOJA.
Engº Irlley Castelo Branco</t>
  </si>
  <si>
    <t>190-66436958</t>
  </si>
  <si>
    <t>ETO-PROT 00370/2025</t>
  </si>
  <si>
    <t>Enviar equipe  da TELE, para sanar defeito de comunicação do RL 7938048113, não aceita comandos de fechamento e nem  de abertura remoto.
Situação  no sistema  ABERTO NO ADMS, porém fechado  normalmente em campo</t>
  </si>
  <si>
    <t>190-17512657</t>
  </si>
  <si>
    <t>ETO-TELE 00272/2026</t>
  </si>
  <si>
    <t>segue nota para equipe DMSL verificar rl 7930910156 sem comunicação, foi feito primeiro ataque sem sucesso</t>
  </si>
  <si>
    <t>190-17408101</t>
  </si>
  <si>
    <t>ETO-TELE  000325/2026</t>
  </si>
  <si>
    <t>ETO-TELE 00398/2026</t>
  </si>
  <si>
    <t>religador de poste 7915039094 sem comunicação feito primeiro ataque equipe da localidade porem sem sucesso o retorno da comunicação .
Ramal da fazenda tataira na regiao de peixe no penha</t>
  </si>
  <si>
    <t>ETO-TELEGU  000079/2026</t>
  </si>
  <si>
    <t>190-51811468</t>
  </si>
  <si>
    <t>IZAIAS SANTOS BRAGA JUNIOR</t>
  </si>
  <si>
    <t>ETO-TELEGU  000275/2026</t>
  </si>
  <si>
    <t>ETO-TELE 01060/2026</t>
  </si>
  <si>
    <t>Bom dia,
Segue SS para as devidas tratativas, DJ 284R SE Palmas IV está sem automação feito primeiro ataque com equipe operacional, porém sem sucesso, favor deslocar equipe DMSL para verificar esta anomalia. </t>
  </si>
  <si>
    <t>2PA4</t>
  </si>
  <si>
    <t>2PA4RL284</t>
  </si>
  <si>
    <t>190-576453</t>
  </si>
  <si>
    <t>RELIGADOR 13,8 KV GIS</t>
  </si>
  <si>
    <t>DESCONECTADO(A)</t>
  </si>
  <si>
    <t>ETO-TELE 00400/2026</t>
  </si>
  <si>
    <t>segue ss de religador 7926785070 com defeito na automacão que precisa ser corrigido pela equipe de manutencão para que o mesmo fique disponivel para a operacão favor agilizar o atendimento devido tratar se de religador de linha acesso livre obs, o mesmo está sem automacão sem comunicacão coi centro de operacão já foi feito o primeiro ataque e o mesmo não normalizou</t>
  </si>
  <si>
    <t>190-17512851</t>
  </si>
  <si>
    <t>ETO-TELEPA  000147/2026</t>
  </si>
  <si>
    <t>ETO-TELE 00675/2026</t>
  </si>
  <si>
    <t>190-17512865</t>
  </si>
  <si>
    <t>ETO-TELEGU  000148/2026</t>
  </si>
  <si>
    <t>ETO-TELE 00906/2026</t>
  </si>
  <si>
    <t>190-17421359</t>
  </si>
  <si>
    <t>ETO-TELEGU  000211/2026</t>
  </si>
  <si>
    <t>ETO-TELE 00969/2026</t>
  </si>
  <si>
    <t xml:space="preserve">PARECER COEP: QUAL O MODELO/ COGIDO DA PLACA DE ALIMENTAÇÃO PARA QUE POSSAMOS ENVIAR?
PARECER DMSL:
Necessário substituir a placa de alimentação ca, a mesma está em curto não conseguimos recuperar.
Equipamento ficou em operação?: _Nao
Pendência: Sim
Bateria(s) Substituída(s)? Não
Data Fabricação/Instalação da(s) bateria(s): 06/2024
Equipe: Benvindo e Kaique
----------------------------------------------------------------------
RL 7955946007 SEM COMUNICAÇÃO FEITO PRIMEIRO ATAQUE-- </t>
  </si>
  <si>
    <t>PAULO AUGUSTO DA SILVA MORAIS</t>
  </si>
  <si>
    <t>ETO-TELEPA  000127/2026</t>
  </si>
  <si>
    <t>ETO-TELE 00341/2026</t>
  </si>
  <si>
    <t>ETO-TELE 00438/2026</t>
  </si>
  <si>
    <t>PARECER COEP: AGUARDANDO RETORNO DO DMSL
REGULADOR 5800090147 SEM COMUNICAÇÃO E TRAVANDO TAP´S - REALIZAO PRIMEIRO ATAQUE SEM SUCESSO.
PARECER DMSL: Favor, substituir a célula da fase C do RT 5800090147 pois o microswitch que renconhece o neutro do regulador está com defeito.
Equipamento ficou operando devido ser possível manobrar de forma manual.</t>
  </si>
  <si>
    <t>190-15787264</t>
  </si>
  <si>
    <t>ETO-TELE 00244/2026</t>
  </si>
  <si>
    <t>Senhores. favor verificar rl 7913667006 sinalizou aberto e em local  dia 02/02/2026 as 00:16 e as 00:25 sinalizou fechado  favor verificar essa sinalizaçao indevida , rlk em campo fechado normal.</t>
  </si>
  <si>
    <t>190-17414580</t>
  </si>
  <si>
    <t>ETO-TELE 00045/2026</t>
  </si>
  <si>
    <t>190-17421235</t>
  </si>
  <si>
    <t>ETO-TELEPA  000013/2026</t>
  </si>
  <si>
    <t>ETO-TELE 00354/2026</t>
  </si>
  <si>
    <t>Repetidora Buriti.
Inspeção preventiva.</t>
  </si>
  <si>
    <t>REP.BURITI</t>
  </si>
  <si>
    <t>REPETIDORA BURITI</t>
  </si>
  <si>
    <t>ETO-TELEAR  000019/2026</t>
  </si>
  <si>
    <t>ETO-TELE 00676/2026</t>
  </si>
  <si>
    <t>190-17512712</t>
  </si>
  <si>
    <t>ETO-TELEGU  000194/2026</t>
  </si>
  <si>
    <t>ETO-TELE 00956/2026</t>
  </si>
  <si>
    <t>PARECER DA PROTEÇÃO:
Ajustes do Religador Realizados, prosseguir com o comissionamento. Planilha com as informações em anexo.
Ajustes disponíveis no APP da proteção.
Estagiário Rafael P Marques
*****************
RELIGADOR N° 7960070001 INSTALADO NA OBRA 0302500491 GENTILEZA, REALIZAR O COMISSIONAMENTO.
LAUDO EM ANEXO.
COORD EO: 784243, 8816653
-----------------------
PARECER DMSL: chamado de desenvolvimento 30563219 criado. Favor, programar comissionamento a partir do dia 03/07/2026. POLO PORTO NACIONAL.</t>
  </si>
  <si>
    <t>190-43975096</t>
  </si>
  <si>
    <t>ETO-TELEPA  000433/2026</t>
  </si>
  <si>
    <t>ETO-PROT 00073/2026</t>
  </si>
  <si>
    <t>ETO-TELE 01054/2026</t>
  </si>
  <si>
    <t>Segue nota para avaliaçao de proteçao do RL 7948631032 pois o mesmo nao autou durante evento de cabo rompido apos a chave 331093032, importante avaliaçao da chave se encontra em campo com elo de 10k</t>
  </si>
  <si>
    <t>190-48874352</t>
  </si>
  <si>
    <t>ETO-TELEGU  000308/2026</t>
  </si>
  <si>
    <t>FALHA DE ABERTURA COM ATUAÇÃO NA PROTEÇÃO</t>
  </si>
  <si>
    <t>ETO-TELE 00050/2026</t>
  </si>
  <si>
    <t>190-25330402</t>
  </si>
  <si>
    <t>ETO-TELEPA  000443/2026</t>
  </si>
  <si>
    <t>ETO-TELE 00975/2026</t>
  </si>
  <si>
    <t>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t>
  </si>
  <si>
    <t>190-17404165</t>
  </si>
  <si>
    <t>ETO-TELE 00694/2025</t>
  </si>
  <si>
    <t>FOI REALIZADO O PRIMEIRO ATAQUE E O MESMO NÃO RETORNOU A COMUNICAÇÃO;
RELIGADOR 7948412064 BAY PASSADO EM CAMPO.</t>
  </si>
  <si>
    <t>190-22320256</t>
  </si>
  <si>
    <t>ETO-TELE  000622/2026</t>
  </si>
  <si>
    <t>ETO-RD-GR 00666/2026</t>
  </si>
  <si>
    <t>ETO-TELE 00167/2026</t>
  </si>
  <si>
    <t>190-17421243</t>
  </si>
  <si>
    <t>ETO-TELE 00205/2026</t>
  </si>
  <si>
    <t>RELIGADOR ASSIM QUE PERDE CA PERDE COMUNICAÇÃO, NO SCADA ESTA SIMNALIZANDO BATERIA POREM A MESMA FOI SUBSTITUIDA DOA 17/01/2026 PELA EQUIPE DEOP POREM CONTINUA PERDENDO A COMUNICAÇÃO</t>
  </si>
  <si>
    <t>190-17404074</t>
  </si>
  <si>
    <t>ETO-TELE  000051/2026</t>
  </si>
  <si>
    <t>ETO-TELE 00280/2026</t>
  </si>
  <si>
    <t>Religador de poste 7957571200 sem comunicação com centro operação indisponivel para operação feito primeiro ataque com equipe 200opo01 sem sucesso enviar equipe verificar em campo .
Ramal do piabanha</t>
  </si>
  <si>
    <t>190-26091090</t>
  </si>
  <si>
    <t>ETO-TELE 00214/2026</t>
  </si>
  <si>
    <t>Segue nota para verificar falha de abertura via supervisório , manual e mecânica  no RL 7931645122 - RDU- Palmas .
OBS: equipamento estava com defeito a jusante do mesmo , porem não abriu pela proteção nem via comando , e esta com constante perda de automação .</t>
  </si>
  <si>
    <t>190-17421473</t>
  </si>
  <si>
    <t>ETO-PROT 00375/2025</t>
  </si>
  <si>
    <t>ETO-TELE 00526/2026</t>
  </si>
  <si>
    <t>190-28872958</t>
  </si>
  <si>
    <t>ETO-TELE  000531/2026</t>
  </si>
  <si>
    <t>ETO-TELE 00486/2026</t>
  </si>
  <si>
    <t>Equipamento já comunica via telespazio.</t>
  </si>
  <si>
    <t>ETO-TELEGU  000198/2026</t>
  </si>
  <si>
    <t>ETO-TELE 00544/2026</t>
  </si>
  <si>
    <t>190-17421604</t>
  </si>
  <si>
    <t>ETO-TELE  000432/2026</t>
  </si>
  <si>
    <t>ETO-TELE 00864/2026</t>
  </si>
  <si>
    <t>Segue nota para verificar falha em comunicação e automação no RL-7959680004, Feito primeiro ataque com equipe 004op18, porém sem sucesso, RL ficou bay-passado.</t>
  </si>
  <si>
    <t>190-42064227</t>
  </si>
  <si>
    <t>ETO-TELE  000580/2026</t>
  </si>
  <si>
    <t>190-33995631</t>
  </si>
  <si>
    <t>ETO-TELE 00138/2026</t>
  </si>
  <si>
    <t>PARECER DMSL: A pedido do supervisor, nota será repassada pois a  descrição esta confusa, fala da SE Crixas, para um equipamento em Axixá.
 PARECER DA PROTEÇÃO.
ATUALIZAR AJUSTES DO RL 7922993065 AL 01 SE CRIXAS. ATUALIZAR BASE  DO RELE PARA A VERSÃO MAIS RECENTE.
AJUSTES DISPONIVIEIS NO APP DA  PROTEÇÃO.
-------------------------------------------------------------------------------------------------------------
Verificar falha na atuação do religador 7922993065, o mesmo não abriu com defeito a jusante vindo a atuar o dj 224r. intervenção 20253647924771.</t>
  </si>
  <si>
    <t>190-17338925</t>
  </si>
  <si>
    <t>ETO-PROT 00188/2025</t>
  </si>
  <si>
    <t>28-07-2026 PARECER DCMD: FOI INSTALADO O CONTROLE E A ANTENA NO REGULADOR CONFORME SOLICITADO. FOI ANEXADO AS FOTOS NA SS
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
PEÇA ENVIADA: CONTROLE
PARECER DMSL: *FEEDBACK EQUIP. ESPECIAIS*
*Nº DO EQUIPAMENTO:* 5800859011
*TIPO EQUIPAMENTO:* RT ITB
*TIPO DE COMUNICAÇÃO:* Não
*DATA DA MANUTENÇÃO:* 09/06/2026
*SID:* 3195/2026
*DESCRIÇÃO:* _ Foi identificado relé da fase C com defeito conforme orientação da supervisão e necessário realiza retrofit para instalação de controle rua.
*FICOU EM OPERAÇÃO* Não
*PENDÊNCIA:* Realizado Retrofit
*DADOS DIVERGENTES DA PROGRAMAÇÃO:* Não
*BATERIA SUBSTITUÍDA?:* Não
*TIPO DE BATERIA:*
*EQUIPE:* Edeglan e Brunno.
Observação: trocar por um controle RUA.
------------------------------------------------------------------------------------------
Enviar equipe do DMSL, para  fazer correção no RT 5800859011, o mesmo está com o displey da fase C apagado , dificutando  realizar  manobras no mesmo, emvirtude  disso o mesmo ficou BAY PASSADO EM CAMPO</t>
  </si>
  <si>
    <t>190-15787179</t>
  </si>
  <si>
    <t>ETO-TELEAR  000155/2026</t>
  </si>
  <si>
    <t>ETO-TELE 00250/2026</t>
  </si>
  <si>
    <t>FEITO O PRIMEIRO ATAQUE NO RL 7954668084 E O DISPLAY ESTÁ QUEIMADO, NÃO LIGA.
OS (99) 106230846</t>
  </si>
  <si>
    <t>ETO-TELE 00591/2026</t>
  </si>
  <si>
    <t>190-17512841</t>
  </si>
  <si>
    <t>ETO-TELE  000559/2026</t>
  </si>
  <si>
    <t>ETO-TELE 00596/2026</t>
  </si>
  <si>
    <t>190-17512868</t>
  </si>
  <si>
    <t>ETO-TELE  000501/2026</t>
  </si>
  <si>
    <t>ETO-TELE 00499/2026</t>
  </si>
  <si>
    <t>foi feito o primeiro ataque e nao retornou comunicaçao do religador 7957466015 equipe 015po01 - enviar equipe dmsl</t>
  </si>
  <si>
    <t>190-44945413</t>
  </si>
  <si>
    <t>REGISTRO COM DEFEITO</t>
  </si>
  <si>
    <t>ETO-TELE 00749/2026</t>
  </si>
  <si>
    <t>190-17421256</t>
  </si>
  <si>
    <t>ETO-TELE 00478/2026</t>
  </si>
  <si>
    <t>190-27339913</t>
  </si>
  <si>
    <t>ETO-TELE 00832/2026</t>
  </si>
  <si>
    <t>RELIGADOR 7940262032  SEM COMUNICAÇAO EQUIPE FEITO PRIMEIRO ATAQUE NAO VOLRTOU COMUNICAO EQUIPE INFORMOU QUE PARTE INTERNET ESTA SEM COMUNICAÇÃO MESMO COM ENERGIA VERIFICAR EM CAMPO</t>
  </si>
  <si>
    <t>190-17414167</t>
  </si>
  <si>
    <t>ETO-TLGU01  000124/2026</t>
  </si>
  <si>
    <t>ETO-TELE 00021/2026</t>
  </si>
  <si>
    <t>190-17408465</t>
  </si>
  <si>
    <t>ETO-TELEPA  000035/2026</t>
  </si>
  <si>
    <t>ETO-TELE 00122/2026</t>
  </si>
  <si>
    <t>190-17421503</t>
  </si>
  <si>
    <t>ETO-TELE  000011/2026</t>
  </si>
  <si>
    <t>ETO-TELE 00103/2026</t>
  </si>
  <si>
    <t>190-17514133</t>
  </si>
  <si>
    <t>ETO-TELE  000342/2026</t>
  </si>
  <si>
    <t>ETO-TELE 00115/2026</t>
  </si>
  <si>
    <t>190-17512888</t>
  </si>
  <si>
    <t>ETO-TELE  000036/2026</t>
  </si>
  <si>
    <t>ETO-TELE 00593/2026</t>
  </si>
  <si>
    <t>ETO-TELE  000498/2026</t>
  </si>
  <si>
    <t>ETO-TELE 00810/2026</t>
  </si>
  <si>
    <t>190-52112285</t>
  </si>
  <si>
    <t>ETO-TELE 00134/2026</t>
  </si>
  <si>
    <t>REALIZADO O PRIMEIRO ATAQUE NO NO RL 7929033023  NA RDU COLINAS O DISJUNTOR ESTAVA DESLIGADO EQUIPE 023OP03 FECHOU O MESMO E ESTA EM CURTO INTERNO NO EQUIPAMENTO</t>
  </si>
  <si>
    <t>190-17413486</t>
  </si>
  <si>
    <t>ETO-TELE  000047/2026</t>
  </si>
  <si>
    <t>ETO-TELE 00764/2026</t>
  </si>
  <si>
    <t>Segue nota para verificar falha em comunicação e automação no RL-7954632001, Feito primeiro ataque com equipe 001OP10, porém sem sucesso</t>
  </si>
  <si>
    <t>190-41016373</t>
  </si>
  <si>
    <t>ETO-TELE  000563/2026</t>
  </si>
  <si>
    <t>ETO-TELE 00003/2026</t>
  </si>
  <si>
    <t>Segue nota para envia equipe verificar falha em comunicação e automação no RL-7904278001 feito primeiro ataque constatado painel de controle em curto e radio queimado. </t>
  </si>
  <si>
    <t>190-17408769</t>
  </si>
  <si>
    <t>ETO-TELEPA  000021/2026</t>
  </si>
  <si>
    <t>ETO-TELE 00176/2026</t>
  </si>
  <si>
    <t>FEITO PRIMEIRO ATAQUE NO RL 7915030003 OS. 105702940. FOI CONSTATADO QUE O RELE ESTA FUNCIONANDO. JÀ O RADIO NÃO COMUNICA.
PROVIDENCIAR MANUTENÇÃO PARA O MESMO.</t>
  </si>
  <si>
    <t>190-17413789</t>
  </si>
  <si>
    <t>ETO-TELEGU  000040/2026</t>
  </si>
  <si>
    <t>ETO-TELE 00600/2026</t>
  </si>
  <si>
    <t>AL01006040</t>
  </si>
  <si>
    <t>190-44142960</t>
  </si>
  <si>
    <t>ETO-TELE  000479/2026</t>
  </si>
  <si>
    <t>ETO-TELE 00775/2026</t>
  </si>
  <si>
    <t>Foi feito o primeiro ataque no Rl 7949650109 retornou a comunicação mais subiu o ALARME DE FALHA NO CUBICULO DO RELIGADOR e de BATERIA e esta chiando no cubiculo.</t>
  </si>
  <si>
    <t>190-65887181</t>
  </si>
  <si>
    <t>ETO-TELEAR  000060/2026</t>
  </si>
  <si>
    <t>ETO-TELE 00196/2026</t>
  </si>
  <si>
    <t>Primeiro ataque no religador 7942311193, o mesmo se encontra sem comunicação apos ataque realizado.</t>
  </si>
  <si>
    <t>ETO-TELE 00653/2026</t>
  </si>
  <si>
    <t>190-17514129</t>
  </si>
  <si>
    <t>ETO-TELEGU  000153/2026</t>
  </si>
  <si>
    <t>ETO-TELE 00168/2026</t>
  </si>
  <si>
    <t>190-17421262</t>
  </si>
  <si>
    <t>ETO-TELE 00496/2026</t>
  </si>
  <si>
    <t>190-32017858</t>
  </si>
  <si>
    <t>ETO-TELEGU  000276/2026</t>
  </si>
  <si>
    <t>ETO-TELE 00765/2026</t>
  </si>
  <si>
    <t>Segue nota para verificar falha em comunicação e automação no RL-7910410013, Feito primeiro ataque com equipe 001OP10, porém sem sucesso</t>
  </si>
  <si>
    <t>190-53026672</t>
  </si>
  <si>
    <t>ETO-TELE  000512/2026</t>
  </si>
  <si>
    <t>ETO-TELE 00923/2026</t>
  </si>
  <si>
    <t>AL01042078</t>
  </si>
  <si>
    <t>190-17421245</t>
  </si>
  <si>
    <t>ETO-TELE  000627/2026</t>
  </si>
  <si>
    <t>ETO-TELE 00252/2026</t>
  </si>
  <si>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</si>
  <si>
    <t>190-25554072</t>
  </si>
  <si>
    <t>Gabriela Milhomem</t>
  </si>
  <si>
    <t>OBRAS (NOVOS EQUIPAMENTOS)</t>
  </si>
  <si>
    <t>ETO-PROT 00138/2024</t>
  </si>
  <si>
    <t>ETO-TELE 00888/2026</t>
  </si>
  <si>
    <t>PARECER DMSL 09/07/2026: GENTILEZA VERIFICAR HAVIA UMA NOTA ABERTA, EQUIPE RETORNOU EM CAMPO E NÃO FOI REALIZADA
serviço realizado na SS ENC-RD-PS 1397/2025, REPASSANDO PARA COMISSIONAR
RL 7938137007
NO RL INSTALAR BATERIA NOVA E RADIO A PEDIDO DE KAROLINY DMSL
ACESSO LIVRE
PARECER DMSL:
* equipamento esta com a bucha da fase A com problemas(solta), necessário substituir
* Trafo do serviço auxiliar esta vazando óleo, necessário substituir</t>
  </si>
  <si>
    <t>190-17408695</t>
  </si>
  <si>
    <t>ANDERSON FAZAN SOARES</t>
  </si>
  <si>
    <t>ETO-TELE 01528/2025</t>
  </si>
  <si>
    <t>ETO-TELE 00736/2026</t>
  </si>
  <si>
    <t>190-58999563</t>
  </si>
  <si>
    <t>ETO-TELE 00677/2026</t>
  </si>
  <si>
    <t>190-17514250</t>
  </si>
  <si>
    <t>ETO-TELEGU  000188/2026</t>
  </si>
  <si>
    <t>ETO-TELE 00874/2026</t>
  </si>
  <si>
    <t>Segue nota para providenciar comunicação no regulador 5858330039 - Rural Araguatins .
OBS: conforme informação técnico DMSL  Edicleber falta instalar rádio e comissionar com Scada !</t>
  </si>
  <si>
    <t>190-28220353</t>
  </si>
  <si>
    <t>ETO-TELE 00916/2026</t>
  </si>
  <si>
    <t>190-17512761</t>
  </si>
  <si>
    <t>ETO-TELEGU  000209/2026</t>
  </si>
  <si>
    <t>ETO-TELE 00742/2026</t>
  </si>
  <si>
    <t>190-17514117</t>
  </si>
  <si>
    <t>ETO-TELEPA  000334/2026</t>
  </si>
  <si>
    <t>ETO-TELE 00853/2026</t>
  </si>
  <si>
    <t>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</si>
  <si>
    <t>ETO-TELE 00253/2026</t>
  </si>
  <si>
    <t>PARECER DMSL :
Chamado de desenvolvimento 30476561 criado. Favor, programar comissionamento a partir do dia 10/02/26. POLOTOC
PARACER DA PROTEÇÃO:
COMISISONAR RL 7962734119 LD ANANAS A CACHOEIRINHA. AJUSTES DISPONIVEIS NO APP DA PROTEÇÃO.
RELIGADOR N° 7962734119 INSTALADO NA OBRA 0652400758 GENTILEZA, REALIZAR O COMISSIONAMENTO.
LAUDO EM ANEXO.
COORD EO: 825695, 9327391</t>
  </si>
  <si>
    <t>ETO-TELEAR  000061/2026</t>
  </si>
  <si>
    <t>ETO-PROT 00005/2026</t>
  </si>
  <si>
    <t>ETO-TELE 00886/2026</t>
  </si>
  <si>
    <t>PARECER DA PROTEÇÃO:
Coordenadas Ajustadas
995873, 8622241
Comissionar Regulador. Planliha com informações em anexo, ajustes disponíveis no APP da proteção.
Estagiário Rafael P Marques.
________________________
Parecer da proteção:
Comissionar Regulador. Planliha com informações em anexo.
Estagiário Rafael P Marques.
REGULADOR OBRA 0502400371, CODIGO TOPOLOGIA 5862247038; COORDENADAS: 343261,8626082.
laudo em anexo.
obs:  O sgm esta passando por uma melhoria devido ao ADMS, por esse motivo não integrou as informações do eo com sgm, a ss foi aberta no poste mais proximo
-----------------------------------------------------------------------------
PARECER DMSL:
Para o estudo de enlaces é preciso das coordenadas exatas de onde o equipamento se encontra. Favor, fornecer coordenadas do poste de intalação do equipamento.
-----------------------------------------------------------------------------------
PARECER DMSL: Chamado de desenvolvimento 30548899 criado. Favor, programar comissionamento a partir do dia 09/06/2026.</t>
  </si>
  <si>
    <t>ETO-PROT 00100/2026</t>
  </si>
  <si>
    <t>ETO-TELE 00113/2026</t>
  </si>
  <si>
    <t>190-26081760</t>
  </si>
  <si>
    <t>ETO-TELE  000055/2026</t>
  </si>
  <si>
    <t>ETO-TELE 00611/2026</t>
  </si>
  <si>
    <t>RELIGADOR SEM COMUNICAÇÃO - REALIZADO PRIMEIRO ATAQUE COORDENADO COM DMSL, EQUIPAMENTO NÃO RETORNOU COMUNICAÇÃO.</t>
  </si>
  <si>
    <t>190-50218425</t>
  </si>
  <si>
    <t>ETO-TELEGU  000081/2026</t>
  </si>
  <si>
    <t>ETO-TELE 00855/2026</t>
  </si>
  <si>
    <t>Senhoeres, segue conhecimento  rl 7925898004 quando falta CA perde a comunicaçao verificaçao.</t>
  </si>
  <si>
    <t>190-17412527</t>
  </si>
  <si>
    <t>ETO-TELEAR  000085/2026</t>
  </si>
  <si>
    <t>ETO-TELE 01114/2026</t>
  </si>
  <si>
    <t>190-17337394</t>
  </si>
  <si>
    <t>ETO-TELE 00364/2026</t>
  </si>
  <si>
    <t>Comissionamento, alteração de base e meio de comunicação</t>
  </si>
  <si>
    <t>LD02095030</t>
  </si>
  <si>
    <t>190-17512856</t>
  </si>
  <si>
    <t>ETO-TELEAR  000021/2026</t>
  </si>
  <si>
    <t>ETO-TELE 00475/2026</t>
  </si>
  <si>
    <t>190-17512875</t>
  </si>
  <si>
    <t>ARAGUANA</t>
  </si>
  <si>
    <t>ETO-TELE 00776/2026</t>
  </si>
  <si>
    <t>RL 7955986084 BY PASSADO EM CAMPO
MESMO OCASIONOU DESARME DA LINHA DJ 444R PARAISO -DIVINOPOLIS
EQUIPE 013OP04 INFORMOU QUE NO FUNDO DO RL TEM ALGUMAS MARCAS QUE QUEIMADO</t>
  </si>
  <si>
    <t>190-28065671</t>
  </si>
  <si>
    <t>ETO-TELE 00034/2026</t>
  </si>
  <si>
    <t>AL04099059</t>
  </si>
  <si>
    <t>190-26412434</t>
  </si>
  <si>
    <t>ETO-TELE  000005/2026</t>
  </si>
  <si>
    <t>ETO-TELE 00239/2026</t>
  </si>
  <si>
    <t>boa tarde, feito primeiro ataque no religador 7944609063, o mesmo se encontra sem comunicação</t>
  </si>
  <si>
    <t>190-17412181</t>
  </si>
  <si>
    <t>ETO-TELE 00457/2026</t>
  </si>
  <si>
    <t>190-17512963</t>
  </si>
  <si>
    <t>ETO-TELEAR  000083/2026</t>
  </si>
  <si>
    <t>ETO-TELE 00598/2026</t>
  </si>
  <si>
    <t>ETO-TELE  000496/2026</t>
  </si>
  <si>
    <t>ETO-TELE 00700/2026</t>
  </si>
  <si>
    <t>190-17513176</t>
  </si>
  <si>
    <t>ETO-TELEPA  000323/2026</t>
  </si>
  <si>
    <t>ETO-TELE 00036/2026</t>
  </si>
  <si>
    <t>190-17512823</t>
  </si>
  <si>
    <t>ETO-TELEPA  000053/2026</t>
  </si>
  <si>
    <t>ETO-TELE 00338/2026</t>
  </si>
  <si>
    <t>PARECER DA PROTEÇÃO:
Ajustes no religador realizados para tentativa de correção da situação, favpr atualizar base em campo, acesso remoto indisponível. Disponível no APP da proteção.
**********************************************
Segue SS para verficar as proteções do religador 7956117005.
Verificar banco de dados e ajustes.
O mesmo abrindo com defeito ajusante das chaves com elos de 6K.
Favor verficar</t>
  </si>
  <si>
    <t>AL01013005</t>
  </si>
  <si>
    <t>190-21127432</t>
  </si>
  <si>
    <t>ETO-TELEGU  000054/2026</t>
  </si>
  <si>
    <t>ETO-PROT 00004/2025</t>
  </si>
  <si>
    <t>ETO-TELE 00372/2026</t>
  </si>
  <si>
    <t>RL 7926839055, pegou fogo no para-raios e desceu para o aterramento, parte de cima do RL queimada, display está queimado. 055op01</t>
  </si>
  <si>
    <t>190-17410076</t>
  </si>
  <si>
    <t>ETO-TELEPA  000142/2026</t>
  </si>
  <si>
    <t>ENC-RD-PS 00348/2026</t>
  </si>
  <si>
    <t>ETO-TELE 00607/2026</t>
  </si>
  <si>
    <t>Segue nota para envia equipe verificar falha no RL-7926848026 equipamento não reponde comandos local e remoto, RL ficou bay-passado até regularização.</t>
  </si>
  <si>
    <t>190-17512825</t>
  </si>
  <si>
    <t>ETO-TELE  000519/2026</t>
  </si>
  <si>
    <t>ETO-TELE 00762/2026</t>
  </si>
  <si>
    <t>ETO-TELE 00352/2026</t>
  </si>
  <si>
    <t>REP. COLMÉIA.
Inspeção preventiva</t>
  </si>
  <si>
    <t>REP.COLMEIA</t>
  </si>
  <si>
    <t>REPETIDORA COLMÉIA</t>
  </si>
  <si>
    <t>ETO-TELEAR  000029/2026</t>
  </si>
  <si>
    <t>ETO-TELE 00393/2026</t>
  </si>
  <si>
    <t>Equipamento indisponivel para operaçao devido falha na comunicaçao, foi feito primeiro ataque no equipamento, porém nao retornou a comunicação, também não foram indentificadas a anomalias.</t>
  </si>
  <si>
    <t>190-44517202</t>
  </si>
  <si>
    <t>ETO-TELEGU  000068/2026</t>
  </si>
  <si>
    <t>ETO-TELE 00208/2026</t>
  </si>
  <si>
    <t>Enviar equipe do DMSL, verificar situação  de alimentação do relé   do mesmo, uma vez que já foi substituido o trfo de erviço auxiliar e fechado a chave de entrada do religador em questão porém   não está chegando alimentação no relé</t>
  </si>
  <si>
    <t>ETO-TLAR01  000025/2026</t>
  </si>
  <si>
    <t>ETO-TELE 00682/2026</t>
  </si>
  <si>
    <t>190-17512727</t>
  </si>
  <si>
    <t>ETO-TELEGU  000121/2026</t>
  </si>
  <si>
    <t>ETO-TELE 00262/2026</t>
  </si>
  <si>
    <t>SEGUE PARA REALIZAR TROCA
---------------------------------------------------------
Boa noite,
Segue SS para tratativas regulador de tensão 5840227063 fase C em curto</t>
  </si>
  <si>
    <t>ETO-TELE 00320/2026</t>
  </si>
  <si>
    <t>PARECER DA PROTEÇÃO:
RT REMANEJADO, AJUSTES PERMANCEM OS MESMOS, DISPONÍVEIS NO APP DA PROTEÇÃO.
Estagiário Rafael P Marques
*****************************
REGULADOR N° 5800366016 REMANEJADO NA OBRA 0602501502 GENTILEZA, REALIZAR O COMISSIONAMENTO.
LAUDO EM ANEXO.
COORD EO: 833588, 9240103</t>
  </si>
  <si>
    <t>ETO-TELE  000341/2026</t>
  </si>
  <si>
    <t>ETO-PROT 00037/2026</t>
  </si>
  <si>
    <t>ETO-TELE 00422/2026</t>
  </si>
  <si>
    <t>favor verificar RT 5800765149, com Fase B travada, feito primeiro ataque, com equipe 086OP01 e foi constatada que a fase B nao passa do TAp 3, o mesmo foi Bay Passado</t>
  </si>
  <si>
    <t>ETO-RD-PS 00160/2026</t>
  </si>
  <si>
    <t>ETO-TELE 00504/2026</t>
  </si>
  <si>
    <t>SEGUE SS PARA VERIFICAR MOTIVO DE PERDA DE COMUNICAÇÃO DO RL 7900663071 APÓS PERDA DE CA NA REDE MT. (SOLITO AGILIDADE POIS SE TRATA DE UM EQUIPAMENTO CRUCIAL PARA TRANFERENCIA DE CARGAS URBANAS DA RDU BREJINHO)</t>
  </si>
  <si>
    <t>190-17408770</t>
  </si>
  <si>
    <t>ETO-TELEPA  000411/2026</t>
  </si>
  <si>
    <t>ETO-TELEPA 00001/2026</t>
  </si>
  <si>
    <t>ETO-TELE 00760/2026</t>
  </si>
  <si>
    <t>190-17513169</t>
  </si>
  <si>
    <t>ETO-TELE 00844/2026</t>
  </si>
  <si>
    <t>ETO-TELE  000584/2026</t>
  </si>
  <si>
    <t>ETO-TELECOM 00013/2026</t>
  </si>
  <si>
    <t>ETO-TELE 00024/2026</t>
  </si>
  <si>
    <t>ETO-TELE  000612/2026</t>
  </si>
  <si>
    <t>ETO-TELE 00286/2026</t>
  </si>
  <si>
    <t>ETO-TELE 00908/2026</t>
  </si>
  <si>
    <t>LD06047073</t>
  </si>
  <si>
    <t>190-17512409</t>
  </si>
  <si>
    <t>ETO-TELEPA  000439/2026</t>
  </si>
  <si>
    <t>ETO-TELE 00385/2026</t>
  </si>
  <si>
    <t>PARECER DA PROTEÇÃO:
Atualizar ajustes do RL 7922993065 para a base mais recente.
Ajustes Disponíveis no APP da Proteção.
**************************************
PARECER DMSL: A pedido do supervisor, nota será repassada pois a  descrição esta confusa, fala da SE Crixas, para um equipamento em Axixá.
**************************************
PARECER DA PROTEÇÃO.
ATUALIZAR AJUSTES DO RL 7922993065 AL 01 SE AXIXA. ATUALIZAR BASE  DO RELE PARA A VERSÃO MAIS RECENTE.
AJUSTES DISPONIVIEIS NO APP DA  PROTEÇÃO.
-------------------------------------------------------------------------------------------------------------
Verificar falha na atuação do religador 7922993065, o mesmo não abriu com defeito a jusante vindo a atuar o dj 224r. intervenção 20253647924771.</t>
  </si>
  <si>
    <t>ETO-TELE  000370/2026</t>
  </si>
  <si>
    <t>ETO-TELE 00919/2026</t>
  </si>
  <si>
    <t>190-17514258</t>
  </si>
  <si>
    <t>ETO-TELEGU  000231/2026</t>
  </si>
  <si>
    <t>ETO-TELE 00182/2026</t>
  </si>
  <si>
    <t>SEGUE NOTA PARA O RELIGADOR 7900001227, O MESMO ESTA SEM COMUNICAÇAO. FOI FEITO O PRIMEIRO ATAQUE O MESMO NAO RETORNOU A COMUNICAÇAO, EQUIPAMENTO INDISPONIVEL PARA OPERAÇAO</t>
  </si>
  <si>
    <t>190-17404066</t>
  </si>
  <si>
    <t>STANLEY APARECIDO DO CARMO</t>
  </si>
  <si>
    <t>ETO-TELE  000053/2026</t>
  </si>
  <si>
    <t>ETO-TELE 00507/2026</t>
  </si>
  <si>
    <t>Alterar meio de comunicação de Orbicomm para antela Telespazio.</t>
  </si>
  <si>
    <t>190-17512834</t>
  </si>
  <si>
    <t>ETO-TELE  000562/2026</t>
  </si>
  <si>
    <t>ETO-TELE 00534/2026</t>
  </si>
  <si>
    <t>190-17421601</t>
  </si>
  <si>
    <t>ETO-TELE  000471/2026</t>
  </si>
  <si>
    <t>ETO-TELE 00112/2026</t>
  </si>
  <si>
    <t>190-17512736</t>
  </si>
  <si>
    <t>ETO-TELE  000016/2026</t>
  </si>
  <si>
    <t>ETO-TELE 00243/2026</t>
  </si>
  <si>
    <t>Religador  7944603053 perde a comunicação quando falta C.A.</t>
  </si>
  <si>
    <t>190-17412799</t>
  </si>
  <si>
    <t>ETO-TELE  000324/2026</t>
  </si>
  <si>
    <t>ETO-TELE 01035/2026</t>
  </si>
  <si>
    <t>Eq. Linha Viva - realizar substituição ch faca do RELIGADOR N° 7967181127, Fase C. - CH-[967181127C] - Sentindo carga - Chave faca 34,5 Kv não fechou,  - PARECER COEP: SUBSTIUIR CHAVE FACA COCM`S , DEPOIS PASSAR PARA PROTEÇÃO PARA AJUSTE
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
PARECER DCMD: FOI REALIZADO A SUBSTITUIÇÃO DA CHAVE FACA FASE C  CONFORME SOLICITADO NA DATA DE 01/07/2026 - FAVOR REALIZAR COMISSIONAMENTO</t>
  </si>
  <si>
    <t>190-61399934</t>
  </si>
  <si>
    <t>ETO-TELE  000648/2026</t>
  </si>
  <si>
    <t>ETO-TELE 00013/2026</t>
  </si>
  <si>
    <t>ETO-TELEPA  000031/2026</t>
  </si>
  <si>
    <t>ETO-TELE 00117/2026</t>
  </si>
  <si>
    <t>190-17514135</t>
  </si>
  <si>
    <t>ETO-TELE  000022/2026</t>
  </si>
  <si>
    <t>ETO-TELE 00033/2026</t>
  </si>
  <si>
    <t>AL04062013</t>
  </si>
  <si>
    <t>190-17421460</t>
  </si>
  <si>
    <t>ETO-TELE  000408/2026</t>
  </si>
  <si>
    <t>ETO-TELE 00374/2026</t>
  </si>
  <si>
    <t>Equipe 001op23 fez primeiro ataque juntamento com Renam DMSL o mesmo não retornou comuniccação, Enviar equipe</t>
  </si>
  <si>
    <t>AL02057189</t>
  </si>
  <si>
    <t>190-39333110</t>
  </si>
  <si>
    <t>HERBSON DE AMORIM GOMES</t>
  </si>
  <si>
    <t>ETO-TELEPA  000138/2026</t>
  </si>
  <si>
    <t>ETO-TELE 00523/2026</t>
  </si>
  <si>
    <t>190-17512628</t>
  </si>
  <si>
    <t>ETO-TELE  000571/2026</t>
  </si>
  <si>
    <t>ETO-TELE 00059/2026</t>
  </si>
  <si>
    <t>190-17419966</t>
  </si>
  <si>
    <t>ETO-TELEPA  000325/2026</t>
  </si>
  <si>
    <t>ETO-TELE 00348/2026</t>
  </si>
  <si>
    <t>FAVOR VERIFICAR RELIGADOR 7955731003 NÃO ESTA RESPONDENDO COMANDOS REMOTOS PARA FECHAR E ABRIR RDU DE GURUPI</t>
  </si>
  <si>
    <t>AL03113003</t>
  </si>
  <si>
    <t>190-47380201</t>
  </si>
  <si>
    <t>ETO-TELE  000354/2026</t>
  </si>
  <si>
    <t>ETO-TELE 00633/2026</t>
  </si>
  <si>
    <t>ETO-TELEGU  000171/2026</t>
  </si>
  <si>
    <t>ETO-TELE 01030/2026</t>
  </si>
  <si>
    <t>Segue nota para verificar falha de comunicação no religador 7950298038 quando falta CA , Local rural - Taguatinga   .
Equipamento perde a comunicação quando falta CA !</t>
  </si>
  <si>
    <t>2TGT</t>
  </si>
  <si>
    <t>190-81</t>
  </si>
  <si>
    <t>ETO-TELE  000639/2026</t>
  </si>
  <si>
    <t>INSTALAÇÃO ELÉTRICA</t>
  </si>
  <si>
    <t>20/07 parecer coep. equipamento entre aos cocms. aguardando a previsão de substituição na planilha e substituição depois seguir com o fluxo. descreverr a atividade realizada e data passa para proteção com laaudo e depois comissicionar
14/07 parecer coep. equipamento em rota de entrega
parecer dmsl: células da fase A encontra-se com vazamento de oleo no pé da torneira substituição de célula.
Aberto nota para verificar vazamento de oleo fase A no TR 5844630060 -RDU DE NOVA OLINDA.
Parecer DCMD: foi substituido célula 23/07/2026. o mesmo está liberado para ser colocado em operação</t>
  </si>
  <si>
    <t>190-29126241</t>
  </si>
  <si>
    <t>RICARDO DA CONCEICAO MOURA</t>
  </si>
  <si>
    <t>ETO-TELEAR  000153/2026</t>
  </si>
  <si>
    <t>ETO-RD-AR 01168/2026</t>
  </si>
  <si>
    <t>ETO-TELE 00099/2026</t>
  </si>
  <si>
    <t>190-17512699</t>
  </si>
  <si>
    <t>ETO-TELE  000023/2026</t>
  </si>
  <si>
    <t>ETO-TELE 00449/2026</t>
  </si>
  <si>
    <t>190-17512787</t>
  </si>
  <si>
    <t>ETO-TELEPA  000311/2026</t>
  </si>
  <si>
    <t>ETO-TELE 00933/2026</t>
  </si>
  <si>
    <t>Favor verificar Religador 7961301052, subindo alarmes recorrentes de defeito no SCADA há alguns dias, comunicação intermitente.</t>
  </si>
  <si>
    <t>190-38869790</t>
  </si>
  <si>
    <t>ETO-TELEGU  000236/2026</t>
  </si>
  <si>
    <t>ETO-TELE 00028/2026</t>
  </si>
  <si>
    <t>AL04072001</t>
  </si>
  <si>
    <t>190-17419982</t>
  </si>
  <si>
    <t>ETO-TELEPA  000036/2026</t>
  </si>
  <si>
    <t>ETO-TELE 00740/2026</t>
  </si>
  <si>
    <t>190-17512768</t>
  </si>
  <si>
    <t>ETO-TELE 00180/2026</t>
  </si>
  <si>
    <t>AL01023050</t>
  </si>
  <si>
    <t>190-17439841</t>
  </si>
  <si>
    <t>ETO-TELE  000328/2026</t>
  </si>
  <si>
    <t>COMBINADO</t>
  </si>
  <si>
    <t>ETO-TELE 00319/2026</t>
  </si>
  <si>
    <t>RETROFIT REP. COLINAS</t>
  </si>
  <si>
    <t>ETO-TELEAR  000008/2026</t>
  </si>
  <si>
    <t>ETO-TELE 00020/2026</t>
  </si>
  <si>
    <t>AL02059122</t>
  </si>
  <si>
    <t>190-26919138</t>
  </si>
  <si>
    <t>ETO-TELE  000527/2026</t>
  </si>
  <si>
    <t>ETO-TELE 00087/2026</t>
  </si>
  <si>
    <t>190-17512762</t>
  </si>
  <si>
    <t>ETO-TELE  000414/2026</t>
  </si>
  <si>
    <t>ETO-TELE 00325/2026</t>
  </si>
  <si>
    <t>favor verificar religador 7924616076 o mesmo estando bloqueado fica subindo no escada religado.
Parecer da Proteção:
Necessário analise do DMSL junto ao SCADA.
Atte.</t>
  </si>
  <si>
    <t>190-17412622</t>
  </si>
  <si>
    <t>ETO-TELEGU  000053/2026</t>
  </si>
  <si>
    <t>ETO-PROT 00023/2026</t>
  </si>
  <si>
    <t>ETO-TELE 00843/2026</t>
  </si>
  <si>
    <t>190-17512609</t>
  </si>
  <si>
    <t>ETO-TELE  000583/2026</t>
  </si>
  <si>
    <t>ETO-TELECOM 00015/2026</t>
  </si>
  <si>
    <t>ETO-TELE 00054/2026</t>
  </si>
  <si>
    <t>190-17419985</t>
  </si>
  <si>
    <t>ETO-TELEPA  000037/2026</t>
  </si>
  <si>
    <t>ETO-TELE 00151/2026</t>
  </si>
  <si>
    <t>190-17408284</t>
  </si>
  <si>
    <t>ETO-TELE 00358/2026</t>
  </si>
  <si>
    <t>PARECER DA PROTEÇÃO:
COMISSIONAR RT 5800291035. AJUSTES DISPONIVEIS NO APP DA PROTEÇÃO.
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
FEITO MELHORIAS NO ATERRAMENTO E AS MESMA FICOU 18,8  19,5  16,6</t>
  </si>
  <si>
    <t>190-30990212</t>
  </si>
  <si>
    <t>ETO-TELEPA  000137/2026</t>
  </si>
  <si>
    <t>ETO-TELE 00405/2025</t>
  </si>
  <si>
    <t>ETO-TELE 01109/2026</t>
  </si>
  <si>
    <t>Segue nota para normalizar falha carregamento de mola no DJ  254R S/E Palmas 4 .
OBS: equipamento não está carregando mola !</t>
  </si>
  <si>
    <t>2PA4DJ254</t>
  </si>
  <si>
    <t>190-25742530</t>
  </si>
  <si>
    <t>ETO-TELE 00031/2026</t>
  </si>
  <si>
    <t>ETO-TELE  000416/2026</t>
  </si>
  <si>
    <t>RL 7938137007
NO RL INSTALAR BATERIA NOVA E RADIO A PEDIDO DE KAROLINY DMSL
ACESSO LIVRE
PARECER DMSL:
* equipamento esta com a bucha da fase A com problemas(solta), necessário substituir
* Trafo do serviço auxiliar esta vazando óleo, necessário substituir</t>
  </si>
  <si>
    <t>ETO-TELE 00970/2026</t>
  </si>
  <si>
    <t>PARECER COEP: É A PARTE ATIVA OU A PLACA DE ALIMENTAÇÃO, O MODELO É NOJA OU COOPER? O RL É 13,8 OU 34,5? SABE ME DIZER O MODELO OU O CODIGO DA PLACA DE ALIMENTAÇÃO SE FOR NECESSÁRIA?
PARECER DMSL: SS ETO TELE 404/2026 ENCERRADA POR ENGANO Feedback Equipamentos Especiais
Local: Rural Ponte Alta
Equipe: Benvindo e Kaique
Equipamento: 7908302256
Designação: ENEG-0299-TO-H14
SLave: 19
Porta: 20000
REDE 10.163.249.152/30
SKYEDGE 10.163.249.153
RELÉ 10.163.249.154 Aponta - Diver
BROADCAST 10.163.249.155
MASK 255.255.255.252
H14:(Eutelsat 8W)
ID VSAT:20885
Managed Group: 18
Frequência:11595000
SR:32727
Lnblo - 10.75 (NÃO FUNCIONA)
Lnb chaveado colocar em L - lnblo 9.75Ghz
093 A - Buc 13.05 (AN7000 grande 2W,3W,4W)
093 B - Buc 12.80 (AN7233 pequeno de 2W)
Se o buc for de 13.05 o "RF Cluster Code" é 093A, se o buc for¿12.80¿é¿093B
Enter location CODE: 000M
Serviço Executado: Equipamento com a parte ativa com defeito, será necessário fazer a substituição da mesma!
Obs. Foi retirado a placa de alimentação ca.
Pendência: Sim
Equipamento ficou em operação: Não
Bateria(s) Substituída(s): não
Data Fabricação/Instalação da(s) bateria(s):</t>
  </si>
  <si>
    <t>190-28327585</t>
  </si>
  <si>
    <t>ETO-TELE  000609/2026</t>
  </si>
  <si>
    <t>ETO-COEP 00071/2026</t>
  </si>
  <si>
    <t>Segue nota para verificar falha de comunicação no religador 7929663074  rural - Dianópolis  .
Equipamento perde a comunicação quando falta CA !</t>
  </si>
  <si>
    <t>190-17512821</t>
  </si>
  <si>
    <t>ETO-TELEGU  000273/2026</t>
  </si>
  <si>
    <t>ETO-TELE 01113/2026</t>
  </si>
  <si>
    <t>SEGUE SS PARA REGULARIZAR COMUNICAÇÃO DO RL 7954491004 NA ENTRADA DO LOTEAMENTO JARDIM DO PORTO EM ARAGUAINA - FOI FEITO PRIMEIRO ATAQUE APOS A SUBSTITUIÇÃO DO TRAFO FURTADO E O PAINEU NÃO ESTA LIGANDO</t>
  </si>
  <si>
    <t>190-37941926</t>
  </si>
  <si>
    <t>ETO-TELE 00261/2026</t>
  </si>
  <si>
    <t>ATUALIZAR AJUSTES DO RL 7955429075 LD MIRANORTE ARAGUACEMA. NA OPORTUNIDADE ATUALIZAR VERSÃO DO RELE PARA VERSÃO ATUAL. AJUSTES DISPONIVEL NO APP DA PROTEÇÃO.</t>
  </si>
  <si>
    <t>190-52494350</t>
  </si>
  <si>
    <t>ETO-TELE  000517/2026</t>
  </si>
  <si>
    <t>ETO-TELE 00635/2026</t>
  </si>
  <si>
    <t>AL05020003</t>
  </si>
  <si>
    <t>190-17421747</t>
  </si>
  <si>
    <t>ETO-TELEGU  000097/2026</t>
  </si>
  <si>
    <t>ETO-TELE 00229/2026</t>
  </si>
  <si>
    <t>ATUALIZAR AJUSTES DO RL 7930427075 LD MIRANORTE ARAGUACEMA. NA OPORTUNIDADE ATUALIZAR VERSÃO DO RELE PARA VERSÃO ATUAL. AJUSTES DISPONIVEL NO APP DA PROTEÇÃO.</t>
  </si>
  <si>
    <t>190-17410058</t>
  </si>
  <si>
    <t>ETO-TELE  000514/2026</t>
  </si>
  <si>
    <t>ETO-TELE 00686/2026</t>
  </si>
  <si>
    <t>190-17512656</t>
  </si>
  <si>
    <t>ETO-TELEGU  000271/2026</t>
  </si>
  <si>
    <t>ETO-TELE 00817/2026</t>
  </si>
  <si>
    <t>RELIGADOR SEM COMUNICAÇÃO - APÓS ATUAÇÃO DO DMSL RELIGADOR COMUNICOU POR 9 DIAS DEPOOIS PAROU NOVAMENTE.</t>
  </si>
  <si>
    <t>ETO-TELEAR  000086/2026</t>
  </si>
  <si>
    <t>ETO-TELE 00631/2026</t>
  </si>
  <si>
    <t>190-17421251</t>
  </si>
  <si>
    <t>ETO-TELEGU  000210/2026</t>
  </si>
  <si>
    <t>ETO-TELE 00119/2026</t>
  </si>
  <si>
    <t>190-17513180</t>
  </si>
  <si>
    <t>ETO-TELE  000030/2026</t>
  </si>
  <si>
    <t>ETO-TELE 00223/2026</t>
  </si>
  <si>
    <t>ATUALIZAR AJUSTES DO RL 7900790075 LD MIRANORTE ARAGUACEMA. NA OPORTUNIDADE ATUALIZAR VERSÃO DO RELE PARA VERSÃO ATUAL. AJUSTES DISPONIVEL NO APP DA PROTEÇÃO.</t>
  </si>
  <si>
    <t>190-17410055</t>
  </si>
  <si>
    <t>ETO-TELEPA  000099/2026</t>
  </si>
  <si>
    <t>ETO-TELE 00922/2026</t>
  </si>
  <si>
    <t>190-17512661</t>
  </si>
  <si>
    <t>ETO-TELEPA  000339/2026</t>
  </si>
  <si>
    <t>ETO-TELE 00481/2026</t>
  </si>
  <si>
    <t>190-17512658</t>
  </si>
  <si>
    <t>ETO-TELEAR  000062/2026</t>
  </si>
  <si>
    <t>ETO-TELE 00566/2026</t>
  </si>
  <si>
    <t>190-17512895</t>
  </si>
  <si>
    <t>ETO-TELE  000482/2026</t>
  </si>
  <si>
    <t>ETO-TELE 00651/2026</t>
  </si>
  <si>
    <t>190-17513070</t>
  </si>
  <si>
    <t>ETO-TELEGU  000106/2026</t>
  </si>
  <si>
    <t>ETO-TELE 00660/2026</t>
  </si>
  <si>
    <t>190-17512519</t>
  </si>
  <si>
    <t>ETO-TELEGU  000143/2026</t>
  </si>
  <si>
    <t>ETO-TELE 00687/2026</t>
  </si>
  <si>
    <t>ETO-TELEGU  000102/2026</t>
  </si>
  <si>
    <t>ETO-TELE 00301/2026</t>
  </si>
  <si>
    <t>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</si>
  <si>
    <t>ETO-TELE 00297/2026</t>
  </si>
  <si>
    <t>Segue nota para envia equipe verificar falha de comunicação e automação no RL-7909577092 equipamento não retorna comunicação e nem aceitou comandos local e remoto.</t>
  </si>
  <si>
    <t>ETO-TELE 00804/2026</t>
  </si>
  <si>
    <t>REGULADOR DE TENSÃO 5800366016 NÃO ESTA REGULANDO A TENSÃO, E AS MEDIDAS ESTÃO INCOERENTES, FAVOR ENVIAR EQUIPE PARA VERIFICAR.
PARECER DMSL: Necessário a substituição do Relé.
COEP: Enviar equipe da TELE no regulador de tensão 5800366016, pois   o mesmo está em operação e estão com duas SS em aberto.</t>
  </si>
  <si>
    <t>190-31363460</t>
  </si>
  <si>
    <t>ETO-TELE  000542/2026</t>
  </si>
  <si>
    <t>ETO-TELE 01107/2025</t>
  </si>
  <si>
    <t>Segue nota para verificar falha e constantes travamento no regulador de tensão 5848305116 - chapada da Natividade .
Foi identificado que regulador está com divergência em TAP"S analógico e digital .
Foi executado comandos no relé para comutar TAP na fase AB foi executado no relé , porém não alterou analógico e nem fez barulho algum , a princípio a fase C está normal .</t>
  </si>
  <si>
    <t>190-33360234</t>
  </si>
  <si>
    <t>ETO-TELEGU  000257/2026</t>
  </si>
  <si>
    <t>ETO-TELE 00934/2026</t>
  </si>
  <si>
    <t>favor verificar religador 7900666072 com falha na placa de alimentação.
CRIANDO ESTA NOTA PARA ATENDER A NOTA ETO-TELE 786/2026 QUE FOI CANCELADA POR ENGANO.</t>
  </si>
  <si>
    <t>Ana Vitoria Batista de Albuque</t>
  </si>
  <si>
    <t>ETO-TELEGU  000223/2026</t>
  </si>
  <si>
    <t>Segue SS aberta para Religador 7908709122
equipe sinergia fez o primeiro ataque porem ,
o mesmo não voltou a comunicação.
equipe sinergia.
contato equipe 63 98414-0477 almir</t>
  </si>
  <si>
    <t>WENDER FRANCISCO RIBEIRO</t>
  </si>
  <si>
    <t>ETO-TELEPA 00003/2026</t>
  </si>
  <si>
    <t>ETO-TELEAR  000152/2026</t>
  </si>
  <si>
    <t>ETO-TELE 00455/2026</t>
  </si>
  <si>
    <t>190-43932189</t>
  </si>
  <si>
    <t>ETO-TELE 00752/2026</t>
  </si>
  <si>
    <t>190-17512636</t>
  </si>
  <si>
    <t>ETO-TELE 00781/2026</t>
  </si>
  <si>
    <t>Religador 7956903122, dj desarmando, equipe fecha o dj em seguida perde novamente.</t>
  </si>
  <si>
    <t>ETO-TELE  000469/2026</t>
  </si>
  <si>
    <t>ETO-TELE 00406/2026</t>
  </si>
  <si>
    <t>RL 7900297152 feito primeiro ataque pela equipe 152OP01 em contato com o Benvindo, porém não voltou a comunicação.</t>
  </si>
  <si>
    <t>ETO-TELE  000463/2026</t>
  </si>
  <si>
    <t>ETO-TELE 00679/2026</t>
  </si>
  <si>
    <t>190-29912091</t>
  </si>
  <si>
    <t>ETO-TELEGU  000207/2026</t>
  </si>
  <si>
    <t>ETO-TELE 00991/2026</t>
  </si>
  <si>
    <t>Fazer medição de aterramento - Criticidade: muito akta - Alimentador: LD POV BIELANDIA A CAMPOS LINDOS</t>
  </si>
  <si>
    <t>190-30990189</t>
  </si>
  <si>
    <t>ETO-TELEAR  000135/2026</t>
  </si>
  <si>
    <t>ETO-TELE 00498/2026</t>
  </si>
  <si>
    <t>PARECER DMSL: *FEEDBACK EQUIP. ESPECIAIS*
*Nº DO EQUIPAMENTO:* 5800291077
*DATA DA MANUTENÇÃO:* 07/04/2026
*SID:* 1709/2026
*DESCRIÇÃO:* Realizado ensaios nas células do banco 5800291077, identificado fase B em curto
*FICOU EM OPERAÇÃO?:* Não
*PENDÊNCIA:* SIM
*EQUIPE:* Adeilton e Edicleber
Realizar substituição da célula da fase B
Em curto.
_____________________________________________________________
Segue SS para enviar equipe do DMSL para no regulador de tensão 5800291077.
O mesmo ficou bay passado devido esta com defeito e causar desarme na LD e penalizar a RDU de Goiatins.
Por gentileza enviar equipe urgente.</t>
  </si>
  <si>
    <t>190-49492686</t>
  </si>
  <si>
    <t>ETO-TELE 00135/2026</t>
  </si>
  <si>
    <t>Religador sem comunicação, foi feito primeiro ataque e identificado curco circuito interno, DJ de proteção desligado. Necessita URGENCIA devido ser trasnferencia da cidade de Bela Vista</t>
  </si>
  <si>
    <t>LD02076103</t>
  </si>
  <si>
    <t>190-17413151</t>
  </si>
  <si>
    <t>ETO-TELE  000040/2026</t>
  </si>
  <si>
    <t>SAO MIGUEL DO TOCANTINS</t>
  </si>
  <si>
    <t>ETO-TELE 00726/2026</t>
  </si>
  <si>
    <t>190-17512705</t>
  </si>
  <si>
    <t>ETO-TELEPA  000419/2026</t>
  </si>
  <si>
    <t>ETO-TELE 00343/2026</t>
  </si>
  <si>
    <t>Senhores, segue para conhecimento rl 7908475122 feito primeiro ataque o mesmo não retornou a comunicação , favor verificar.</t>
  </si>
  <si>
    <t>190-17337298</t>
  </si>
  <si>
    <t>ETO-TELEPA  000132/2026</t>
  </si>
  <si>
    <t>ETO-TELE 00484/2026</t>
  </si>
  <si>
    <t>ETO-TELE 01011/2026</t>
  </si>
  <si>
    <t>Olá, solicito ajuste no RL:
Ponto 19 (Freq): Ajustar ponto conforme o ajuste informado anteriormente, ponto de Frequência flutuando.</t>
  </si>
  <si>
    <t>ETO-TELEGU  000265/2026</t>
  </si>
  <si>
    <t>ETO-TELE 00097/2026</t>
  </si>
  <si>
    <t>190-17512738</t>
  </si>
  <si>
    <t>ETO-TELE  000010/2026</t>
  </si>
  <si>
    <t>ETO-TELE 00437/2026</t>
  </si>
  <si>
    <t>RL 7919145007 sem comunicação feito primeiro ataque sem sucesso.</t>
  </si>
  <si>
    <t>190-17512701</t>
  </si>
  <si>
    <t>ETO-TELE 00440/2026</t>
  </si>
  <si>
    <t>190-17512931</t>
  </si>
  <si>
    <t>ETO-TELEPA  000353/2026</t>
  </si>
  <si>
    <t>ETO-TELE 01044/2026</t>
  </si>
  <si>
    <t>Informo que,  o painel do Religador 7900785033 não está recebendo comando remotos 79 e Neutro do COI. Equipe de campo 009op39 esteve no local, fez o reset manual e não foi restabecidos os comandos remotos.</t>
  </si>
  <si>
    <t>190-17403223</t>
  </si>
  <si>
    <t>ETO-TELEAR  000154/2026</t>
  </si>
  <si>
    <t>ETO-TELE 01046/2026</t>
  </si>
  <si>
    <t>NOTA ABERTA PARA COMISSIONAR RELIGADOR 7928466004 E COLOCA-LÓ EM OPERAÇÃO.</t>
  </si>
  <si>
    <t>190-17409804</t>
  </si>
  <si>
    <t>ROGERIO TEODORO DE OLIVEIRA</t>
  </si>
  <si>
    <t>ETO-TELE  000636/2026</t>
  </si>
  <si>
    <t>ETO-TELEGU  000306/2026</t>
  </si>
  <si>
    <t>ETO-TELE 00152/2026</t>
  </si>
  <si>
    <t>190-17338367</t>
  </si>
  <si>
    <t>ETO-TELE 01083/2026</t>
  </si>
  <si>
    <t>190-48428079</t>
  </si>
  <si>
    <t>ETO-TELEGU  000299/2026</t>
  </si>
  <si>
    <t>ETO-TELE 00575/2026</t>
  </si>
  <si>
    <t>AL03040004</t>
  </si>
  <si>
    <t>190-17421708</t>
  </si>
  <si>
    <t>ETO-TELE  000388/2026</t>
  </si>
  <si>
    <t>ETO-TELE 00744/2026</t>
  </si>
  <si>
    <t>190-17512747</t>
  </si>
  <si>
    <t>ETO-TELEPA  000505/2026</t>
  </si>
  <si>
    <t>ETO-TELE 01495/2025</t>
  </si>
  <si>
    <t>PARECER DMSL: Serviço Executado: Foi feito análise técnica, testes funcionais e identificado que a parte ativa do equipamento está com defeito. Necessário substituir a parte ativa.
FICOU EM OPERAÇÃO? Não- EQUIPE: Carliel e Benvindo
Segue SS para verificaçao Rl esta danificado dando passagem de tensão mesmo aberto Sim, quando retornar trazer uma fonte pois a mesma foi removida.</t>
  </si>
  <si>
    <t>190-17407509</t>
  </si>
  <si>
    <t>BUCHAS DE PASSAGEM</t>
  </si>
  <si>
    <t>ETO-TELE 00649/2026</t>
  </si>
  <si>
    <t>190-17514260</t>
  </si>
  <si>
    <t>ETO-TELEGU  000108/2026</t>
  </si>
  <si>
    <t>ETO-TELE 00850/2026</t>
  </si>
  <si>
    <t>PARECER DMSL: Chamado de Desenvolvimento 30537443 criado. Favor, programar comissionamento a partir do dia 20/05/2026. POLO GUARAÍ.
-------------------------------------------------------------------
PARCER DA PROTEÇÃO:
Ajustes do RL realizados. Planilha em anexo para prosseguir com o comissionamento.
Estagiário Rafael P Marques.
***************************
RELIGADOR  N° 7954395015 INSTALADO NA OBRA  0702400695 GENTILEZA, REALIZAR O COMISSIONAMENTO.
LAUDO EM ANEXO.
COORD EO: 832950, 8970817</t>
  </si>
  <si>
    <t>190-59237179</t>
  </si>
  <si>
    <t>ETO-TELE  000587/2026</t>
  </si>
  <si>
    <t>ETO-PROT 00088/2026</t>
  </si>
  <si>
    <t>ETO-TELE 00283/2026</t>
  </si>
  <si>
    <t>Substituir para raios estourados do e cedula fase B do regulador de tensão 5800291077 o mesmo está com vazamento de óleo e  danificada (fase b)</t>
  </si>
  <si>
    <t>190-30990187</t>
  </si>
  <si>
    <t>PÁRA-RAIOS</t>
  </si>
  <si>
    <t>ETO-TELE 00567/2026</t>
  </si>
  <si>
    <t>190-30255616</t>
  </si>
  <si>
    <t>ETO-TELE  000429/2026</t>
  </si>
  <si>
    <t>ETO-TELE 00568/2026</t>
  </si>
  <si>
    <t>190-17513164</t>
  </si>
  <si>
    <t>ETO-TELE  000481/2026</t>
  </si>
  <si>
    <t>ETO-TELE 00699/2026</t>
  </si>
  <si>
    <t>190-17513747</t>
  </si>
  <si>
    <t>ETO-TELE 00958/2026</t>
  </si>
  <si>
    <t>PARECER COEP: Equipamento em operaçãpo no SCADA
PARECER DMSL: Após testes, foi constatado que o RT  5850308009 encontra-se com controle danificado, sendo necessária substituição do mesmo.
Regulador de tensão 5850308009 quando esta em Automatico esta deixa um fase muito baixa. foi deixado uma fase Manual e transferida parte do alimentaor.</t>
  </si>
  <si>
    <t>AL01038009</t>
  </si>
  <si>
    <t>190-72598729</t>
  </si>
  <si>
    <t>ETO-TELE 00913/2025</t>
  </si>
  <si>
    <t>ETO-TELE 00225/2026</t>
  </si>
  <si>
    <t>Religador sem comunicação, apos contato com dmsl foi indetificado possive defeito radio.</t>
  </si>
  <si>
    <t>190-17403364</t>
  </si>
  <si>
    <t>ETO-TELE  000327/2026</t>
  </si>
  <si>
    <t>BURITI DO TOCANTINS</t>
  </si>
  <si>
    <t>ETO-TELE 00741/2026</t>
  </si>
  <si>
    <t>190-17439837</t>
  </si>
  <si>
    <t>ETO-TELE 00900/2026</t>
  </si>
  <si>
    <t>AL01005098</t>
  </si>
  <si>
    <t>190-17421498</t>
  </si>
  <si>
    <t>ETO-TELE  000600/2026</t>
  </si>
  <si>
    <t>ETO-TELE 00157/2026</t>
  </si>
  <si>
    <t>190-17512877</t>
  </si>
  <si>
    <t>ETO-TELE 00248/2026</t>
  </si>
  <si>
    <t>PARECER DMSL :
Chamado de desenvolvimento 30475923 criado. Favor, programar comissionamento a partir do dia 09/02/2026. POLODNO
PARECER DA PROTEÇÃO:
ANEXADO OS DADOS TÉCNICOS PARA ABERTURA DOS CHAMADOS JUNTO AO TIME SCADA, POSTERIOR PARA COMISSIONAMENTO DO TIME DO DMSL.
ENG° IRLLEY CASTELO BRANCO.
RELIGADOR N° 7963997027 INSTALADO NA OBRA 0502400300 GENTILEZA, REALIZAR O COMISSIONAMENTO.
LAUDO EM ANEXO.
COORD EO: 990411, 8671840</t>
  </si>
  <si>
    <t>190-58432612</t>
  </si>
  <si>
    <t>ETO-TELEGU  000041/2026</t>
  </si>
  <si>
    <t>ETO-PROT 00032/2026</t>
  </si>
  <si>
    <t>ETO-TELE 00459/2026</t>
  </si>
  <si>
    <t>190-17513250</t>
  </si>
  <si>
    <t>ETO-TELEAR  000082/2026</t>
  </si>
  <si>
    <t>AGUIARNOPOLIS</t>
  </si>
  <si>
    <t>ETO-TELE 00495/2026</t>
  </si>
  <si>
    <t>ETO-TELEGU  000130/2026</t>
  </si>
  <si>
    <t>ETO-TELE 00531/2026</t>
  </si>
  <si>
    <t>AL04103004</t>
  </si>
  <si>
    <t>190-28872930</t>
  </si>
  <si>
    <t>ETO-TELE  000472/2026</t>
  </si>
  <si>
    <t>ETO-TELE 00826/2026</t>
  </si>
  <si>
    <t>RELIGADOR COM DEFEITO NO RELÉ COM DEFEITO FICA REINICIANDO</t>
  </si>
  <si>
    <t>190-17512671</t>
  </si>
  <si>
    <t>ETO-TELE 00357/2026</t>
  </si>
  <si>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</si>
  <si>
    <t>190-31222236</t>
  </si>
  <si>
    <t>ETO-PROT 00158/2025</t>
  </si>
  <si>
    <t>ETO-TELE 00139/2026</t>
  </si>
  <si>
    <t>SEGUE SS PARA REGULARIZAR COMUNICAÇÃO DO RELIGADOR 7936769005 RAMAL DO CALUNGA DO MIMOSO - FOI EXECUTADO PRIMEIRO ATAQUE E IDENTIFICADO CURTO INTERNO IMPEDINDO REARME DO DISJUNTOR CA DO PAINEL.</t>
  </si>
  <si>
    <t>190-17407648</t>
  </si>
  <si>
    <t>ETO-TELEGU  000047/2026</t>
  </si>
  <si>
    <t>ETO-TELE 00265/2026</t>
  </si>
  <si>
    <t>nota para RT 5800765149 COM 2 placa eletronica apagada O MESMO FICOU BY-PASSADO EM CAMPO</t>
  </si>
  <si>
    <t>190-30283733</t>
  </si>
  <si>
    <t>ETO-TELEPA  000141/2026</t>
  </si>
  <si>
    <t>ETO-TELE 00442/2026</t>
  </si>
  <si>
    <t>190-17512725</t>
  </si>
  <si>
    <t>ETO-TELE  000629/2026</t>
  </si>
  <si>
    <t>ETO-TELE 00783/2026</t>
  </si>
  <si>
    <t>RELIGADOR 7930039122 RDU PALMAS COM MEDIÇÕES DE CORRENTE DIVERGENTE DO REAL. FAVOR VERIFICAR/CORRIGIR.</t>
  </si>
  <si>
    <t>ETO-TELEPA  000350/2026</t>
  </si>
  <si>
    <t>ETO-TELE 00096/2026</t>
  </si>
  <si>
    <t>ETO-TELE  000033/2026</t>
  </si>
  <si>
    <t>FEITO PRIMEIRO ATAQUE E RELIGADOR 7934697002, NÃO REALIZA COMANDOS. FOI BY PASSADO.
PROVIDENCIAR MANUTENÇÃO.</t>
  </si>
  <si>
    <t>190-17338879</t>
  </si>
  <si>
    <t>ETO-TELE  000626/2026</t>
  </si>
  <si>
    <t>190-17338030</t>
  </si>
  <si>
    <t>ETO-TELEGU  000272/2026</t>
  </si>
  <si>
    <t>REPROGRAMADA</t>
  </si>
  <si>
    <t>ETO-TELE 00188/2026</t>
  </si>
  <si>
    <t>PARECER DMSL :
Chamado de desenvolvimento 30465639 criado. Favor, programar comissionamento a partir do dia 22/01/2026. POLODNO
PARECER DA PROTEÇÃO:
COMISSIONAR RL 7964815091 LD ALMAS A PINDORAMA. NECESSARIO CONFERIR MEDIÇÕES DA MALHA DE ATERRAMENTO ANTES DE INSERIR O ATIVO NO SISTEMA.
AJUSTES DISPONIVEIS NO APP DA PROTEÇÃO.
------------------------------------------------------------------------------------------------------------
RELIGADOR N° 7964815091 INSTALADO NA OBRA 0502400521 GENTILEZA, REALIZAR O COMISSIONAMENTO.
LAUDO EM ANEXO.
COORD EO: 920204, 8740374</t>
  </si>
  <si>
    <t>190-42047302</t>
  </si>
  <si>
    <t>ETO-TELEGU  000266/2026</t>
  </si>
  <si>
    <t>ETO-PROT 00344/2025</t>
  </si>
  <si>
    <t>ETO-TELE 00387/2026</t>
  </si>
  <si>
    <t>SEGUE SS DE RELIGADOR COM CURTO INTERNO, EQUIPE RELATOU QUE DJUNTOR INTERNO NÃO ACEITA. OS 99 107185217</t>
  </si>
  <si>
    <t>ETO-TELEGU  000055/2026</t>
  </si>
  <si>
    <t>ETO-TELE 00836/2026</t>
  </si>
  <si>
    <t>favor veriifcar religador 7929763027 foi feito primeiro ataque voltaou a comunicar logo depois perdeu a comunicação novamente.atende rdu de ponte alta do abom jesus.</t>
  </si>
  <si>
    <t>ETO-TELEGU  000225/2026</t>
  </si>
  <si>
    <t>ETO-TELE 00186/2026</t>
  </si>
  <si>
    <t>PARECER DMSL:
Chamado de desenvolvimento 30465610 criado. Favor, programar comissionamento a partir do dia 22/01/2026. POLODNO
PARECER DA PROTEÇÃO:
COMISSIONAR RL 7963508027 LD SERRA GERAIS A TAGUATINGA. NECESSARIO A CONFERIR MEDIÇÕES DA MALHA DE ATERRAMENTO ANTES DE INSERIR ATIVO NO SISTEMA.
AJSUTES DISPONIVIEIS NO APP DA PROTEÇÃO.
-----------------------------------------------------------------------------------------------------------
RELIGADOR N° 7963508027 INSTALADO NA OBRA 0502400543 GENTILEZA, REALIZAR O COMISSIONAMENTO.
LAUDO EM ANEXO.
COORD EO: 991088, 8659515</t>
  </si>
  <si>
    <t>190-36320605</t>
  </si>
  <si>
    <t>ETO-TELEGU  000049/2026</t>
  </si>
  <si>
    <t>ETO-PROT 00382/2025</t>
  </si>
  <si>
    <t>ETO-TELE 00274/2026</t>
  </si>
  <si>
    <t>Senhores, rl 7900259096 os 106331046 e 7900451096 os 106331060 quando falta CA perde comunicaçao, e rl 7900451096  mesmo com CA fica mais sem comuniçaçao. favor verificar  a bateria dos mesmo ja foi substituida
 obs , cidede esta sendo afetada devido  nao coseeguir tranferir remotamente</t>
  </si>
  <si>
    <t>190-17412692</t>
  </si>
  <si>
    <t>ETO-TELEPA  000088/2026</t>
  </si>
  <si>
    <t>ETO-TELE 01004/2026</t>
  </si>
  <si>
    <t>PARECER DMSL 16/07: Nota solicitada ao DMSL com a informação de que o tanque precisa ser substituído. Estou encaminhando a nota para a área responsável.
Segue nota para envia manutenção substituir tanque do RL-7923927122 em curto, Anomalia identificada desarme das LD, s Palmas / Aparecida e Palmas Taquaruçu, Acesso livre, Tensão 34,5kv, Local RL de Interligação entre 424R / 414R.</t>
  </si>
  <si>
    <t>190-17403330</t>
  </si>
  <si>
    <t>DOLP-RD-PA 00602/2025</t>
  </si>
  <si>
    <t>PARECER DA PROTEÇÃO:
FAVOR COMISSIONAR RELIGADOR. AJUSTES PERMANECEM OS MESMOS E DISPONÍVEIS NO APP DA PROTEÇÃO.
Estagiário Rafael P Marques.
******************
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
***** Parecer do COCM CENTRO*****
Equipamento Substituido em campo pela Ordem de ServiÇO DLP-MPPA01 243/2026, ONDE OS RELATORIO ESTÃO ANEXADO.
--------------------------------------------------------
Parecer DMSL:
Equipamento substituído porém não informado se antena também foi substituída. Levar antena para caso da mesmo não ter sido substituída.</t>
  </si>
  <si>
    <t>190-17408268</t>
  </si>
  <si>
    <t>ETO-TELEPA  000492/2026</t>
  </si>
  <si>
    <t>ETO-TELE 01190/2025</t>
  </si>
  <si>
    <t>ETO-TELE 00149/2026</t>
  </si>
  <si>
    <t>190-17512758</t>
  </si>
  <si>
    <t>ETO-TELE 00516/2026</t>
  </si>
  <si>
    <t>190-17421122</t>
  </si>
  <si>
    <t>ETO-TELEAR  000047/2026</t>
  </si>
  <si>
    <t>ETO-TELE 00996/2026</t>
  </si>
  <si>
    <t>Fazer Medição de Aterramento - Criticidade: Alto - Alimentador: LD UHE ISAMU A PONTE ALTA</t>
  </si>
  <si>
    <t>ETO-TELEPA  000118/2026</t>
  </si>
  <si>
    <t>ETO-TELE 00930/2026</t>
  </si>
  <si>
    <t>FEITO O PRIMEIRO ATAQUE NO RL 7900510045 E O MESMO NÃO RETORNOU A COMUNICAR. PROVIDENCIAR A MANUTENÇÃO DO MESMO</t>
  </si>
  <si>
    <t>190-17403363</t>
  </si>
  <si>
    <t>ETO-TELEAR  000117/2026</t>
  </si>
  <si>
    <t>ETO-TELE 01064/2026</t>
  </si>
  <si>
    <t>ETO-TELE 00485/2026</t>
  </si>
  <si>
    <t>ETO-TELEGU  000089/2026</t>
  </si>
  <si>
    <t>ETO-TELE 00835/2026</t>
  </si>
  <si>
    <t>REALIZADO PRIMEIRO ATAQUE O MESMO RETORNOU A FICAR SEM COMUNICAÇÃO, EQUIPE RELATA QUE NÃO ESTA CHEGANDO TENSÃO NO PAINEL, PROVAVEL FALTA DE NEUTRO DENTRO DO COMANDO.</t>
  </si>
  <si>
    <t>190-24317138</t>
  </si>
  <si>
    <t>ETO-TELE  000590/2026</t>
  </si>
  <si>
    <t>ETO-TELE 00763/2026</t>
  </si>
  <si>
    <t>Segue nota para normalizar regulador de tensão N: 5855165193- Rural - Campos lindos .
equipamento não está comutando corretamente , não está aceitando comandos remotamente nem manualmente .
Favor solicitar equipe para realizar medição aterramento . </t>
  </si>
  <si>
    <t>190-34373560</t>
  </si>
  <si>
    <t>ETO-TELEAR  000066/2026</t>
  </si>
  <si>
    <t>ETO-TELE 00052/2026</t>
  </si>
  <si>
    <t>190-24171451</t>
  </si>
  <si>
    <t>ETO-TELEPA  000041/2026</t>
  </si>
  <si>
    <t>ETO-TELE 00816/2026</t>
  </si>
  <si>
    <t>PARECER DMSL: Serviço Executado: foi feita a migração de orbicon, para telespazio  realizado a instalação antena, foi realizado o apontamento da antena, foi feito o comissionamento, atualizada a base juntamente com  com escada
Equipamento ficou em operação? não , FAVOR VERIFICAR AS CHAVES FACAS
Pendência: Sim fazer manutenção nas chaves facas que não estão fechando Bateria(s) Substituída(s): Não
Data Fabricação/Instalação da(s) bateria(s):
Equipe: Carliel João Vitor Fernando e Elson
--------------------------------------------------------
Alterar meio de comunicação de Orbicomm para antena telespazio.
PARECER DCMD: todas as chaves já foram conferidas e manutencionadas.</t>
  </si>
  <si>
    <t>ETO-TELEPA  000306/2026</t>
  </si>
  <si>
    <t>Segue nota para verificar falha de comunicação no religador 7900451096 - Rural -  Pindorama  .
Equipamento perde a comunicação quando falta CA !</t>
  </si>
  <si>
    <t>190-17512766</t>
  </si>
  <si>
    <t>ETO-TELEPA  000486/2026</t>
  </si>
  <si>
    <t>ETO-TELE 00092/2026</t>
  </si>
  <si>
    <t>ETO-TELE 00994/2026</t>
  </si>
  <si>
    <t>Fazer medição de aterramento - Criticidade: Muito alta - Alimentador: LD PEDRO AFONSO  A SANTA.MARIA</t>
  </si>
  <si>
    <t>190-28576779</t>
  </si>
  <si>
    <t>ETO-TELEAR  000127/2026</t>
  </si>
  <si>
    <t>ETO-TELE 00017/2026</t>
  </si>
  <si>
    <t>190-17512777</t>
  </si>
  <si>
    <t>ETO-TELE  000619/2026</t>
  </si>
  <si>
    <t>ETO-TELE 00076/2026</t>
  </si>
  <si>
    <t>190-17419968</t>
  </si>
  <si>
    <t>ETO-TELEPA  000043/2026</t>
  </si>
  <si>
    <t>ETO-TELE 00846/2026</t>
  </si>
  <si>
    <t>190-38169443</t>
  </si>
  <si>
    <t>ETO-TELE  000588/2026</t>
  </si>
  <si>
    <t>ETO-TELECOM 00014/2026</t>
  </si>
  <si>
    <t>ETO-TELE 01022/2026</t>
  </si>
  <si>
    <t>Regulado de tensão Fase 2 (B), no tap 16 esta chegando 20kv e do lado carga estas reduzindo a tensão. quando  reduz o tap a tensão fica mais baixa.</t>
  </si>
  <si>
    <t>190-37271950</t>
  </si>
  <si>
    <t>ETO-TELE  000649/2026</t>
  </si>
  <si>
    <t>BARRA DO OURO</t>
  </si>
  <si>
    <t>ETO-TELE 00873/2026</t>
  </si>
  <si>
    <t>realizar verificaçao de proteçoes - antiga ss 858/2026</t>
  </si>
  <si>
    <t>ETO-TELE 00555/2026</t>
  </si>
  <si>
    <t>190-17512649</t>
  </si>
  <si>
    <t>ETO-TELE  000485/2026</t>
  </si>
  <si>
    <t>ETO-TELE 00658/2026</t>
  </si>
  <si>
    <t>190-17512835</t>
  </si>
  <si>
    <t>ETO-TELEGU  000155/2026</t>
  </si>
  <si>
    <t>ETO-TELE 01003/2026</t>
  </si>
  <si>
    <t>13/07/2026 PARECER COEP: NÃO FAZ SENTIDO FAZER A TROCA DE EQUIPAMENTO COMPLETO APENAS POR CAUSA DA FASE B , QUE PARECE SER UM ERRO DE CALIBRAÇÃO.
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
PARECER DMSL(22/07/26): O religador está fora de operação desde 11/2025. Necessitando substituição completa em função do defeito de leitura de corrente da fase B. Preservar apenas o radio e antena.</t>
  </si>
  <si>
    <t>ETO-COEP 00136/2026</t>
  </si>
  <si>
    <t>ETO-TELE 00068/2026</t>
  </si>
  <si>
    <t>190-17512708</t>
  </si>
  <si>
    <t>ETO-TELEPA  000113/2026</t>
  </si>
  <si>
    <t>ETO-TELE 00891/2026</t>
  </si>
  <si>
    <t>Segue nota para envia equipe verificar e corrigir RL-7900648055 chegada de Araguacema, Na ocorrência de Int-20264481974144 equipamento não fechou remoto e nem local, constatado equipamento com HOT LINE ligado, não conseguimos desligar de forma alguma.</t>
  </si>
  <si>
    <t>190-17512887</t>
  </si>
  <si>
    <t>ETO-TELEPA  000289/2026</t>
  </si>
  <si>
    <t>ETO-TELE 00023/2026</t>
  </si>
  <si>
    <t>ETO-TELE 00074/2026</t>
  </si>
  <si>
    <t>190-17421714</t>
  </si>
  <si>
    <t>ETO-TELE  000412/2026</t>
  </si>
  <si>
    <t>ETO-TELE 00187/2026</t>
  </si>
  <si>
    <t>PARECER DMSL :
Chamado de desenvolvimento 30465626 criado. Favor, programar comissionamento a partir do dia 22/01/2026. POLODNO
PARECER DA PROTEÇÃO:
COMISSIONAR RL 7963521038 LD SERRA GERAIS A TAGUATINGA. CONFERIR MEDIÇÕES DA MALHA DE ATERRAMENTO ANTES DE INSERIR O ATIVO NO SISTEMA. AJUSTES DISPONIVEIS NO APP DA PROTEÇÃO.
------------------------------------------------------------------------------------------------------------
RELIGADOR N° 7963521038 INSTALADO NA OBRA 0502400532 GENTILEZA, REALIZAR O COMISSIONAMENTO.
LAUDO EM ANEXO.
COORD EO: 986102, 8634570</t>
  </si>
  <si>
    <t>190-40956555</t>
  </si>
  <si>
    <t>ETO-TELEGU  000048/2026</t>
  </si>
  <si>
    <t>ETO-PROT 00383/2025</t>
  </si>
  <si>
    <t>ETO-TELE 00698/2026</t>
  </si>
  <si>
    <t>190-61034922</t>
  </si>
  <si>
    <t>ETO-TELE 00823/2026</t>
  </si>
  <si>
    <t>Religador perde a comunicação quando falta C.A</t>
  </si>
  <si>
    <t>190-17412835</t>
  </si>
  <si>
    <t>ETO-TELEPA  000307/2026</t>
  </si>
  <si>
    <t>ETO-TELEPA  000494/2026</t>
  </si>
  <si>
    <t>ETO-TELE 01010/2026</t>
  </si>
  <si>
    <t>Olá, solicito ajustes no RL:
Ponto 0 (Corrente Fase A): Ajustar para 5A;
Ponto 1 (Corrente Fase B): Ajustar para 5A;
Ponto 2 (Corrente Fase C): Ajustar para 5A;
Ajustar a temporização do Keep Alive para 172800s.</t>
  </si>
  <si>
    <t>190-17421261</t>
  </si>
  <si>
    <t>ETO-TELEGU  000263/2026</t>
  </si>
  <si>
    <t>ETO-TELE 01068/2026</t>
  </si>
  <si>
    <t>AL01052028</t>
  </si>
  <si>
    <t>190-17421357</t>
  </si>
  <si>
    <t>ETO-TELE 00608/2026</t>
  </si>
  <si>
    <t>Senhores, segue para conhecimento RL 7926080073  painel de comando em curto, favor verifica.</t>
  </si>
  <si>
    <t>190-17513068</t>
  </si>
  <si>
    <t>ETO-TELEPA  000221/2026</t>
  </si>
  <si>
    <t>ETO-TELE 00827/2026</t>
  </si>
  <si>
    <t>SEGUE SOLICITAÇÃO DE SERVIÇO PARA VERIFICAÇÃO DE EQUIPAMENTO SEM COMUNICAÇÃO A EQUIPE DEOP 036OP01ALVORADA FEZ PRIMEIRO ATAQUE COM DMSL POREM EQUIPAMENTO NÃO VOLTOU A COMUNICAÇÃO</t>
  </si>
  <si>
    <t>190-59141269</t>
  </si>
  <si>
    <t>ETO-TELEGU  000131/2026</t>
  </si>
  <si>
    <t>ETO-TELE 00388/2026</t>
  </si>
  <si>
    <t>190-17409741</t>
  </si>
  <si>
    <t>ETO-TELE  000374/2026</t>
  </si>
  <si>
    <t>ETO-TELE 00722/2026</t>
  </si>
  <si>
    <t>ETO-TELE 00753/2026</t>
  </si>
  <si>
    <t>190-39672292</t>
  </si>
  <si>
    <t>ETO-TELE 00794/2026</t>
  </si>
  <si>
    <t>AL01069026</t>
  </si>
  <si>
    <t>190-17421742</t>
  </si>
  <si>
    <t>ETO-TELE  000608/2026</t>
  </si>
  <si>
    <t>ETO-TELE 00273/2026</t>
  </si>
  <si>
    <t>190-17412691</t>
  </si>
  <si>
    <t>ETO-TELEPA  000087/2026</t>
  </si>
  <si>
    <t>ETO-TELE 00277/2026</t>
  </si>
  <si>
    <t>FAVOR ENVIAR EQUIPE PARA VERIFICAR CURTO NO DJ DE ALIMENTAÇÃO</t>
  </si>
  <si>
    <t>ETO-TELE  000358/2026</t>
  </si>
  <si>
    <t>ETO-TELE 00606/2026</t>
  </si>
  <si>
    <t>Rl sem comunicação feito primeiuro ataque sem sucesso os 107671292</t>
  </si>
  <si>
    <t>ETO-TELE  000401/2026</t>
  </si>
  <si>
    <t>ETO-TELE 00989/2026</t>
  </si>
  <si>
    <t>Fazer medição de aterramento - Criticidade: muito alto - Alimentador: AL 02 SE LUZIMANGUES INDUSTRIAL</t>
  </si>
  <si>
    <t>190-30272750</t>
  </si>
  <si>
    <t>ETO-TELEPA  000480/2026</t>
  </si>
  <si>
    <t>ETO-TELE 00109/2026</t>
  </si>
  <si>
    <t>190-17512921</t>
  </si>
  <si>
    <t>ETO-TELE  000034/2026</t>
  </si>
  <si>
    <t>ETO-TELE 00444/2026</t>
  </si>
  <si>
    <t>190-17513174</t>
  </si>
  <si>
    <t>ETO-TELEPA  000366/2026</t>
  </si>
  <si>
    <t>ETO-TELE 00704/2026</t>
  </si>
  <si>
    <t>190-17512702</t>
  </si>
  <si>
    <t>ETO-TELEPA  000388/2026</t>
  </si>
  <si>
    <t>ETO-TELE 00925/2026</t>
  </si>
  <si>
    <t>PARECER DA PROTEÇÃO: Favor comissionar Religador. Topologia permanece a mesma. Já existente no SCADA, passou de COOPER para NOJA. Ajustes disponíveis no APP da Proteção.
Estagiário Rafael P Marques.
___________________________
RELIGADOR OBRA: 0102501243 
CODIGO TOPOLOGIA: 7908683122
COORDENADAS: 795115,8875807
Por gentileza realizar o comissionamento.
Laudo em anexo.</t>
  </si>
  <si>
    <t>190-17409427</t>
  </si>
  <si>
    <t>ETO-TELEPA  000375/2026</t>
  </si>
  <si>
    <t>ETO-PROT 00103/2026</t>
  </si>
  <si>
    <t>ETO-TELE 00332/2026</t>
  </si>
  <si>
    <t>PARECER DA PROTEÇÃO:
FAVOR COMISSIONAR REGULADOR REGULADOR 5863384078 – LD Itacajá a Santa Maria – 34,5kV.
AJUSTE REALIZADO, DISPONÍVEL NO APP DA PROTEÇÃO.
*****************
 N°5863384078 INSTALADO NA OBRA 0702400715 GENTILEZA, REALIZAR O COMISSIONAMENTO.
LAUDO EM ANEXO.
COORD EO: 856795, 9050209</t>
  </si>
  <si>
    <t>190-41579234</t>
  </si>
  <si>
    <t>ETO-PROT 00040/2026</t>
  </si>
  <si>
    <t>ETO-TELE 00638/2026</t>
  </si>
  <si>
    <t>190-17419971</t>
  </si>
  <si>
    <t>ETO-TELEGU  000093/2026</t>
  </si>
  <si>
    <t>ETO-TELE 00016/2026</t>
  </si>
  <si>
    <t>ETO-TELEPA  000394/2026</t>
  </si>
  <si>
    <t>ETO-TELE 00581/2026</t>
  </si>
  <si>
    <t>190-17421592</t>
  </si>
  <si>
    <t>ETO-TELE  000434/2026</t>
  </si>
  <si>
    <t>ETO-TELE 00981/2026</t>
  </si>
  <si>
    <t>ATUALIZAR AJUSTES DO RL 7900385081 AL 02 SE ITGUATINS.
AJUSTES DISPONIVEIS NO APP DA PROTEÇÃO
Ajuste enviado anteriormente tá incorreto.</t>
  </si>
  <si>
    <t>190-58922291</t>
  </si>
  <si>
    <t>ETO-TELE  000630/2026</t>
  </si>
  <si>
    <t>ETO-TELE 00209/2026</t>
  </si>
  <si>
    <t>Segue nota para verificar atuação simultanea do alimentador 6 da SE Palmas II.
Atuação do RL 7908715122 e Atuação indevida do RL 2264R AL 6 de Palmas II
Int: 20253391032627</t>
  </si>
  <si>
    <t>190-17419849</t>
  </si>
  <si>
    <t>ETO-TELE  000511/2026</t>
  </si>
  <si>
    <t>ETO-PROT 00019/2025</t>
  </si>
  <si>
    <t>ETO-TELE 00902/2026</t>
  </si>
  <si>
    <t>ETO-TELE 00078/2026</t>
  </si>
  <si>
    <t>ETO-TELE 00405/2026</t>
  </si>
  <si>
    <t>PARECER DA PROTEÇÃO:
Repassando para o posto ETO-TELE para realzar as verificações de comunicação e estado do equip.
Estagiário Rafael P Marques
*****************************
 de segue ss para verificaçao de proteçao do religador 7929763027 o memo veio a abrir , com defeito a jusante do trip saver 4000019027.
o mesmo penalizando a rdu de ponte alta do bom jesus</t>
  </si>
  <si>
    <t>ETO-TELEGU  000070/2026</t>
  </si>
  <si>
    <t>ETO-PROT 00058/2026</t>
  </si>
  <si>
    <t>ETO-TELE 00812/2026</t>
  </si>
  <si>
    <t>190-15787912</t>
  </si>
  <si>
    <t>ETO-TELE 00831/2026</t>
  </si>
  <si>
    <t>Segue nota para normalizar regulador de tensão N: 5849892032 - Rural - Araguaçu .
equipamento não está comutando corretamente , está diminuindo muito o nível de tensão , não está trabalhando corretamente na faixa ajuste !
OBS: solicitar equipe para realizar medição aterramento ,  e verificar ajuste junto ao time proteção . </t>
  </si>
  <si>
    <t>190-31814614</t>
  </si>
  <si>
    <t>ETO-TELEGU  000133/2026</t>
  </si>
  <si>
    <t>ETO-TELE 00761/2026</t>
  </si>
  <si>
    <t>190-17421506</t>
  </si>
  <si>
    <t>ETO-TELE 00944/2026</t>
  </si>
  <si>
    <t>190-47912484</t>
  </si>
  <si>
    <t>ETO-TELE 00553/2026</t>
  </si>
  <si>
    <t>190-17421612</t>
  </si>
  <si>
    <t>ETO-TELE  000576/2026</t>
  </si>
  <si>
    <t>ETO-TELE 00904/2026</t>
  </si>
  <si>
    <t>190-17421471</t>
  </si>
  <si>
    <t>ETO-TELEGU  000228/2026</t>
  </si>
  <si>
    <t>ETO-TELE 00859/2026</t>
  </si>
  <si>
    <t>VERIFICAR SELETIVIDADE DO RELIGADOR 7928565039 E DJ 424R, QUANDO TEM DEFEITO A FRENTE DO RELIGADOR O MESMO NÃO ABRE TIRANDO O DJ.
PARECER DA PROTEÇÃO:
DMSL DEVERÁ REALIZAR TESTE FUNCIONAL PARA VERIFICAR SE O RELE ESTA LENDO AS CORRENTES CORETAS E SE ESTA ABRINDO POR PROTEÇÃO.
ENGº IRLLEY CASTELO BRANCO</t>
  </si>
  <si>
    <t>190-17407443</t>
  </si>
  <si>
    <t>ETO-TELE  000633/2026</t>
  </si>
  <si>
    <t>ETO-PROT 00473/2024</t>
  </si>
  <si>
    <t>ETO-TELE 01250/2025</t>
  </si>
  <si>
    <t xml:space="preserve">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t>
  </si>
  <si>
    <t>190-28319708</t>
  </si>
  <si>
    <t>ETO-PROT 00329/2025</t>
  </si>
  <si>
    <t>ETO-TELE 00390/2026</t>
  </si>
  <si>
    <t>Feito primeiro ataque com equipe DEOP, sem sucesso rl 7925870030 o mesmo ficou by-passado em campo, necessita urgencia para verificação detalhada do mesmo</t>
  </si>
  <si>
    <t>190-17512981</t>
  </si>
  <si>
    <t>ETO-TELEAR  000072/2026</t>
  </si>
  <si>
    <t>ETO-TELE 00530/2026</t>
  </si>
  <si>
    <t>190-17512677</t>
  </si>
  <si>
    <t>ETO-TELE  000573/2026</t>
  </si>
  <si>
    <t>ETO-TELE 00200/2026</t>
  </si>
  <si>
    <t>SEGUE SS PARA RESTALRAR COMUNICAÇÃO DO RL 7924611052 NA LD FORMOSO / LAGOA DA ONÇA, FOI FEITO PRIMEIRO ATAQUE PELA EQUIPE 052OP01</t>
  </si>
  <si>
    <t>190-17512775</t>
  </si>
  <si>
    <t>ETO-TELE  000349/2026</t>
  </si>
  <si>
    <t>ETO-TELE 00721/2026</t>
  </si>
  <si>
    <t>ETO-TELE 00728/2026</t>
  </si>
  <si>
    <t>190-17512746</t>
  </si>
  <si>
    <t>ETO-TELEPA  000423/2026</t>
  </si>
  <si>
    <t>ETO-TELE 00894/2026</t>
  </si>
  <si>
    <t>Aberto nota para substituir tanque danificado e chave de entrada fase B danificada
PARECER DMSL: Foi confirmado pela equipe DMSL o defeito do tanque, favor seguir com a substituição e correção da chave de entrada fase B danificada.</t>
  </si>
  <si>
    <t>190-17421709</t>
  </si>
  <si>
    <t>ETO-RD-GU 00604/2026</t>
  </si>
  <si>
    <t>ETO-TELE 00038/2026</t>
  </si>
  <si>
    <t>190-17421135</t>
  </si>
  <si>
    <t>ETO-TELEPA  000012/2026</t>
  </si>
  <si>
    <t>ETO-TELE 00079/2026</t>
  </si>
  <si>
    <t>190-26412422</t>
  </si>
  <si>
    <t>ETO-TELEPA  000020/2026</t>
  </si>
  <si>
    <t>ETO-TELE 01087/2026</t>
  </si>
  <si>
    <t>190-17421258</t>
  </si>
  <si>
    <t>ETO-TELE  000640/2026</t>
  </si>
  <si>
    <t>Segue SS para veerificação RL em curto na taque
PARECER DMSL: FOI CONSTATADO JUNTAMENTE COM A EQUIPE SINERGIA,   Estava sem comunicação. Defeito no tanque. Religador está by Pass
PENDENCIA: Necesario   substituir tanque</t>
  </si>
  <si>
    <t>ETO-TELE 00095/2026</t>
  </si>
  <si>
    <t>ETO-TELE  000058/2026</t>
  </si>
  <si>
    <t>ETO-TELE 00847/2026</t>
  </si>
  <si>
    <t>PARECER DMSL: *FEEDBACK EQUIP. ESPECIAIS*
*Nº DO EQUIPAMENTO:* 7925733015
*TIPO EQUIPAMENTO:* Noja RC10
*TIPO DE COMUNICAÇÃO:* Rádio GE
*DATA DA MANUTENÇÃO:* 24/03/2026
*SID:* 1475/2026
*DESCRIÇÃO:* _Tanque do equipamento em Curto_
*FICOU EM OPERAÇÃO?:* Não
*PENDÊNCIA:* Sim, repassar a nota para DCMD substituir tanque.
*DADOS DIVERGENTES DA PROGRAMAÇÃO:* Não
*BATERIA SUBSTITUÍDA?:* Não
*TIPO DE BATERIA:* Lítio
*EQUIPE:* Edicleber e Jhonata(DEOP)
*******************************************
Atualizar os ajustes e base do religador em campo, devido a inserção da SE.
Estagiário Rafael P Marques
*************************</t>
  </si>
  <si>
    <t>ETO-TELECOM 00012/2026</t>
  </si>
  <si>
    <t>ETO-TELE 00322/2026</t>
  </si>
  <si>
    <t>ATUALIZAR AJUSTES DO RL 7926077084 LD PARAISO A DIVINOPOLIS. IMPLEMENTAÇÃO DE PROTEÇÃO DE SUBTENSÃO (27)
AJUSTES NO APP DA PROTEÇÃO</t>
  </si>
  <si>
    <t>190-17407513</t>
  </si>
  <si>
    <t>ETO-TELE  000400/2026</t>
  </si>
  <si>
    <t>ETO-TELE 00465/2026</t>
  </si>
  <si>
    <t>190-17512509</t>
  </si>
  <si>
    <t>ETO-TELEAR  000079/2026</t>
  </si>
  <si>
    <t>ETO-TELE 00007/2026</t>
  </si>
  <si>
    <t>PARECER DA PROTEÇÃO:
ATUALIZAR AJUSTES DO RL 7925722023  AL 02 SE COLINAS. AJUSTES DISPONIVEIS NO APP DA PROTEÇÃO.
RELIGADOR 7925722023 RDU COLINAS NÃO ABRIU POR PROTEÇÃO PARA CABO ROMPIDO AO SOLO. FAVOR VERIFICAR.</t>
  </si>
  <si>
    <t>190-26627217</t>
  </si>
  <si>
    <t>ETO-TELE  000074/2026</t>
  </si>
  <si>
    <t>ETO-PROT 00326/2024</t>
  </si>
  <si>
    <t>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</si>
  <si>
    <t>ETO-TELEGU  000168/2026</t>
  </si>
  <si>
    <t>ETO-TELE 00350/2026</t>
  </si>
  <si>
    <t>PARECER DMSL: Realizar substituição do controle completo (RUA01).
Equipe: Adeilton e Edicleber - Data: 18/03/2026
------------------------------------------------------------------------------------------------
Enviar equipe da TELE no regulador de tensão 5800366016, pois   o mesmo  está  em operação porém sem informação  no SCADA ou seja , como  se estvesse sem comunicação.
Prioridade Alta</t>
  </si>
  <si>
    <t>ETO-TELE 00483/2026</t>
  </si>
  <si>
    <t>ETO-TELEGU  000197/2026</t>
  </si>
  <si>
    <t>ETO-TELE 00522/2026</t>
  </si>
  <si>
    <t>190-58793457</t>
  </si>
  <si>
    <t>ETO-TELEAR  000042/2026</t>
  </si>
  <si>
    <t>ETO-TELE 00974/2026</t>
  </si>
  <si>
    <t>PARECER COEP: FAVOR REAVALIAR DISPONIBILIDADE DO EQUIPAMENTO DO SCADA E DIZER MARCA ,MODELO E TENSÃO DO EQUIPAMENTO
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</si>
  <si>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190-17410002</t>
  </si>
  <si>
    <t>ETO-COEP 00139/2025</t>
  </si>
  <si>
    <t>ETO-TELE 00009/2026</t>
  </si>
  <si>
    <t>190-17512847</t>
  </si>
  <si>
    <t>ETO-TELE  000415/2026</t>
  </si>
  <si>
    <t>ETO-TELE 00247/2026</t>
  </si>
  <si>
    <t>PARECER DA PROTEÇÃO:
ESTUDOS DO RT PERMANECEM O MESMOS, DISPONÍVEL NO APP DA PROTEÇÃO.
________
REGULADOR N° 5844369186 INSTALADO NA OBRA 0402100385 GENTILEZA, REALIZAR O COMISSIONAMENTO. 
SEGUNDO OS FISCAIS É UM REGULADOR ANTIGO E ESTÁ FORA DE OPERAÇÃO E A OS DE COMISSIONAMENTO ANTIGA FOI CANCELADA . (OS ANTIGA:  SS ETO-TELE 270 / 2023)
LAUDO EM ANEXO.
COORD EO: 761730, 8584278</t>
  </si>
  <si>
    <t>ETO-TELE  000336/2026</t>
  </si>
  <si>
    <t>ETO-PROT 00034/2026</t>
  </si>
  <si>
    <t>ETO-TELE 00143/2026</t>
  </si>
  <si>
    <t>RELIGADOR BY PASSADO POR DEFEITO, NECESSÁRIO AVALIAÇÃO DO PROBLEMA.
parecer dmsl:O religador apresenta defeito no tanque, sendo necessário substituir o tanque o mesmo está tirando a linha, e troca os  isoladores. Quando retornar, trazer uma fonte para o equipamento, a mesma foi removida.
FICOU EM OPERAÇÃO? Não
PENDÊNCIA: Sim, aguardando peças para substituição.</t>
  </si>
  <si>
    <t>190-37070331</t>
  </si>
  <si>
    <t>ETO-TELE 00263/2026</t>
  </si>
  <si>
    <t>ATUALIZAR AJUSTES DO RL 7925588055 LD MIRANORTE ARAGUACEMA. NA OPORTUNIDADE ATUALIZAR VERSÃO DO RELE PARA VERSÃO ATUAL. AJUSTES DISPONIVEL NO APP DA PROTEÇÃO.</t>
  </si>
  <si>
    <t>190-19172828</t>
  </si>
  <si>
    <t>ETO-TELEPA  000146/2026</t>
  </si>
  <si>
    <t>ETO-TELE 00609/2026</t>
  </si>
  <si>
    <t>religador 7964802072 sem comunicaçao foi feito primeiro ataque sem sucesso . rural de conceiçao</t>
  </si>
  <si>
    <t>190-41021000</t>
  </si>
  <si>
    <t>ETO-TELEGU  000165/2026</t>
  </si>
  <si>
    <t>ETO-TELE 00750/2026</t>
  </si>
  <si>
    <t>190-17421710</t>
  </si>
  <si>
    <t>ETO-TELE 01108/2026</t>
  </si>
  <si>
    <t>SEGUE SS PARA VERIFICAR ANOMALIA NO RL 7949808058 NA LD ARAPOEMA / SANTA FÉ
ANOMALIA: FOI FEITO PRIMEIRO ATAQUE, COMUNICAÇÃO DO RL NÃO VOLTOU E AO TENTAR EXECUTAR COMANDO LOCAL DE ABERTURA O MESMO NÃO ABRIU, FOI FEITO TENTATIVA DE ABERTURA MECANICA (PELA ARGOLA) E O MESMO NÃO ABROU. POR GENTILEZA VERIFICAR</t>
  </si>
  <si>
    <t>ETO-TELE 00294/2026</t>
  </si>
  <si>
    <t>favor verificar religador 7955523028 sem comunicação abrir penalizando cargas ha cabo solto do isolador da fase b.
PARECER DMSL:
Favor, realizar substituição dos para-raios de entrada e cabo solto do isolador da fase B, do RLG 7955523028. Após relizar correções, favor colocar equipamento em operação e encerrar a nota, pois da parte do DMSL não há pendências.</t>
  </si>
  <si>
    <t>190-36396018</t>
  </si>
  <si>
    <t>ETO-TELE 00293/2026</t>
  </si>
  <si>
    <t>Realizar coleta do historico do log de eventos do RL 7900355025, LD Arapoema a Pau D'Arco. Coletar dados com registros apartir do dia 05/02/2026. Priozar a coletar, pois no dia 06/02/2026 houve um acidente falta com a comunidade, e os registros são necessarios para compor o laudo de analise do acidente. Os dados deverão ser enviados para a area de proteção do sistema, aos cuidados de Clebson Duarte e Irlley José.</t>
  </si>
  <si>
    <t>190-19172780</t>
  </si>
  <si>
    <t>ETO-TELE  000365/2026</t>
  </si>
  <si>
    <t>ETO-TELE 00755/2026</t>
  </si>
  <si>
    <t>190-17421482</t>
  </si>
  <si>
    <t>ETO-TELEPA  000476/2026</t>
  </si>
  <si>
    <t>ETO-TELE 00787/2026</t>
  </si>
  <si>
    <t>Feito Primeiro Ataque e RL 7902099003, Não retorno comunicação</t>
  </si>
  <si>
    <t>ETO-TELE 00583/2026</t>
  </si>
  <si>
    <t>190-17512517</t>
  </si>
  <si>
    <t>ETO-TELE  000487/2026</t>
  </si>
  <si>
    <t>ETO-TELE 00715/2026</t>
  </si>
  <si>
    <t>190-17421389</t>
  </si>
  <si>
    <t>ETO-TELE 00255/2026</t>
  </si>
  <si>
    <t>AUTALIZAR AJUSTES DO RL 7955430075 LD MIRANORTE ARAGUACEMA. NA OPORTUNIDADE ATUALIZAR BASE DO RELE COM BASE MAIS RECENTE.
AJUSTES DISPONIVEIS NO APP DA PROTEÇÃO.</t>
  </si>
  <si>
    <t>190-41162352</t>
  </si>
  <si>
    <t>ETO-TELEPA  000106/2026</t>
  </si>
  <si>
    <t>ETO-TELE 00369/2026</t>
  </si>
  <si>
    <t>Favor atualizar os ajustes do religador 7905318122 em campo, disponíveis no APP da proteção.
Estagiário Rafael Pereira Marques.</t>
  </si>
  <si>
    <t>ETO-TELE  000464/2026</t>
  </si>
  <si>
    <t>Boa noite .
Segue nota para verificar falha de comunicação no religador 7900259096 -  Pindorama .
Equipamento perde a comunicação quando falta CA !</t>
  </si>
  <si>
    <t>190-17512763</t>
  </si>
  <si>
    <t>ETO-TELEPA  000487/2026</t>
  </si>
  <si>
    <t>ETO-TELE 00979/2026</t>
  </si>
  <si>
    <t>SEGUE SS PARA VERIFICAR O DJ [214R063] DA SE SANDOLANDIA, INTERVENÇÃO DE REFERENCIA 20264575588993, APÓS INSPEÇAO NÃO FOI IDENTIFICADO DEFEITO NO AL.
OBS. O MESMO FICA INTERMITENTE E SOBE BLOQUEADO AUTOMATICO , FAVOR VERIFICAR</t>
  </si>
  <si>
    <t>AL01063107</t>
  </si>
  <si>
    <t>214R063</t>
  </si>
  <si>
    <t>190-311594</t>
  </si>
  <si>
    <t>ETO-SE-GU  001358/2026</t>
  </si>
  <si>
    <t>INSETOS</t>
  </si>
  <si>
    <t>ETO-PROT 00138/2026</t>
  </si>
  <si>
    <t>N3</t>
  </si>
  <si>
    <t>ETO-TELE 00136/2026</t>
  </si>
  <si>
    <t>PARECER DA PROTEÇÃO:
REGULADOR JÁ COMISSIONADO PREVIAMENTE DE ACORDO COM A NOTA ETO-TELE 1250/2025.
_________________________________
POR FAVOR COMISSIONAR O REGULADOR 5862464001 - DA OBRA 0302400616, SEGUE LAUDO EM ANEXO E FOTO DA MEDIÇÃO DE ATERRAMENTO.</t>
  </si>
  <si>
    <t>VALDENISIO FILHO RAMOS DE JESU</t>
  </si>
  <si>
    <t>ETO-PROT 00003/2026</t>
  </si>
  <si>
    <t>ETO-TELE 00987/2026</t>
  </si>
  <si>
    <t>Realizar midição de aterramento - LD 04 ALMAS NATIVIDADE AO POV PRINCIPE</t>
  </si>
  <si>
    <t>ETO-TELEGU  000249/2026</t>
  </si>
  <si>
    <t>ETO-TELE 00075/2026</t>
  </si>
  <si>
    <t>190-17512737</t>
  </si>
  <si>
    <t>ETO-TELEPA  000449/2026</t>
  </si>
  <si>
    <t>ETO-TELE 00307/2026</t>
  </si>
  <si>
    <t>FEITO PRIMEIRO ATAQUE NO RL 7925733015 EM CAMPO E NÃO RETORNOU A COMUNICAÇÃO</t>
  </si>
  <si>
    <t>ETO-TELE  000355/2026</t>
  </si>
  <si>
    <t>ETO-TELE 00458/2026</t>
  </si>
  <si>
    <t>190-17512504</t>
  </si>
  <si>
    <t>ETO-TELE 00582/2026</t>
  </si>
  <si>
    <t>190-17421107</t>
  </si>
  <si>
    <t>ETO-TELE  000390/2026</t>
  </si>
  <si>
    <t>ETO-TELE 00270/2026</t>
  </si>
  <si>
    <t>FEITO PRIMEIRO ATAQUE NO RL 7956117005 E O MESMO NÃO VOLTOU A COMUNICAÇÃO. PROVIDENCIAR MANUTENÇÃO PARA O MESMO.</t>
  </si>
  <si>
    <t>ETO-TELE 00828/2026</t>
  </si>
  <si>
    <t>PARECER DMSL: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REALIZAR TESTE FUNIONAL VIA SOFTWARE PARA TRIP DO EQUIPAMENTO, TEMOS A SUSPEITA QUE NÃO ESTA LENDO CORRENTE EM SEUS SENSORES VISTO QUE JÁ TIROU A LD VÁRIAS VEZES.
ATUALIZAR O ESTUDO DE PROTEÇÃO.
PARECER DCMD: TODAS AS CHAVES FORAM CONFERIDAS NOVAMENTE E REGULADAS.</t>
  </si>
  <si>
    <t>ETO-TELE 00953/2026</t>
  </si>
  <si>
    <t>DA PROTEÇÃO: COMISSIONAR RELIGADOR. AJUSTES DISPONÍVEIS NO APP DA PROTEÇÃO.
Estagiário Rafael Pereira Marques
_________
GENTILEZA COMISSIONAR RELIGADOR, PARTE CONSTRUTIVA FISCALIZADA.
EQUIPAMENTO: NOJA POWER
Nº SERIE: 032112 1016606
------------------
PARECER DMSL: chamado de desenvolvimento 30562213 criado. favor, programar comissionamento a partir do dia 02/07/2026. POLO DIANÓPOLIS</t>
  </si>
  <si>
    <t>190-64830828</t>
  </si>
  <si>
    <t>RICARDO GONCALVES ROCHA</t>
  </si>
  <si>
    <t>ETO-TELEGU  000294/2026</t>
  </si>
  <si>
    <t>ETO-PROT 00122/2026</t>
  </si>
  <si>
    <t>ETO-TELE 00104/2026</t>
  </si>
  <si>
    <t>190-17421354</t>
  </si>
  <si>
    <t>ETO-TELE  000061/2026</t>
  </si>
  <si>
    <t>ETO-TELE 00490/2026</t>
  </si>
  <si>
    <t>AL02058020</t>
  </si>
  <si>
    <t>190-17421351</t>
  </si>
  <si>
    <t>ETO-TELEGU  000280/2026</t>
  </si>
  <si>
    <t>ETO-TELE 00383/2026</t>
  </si>
  <si>
    <t>PARECER DA PROTEÇÃO: Perda de comunicação, responsabilidade do posto ETO-TELE. Repassando para área responsável.
************************
VERIFICAR PERDA DE COMUNICAÇÃO DO DJ 204R S/E FILADELFICA.</t>
  </si>
  <si>
    <t>AL01034019</t>
  </si>
  <si>
    <t>204R034</t>
  </si>
  <si>
    <t>190-647700</t>
  </si>
  <si>
    <t>ETO-TELEAR  000026/2026</t>
  </si>
  <si>
    <t>ETO-PROT 00070/2026</t>
  </si>
  <si>
    <t>IND</t>
  </si>
  <si>
    <t>ETO-TELE 00428/2026</t>
  </si>
  <si>
    <t>SEGUE SS DE RELIGADOR SEM COMUNICAÇÃO, FOI FEITO PRIMEIRO ATAQUE COM A EQUIPE 094OP01.</t>
  </si>
  <si>
    <t>190-17414188</t>
  </si>
  <si>
    <t>ETO-TELEGU  000075/2026</t>
  </si>
  <si>
    <t>ETO-RD-GU 00408/2026</t>
  </si>
  <si>
    <t>ETO-TELE 00064/2026</t>
  </si>
  <si>
    <t>190-17421635</t>
  </si>
  <si>
    <t>ETO-TELEPA  000010/2026</t>
  </si>
  <si>
    <t>ETO-TELE 00299/2026</t>
  </si>
  <si>
    <t>Boa noite,
Segue SS para as devidas tratativas, regulador 5801866013 RDU de Paraiso AL 03 não tem a opção de comutação  ( AUTOMATICO) somente manual e bloqueado.
Obs: Se possível priorizar esta SS pois os clientes estão reclamando de tensão BAIXA. </t>
  </si>
  <si>
    <t>ETO-TELEPA  000101/2026</t>
  </si>
  <si>
    <t>ETO-TELE 00805/2026</t>
  </si>
  <si>
    <t>PARECER DMSL: Realizar substituição do controle completo (RUA01).
Equipe: Adeilton e Edicleber - Data: 18/03/2026
------------------------------------------------------------------------------------------------
Enviar equipe da TELE no regulador de tensão 5800366016, pois   o mesmo  está  em operação porém sem informação  no SCADA ou seja , como  se estvesse sem comunicação.
Prioridade Alta
COEP 28-04-26: Enviar equipe da TELE no regulador de tensão 5800366016, pois o mesmo está em operação e está com duas SS em aberto.</t>
  </si>
  <si>
    <t>ETO-TELE  000541/2026</t>
  </si>
  <si>
    <t>ETO-TELE 00279/2026</t>
  </si>
  <si>
    <t>Religador com vazamento de oleo, não esta fechando.</t>
  </si>
  <si>
    <t>LD02014045</t>
  </si>
  <si>
    <t>190-17407845</t>
  </si>
  <si>
    <t>ETO-TELE  000339/2026</t>
  </si>
  <si>
    <t>CARCAÇA</t>
  </si>
  <si>
    <t>ETO-TELE 00517/2026</t>
  </si>
  <si>
    <t>190-17421638</t>
  </si>
  <si>
    <t>ETO-TELEAR  000046/2026</t>
  </si>
  <si>
    <t>ETO-TELE 00802/2026</t>
  </si>
  <si>
    <t>feito primeiro ataque no religador 7955211004 sem sucesso . equipe informou que o cabo da antena estar desconectado e danificado nao conseguiram conectar . favor enviar equipe rl de transferencia de cargas entre nova olinda e araguaina</t>
  </si>
  <si>
    <t>190-34086224</t>
  </si>
  <si>
    <t>ETO-TELE  000508/2026</t>
  </si>
  <si>
    <t>ETO-TELE 00771/2026</t>
  </si>
  <si>
    <t>Por favor Deslocar equipe DMSL para substituir disjuntor danificado do religador 7907536092 que esta sem condiçoes de receber comandos remoto</t>
  </si>
  <si>
    <t>190-17403334</t>
  </si>
  <si>
    <t>ETO-TELEPA  000371/2026</t>
  </si>
  <si>
    <t>ETO-TELE 01077/2026</t>
  </si>
  <si>
    <t>190-27339905</t>
  </si>
  <si>
    <t>ETO-TELEGU  000303/2026</t>
  </si>
  <si>
    <t>ETO-TELE 00083/2026</t>
  </si>
  <si>
    <t>190-17512986</t>
  </si>
  <si>
    <t>ETO-TELEPA  000048/2026</t>
  </si>
  <si>
    <t>ETO-TELE 00309/2026</t>
  </si>
  <si>
    <t>DEVIDO ENTRADA DE NOVO TRANSFORMADOR NA SE SE FAZ NECESSÁRIO ALTERAR A BASE DO RELÉ DE PROTEÇÃO E OS AJUSTES. REALIZAR JUNTO COM O TIME DO SCADA.</t>
  </si>
  <si>
    <t>ETO-TELE  000337/2026</t>
  </si>
  <si>
    <t>ETO-TELE 00578/2026</t>
  </si>
  <si>
    <t>190-17512676</t>
  </si>
  <si>
    <t>ETO-TELE  000552/2026</t>
  </si>
  <si>
    <t>ETO-TELE 00814/2026</t>
  </si>
  <si>
    <t>favor verificar religador 7913657147 foi feito primeiro ataque ja duas vezes e encontra disjuntor desligado liga em seguida desarma.</t>
  </si>
  <si>
    <t>190-17404115</t>
  </si>
  <si>
    <t>ETO-TELEGU  000162/2026</t>
  </si>
  <si>
    <t>ETO-TELE 01088/2026</t>
  </si>
  <si>
    <t>190-17513065</t>
  </si>
  <si>
    <t>ETO-TELE 00258/2026</t>
  </si>
  <si>
    <t>ATUALIZAR AJUSTES DO RL 7900861075 LD MIRANORTE ARAGUACEMA. NA OPORTUNIDADE ATUALIZAR BASE DO RELE.
AJUSTES DISPONIVEIS NO APP DA PROTEÇÃO.</t>
  </si>
  <si>
    <t>190-19172829</t>
  </si>
  <si>
    <t>ETO-TELEPA  000085/2026</t>
  </si>
  <si>
    <t>ETO-TELE 00798/2026</t>
  </si>
  <si>
    <t>Religador 7942799122, não esta informando as tensões e corrente.</t>
  </si>
  <si>
    <t>190-68188745</t>
  </si>
  <si>
    <t>ETO-TELEPA  000373/2026</t>
  </si>
  <si>
    <t>ETO-TELE 00550/2026</t>
  </si>
  <si>
    <t>190-28872962</t>
  </si>
  <si>
    <t>ETO-TELE  000475/2026</t>
  </si>
  <si>
    <t>ETO-TELE 00189/2026</t>
  </si>
  <si>
    <t>PARECER DMSL:
Chamado de desenvolvimento 30465650 criado. Favor, programar comissionamento a partir do dia 22/01/2026. POLOPAL
PARECER DA PROTEÇÃO:
COMISSIONAR RL 7961675122 LD PALMAS II A TAQUARALTO. NECESSARIO CONFERIR MEDIÇÕES DA MALHA DE ATERRAMENTO ANTES DE INSERIR O ATIVO NO SISTEMA.
AJUSTES DISPONIVEIS NO APP DA PROTEÇÃO.
-------------------------------------------------------------------------------------------------------------
RELIGADOR N° 7961675122 INSTALADO NA OBRA 0102401358 GENTILEZA, REALIZAR O COMISSIONAMENTO.
LAUDO EM ANEXO.
COORD EO: 815873, 8871379</t>
  </si>
  <si>
    <t>190-37001878</t>
  </si>
  <si>
    <t>ETO-TELEPA  000069/2026</t>
  </si>
  <si>
    <t>ETO-PROT 00363/2025</t>
  </si>
  <si>
    <t>RL 7908693026
SEM COMUNICAÇÃO
INDISPONIVEL PARA OPERAÇÃO
EQUIPE 059OP12 TAQUARALTO ESTEVE NO LOCAL
FAVOR TRATAR O MESMO .</t>
  </si>
  <si>
    <t>190-17412683</t>
  </si>
  <si>
    <t>ETO-TELE 00329/2026</t>
  </si>
  <si>
    <t>Segue ss de religador de poste com defeitos na comunicacão o equipamento já foi feito o pimeiro ataque pela equipe 070op01 e o mesmo não voltou a comunicacão favor dar a manutencão necessaria para que o mesmo fique disponivel para o COI favor agilizar o atendimento por gentileza chave de referencia, 7932924070</t>
  </si>
  <si>
    <t>ETO-TELE  000557/2026</t>
  </si>
  <si>
    <t>ETO-TELE 00791/2026</t>
  </si>
  <si>
    <t>190-17512731</t>
  </si>
  <si>
    <t>ETO-TELEPA  000412/2026</t>
  </si>
  <si>
    <t>ETO-TELE 00838/2026</t>
  </si>
  <si>
    <t>Segue para tratativas religador com alarme indevido, religador sinalizando aberto constantemente.</t>
  </si>
  <si>
    <t>190-17412625</t>
  </si>
  <si>
    <t>ETO-TELEPA  000308/2026</t>
  </si>
  <si>
    <t>ETO-TELE 01045/2026</t>
  </si>
  <si>
    <t>Bom dia, segue nota para verificar equipamento desarmou e não subiu proteção INT 20264720760854</t>
  </si>
  <si>
    <t>190-17409547</t>
  </si>
  <si>
    <t>ETO-TELEPA  000504/2026</t>
  </si>
  <si>
    <t>ETO-TELE 00077/2026</t>
  </si>
  <si>
    <t>190-17512743</t>
  </si>
  <si>
    <t>ETO-TELEPA  000241/2026</t>
  </si>
  <si>
    <t>ETO-TELE 00628/2026</t>
  </si>
  <si>
    <t>LD01008032</t>
  </si>
  <si>
    <t>190-17513997</t>
  </si>
  <si>
    <t>ETO-TELEGU  000234/2026</t>
  </si>
  <si>
    <t>ETO-TELE 00716/2026</t>
  </si>
  <si>
    <t>AL04059122</t>
  </si>
  <si>
    <t>190-17421374</t>
  </si>
  <si>
    <t>ETO-TELEPA  000317/2026</t>
  </si>
  <si>
    <t>ETO-TELE 00540/2026</t>
  </si>
  <si>
    <t>190-17512785</t>
  </si>
  <si>
    <t>ETO-TELEAR  000051/2026</t>
  </si>
  <si>
    <t>ETO-TELE 00305/2026</t>
  </si>
  <si>
    <t>realizado primeiro ataque no religador o mesmo retornou,  porem quando falta tensão ja perde CA.
favor enviar equipe.</t>
  </si>
  <si>
    <t>190-17412798</t>
  </si>
  <si>
    <t>ETO-TELE  000372/2026</t>
  </si>
  <si>
    <t>ETO-TELE 00084/2026</t>
  </si>
  <si>
    <t>190-17512780</t>
  </si>
  <si>
    <t>ETO-TELEPA  000092/2026</t>
  </si>
  <si>
    <t>ETO-TELE 00412/2026</t>
  </si>
  <si>
    <t>Bom dia
Segue SS
Senhores enviar equipe para verificar o RL 7925880056 feito o primeiro ataque com equipe comercail e não voltou a comunicação</t>
  </si>
  <si>
    <t>ERLAN PEREIRA DE SOUSA</t>
  </si>
  <si>
    <t>ETO-TELE  000375/2026</t>
  </si>
  <si>
    <t>ETO-TELE 00551/2026</t>
  </si>
  <si>
    <t>AL07010004</t>
  </si>
  <si>
    <t>190-17421386</t>
  </si>
  <si>
    <t>ETO-TELE  000394/2026</t>
  </si>
  <si>
    <t>ETO-TELE 00770/2026</t>
  </si>
  <si>
    <t>Favor levar outro regulador de tensão, pois o mesmo foi furtado em campo.</t>
  </si>
  <si>
    <t>190-34648613</t>
  </si>
  <si>
    <t>ETO-TELE 00169/2026</t>
  </si>
  <si>
    <t>190-17439849</t>
  </si>
  <si>
    <t>ETO-TELE 00316/2026</t>
  </si>
  <si>
    <t>REP. NAZARÉ</t>
  </si>
  <si>
    <t>REP.NAZARE</t>
  </si>
  <si>
    <t>REPETIDORA NAZARÉ</t>
  </si>
  <si>
    <t>ETO-TELEAR  000004/2026</t>
  </si>
  <si>
    <t>ETO-TELE 00403/2026</t>
  </si>
  <si>
    <t>PARECER DMSL: Chamado de Desenvolvimento 30505805 criado. Favor, programar comissionamento a partir do dia 30/03/2026. POLOTOC.
----------------------------------------------------------
PARECER DA PROTEÇÃO: Ajustes realizados, e disponíveis no APP da Proteção. Planilha com as informações em anexo.
Estagiário Rafael P Marques.
**********
RELIGADOR N° 7956805053 INSTALADO NA OBRA 0602400687 GENTILEZA, REALIZAR O COMISSIONAMENTO.
LAUDO EM ANEXO.
COORD EO: 799937, 9248040</t>
  </si>
  <si>
    <t>190-40952854</t>
  </si>
  <si>
    <t>ETO-TELE  000488/2026</t>
  </si>
  <si>
    <t>ETO-PROT 00026/2026</t>
  </si>
  <si>
    <t>ETO-TELE 00515/2026</t>
  </si>
  <si>
    <t>190-28872966</t>
  </si>
  <si>
    <t>ETO-TELEAR  000050/2026</t>
  </si>
  <si>
    <t>ETO-TELE 00376/2026</t>
  </si>
  <si>
    <t>Senhores, feito primeiro ataque rl 7908300096 o mesmo nao rertornou a comunicaçao. os 99  107124986  equipe 096op01 favor verificar .</t>
  </si>
  <si>
    <t>190-17412744</t>
  </si>
  <si>
    <t>ETO-TELEPA  000136/2026</t>
  </si>
  <si>
    <t>ETO-TELE 00977/2026</t>
  </si>
  <si>
    <t>PARECER COEP: REAVALIAR DISPONIBILIDADE DO EQUIPAMENTO NO SCADA ASSIM COMO , FORNECER MODELO DO EQUIPAMENTO E FAIXA DE TENSÃO PARA COMPRA / AQUISIÇÃO
Tanque com defeito, realizar substituição do tanque.</t>
  </si>
  <si>
    <t>190-20409576</t>
  </si>
  <si>
    <t>ETO-COEP 00228/2025</t>
  </si>
  <si>
    <t>ETO-TELE 01006/2026</t>
  </si>
  <si>
    <t>Segue nota para substituir relé religador avariado marca noja , equipamento N: 7953211079 - Itapiratins .
Obs: informação repassado pelo técnico DMSL Bruno .</t>
  </si>
  <si>
    <t>ETO-TELE 00656/2026</t>
  </si>
  <si>
    <t>190-17512637</t>
  </si>
  <si>
    <t>ETO-TELEGU  000190/2026</t>
  </si>
  <si>
    <t>ETO-TELE 00913/2026</t>
  </si>
  <si>
    <t>ETO-TELE 00065/2026</t>
  </si>
  <si>
    <t>AL02099059</t>
  </si>
  <si>
    <t>190-17419956</t>
  </si>
  <si>
    <t>ETO-TELEPA  000011/2026</t>
  </si>
  <si>
    <t>ETO-TELE 00190/2026</t>
  </si>
  <si>
    <t>PARECER DMSL :
Chamado de desenvolvimento 30465695 criado. Favor, programar comissionamento a partir do dia 22/01/2026. POLOMIR
PARECER DA PROTEÇÃO:
COMISSIONAR RL 7963500031 LD MIRANORTE A GURAI. NECESSARIO CONFERENCIA DAS MEDIÇÕES DA MALHA DE ATERRAMENTO ANTES DE INSERIR O ATIVO NO SISTEMA.
AJUSTES DISPONIVEIS NO APP DA PROTEÇÃO.
-------------------------------------------------------------------------------------------------------------
RELIGADOR N° 7963500031 INSTALADO NA OBRA 0202400930 GENTILEZA, REALIZAR O COMISSIONAMENTO.
LAUDO EM ANEXO.
COORD EO: 767894, 8957465</t>
  </si>
  <si>
    <t>190-53069784</t>
  </si>
  <si>
    <t>ETO-TELEPA  000065/2026</t>
  </si>
  <si>
    <t>ETO-PROT 00390/2025</t>
  </si>
  <si>
    <t>ETO-TELE 00854/2026</t>
  </si>
  <si>
    <t>PARECER DCMD: EQUIPAMENTO SUBSTITUIDO NO DIA 14/05/2026
PARECER DMSL: *FEEDBACK EQUIP. ESPECIAIS*
*Nº DO EQUIPAMENTO:* 5800291077
*DATA DA MANUTENÇÃO:* 07/04/2026
*SID:* 1709/2026
*DESCRIÇÃO:* Realizado ensaios nas células do banco 5800291077, identificado fase B em curto
*FICOU EM OPERAÇÃO?:* Não
*PENDÊNCIA:* SIM
*EQUIPE:* Adeilton e Edicleber
Realizar substituição da célula da fase B
Em curto.
_____________________________________________________________
Segue SS para enviar equipe do DMSL para no regulador de tensão 5800291077.
O mesmo ficou bay passado devido esta com defeito e causar desarme na LD e penalizar a RDU de Goiatins.
Por gentileza enviar equipe urgente.</t>
  </si>
  <si>
    <t>ETO-TELE  000579/2026</t>
  </si>
  <si>
    <t>ETO-TELE 00371/2026</t>
  </si>
  <si>
    <t>Favor atualizar os ajustes do religador 7937520122 em campo, disponíveis no APP da proteção.
Estagiário Rafael Pereira Marques.</t>
  </si>
  <si>
    <t>190-17408464</t>
  </si>
  <si>
    <t>ETO-TELE  000465/2026</t>
  </si>
  <si>
    <t>ETO-TELE 00664/2026</t>
  </si>
  <si>
    <t>190-31522750</t>
  </si>
  <si>
    <t>ETO-TELEGU  000128/2026</t>
  </si>
  <si>
    <t>ETO-TELE 00751/2026</t>
  </si>
  <si>
    <t>ETO-TELEPA  000429/2026</t>
  </si>
  <si>
    <t>ETO-TELE 00988/2026</t>
  </si>
  <si>
    <t>Fazer medição do aterramento - Criticidade: Muito Alto - Alimentador: LD 03 - ALMAS NATICAL</t>
  </si>
  <si>
    <t>190-38799472</t>
  </si>
  <si>
    <t>ETO-TELEGU  000250/2026</t>
  </si>
  <si>
    <t>ETO-TELE 00525/2026</t>
  </si>
  <si>
    <t>190-17421475</t>
  </si>
  <si>
    <t>ETO-TELEAR  000041/2026</t>
  </si>
  <si>
    <t>ETO-TELE 00915/2026</t>
  </si>
  <si>
    <t>ETO-TELE 00839/2026</t>
  </si>
  <si>
    <t>PARECER DMSL 03/07: Corrigir malha de aterramento
PARECER DA PROTEÇÃO:
ARQUIVO EM ANEXO PARA COMISSIONAMENTO.
Estagiário Rafael P Marques
______________________________
•REGULADOR OBRA 0202500190, CODIGO TOPOLOGIA 5867939086; COORDENADAS: 643193,8917169
Laudo em anexo
obs:  O sgm esta passando por uma melhoria devido ao ADMS, por esse motivo não integrou as informações do eo com sgm, a ss foi aberta no poste mais proximo.</t>
  </si>
  <si>
    <t>190-35687545</t>
  </si>
  <si>
    <t>ETO-PROT 00098/2026</t>
  </si>
  <si>
    <t>ETO-TELE 00043/2026</t>
  </si>
  <si>
    <t>190-28872922</t>
  </si>
  <si>
    <t>ETO-TELE  000409/2026</t>
  </si>
  <si>
    <t>ETO-TELE 00601/2026</t>
  </si>
  <si>
    <t>190-17512638</t>
  </si>
  <si>
    <t>ETO-TELE  000433/2026</t>
  </si>
  <si>
    <t>ETO-TELE 01066/2026</t>
  </si>
  <si>
    <t>ETO-TELE 01081/2026</t>
  </si>
  <si>
    <t>ETO-TELEGU  000301/2026</t>
  </si>
  <si>
    <t>ETO-TELE 00251/2026</t>
  </si>
  <si>
    <t>ATUALIZAR AJUSTES DO RL 7930427075 LD MIRANORTE ARAGUACEMA. NA OPORTUNIDADE ATUALIZAR VERSÃO DO RELE PARA VERSÃO ATUAL.
AJUSTES DISPONIVIEIS NO APP DA PROTEÇÃO.</t>
  </si>
  <si>
    <t>190-17410079</t>
  </si>
  <si>
    <t>ETO-TELEPA  000097/2026</t>
  </si>
  <si>
    <t>ETO-TELE 00216/2026</t>
  </si>
  <si>
    <t>Favor verificar religador 7936038076 , o equipamento não aceita comados local e remoto . Feito primeiro ataque sem sucesso</t>
  </si>
  <si>
    <t>190-17412626</t>
  </si>
  <si>
    <t>ETO-TELEGU  000046/2026</t>
  </si>
  <si>
    <t>ETO-TELE 00351/2026</t>
  </si>
  <si>
    <t>RELIGADOR N° 7962052017 INSTALADO NA OBRA 0202400803 GENTILEZA, REALIZAR O COMISSIONAMENTO.
LAUDO EM ANEXO.
COORD EO: 749052, 8911788
PARECER DA PROTEÇÃO:
AJUSTE DISPONIBILIZADO NO APP DA PROTEÇÃO, NOTA REPASSADA PARA DMSL COMISSIONAR POLO MIRACEMA.
ENG° IRLLEY CASTELO BRANCO
PARECER DMSL: EQUIPE FOI ATE O EQUIPAMENTO PARA REALIZAR O COMISSIONAMETO O O MEMSO NÃO TINHA CONTROLE - FAVOR PROVIDENCIAR
 "Feedback Equipamentos Especiais
RELIGADOR 7962052017
Data: 28/08/2025
SID: 4491/2025
Serviço Executado:
reprogramar  equipamento após equipe que instalou equipamento instalar o controle
Data de Substituição da bateria:
Equipe: Ana e Ellisfran"
PARECER DCMD: técnico de obras Elismar informou que o controle já foi instalado em campo.</t>
  </si>
  <si>
    <t>190-36826322</t>
  </si>
  <si>
    <t>ETO-TELE  000386/2026</t>
  </si>
  <si>
    <t>ETO-PROT 00181/2025</t>
  </si>
  <si>
    <t>ETO-TELE 00411/2026</t>
  </si>
  <si>
    <t>PARECER DA PROTEÇÃO: FALHA DE TELECOM, VERIFICAR.
*****************************************
Segue nota para verificar proteções do RL-7900178013 RDU de Paraiso equipe reincidente em desarme e não sinaliza nenhuma atuação de proteção, Ultima ocorrência hoje 21/11/2025 Int.20253971759088 fechado sem anomalia.</t>
  </si>
  <si>
    <t>190-17408334</t>
  </si>
  <si>
    <t>ETO-TELE  000459/2026</t>
  </si>
  <si>
    <t>ETO-PROT 00366/2025</t>
  </si>
  <si>
    <t>ETO-TELE 00524/2026</t>
  </si>
  <si>
    <t>190-17512605</t>
  </si>
  <si>
    <t>ETO-TELEAR  000043/2026</t>
  </si>
  <si>
    <t>ETO-TELE 00556/2026</t>
  </si>
  <si>
    <t>ETO-TLAR01  000207/2026</t>
  </si>
  <si>
    <t>ETO-TELE 00793/2026</t>
  </si>
  <si>
    <t>PARECER DMSL 10/06/2026: Tem uma nota aberta para esse equipamento solicitando a substituição desde 20/10/2025, como a nota não foi atendida estamos repassando para área responsável. Nota em aberto repassada ETO-COEP 210/2025.
Segue nota para verificar intermitência de comunicação nos religadores 7908301026 , 7911120026, 7947959026 , 7908692026, 7900594026 rural- Ponte Alta .</t>
  </si>
  <si>
    <t>ETO-TELE 00178/2026</t>
  </si>
  <si>
    <t>bom dia,
Segue SS para as devidas tratativas religador 7900666072 não esta aceitando comando de fechamento, feito primeiro ataque porem sem sucesso, o mesmo ficou By passado,
obs: Alguma previsao para atendimento das SS  ETO-TELE 1289/2025, ETO-TELE1526/2025 pois estamos com todos os religadores da LD Parana conceição By passado </t>
  </si>
  <si>
    <t>EQP-7900666072</t>
  </si>
  <si>
    <t>RELIGADOR DE MT</t>
  </si>
  <si>
    <t>ETO-TELE 00912/2026</t>
  </si>
  <si>
    <t>190-17512742</t>
  </si>
  <si>
    <t>ETO-TELEPA  000238/2026</t>
  </si>
  <si>
    <t>ETO-TELE 00082/2026</t>
  </si>
  <si>
    <t>190-17419959</t>
  </si>
  <si>
    <t>ETO-TELEPA  000018/2026</t>
  </si>
  <si>
    <t>ETO-TELE 00217/2026</t>
  </si>
  <si>
    <t>ATUALIZAR AJUSTES DO RL 7936789029 AL 01 PALMEIROPOLIS. AJUSTES DISPONIVEIS NO APP DA PROTEÇÃO</t>
  </si>
  <si>
    <t>190-17414748</t>
  </si>
  <si>
    <t>ETO-TELE  000351/2026</t>
  </si>
  <si>
    <t>ETO-TELE 00222/2026</t>
  </si>
  <si>
    <t>ATUALIZAR AJUSTES DO RL 7930424008 LD MIRANORTE ARAGUACEMA. NA OPORTUNIDADE ATUALIZAR BASE DO RELE PARA A VERSÃO ATUAL.
AJUSTES DISPONIVEIS NO APP DA PROTEÇÃO.</t>
  </si>
  <si>
    <t>190-17410080</t>
  </si>
  <si>
    <t>ETO-TELEPA  000107/2026</t>
  </si>
  <si>
    <t>COCM SUL - 07/07/2026 - FOI REALIZADO MELHORIA DE ATERRAMENTO E FEITO A MANUTENÇÕES E TODAS AS CHAVES E SUBSTITUIDO OS CONECTORES.
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</si>
  <si>
    <t>ETO-TELEGU  000274/2026</t>
  </si>
  <si>
    <t>ETO-TELE 00642/2026</t>
  </si>
  <si>
    <t>190-17421706</t>
  </si>
  <si>
    <t>ETO-TELEGU  000092/2026</t>
  </si>
  <si>
    <t>ETO-TELE 00648/2026</t>
  </si>
  <si>
    <t>AL03020003</t>
  </si>
  <si>
    <t>190-17421252</t>
  </si>
  <si>
    <t>ETO-TELEGU  000101/2026</t>
  </si>
  <si>
    <t>ETO-TELE 00688/2026</t>
  </si>
  <si>
    <t>190-17512819</t>
  </si>
  <si>
    <t>ETO-TELEGU  000119/2026</t>
  </si>
  <si>
    <t>ETO-TELE 01101/2026</t>
  </si>
  <si>
    <t>ALTERAR AJUSTE DE PROTEÇÃO CONFORME ESTUDO DISPONIBILIZADO NO APP.</t>
  </si>
  <si>
    <t>ETO-TELE 00051/2026</t>
  </si>
  <si>
    <t>190-17421722</t>
  </si>
  <si>
    <t>ETO-TELE 00295/2026</t>
  </si>
  <si>
    <t>religador foi bay passado devido mesmo esta saindo fumaca do painel e sem comunicação 7927396052.
PARECER DMSL: Após testes, equipe DMSL constatou que apenas o tanque do RLG 7927396052 encontra-se queimado. Favor, substituir parte ativa do equipamento.
NS Tanque: 0320123040198</t>
  </si>
  <si>
    <t>190-21148967</t>
  </si>
  <si>
    <t>ETO-TELE 00875/2026</t>
  </si>
  <si>
    <t>segue nota do RL 7926785070 o mesmo esta sem comunicaçao, RL esta com uma mancha escura no visor. equipe 070op01 fez o primeiro ataque porem a comunicaçao nao voltou</t>
  </si>
  <si>
    <t>190-17404248</t>
  </si>
  <si>
    <t>ETO-TELEPA  000393/2026</t>
  </si>
  <si>
    <t>ETO-TELE 00619/2026</t>
  </si>
  <si>
    <t>190-17421746</t>
  </si>
  <si>
    <t>ETO-TELEGU  000177/2026</t>
  </si>
  <si>
    <t>PARECER COEP: Equipamento em operação no SCADA, favor reavaliar necessidade de substituição ,assim como especificar modelo das peças a serem substituidas e os defeitos.
REALIZAR SUBSTITUIÇÃO DO TANQUE.</t>
  </si>
  <si>
    <t>ETO-TELEGU  000244/2026</t>
  </si>
  <si>
    <t>ETO-COEP 00220/2025</t>
  </si>
  <si>
    <t>ETO-TELE 00914/2026</t>
  </si>
  <si>
    <t>190-17512984</t>
  </si>
  <si>
    <t>ETO-TELEGU  000229/2026</t>
  </si>
  <si>
    <t>ETO-TELE 00848/2026</t>
  </si>
  <si>
    <t>PARECER DMSL: FAVOR SOLUCIONAR PENDENCIAS
RELIGADOR: 7931608059 
SID: 2727/2026 
Data: 18/05/2026 
Serviço Executado: 
Foi realizada análise técnica. A parte ativa do equipamento PRECISA SER  SUBSTITUIDA.
Equipamento ficou em operação?: Não 
Pendência: Sim - Substituir o tanque e o rádio 
Bateria(s) substituída(s): Não 
Data de Fabricação/Instalação da(s) bateria(s): 04/2024 
Equipe: Carliel e João Vitor
RELIGADOR 7931608059 FORA DE SERVIÇO, NECESSÁRIO VERIFICAÇÃO.</t>
  </si>
  <si>
    <t>ETO-TELE 00056/2026</t>
  </si>
  <si>
    <t>190-17421125</t>
  </si>
  <si>
    <t>ETO-TELEPA  000328/2026</t>
  </si>
  <si>
    <t>ETO-TELE 00114/2026</t>
  </si>
  <si>
    <t>ETO-TELE  000032/2026</t>
  </si>
  <si>
    <t>ETO-TELE 00029/2026</t>
  </si>
  <si>
    <t>190-45911448</t>
  </si>
  <si>
    <t>ETO-TELEPA  000038/2026</t>
  </si>
  <si>
    <t>ETO-TELE 00069/2026</t>
  </si>
  <si>
    <t>ETO-TELE 00294/2025</t>
  </si>
  <si>
    <t>PARECER DMSL: NÃO FOI POSSIVEL SUBSTITUIR BATERIA DEVIDO A problema na placa de alimentação e na parte ativa, falta colocar placa de identificação correta na topologia, baixar o controle.FAVOR Substituir Equipamento completo
Equipe: Kaique/ Benvindo
--------------------------------------------------------------------------------------
Segue nota para envia equipes substituir (baterias dos RL, s equipamento com sinalização (B).
7930041122
7927820008
7907467059
7900096059
7907467059
7938139013
7919270014
7900189012
7900238054
7900505026</t>
  </si>
  <si>
    <t>ETO-TELE 00041/2026</t>
  </si>
  <si>
    <t>190-17421136</t>
  </si>
  <si>
    <t>ETO-TELEPA  000034/2026</t>
  </si>
  <si>
    <t>ETO-TELE 00562/2026</t>
  </si>
  <si>
    <t>190-17512681</t>
  </si>
  <si>
    <t>ETO-TELE  000484/2026</t>
  </si>
  <si>
    <t>MURICILANDIA</t>
  </si>
  <si>
    <t>ETO-TELE 00418/2026</t>
  </si>
  <si>
    <t>PARECER DMSL: Feedback Equip. Especiais
RLG 7926089013,
RELÉ NOJA RC10
SID 1805/2026
DATA 15/04/2026
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
---------------------------------------------------------------------------------
ATUALIZAR AJUSTES DO RL 7926089013 LD PARAISO I  A  PIUM. IMPLEMENTAÇÃO DA FUNÇÃO 27, SUBTENSÃO.
AJUSTES DISPONIVEIS NO APP DA PROTEÇÃO.</t>
  </si>
  <si>
    <t>190-17512949</t>
  </si>
  <si>
    <t>ETO-TELE 00939/2026</t>
  </si>
  <si>
    <t>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</si>
  <si>
    <t>ETO-TELE 00872/2026</t>
  </si>
  <si>
    <t>PARECER DCMD: EQUIPAMENTO SUBSTITUIDO DIA 27/05/2026 LAUDO EM ANEXO
PARECER DMSL: RLG 7900018004 encontra-se com defeito no controle. Por se tratar de modelo obsoleto e não termos peça de reposição para religador cooper, se faz necessário a substituição completa por um modelo NOJA RC10.
Religador 7900018004 sem comunicação, feito o primeiro ataque não retornou as comunicação.</t>
  </si>
  <si>
    <t>190-61138002</t>
  </si>
  <si>
    <t>ETO-TELE  000596/2026</t>
  </si>
  <si>
    <t>ETO-TELE 00926/2025</t>
  </si>
  <si>
    <t>190-17512719</t>
  </si>
  <si>
    <t>ETO-TELEPA  000414/2026</t>
  </si>
  <si>
    <t>ETO-TELE 00005/2026</t>
  </si>
  <si>
    <t>RL 7951760055
DEFEITO EM DISJUNTOR EQUIPE 055OP01 TENTOU SUBSTITUIR MAS NAO ACEITA ARMADO
DEVIDO COMUNICAÇÃO RDU DE ARAGACEMA NAO PODE SER TRANSFERIDA DEFEITO DA LINHA APOS RL . FAVOR VERIFICAR PARA DEVIDAS TRATATIVAS
055OP01</t>
  </si>
  <si>
    <t>190-47526084</t>
  </si>
  <si>
    <t>ETO-TELE  000039/2026</t>
  </si>
  <si>
    <t>ETO-TELE 00302/2026</t>
  </si>
  <si>
    <t>indisponibilidade para operaçao  equipamento 7951760055 sem comunicação  ( nao permite a execução de comando)</t>
  </si>
  <si>
    <t>ETO-TELEPA  000124/2026</t>
  </si>
  <si>
    <t>ETO-TELE 00696/2026</t>
  </si>
  <si>
    <t>190-68231691</t>
  </si>
  <si>
    <t>ETO-TELE  000492/2026</t>
  </si>
  <si>
    <t>ETO-TELE 00042/2026</t>
  </si>
  <si>
    <t>ETO-TELE 00759/2026</t>
  </si>
  <si>
    <t>190-17512612</t>
  </si>
  <si>
    <t>ETO-TELE 00837/2026</t>
  </si>
  <si>
    <t>190-23639076</t>
  </si>
  <si>
    <t>ETO-TELEPA  000305/2026</t>
  </si>
  <si>
    <t>ETO-TELE 00984/2026</t>
  </si>
  <si>
    <t>Segue nota para verificar RL-7956903122 equipe foi aberto em transferência de cargas agora está fechando sozinho e abrindo como se estivesse com duplicidade com algum outro equipamento.</t>
  </si>
  <si>
    <t>190-28327617</t>
  </si>
  <si>
    <t>AVISO DE INCONSISTÊNCIA</t>
  </si>
  <si>
    <t>ETO-TELEPA  000461/2026</t>
  </si>
  <si>
    <t>SEM IDENTIFICAÇÃO</t>
  </si>
  <si>
    <t>ETO-TELE 00183/2026</t>
  </si>
  <si>
    <t>Bom dia,
Segue SS para verificaçaõ Rl sem comunicação realizado primeiro ataque sem sucesso pelo equipe DEOP.</t>
  </si>
  <si>
    <t>ETO-TELEPA  000028/2026</t>
  </si>
  <si>
    <t>ETO-TELE 00386/2026</t>
  </si>
  <si>
    <t>PARECER DA PROTEÇÃO:
Recomissionar RL 7913348136. Ajustes disponíveis no APP da Proteção.
************************************************
senhores , rl 7913348136 desarmou e nao subiu curto no equipamento , somente o alarme 50 sobrecorrente instantaneo fase , favor verificar o por que de nao mostra  corrente de curto e  verificar ajuste pois o mesmo desarme a apos manobra aceita normal</t>
  </si>
  <si>
    <t>ETO-TELEAR  000058/2026</t>
  </si>
  <si>
    <t>ETO-PROT 00497/2024</t>
  </si>
  <si>
    <t>ETO-TELE 00482/2026</t>
  </si>
  <si>
    <t>190-59622422</t>
  </si>
  <si>
    <t>ETO-TELEAR  000121/2026</t>
  </si>
  <si>
    <t>ETO-TELE 00264/2026</t>
  </si>
  <si>
    <t>FEITO O PRIMEIRO ATAQUE E RL NÃO VOLTA A COMUNICAR NO SCADA.
RL 7913660051.
RL SEM COMUNICAÇÃO.</t>
  </si>
  <si>
    <t>190-17407639</t>
  </si>
  <si>
    <t>ETO-TELE  000333/2026</t>
  </si>
  <si>
    <t>ETO-TELE 00318/2026</t>
  </si>
  <si>
    <t>COLETAR REGISTROS DE LOG's DE EVENTOS DO RL 7901100084 LD PARAISO I  A CASEARA. COLETAR EVENTOS A PARTIR DO DIA 23/02/2026 ATE A DATA ATUAL.
NOTA: NO DIA 24/02/2026 HOUVE UM ACIDENTE FALTAL A JUSANTE DESTE RL ENVOLVENDO A COMUNIDADE. FAVOR PRIORIZAR A COLETAS DAS INFORMAÇÕES.</t>
  </si>
  <si>
    <t>190-17413957</t>
  </si>
  <si>
    <t>ETO-TELE  000382/2026</t>
  </si>
  <si>
    <t>ETO-TELE 00429/2026</t>
  </si>
  <si>
    <t>Regulador sem comunicação.</t>
  </si>
  <si>
    <t>190-26107624</t>
  </si>
  <si>
    <t>ETO-TELE  000462/2026</t>
  </si>
  <si>
    <t>ETO-TELE 00432/2026</t>
  </si>
  <si>
    <t>Atualizar ajustes do RL 7900567149, disponíveis no APP da proteção.
Estagiário Rafael P Marques.</t>
  </si>
  <si>
    <t>190-17413953</t>
  </si>
  <si>
    <t>ETO-TELEPA  000225/2026</t>
  </si>
  <si>
    <t>Segue nota para averiguar ajuste regulador de tensão N: 5839141113 - RDU - Couto Magalhães , e verificar falha de comunicação   .
Equipe operacional verificou que vários transformadores urbanos estão com nível de tensão baixa .
Foi feito primeiro ataque regulador está comutando normalmente as 3 fases , porém não está no nível adequado !
Em campo regulador estava no Tap R1 - 02 , R2 + 01 , R3 +03
Medições feitas :
Transformador 5700010113     - NA: 205 NB: 206 NC: 210
Transformador 5700011113      - NA: 204 NB: 206 NC: 209
Transformador 5700333113       -NA: 205 NB: 207 NC: 208
OBS: solicitar equipe para realizar medição aterramento ,  e verificar ajuste junto ao time proteção .  
verificar falha de comunicação no equipamento .</t>
  </si>
  <si>
    <t>190-29126234</t>
  </si>
  <si>
    <t>ETO-TELE 01118/2026</t>
  </si>
  <si>
    <t>EQUIPAMENTO SCHNEIDER, SOLICITAMOS QUE SEJA REALIZADO O TESTE FUNCIONAL COM A MALA DE CARGA DA SVERK APLICANDO CORRENTE NO PRIMARIO E VERIFICANDO AS MESMAS NO RELÉ COM ATUAÇÃO DE TRIP PARA VALIDAÇÃO DE TODO O CONJUNTO.</t>
  </si>
  <si>
    <t>190-17408463</t>
  </si>
  <si>
    <t>ETO-TELE 00463/2026</t>
  </si>
  <si>
    <t>190-17512648</t>
  </si>
  <si>
    <t>ETO-TELE 01017/2026</t>
  </si>
  <si>
    <t>Olá, solicito ajuste no RL:
Ajustar a temporização do Keep Alive para 172800s.</t>
  </si>
  <si>
    <t>ETO-TELEGU  000261/2026</t>
  </si>
  <si>
    <t>ETO-TELE 00774/2026</t>
  </si>
  <si>
    <t>FEITO DOIS RESET COM EQUIPE LOCAL E RETORNOU A COMUNICAÇÃO.
OBS. : RL 7930877081 QUANDO PERDE A COMUNICAÇÃO SO VOLTA APOS INTERVENÇÃO DE EQUIPE LOCAL.</t>
  </si>
  <si>
    <t>190-17413372</t>
  </si>
  <si>
    <t>ETO-TELEAR  000064/2026</t>
  </si>
  <si>
    <t>ETO-TELE 00153/2026</t>
  </si>
  <si>
    <t>190-17512530</t>
  </si>
  <si>
    <t>ETO-TELE 00541/2026</t>
  </si>
  <si>
    <t>ETO-TELE  000545/2026</t>
  </si>
  <si>
    <t>ETO-TELE 00287/2026</t>
  </si>
  <si>
    <t>Favor enviar equipe pra verificar as falta de comunicação no RL's 7955858004, 7927785004 e 7927751004.</t>
  </si>
  <si>
    <t>190-30045332</t>
  </si>
  <si>
    <t>ETO-TELE  000530/2026</t>
  </si>
  <si>
    <t>ETO-TELE 00980/2026</t>
  </si>
  <si>
    <t>ATUALIZAR AJUSTES DO RL 7925853004 AL 03 ARAGUAINA II. NECESSARIO ATUALIZAR A VERSÃO DO RELE PARA A VERSÃO MAIS RECENTE.
AJUSTES DISPONIVEIS NO APP DA PROTEÇÃO.
AJUSTE ENVIADO ANTERIORMENTE INCORRETO.</t>
  </si>
  <si>
    <t>ETO-TELE  000621/2026</t>
  </si>
  <si>
    <t>ETO-TELE 00464/2026</t>
  </si>
  <si>
    <t>ETO-TELE 00195/2026</t>
  </si>
  <si>
    <t>Realizar instalação de roteador de telecom na Repetidora de Palmerópolis.</t>
  </si>
  <si>
    <t>ETO-TELE 00384/2026</t>
  </si>
  <si>
    <t>Coletar base do RL 7910068119 LD ANANAS A CACHOEIRINHA. Ramal reincidente sem causa identificada.</t>
  </si>
  <si>
    <t>190-17408095</t>
  </si>
  <si>
    <t>ETO-TELE  000366/2026</t>
  </si>
  <si>
    <t>ETO-TELE 00126/2026</t>
  </si>
  <si>
    <t>190-39736718</t>
  </si>
  <si>
    <t>ETO-TELE  000027/2026</t>
  </si>
  <si>
    <t>ETO-TELE 00506/2026</t>
  </si>
  <si>
    <t>190-39796916</t>
  </si>
  <si>
    <t>ETO-TELEAR  000067/2026</t>
  </si>
  <si>
    <t>ETO-TELE 00615/2026</t>
  </si>
  <si>
    <t>190-17421465</t>
  </si>
  <si>
    <t>ETO-TELEGU  000123/2026</t>
  </si>
  <si>
    <t>190-45576589</t>
  </si>
  <si>
    <t>ETO-TELEGU  000296/2026</t>
  </si>
  <si>
    <t>ETO-TELE 00346/2026</t>
  </si>
  <si>
    <t>VERIFICAR COMUNICAÇÃO NO RL 5860477104.
NOTA DE COMISSIONAMENTO: ETO-TELE 333/2026
Não fecha com os enlaces existente, Aguardando os telespazio chegar!
COORD EO: 833865, 9015313</t>
  </si>
  <si>
    <t>ETO-TELE 00480/2026</t>
  </si>
  <si>
    <t>190-33773374</t>
  </si>
  <si>
    <t>ETO-TELEAR  000068/2026</t>
  </si>
  <si>
    <t>ETO-TELE 00674/2026</t>
  </si>
  <si>
    <t>LD01028074</t>
  </si>
  <si>
    <t>190-29912083</t>
  </si>
  <si>
    <t>ETO-TELEGU  000212/2026</t>
  </si>
  <si>
    <t>RIO DA CONCEICAO</t>
  </si>
  <si>
    <t>ETO-TELE 00597/2026</t>
  </si>
  <si>
    <t>190-17512826</t>
  </si>
  <si>
    <t>ETO-TELE  000497/2026</t>
  </si>
  <si>
    <t>ETO-TELE 00048/2026</t>
  </si>
  <si>
    <t>190-17421715</t>
  </si>
  <si>
    <t>ETO-TELE  000407/2026</t>
  </si>
  <si>
    <t>ETO-TELE 00671/2026</t>
  </si>
  <si>
    <t>190-17512939</t>
  </si>
  <si>
    <t>ETO-TELEGU  000149/2026</t>
  </si>
  <si>
    <t>ETO-TELE 00983/2026</t>
  </si>
  <si>
    <t>Regulador 5863887001 sem comunicação.</t>
  </si>
  <si>
    <t>ETO-TELEPA  000459/2026</t>
  </si>
  <si>
    <t>ETO-TELE 00177/2026</t>
  </si>
  <si>
    <t>segue ss enviar equipe DMSL para verifirar regulador de tesao 5857855025 com rele apagado, feito primeiro ataque sem sucesso , o mesmo ficou bay passado em campo.</t>
  </si>
  <si>
    <t>ETO-TELE  000048/2026</t>
  </si>
  <si>
    <t>ETO-TELE 00193/2026</t>
  </si>
  <si>
    <t>SEGUE SS PARA REGULARIZAR COMUNICAÇÃO DO RELIGADOR 7932030074 NA LD DIANOPOLIS / CONCEIÇÃO - EQUIPE 072OP01 EXECUTOU PRI,MEIRO ATAQUE E NÃO IDENTIFICOU NEM UMA ANOMALIA VISIVEL.</t>
  </si>
  <si>
    <t>190-59240066</t>
  </si>
  <si>
    <t>ETO-TELEGU  000035/2026</t>
  </si>
  <si>
    <t>PARECER DMSL: *FEEDBACK EQUIP. ESPECIAIS*
*Nº DO EQUIPAMENTO:* 5800859011
*TIPO EQUIPAMENTO:* RT ITB
*TIPO DE COMUNICAÇÃO:* Não
*DATA DA MANUTENÇÃO:* 09/06/2026
*SID:* 3195/2026
*DESCRIÇÃO:* _ Foi identificado relé da fase C com defeito conforme orientação da supervisão e necessário realiza retrofit para instalação de controle rua.
*FICOU EM OPERAÇÃO* Não
*PENDÊNCIA:* Realizado Retrofit
*DADOS DIVERGENTES DA PROGRAMAÇÃO:* Não
*BATERIA SUBSTITUÍDA?:* Não
*TIPO DE BATERIA:*
*EQUIPE:* Edeglan e Brunno.
Observação: trocar por um controle RUA.
------------------------------------------------------------------------------------------
Enviar equipe do DMSL, para  fazer correção no RT 5800859011, o mesmo está com o displey da fase C apagado , dificutando  realizar  manobras no mesmo, emvirtude  disso o mesmo ficou BAY PASSADO EM CAMPO</t>
  </si>
  <si>
    <t>ETO-TELE 00057/2026</t>
  </si>
  <si>
    <t>AL07060122</t>
  </si>
  <si>
    <t>190-17421363</t>
  </si>
  <si>
    <t>ETO-TELEPA  000327/2026</t>
  </si>
  <si>
    <t>ETO-TELE 00148/2026</t>
  </si>
  <si>
    <t>ETO-TELE 00290/2026</t>
  </si>
  <si>
    <t>Reigador sem comunicação, não retornou apos primeiro ataque.</t>
  </si>
  <si>
    <t>190-17409801</t>
  </si>
  <si>
    <t>ETO-TELE  000363/2026</t>
  </si>
  <si>
    <t>ETO-TELE 00548/2026</t>
  </si>
  <si>
    <t>190-29796888</t>
  </si>
  <si>
    <t>ETO-TELE  000474/2026</t>
  </si>
  <si>
    <t>ETO-TELE 00618/2026</t>
  </si>
  <si>
    <t>ETO-TELEGU  000114/2026</t>
  </si>
  <si>
    <t>ETO-TELE 00841/2026</t>
  </si>
  <si>
    <t>PARECER DMSL 19/05/2026: É necessário fazer melhorias na malha de aterramento.
segue nota para RL 794252059 o mesmo esta sem comunicaçao, foi feito primeiro ataque, porem a comunicaçao nao voltou, obs ramal do marasca.</t>
  </si>
  <si>
    <t>190-17403393</t>
  </si>
  <si>
    <t>ETO-TELE 00976/2026</t>
  </si>
  <si>
    <t>PARECER COEP: QUAL O MODELO DO EQUIPAMENTO? QUAL A FAIXA DE TENSÃO ? O QUE SERIA SISTEMA DE COMUNICAÇÃO COMPLETO?
Troca do sistema de comunicação do equipamento
DMSL 28/07/2025: Equipamento com tanque, modulo e rele com defeito, solicitar troca do equipamento ao DCMD.
Fotos vão ser enviadas por e-mail</t>
  </si>
  <si>
    <t>190-17513063</t>
  </si>
  <si>
    <t>ETO-TELE 00557/2025</t>
  </si>
  <si>
    <t>Segue nota para verificar falha de comunicação no religador 7908716091 - Rural -  Almas  .
Equipamento perdeu a comunicação quando faltou CA , porém mesmo ao retorna o CA não retornou à comunicação !</t>
  </si>
  <si>
    <t>ETO-TELEGU  000267/2026</t>
  </si>
  <si>
    <t>29/07/2026 - AJUSTES DO RT VERIFICADOS. ENCAMINHADO PARA COMISSIONAMENTO.
28/07/2026
COCMS GENTILEZA COMISSIORAR O EQUIPAMENTO NO DIA 04/08/2026. SEGUE DADOS DE PLACA DO REGULADOR
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
30/06PARECER COEP: AGUARDANDO COCM'S CRIAREM OBRA PARA ENTREGA DO MATERIAL
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</si>
  <si>
    <t>190-32303850</t>
  </si>
  <si>
    <t>ETO-TELE  000634/2026</t>
  </si>
  <si>
    <t>ETO-TELE 00831/2025</t>
  </si>
  <si>
    <t>ETO-TELE 00237/2026</t>
  </si>
  <si>
    <t>boa tarde, feito primeiro ataque no religador 7950004155, o mesmo se encontra sem comunicação, enviar equipe DMSL para recuperar o mesmo, RELIGADOR DA FERROVIA NORTE SUL</t>
  </si>
  <si>
    <t>190-25970340</t>
  </si>
  <si>
    <t>ETO-TELE  000075/2026</t>
  </si>
  <si>
    <t>ETO-TELE 00643/2026</t>
  </si>
  <si>
    <t>190-17421508</t>
  </si>
  <si>
    <t>ETO-TELEGU  000094/2026</t>
  </si>
  <si>
    <t>ETO-TELE 00702/2026</t>
  </si>
  <si>
    <t>190-17421247</t>
  </si>
  <si>
    <t>ETO-TELEPA  000205/2026</t>
  </si>
  <si>
    <t>ETO-TELE 01117/2026</t>
  </si>
  <si>
    <t>ETO-TELE 00121/2026</t>
  </si>
  <si>
    <t>190-17421720</t>
  </si>
  <si>
    <t>ETO-TELE  000020/2026</t>
  </si>
  <si>
    <t>ETO-TELE 00795/2026</t>
  </si>
  <si>
    <t>Segue nota para verificar falha de comunicação religador 7924883090 fica na S/E Nazaré , quando há falta de CA .
OBS: quando falta CA na S/E Nazaré a comunicação falha de imediato .</t>
  </si>
  <si>
    <t>ETO-TELEAR  000073/2026</t>
  </si>
  <si>
    <t>ETO-TELE 00833/2026</t>
  </si>
  <si>
    <t>foi feito primeiro ataque o RL 7960870193 não retorno a comunicação.</t>
  </si>
  <si>
    <t>190-44336536</t>
  </si>
  <si>
    <t>ETO-TELE  000582/2026</t>
  </si>
  <si>
    <t>ETO-TELE 00365/2026</t>
  </si>
  <si>
    <t>COMISSIONAMENTO RLG 7925868030</t>
  </si>
  <si>
    <t>ETO-TELEAR  000022/2026</t>
  </si>
  <si>
    <t>ETO-TELE 00379/2026</t>
  </si>
  <si>
    <t>Religador com desarme de disjuntor comunicação desarmando com frequencia, curto interno 7931613122, tensão13.8, acesso livre.</t>
  </si>
  <si>
    <t>AL02097122</t>
  </si>
  <si>
    <t>190-17408987</t>
  </si>
  <si>
    <t>ETO-TELEPA  000139/2026</t>
  </si>
  <si>
    <t>ETO-TELE 00447/2026</t>
  </si>
  <si>
    <t>ETO-TELE 00474/2026</t>
  </si>
  <si>
    <t>190-17512781</t>
  </si>
  <si>
    <t>Segue nota para verificar falha de comunicação no religador 7925727002 quando falta CA , Local RDU- Tocantinopolis  .
Equipamento perde a comunicação quando falta CA !</t>
  </si>
  <si>
    <t>190-17421589</t>
  </si>
  <si>
    <t>BOBINA DE ABERTURA COM DEFEITO</t>
  </si>
  <si>
    <t>ETO-TELE 00141/2026</t>
  </si>
  <si>
    <t>RL 7925719023 INTERMITENTE, ERIODO MUITO LONGO PARA RETORNAR AUTOMAÇÃO, POR FAVOR ENVIIAR EQUIPE RL DE TRANSFERENCIA DE CARGAS  ENTRE 214R E 224R RDU COLINAS, FEITO PRIMEIOR ATAQUE POREM PERMANECEU DA MESMA FORMA</t>
  </si>
  <si>
    <t>190-17403055</t>
  </si>
  <si>
    <t>ETO-TELE  000009/2026</t>
  </si>
  <si>
    <t>ETO-RD-AG 00025/2026</t>
  </si>
  <si>
    <t>ETO-TELE 00323/2026</t>
  </si>
  <si>
    <t>ATUALIZAR AJUSTES DO RL 7955986084 LD PARAISO A DIVINOPOLIS. IMPLEMENTAÇÃO DE PROTEÇÃO DE SUBTENSÃO (27)
AJUSTES NO APP DA PROTEÇÃO</t>
  </si>
  <si>
    <t>ETO-TELE  000518/2026</t>
  </si>
  <si>
    <t>ETO-TELE 00434/2026</t>
  </si>
  <si>
    <t>RL 7950296049 FEITO ATAQUE, POREM O RL NÃO ACEITA COMANDO LOCAL, NEM REMOTO, EQUIPE TENTOU NO LOCLA POREM NÃO FUNCIONOU O MESMO FICOU FECHADO PELO BY-PASS</t>
  </si>
  <si>
    <t>ETO-TELEGU  000071/2026</t>
  </si>
  <si>
    <t>CHAVE DE COMANDO LOCAL COM DEFEITO</t>
  </si>
  <si>
    <t>ETO-TELE 00652/2026</t>
  </si>
  <si>
    <t>ETO-TELE 00857/2026</t>
  </si>
  <si>
    <t>FAVOR VERIFICAR RELIGADOR 7924616076 MESMO ABRIRIU 18/05/2026 19:03 SO SUBIU FECHADO AS 20:15 VERIFICAR A COMUNICAÇÃO.LD DUERE LOROTY.</t>
  </si>
  <si>
    <t>ETO-TELEGU  000239/2026</t>
  </si>
  <si>
    <t>ETO-TELE 00257/2026</t>
  </si>
  <si>
    <t>RELIGADOR N° 7961785122 REMANEJADO NA OBRA 0102401076 GENTILEZA, REALIZAR O COMISSIONAMENTO.
LAUDO EM ANEXO.
COORD EO: 792261, 8868643
PARECER DA PROTEÇÃO:
COORD TS: 792319, 8868633, AJUSTE DISPONIBILIZADO NO APP DA DA PROTEÇÃO, NOTA REPASSADA PARA DMSL COMISSIONAR, POLO PALMAS.
ENG° IRLLEY CASTELO BRANCO.
PARACER DMSL: DEIXAMOS O EQUIPAMENTO COMISSIONADO E EM OPERAÇÃO, ESTAMOS REPASSANDO A NOTA PARA QUE POSSAM VERIFICAR A PENDENCIA.
PARECER DMSL:SERVIÇO REALIZADO:
Foi feito o comissionamento do equipamento com scada, realizado testes de comandos local e remotamente.
Equipamento ficou em operação?:sim
Pendência:sim
*#Controle está faltando aterramento.* fibra para melhoria das mesmas.*
Observação:
Bateria(s) substituída(s)? sim
Data Fabricação/Instalação da(s) bateria(s): 29/08/2025
Equipe: Ellisfran/ Ana Maria</t>
  </si>
  <si>
    <t>190-17409191</t>
  </si>
  <si>
    <t>ETO-PROT 00206/2025</t>
  </si>
  <si>
    <t>ETO-TELE 00513/2026</t>
  </si>
  <si>
    <t>verificar falha na comunicação quando falta ca na se em todos os DJs</t>
  </si>
  <si>
    <t>2PTA</t>
  </si>
  <si>
    <t>2PTATR01</t>
  </si>
  <si>
    <t>190-23187619</t>
  </si>
  <si>
    <t>TRANSFORMADOR DE FORÇA REGULADOR GIS</t>
  </si>
  <si>
    <t>ETO-TELE  000528/2026</t>
  </si>
  <si>
    <t>ETO-TELE 00340/2026</t>
  </si>
  <si>
    <t>foi realizado primeiro ataque ao religador 7930910156, mais o mesmo não retornou comunicação. favor enviar equipe para verificar</t>
  </si>
  <si>
    <t>ETO-TELE  000359/2026</t>
  </si>
  <si>
    <t>ETO-TELE 00852/2026</t>
  </si>
  <si>
    <t>segur Regulador 5854782001 fora de operação devido relé danificado queimado,, enviar equipe para verificar situação e corrigir</t>
  </si>
  <si>
    <t>190-38375895</t>
  </si>
  <si>
    <t>ETO-TELE 01013/2026</t>
  </si>
  <si>
    <t>Olá, solicito ajuste no RL:
Ponto 11 (Corrente de Neutro): Ajustar para 3A;</t>
  </si>
  <si>
    <t>ETO-TELEGU  000258/2026</t>
  </si>
  <si>
    <t>ETO-TELE 01038/2026</t>
  </si>
  <si>
    <t>FEITO PRIMEIRO ATAQUE COM EQUIPE LOCAL E O MESMO NÃO VOLTOU A COMUNICAR. FEITO RESETE E PERMANECEU EM COMANDO LOCAL MESMO COM ATUAÇÃO DA EQUIPE.
RL 7936134193</t>
  </si>
  <si>
    <t>190-17407931</t>
  </si>
  <si>
    <t>ETO-TELEAR  000124/2026</t>
  </si>
  <si>
    <t>ETO-TELE 00565/2026</t>
  </si>
  <si>
    <t>AL02103004</t>
  </si>
  <si>
    <t>190-17421131</t>
  </si>
  <si>
    <t>ETO-TELE  000437/2026</t>
  </si>
  <si>
    <t>ETO-TELE 00198/2026</t>
  </si>
  <si>
    <t>FEITO PRIMEIRO ATAQUE NO RL 7954717001
EQUIPE 071OP01 - ENVIAR EQUIPE RESPONSAVEL PARA ESTA VERIFICANDO - RL INDISPONIVEL</t>
  </si>
  <si>
    <t>190-39333111</t>
  </si>
  <si>
    <t>ETO-TELEPA  000084/2026</t>
  </si>
  <si>
    <t>ETO-TELE 00745/2026</t>
  </si>
  <si>
    <t>190-17421375</t>
  </si>
  <si>
    <t>ETO-TELE 00951/2026</t>
  </si>
  <si>
    <t>FEITO PRIMEIRO ATAQUE NO RL 7936096015 E O MESMO NÃO RECONHECEU COMANDO LOCAL E NEM REMOTO.
PROVIDENCIAR MANUTENÇÃO PARA O MESMO.</t>
  </si>
  <si>
    <t>190-17404243</t>
  </si>
  <si>
    <t>ETO-TELEAR  000131/2026</t>
  </si>
  <si>
    <t>ETO-TELE 00022/2026</t>
  </si>
  <si>
    <t>190-17419980</t>
  </si>
  <si>
    <t>ETO-TELEPA  000032/2026</t>
  </si>
  <si>
    <t>ETO-TELE 00201/2026</t>
  </si>
  <si>
    <t>ATUALIZAR AJUSTES DO RL 7937112036 AL 02 SE ALVORADA. AJUSTES DISPONIVEIS NO APP DA PROTEÇÃO.</t>
  </si>
  <si>
    <t>190-17414747</t>
  </si>
  <si>
    <t>ETO-TELE  000350/2026</t>
  </si>
  <si>
    <t>ETO-TELE 00413/2026</t>
  </si>
  <si>
    <t>Substituir para raios estourados do e cedula fase B do regulador de tensão 5800291077 o mesmo está com vazamento de óleo e  danificada (fase b)
PARECER DCMD: FOI SUBSTITUIDO A CELULA FASE B</t>
  </si>
  <si>
    <t>ETO-TELE  000371/2026</t>
  </si>
  <si>
    <t>ETO-TELE 00577/2026</t>
  </si>
  <si>
    <t>190-17512680</t>
  </si>
  <si>
    <t>ETO-TELE  000419/2026</t>
  </si>
  <si>
    <t>ETO-TELE 00110/2026</t>
  </si>
  <si>
    <t>190-17514003</t>
  </si>
  <si>
    <t>ETO-TELE  000035/2026</t>
  </si>
  <si>
    <t>ETO-TELE 00359/2026</t>
  </si>
  <si>
    <t>ENVIAR EQUIPE NO RL 7960538048 LD  GUARAI I I A MIRANORTE PARA COLETA BASE DE DADOS REGISTRADOS NO RELE DO ATIVO.
TRATAR ESTA DEMANDA COM URGENCIA, POIS OS DADOS FARÃO PARTE DE UMA INVESTIGAÇÃO DE INCIDENTE COM EQUIPE PROPRIA. ENVIAR BASE DE DADOS PARA AREA DE PROTEÇÃO, AOS CUIDADOS DE CLEBSON ALVES DUARTE E MARLON TORRES SALMEIRÃO</t>
  </si>
  <si>
    <t>190-37499827</t>
  </si>
  <si>
    <t>ETO-TELE  000364/2026</t>
  </si>
  <si>
    <t>ETO-TELE 01116/2026</t>
  </si>
  <si>
    <t>190-17408867</t>
  </si>
  <si>
    <t>ETO-TELE 00560/2026</t>
  </si>
  <si>
    <t>190-17512748</t>
  </si>
  <si>
    <t>ETO-TELE  000420/2026</t>
  </si>
  <si>
    <t>ETO-TELE 00666/2026</t>
  </si>
  <si>
    <t>190-17512869</t>
  </si>
  <si>
    <t>ETO-TELEGU  000189/2026</t>
  </si>
  <si>
    <t>ETO-TELE 00175/2026</t>
  </si>
  <si>
    <t>PARECER DMSL: Equipe DMSL esteve no RLG 7925732016 e constatou que o equipamento teve o trafo auxiliar furtado. Favor, verficar a situação e instalar novo transformador auxiliar.
RELIGADOR SEM COMUNICAÇÃO E FORA DE OPERAÇÃO, NECESSITA VERIFICAÇÃO.</t>
  </si>
  <si>
    <t>190-26081764</t>
  </si>
  <si>
    <t>ETO-TELE 00564/2026</t>
  </si>
  <si>
    <t>190-17513182</t>
  </si>
  <si>
    <t>ETO-TELE  000483/2026</t>
  </si>
  <si>
    <t>ETO-TELE 00105/2026</t>
  </si>
  <si>
    <t>190-17512772</t>
  </si>
  <si>
    <t>ETO-TELE  000057/2026</t>
  </si>
  <si>
    <t>ETO-TELE 00362/2026</t>
  </si>
  <si>
    <t>PARECER DMSL: EQUIPAMENTO ENCONTRA-SE SEM ALIMENTAÇÃO CA E SEM A MALHA DE ATERRAMENTO. FAVOR, SANAR PENDÊNICA O QUANTO ANTES.
 RELIGADOR N° 7957163122 INSTALADO NA OBRA 0102301030 GENTILEZA, REALIZAR O COMISSIONAMENTO.
LAUDO EM ANEXO.
COORD EO: 794384, 8870283
PARECER DA PROTEÇÃO:
AJUSTE DISPONIBILIZADO NO APP DA PROTEÇÃO, NOTA REPASSADA PARA DMSL COMISSIONAR, RL ORIGINARIO DA ENTRADA DA UFV PARQUE DO POVO DE 2.5MW.
ENG° IRLLEY CASTELO BRANCO.
******** PARECER DO COCM NA DATA 13.03.2026
SS NO POSTO ETO RD PA, JA TEM PARECER DA PROTEÇÃO ESTAMOS REPASSADO PARA POSTO TELE-</t>
  </si>
  <si>
    <t>190-46148841</t>
  </si>
  <si>
    <t>ETO-TELEPA  000376/2026</t>
  </si>
  <si>
    <t>ETO-PROT 00273/2024</t>
  </si>
  <si>
    <t>ETO-TELE 00282/2026</t>
  </si>
  <si>
    <t>PARECER DMSL 10/06/2026: Tem uma nota aberta para esse equipamento solicitando a substituição desde 20/10/2025, como a nota não foi atendida estamos repassando para área responsável. Nota em aberto repassada ETO-COEP 210/2025.
ATUALIZAR A BASE DO RELÉ COOPER PARA A MAIS ATUAL JUNTO COM O TIME SCADA, SE FAZ NECESSARIO VISTO QUE NÃO TEM AS CORRENTES DE FALTA NA TELA DO OPERADOR, AS CORRENTES ANALOGICAS TAMBÉM ESTÃO INCONSISTENTES.</t>
  </si>
  <si>
    <t>ETO-TELE 00809/2026</t>
  </si>
  <si>
    <t>190-52112360</t>
  </si>
  <si>
    <t>ETO-TELE 00206/2026</t>
  </si>
  <si>
    <t>rl 7900453110 esta com um barulho estranho quando coloca carga e o mesmo estava fechado em campo e mostrando aberto  no sacada , favor verificar</t>
  </si>
  <si>
    <t>ETO-TELE 00018/2026</t>
  </si>
  <si>
    <t>ETO-TELE 01085/2026</t>
  </si>
  <si>
    <t>190-36404806</t>
  </si>
  <si>
    <t>ETO-TELE  000647/2026</t>
  </si>
  <si>
    <t>SUCUPIRA</t>
  </si>
  <si>
    <t>ETO-TELE 00185/2026</t>
  </si>
  <si>
    <t>Religador com alarme de sef indevido.</t>
  </si>
  <si>
    <t>ETO-TELE  000069/2026</t>
  </si>
  <si>
    <t>ETO-TELE 00288/2026</t>
  </si>
  <si>
    <t>190-17413314</t>
  </si>
  <si>
    <t>ETO-TELE 00335/2026</t>
  </si>
  <si>
    <t>PARECER DMSL: Data13/03/2026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SOLICITAMOS A CORREÇÃO DAS MESMAS
Equipe: Carliel e João Vitor
Senhores segue para conhecimento rl 7926078046 grupo 01 , o mesmo nao abre vindo a tira a ld rl 7950592046.
PARECER DA PROTEÇÃO:
Após análise do histórico de operação e verificação da ausência de leitura de corrente no religador, há indícios de possível falha na parte ativa, especificamente nos sensores de corrente do equipamento.
Diante dessa suspeita, solicitamos ao DMSL a realização de ensaio com mala de carga, a fim de confirmar o diagnóstico e validar as condições de medição do religador.
Eng° Irlley Castelo Branco.</t>
  </si>
  <si>
    <t>ETO-PROT 00056/2026</t>
  </si>
  <si>
    <t>ETO-TELE 00192/2026</t>
  </si>
  <si>
    <t>PROVIDENCIAR MANUTENÇÃO PARA O RELIGADOR 7908418023. SEMPRE QUE É FEITO COMANDO DE ABERTURA O MESMO PERDE A COMUNICAÇÃO.</t>
  </si>
  <si>
    <t>AL06020023</t>
  </si>
  <si>
    <t>190-17337571</t>
  </si>
  <si>
    <t>ETO-TELE  000072/2026</t>
  </si>
  <si>
    <t>ETO-TELE 00937/2026</t>
  </si>
  <si>
    <t>por gentileza verificar ajuste pois o mesmo não esta atuando e sim o RL a sua montante 7925866090.
Parecer da Proteção:
Alterar o ajuste de SEF e 46, verificar se a base já se encontra atualizada.
Atte.</t>
  </si>
  <si>
    <t>190-17421761</t>
  </si>
  <si>
    <t>ETO-TELE  000615/2026</t>
  </si>
  <si>
    <t>ETO-PROT 00009/2026</t>
  </si>
  <si>
    <t>SANTA TEREZINHA DO TOCANTINS</t>
  </si>
  <si>
    <t>ETO-TELE 00116/2026</t>
  </si>
  <si>
    <t>190-17512779</t>
  </si>
  <si>
    <t>ETO-TELE  000031/2026</t>
  </si>
  <si>
    <t>ETO-TELE 00595/2026</t>
  </si>
  <si>
    <t>190-17514008</t>
  </si>
  <si>
    <t>ETO-TELE  000500/2026</t>
  </si>
  <si>
    <t>ETO-TELE 00236/2026</t>
  </si>
  <si>
    <t>Religador 7956117005, sem comunicação apos primeiro ataque não retornou as comunicação</t>
  </si>
  <si>
    <t>ETO-TELE  000334/2026</t>
  </si>
  <si>
    <t xml:space="preserve">PARECER DMSL:
Necessário substituir a placa de alimentação ca, a mesma está em curto não conseguimos recuperar.
Equipamento ficou em operação?: _Nao
Pendência: Sim
Bateria(s) Substituída(s)? Não
Data Fabricação/Instalação da(s) bateria(s): 06/2024
Equipe: Benvindo e Kaique
----------------------------------------------------------------------
RL 7955946007 SEM COMUNICAÇÃO FEITO PRIMEIRO ATAQUE-- </t>
  </si>
  <si>
    <t>ETO-TELE 00707/2026</t>
  </si>
  <si>
    <t>190-17419964</t>
  </si>
  <si>
    <t>ETO-TELEPA  000322/2026</t>
  </si>
  <si>
    <t>ETO-TELE 00397/2026</t>
  </si>
  <si>
    <t>RT 5862050086 O TRILHO DO R3 ESTÁ DANIFICADO, NÃO COMUTA AUTOMÁTICO NEM MANUAL. EQUIPE 086OP01 FOI NO LOCAL E FEZ OS TESTE COM BEMVINDO.</t>
  </si>
  <si>
    <t>190-57891767</t>
  </si>
  <si>
    <t>ETO-TELE  000385/2026</t>
  </si>
  <si>
    <t>ETO-TELE 01028/2026</t>
  </si>
  <si>
    <t>Verificar falha no rele, o mesmo não esta recebendo comando de auto-zero, imposibilitando de zera o equipamento
Verificar ajuste junto a proteção</t>
  </si>
  <si>
    <t>190-30946866</t>
  </si>
  <si>
    <t>ETO-TELEAR 00007/2026</t>
  </si>
  <si>
    <t>ETO-TELE 00558/2026</t>
  </si>
  <si>
    <t>190-17421358</t>
  </si>
  <si>
    <t>ETO-TELE  000443/2026</t>
  </si>
  <si>
    <t>ETO-TELE 00747/2026</t>
  </si>
  <si>
    <t>AL05060122</t>
  </si>
  <si>
    <t>190-17421724</t>
  </si>
  <si>
    <t>ETO-TELE 00799/2026</t>
  </si>
  <si>
    <t>Religador não tem informação de corrente e tensão no elipse.</t>
  </si>
  <si>
    <t>190-17414613</t>
  </si>
  <si>
    <t>ETO-TELEPA  000409/2026</t>
  </si>
  <si>
    <t>ETO-TELE 01047/2026</t>
  </si>
  <si>
    <t>SEGUES SS PARA REGULARIZAR REGULADOR DE TENSÃO COM TAP TRAVADO FASE A (O MESMO NÃO COMUTA) O MESMO FICA NA LD TOCANTINOPOLIS / PALMEIRAS DO TOCANTINS PROXIMO DO RL [7930581123] (RT FICOU EM OPERAÇÃO)</t>
  </si>
  <si>
    <t>190-31363416</t>
  </si>
  <si>
    <t>ETO-TELE 01103/2026</t>
  </si>
  <si>
    <t>BANCO CAPACITOR COM CELULA DANIFICADA
FASE B
N° 5900066013
RDU PARAISO ACESSO LIVRE . MESMO ESTA FORA DE OPERAÇÃO</t>
  </si>
  <si>
    <t>190-39732420</t>
  </si>
  <si>
    <t>BANCO CAPACITOR DE DISTRIBUIÇÃO GIS</t>
  </si>
  <si>
    <t>CORPO (CÉLULA)</t>
  </si>
  <si>
    <t>CORPO QUEIMADO, DANIFICADO, ETC</t>
  </si>
  <si>
    <t>ETO-TELE 00345/2026</t>
  </si>
  <si>
    <t>Religador com falha de comunicaçao, devido curto na alimentaçao do relé, o mesmo ficou Bay passado</t>
  </si>
  <si>
    <t>190-17373983</t>
  </si>
  <si>
    <t>ETO-TELEPA  000149/2026</t>
  </si>
  <si>
    <t>DOLP-RD-PA 00319/2026</t>
  </si>
  <si>
    <t>ETO-TELE 00125/2026</t>
  </si>
  <si>
    <t>190-17421366</t>
  </si>
  <si>
    <t>ETO-TELE  000028/2026</t>
  </si>
  <si>
    <t>ETO-TELE 00427/2026</t>
  </si>
  <si>
    <t>Segue para normalizar regulador de tensão N: 5855165193- Rural - Campos lindos .
equipamento não esta comutando corretamente as duas fases BC , a fase B e C não esta sinalizando  no scada tensão e corrente .</t>
  </si>
  <si>
    <t>ETO-TELE  000377/2026</t>
  </si>
  <si>
    <t>ETO-TELE 00605/2026</t>
  </si>
  <si>
    <t>PROVIDENCIAR INSPEÇÃO E MANUTENÇÃO PARA O RT 5855189265.
OBS.: TODA VEZ QUE COLOCA NO AUTOMATICO O MESMO DIMINUE A TENSÃO POR VOLTA DE 18.14
PARECER DA PROTEÇÃO:
DEVERÁ SER FEITO UM CHEEK IN LOCO, NOTA TRANSFERIDA PARA DMSL VERIFICAR.
ENG° IRLLEY CASTELO BRANCO</t>
  </si>
  <si>
    <t>190-37271954</t>
  </si>
  <si>
    <t>ETO-TELE  000577/2026</t>
  </si>
  <si>
    <t>ETO-PROT 00091/2026</t>
  </si>
  <si>
    <t>ETO-TELE 00863/2026</t>
  </si>
  <si>
    <t>favor verificar seletividade do RL 7908690013, e falha de comunicaçao, o mesmo quando assume cargas do AL 254R072 atua,conforme ocorrencia 20264413165508
Parecer da proteção:
Coletar eventos para verificação dos motivos de aberturas, se foi realmente sobrecarga ou defeito.
Engº Irlley Castelo Branco</t>
  </si>
  <si>
    <t>ETO-TELE  000606/2026</t>
  </si>
  <si>
    <t>ETO-PROT 00118/2026</t>
  </si>
  <si>
    <t>ETO-TELE 00964/2026</t>
  </si>
  <si>
    <t>PARECER COEP: Reavaliar a necessidade já que equipamento se encontra em operação no SCADA, ou.tro ponto é que necessitamos do modelo a ser substituido
Enviar equipe para verificar o RL 7955430075 sem comunicação, já foi feito o primeiro ataque com a equipe do DEOP porém sem sucesso.
OS: 100508881.
PARECER DMSL: Data: 03/09/2025
Serviço Executado:
Necessário substituir a parte ativa pois, após testes, foi constatado defeito no sensor do tanque. O mesmo não esta lendo tensão na fase B.
Equipamento ficou em operação? NÃO.
Pendência: Substituir parte ativa.</t>
  </si>
  <si>
    <t>190-41162353</t>
  </si>
  <si>
    <t>ETO-TELEPA  000164/2026</t>
  </si>
  <si>
    <t>ETO-TELE 00920/2025</t>
  </si>
  <si>
    <t>ETO-TELE 00100/2026</t>
  </si>
  <si>
    <t>190-17421118</t>
  </si>
  <si>
    <t>ETO-TELE  000024/2026</t>
  </si>
  <si>
    <t>ETO-TELE 00394/2026</t>
  </si>
  <si>
    <t>Equipamento 7929534082 indisponivel para operação no sistema  SCADA
equipe esteve no local fez priemiro ataque porem não teve sucesso.
Detalhe&gt; não foi encontrado anomalia</t>
  </si>
  <si>
    <t>190-17402775</t>
  </si>
  <si>
    <t>ETO-TELE 00604/2026</t>
  </si>
  <si>
    <t>VERIFICAR RL 7930262058 O MESMO NÃO DESARMA EM DEFEITOS A JUSANTE DELE, PENALIZANDO CARGAS FORA DO SEU TRECHO DEVIDO ATUAR PROTEÇÃO DA MONTANTE DO RELIGADOR
PA DALILA / SÃO SEBASTIÃO
PARECER DA PROTEÇÃO:
REALIZAR TESTE FUNCIONAL, VERIFICAR SE REALMENTE ESTÁ ABRINDO O RELIGADOR. O NOJA POSSUI O SIMULADOR.
ENG° IRLLEY CASTELO BRANCO</t>
  </si>
  <si>
    <t>ETO-TELE  000581/2026</t>
  </si>
  <si>
    <t>ETO-PROT 00078/2026</t>
  </si>
  <si>
    <t>ETO-TELE 00748/2026</t>
  </si>
  <si>
    <t>190-17421254</t>
  </si>
  <si>
    <t>ETO-TELEPA  000410/2026</t>
  </si>
  <si>
    <t>ETO-TELE 01119/2026</t>
  </si>
  <si>
    <t>Reenviar equipe para correção de ajustes de proteção.</t>
  </si>
  <si>
    <t>190-17413959</t>
  </si>
  <si>
    <t>ETO-TELE 00967/2026</t>
  </si>
  <si>
    <t>PARECER COEP: Verificar Disponibilidade de equipamento no Scada e enviar modelo e tensão para a compra.
RELIGADOR COM RELÉ DANIFICADO, REALIZAR SUBSTITUIÇÃO</t>
  </si>
  <si>
    <t>190-17421632</t>
  </si>
  <si>
    <t>ETO-COEP 00057/2026</t>
  </si>
  <si>
    <t>ETO-TELE 00156/2026</t>
  </si>
  <si>
    <t>190-17512822</t>
  </si>
  <si>
    <t>ETO-TELE 00289/2026</t>
  </si>
  <si>
    <t>190-17413312</t>
  </si>
  <si>
    <t>ETO-TELE  000353/2026</t>
  </si>
  <si>
    <t>ETO-TELE 00508/2026</t>
  </si>
  <si>
    <t>ETO-TELE  000628/2026</t>
  </si>
  <si>
    <t>ETO-TELE 00650/2026</t>
  </si>
  <si>
    <t>190-28872942</t>
  </si>
  <si>
    <t>ETO-TELEGU  000107/2026</t>
  </si>
  <si>
    <t>ETO-TELE 00884/2026</t>
  </si>
  <si>
    <t>Parecer da Proteção:
Comissionar Regulador. Planilha com informações em anexo, ajustes disponíveis no APP da Proteção
Estagiário Rafael P Marques
OBRA 0502500086
REGULADOR TOPOLOGIA 5863049038
COORDENADA 995773,8623051
POSTE 1032271
LAUDO EM ANEXO
-----------------------------------------------------------------------------------
PARECER DMSL: Chamado de desenvolvimento 30548851 criado. Favor, programar comissionamento a partir do dia 09/06/2026.</t>
  </si>
  <si>
    <t>190-1032271</t>
  </si>
  <si>
    <t>ETO-TELE  000635/2026</t>
  </si>
  <si>
    <t>ETO-PROT 00110/2026</t>
  </si>
  <si>
    <t>ETO-TELE 00025/2026</t>
  </si>
  <si>
    <t>190-17421751</t>
  </si>
  <si>
    <t>ETO-TELEPA  000033/2026</t>
  </si>
  <si>
    <t>ETO-TELE 00373/2026</t>
  </si>
  <si>
    <t>PARECER DA PROTEÇÃO:
Nota sendo repassada para o posto ETO-TELE pendente a programação da comunicação em campo. Ajustes permanecem os mesmos.
Estagiário Rafael Pereira Marques
**********************************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
FAVOR REALIZAR A SUBSTITUIÇAO E OS APARATOS SOLICITADOS
***** PARECER COCM CENTRO************
SUBSTITUIDO O TRANQUE DO RL 7900448083 DEIXA AS CHAVE ABERTA..NOTA REPASSADA PARA PROTEÇÃO RELATORIO DO EQUIPAMENTO ATENDIDA PELA NOTA DOLP RD PA 316/2026</t>
  </si>
  <si>
    <t>ETO-TELE  000397/2026</t>
  </si>
  <si>
    <t>ETO-RD-PA 00152/2026</t>
  </si>
  <si>
    <t>ETO-TELE 00636/2026</t>
  </si>
  <si>
    <t>190-17421584</t>
  </si>
  <si>
    <t>ETO-TELEGU  000104/2026</t>
  </si>
  <si>
    <t>ETO-TELE 00415/2026</t>
  </si>
  <si>
    <t>DA PROTEÇÃO: Atualizar os ajustes do RL 7901100084, disponíveis no APP da Proteção.
Estagiário Rafael P Marques
********************</t>
  </si>
  <si>
    <t>ETO-TELE  000516/2026</t>
  </si>
  <si>
    <t>ETO-TELE 00732/2026</t>
  </si>
  <si>
    <t>190-17512498</t>
  </si>
  <si>
    <t>ETO-TELEPA  000347/2026</t>
  </si>
  <si>
    <t>ETO-TELE 00883/2026</t>
  </si>
  <si>
    <t>PARECER DA PROTEÇÃO:
Favor comissionar o Regulador, planilha com informações em anexo.
Estagiário Rafael P Marques.
TOPOLOGIA 5863512038
REGULADOR OBRA 0502500636
COORDENADA: 988576,8624404
PST 64813720
LAUDO EM ANEXO
----------------------------------------------------------------------
PARECER DMSL: Chamado de Desenvolvimento 30548823 criado. Favor, programar comissionamento a partir do dia 09/06/2026.</t>
  </si>
  <si>
    <t>190-64813720</t>
  </si>
  <si>
    <t>ETO-PROT 00106/2026</t>
  </si>
  <si>
    <t>ETO-TELE 00561/2026</t>
  </si>
  <si>
    <t>190-28872938</t>
  </si>
  <si>
    <t>ETO-TELE  000446/2026</t>
  </si>
  <si>
    <t>ETO-TELE 00527/2026</t>
  </si>
  <si>
    <t>190-17421603</t>
  </si>
  <si>
    <t>ETO-TELE  000540/2026</t>
  </si>
  <si>
    <t>ETO-TELE 00232/2026</t>
  </si>
  <si>
    <t>EQUIPE ENERGISA PRECISA MIGRAR EQUIPAMENTOS PARA FAIXA 19.63 ANTES</t>
  </si>
  <si>
    <t>2DIA</t>
  </si>
  <si>
    <t>190-62</t>
  </si>
  <si>
    <t>ETO-TELEGU  000038/2026</t>
  </si>
  <si>
    <t>ETO-SE-GU 00229/2025</t>
  </si>
  <si>
    <t>ETO-TELE 00500/2026</t>
  </si>
  <si>
    <t>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</si>
  <si>
    <t>190-17412746</t>
  </si>
  <si>
    <t>ETO-TELE 00521/2026</t>
  </si>
  <si>
    <t>190-17421388</t>
  </si>
  <si>
    <t>ETO-TELEAR  000044/2026</t>
  </si>
  <si>
    <t>ETO-TELE 00897/2026</t>
  </si>
  <si>
    <t>Segue nota para envia equipe colocar RL-7931604122 em operação e verificar constante falha de comunicação e automação no equipamento, Obs. RL foi isolador após abalroamento na sua estrutura pela ocorrência Int-20264460073558 dia 30/05/2026</t>
  </si>
  <si>
    <t>190-17421378</t>
  </si>
  <si>
    <t>ETO-TELEPA  000374/2026</t>
  </si>
  <si>
    <t>ETO-TELE 01001/2026</t>
  </si>
  <si>
    <t>PARECER COEP: AGUARDANDO RETORNO DO DMSL, EQUIPAMENTO FOI INSTALADO NOVO NA OBRA 0212501060, ENTENDER O PORQUE NÃO FOI REALIZADO COMISSIONAMENTO
PARECER DMSL: Substituir Equipamento completo problema na placa de alimentação e na parte ativa, falta colocar placa de identificação correta na topologia, baixar o controle.
Equipamento ficou em operação?: nao
Pendência: sim
Bateria(s) substituída(s)? NÃO
Equipe: Kaique/ Benvindo
13/07/2026 PARECER COEP: SUBSTITUIÇÃO REALZIADA , FAVOR COMISSIONAR
PARECER DMSL (22/07/26): Solicito que o laudo de substituição seja anexado, e a SS seja repassada para proteção atribuir a ordem de ajuste, antes de repassar para ETO-TELE.
----------------------------------------------
PARECER DA PROTEÇÃO:
Prosseguir com o comissionamento. Ajustes de religador permanecem os mesmos, disponíveis no APP da Proteção.
********************************
RELIGADOR N°7919270014 REMANEJADO NA OBRA 0212501060 GENTILEZA, REALIZAR O COMISSIONAMENTO.
LAUDO EM ANEXO. 
COORD EO: 617422, 8830787</t>
  </si>
  <si>
    <t>ETO-TELE 00210/2026</t>
  </si>
  <si>
    <t>Segue nota para verificar proteção do Alimentador 4 da SE Palmas II defeito no ultimo trecho abriu na SE</t>
  </si>
  <si>
    <t>ETO-TELE  000509/2026</t>
  </si>
  <si>
    <t>ETO-PROT 00020/2025</t>
  </si>
  <si>
    <t>ETO-TELE 00468/2026</t>
  </si>
  <si>
    <t>190-17513886</t>
  </si>
  <si>
    <t>ETO-TELE 00473/2026</t>
  </si>
  <si>
    <t>190-34575643</t>
  </si>
  <si>
    <t>ETO-TELE 00569/2026</t>
  </si>
  <si>
    <t>190-17512957</t>
  </si>
  <si>
    <t>ETO-TELE  000392/2026</t>
  </si>
  <si>
    <t>ETO-TELE 00645/2026</t>
  </si>
  <si>
    <t>ETO-TELEGU  000124/2026</t>
  </si>
  <si>
    <t>ETO-TELE 00171/2026</t>
  </si>
  <si>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
Parecer DCMD: foi substituido célula 30/07/2026. o mesmo está liberado para ser colocado em operação</t>
  </si>
  <si>
    <t>190-15773574</t>
  </si>
  <si>
    <t>ETO-TELE 00935/2025</t>
  </si>
  <si>
    <t>ETO-TELE 00803/2026</t>
  </si>
  <si>
    <t>Foi realizado o primeiro ataque no religador 7956702007, porém sem sucesso. A equipe em campo informou que o rádio de comunicação do equipamento encontra-se danificado, impossibilitando a operação remota. Favor enviar equipe para devidas trativas</t>
  </si>
  <si>
    <t>190-35954976</t>
  </si>
  <si>
    <t>ETO-TELE  000565/2026</t>
  </si>
  <si>
    <t>ETO-TELE 00820/2026</t>
  </si>
  <si>
    <t>PARECER COEP:
fAVOR REALIZAR MELHORIA DE ATERRMENTO
---------------------------------------------------------------------
PARECER DMSL 19/05/2026: É necessário fazer melhorias na malha de aterramento.
PARECER DMSL: 
Equipamento By-passado informação da equipe local o mesmo estava tirando a LD!
Foi feito os ensaios de isolação nas 3 células do banco, as três células estão com isolação boas, feito a medição da malha de terra a mesma está com a resistência ruim, deve ser feito melhorias!
Equipamento ficou em operação?
Não
Pendência: Sim. É necessário fazer melhorias na malha de aterramento.
PARECER DCMD: foi feito a melhoria da malha de aterramento.</t>
  </si>
  <si>
    <t>190-22161666</t>
  </si>
  <si>
    <t>ETO-RD-PS 00198/2026</t>
  </si>
  <si>
    <t>ETO-TELE 00015/2026</t>
  </si>
  <si>
    <t>190-17513082</t>
  </si>
  <si>
    <t>ETO-TELEPA  000276/2026</t>
  </si>
  <si>
    <t>SEGUE SS DE RELIGADOR COM ATUAÇÃO INDEVIDA ,  O MESMO ABRIU E NÃO ACEITAVA COMANDO REMOTO, EQUIPE TEVE QUE IR NO LOCAL E FAZER UM RESET NO MESMO, SEGUE IMAGEM ANEXADA</t>
  </si>
  <si>
    <t>ETO-TELE 00311/2026</t>
  </si>
  <si>
    <t>PARECER DMSL:
Chamado de desenvolvimento 30487795 criado. Favor, programar comissionamento a partir do dia 02/03/2026. (POLOTOC)
PARECER DA PROTEÇÃO:
ESTUDO REALIZADO. OS AJUSTES ESTÃO DISPONÍVEIS NO APP DA PROTEÇÃO.
Estagiário Rafael Pereira Marques
________
RELIGADOR N° 7965013080 INSTALADO NA OBRA 0602401151 GENTILEZA, REALIZAR O COMISSIONAMENTO.
LAUDO EM ANEXO.
COORD EO: 842334, 9260757</t>
  </si>
  <si>
    <t>190-38376535</t>
  </si>
  <si>
    <t>ETO-TELE  000356/2026</t>
  </si>
  <si>
    <t>ETO-PROT 00025/2026</t>
  </si>
  <si>
    <t>ETO-TELE 00407/2026</t>
  </si>
  <si>
    <t>foi realizado primeiro ataque no religador 7942706030 com a equipe 053op01, ficou um dia normal porem o mesmo retornou a ficar sem comunicação.</t>
  </si>
  <si>
    <t>ETO-TELE  000379/2026</t>
  </si>
  <si>
    <t>ETO-TELE 00497/2026</t>
  </si>
  <si>
    <t>Foi feito o primeiro ataque com a equipe 004OP02, porém a equipe não conseguiu retornar a comunicação do RL 7900252004, favor enviar equipe.</t>
  </si>
  <si>
    <t>190-17412153</t>
  </si>
  <si>
    <t>ETO-TELE 00683/2026</t>
  </si>
  <si>
    <t>ETO-TELEGU  000173/2026</t>
  </si>
  <si>
    <t>ETO-TELE 00935/2026</t>
  </si>
  <si>
    <t>RT 5848305116 - Na função Auto zero Regulador 2 foi para o TAP 16, em automático demostra comutação indevida e  em Falha na Cédula RT2, Houve queima de para-raios no Cliente Nativa, devido essas comutações,  por gentileza verificar em campo</t>
  </si>
  <si>
    <t>190-33360236</t>
  </si>
  <si>
    <t>ETO-TELEGU  000227/2026</t>
  </si>
  <si>
    <t>ETO-TELE 00027/2026</t>
  </si>
  <si>
    <t>ETO-TELE 00304/2026</t>
  </si>
  <si>
    <t>Dijuntor do painel de controle em curto.
realizado primeiro ataque pela equipe 016op01 mais o mesmo não aceita , transformador ficou aberto em campo.</t>
  </si>
  <si>
    <t>190-17412792</t>
  </si>
  <si>
    <t>ETO-TELE  000361/2026</t>
  </si>
  <si>
    <t>ETO-TELE 00537/2026</t>
  </si>
  <si>
    <t>190-17514114</t>
  </si>
  <si>
    <t>ETO-TELEAR  000052/2026</t>
  </si>
  <si>
    <t>ETO-TELE 00603/2026</t>
  </si>
  <si>
    <t>AL03103004</t>
  </si>
  <si>
    <t>190-17421113</t>
  </si>
  <si>
    <t>ETO-TELE  000391/2026</t>
  </si>
  <si>
    <t>190-17512893</t>
  </si>
  <si>
    <t>ETO-TELE  000646/2026</t>
  </si>
  <si>
    <t>ETO-TELE 00377/2026</t>
  </si>
  <si>
    <t>Religador 7925870030 sem comunicação foi feito primeiro ataque o mesmo não voltou a comunição.</t>
  </si>
  <si>
    <t>190-17410425</t>
  </si>
  <si>
    <t>ETO-TELEAR  000024/2026</t>
  </si>
  <si>
    <t>ETO-TELE 00620/2026</t>
  </si>
  <si>
    <t>190-39844161</t>
  </si>
  <si>
    <t>ETO-TELEGU  000113/2026</t>
  </si>
  <si>
    <t>ETO-TELE 00557/2026</t>
  </si>
  <si>
    <t>AL02014045</t>
  </si>
  <si>
    <t>190-17421455</t>
  </si>
  <si>
    <t>ETO-TELE  000444/2026</t>
  </si>
  <si>
    <t>ETO-TELE 00712/2026</t>
  </si>
  <si>
    <t>190-17421488</t>
  </si>
  <si>
    <t>ETO-TELE 00375/2026</t>
  </si>
  <si>
    <t>PARECER DMSL: Realizar substituição do controle completo (RUA01).
Equipe: Adeilton e Edicleber - Data: 18/03/2026
Regulador 5800366016, com tensões oscilando, sem referencia, Foi by passado, enviar equipe para verificar oque esta ocorrendo.</t>
  </si>
  <si>
    <t>190-31363458</t>
  </si>
  <si>
    <t>CONTATOS</t>
  </si>
  <si>
    <t>ETO-TELE 00510/2026</t>
  </si>
  <si>
    <t>RELIGADOR 7958324004 SEM COMUNICAÇÃO, REALIZADO PRIMEIRO ATAQUE SEM SUCESSO</t>
  </si>
  <si>
    <t>190-25837367</t>
  </si>
  <si>
    <t>ETO-TELE 00692/2026</t>
  </si>
  <si>
    <t>190-17512528</t>
  </si>
  <si>
    <t>ETO-TELE 00370/2026</t>
  </si>
  <si>
    <t>Favor atualizar os ajustes do religador 7953298122 em campo, disponíveis no APP da proteção.
Estagiário Rafael Pereira Marques.</t>
  </si>
  <si>
    <t>ETO-TELE  000618/2026</t>
  </si>
  <si>
    <t>ETO-TELE 01080/2026</t>
  </si>
  <si>
    <t>ETO-TELEGU  000302/2026</t>
  </si>
  <si>
    <t>ETO-TELE 00503/2026</t>
  </si>
  <si>
    <t>SEGUE SOLICITAÇÃO DE SERVIÇO PARA EQUIPAMENTO SEM COMUNICAÇÃO, ANOMALIA REINCIDENTE SEMPRE DISJUNTOR DESARMADO, EQUIPAMENTO COM FONTE DE TRANFERENCIAS ENTRE CIDADES INDISPONIVEL PARA OPERAÇÃO</t>
  </si>
  <si>
    <t>190-17512655</t>
  </si>
  <si>
    <t>ETO-TELEGU  000112/2026</t>
  </si>
  <si>
    <t>x</t>
  </si>
  <si>
    <t>SOBRANDO</t>
  </si>
  <si>
    <t>EDSON CURCINO/PORTO NACIONAL</t>
  </si>
  <si>
    <t>Conferir EMD</t>
  </si>
  <si>
    <t>Previsão de entrega 20/07</t>
  </si>
  <si>
    <t>PARECER COEP: EQUIPAMENTO SELECIONADO PARA COMPRAboa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</si>
  <si>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Previsão de entrega 16/07</t>
  </si>
  <si>
    <t>PARECER COEP: PREVISÃO DE ENTREGA 16/07/2026PEÇA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t>
  </si>
  <si>
    <t>ETO-RD-PA 00433/2026</t>
  </si>
  <si>
    <t>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t>
  </si>
  <si>
    <t>ETO-COEP 00130/2026</t>
  </si>
  <si>
    <t>Furtado novamente</t>
  </si>
  <si>
    <t>JOELSON SILVA DE SOUZA/ PARAÍSO</t>
  </si>
  <si>
    <t xml:space="preserve">PROBLEMA NA REQUISIÇÃO DO TANQUE QUE FOI DA 34,5 E NÃO FOI PEDIDO O CONTROLE </t>
  </si>
  <si>
    <t>ETO-COEP 00084/2026</t>
  </si>
  <si>
    <t>Previsão de entrega 15/07</t>
  </si>
  <si>
    <t>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t>
  </si>
  <si>
    <t>Previsão para substituição 20/07</t>
  </si>
  <si>
    <t>Ajuste de Proteção</t>
  </si>
  <si>
    <t>Destinada parte ativa do RL 7900453110</t>
  </si>
  <si>
    <t>ETO-RD-PA 00431/2026</t>
  </si>
  <si>
    <t>Previsão de substituição 15/07</t>
  </si>
  <si>
    <t>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t>
  </si>
  <si>
    <t>Já foi realizado vai ser passado para proteção até 15/07</t>
  </si>
  <si>
    <t>ETO-RD-PO 00185/2026</t>
  </si>
  <si>
    <t>Previsão para substituição 10/07</t>
  </si>
  <si>
    <t>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t>
  </si>
  <si>
    <t>Em processo de compra , precisou de analise nova DMSL</t>
  </si>
  <si>
    <t>ETO-RD-PO 00118/2026</t>
  </si>
  <si>
    <t>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t>
  </si>
  <si>
    <t xml:space="preserve"> PREVISAO DE SUBSTITUIÇÃO 23/07/2026</t>
  </si>
  <si>
    <t>Compra</t>
  </si>
  <si>
    <t>Foi redirecionado para priorizar o RL 7933726256</t>
  </si>
  <si>
    <t>Aguardando atualização de informação DMSL</t>
  </si>
  <si>
    <t>Aguardando confirmação</t>
  </si>
  <si>
    <t>ETO-RD-PA 00434/2026</t>
  </si>
  <si>
    <t>Aguardando confirmação em campo sobre o equipamento</t>
  </si>
  <si>
    <t>Foi realizado os serviços apontados pelo DMSL?</t>
  </si>
  <si>
    <t>ETO-TELE 970/2026 concluída e equipamento fora de operação</t>
  </si>
  <si>
    <t>Aguardando obra COCM</t>
  </si>
  <si>
    <t>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t>
  </si>
  <si>
    <t xml:space="preserve">(INICIALMENTE PARA AQUISIÇÃO) MAS PODEMOS UTILIZAR O TANQUE NELE </t>
  </si>
  <si>
    <t>ETO-RD-GU 00711/2026</t>
  </si>
  <si>
    <t>CONCLUÍDO</t>
  </si>
  <si>
    <t>EDSON CURCINOPORTO NACIONAL 14/07/2026</t>
  </si>
  <si>
    <t>ETO-RD-GR 00712/2026</t>
  </si>
  <si>
    <t>(Tanque da 34,5 Faltando)</t>
  </si>
  <si>
    <t>ETO-COEP 00050/2026</t>
  </si>
  <si>
    <t>PARECER COEP: AGUARDANDO COCM'S GERAREM A OBRA PARA ENTREGA DO MATERIALPARECER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t>
  </si>
  <si>
    <t>ETO-COEP 00117/2026</t>
  </si>
  <si>
    <t>PARECER COEP: AGUARDANDO RETORNO DO DMSLREGULADOR 5800090147 SEM COMUNICAÇÃO E TRAVANDO TAP´S - REALIZAO PRIMEIRO ATAQUE SEM SUCESSO.PARECER DMSL: Favor, substituir a célula da fase C do RT 5800090147 pois o microswitch que renconhece o neutro do regulador está com defeito.Equipamento ficou operando devido ser possível manobrar de forma manual.</t>
  </si>
  <si>
    <t>SEGUE PARA O DMSL AVALIAR ANTES DE SEGUIRMOS COM O SERVIÇOSEGUE PARA REALIZAR TROCA---------------------------------------------------------Boa noite,Segue SS para tratativas regulador de tensão 5840227063 fase C em curto</t>
  </si>
  <si>
    <t>Previsão de entrega 16/07, 1 tanque NOJA sobrando</t>
  </si>
  <si>
    <t>PARECER COEP: AGUARAR RETORNo RETORNO DMSLApós testes no RLG 7903112004 foi constatado defeito no mesmo e como se trata de um modelo COOPER FORM6 que está obsoleto e não possuímos peças sobressalentes, faz-se necessária substituição completa por modelo NOJA RC10.</t>
  </si>
  <si>
    <t>Cobrar Marcelo ou Felipe</t>
  </si>
  <si>
    <t>ETO-RD-PA 00432/2026</t>
  </si>
  <si>
    <t>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t>
  </si>
  <si>
    <t>TELE</t>
  </si>
  <si>
    <t>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t>
  </si>
  <si>
    <t>Aguardando obra COCM e PARECER DO DMSL</t>
  </si>
  <si>
    <t>MELHORIA DE ATERRAMENTO +11MIL (PRAZO SUSTITUIÇÃO)</t>
  </si>
  <si>
    <t>Melhoria de aterramento, controle precisa de aquisição</t>
  </si>
  <si>
    <t>Controle e melhoria de aterramento</t>
  </si>
  <si>
    <t>ETO-COEP 00127/2026</t>
  </si>
  <si>
    <t>PARECER COEP: Equipamento em operaçãpo no SCADAPARECER DMSL: Após testes, foi constatado que o RT  5850308009 encontra-se com controle danificado, sendo necessária substituição do mesmo.Regulador de tensão 5850308009 quando esta em Automatico esta deixa um fase muito baixa. foi deixado uma fase Manual e transferida parte do alimentaor.</t>
  </si>
  <si>
    <t>ETO-TELE 977/2026</t>
  </si>
  <si>
    <t>(EQUIPAMENTO PARA ANALISE DO DMSL)</t>
  </si>
  <si>
    <t>30/06 PARECER COEP: AGUARDANDO RETORNO DO DMSL , PARA VIABILIZAR TROCA APENAS DA PLACA , POIS EXISTEM 5 NO SALDO DE ESTOQUEEquipamento ficou em operação?: NãoPendência: Sim será necessário substituir a placaServiço Executado:  curto na placa foi tentando recuperar a mesma porém não teve sucesso!Bateria(s)substituída(s)? NÃOEquipe: Kaique e benvido</t>
  </si>
  <si>
    <t>Atendimento de cargas rurais entre Caseaarra e Araguacema (221 UCs)</t>
  </si>
  <si>
    <t>(COMPRA)</t>
  </si>
  <si>
    <t>3 células e conectores</t>
  </si>
  <si>
    <t>Em Análise DMSL</t>
  </si>
  <si>
    <t>Tanque e controle</t>
  </si>
  <si>
    <t>PARECER COEP: AGUARDANDO RETORNO DMSL, SERIA A COMPRA DA PARTE ATIVA+ CONTROLE+RADIO +RELE?DMSL:Serviço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</si>
  <si>
    <t>Concluído , em operação repassado ETO-PROT 135/2026</t>
  </si>
  <si>
    <t>30/06 PARECER COEP: AGUARDANDO RETORNO DO DMSL.REALIZAR SUBSTITUIÇÃO DO TANQUE, O MESMO ESTÁ COM DEFEITO.</t>
  </si>
  <si>
    <t>ETO-RD-PA 00427/2026</t>
  </si>
  <si>
    <t>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t>
  </si>
  <si>
    <t>ETO-TELE 968/2026</t>
  </si>
  <si>
    <t>ETO-RD-AR 1070/2026</t>
  </si>
  <si>
    <t>ETO-TELE 971/2026</t>
  </si>
  <si>
    <t>ETO- TELE 967/2026</t>
  </si>
  <si>
    <t>Tanque, relé e modulo</t>
  </si>
  <si>
    <t>PARECER COEP: QUAL O MODELO DO EQUIPAMENTO? QUAL A FAIXA DE TENSÃO ? O QUE SERIA SISTEMA DE COMUNICAÇÃO COMPLETO?Troca do sistema de comunicação do equipamentoDMSL 28/07/2025: Equipamento com tanque, modulo e rele com defeito, solicitar troca do equipamento ao DCMD.Fotos vão ser enviadas por e-mail</t>
  </si>
  <si>
    <t>Data entrega 10/07 , ENVIOU UM TANQUE AO INVES DO CONTROLE, ENVIAR CONTROLE DA 24 NOJA</t>
  </si>
  <si>
    <t xml:space="preserve">SOBRA TANQUE 34,5 </t>
  </si>
  <si>
    <t>ETO-RD-PS 00301/2026</t>
  </si>
  <si>
    <t>Previsão de entrega aos COCM's 01/07</t>
  </si>
  <si>
    <t>Relé, controle e ajuste</t>
  </si>
  <si>
    <t>10/07 PARECER COEP: EQUIPAMENTO ENTREGUE , FAVOR REALIZAR SUBSTIUIÇÃO, DEPOIS ENCAMINHAR PARA PROTEÇÃO REALIZAR OS AJUSTES E DEPOIS PARA COMISSIONAMENTO, FAVOR INFORMAR O PRAZO DA PREVISÃO DMSL PARA IREM JUNTOS20/06PARECER COEP: EMD 510216PREVISÃO DE CHEGADA COCM'S 01/07RELIGADOR COM RELÉ QUEIMADO - EQUIPAMENTO BY PASSADO. PARECER DMSL:N° do Equipamento: 7957126085Data: 17/06/2025Localidade: RDU Monte SantoServiço Executado:"Os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danificados."Ana Maria e Rayr já tinha ido no local anteriormente, na data 14/05/25 e fizeram o diagnostico acima. Equipamento ficou em operação?: NÃO</t>
  </si>
  <si>
    <t>1 celula</t>
  </si>
  <si>
    <t>PARECER COEP: EQUIPAMENTO EM ROTA DE ENTREGAPARECER DMSL: Célula da fase A encontra-se com vazamento de óleo no pé da torneira. Necessário substituição da célula.Aberto nota para verificar vazamento de óleo fase A no RT 5844630060 - RDU Nova Olinda</t>
  </si>
  <si>
    <t>ETO-RD-PS 00304/2026</t>
  </si>
  <si>
    <t>Aguardando a criação da Obra para abrir a requisição</t>
  </si>
  <si>
    <t>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t>
  </si>
  <si>
    <t>ETO-PROT 00136</t>
  </si>
  <si>
    <t>PARA AQUISIÇÃO</t>
  </si>
  <si>
    <t>ETO-TELE 972/2026</t>
  </si>
  <si>
    <t>PARECER COEP: PROBLEMA IDENTIFICADO É NA PARTE ATIVA? OU NO RELIGADOR? FAVOR VERIFICAR SE EQUIPAMENTO ESTÁ EM OPERAÇÃO NO SCADA, OU SE É NECESSARIO APENAS A MELHORIA DE ATERRAMENTO 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t>
  </si>
  <si>
    <t>ETO-COEP 00079/2025</t>
  </si>
  <si>
    <t>SEM PARECER TÉCNICO DMSL</t>
  </si>
  <si>
    <t>tanque</t>
  </si>
  <si>
    <t>30/06 PARECER COEP: EQUIPAMENTO SEM PARECER TECNICO DO DMSLSegue nota para envia manutenção substituir tanque do RL-7923927122 em curto, Anomalia identificada desarme das LD, s Palmas / Aparecida e Palmas Taquaruçu, Acesso livre, Tensão 34,5kv, Local RL de Interligação entre 424R / 414R.</t>
  </si>
  <si>
    <t>Revisar</t>
  </si>
  <si>
    <t>(REPASSAR NOVAMENTE A ANÁLISE DO DMSL)</t>
  </si>
  <si>
    <t>Parte ativa danificada</t>
  </si>
  <si>
    <t>ETO-TELE 974/2026</t>
  </si>
  <si>
    <t>PARECER COEP: FAVOR REAVALIAR DISPONIBILIDADE DO EQUIPAMENTO DO SCADA E DIZER MARCA ,MODELO E TENSÃO DO EQUIPAMENTOPARECER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</si>
  <si>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Parte ativa danificada (tanque)</t>
  </si>
  <si>
    <t>ETO-TELE 964/2026</t>
  </si>
  <si>
    <t>ETO-TELE 969/2026</t>
  </si>
  <si>
    <t>Em proceso de Aquisição</t>
  </si>
  <si>
    <t>Em Operação confirmado com os COCM's</t>
  </si>
  <si>
    <t>ETO-TELE 973/2026</t>
  </si>
  <si>
    <t>Completo sem o radio</t>
  </si>
  <si>
    <t>(REPASSAR PARA ANALISE DMSL)</t>
  </si>
  <si>
    <t>Em processo logistico</t>
  </si>
  <si>
    <t>Aguardando geração da EMD</t>
  </si>
  <si>
    <t>PARECER COEP: AGUARDANDO COCM´s GERAREM A OBRA COM ABERTURA CONTABIL DENER SOARESRealizar substituição da FASE B.Célula da fase B estava com a tampa do contador de tape aberta, pegou chuva e molhou os contatos danificando a peça toda.</t>
  </si>
  <si>
    <t>Levar para analise de religadores furtados no Sul</t>
  </si>
  <si>
    <t>PARECER COEP: EQUIPAMENTO FURTADO LEVAR PARA ANÁLISE COM O LEANDRO, NO ENTANTO SEGUE NA CATEGORIA DE COMPRA.Favor levar outro regulador de tensão, pois o mesmo foi furtado em campo.</t>
  </si>
  <si>
    <t>13/07/2026 PARECER COEP: SUBSTITUIÇÃO REALZIADA , FAVOR COMISSIONARPARECER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Benvindo----------------------------------------------PARECER DA PROTEÇÃO: Prosseguir com o comissionamento. Ajustes de religador permanecem os mesmos, disponíveis no APP da Proteção.********************************RELIGADOR N°7919270014 REMANEJADO NA OBRA 0212501060 GENTILEZA, REALIZAR O COMISSIONAMENTO. LAUDO EM ANEXO. COORD EO: 617422, 8830787</t>
  </si>
  <si>
    <t>Display</t>
  </si>
  <si>
    <t>JOELSON PARA´SIO 14/07/2026</t>
  </si>
  <si>
    <t>ETO-RD-PA 00452/2026</t>
  </si>
  <si>
    <t>PROBLEMA NO ENVIO DO MATERIAL</t>
  </si>
  <si>
    <t>TANQUE DA 13,8 + RÁDIO</t>
  </si>
  <si>
    <t>bateria, rádio, trafo (entender sobre bucha da fase A)</t>
  </si>
  <si>
    <t>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t>
  </si>
  <si>
    <t>ETO-RD-DP 403/2025, AGUARDO DO RETORNO</t>
  </si>
  <si>
    <t>Comissionar</t>
  </si>
  <si>
    <t>Por estrategia não será enviado neste momento equipamento, iremos utilizar em outros reguladores, alinhado com Allan casos de 400 KVA</t>
  </si>
  <si>
    <t>3 celula</t>
  </si>
  <si>
    <t>PARECER COEP: ERRO NA INSTALAÇÃO EQUIPAMENTO SELECIONADO PARA COMPRAPARECER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</si>
  <si>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Equipamento novo furtado antes de ser colocado em operação, não inserido no SCADA</t>
  </si>
  <si>
    <t>Previsão de Substiuição17/07/2026</t>
  </si>
  <si>
    <t>NumLocal</t>
  </si>
  <si>
    <t>SiglaLocal</t>
  </si>
  <si>
    <t>NomeLocal</t>
  </si>
  <si>
    <t>SiglaPolo</t>
  </si>
  <si>
    <t>NomePoloDEOP</t>
  </si>
  <si>
    <t>NomePoloDESC</t>
  </si>
  <si>
    <t>SiglaRegional</t>
  </si>
  <si>
    <t>ABR</t>
  </si>
  <si>
    <t>DIV</t>
  </si>
  <si>
    <t>AGU</t>
  </si>
  <si>
    <t>TOC</t>
  </si>
  <si>
    <t>ALI</t>
  </si>
  <si>
    <t>GUR</t>
  </si>
  <si>
    <t>ALM</t>
  </si>
  <si>
    <t>DIA</t>
  </si>
  <si>
    <t>ALT</t>
  </si>
  <si>
    <t>ALTAMIRA</t>
  </si>
  <si>
    <t>ALTO DO ZUMBI</t>
  </si>
  <si>
    <t>AUG</t>
  </si>
  <si>
    <t>ALTO LINDO</t>
  </si>
  <si>
    <t>GUA</t>
  </si>
  <si>
    <t>ALV</t>
  </si>
  <si>
    <t>FOR</t>
  </si>
  <si>
    <t>AMA</t>
  </si>
  <si>
    <t>AMARALINA</t>
  </si>
  <si>
    <t>ANA</t>
  </si>
  <si>
    <t>ANG</t>
  </si>
  <si>
    <t>APA</t>
  </si>
  <si>
    <t>TAQ</t>
  </si>
  <si>
    <t>API</t>
  </si>
  <si>
    <t>APINAJE</t>
  </si>
  <si>
    <t>PEI</t>
  </si>
  <si>
    <t>ARA</t>
  </si>
  <si>
    <t>ARACULANDIA</t>
  </si>
  <si>
    <t>COL</t>
  </si>
  <si>
    <t>ARR</t>
  </si>
  <si>
    <t>AUR</t>
  </si>
  <si>
    <t>AXI</t>
  </si>
  <si>
    <t>AZU</t>
  </si>
  <si>
    <t>AZUIS</t>
  </si>
  <si>
    <t>BAB</t>
  </si>
  <si>
    <t>BAI</t>
  </si>
  <si>
    <t>BAIANOPOLIS</t>
  </si>
  <si>
    <t>BAN</t>
  </si>
  <si>
    <t>BAR</t>
  </si>
  <si>
    <t>BARRA DA AROEIRA</t>
  </si>
  <si>
    <t>BARRA DA GROTA</t>
  </si>
  <si>
    <t>MIR</t>
  </si>
  <si>
    <t>BEL</t>
  </si>
  <si>
    <t>BELA VISTA</t>
  </si>
  <si>
    <t>BER</t>
  </si>
  <si>
    <t>BIE</t>
  </si>
  <si>
    <t>BIELANDIA</t>
  </si>
  <si>
    <t>BOA</t>
  </si>
  <si>
    <t>BOA ESPERANCA</t>
  </si>
  <si>
    <t>BOM</t>
  </si>
  <si>
    <t>BON</t>
  </si>
  <si>
    <t>BONFIM</t>
  </si>
  <si>
    <t>BRA</t>
  </si>
  <si>
    <t>BRASILENE</t>
  </si>
  <si>
    <t>BRE</t>
  </si>
  <si>
    <t>BREJINHO</t>
  </si>
  <si>
    <t>POR</t>
  </si>
  <si>
    <t>BUR</t>
  </si>
  <si>
    <t>BURITIRANA</t>
  </si>
  <si>
    <t>CAC</t>
  </si>
  <si>
    <t>CAM</t>
  </si>
  <si>
    <t>CAMPINA VERDE</t>
  </si>
  <si>
    <t>PAR</t>
  </si>
  <si>
    <t>CAMPO MAIOR</t>
  </si>
  <si>
    <t>CAN</t>
  </si>
  <si>
    <t>CANELAS</t>
  </si>
  <si>
    <t>PAL</t>
  </si>
  <si>
    <t>CANTO DA VAZANTE</t>
  </si>
  <si>
    <t>CAR</t>
  </si>
  <si>
    <t>CARRASCO BONITO</t>
  </si>
  <si>
    <t>CAS</t>
  </si>
  <si>
    <t>CAT</t>
  </si>
  <si>
    <t>CATINGUEIRO</t>
  </si>
  <si>
    <t>CEN</t>
  </si>
  <si>
    <t>CENTRO DE URUE</t>
  </si>
  <si>
    <t>CENTRO DO ZE MULATO</t>
  </si>
  <si>
    <t>CENTRO DOS FERREIRAS</t>
  </si>
  <si>
    <t>CENTRO DOS FIRMINOS</t>
  </si>
  <si>
    <t>CENTRO DOS MAMEDES</t>
  </si>
  <si>
    <t>CENTRO JOSE ESTEVES</t>
  </si>
  <si>
    <t>CHA</t>
  </si>
  <si>
    <t>CHAPADA DE AREIA</t>
  </si>
  <si>
    <t>COM</t>
  </si>
  <si>
    <t>CON</t>
  </si>
  <si>
    <t>COU</t>
  </si>
  <si>
    <t>COUTO VELHO</t>
  </si>
  <si>
    <t>CRI</t>
  </si>
  <si>
    <t>CRIXAS DO TOCANTINS</t>
  </si>
  <si>
    <t>DAR</t>
  </si>
  <si>
    <t>DOI</t>
  </si>
  <si>
    <t>DOR</t>
  </si>
  <si>
    <t>DORILANDIA</t>
  </si>
  <si>
    <t>DUE</t>
  </si>
  <si>
    <t>ESC</t>
  </si>
  <si>
    <t>ESCOLA BRASIL</t>
  </si>
  <si>
    <t>ESP</t>
  </si>
  <si>
    <t>FAT</t>
  </si>
  <si>
    <t>FIG</t>
  </si>
  <si>
    <t>FIL</t>
  </si>
  <si>
    <t>FLO</t>
  </si>
  <si>
    <t>FLORESTA</t>
  </si>
  <si>
    <t>FOL</t>
  </si>
  <si>
    <t>FOLHA GROSSA</t>
  </si>
  <si>
    <t>FOLHA SECA</t>
  </si>
  <si>
    <t>FRA</t>
  </si>
  <si>
    <t>FRANCOESA</t>
  </si>
  <si>
    <t>GOI</t>
  </si>
  <si>
    <t>GOIANY DOS CAMPOS</t>
  </si>
  <si>
    <t>GRO</t>
  </si>
  <si>
    <t>GROTA D'AGUA</t>
  </si>
  <si>
    <t>GROTA DO MEIO</t>
  </si>
  <si>
    <t>GROTAO</t>
  </si>
  <si>
    <t>GROTAO DE AXIXA</t>
  </si>
  <si>
    <t>ILH</t>
  </si>
  <si>
    <t>ILHA DO BANANAL</t>
  </si>
  <si>
    <t>IPU</t>
  </si>
  <si>
    <t>ITA</t>
  </si>
  <si>
    <t>ITAUBA</t>
  </si>
  <si>
    <t>JAC</t>
  </si>
  <si>
    <t>JACILANDIA</t>
  </si>
  <si>
    <t>JAU</t>
  </si>
  <si>
    <t>JUA</t>
  </si>
  <si>
    <t>JUV</t>
  </si>
  <si>
    <t>JUVERLANDIA</t>
  </si>
  <si>
    <t>LAG</t>
  </si>
  <si>
    <t>LAGO VERDE</t>
  </si>
  <si>
    <t>LAGOA DA PEDRA</t>
  </si>
  <si>
    <t>LAGOA DO ROMAO</t>
  </si>
  <si>
    <t>LAGOA SAO SALVADOR</t>
  </si>
  <si>
    <t>LAJ</t>
  </si>
  <si>
    <t>LAV</t>
  </si>
  <si>
    <t>LIZ</t>
  </si>
  <si>
    <t>LUZ</t>
  </si>
  <si>
    <t>MAC</t>
  </si>
  <si>
    <t>MACAUBA</t>
  </si>
  <si>
    <t>MAN</t>
  </si>
  <si>
    <t>MANGUEIRA</t>
  </si>
  <si>
    <t>MANSINHA</t>
  </si>
  <si>
    <t>MAR</t>
  </si>
  <si>
    <t>MARAJA</t>
  </si>
  <si>
    <t>MARILANDIA</t>
  </si>
  <si>
    <t>MARTINOPOLIS</t>
  </si>
  <si>
    <t>MAT</t>
  </si>
  <si>
    <t>PON</t>
  </si>
  <si>
    <t>MATO REDONDO</t>
  </si>
  <si>
    <t>MAU</t>
  </si>
  <si>
    <t>MIM</t>
  </si>
  <si>
    <t>MIMOSA DOS MOREIRA</t>
  </si>
  <si>
    <t>MIN</t>
  </si>
  <si>
    <t>MINEIROPOLIS</t>
  </si>
  <si>
    <t>MIRANDOPOLIS</t>
  </si>
  <si>
    <t>MON</t>
  </si>
  <si>
    <t>MOR</t>
  </si>
  <si>
    <t>MORADA NOVA</t>
  </si>
  <si>
    <t>MORRO SAO JOAO</t>
  </si>
  <si>
    <t>MUR</t>
  </si>
  <si>
    <t>NAT</t>
  </si>
  <si>
    <t>NAZ</t>
  </si>
  <si>
    <t>NOV</t>
  </si>
  <si>
    <t>NOVA PINHEROPOLIS</t>
  </si>
  <si>
    <t>NOVO ALEGRE</t>
  </si>
  <si>
    <t>NOVO HORIZONTE</t>
  </si>
  <si>
    <t>NOVO HORIZONTE DO TOCANTINS</t>
  </si>
  <si>
    <t>NOVO HORIZONTE DO TOCANTINS I</t>
  </si>
  <si>
    <t>NOVO PLANO</t>
  </si>
  <si>
    <t>OLH</t>
  </si>
  <si>
    <t>OLHO D'AGUA</t>
  </si>
  <si>
    <t>OLI</t>
  </si>
  <si>
    <t>OLIVEIRA DE FATIMA</t>
  </si>
  <si>
    <t>PAU</t>
  </si>
  <si>
    <t>PED</t>
  </si>
  <si>
    <t>PEDRA DE AMOLAR</t>
  </si>
  <si>
    <t>PEIXELANDIA</t>
  </si>
  <si>
    <t>PEQ</t>
  </si>
  <si>
    <t>PEQUIZEIRO DO AXIXA</t>
  </si>
  <si>
    <t>PIA</t>
  </si>
  <si>
    <t>PIACAVA</t>
  </si>
  <si>
    <t>PIN</t>
  </si>
  <si>
    <t>PIR</t>
  </si>
  <si>
    <t>PIU</t>
  </si>
  <si>
    <t>PONTA DO ASFALTO</t>
  </si>
  <si>
    <t>PONTE ALTA BOM JESUS</t>
  </si>
  <si>
    <t>PORTO LEMOS</t>
  </si>
  <si>
    <t>POV</t>
  </si>
  <si>
    <t>POVOADO BANDEIRA</t>
  </si>
  <si>
    <t>POVOADO BURITI SAO MIGUEL</t>
  </si>
  <si>
    <t>POVOADO CACHOEIRINHA</t>
  </si>
  <si>
    <t>POVOADO CANA BRAVA</t>
  </si>
  <si>
    <t>POVOADO CENTRO DOS BORGES</t>
  </si>
  <si>
    <t>POVOADO CENTRO NOVO</t>
  </si>
  <si>
    <t>POVOADO CEORTA</t>
  </si>
  <si>
    <t>POVOADO CHAPADINHA</t>
  </si>
  <si>
    <t>POVOADO DEZENOVE</t>
  </si>
  <si>
    <t>POVOADO DO BROCO</t>
  </si>
  <si>
    <t>POVOADO DO RODEADORO</t>
  </si>
  <si>
    <t>POVOADO DOS BARROS</t>
  </si>
  <si>
    <t>POVOADO GENIPAPO</t>
  </si>
  <si>
    <t>POVOADO IMBURANA</t>
  </si>
  <si>
    <t>POVOADO JACARE</t>
  </si>
  <si>
    <t>POVOADO MATA GRANDE</t>
  </si>
  <si>
    <t>POVOADO MATINHA</t>
  </si>
  <si>
    <t>POVOADO MUMBUCA</t>
  </si>
  <si>
    <t>POVOADO OLHO D'AGUA</t>
  </si>
  <si>
    <t>POVOADO OLHO D'AGUA MEIO</t>
  </si>
  <si>
    <t>POVOADO PAPACONHA</t>
  </si>
  <si>
    <t>POVOADO PASSARINHO</t>
  </si>
  <si>
    <t>POVOADO PONTES</t>
  </si>
  <si>
    <t>POVOADO RIBEIRAO GRANDE II</t>
  </si>
  <si>
    <t>POVOADO RIBEIRAO GRANDE III</t>
  </si>
  <si>
    <t>POVOADO RIBEIRAOZINHO</t>
  </si>
  <si>
    <t>POVOADO SAO FRANCISCO</t>
  </si>
  <si>
    <t>POVOADO SAO JOAO</t>
  </si>
  <si>
    <t>POVOADO SAO PEDRO</t>
  </si>
  <si>
    <t>POVOADO SOROROCA</t>
  </si>
  <si>
    <t>PRA</t>
  </si>
  <si>
    <t>PRAIA NORTE</t>
  </si>
  <si>
    <t>PRE</t>
  </si>
  <si>
    <t>PRI</t>
  </si>
  <si>
    <t>PRINCIPE</t>
  </si>
  <si>
    <t>PUG</t>
  </si>
  <si>
    <t>QUI</t>
  </si>
  <si>
    <t>QUIXABEIRA</t>
  </si>
  <si>
    <t>REC</t>
  </si>
  <si>
    <t>RET</t>
  </si>
  <si>
    <t>RETIRO</t>
  </si>
  <si>
    <t>RIA</t>
  </si>
  <si>
    <t>RIB</t>
  </si>
  <si>
    <t>RIBEIRAO GRANDE</t>
  </si>
  <si>
    <t>RIO</t>
  </si>
  <si>
    <t>ROS</t>
  </si>
  <si>
    <t>ROSALANDIA</t>
  </si>
  <si>
    <t>SAL</t>
  </si>
  <si>
    <t>SALVACAO</t>
  </si>
  <si>
    <t>SAM</t>
  </si>
  <si>
    <t>SAMPAIO</t>
  </si>
  <si>
    <t>SAN</t>
  </si>
  <si>
    <t>SANTA CECILIA</t>
  </si>
  <si>
    <t>SANTA INEZ</t>
  </si>
  <si>
    <t>SANTA ROSA PARAISO</t>
  </si>
  <si>
    <t>SANTANA</t>
  </si>
  <si>
    <t>SAO</t>
  </si>
  <si>
    <t>SAO FRANCISCO</t>
  </si>
  <si>
    <t>SAO JOAO</t>
  </si>
  <si>
    <t>SAO JOAO DO ARAGUAIA</t>
  </si>
  <si>
    <t>SAO JOAO DO JAVAE</t>
  </si>
  <si>
    <t>SAO LUIZ DAS PALMEIRAS</t>
  </si>
  <si>
    <t>SAO RAIMUNDO</t>
  </si>
  <si>
    <t>SAO SEBASTIAO</t>
  </si>
  <si>
    <t>SAO SEBASTIAO DO TOCANTINS</t>
  </si>
  <si>
    <t>SER</t>
  </si>
  <si>
    <t>SERRANOPOLIS</t>
  </si>
  <si>
    <t>SIL</t>
  </si>
  <si>
    <t>SIT</t>
  </si>
  <si>
    <t>SITIO NOVO DO TOCANTINS</t>
  </si>
  <si>
    <t>SOB</t>
  </si>
  <si>
    <t>SOBRADINHO</t>
  </si>
  <si>
    <t>SUC</t>
  </si>
  <si>
    <t>SUM</t>
  </si>
  <si>
    <t>SUMAUMA</t>
  </si>
  <si>
    <t>TAG</t>
  </si>
  <si>
    <t>TAI</t>
  </si>
  <si>
    <t>TAL</t>
  </si>
  <si>
    <t>TAQUARUSSU DO PORTO</t>
  </si>
  <si>
    <t>TRA</t>
  </si>
  <si>
    <t>TRANSARAGUAIA</t>
  </si>
  <si>
    <t>TRE</t>
  </si>
  <si>
    <t>TREVO DA PRAIA</t>
  </si>
  <si>
    <t>TUC</t>
  </si>
  <si>
    <t>TUCUNS</t>
  </si>
  <si>
    <t>TUP</t>
  </si>
  <si>
    <t>TUPIRATA</t>
  </si>
  <si>
    <t>TUPIRATINS</t>
  </si>
  <si>
    <t>VIL</t>
  </si>
  <si>
    <t>VILA DEPASA</t>
  </si>
  <si>
    <t>VILA LUZIMANGUES</t>
  </si>
  <si>
    <t>VILA SAO MIGUEL</t>
  </si>
  <si>
    <t>VILA UNIAO</t>
  </si>
  <si>
    <t>VILA UNIAO-TALISMA</t>
  </si>
  <si>
    <t>VIN</t>
  </si>
  <si>
    <t>VINTE MIL</t>
  </si>
  <si>
    <t>VINTE MIL - AUGUSTINOPOLIS</t>
  </si>
  <si>
    <t>VINTE MIL - AUGUSTINOPOLIS.</t>
  </si>
  <si>
    <t>WAN</t>
  </si>
  <si>
    <t>XAM</t>
  </si>
  <si>
    <t>Matriz de criticidade</t>
  </si>
  <si>
    <t>Nível</t>
  </si>
  <si>
    <t>Tipo de equipamento</t>
  </si>
  <si>
    <t>X &gt;= 80</t>
  </si>
  <si>
    <t>X &gt; 80</t>
  </si>
  <si>
    <t>50 &lt;= X &lt; 80</t>
  </si>
  <si>
    <t>60 &lt;= X &lt;= 80</t>
  </si>
  <si>
    <t>30 &lt;= X &lt; 50</t>
  </si>
  <si>
    <t>30 &lt; X &lt; 60</t>
  </si>
  <si>
    <t>X &lt; 30</t>
  </si>
  <si>
    <t>X &lt;= 30</t>
  </si>
  <si>
    <t>Em processo de logistica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</si>
</sst>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b/>
      <sz val="10"/>
      <color theme="0"/>
      <name val="Calibri"/>
      <family val="2"/>
    </font>
    <font>
      <b/>
      <sz val="10"/>
      <color theme="1"/>
      <name val="Calibri"/>
      <family val="2"/>
      <scheme val="minor"/>
    </font>
    <font>
      <sz val="10"/>
      <name val="Calibri"/>
      <family val="2"/>
    </font>
    <font>
      <sz val="11"/>
      <color rgb="FFFF0000"/>
      <name val="Calibri"/>
      <family val="2"/>
      <scheme val="minor"/>
    </font>
    <font>
      <sz val="9"/>
      <color theme="1"/>
      <name val="Segoe UI"/>
      <family val="2"/>
    </font>
    <font>
      <u/>
      <sz val="11"/>
      <color theme="10"/>
      <name val="Calibri"/>
      <family val="2"/>
      <scheme val="minor"/>
    </font>
    <font>
      <b/>
      <sz val="11"/>
      <color theme="0"/>
      <name val="Aptos Narrow"/>
      <family val="2"/>
    </font>
    <font>
      <b/>
      <sz val="11"/>
      <color theme="9"/>
      <name val="Aptos Narrow"/>
      <family val="2"/>
    </font>
    <font>
      <sz val="11"/>
      <name val="Aptos Narrow"/>
      <family val="2"/>
    </font>
    <font>
      <sz val="11"/>
      <color rgb="FF000000"/>
      <name val="Aptos Narrow"/>
      <family val="2"/>
    </font>
    <font>
      <sz val="11"/>
      <color rgb="FFFF0000"/>
      <name val="Aptos Narrow"/>
      <family val="2"/>
    </font>
    <font>
      <b/>
      <sz val="11"/>
      <color rgb="FFFF0000"/>
      <name val="Aptos Narrow"/>
      <family val="2"/>
    </font>
    <font>
      <sz val="9"/>
      <color rgb="FF242424"/>
      <name val="Tahoma"/>
      <family val="2"/>
    </font>
  </fonts>
  <fills count="26">
    <fill>
      <patternFill patternType="none"/>
    </fill>
    <fill>
      <patternFill patternType="gray125"/>
    </fill>
    <fill>
      <patternFill patternType="solid">
        <fgColor theme="3" tint="9.9978637043366805E-2"/>
        <bgColor indexed="64"/>
      </patternFill>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rgb="FFFFC000"/>
        <bgColor indexed="64"/>
      </patternFill>
    </fill>
    <fill>
      <patternFill patternType="solid">
        <fgColor rgb="FF009FC2"/>
        <bgColor indexed="64"/>
      </patternFill>
    </fill>
    <fill>
      <patternFill patternType="solid">
        <fgColor theme="0" tint="-0.34998626667073579"/>
        <bgColor indexed="64"/>
      </patternFill>
    </fill>
    <fill>
      <patternFill patternType="solid">
        <fgColor theme="9"/>
        <bgColor indexed="64"/>
      </patternFill>
    </fill>
    <fill>
      <patternFill patternType="solid">
        <fgColor rgb="FFFF0000"/>
        <bgColor indexed="64"/>
      </patternFill>
    </fill>
    <fill>
      <patternFill patternType="solid">
        <fgColor theme="0"/>
        <bgColor indexed="64"/>
      </patternFill>
    </fill>
    <fill>
      <patternFill patternType="solid">
        <fgColor theme="7"/>
        <bgColor indexed="64"/>
      </patternFill>
    </fill>
    <fill>
      <patternFill patternType="solid">
        <fgColor rgb="FF00B0F0"/>
        <bgColor indexed="64"/>
      </patternFill>
    </fill>
    <fill>
      <patternFill patternType="solid">
        <fgColor rgb="FF0070C0"/>
        <bgColor indexed="64"/>
      </patternFill>
    </fill>
    <fill>
      <patternFill patternType="solid">
        <fgColor theme="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92D050"/>
        <bgColor indexed="64"/>
      </patternFill>
    </fill>
    <fill>
      <patternFill patternType="solid">
        <fgColor rgb="FFAFAFAF"/>
        <bgColor rgb="FFAFAFAF"/>
      </patternFill>
    </fill>
    <fill>
      <patternFill patternType="solid">
        <fgColor rgb="FFA6CAF0"/>
        <bgColor rgb="FFA6CAF0"/>
      </patternFill>
    </fill>
    <fill>
      <patternFill patternType="solid">
        <fgColor rgb="FFC0DCC0"/>
        <bgColor rgb="FFC0DCC0"/>
      </patternFill>
    </fill>
    <fill>
      <patternFill patternType="solid">
        <fgColor rgb="FFFF0000"/>
        <bgColor rgb="FFFF0000"/>
      </patternFill>
    </fill>
    <fill>
      <patternFill patternType="solid">
        <fgColor rgb="FFFFFFAA"/>
        <bgColor rgb="FFFFFFAA"/>
      </patternFill>
    </fill>
  </fills>
  <borders count="27">
    <border>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0" tint="-0.14999847407452621"/>
      </right>
      <top style="thin">
        <color theme="0" tint="-0.14999847407452621"/>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style="thin">
        <color theme="0"/>
      </right>
      <top style="thin">
        <color theme="0"/>
      </top>
      <bottom/>
      <diagonal/>
    </border>
    <border>
      <left/>
      <right style="thin">
        <color theme="0" tint="-0.14999847407452621"/>
      </right>
      <top/>
      <bottom/>
      <diagonal/>
    </border>
    <border>
      <left/>
      <right style="thin">
        <color theme="0" tint="-0.14999847407452621"/>
      </right>
      <top style="thin">
        <color theme="0"/>
      </top>
      <bottom/>
      <diagonal/>
    </border>
    <border>
      <left style="thin">
        <color theme="0" tint="-0.14999847407452621"/>
      </left>
      <right style="thin">
        <color theme="0"/>
      </right>
      <top style="thin">
        <color theme="0"/>
      </top>
      <bottom style="thin">
        <color theme="0"/>
      </bottom>
      <diagonal/>
    </border>
    <border>
      <left style="thin">
        <color theme="0"/>
      </left>
      <right style="thin">
        <color theme="0" tint="-0.14999847407452621"/>
      </right>
      <top style="thin">
        <color theme="0"/>
      </top>
      <bottom style="thin">
        <color theme="0"/>
      </bottom>
      <diagonal/>
    </border>
    <border>
      <left/>
      <right style="thin">
        <color theme="0" tint="-0.14999847407452621"/>
      </right>
      <top style="thin">
        <color theme="0" tint="-0.14999847407452621"/>
      </top>
      <bottom style="thin">
        <color theme="0"/>
      </bottom>
      <diagonal/>
    </border>
    <border>
      <left style="thin">
        <color theme="0"/>
      </left>
      <right style="thin">
        <color theme="0" tint="-0.14999847407452621"/>
      </right>
      <top/>
      <bottom style="thin">
        <color theme="0"/>
      </bottom>
      <diagonal/>
    </border>
    <border>
      <left style="thin">
        <color theme="0"/>
      </left>
      <right/>
      <top/>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A0A0A0"/>
      </left>
      <right style="thin">
        <color rgb="FFA0A0A0"/>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right style="thin">
        <color rgb="FFA0A0A0"/>
      </right>
      <top/>
      <bottom style="thin">
        <color rgb="FFA0A0A0"/>
      </bottom>
      <diagonal/>
    </border>
  </borders>
  <cellStyleXfs count="3">
    <xf numFmtId="0" fontId="0" fillId="0" borderId="0"/>
    <xf numFmtId="0" fontId="9" fillId="0" borderId="0" applyNumberFormat="0" applyFill="0" applyBorder="0" applyAlignment="0" applyProtection="0"/>
    <xf numFmtId="0" fontId="9" fillId="0" borderId="0" applyNumberFormat="0" applyFill="0" applyBorder="0" applyAlignment="0" applyProtection="0"/>
  </cellStyleXfs>
  <cellXfs count="142">
    <xf numFmtId="0" fontId="0" fillId="0" borderId="0" xfId="0"/>
    <xf numFmtId="0" fontId="1" fillId="2" borderId="0" xfId="0" applyFont="1" applyFill="1"/>
    <xf numFmtId="0" fontId="2" fillId="0" borderId="0" xfId="0" applyFont="1"/>
    <xf numFmtId="0" fontId="1" fillId="3" borderId="0" xfId="0" applyFont="1" applyFill="1"/>
    <xf numFmtId="0" fontId="0" fillId="0" borderId="0" xfId="0" applyAlignment="1">
      <alignment horizontal="center"/>
    </xf>
    <xf numFmtId="0" fontId="0" fillId="0" borderId="0" xfId="0" applyAlignment="1">
      <alignment horizontal="center" vertical="center"/>
    </xf>
    <xf numFmtId="0" fontId="2" fillId="4" borderId="1" xfId="0" applyFont="1" applyFill="1" applyBorder="1" applyAlignment="1">
      <alignment horizontal="center"/>
    </xf>
    <xf numFmtId="14" fontId="0" fillId="0" borderId="0" xfId="0" applyNumberFormat="1"/>
    <xf numFmtId="0" fontId="0" fillId="0" borderId="3" xfId="0" applyBorder="1" applyAlignment="1">
      <alignment horizontal="center"/>
    </xf>
    <xf numFmtId="14" fontId="0" fillId="0" borderId="0" xfId="0" applyNumberFormat="1" applyAlignment="1">
      <alignment horizontal="center"/>
    </xf>
    <xf numFmtId="0" fontId="0" fillId="0" borderId="0" xfId="0" applyAlignment="1">
      <alignment horizontal="left"/>
    </xf>
    <xf numFmtId="0" fontId="3" fillId="0" borderId="0" xfId="0" applyFont="1" applyAlignment="1">
      <alignment horizontal="center"/>
    </xf>
    <xf numFmtId="0" fontId="0" fillId="7" borderId="0" xfId="0" applyFill="1" applyAlignment="1">
      <alignment horizontal="center"/>
    </xf>
    <xf numFmtId="0" fontId="0" fillId="0" borderId="0" xfId="0" pivotButton="1"/>
    <xf numFmtId="0" fontId="4" fillId="8" borderId="6" xfId="0" applyFont="1" applyFill="1" applyBorder="1" applyAlignment="1">
      <alignment horizontal="center" vertical="center"/>
    </xf>
    <xf numFmtId="0" fontId="5" fillId="0" borderId="9" xfId="0" applyFont="1" applyBorder="1" applyAlignment="1">
      <alignment horizontal="center"/>
    </xf>
    <xf numFmtId="0" fontId="5" fillId="0" borderId="8" xfId="0" applyFont="1" applyBorder="1" applyAlignment="1">
      <alignment horizontal="center"/>
    </xf>
    <xf numFmtId="0" fontId="4" fillId="8" borderId="10" xfId="0" applyFont="1" applyFill="1" applyBorder="1" applyAlignment="1">
      <alignment horizontal="center" vertical="center"/>
    </xf>
    <xf numFmtId="0" fontId="4" fillId="8" borderId="11" xfId="0" applyFont="1" applyFill="1" applyBorder="1" applyAlignment="1">
      <alignment horizontal="center" vertical="center"/>
    </xf>
    <xf numFmtId="0" fontId="4" fillId="8" borderId="13" xfId="0" applyFont="1" applyFill="1" applyBorder="1" applyAlignment="1">
      <alignment horizontal="center" vertical="center"/>
    </xf>
    <xf numFmtId="0" fontId="0" fillId="0" borderId="14" xfId="0" applyBorder="1"/>
    <xf numFmtId="0" fontId="4" fillId="8" borderId="15" xfId="0" applyFont="1" applyFill="1" applyBorder="1" applyAlignment="1">
      <alignment horizontal="center" vertical="center"/>
    </xf>
    <xf numFmtId="0" fontId="4" fillId="9" borderId="15" xfId="0" applyFont="1" applyFill="1" applyBorder="1" applyAlignment="1">
      <alignment horizontal="center" vertical="center"/>
    </xf>
    <xf numFmtId="0" fontId="6" fillId="0" borderId="9" xfId="0" applyFont="1" applyBorder="1" applyAlignment="1">
      <alignment horizontal="center" vertical="center" wrapText="1"/>
    </xf>
    <xf numFmtId="0" fontId="6" fillId="0" borderId="8"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2" xfId="0" applyFont="1" applyBorder="1" applyAlignment="1">
      <alignment horizontal="center" vertical="center" wrapText="1"/>
    </xf>
    <xf numFmtId="0" fontId="2" fillId="6" borderId="0" xfId="0" applyFont="1" applyFill="1"/>
    <xf numFmtId="0" fontId="0" fillId="11" borderId="0" xfId="0" applyFill="1" applyAlignment="1">
      <alignment horizontal="center"/>
    </xf>
    <xf numFmtId="0" fontId="0" fillId="0" borderId="0" xfId="0" applyAlignment="1">
      <alignment horizontal="left" vertical="center"/>
    </xf>
    <xf numFmtId="0" fontId="0" fillId="0" borderId="0" xfId="0" applyAlignment="1">
      <alignment horizontal="right"/>
    </xf>
    <xf numFmtId="0" fontId="0" fillId="0" borderId="0" xfId="0" applyAlignment="1">
      <alignment horizontal="right" vertical="center"/>
    </xf>
    <xf numFmtId="0" fontId="0" fillId="12" borderId="0" xfId="0" applyFill="1"/>
    <xf numFmtId="0" fontId="0" fillId="13" borderId="0" xfId="0" applyFill="1"/>
    <xf numFmtId="0" fontId="0" fillId="10" borderId="0" xfId="0" applyFill="1"/>
    <xf numFmtId="0" fontId="7" fillId="11" borderId="0" xfId="0" applyFont="1" applyFill="1"/>
    <xf numFmtId="0" fontId="0" fillId="11" borderId="0" xfId="0" applyFill="1"/>
    <xf numFmtId="49" fontId="0" fillId="11" borderId="17" xfId="0" applyNumberFormat="1" applyFill="1" applyBorder="1" applyAlignment="1">
      <alignment horizontal="center" vertical="center"/>
    </xf>
    <xf numFmtId="14" fontId="0" fillId="0" borderId="0" xfId="0" applyNumberFormat="1" applyAlignment="1">
      <alignment horizontal="center" vertical="center"/>
    </xf>
    <xf numFmtId="0" fontId="0" fillId="14" borderId="0" xfId="0" applyFill="1" applyAlignment="1">
      <alignment horizontal="center"/>
    </xf>
    <xf numFmtId="0" fontId="0" fillId="12" borderId="0" xfId="0" applyFill="1" applyAlignment="1">
      <alignment horizontal="center"/>
    </xf>
    <xf numFmtId="16" fontId="0" fillId="0" borderId="0" xfId="0" applyNumberFormat="1" applyAlignment="1">
      <alignment horizontal="center"/>
    </xf>
    <xf numFmtId="0" fontId="0" fillId="0" borderId="0" xfId="0" applyAlignment="1">
      <alignment horizontal="left" wrapText="1"/>
    </xf>
    <xf numFmtId="0" fontId="0" fillId="7" borderId="0" xfId="0" applyFill="1" applyAlignment="1">
      <alignment horizontal="center" vertical="center"/>
    </xf>
    <xf numFmtId="0" fontId="0" fillId="7" borderId="0" xfId="0" applyFill="1" applyAlignment="1">
      <alignment horizontal="left" vertical="center"/>
    </xf>
    <xf numFmtId="0" fontId="0" fillId="7" borderId="0" xfId="0" applyFill="1" applyAlignment="1">
      <alignment horizontal="right" vertical="center"/>
    </xf>
    <xf numFmtId="0" fontId="0" fillId="7" borderId="0" xfId="0" applyFill="1"/>
    <xf numFmtId="0" fontId="8" fillId="0" borderId="0" xfId="0" applyFont="1"/>
    <xf numFmtId="0" fontId="0" fillId="0" borderId="0" xfId="0" applyAlignment="1">
      <alignment horizontal="left" indent="1"/>
    </xf>
    <xf numFmtId="0" fontId="0" fillId="0" borderId="0" xfId="0" applyAlignment="1">
      <alignment horizontal="center" wrapText="1"/>
    </xf>
    <xf numFmtId="0" fontId="9" fillId="0" borderId="0" xfId="2" applyAlignment="1">
      <alignment horizontal="center"/>
    </xf>
    <xf numFmtId="0" fontId="10" fillId="15" borderId="17" xfId="0" applyFont="1" applyFill="1" applyBorder="1" applyAlignment="1">
      <alignment horizontal="center" vertical="center"/>
    </xf>
    <xf numFmtId="0" fontId="10" fillId="15" borderId="17" xfId="0" applyFont="1" applyFill="1" applyBorder="1" applyAlignment="1">
      <alignment horizontal="center" vertical="center" wrapText="1"/>
    </xf>
    <xf numFmtId="0" fontId="10" fillId="16" borderId="17" xfId="0" applyFont="1" applyFill="1" applyBorder="1" applyAlignment="1">
      <alignment horizontal="center" vertical="center" wrapText="1"/>
    </xf>
    <xf numFmtId="49" fontId="10" fillId="16" borderId="17" xfId="0" applyNumberFormat="1" applyFont="1" applyFill="1"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14" fontId="0" fillId="0" borderId="17" xfId="0" applyNumberFormat="1" applyBorder="1" applyAlignment="1">
      <alignment horizontal="center" vertical="center"/>
    </xf>
    <xf numFmtId="49" fontId="0" fillId="10" borderId="17" xfId="0" applyNumberFormat="1" applyFill="1" applyBorder="1" applyAlignment="1">
      <alignment horizontal="center" vertical="center"/>
    </xf>
    <xf numFmtId="49" fontId="0" fillId="0" borderId="17" xfId="0" applyNumberFormat="1" applyBorder="1" applyAlignment="1">
      <alignment horizontal="center" vertical="center"/>
    </xf>
    <xf numFmtId="0" fontId="0" fillId="17" borderId="17" xfId="0" applyFill="1" applyBorder="1" applyAlignment="1">
      <alignment horizontal="center" vertical="center"/>
    </xf>
    <xf numFmtId="0" fontId="11" fillId="0" borderId="17" xfId="0" applyFont="1" applyBorder="1" applyAlignment="1">
      <alignment horizontal="center" vertical="center"/>
    </xf>
    <xf numFmtId="0" fontId="12" fillId="0" borderId="17" xfId="0" applyFont="1" applyBorder="1" applyAlignment="1">
      <alignment horizontal="center" vertical="center" wrapText="1"/>
    </xf>
    <xf numFmtId="0" fontId="0" fillId="11" borderId="17" xfId="0" applyFill="1" applyBorder="1" applyAlignment="1">
      <alignment horizontal="center" vertical="center"/>
    </xf>
    <xf numFmtId="14" fontId="0" fillId="10" borderId="17" xfId="0" applyNumberFormat="1" applyFill="1" applyBorder="1" applyAlignment="1">
      <alignment horizontal="center" vertical="center"/>
    </xf>
    <xf numFmtId="0" fontId="13" fillId="0" borderId="17" xfId="0" applyFont="1" applyBorder="1" applyAlignment="1">
      <alignment horizontal="center" vertical="center" wrapText="1"/>
    </xf>
    <xf numFmtId="0" fontId="13" fillId="0" borderId="17" xfId="0" applyFont="1" applyBorder="1" applyAlignment="1">
      <alignment horizontal="center" vertical="center"/>
    </xf>
    <xf numFmtId="14" fontId="13" fillId="0" borderId="17" xfId="0" applyNumberFormat="1" applyFont="1" applyBorder="1" applyAlignment="1">
      <alignment horizontal="center" vertical="center"/>
    </xf>
    <xf numFmtId="49" fontId="13" fillId="6" borderId="17" xfId="0" applyNumberFormat="1" applyFont="1" applyFill="1" applyBorder="1" applyAlignment="1">
      <alignment horizontal="center" vertical="center"/>
    </xf>
    <xf numFmtId="49" fontId="13" fillId="0" borderId="17" xfId="0" applyNumberFormat="1" applyFont="1" applyBorder="1" applyAlignment="1">
      <alignment horizontal="center" vertical="center"/>
    </xf>
    <xf numFmtId="0" fontId="14" fillId="0" borderId="17" xfId="0" applyFont="1" applyBorder="1" applyAlignment="1">
      <alignment horizontal="center" vertical="center"/>
    </xf>
    <xf numFmtId="0" fontId="13" fillId="18" borderId="17" xfId="0" applyFont="1" applyFill="1" applyBorder="1" applyAlignment="1">
      <alignment horizontal="center" vertical="center"/>
    </xf>
    <xf numFmtId="14" fontId="0" fillId="19" borderId="17" xfId="0" applyNumberFormat="1" applyFill="1" applyBorder="1" applyAlignment="1">
      <alignment horizontal="center" vertical="center"/>
    </xf>
    <xf numFmtId="49" fontId="0" fillId="6" borderId="17" xfId="0" applyNumberFormat="1" applyFill="1" applyBorder="1" applyAlignment="1">
      <alignment horizontal="center" vertical="center"/>
    </xf>
    <xf numFmtId="0" fontId="12" fillId="0" borderId="17" xfId="0" applyFont="1" applyBorder="1" applyAlignment="1">
      <alignment horizontal="center" vertical="center"/>
    </xf>
    <xf numFmtId="14" fontId="0" fillId="7" borderId="17" xfId="0" applyNumberFormat="1" applyFill="1" applyBorder="1" applyAlignment="1">
      <alignment horizontal="center" vertical="center"/>
    </xf>
    <xf numFmtId="49" fontId="0" fillId="7" borderId="17" xfId="0" applyNumberFormat="1" applyFill="1" applyBorder="1" applyAlignment="1">
      <alignment horizontal="center" vertical="center"/>
    </xf>
    <xf numFmtId="0" fontId="0" fillId="18" borderId="17" xfId="0" applyFill="1" applyBorder="1" applyAlignment="1">
      <alignment horizontal="center" vertical="center"/>
    </xf>
    <xf numFmtId="0" fontId="0" fillId="7" borderId="17" xfId="0" applyFill="1" applyBorder="1" applyAlignment="1">
      <alignment horizontal="center" vertical="center" wrapText="1"/>
    </xf>
    <xf numFmtId="0" fontId="11" fillId="0" borderId="17" xfId="0" applyFont="1" applyBorder="1" applyAlignment="1">
      <alignment horizontal="center" vertical="center" wrapText="1"/>
    </xf>
    <xf numFmtId="0" fontId="0" fillId="7" borderId="17" xfId="0" applyFill="1" applyBorder="1" applyAlignment="1">
      <alignment horizontal="center" vertical="center"/>
    </xf>
    <xf numFmtId="0" fontId="0" fillId="12" borderId="17" xfId="0" applyFill="1" applyBorder="1" applyAlignment="1">
      <alignment horizontal="center" vertical="center" wrapText="1"/>
    </xf>
    <xf numFmtId="49" fontId="0" fillId="11" borderId="0" xfId="0" applyNumberFormat="1" applyFill="1" applyAlignment="1">
      <alignment horizontal="center" vertical="center"/>
    </xf>
    <xf numFmtId="0" fontId="15" fillId="0" borderId="17" xfId="0" applyFont="1" applyBorder="1" applyAlignment="1">
      <alignment horizontal="center" vertical="center"/>
    </xf>
    <xf numFmtId="49" fontId="0" fillId="7" borderId="18" xfId="0" applyNumberFormat="1" applyFill="1" applyBorder="1" applyAlignment="1">
      <alignment horizontal="center" vertical="center"/>
    </xf>
    <xf numFmtId="49" fontId="0" fillId="10" borderId="18" xfId="0" applyNumberFormat="1" applyFill="1" applyBorder="1" applyAlignment="1">
      <alignment horizontal="center" vertical="center"/>
    </xf>
    <xf numFmtId="0" fontId="0" fillId="12" borderId="17" xfId="0" applyFill="1" applyBorder="1" applyAlignment="1">
      <alignment horizontal="center" vertical="center"/>
    </xf>
    <xf numFmtId="14" fontId="0" fillId="12" borderId="17" xfId="0" applyNumberFormat="1" applyFill="1" applyBorder="1" applyAlignment="1">
      <alignment horizontal="center" vertical="center"/>
    </xf>
    <xf numFmtId="14" fontId="0" fillId="12" borderId="19" xfId="0" applyNumberFormat="1" applyFill="1" applyBorder="1" applyAlignment="1">
      <alignment horizontal="center" vertical="center"/>
    </xf>
    <xf numFmtId="49" fontId="0" fillId="11" borderId="17" xfId="0" applyNumberFormat="1" applyFill="1" applyBorder="1" applyAlignment="1">
      <alignment horizontal="center" vertical="center" wrapText="1"/>
    </xf>
    <xf numFmtId="49" fontId="0" fillId="10" borderId="20" xfId="0" applyNumberFormat="1" applyFill="1" applyBorder="1" applyAlignment="1">
      <alignment horizontal="center" vertical="center" wrapText="1"/>
    </xf>
    <xf numFmtId="0" fontId="0" fillId="12" borderId="20" xfId="0" applyFill="1" applyBorder="1" applyAlignment="1">
      <alignment horizontal="center" vertical="center" wrapText="1"/>
    </xf>
    <xf numFmtId="49" fontId="0" fillId="7" borderId="21" xfId="0" applyNumberFormat="1" applyFill="1" applyBorder="1" applyAlignment="1">
      <alignment horizontal="center" vertical="center"/>
    </xf>
    <xf numFmtId="49" fontId="0" fillId="11" borderId="21" xfId="0" applyNumberFormat="1" applyFill="1" applyBorder="1" applyAlignment="1">
      <alignment horizontal="center" vertical="center"/>
    </xf>
    <xf numFmtId="49" fontId="0" fillId="7" borderId="17" xfId="0" applyNumberFormat="1" applyFill="1" applyBorder="1" applyAlignment="1">
      <alignment horizontal="center"/>
    </xf>
    <xf numFmtId="49" fontId="0" fillId="10" borderId="17" xfId="0" applyNumberFormat="1" applyFill="1" applyBorder="1" applyAlignment="1">
      <alignment horizontal="center"/>
    </xf>
    <xf numFmtId="14" fontId="0" fillId="11" borderId="17" xfId="0" applyNumberFormat="1" applyFill="1" applyBorder="1" applyAlignment="1">
      <alignment horizontal="center" vertical="center"/>
    </xf>
    <xf numFmtId="0" fontId="12" fillId="12" borderId="17" xfId="0" applyFont="1" applyFill="1" applyBorder="1" applyAlignment="1">
      <alignment horizontal="center" vertical="center" wrapText="1"/>
    </xf>
    <xf numFmtId="0" fontId="0" fillId="0" borderId="22" xfId="0" applyBorder="1" applyAlignment="1">
      <alignment horizontal="center"/>
    </xf>
    <xf numFmtId="0" fontId="0" fillId="0" borderId="22" xfId="0" applyBorder="1" applyAlignment="1">
      <alignment horizontal="center" vertical="center"/>
    </xf>
    <xf numFmtId="0" fontId="0" fillId="0" borderId="22" xfId="0" applyBorder="1"/>
    <xf numFmtId="14" fontId="0" fillId="0" borderId="22" xfId="0" applyNumberFormat="1" applyBorder="1" applyAlignment="1">
      <alignment horizontal="center"/>
    </xf>
    <xf numFmtId="0" fontId="0" fillId="10" borderId="22" xfId="0" applyFill="1" applyBorder="1" applyAlignment="1">
      <alignment horizontal="center"/>
    </xf>
    <xf numFmtId="49" fontId="0" fillId="7" borderId="17" xfId="0" quotePrefix="1" applyNumberFormat="1" applyFill="1" applyBorder="1" applyAlignment="1">
      <alignment horizontal="center" vertical="center"/>
    </xf>
    <xf numFmtId="49" fontId="0" fillId="0" borderId="17" xfId="0" quotePrefix="1" applyNumberFormat="1" applyBorder="1" applyAlignment="1">
      <alignment horizontal="center" vertical="center"/>
    </xf>
    <xf numFmtId="49" fontId="0" fillId="11" borderId="17" xfId="0" quotePrefix="1" applyNumberFormat="1" applyFill="1" applyBorder="1" applyAlignment="1">
      <alignment horizontal="center" vertical="center"/>
    </xf>
    <xf numFmtId="0" fontId="0" fillId="0" borderId="0" xfId="0" quotePrefix="1" applyAlignment="1">
      <alignment horizontal="center" vertical="center"/>
    </xf>
    <xf numFmtId="0" fontId="0" fillId="0" borderId="22" xfId="0" quotePrefix="1" applyBorder="1" applyAlignment="1">
      <alignment horizontal="center"/>
    </xf>
    <xf numFmtId="0" fontId="0" fillId="20" borderId="0" xfId="0" applyFill="1" applyAlignment="1">
      <alignment horizontal="center"/>
    </xf>
    <xf numFmtId="0" fontId="16" fillId="21" borderId="23" xfId="0" applyFont="1" applyFill="1" applyBorder="1" applyAlignment="1">
      <alignment wrapText="1"/>
    </xf>
    <xf numFmtId="0" fontId="16" fillId="21" borderId="24" xfId="0" applyFont="1" applyFill="1" applyBorder="1" applyAlignment="1">
      <alignment wrapText="1"/>
    </xf>
    <xf numFmtId="0" fontId="16" fillId="22" borderId="25" xfId="0" applyFont="1" applyFill="1" applyBorder="1" applyAlignment="1">
      <alignment wrapText="1"/>
    </xf>
    <xf numFmtId="0" fontId="16" fillId="22" borderId="26" xfId="0" applyFont="1" applyFill="1" applyBorder="1" applyAlignment="1">
      <alignment wrapText="1"/>
    </xf>
    <xf numFmtId="22" fontId="16" fillId="22" borderId="26" xfId="0" applyNumberFormat="1" applyFont="1" applyFill="1" applyBorder="1" applyAlignment="1">
      <alignment wrapText="1"/>
    </xf>
    <xf numFmtId="3" fontId="16" fillId="22" borderId="26" xfId="0" applyNumberFormat="1" applyFont="1" applyFill="1" applyBorder="1" applyAlignment="1">
      <alignment wrapText="1"/>
    </xf>
    <xf numFmtId="0" fontId="16" fillId="23" borderId="25" xfId="0" applyFont="1" applyFill="1" applyBorder="1" applyAlignment="1">
      <alignment wrapText="1"/>
    </xf>
    <xf numFmtId="0" fontId="16" fillId="23" borderId="26" xfId="0" applyFont="1" applyFill="1" applyBorder="1" applyAlignment="1">
      <alignment wrapText="1"/>
    </xf>
    <xf numFmtId="0" fontId="16" fillId="23" borderId="26" xfId="0" quotePrefix="1" applyFont="1" applyFill="1" applyBorder="1" applyAlignment="1">
      <alignment wrapText="1"/>
    </xf>
    <xf numFmtId="22" fontId="16" fillId="23" borderId="26" xfId="0" applyNumberFormat="1" applyFont="1" applyFill="1" applyBorder="1" applyAlignment="1">
      <alignment wrapText="1"/>
    </xf>
    <xf numFmtId="3" fontId="16" fillId="23" borderId="26" xfId="0" applyNumberFormat="1" applyFont="1" applyFill="1" applyBorder="1" applyAlignment="1">
      <alignment wrapText="1"/>
    </xf>
    <xf numFmtId="0" fontId="16" fillId="24" borderId="25" xfId="0" applyFont="1" applyFill="1" applyBorder="1" applyAlignment="1">
      <alignment wrapText="1"/>
    </xf>
    <xf numFmtId="0" fontId="16" fillId="24" borderId="26" xfId="0" applyFont="1" applyFill="1" applyBorder="1" applyAlignment="1">
      <alignment wrapText="1"/>
    </xf>
    <xf numFmtId="22" fontId="16" fillId="24" borderId="26" xfId="0" applyNumberFormat="1" applyFont="1" applyFill="1" applyBorder="1" applyAlignment="1">
      <alignment wrapText="1"/>
    </xf>
    <xf numFmtId="3" fontId="16" fillId="24" borderId="26" xfId="0" applyNumberFormat="1" applyFont="1" applyFill="1" applyBorder="1" applyAlignment="1">
      <alignment wrapText="1"/>
    </xf>
    <xf numFmtId="0" fontId="16" fillId="25" borderId="25" xfId="0" applyFont="1" applyFill="1" applyBorder="1" applyAlignment="1">
      <alignment wrapText="1"/>
    </xf>
    <xf numFmtId="0" fontId="16" fillId="25" borderId="26" xfId="0" applyFont="1" applyFill="1" applyBorder="1" applyAlignment="1">
      <alignment wrapText="1"/>
    </xf>
    <xf numFmtId="22" fontId="16" fillId="25" borderId="26" xfId="0" applyNumberFormat="1" applyFont="1" applyFill="1" applyBorder="1" applyAlignment="1">
      <alignment wrapText="1"/>
    </xf>
    <xf numFmtId="3" fontId="16" fillId="25" borderId="26" xfId="0" applyNumberFormat="1" applyFont="1" applyFill="1" applyBorder="1" applyAlignment="1">
      <alignment wrapText="1"/>
    </xf>
    <xf numFmtId="0" fontId="1" fillId="5" borderId="2" xfId="0" applyFont="1" applyFill="1" applyBorder="1" applyAlignment="1">
      <alignment horizontal="center"/>
    </xf>
    <xf numFmtId="0" fontId="1" fillId="5" borderId="3" xfId="0" applyFont="1" applyFill="1" applyBorder="1" applyAlignment="1">
      <alignment horizontal="center"/>
    </xf>
    <xf numFmtId="0" fontId="4" fillId="8" borderId="5" xfId="0" applyFont="1" applyFill="1" applyBorder="1" applyAlignment="1">
      <alignment horizontal="center" vertical="center"/>
    </xf>
    <xf numFmtId="0" fontId="4" fillId="9" borderId="7" xfId="0" applyFont="1" applyFill="1" applyBorder="1" applyAlignment="1">
      <alignment horizontal="center" vertical="center"/>
    </xf>
    <xf numFmtId="0" fontId="4" fillId="9" borderId="16" xfId="0" applyFont="1" applyFill="1" applyBorder="1" applyAlignment="1">
      <alignment horizontal="center" vertical="center"/>
    </xf>
    <xf numFmtId="0" fontId="4" fillId="8" borderId="14" xfId="0" applyFont="1" applyFill="1" applyBorder="1" applyAlignment="1">
      <alignment horizontal="center" vertical="center"/>
    </xf>
    <xf numFmtId="0" fontId="4" fillId="8" borderId="6" xfId="0" applyFont="1" applyFill="1" applyBorder="1" applyAlignment="1">
      <alignment horizontal="center" vertical="center"/>
    </xf>
    <xf numFmtId="0" fontId="10" fillId="15" borderId="17" xfId="0" applyFont="1" applyFill="1" applyBorder="1" applyAlignment="1">
      <alignment horizontal="center" vertical="center"/>
    </xf>
    <xf numFmtId="0" fontId="10" fillId="16" borderId="17" xfId="0" applyFont="1" applyFill="1" applyBorder="1" applyAlignment="1">
      <alignment horizontal="center" vertical="center"/>
    </xf>
    <xf numFmtId="49" fontId="10" fillId="16" borderId="17" xfId="0" applyNumberFormat="1" applyFont="1" applyFill="1" applyBorder="1" applyAlignment="1">
      <alignment horizontal="center" vertical="center"/>
    </xf>
    <xf numFmtId="0" fontId="1" fillId="2" borderId="0" xfId="0" applyFont="1" applyFill="1" applyAlignment="1">
      <alignment horizontal="center"/>
    </xf>
    <xf numFmtId="0" fontId="2" fillId="4" borderId="0" xfId="0" applyFont="1" applyFill="1" applyAlignment="1">
      <alignment horizontal="center"/>
    </xf>
    <xf numFmtId="0" fontId="2" fillId="4" borderId="0" xfId="0" applyFont="1" applyFill="1" applyAlignment="1">
      <alignment horizontal="center" vertical="center"/>
    </xf>
    <xf numFmtId="0" fontId="2" fillId="4" borderId="1" xfId="0" applyFont="1" applyFill="1" applyBorder="1" applyAlignment="1">
      <alignment horizontal="center" vertical="center"/>
    </xf>
  </cellXfs>
  <cellStyles count="3">
    <cellStyle name="Hiperlink" xfId="2" builtinId="8"/>
    <cellStyle name="Hyperlink" xfId="1" xr:uid="{00000000-000B-0000-0000-000008000000}"/>
    <cellStyle name="Normal" xfId="0" builtinId="0"/>
  </cellStyles>
  <dxfs count="1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left"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vertical="center"/>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22</xdr:col>
      <xdr:colOff>219635</xdr:colOff>
      <xdr:row>131</xdr:row>
      <xdr:rowOff>79081</xdr:rowOff>
    </xdr:from>
    <xdr:to>
      <xdr:col>24</xdr:col>
      <xdr:colOff>3283484</xdr:colOff>
      <xdr:row>179</xdr:row>
      <xdr:rowOff>88606</xdr:rowOff>
    </xdr:to>
    <xdr:pic>
      <xdr:nvPicPr>
        <xdr:cNvPr id="2" name="Imagem 1">
          <a:extLst>
            <a:ext uri="{FF2B5EF4-FFF2-40B4-BE49-F238E27FC236}">
              <a16:creationId xmlns:a16="http://schemas.microsoft.com/office/drawing/2014/main" id="{4CE5B968-A6F3-4297-9AE7-2F5A7DBF9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987510" y="25472731"/>
          <a:ext cx="4759299" cy="915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4027715</xdr:colOff>
      <xdr:row>131</xdr:row>
      <xdr:rowOff>84846</xdr:rowOff>
    </xdr:from>
    <xdr:to>
      <xdr:col>24</xdr:col>
      <xdr:colOff>8708572</xdr:colOff>
      <xdr:row>164</xdr:row>
      <xdr:rowOff>95250</xdr:rowOff>
    </xdr:to>
    <xdr:pic>
      <xdr:nvPicPr>
        <xdr:cNvPr id="3" name="Imagem 2">
          <a:extLst>
            <a:ext uri="{FF2B5EF4-FFF2-40B4-BE49-F238E27FC236}">
              <a16:creationId xmlns:a16="http://schemas.microsoft.com/office/drawing/2014/main" id="{AED64EA5-9357-4776-A73C-E27A420F62DC}"/>
            </a:ext>
            <a:ext uri="{147F2762-F138-4A5C-976F-8EAC2B608ADB}">
              <a16:predDERef xmlns:a16="http://schemas.microsoft.com/office/drawing/2014/main" pred="{4CE5B968-A6F3-4297-9AE7-2F5A7DBF96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491040" y="25478496"/>
          <a:ext cx="4680857" cy="6296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30</xdr:col>
      <xdr:colOff>219635</xdr:colOff>
      <xdr:row>113</xdr:row>
      <xdr:rowOff>79081</xdr:rowOff>
    </xdr:from>
    <xdr:to>
      <xdr:col>32</xdr:col>
      <xdr:colOff>3283484</xdr:colOff>
      <xdr:row>161</xdr:row>
      <xdr:rowOff>88606</xdr:rowOff>
    </xdr:to>
    <xdr:pic>
      <xdr:nvPicPr>
        <xdr:cNvPr id="2" name="Imagem 1">
          <a:extLst>
            <a:ext uri="{FF2B5EF4-FFF2-40B4-BE49-F238E27FC236}">
              <a16:creationId xmlns:a16="http://schemas.microsoft.com/office/drawing/2014/main" id="{326ECA2D-1DD7-1CA4-1D42-AD2E7971A8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994314" y="25034581"/>
          <a:ext cx="4751134" cy="915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4027715</xdr:colOff>
      <xdr:row>113</xdr:row>
      <xdr:rowOff>84846</xdr:rowOff>
    </xdr:from>
    <xdr:to>
      <xdr:col>32</xdr:col>
      <xdr:colOff>8708572</xdr:colOff>
      <xdr:row>146</xdr:row>
      <xdr:rowOff>95250</xdr:rowOff>
    </xdr:to>
    <xdr:pic>
      <xdr:nvPicPr>
        <xdr:cNvPr id="9" name="Imagem 2">
          <a:extLst>
            <a:ext uri="{FF2B5EF4-FFF2-40B4-BE49-F238E27FC236}">
              <a16:creationId xmlns:a16="http://schemas.microsoft.com/office/drawing/2014/main" id="{9818471B-1CA5-1BBA-9446-A03FE2C820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489679" y="25040346"/>
          <a:ext cx="4680857" cy="6296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llan Pereira de Souza" id="{2CA1750F-6264-42FE-A0B9-B3DEE7C271DA}" userId="S::allan.souza@energisa.com.br::a7fa3ebd-5911-4698-9bd5-79f3a413ac43" providerId="AD"/>
  <person displayName="Joao Antonio Lagares Milhomem de Souza" id="{6564218A-E088-4662-9D46-DA31EA88AA31}" userId="S::joao.lagares@energisa.com.br::398807df-e4d5-412e-a012-70e82e4b539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an Pereira de Souza" refreshedDate="46254.72429953704" createdVersion="8" refreshedVersion="8" minRefreshableVersion="3" recordCount="93" xr:uid="{B1A6946C-52CD-45E2-876B-898ED1DBAEF3}">
  <cacheSource type="worksheet">
    <worksheetSource name="Pendentes"/>
  </cacheSource>
  <cacheFields count="23">
    <cacheField name="ANO_SS" numFmtId="0">
      <sharedItems containsSemiMixedTypes="0" containsString="0" containsNumber="1" containsInteger="1" minValue="2025" maxValue="2026"/>
    </cacheField>
    <cacheField name="SS_ORIGINAL" numFmtId="0">
      <sharedItems/>
    </cacheField>
    <cacheField name="DESTINO_SS" numFmtId="0">
      <sharedItems count="13">
        <s v="ETO-RD-PO"/>
        <s v="ETO-RD-GR"/>
        <s v="ETO-COEP"/>
        <s v="ETO-TELE"/>
        <s v="ETO-RD-DP"/>
        <s v="ETO-PROT"/>
        <s v="ETO-SE-PA"/>
        <s v="ETO-RD-PS"/>
        <s v="DG-RD-PO"/>
        <s v="ETO-SE-PCM" u="1"/>
        <s v="ETO-RD-GU" u="1"/>
        <s v="ETO-RD-PA" u="1"/>
        <s v="ETO-RD-AR" u="1"/>
      </sharedItems>
    </cacheField>
    <cacheField name="COD_RELIGADOR" numFmtId="0">
      <sharedItems containsSemiMixedTypes="0" containsString="0" containsNumber="1" containsInteger="1" minValue="5800291035" maxValue="7962734119"/>
    </cacheField>
    <cacheField name="TIPO" numFmtId="0">
      <sharedItems count="2">
        <s v="58"/>
        <s v="79"/>
      </sharedItems>
    </cacheField>
    <cacheField name="DTA_ABERTURA" numFmtId="14">
      <sharedItems containsSemiMixedTypes="0" containsNonDate="0" containsDate="1" containsString="0" minDate="2025-07-01T00:00:00" maxDate="2026-07-28T00:00:00"/>
    </cacheField>
    <cacheField name="COD_LOC" numFmtId="0">
      <sharedItems containsSemiMixedTypes="0" containsString="0" containsNumber="1" containsInteger="1" minValue="1" maxValue="256"/>
    </cacheField>
    <cacheField name="LOCALIDADE" numFmtId="0">
      <sharedItems/>
    </cacheField>
    <cacheField name="POLO" numFmtId="0">
      <sharedItems/>
    </cacheField>
    <cacheField name="REGIONAL" numFmtId="0">
      <sharedItems/>
    </cacheField>
    <cacheField name="ALIMENTADOR" numFmtId="0">
      <sharedItems/>
    </cacheField>
    <cacheField name="DESCRICAO" numFmtId="0">
      <sharedItems longText="1"/>
    </cacheField>
    <cacheField name="Premissa 1" numFmtId="0">
      <sharedItems containsString="0" containsBlank="1" containsNumber="1" containsInteger="1" minValue="0" maxValue="40"/>
    </cacheField>
    <cacheField name="Premissa 2" numFmtId="0">
      <sharedItems containsString="0" containsBlank="1" containsNumber="1" containsInteger="1" minValue="0" maxValue="20"/>
    </cacheField>
    <cacheField name="Premissa 3" numFmtId="0">
      <sharedItems containsString="0" containsBlank="1" containsNumber="1" containsInteger="1" minValue="0" maxValue="20"/>
    </cacheField>
    <cacheField name="Premissa 4" numFmtId="0">
      <sharedItems containsString="0" containsBlank="1" containsNumber="1" containsInteger="1" minValue="0" maxValue="20"/>
    </cacheField>
    <cacheField name="Premissa 5" numFmtId="0">
      <sharedItems containsString="0" containsBlank="1" containsNumber="1" containsInteger="1" minValue="0" maxValue="20"/>
    </cacheField>
    <cacheField name="Premissa 6" numFmtId="0">
      <sharedItems containsBlank="1" containsMixedTypes="1" containsNumber="1" containsInteger="1" minValue="0" maxValue="10"/>
    </cacheField>
    <cacheField name="Premissa 7" numFmtId="0">
      <sharedItems containsBlank="1" containsMixedTypes="1" containsNumber="1" containsInteger="1" minValue="0" maxValue="10"/>
    </cacheField>
    <cacheField name="Premissa 8" numFmtId="0">
      <sharedItems containsBlank="1" containsMixedTypes="1" containsNumber="1" containsInteger="1" minValue="0" maxValue="15"/>
    </cacheField>
    <cacheField name="Priorização" numFmtId="0">
      <sharedItems containsString="0" containsBlank="1" containsNumber="1" containsInteger="1" minValue="0" maxValue="110"/>
    </cacheField>
    <cacheField name="Criticidade" numFmtId="0">
      <sharedItems count="6">
        <s v="Muito Alta"/>
        <s v="Alta"/>
        <s v="Média"/>
        <s v="Baixa"/>
        <s v="Falta definir"/>
        <s v="-" u="1"/>
      </sharedItems>
    </cacheField>
    <cacheField name="Observação após anális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5.41759016204" createdVersion="8" refreshedVersion="8" minRefreshableVersion="3" recordCount="111" xr:uid="{3F6AC1E3-BEFA-40F6-82F4-54BD3C28327D}">
  <cacheSource type="worksheet">
    <worksheetSource name="Table"/>
  </cacheSource>
  <cacheFields count="33">
    <cacheField name="Ativo" numFmtId="0">
      <sharedItems containsSemiMixedTypes="0" containsString="0" containsNumber="1" containsInteger="1" minValue="5800090147" maxValue="7967181127"/>
    </cacheField>
    <cacheField name="Tipo" numFmtId="0">
      <sharedItems/>
    </cacheField>
    <cacheField name="Localidade" numFmtId="0">
      <sharedItems containsBlank="1"/>
    </cacheField>
    <cacheField name="Polo" numFmtId="0">
      <sharedItems containsBlank="1"/>
    </cacheField>
    <cacheField name="Regional" numFmtId="0">
      <sharedItems containsBlank="1"/>
    </cacheField>
    <cacheField name="SS aberta" numFmtId="0">
      <sharedItems containsBlank="1"/>
    </cacheField>
    <cacheField name="Parecer COEP" numFmtId="0">
      <sharedItems containsBlank="1" count="24">
        <m/>
        <s v="Em fase de ajustes"/>
        <s v="Aguardando comissionamento"/>
        <s v="Em processo de aquisição"/>
        <s v="Equipamento entregue ao COCM"/>
        <s v="Concuído DCMD"/>
        <s v="Concluído DCMD"/>
        <s v="Em processo logístico"/>
        <s v="Primeiro ataque DMSL"/>
        <s v="Problema na autorização de passagem"/>
        <s v="Concluído DCMD e DMSL"/>
        <s v="Concluído DCMD "/>
        <s v="Equipamento em Logistica"/>
        <s v="Linha viva substiui as chaves pode ser que esteja dentro de operação"/>
        <s v="Equipamento entregue aos COCM's"/>
        <s v="Equipamento Fora de operação"/>
        <s v="Aguardando parecer DMSL"/>
        <s v="REPASSAR O DMSL (EQUIPAMENTO OPERANDO NO SCADA)"/>
        <s v="Melhoria de aterramento concluída"/>
        <s v="Novo"/>
        <s v="Substituido 24/07, pendente laudo" u="1"/>
        <s v="Substituido 27/07, pendente laudo" u="1"/>
        <s v="Aguardando atualização de informação DMSL" u="1"/>
        <s v="Melhoria de aterramento" u="1"/>
      </sharedItems>
    </cacheField>
    <cacheField name="SS DCMD" numFmtId="0">
      <sharedItems containsNonDate="0" containsString="0" containsBlank="1"/>
    </cacheField>
    <cacheField name="Status DCMD" numFmtId="0">
      <sharedItems containsNonDate="0" containsString="0" containsBlank="1"/>
    </cacheField>
    <cacheField name="Previsão DCMD" numFmtId="0">
      <sharedItems containsNonDate="0" containsString="0" containsBlank="1"/>
    </cacheField>
    <cacheField name="SS Proteção" numFmtId="0">
      <sharedItems containsNonDate="0" containsString="0" containsBlank="1"/>
    </cacheField>
    <cacheField name="Status Proteção" numFmtId="0">
      <sharedItems containsNonDate="0" containsString="0" containsBlank="1"/>
    </cacheField>
    <cacheField name="Previsão Proteção" numFmtId="0">
      <sharedItems containsNonDate="0" containsString="0" containsBlank="1"/>
    </cacheField>
    <cacheField name="SS DMSL" numFmtId="0">
      <sharedItems containsNonDate="0" containsString="0" containsBlank="1"/>
    </cacheField>
    <cacheField name="Status DMSL" numFmtId="0">
      <sharedItems/>
    </cacheField>
    <cacheField name="Previsão DMSL" numFmtId="0">
      <sharedItems containsDate="1" containsBlank="1" containsMixedTypes="1" minDate="2026-08-24T00:00:00" maxDate="2026-08-29T00:00:00"/>
    </cacheField>
    <cacheField name="Status COI" numFmtId="0">
      <sharedItems containsNonDate="0" containsString="0" containsBlank="1"/>
    </cacheField>
    <cacheField name="Observação" numFmtId="0">
      <sharedItems containsBlank="1" count="33">
        <m/>
        <s v="Pendente laudo da empreteira"/>
        <s v="Previsão de substituição 27/08"/>
        <s v="Estava aguardando retorno DMSL"/>
        <s v="Previsão de substituição 07/08// Nova previsão de entrega 21/08 se a DB Machado for para o Sul"/>
        <s v="Mandar reformar"/>
        <s v="Construir Reporte"/>
        <s v="Previsão de substituição 07/08 // 22/08 Se a DB Machado for pro Sul"/>
        <s v="Destinada parte ativa do RL 7900453110 "/>
        <s v="Verificar se já foi repassado"/>
        <s v="Previsão de entrega 20/10"/>
        <s v="Previsão de entrega 10/08"/>
        <s v="Previsão de substituição 28/07"/>
        <s v="Cliente não autorizou entrar na propriedade "/>
        <s v="Previsão de substituição 07/08"/>
        <s v="Cancelada errada pelo DMSL"/>
        <s v="Concluído poço para melhoria de aterramento aberto"/>
        <s v="Vamos retirar de uma obra de construção de uma linha antiga e usar na manutenção"/>
        <s v="Previsão de entrega 20/07 // Foi entregue a eles verificar o porque eles baixaram"/>
        <s v="1 controle NOJA sobrando"/>
        <s v="Previsão de entrega 16/08"/>
        <s v="Furtado 2 vezes"/>
        <s v="DMSL reportou a necessidade de substituição do RT dia 16/06/2025 e novamente dia 31/07/2026."/>
        <s v="Este equipamento  ainda não foi comissionado devido a instabilidade da comunicação sendo preciso instalar uma antena telespázio."/>
        <s v="Melhoria de aterramento"/>
        <s v="Equipe reportou que após ajuste remoto, retornou. Foi confirmado no ADMS que o equipamento está comunicando normalmente. Solicitada a baixa da nota."/>
        <s v="Aguardando resposta da equipe. Comunicando no ADMS"/>
        <s v="DMSL reportou a necessidade de substituição do RT dia 16/06/2025" u="1"/>
        <s v="Destinada parte ativa do RL 7900453110" u="1"/>
        <s v="Previsão de entrega 10/08, 1 tanque NOJA sobrando" u="1"/>
        <s v="Vai ser aberto um poço em 28/07" u="1"/>
        <s v="Previsão de entrega 20/07" u="1"/>
        <s v="Furtado novamente" u="1"/>
      </sharedItems>
    </cacheField>
    <cacheField name="Check de concluídas" numFmtId="0">
      <sharedItems containsBlank="1"/>
    </cacheField>
    <cacheField name="Defeito identificado" numFmtId="0">
      <sharedItems containsBlank="1"/>
    </cacheField>
    <cacheField name="Quantidade" numFmtId="0">
      <sharedItems containsString="0" containsBlank="1" containsNumber="1" containsInteger="1" minValue="1" maxValue="3"/>
    </cacheField>
    <cacheField name="Descrição SS" numFmtId="0">
      <sharedItems longText="1"/>
    </cacheField>
    <cacheField name="Premissa 1" numFmtId="0">
      <sharedItems containsBlank="1" containsMixedTypes="1" containsNumber="1" containsInteger="1" minValue="0" maxValue="40"/>
    </cacheField>
    <cacheField name="Premissa 2" numFmtId="0">
      <sharedItems containsString="0" containsBlank="1" containsNumber="1" containsInteger="1" minValue="0" maxValue="20"/>
    </cacheField>
    <cacheField name="Premissa 3" numFmtId="0">
      <sharedItems containsString="0" containsBlank="1" containsNumber="1" containsInteger="1" minValue="0" maxValue="20"/>
    </cacheField>
    <cacheField name="Premissa 4" numFmtId="0">
      <sharedItems containsString="0" containsBlank="1" containsNumber="1" containsInteger="1" minValue="0" maxValue="20"/>
    </cacheField>
    <cacheField name="Premissa 5" numFmtId="0">
      <sharedItems containsString="0" containsBlank="1" containsNumber="1" containsInteger="1" minValue="0" maxValue="20"/>
    </cacheField>
    <cacheField name="Premissa 6" numFmtId="0">
      <sharedItems containsBlank="1" containsMixedTypes="1" containsNumber="1" containsInteger="1" minValue="0" maxValue="10"/>
    </cacheField>
    <cacheField name="Premissa 7" numFmtId="0">
      <sharedItems containsBlank="1" containsMixedTypes="1" containsNumber="1" containsInteger="1" minValue="0" maxValue="10"/>
    </cacheField>
    <cacheField name="Premissa 8" numFmtId="0">
      <sharedItems containsBlank="1" containsMixedTypes="1" containsNumber="1" containsInteger="1" minValue="0" maxValue="15"/>
    </cacheField>
    <cacheField name="Priorização" numFmtId="0">
      <sharedItems containsSemiMixedTypes="0" containsString="0" containsNumber="1" containsInteger="1" minValue="0" maxValue="120"/>
    </cacheField>
    <cacheField name="Criticidade" numFmtId="0">
      <sharedItems containsBlank="1" count="5">
        <s v="Muito Alta"/>
        <s v="Alta"/>
        <s v="Média"/>
        <s v="Baixa"/>
        <m/>
      </sharedItems>
    </cacheField>
    <cacheField name="Observação após anális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n v="2026"/>
    <s v="ETO-RD-PO 00213/2026"/>
    <x v="0"/>
    <n v="5854566043"/>
    <x v="0"/>
    <d v="2026-07-22T00:00:00"/>
    <n v="43"/>
    <s v="SILVANOPOLIS"/>
    <s v="PORTO NACIONAL"/>
    <s v="CENTRO"/>
    <s v="LD02072001"/>
    <s v="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n v="40"/>
    <n v="20"/>
    <n v="20"/>
    <n v="10"/>
    <n v="20"/>
    <s v="-"/>
    <s v="-"/>
    <s v="-"/>
    <n v="110"/>
    <x v="0"/>
    <s v="Aumento de reclamações no atendimento de Silvanópolis por Porto Nacional no período seco (Outra fonte com defeito também)"/>
  </r>
  <r>
    <n v="2026"/>
    <s v="ETO-RD-GR 00735/2026"/>
    <x v="1"/>
    <n v="5800859011"/>
    <x v="0"/>
    <d v="2026-07-16T00:00:00"/>
    <n v="11"/>
    <s v="TUPIRAMA"/>
    <s v="GUARAI"/>
    <s v="NORTE"/>
    <s v="AL01065015"/>
    <s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
    <n v="40"/>
    <n v="20"/>
    <n v="20"/>
    <n v="10"/>
    <n v="20"/>
    <s v="-"/>
    <s v="-"/>
    <s v="-"/>
    <n v="110"/>
    <x v="0"/>
    <s v="Atendimento de parte da RDU Guaraí por fonte alternativa"/>
  </r>
  <r>
    <n v="2026"/>
    <s v="ETO-COEP 00124/2026"/>
    <x v="2"/>
    <n v="7923673004"/>
    <x v="1"/>
    <d v="2026-07-07T00:00:00"/>
    <n v="4"/>
    <s v="ARAGUAINA"/>
    <s v="ARAGUAINA"/>
    <s v="NORTE"/>
    <s v="AL04010004"/>
    <s v="PARECER COEP: Verificar Disponibilidade de equipamento no Scada e enviar modelo e tensão para a compra.RELIGADOR COM RELÉ DANIFICADO, REALIZAR SUBSTITUIÇÃO"/>
    <n v="15"/>
    <n v="20"/>
    <n v="15"/>
    <n v="15"/>
    <n v="15"/>
    <n v="10"/>
    <n v="0"/>
    <n v="15"/>
    <n v="105"/>
    <x v="0"/>
    <s v="Transferência de cargas na RDU de Araguaína (2797 UCs)"/>
  </r>
  <r>
    <n v="2026"/>
    <s v="ETO-COEP 00040/2026"/>
    <x v="2"/>
    <n v="7931608059"/>
    <x v="1"/>
    <d v="2026-02-24T00:00:00"/>
    <n v="59"/>
    <s v="TAQUARALTO"/>
    <s v="TAQUARALTO"/>
    <s v="CENTRO"/>
    <s v="AL05099059"/>
    <s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
    <n v="15"/>
    <n v="20"/>
    <n v="15"/>
    <n v="15"/>
    <n v="15"/>
    <n v="10"/>
    <n v="0"/>
    <n v="15"/>
    <n v="105"/>
    <x v="0"/>
    <s v="Transferência dos bairros Morada do Sol, Vale do Sol, Morada do Sol II, Nova Esperança, Sõa João, Araras I e II e Jardim Laila em Taquaralto (6033 UCs)"/>
  </r>
  <r>
    <n v="2026"/>
    <s v="ETO-TELE 01025/2026"/>
    <x v="3"/>
    <n v="7931610122"/>
    <x v="1"/>
    <d v="2026-07-22T00:00:00"/>
    <n v="122"/>
    <s v="PALMAS"/>
    <s v="PALMAS"/>
    <s v="CENTRO"/>
    <s v="AL08060122"/>
    <s v="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
    <n v="15"/>
    <n v="20"/>
    <n v="15"/>
    <n v="15"/>
    <n v="15"/>
    <n v="10"/>
    <n v="0"/>
    <n v="15"/>
    <n v="105"/>
    <x v="0"/>
    <s v="Transferência entre 284R SE Palmas IV e 2294R SE Palmas II"/>
  </r>
  <r>
    <n v="2026"/>
    <s v="ETO-RD-DP 00479/2026"/>
    <x v="4"/>
    <n v="5856070091"/>
    <x v="0"/>
    <d v="2026-07-27T00:00:00"/>
    <n v="91"/>
    <s v="ALMAS"/>
    <s v="DIANOPOLIS"/>
    <s v="SUL"/>
    <s v="LD04002091"/>
    <s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n v="40"/>
    <n v="20"/>
    <n v="20"/>
    <n v="20"/>
    <n v="0"/>
    <s v="-"/>
    <s v="-"/>
    <s v="-"/>
    <n v="100"/>
    <x v="0"/>
    <s v="Atendimento da região da Engegold, Nativa, cidade Natividade e Chapada da Natividade"/>
  </r>
  <r>
    <n v="2026"/>
    <s v="ETO-COEP 00131/2026"/>
    <x v="2"/>
    <n v="7947203070"/>
    <x v="1"/>
    <d v="2026-07-08T00:00:00"/>
    <n v="70"/>
    <s v="RIO SONO"/>
    <s v="TAQUARALTO"/>
    <s v="CENTRO"/>
    <s v="LD02424015"/>
    <s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
    <n v="10"/>
    <n v="20"/>
    <n v="15"/>
    <n v="15"/>
    <n v="15"/>
    <n v="10"/>
    <n v="0"/>
    <n v="15"/>
    <n v="100"/>
    <x v="0"/>
    <s v="Transferência da RDU de Lizarda (1650 UCs) para fonte alternativa"/>
  </r>
  <r>
    <n v="2026"/>
    <s v="ETO-RD-DP 00409/2026"/>
    <x v="4"/>
    <n v="7908705049"/>
    <x v="1"/>
    <d v="2026-07-06T00:00:00"/>
    <n v="49"/>
    <s v="AURORA DO TOCANTINS"/>
    <s v="DIANOPOLIS"/>
    <s v="SUL"/>
    <s v="AL01015049"/>
    <s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
    <n v="15"/>
    <n v="20"/>
    <n v="5"/>
    <n v="15"/>
    <n v="15"/>
    <n v="0"/>
    <n v="10"/>
    <n v="15"/>
    <n v="95"/>
    <x v="0"/>
    <s v="Proteção da baixa do TF de força da SE Aurora"/>
  </r>
  <r>
    <n v="2026"/>
    <s v="ETO-COEP 00059/2026"/>
    <x v="2"/>
    <n v="7925744087"/>
    <x v="1"/>
    <d v="2026-03-30T00:00:00"/>
    <n v="87"/>
    <s v="GOIANORTE"/>
    <s v="GUARAI"/>
    <s v="NORTE"/>
    <s v="LD02022033"/>
    <s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
    <n v="15"/>
    <n v="20"/>
    <n v="5"/>
    <n v="15"/>
    <n v="15"/>
    <n v="10"/>
    <n v="0"/>
    <n v="15"/>
    <n v="95"/>
    <x v="0"/>
    <s v="Transferência de Goianorte, fonte principal operando"/>
  </r>
  <r>
    <n v="2026"/>
    <s v="ETO-PROT 00154/2026"/>
    <x v="5"/>
    <n v="7900117013"/>
    <x v="1"/>
    <d v="2026-07-21T00:00:00"/>
    <n v="13"/>
    <s v="PARAISO DO TOCANTINS"/>
    <s v="PARAISO DO TOCANTINS"/>
    <s v="CENTRO"/>
    <s v="AL01062013"/>
    <s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
    <n v="15"/>
    <n v="20"/>
    <n v="15"/>
    <n v="15"/>
    <n v="15"/>
    <n v="0"/>
    <n v="0"/>
    <n v="15"/>
    <n v="95"/>
    <x v="0"/>
    <s v="Transferência do 214R de Paraíso I, Centro Comercial de Paraíso"/>
  </r>
  <r>
    <n v="2026"/>
    <s v="ETO-COEP 00120/2026"/>
    <x v="2"/>
    <n v="7929376022"/>
    <x v="1"/>
    <d v="2026-06-30T00:00:00"/>
    <n v="22"/>
    <s v="BABACULANDIA"/>
    <s v="ARAGUAINA"/>
    <s v="NORTE"/>
    <s v="LD05010004"/>
    <s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
    <n v="15"/>
    <n v="20"/>
    <n v="5"/>
    <n v="15"/>
    <n v="15"/>
    <n v="10"/>
    <n v="0"/>
    <n v="15"/>
    <n v="95"/>
    <x v="0"/>
    <s v="Transferência de Babaçulândia, fonte principal operando"/>
  </r>
  <r>
    <n v="2026"/>
    <s v="ETO-PROT 00145/2026"/>
    <x v="5"/>
    <n v="7933726256"/>
    <x v="1"/>
    <d v="2026-07-09T00:00:00"/>
    <n v="256"/>
    <s v="MATEIROS"/>
    <s v="PONTE ALTA TOCANTINS"/>
    <s v="CENTRO"/>
    <s v="LD03046026"/>
    <s v="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
    <n v="15"/>
    <n v="10"/>
    <n v="15"/>
    <n v="15"/>
    <n v="15"/>
    <n v="10"/>
    <n v="0"/>
    <n v="15"/>
    <n v="95"/>
    <x v="0"/>
    <s v="Transferência da cidade de Mateiros (733 UCs) para o gerador"/>
  </r>
  <r>
    <n v="2026"/>
    <s v="ETO-TELE 01024/2026"/>
    <x v="3"/>
    <n v="7933766059"/>
    <x v="1"/>
    <d v="2026-07-22T00:00:00"/>
    <n v="59"/>
    <s v="TAQUARALTO"/>
    <s v="TAQUARALTO"/>
    <s v="CENTRO"/>
    <s v="AL01099059"/>
    <s v="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
    <n v="15"/>
    <n v="20"/>
    <n v="5"/>
    <n v="15"/>
    <n v="15"/>
    <n v="0"/>
    <n v="10"/>
    <n v="15"/>
    <n v="95"/>
    <x v="0"/>
    <s v="Seccionamento de trecho do Setor Taquari"/>
  </r>
  <r>
    <n v="2026"/>
    <s v="ETO-SE-PA 00107/2026"/>
    <x v="6"/>
    <n v="7900594026"/>
    <x v="1"/>
    <d v="2026-07-16T00:00:00"/>
    <n v="26"/>
    <s v="PONTE ALTA TOCANTINS"/>
    <s v="PONTE ALTA TOCANTINS"/>
    <s v="CENTRO"/>
    <s v="LD03046026"/>
    <s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
    <n v="15"/>
    <n v="20"/>
    <n v="15"/>
    <n v="15"/>
    <n v="15"/>
    <n v="0"/>
    <n v="0"/>
    <n v="15"/>
    <n v="95"/>
    <x v="0"/>
    <s v="Religador responsável pela proteção da barra da SE Ponte Alta (2381 UCs)"/>
  </r>
  <r>
    <n v="2026"/>
    <s v="ETO-COEP 00141/2026"/>
    <x v="2"/>
    <n v="7927413001"/>
    <x v="1"/>
    <d v="2026-07-13T00:00:00"/>
    <n v="1"/>
    <s v="PORTO NACIONAL"/>
    <s v="PORTO NACIONAL"/>
    <s v="CENTRO"/>
    <s v="LD01072001"/>
    <s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
    <n v="15"/>
    <n v="5"/>
    <n v="15"/>
    <n v="15"/>
    <n v="15"/>
    <n v="10"/>
    <n v="0"/>
    <n v="15"/>
    <n v="90"/>
    <x v="0"/>
    <s v="Transferência do Distrito Ind de Porto Nacional e GAs"/>
  </r>
  <r>
    <n v="2026"/>
    <s v="ETO-RD-PS 00302/2026"/>
    <x v="7"/>
    <n v="7908686014"/>
    <x v="1"/>
    <d v="2026-07-10T00:00:00"/>
    <n v="14"/>
    <s v="PIUM"/>
    <s v="PARAISO DO TOCANTINS"/>
    <s v="CENTRO"/>
    <s v="LD02025012"/>
    <s v="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
    <n v="15"/>
    <n v="20"/>
    <n v="0"/>
    <n v="15"/>
    <n v="15"/>
    <n v="10"/>
    <n v="0"/>
    <n v="15"/>
    <n v="90"/>
    <x v="0"/>
    <s v="Fonte principal de Pium, RL de transferência operando"/>
  </r>
  <r>
    <n v="2026"/>
    <s v="ETO-TELE 00896/2026"/>
    <x v="3"/>
    <n v="7943790134"/>
    <x v="1"/>
    <d v="2026-06-10T00:00:00"/>
    <n v="134"/>
    <s v="ESPERANTINA"/>
    <s v="AUGUSTINOPOLIS"/>
    <s v="NORTE"/>
    <s v="LD02109039"/>
    <s v="PARECER DCMD:Serviço realizado , substituição da parte ativa  do RELIGADOR 7943790134 - Favor realizar comissionamento"/>
    <n v="15"/>
    <n v="10"/>
    <n v="5"/>
    <n v="15"/>
    <n v="15"/>
    <n v="10"/>
    <n v="0"/>
    <n v="15"/>
    <n v="85"/>
    <x v="0"/>
    <s v="Transferência de Esperantina, fonte principal operando"/>
  </r>
  <r>
    <n v="2026"/>
    <s v="ETO-COEP 00087/2026"/>
    <x v="2"/>
    <n v="7900453110"/>
    <x v="1"/>
    <d v="2026-04-27T00:00:00"/>
    <n v="110"/>
    <s v="SANTA RITA DO TOCANTINS"/>
    <s v="PORTO NACIONAL"/>
    <s v="CENTRO"/>
    <s v="LD03040003"/>
    <s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
    <n v="15"/>
    <n v="10"/>
    <n v="5"/>
    <n v="15"/>
    <n v="15"/>
    <n v="10"/>
    <n v="0"/>
    <n v="15"/>
    <n v="85"/>
    <x v="0"/>
    <s v="Transferência de Santa Rita, fonte principal operando"/>
  </r>
  <r>
    <n v="2026"/>
    <s v="ETO-COEP 00143/2026"/>
    <x v="2"/>
    <n v="7900453110"/>
    <x v="1"/>
    <d v="2026-07-15T00:00:00"/>
    <n v="110"/>
    <s v="SANTA RITA DO TOCANTINS"/>
    <s v="PORTO NACIONAL"/>
    <s v="CENTRO"/>
    <s v="LD03040003"/>
    <s v="PARECER DMSL: Análise técnica realizada. Constatado que o equipamento está em Bypass. Foi aberta nota para substituição da parte ativa,  abri nota para substituir completo  o equipamento"/>
    <n v="15"/>
    <n v="10"/>
    <n v="5"/>
    <n v="15"/>
    <n v="15"/>
    <n v="10"/>
    <n v="0"/>
    <n v="15"/>
    <n v="85"/>
    <x v="0"/>
    <s v="Transferência de Santa Rita, fonte principal operando"/>
  </r>
  <r>
    <n v="2026"/>
    <s v="ETO-COEP 00048/2026"/>
    <x v="2"/>
    <n v="7925871077"/>
    <x v="1"/>
    <d v="2026-03-16T00:00:00"/>
    <n v="77"/>
    <s v="GOIATINS"/>
    <s v="ARAGUAINA"/>
    <s v="NORTE"/>
    <s v="LD03105019"/>
    <s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
    <n v="15"/>
    <n v="10"/>
    <n v="15"/>
    <n v="15"/>
    <n v="15"/>
    <n v="10"/>
    <n v="0"/>
    <n v="0"/>
    <n v="80"/>
    <x v="0"/>
    <s v="Transferência de Goiatins e GAs (2492 UCs)"/>
  </r>
  <r>
    <n v="2026"/>
    <s v="ETO-COEP 00149/2026"/>
    <x v="2"/>
    <n v="5803327001"/>
    <x v="0"/>
    <d v="2026-07-20T00:00:00"/>
    <n v="1"/>
    <s v="PORTO NACIONAL"/>
    <s v="PORTO NACIONAL"/>
    <s v="CENTRO"/>
    <s v="AL01102271"/>
    <s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
    <n v="40"/>
    <n v="0"/>
    <n v="0"/>
    <n v="20"/>
    <n v="20"/>
    <s v="-"/>
    <s v="-"/>
    <s v="-"/>
    <n v="80"/>
    <x v="1"/>
    <s v="Em caso de perca da fonte principal é necessário esse RT para alimentação da Frísia"/>
  </r>
  <r>
    <n v="2026"/>
    <s v="ETO-PROT 00143/2026"/>
    <x v="5"/>
    <n v="7900230155"/>
    <x v="1"/>
    <d v="2026-07-08T00:00:00"/>
    <n v="155"/>
    <s v="PALMEIRANTE"/>
    <s v="COLINAS DO TOCANTINS"/>
    <s v="NORTE"/>
    <s v="LD02105019"/>
    <s v="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
    <n v="15"/>
    <n v="20"/>
    <n v="5"/>
    <n v="15"/>
    <n v="0"/>
    <n v="10"/>
    <n v="0"/>
    <n v="15"/>
    <n v="80"/>
    <x v="0"/>
    <s v="Fonte principal de Palmeirante, RL de transferência operando"/>
  </r>
  <r>
    <n v="2026"/>
    <s v="ETO-TELE 00997/2026"/>
    <x v="3"/>
    <n v="7908302256"/>
    <x v="1"/>
    <d v="2026-07-10T00:00:00"/>
    <n v="256"/>
    <s v="MATEIROS"/>
    <s v="PONTE ALTA TOCANTINS"/>
    <s v="CENTRO"/>
    <s v="LD03046026"/>
    <s v="RL teve nota baixada (ETO-TELE 970/2026) pore´m eqp continua fora de operação, solicito programação para equipe verificar em campo"/>
    <n v="5"/>
    <n v="10"/>
    <n v="5"/>
    <n v="15"/>
    <n v="15"/>
    <n v="10"/>
    <n v="0"/>
    <n v="15"/>
    <n v="75"/>
    <x v="1"/>
    <s v="Isolação de trecho e transferência das cidades de São Felix e Mateiros para gerador, além de atendimento de clientes rurais"/>
  </r>
  <r>
    <n v="2026"/>
    <s v="ETO-RD-GR 00766/2026"/>
    <x v="1"/>
    <n v="5800371025"/>
    <x v="0"/>
    <d v="2026-07-27T00:00:00"/>
    <n v="25"/>
    <s v="ARAPOEMA"/>
    <s v="COLINAS DO TOCANTINS"/>
    <s v="NORTE"/>
    <s v="LD02010153"/>
    <s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
    <n v="0"/>
    <n v="20"/>
    <n v="20"/>
    <n v="10"/>
    <n v="20"/>
    <s v="-"/>
    <s v="-"/>
    <s v="-"/>
    <n v="70"/>
    <x v="1"/>
    <s v="Aumento de reclamações no atendimento de Arapoema no período seco"/>
  </r>
  <r>
    <n v="2026"/>
    <s v="ETO-PROT 00144/2026"/>
    <x v="5"/>
    <n v="5865120195"/>
    <x v="0"/>
    <d v="2026-07-08T00:00:00"/>
    <n v="195"/>
    <s v="CENTENARIO"/>
    <s v="GUARAI"/>
    <s v="NORTE"/>
    <s v="LD01065015"/>
    <s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
    <n v="20"/>
    <n v="20"/>
    <n v="20"/>
    <n v="10"/>
    <n v="0"/>
    <s v="-"/>
    <s v="-"/>
    <s v="-"/>
    <n v="70"/>
    <x v="1"/>
    <s v="Atendimento das RDUs de Centenário, Recursolândia e clientes rurais"/>
  </r>
  <r>
    <n v="2026"/>
    <s v="ETO-COEP 00078/2026"/>
    <x v="2"/>
    <n v="7926089013"/>
    <x v="1"/>
    <d v="2026-04-23T00:00:00"/>
    <n v="13"/>
    <s v="PARAISO DO TOCANTINS"/>
    <s v="PARAISO DO TOCANTINS"/>
    <s v="CENTRO"/>
    <s v="LD03062013"/>
    <s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
    <n v="15"/>
    <n v="10"/>
    <n v="5"/>
    <n v="15"/>
    <n v="15"/>
    <n v="10"/>
    <n v="0"/>
    <n v="0"/>
    <n v="70"/>
    <x v="1"/>
    <s v="Transferência da RDU de Chapada de Areia (937 UCs) para fonte alternativa"/>
  </r>
  <r>
    <n v="2026"/>
    <s v="ETO-PROT 00152/2026"/>
    <x v="5"/>
    <n v="7925087021"/>
    <x v="1"/>
    <d v="2026-07-20T00:00:00"/>
    <n v="21"/>
    <s v="PARANA"/>
    <s v="PEIXE"/>
    <s v="SUL"/>
    <s v="LD01010021"/>
    <s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
    <n v="15"/>
    <n v="10"/>
    <n v="5"/>
    <n v="0"/>
    <n v="15"/>
    <n v="10"/>
    <n v="0"/>
    <n v="15"/>
    <n v="70"/>
    <x v="1"/>
    <s v="Primeiro RL do 414R de Paranã, RL a jusante na LD também está bay-passado (630 UCs)"/>
  </r>
  <r>
    <n v="2026"/>
    <s v="ETO-PROT 00151/2026"/>
    <x v="5"/>
    <n v="5801866013"/>
    <x v="0"/>
    <d v="2026-07-17T00:00:00"/>
    <n v="13"/>
    <s v="PARAISO DO TOCANTINS"/>
    <s v="PARAISO DO TOCANTINS"/>
    <s v="CENTRO"/>
    <s v="AL03062013"/>
    <s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
    <n v="0"/>
    <n v="20"/>
    <n v="20"/>
    <n v="20"/>
    <n v="10"/>
    <s v="-"/>
    <s v="-"/>
    <s v="-"/>
    <n v="70"/>
    <x v="1"/>
    <s v="Atendimento da RDU Luzimangues Industrial por fonte alternativa"/>
  </r>
  <r>
    <n v="2025"/>
    <s v="ETO-RD-PS 00323/2025"/>
    <x v="7"/>
    <n v="5853360007"/>
    <x v="0"/>
    <d v="2025-10-16T00:00:00"/>
    <n v="7"/>
    <s v="MIRACEMA DO TOCANTINS"/>
    <s v="MIRACEMA DO TOCANTINS"/>
    <s v="CENTRO"/>
    <s v="LD05050008"/>
    <s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
    <n v="0"/>
    <n v="20"/>
    <n v="20"/>
    <n v="10"/>
    <n v="20"/>
    <s v="-"/>
    <s v="-"/>
    <s v="-"/>
    <n v="70"/>
    <x v="1"/>
    <s v="Aumento de reclamações no atendimento de Miracema no período seco"/>
  </r>
  <r>
    <n v="2026"/>
    <s v="ETO-PROT 00153/2026"/>
    <x v="5"/>
    <n v="7900573047"/>
    <x v="1"/>
    <d v="2026-07-20T00:00:00"/>
    <n v="47"/>
    <s v="FIGUEIROPOLIS"/>
    <s v="FORMOSO DO ARAGUAIA"/>
    <s v="SUL"/>
    <s v="AL02033047"/>
    <s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
    <n v="5"/>
    <n v="5"/>
    <n v="15"/>
    <n v="0"/>
    <n v="15"/>
    <n v="10"/>
    <n v="0"/>
    <n v="15"/>
    <n v="65"/>
    <x v="1"/>
    <s v="Transferência da Bunge, Saneatins e secadora"/>
  </r>
  <r>
    <n v="2026"/>
    <s v="ETO-RD-PO 00208/2026"/>
    <x v="0"/>
    <n v="7953610256"/>
    <x v="1"/>
    <d v="2026-07-16T00:00:00"/>
    <n v="256"/>
    <s v="MATEIROS"/>
    <s v="PONTE ALTA TOCANTINS"/>
    <s v="CENTRO"/>
    <s v="LD03046026"/>
    <s v="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
    <n v="5"/>
    <n v="5"/>
    <n v="15"/>
    <n v="15"/>
    <n v="0"/>
    <n v="0"/>
    <n v="10"/>
    <n v="15"/>
    <n v="65"/>
    <x v="1"/>
    <s v="Atenidmento da COELBA (Alto potencial de compensação)"/>
  </r>
  <r>
    <n v="2026"/>
    <s v="ETO-RD-DP 00404/2026"/>
    <x v="4"/>
    <n v="5800438116"/>
    <x v="0"/>
    <d v="2026-07-01T00:00:00"/>
    <n v="116"/>
    <s v="CHAPADA DA NATIVIDADE"/>
    <s v="DIANOPOLIS"/>
    <s v="SUL"/>
    <s v="LD04002091"/>
    <s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
    <n v="0"/>
    <n v="20"/>
    <n v="20"/>
    <n v="20"/>
    <n v="0"/>
    <s v="-"/>
    <s v="-"/>
    <s v="-"/>
    <n v="60"/>
    <x v="2"/>
    <s v="Atendimento da região da Engegold, Nativa, cidade Natividade e Chapada da Natividade (Fonte alternativa)"/>
  </r>
  <r>
    <n v="2026"/>
    <s v="ETO-COEP 00151/2026"/>
    <x v="2"/>
    <n v="5840227063"/>
    <x v="0"/>
    <d v="2026-07-20T00:00:00"/>
    <n v="63"/>
    <s v="BANDEIRANTES DO TOCANTINS"/>
    <s v="COLINAS DO TOCANTINS"/>
    <s v="NORTE"/>
    <s v="LD01054060"/>
    <s v="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
    <n v="0"/>
    <n v="20"/>
    <n v="20"/>
    <n v="10"/>
    <n v="10"/>
    <s v="-"/>
    <s v="-"/>
    <s v="-"/>
    <n v="60"/>
    <x v="2"/>
    <s v="Atendimento da RDU Bandeirantes e clientes rurais"/>
  </r>
  <r>
    <n v="2026"/>
    <s v="ETO-TELE 00881/2026"/>
    <x v="3"/>
    <n v="5851753086"/>
    <x v="0"/>
    <d v="2026-06-02T00:00:00"/>
    <n v="86"/>
    <s v="MARIANOPOLIS"/>
    <s v="DIVINOPOLIS"/>
    <s v="CENTRO"/>
    <s v="LD05062013"/>
    <s v="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
    <n v="0"/>
    <n v="20"/>
    <n v="20"/>
    <n v="10"/>
    <n v="10"/>
    <s v="-"/>
    <s v="-"/>
    <s v="-"/>
    <n v="60"/>
    <x v="2"/>
    <s v="Atendimento da RDU Marianópolis e clientes rurais"/>
  </r>
  <r>
    <n v="2026"/>
    <s v="ETO-TELE 00986/2026"/>
    <x v="3"/>
    <n v="5846328094"/>
    <x v="0"/>
    <d v="2026-07-08T00:00:00"/>
    <n v="94"/>
    <s v="PEIXE"/>
    <s v="PEIXE"/>
    <s v="SUL"/>
    <s v="LD04040003"/>
    <s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
    <n v="0"/>
    <n v="20"/>
    <n v="20"/>
    <n v="10"/>
    <n v="10"/>
    <s v="-"/>
    <s v="-"/>
    <s v="-"/>
    <n v="60"/>
    <x v="2"/>
    <s v="Atendimento da RDU Sucupira e clientes rurais"/>
  </r>
  <r>
    <n v="2025"/>
    <s v="ETO-COEP 00184/2025"/>
    <x v="2"/>
    <n v="7903112004"/>
    <x v="1"/>
    <d v="2025-09-03T00:00:00"/>
    <n v="4"/>
    <s v="ARAGUAINA"/>
    <s v="ARAGUAINA"/>
    <s v="NORTE"/>
    <s v="LD05010004"/>
    <s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
    <n v="15"/>
    <n v="10"/>
    <n v="5"/>
    <n v="15"/>
    <n v="0"/>
    <n v="10"/>
    <n v="0"/>
    <n v="0"/>
    <n v="55"/>
    <x v="1"/>
    <s v="Transferência de Babaçulândia, 4 RLs sendo 2 operando"/>
  </r>
  <r>
    <n v="2025"/>
    <s v="ETO-COEP 00120/2025"/>
    <x v="2"/>
    <n v="7920024127"/>
    <x v="1"/>
    <d v="2025-07-01T00:00:00"/>
    <n v="127"/>
    <s v="PALMEIRAS DO TOCANTINS"/>
    <s v="TOCANTINOPOLIS"/>
    <s v="NORTE"/>
    <s v="LD01084002"/>
    <s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
    <n v="15"/>
    <n v="10"/>
    <n v="5"/>
    <n v="15"/>
    <n v="0"/>
    <n v="10"/>
    <n v="0"/>
    <n v="0"/>
    <n v="55"/>
    <x v="1"/>
    <s v="Transferência de Palmeiras, 3 fontes operando"/>
  </r>
  <r>
    <n v="2026"/>
    <s v="ETO-COEP 00029/2026"/>
    <x v="2"/>
    <n v="7927646026"/>
    <x v="1"/>
    <d v="2026-02-04T00:00:00"/>
    <n v="26"/>
    <s v="PONTE ALTA TOCANTINS"/>
    <s v="PONTE ALTA TOCANTINS"/>
    <s v="CENTRO"/>
    <s v="LD03046026"/>
    <s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
    <n v="15"/>
    <n v="10"/>
    <n v="5"/>
    <n v="0"/>
    <n v="15"/>
    <n v="0"/>
    <n v="10"/>
    <n v="0"/>
    <n v="55"/>
    <x v="1"/>
    <s v="Opção de isolação de São Félix e Mateiros para alimentação por gerador"/>
  </r>
  <r>
    <n v="2026"/>
    <s v="ETO-PROT 00156/2026"/>
    <x v="5"/>
    <n v="7927169001"/>
    <x v="1"/>
    <d v="2026-07-21T00:00:00"/>
    <n v="1"/>
    <s v="PORTO NACIONAL"/>
    <s v="PORTO NACIONAL"/>
    <s v="CENTRO"/>
    <s v="AL01102271"/>
    <s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
    <n v="5"/>
    <n v="5"/>
    <n v="15"/>
    <n v="0"/>
    <n v="15"/>
    <n v="0"/>
    <n v="0"/>
    <n v="15"/>
    <n v="55"/>
    <x v="1"/>
    <s v="Transferência dos Grupos A -  VLI e Frisia"/>
  </r>
  <r>
    <n v="2026"/>
    <s v="ETO-RD-PO 00097/2026"/>
    <x v="0"/>
    <n v="5800291035"/>
    <x v="0"/>
    <d v="2026-03-31T00:00:00"/>
    <n v="35"/>
    <s v="MONTE DO CARMO"/>
    <s v="PONTE ALTA TOCANTINS"/>
    <s v="CENTRO"/>
    <s v="LD01051035"/>
    <s v="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
    <n v="0"/>
    <n v="20"/>
    <n v="20"/>
    <n v="10"/>
    <n v="0"/>
    <s v="-"/>
    <s v="-"/>
    <s v="-"/>
    <n v="50"/>
    <x v="2"/>
    <s v="Aumento de reclamações no atendimento de Silvanópolis por Monte do Carmo no período seco"/>
  </r>
  <r>
    <n v="2026"/>
    <s v="ETO-COEP 00150/2026"/>
    <x v="2"/>
    <n v="7930428001"/>
    <x v="1"/>
    <d v="2026-07-20T00:00:00"/>
    <n v="1"/>
    <s v="PORTO NACIONAL"/>
    <s v="PORTO NACIONAL"/>
    <s v="CENTRO"/>
    <s v="LD01100001"/>
    <s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
    <n v="5"/>
    <n v="5"/>
    <n v="15"/>
    <n v="0"/>
    <n v="15"/>
    <n v="10"/>
    <n v="0"/>
    <n v="0"/>
    <n v="50"/>
    <x v="1"/>
    <s v="Transferência dos Grupos A -  Ramal do Rossato (TF 225kVA e TF 750kVA)"/>
  </r>
  <r>
    <n v="2026"/>
    <s v="ETO-RD-PS 00289/2026"/>
    <x v="7"/>
    <n v="5827102054"/>
    <x v="0"/>
    <d v="2026-06-29T00:00:00"/>
    <n v="54"/>
    <s v="PUGMIL"/>
    <s v="PARAISO DO TOCANTINS"/>
    <s v="CENTRO"/>
    <s v="LD01062013"/>
    <s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
    <n v="0"/>
    <n v="20"/>
    <n v="20"/>
    <n v="10"/>
    <n v="0"/>
    <s v="-"/>
    <s v="-"/>
    <s v="-"/>
    <n v="50"/>
    <x v="2"/>
    <s v="Aumento de reclamações no atendimento de Pugmil no período seco"/>
  </r>
  <r>
    <n v="2025"/>
    <s v="ETO-COEP 00173/2025"/>
    <x v="2"/>
    <n v="7900535058"/>
    <x v="1"/>
    <d v="2025-08-25T00:00:00"/>
    <n v="58"/>
    <s v="SANTA FE DO ARAGUAIA"/>
    <s v="ARAGUAINA"/>
    <s v="NORTE"/>
    <s v="LD03010004"/>
    <s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
    <n v="5"/>
    <n v="10"/>
    <n v="5"/>
    <n v="0"/>
    <n v="15"/>
    <n v="10"/>
    <n v="0"/>
    <n v="0"/>
    <n v="45"/>
    <x v="2"/>
    <s v="Atendimento 3 povoados, na perca 4 ficam fora (900 UCs)"/>
  </r>
  <r>
    <n v="2025"/>
    <s v="ETO-COEP 00221/2025"/>
    <x v="2"/>
    <n v="5800961074"/>
    <x v="0"/>
    <d v="2025-12-05T00:00:00"/>
    <n v="74"/>
    <s v="DIANOPOLIS"/>
    <s v="DIANOPOLIS"/>
    <s v="SUL"/>
    <s v="LD03028074"/>
    <s v="PARECER COEP: EQUIPAMENTO SELECIONADO PARA COMPRASubstituir as 3 células- Melhoria na malha de aterramento - Melhoria no circuito de aterramento qua aterra as células.- Substituir conectores paralelos"/>
    <n v="20"/>
    <n v="0"/>
    <n v="0"/>
    <n v="20"/>
    <n v="0"/>
    <s v="-"/>
    <s v="-"/>
    <s v="-"/>
    <n v="40"/>
    <x v="2"/>
    <s v="Atendimento da COELBA e GA Alessandro Maurício (1600 kVA)"/>
  </r>
  <r>
    <n v="2026"/>
    <s v="ETO-COEP 00063/2026"/>
    <x v="2"/>
    <n v="7944559149"/>
    <x v="1"/>
    <d v="2026-03-31T00:00:00"/>
    <n v="149"/>
    <s v="CASEARA"/>
    <s v="DIVINOPOLIS"/>
    <s v="CENTRO"/>
    <s v="LD01434149"/>
    <s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
    <n v="5"/>
    <n v="10"/>
    <n v="0"/>
    <n v="0"/>
    <n v="15"/>
    <n v="10"/>
    <n v="0"/>
    <n v="0"/>
    <n v="40"/>
    <x v="2"/>
    <s v="Atendimento de cargas rurais entre Caseaarra e Araguacema (221 UCs)"/>
  </r>
  <r>
    <n v="2026"/>
    <s v="ETO-COEP 00129/2026"/>
    <x v="2"/>
    <n v="7937102148"/>
    <x v="1"/>
    <d v="2026-07-07T00:00:00"/>
    <n v="148"/>
    <s v="SAO VALERIO DA NATIVIDADE"/>
    <s v="PEIXE"/>
    <s v="SUL"/>
    <s v="LD01066094"/>
    <s v="PARECER COEP: REAVALIAR DISPONIBILIDADE DO EQUIPAMENTO NO SCADA ASSIM COMO , FORNECER MODELO DO EQUIPAMENTO E FAIXA DE TENSÃO PARA COMPRA / AQUISIÇÃOTanque com defeito, realizar substituição do tanque."/>
    <n v="5"/>
    <n v="5"/>
    <n v="5"/>
    <n v="0"/>
    <n v="15"/>
    <n v="10"/>
    <n v="0"/>
    <n v="0"/>
    <n v="40"/>
    <x v="2"/>
    <s v="Fonte principal do Ramal Serranópolis (181 UCs), RL de transferência operando"/>
  </r>
  <r>
    <n v="2026"/>
    <s v="ETO-PROT 00135/2026"/>
    <x v="5"/>
    <n v="7922995039"/>
    <x v="1"/>
    <d v="2026-06-29T00:00:00"/>
    <n v="39"/>
    <s v="ARAGUATINS"/>
    <s v="AUGUSTINOPOLIS"/>
    <s v="NORTE"/>
    <s v="AL03109039"/>
    <s v="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
    <n v="5"/>
    <n v="5"/>
    <n v="0"/>
    <n v="0"/>
    <n v="15"/>
    <n v="10"/>
    <n v="0"/>
    <n v="0"/>
    <n v="35"/>
    <x v="2"/>
    <s v="Atendimento do PA Esperança Viva (396 UCs)"/>
  </r>
  <r>
    <n v="2026"/>
    <s v="ETO-COEP 00024/2026"/>
    <x v="2"/>
    <n v="7933585074"/>
    <x v="1"/>
    <d v="2026-01-27T00:00:00"/>
    <n v="74"/>
    <s v="DIANOPOLIS"/>
    <s v="DIANOPOLIS"/>
    <s v="SUL"/>
    <s v="LD03028074"/>
    <s v="30/06 PARECER COEP: EQUIPAMENTO SELECIONADO PARA COMPRAREALIZAR SUBSTITUIÇÃO DO TANQUE, O MESMO ESTÁ COM DEFEITO."/>
    <n v="5"/>
    <n v="5"/>
    <n v="15"/>
    <n v="0"/>
    <n v="0"/>
    <n v="0"/>
    <n v="10"/>
    <n v="0"/>
    <n v="35"/>
    <x v="2"/>
    <s v="Atendimento da COELBA"/>
  </r>
  <r>
    <n v="2026"/>
    <s v="ETO-COEP 00133/2026"/>
    <x v="2"/>
    <n v="7955986084"/>
    <x v="1"/>
    <d v="2026-07-08T00:00:00"/>
    <n v="84"/>
    <s v="DIVINOPOLIS"/>
    <s v="DIVINOPOLIS"/>
    <s v="CENTRO"/>
    <s v="LD04062013"/>
    <s v="14/07/2026 PARECER COEP : SUBSTIUIR CONTROLE COMPLETOPARECER DMSL: Equipamento com a placa de alimentação ca em curto, será necessário substituir a placa do equipamento. (Antiga nota era pra ter sido repassada porém foi baixada indevidamente pela equipe)"/>
    <n v="5"/>
    <n v="5"/>
    <n v="0"/>
    <n v="0"/>
    <n v="15"/>
    <n v="10"/>
    <n v="0"/>
    <n v="0"/>
    <n v="35"/>
    <x v="2"/>
    <s v="Transferência de cargas do 444R da SE Paraíso I"/>
  </r>
  <r>
    <n v="2026"/>
    <s v="ETO-COEP 00045/2026"/>
    <x v="2"/>
    <n v="7927396052"/>
    <x v="1"/>
    <d v="2026-03-02T00:00:00"/>
    <n v="52"/>
    <s v="FORMOSO DO ARAGUAIA"/>
    <s v="FORMOSO DO ARAGUAIA"/>
    <s v="SUL"/>
    <s v="LD03036052"/>
    <s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
    <n v="5"/>
    <n v="5"/>
    <n v="0"/>
    <n v="0"/>
    <n v="15"/>
    <n v="10"/>
    <n v="0"/>
    <n v="0"/>
    <n v="35"/>
    <x v="2"/>
    <s v="Equipamento localizado Fonte principal de atendimento a SE Cobrape"/>
  </r>
  <r>
    <n v="2026"/>
    <s v="ETO-COEP 00058/2026"/>
    <x v="2"/>
    <n v="7925733015"/>
    <x v="1"/>
    <d v="2026-03-30T00:00:00"/>
    <n v="15"/>
    <s v="PEDRO AFONSO"/>
    <s v="GUARAI"/>
    <s v="NORTE"/>
    <s v="LD01414015"/>
    <s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
    <n v="5"/>
    <n v="5"/>
    <n v="0"/>
    <n v="0"/>
    <n v="15"/>
    <n v="10"/>
    <n v="0"/>
    <n v="0"/>
    <n v="35"/>
    <x v="2"/>
    <s v="Transferência do Ramal Agrovila (73 UCs)"/>
  </r>
  <r>
    <n v="2026"/>
    <s v="ETO-COEP 00125/2026"/>
    <x v="2"/>
    <n v="7900525015"/>
    <x v="1"/>
    <d v="2026-07-07T00:00:00"/>
    <n v="15"/>
    <s v="PEDRO AFONSO"/>
    <s v="GUARAI"/>
    <s v="NORTE"/>
    <s v="LD02424015"/>
    <s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
    <n v="5"/>
    <n v="5"/>
    <n v="0"/>
    <n v="0"/>
    <n v="15"/>
    <n v="10"/>
    <n v="0"/>
    <n v="0"/>
    <n v="35"/>
    <x v="2"/>
    <s v="Tranferência do Ramal do Chaparral (251 UCs)"/>
  </r>
  <r>
    <n v="2026"/>
    <s v="ETO-COEP 00038/2026"/>
    <x v="2"/>
    <n v="7908249152"/>
    <x v="1"/>
    <d v="2026-02-24T00:00:00"/>
    <n v="152"/>
    <s v="SANTA ROSA DO TOCANTINS"/>
    <s v="PORTO NACIONAL"/>
    <s v="CENTRO"/>
    <s v="LD02072001"/>
    <s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
    <n v="5"/>
    <n v="5"/>
    <n v="0"/>
    <n v="0"/>
    <n v="15"/>
    <n v="10"/>
    <n v="0"/>
    <n v="0"/>
    <n v="35"/>
    <x v="2"/>
    <s v="Atendimento de zona rural em Santa Rosa (160 UCs)"/>
  </r>
  <r>
    <n v="2026"/>
    <s v="ETO-PROT 00155/2026"/>
    <x v="5"/>
    <n v="7942572059"/>
    <x v="1"/>
    <d v="2026-07-21T00:00:00"/>
    <n v="59"/>
    <s v="TAQUARALTO"/>
    <s v="TAQUARALTO"/>
    <s v="CENTRO"/>
    <s v="LD02059122"/>
    <s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
    <n v="5"/>
    <n v="5"/>
    <n v="15"/>
    <n v="0"/>
    <n v="0"/>
    <n v="0"/>
    <n v="10"/>
    <n v="0"/>
    <n v="35"/>
    <x v="2"/>
    <s v="Atendimento do Ramal do Marasca e GAs (108 UCs)"/>
  </r>
  <r>
    <n v="2026"/>
    <s v="ETO-COEP 00123/2026"/>
    <x v="2"/>
    <n v="7928564039"/>
    <x v="1"/>
    <d v="2026-07-07T00:00:00"/>
    <n v="39"/>
    <s v="ARAGUATINS"/>
    <s v="AUGUSTINOPOLIS"/>
    <s v="NORTE"/>
    <s v="LD02109039"/>
    <s v="PARECER COEP: EQUIPAMENTO SELECIONADO PARA COMPRATroca do sistema de comunicação do equipamentoDMSL 28/07/2025: Equipamento com tanque, modulo e rele com defeito, solicitar troca do equipamento ao DCMD.Fotos vão ser enviadas por e-mail"/>
    <n v="5"/>
    <n v="10"/>
    <n v="5"/>
    <n v="0"/>
    <n v="0"/>
    <n v="10"/>
    <n v="0"/>
    <n v="0"/>
    <n v="30"/>
    <x v="2"/>
    <s v="Transferência entre 424R Araguatins e 434R Augustinópolis"/>
  </r>
  <r>
    <n v="2026"/>
    <s v="ETO-COEP 00156/2026"/>
    <x v="2"/>
    <n v="5855411017"/>
    <x v="0"/>
    <d v="2026-07-24T00:00:00"/>
    <n v="17"/>
    <s v="BARROLANDIA"/>
    <s v="MIRACEMA DO TOCANTINS"/>
    <s v="CENTRO"/>
    <s v="AL02017017"/>
    <s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
    <n v="0"/>
    <n v="0"/>
    <n v="0"/>
    <n v="10"/>
    <n v="20"/>
    <s v="-"/>
    <s v="-"/>
    <s v="-"/>
    <n v="30"/>
    <x v="3"/>
    <s v="Atendimento do Assentamento Irmã Adelaide"/>
  </r>
  <r>
    <n v="2026"/>
    <s v="ETO-TELE 01002/2026"/>
    <x v="3"/>
    <n v="7908196047"/>
    <x v="1"/>
    <d v="2026-07-13T00:00:00"/>
    <n v="47"/>
    <s v="FIGUEIROPOLIS"/>
    <s v="FORMOSO DO ARAGUAIA"/>
    <s v="SUL"/>
    <s v="AL02033047"/>
    <s v="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
    <n v="5"/>
    <n v="5"/>
    <n v="5"/>
    <n v="0"/>
    <n v="0"/>
    <n v="0"/>
    <n v="10"/>
    <n v="0"/>
    <n v="25"/>
    <x v="3"/>
    <s v="Seccionamento do Rural e energização do 224R"/>
  </r>
  <r>
    <n v="2026"/>
    <s v="ETO-COEP 00134/2026"/>
    <x v="2"/>
    <n v="7955946007"/>
    <x v="1"/>
    <d v="2026-07-08T00:00:00"/>
    <n v="7"/>
    <s v="MIRACEMA DO TOCANTINS"/>
    <s v="MIRACEMA DO TOCANTINS"/>
    <s v="CENTRO"/>
    <s v="LD05050008"/>
    <s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
    <n v="5"/>
    <n v="5"/>
    <n v="5"/>
    <n v="0"/>
    <n v="0"/>
    <n v="0"/>
    <n v="10"/>
    <n v="0"/>
    <n v="25"/>
    <x v="3"/>
    <s v="Alimentação do serviço auxiliar da Investco e clientes rurais (260 UCs)"/>
  </r>
  <r>
    <n v="2026"/>
    <s v="ETO-COEP 00148/2026"/>
    <x v="2"/>
    <n v="7923927122"/>
    <x v="1"/>
    <d v="2026-07-16T00:00:00"/>
    <n v="122"/>
    <s v="PALMAS"/>
    <s v="PALMAS"/>
    <s v="CENTRO"/>
    <s v="LD02059122"/>
    <s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
    <n v="15"/>
    <n v="0"/>
    <n v="0"/>
    <n v="0"/>
    <n v="0"/>
    <n v="10"/>
    <n v="0"/>
    <n v="0"/>
    <n v="25"/>
    <x v="3"/>
    <s v="Transferência entre 414R e 424R SE Palmas II"/>
  </r>
  <r>
    <n v="2025"/>
    <s v="ETO-COEP 00158/2025"/>
    <x v="2"/>
    <n v="7942485096"/>
    <x v="1"/>
    <d v="2025-07-23T00:00:00"/>
    <n v="96"/>
    <s v="PINDORAMA DO TOCANTINS"/>
    <s v="PONTE ALTA TOCANTINS"/>
    <s v="CENTRO"/>
    <s v="LD03046026"/>
    <s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
    <n v="5"/>
    <n v="5"/>
    <n v="5"/>
    <n v="0"/>
    <n v="0"/>
    <n v="10"/>
    <n v="0"/>
    <n v="0"/>
    <n v="25"/>
    <x v="3"/>
    <s v="Transferência da PCH Bagagem"/>
  </r>
  <r>
    <n v="2026"/>
    <s v="ETO-COEP 00132/2026"/>
    <x v="2"/>
    <n v="7921202014"/>
    <x v="1"/>
    <d v="2026-07-08T00:00:00"/>
    <n v="14"/>
    <s v="PIUM"/>
    <s v="PARAISO DO TOCANTINS"/>
    <s v="CENTRO"/>
    <s v="LD01025012"/>
    <s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
    <n v="5"/>
    <n v="5"/>
    <n v="5"/>
    <n v="0"/>
    <n v="0"/>
    <n v="10"/>
    <n v="0"/>
    <n v="0"/>
    <n v="25"/>
    <x v="3"/>
    <s v="Atendimento de Clientes rurais (483 UCs)"/>
  </r>
  <r>
    <n v="2025"/>
    <s v="ETO-COEP 00143/2025"/>
    <x v="2"/>
    <n v="7927446001"/>
    <x v="1"/>
    <d v="2025-07-08T00:00:00"/>
    <n v="1"/>
    <s v="PORTO NACIONAL"/>
    <s v="PORTO NACIONAL"/>
    <s v="CENTRO"/>
    <s v="LD02072001"/>
    <s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
    <n v="5"/>
    <n v="5"/>
    <n v="5"/>
    <n v="0"/>
    <n v="0"/>
    <n v="10"/>
    <n v="0"/>
    <n v="0"/>
    <n v="25"/>
    <x v="3"/>
    <s v="Alimentação de Monte do Carmo por Porto Nacional"/>
  </r>
  <r>
    <n v="2026"/>
    <s v="ETO-COEP 00128/2026"/>
    <x v="2"/>
    <n v="7928241200"/>
    <x v="1"/>
    <d v="2026-07-07T00:00:00"/>
    <n v="200"/>
    <s v="SAO SALVADOR DO TOCANTINS"/>
    <s v="PEIXE"/>
    <s v="SUL"/>
    <s v="LD02066094"/>
    <s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
    <n v="5"/>
    <n v="5"/>
    <n v="5"/>
    <n v="0"/>
    <n v="0"/>
    <n v="10"/>
    <n v="0"/>
    <n v="0"/>
    <n v="25"/>
    <x v="3"/>
    <s v="Fonte principal do Ramal do Retiro (246UCs), RL transferência by-passado"/>
  </r>
  <r>
    <n v="2026"/>
    <s v="ETO-COEP 00061/2026"/>
    <x v="2"/>
    <n v="7901110084"/>
    <x v="1"/>
    <d v="2026-03-31T00:00:00"/>
    <n v="84"/>
    <s v="DIVINOPOLIS"/>
    <s v="DIVINOPOLIS"/>
    <s v="CENTRO"/>
    <s v="LD04062013"/>
    <s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
    <n v="5"/>
    <n v="5"/>
    <n v="0"/>
    <n v="0"/>
    <n v="0"/>
    <n v="0"/>
    <n v="10"/>
    <n v="0"/>
    <n v="20"/>
    <x v="3"/>
    <s v="Localizado na fonte principal de atendimento de Divinópolis e Abreulândia"/>
  </r>
  <r>
    <n v="2026"/>
    <s v="ETO-COEP 00114/2026"/>
    <x v="2"/>
    <n v="7913662076"/>
    <x v="1"/>
    <d v="2026-06-10T00:00:00"/>
    <n v="76"/>
    <s v="DUERE"/>
    <s v="GURUPI"/>
    <s v="SUL"/>
    <s v="AL01031076"/>
    <s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
    <n v="5"/>
    <n v="5"/>
    <n v="0"/>
    <n v="0"/>
    <n v="0"/>
    <n v="10"/>
    <n v="0"/>
    <n v="0"/>
    <n v="20"/>
    <x v="3"/>
    <s v="Atendimento do Ramal do Bacuri (168 UCs)"/>
  </r>
  <r>
    <n v="2026"/>
    <s v="ETO-RD-DP 00457/2026"/>
    <x v="4"/>
    <n v="5862236091"/>
    <x v="0"/>
    <d v="2026-07-20T00:00:00"/>
    <n v="91"/>
    <s v="ALMAS"/>
    <s v="DIANOPOLIS"/>
    <s v="SUL"/>
    <s v="LD05002091"/>
    <s v="20/07 PARECER COEP: EQUIPAMENTO ENTREGUE , FAVOR EDITAR A SS COM A DATA PREVISTA DE SUBSTITUIÇÃO NO PARECER DOS COCM´S Realizar substituição da FASE B.Célula da fase B estava com a tampa do contador de tape aberta, pegou chuva e molhou os contatos danificando a peça toda."/>
    <n v="0"/>
    <n v="0"/>
    <n v="0"/>
    <n v="20"/>
    <n v="0"/>
    <s v="-"/>
    <s v="-"/>
    <s v="-"/>
    <n v="20"/>
    <x v="3"/>
    <s v="Atendimento da LD Vale Rio Doce (Nova Aura Mineradora)"/>
  </r>
  <r>
    <n v="2026"/>
    <s v="ETO-COEP 00095/2026"/>
    <x v="2"/>
    <n v="5836786094"/>
    <x v="0"/>
    <d v="2026-05-18T00:00:00"/>
    <n v="94"/>
    <s v="PEIXE"/>
    <s v="PEIXE"/>
    <s v="SUL"/>
    <s v="LD01066094"/>
    <s v="24/07 PARECER COEP:EQUIPAMENTO EM LOGISTICA DE ENTREGA Favor levar outro regulador de tensão, pois o mesmo foi furtado em campo."/>
    <n v="0"/>
    <n v="0"/>
    <n v="0"/>
    <n v="10"/>
    <n v="10"/>
    <s v="-"/>
    <s v="-"/>
    <s v="-"/>
    <n v="20"/>
    <x v="3"/>
    <s v="Atendimento de clientes rurais na LD Peixe Angical - Peixe"/>
  </r>
  <r>
    <n v="2026"/>
    <s v="ETO-RD-PS 00327/2026"/>
    <x v="7"/>
    <n v="7919270014"/>
    <x v="1"/>
    <d v="2026-07-22T00:00:00"/>
    <n v="14"/>
    <s v="PIUM"/>
    <s v="PARAISO DO TOCANTINS"/>
    <s v="CENTRO"/>
    <s v="LD01047073"/>
    <s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
    <n v="5"/>
    <n v="5"/>
    <n v="0"/>
    <n v="0"/>
    <n v="0"/>
    <n v="10"/>
    <n v="0"/>
    <n v="0"/>
    <n v="20"/>
    <x v="3"/>
    <s v="Atendimento de Clientes rurais (48 UCs)"/>
  </r>
  <r>
    <n v="2026"/>
    <s v="ETO-COEP 00051/2026"/>
    <x v="2"/>
    <n v="7926442035"/>
    <x v="1"/>
    <d v="2026-03-18T00:00:00"/>
    <n v="35"/>
    <s v="MONTE DO CARMO"/>
    <s v="PONTE ALTA TOCANTINS"/>
    <s v="CENTRO"/>
    <s v="LD01051035"/>
    <s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
    <n v="5"/>
    <n v="5"/>
    <n v="0"/>
    <n v="0"/>
    <n v="0"/>
    <n v="0"/>
    <n v="10"/>
    <n v="0"/>
    <n v="20"/>
    <x v="3"/>
    <s v="Atenidmento do PA Principado (200 UCs)"/>
  </r>
  <r>
    <n v="2026"/>
    <s v="ETO-COEP 00144/2026"/>
    <x v="2"/>
    <n v="7938137007"/>
    <x v="1"/>
    <d v="2026-07-15T00:00:00"/>
    <n v="7"/>
    <s v="MIRACEMA DO TOCANTINS"/>
    <s v="MIRACEMA DO TOCANTINS"/>
    <s v="CENTRO"/>
    <s v="AL02017017"/>
    <s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
    <n v="5"/>
    <n v="5"/>
    <n v="5"/>
    <n v="0"/>
    <n v="0"/>
    <n v="0"/>
    <n v="0"/>
    <n v="0"/>
    <n v="15"/>
    <x v="3"/>
    <s v="Transferência do Irmã Adelaide (470 UCs)"/>
  </r>
  <r>
    <n v="2026"/>
    <s v="ETO-RD-DP 00403/2026"/>
    <x v="4"/>
    <n v="5856156091"/>
    <x v="0"/>
    <d v="2026-06-29T00:00:00"/>
    <n v="91"/>
    <s v="ALMAS"/>
    <s v="DIANOPOLIS"/>
    <s v="SUL"/>
    <s v="LD04002091"/>
    <s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
    <n v="0"/>
    <n v="0"/>
    <n v="0"/>
    <n v="0"/>
    <n v="0"/>
    <s v="-"/>
    <s v="-"/>
    <s v="-"/>
    <n v="0"/>
    <x v="3"/>
    <s v="Equipamento novo furtado antes de ser colocado em operação"/>
  </r>
  <r>
    <n v="2026"/>
    <s v="ETO-TELE 01032/2026"/>
    <x v="3"/>
    <n v="5858783119"/>
    <x v="0"/>
    <d v="2026-07-27T00:00:00"/>
    <n v="119"/>
    <s v="SAO BENTO DO TOCANTINS"/>
    <s v="TOCANTINOPOLIS"/>
    <s v="NORTE"/>
    <s v="LD03005098"/>
    <s v="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n v="0"/>
    <n v="0"/>
    <n v="0"/>
    <n v="0"/>
    <n v="0"/>
    <s v="-"/>
    <s v="-"/>
    <s v="-"/>
    <n v="0"/>
    <x v="3"/>
    <s v="Equipamento novo furtado antes de ser colocado em operação, não inserido no SCADA"/>
  </r>
  <r>
    <n v="2026"/>
    <s v="ETO-TELE 00982/2026"/>
    <x v="3"/>
    <n v="7955832052"/>
    <x v="1"/>
    <d v="2026-07-04T00:00:00"/>
    <n v="52"/>
    <s v="FORMOSO DO ARAGUAIA"/>
    <s v="FORMOSO DO ARAGUAIA"/>
    <s v="SUL"/>
    <s v="LD01035052"/>
    <s v="SEGUE SOLICITAÇÃO DE SERVIÇO PARA REALIZAR VERIFICAÇÃO DO RL 7955832052 EQUIPAMENTO DE INTEELIGAÇÃO O MESMO ESTA SEM COMUNICAÇÃO ...FOI REALIZADO PRIMEIRO ATAQUE COM EQUIPE SINERGIA DE FORMOSO EO EQUIPAMENTO NÃO VOLTOU"/>
    <m/>
    <m/>
    <m/>
    <m/>
    <m/>
    <m/>
    <m/>
    <m/>
    <n v="0"/>
    <x v="4"/>
    <m/>
  </r>
  <r>
    <n v="2026"/>
    <s v="ETO-COEP 00138/2026"/>
    <x v="2"/>
    <n v="7930359149"/>
    <x v="1"/>
    <d v="2026-07-13T00:00:00"/>
    <n v="149"/>
    <s v="CASEARA"/>
    <s v="DIVINOPOLIS"/>
    <s v="CENTRO"/>
    <s v="LD03414149"/>
    <s v="PARECER DMSL 07/07/2026: equipamento tem que ser subistuido pois não faz comando, parte ativa com defeito FEITO O PRIMEIRO ATAQUE NO RELIGADOR 7930359149 E MESMO NÃO ACEITA COMANDO NEM LOCAL E NEM REMOTO SEGUNDO EQUIPE 149OP02 E PLACA DO RL ESTA CARBONIZADA COM SINAL DE CURTO."/>
    <m/>
    <m/>
    <m/>
    <m/>
    <m/>
    <m/>
    <m/>
    <m/>
    <n v="0"/>
    <x v="4"/>
    <m/>
  </r>
  <r>
    <n v="2026"/>
    <s v="ETO-TELE 00932/2026"/>
    <x v="3"/>
    <n v="7902098003"/>
    <x v="1"/>
    <d v="2026-06-15T00:00:00"/>
    <n v="3"/>
    <s v="GURUPI"/>
    <s v="GURUPI"/>
    <s v="SUL"/>
    <s v="AL01041003"/>
    <s v="Segue SS de religador 7902098003 sem comunicação. Foi realizado o primeiro ataque porem o mesmo não retornou a comunicação."/>
    <m/>
    <m/>
    <m/>
    <m/>
    <m/>
    <m/>
    <m/>
    <m/>
    <n v="0"/>
    <x v="4"/>
    <m/>
  </r>
  <r>
    <n v="2026"/>
    <s v="ETO-COEP 00147/2026"/>
    <x v="2"/>
    <n v="7953211079"/>
    <x v="1"/>
    <d v="2026-07-16T00:00:00"/>
    <n v="79"/>
    <s v="ITAPIRATINS"/>
    <s v="GUARAI"/>
    <s v="NORTE"/>
    <s v="LD03038009"/>
    <s v="20/07 PARECER COEP: EQUIPAMENTO SELECIONADO PARA COMPRASegue nota para substituir relé religador avariado marca noja , equipamento N: 7953211079 - Itapiratins .Obs: informação repassado pelo técnico DMSL Bruno ."/>
    <m/>
    <m/>
    <m/>
    <m/>
    <m/>
    <m/>
    <m/>
    <m/>
    <n v="0"/>
    <x v="4"/>
    <m/>
  </r>
  <r>
    <n v="2026"/>
    <s v="ETO-TELE 00929/2026"/>
    <x v="3"/>
    <n v="7949648145"/>
    <x v="1"/>
    <d v="2026-06-13T00:00:00"/>
    <n v="145"/>
    <s v="MAURILANDIA DO TOCANTINS"/>
    <s v="AUGUSTINOPOLIS"/>
    <s v="NORTE"/>
    <s v="AL02043081"/>
    <s v="FEITO PRIMEIRO ATAQUE COM A EQUIPE LOCAL E NÃO VOLTOU A COMUNICAR. PROVIDENCIAR MANUTENÇÃO PARA O MESMO."/>
    <m/>
    <m/>
    <m/>
    <m/>
    <m/>
    <m/>
    <m/>
    <m/>
    <n v="0"/>
    <x v="4"/>
    <m/>
  </r>
  <r>
    <n v="2026"/>
    <s v="ETO-TELE 00938/2026"/>
    <x v="3"/>
    <n v="7908300096"/>
    <x v="1"/>
    <d v="2026-06-18T00:00:00"/>
    <n v="96"/>
    <s v="PINDORAMA DO TOCANTINS"/>
    <s v="PONTE ALTA TOCANTINS"/>
    <s v="CENTRO"/>
    <s v="LD03046026"/>
    <s v="Segue nota para verificar falha intermitência na comunicação RL 7908300096 RDU- Pindorama ."/>
    <m/>
    <m/>
    <m/>
    <m/>
    <m/>
    <m/>
    <m/>
    <m/>
    <n v="0"/>
    <x v="4"/>
    <m/>
  </r>
  <r>
    <n v="2026"/>
    <s v="ETO-TELE 00892/2026"/>
    <x v="3"/>
    <n v="7953570026"/>
    <x v="1"/>
    <d v="2026-06-06T00:00:00"/>
    <n v="26"/>
    <s v="PONTE ALTA TOCANTINS"/>
    <s v="PONTE ALTA TOCANTINS"/>
    <s v="CENTRO"/>
    <s v="LD03046026"/>
    <s v="Segue RL 7953570026 O MESMO FOI FEITO PRIMEIRO ATAQUE, painel do religador acendeu porem não voltou a comunicação junto ao SCADA, equipe fez teste em comando local, tudo normal porem sem retorno de comunicação, rl na SE DE PONTE ALTA"/>
    <m/>
    <m/>
    <m/>
    <m/>
    <m/>
    <m/>
    <m/>
    <m/>
    <n v="0"/>
    <x v="4"/>
    <m/>
  </r>
  <r>
    <n v="2026"/>
    <s v="DG-RD-PO 00444/2026"/>
    <x v="8"/>
    <n v="7911120026"/>
    <x v="1"/>
    <d v="2026-07-01T00:00:00"/>
    <n v="26"/>
    <s v="PONTE ALTA TOCANTINS"/>
    <s v="PONTE ALTA TOCANTINS"/>
    <s v="CENTRO"/>
    <s v="LD03046026"/>
    <s v="Segue nota para recuperar malha de aterramento no RL 7911120026 RDU- Ponte Alta .OBS: Provavelmente foi furtado cabos de aterramento   ."/>
    <m/>
    <m/>
    <m/>
    <m/>
    <m/>
    <m/>
    <m/>
    <m/>
    <n v="0"/>
    <x v="4"/>
    <m/>
  </r>
  <r>
    <n v="2026"/>
    <s v="ETO-TELE 01019/2026"/>
    <x v="3"/>
    <n v="7908716091"/>
    <x v="1"/>
    <d v="2026-07-20T00:00:00"/>
    <n v="91"/>
    <s v="ALMAS"/>
    <s v="DIANOPOLIS"/>
    <s v="SUL"/>
    <s v="LD03046026"/>
    <s v="Segue nota para verificar falha de comunicação no religador 7908716091 - Rural -  Almas  .Equipamento perdeu a comunicação quando faltou CA , porém mesmo ao retorna o CA não retornou à comunicação !"/>
    <m/>
    <m/>
    <m/>
    <m/>
    <m/>
    <m/>
    <m/>
    <m/>
    <m/>
    <x v="4"/>
    <m/>
  </r>
  <r>
    <n v="2026"/>
    <s v="ETO-TELE 01005/2026"/>
    <x v="3"/>
    <n v="5848305116"/>
    <x v="0"/>
    <d v="2026-07-15T00:00:00"/>
    <n v="116"/>
    <s v="CHAPADA DA NATIVIDADE"/>
    <s v="DIANOPOLIS"/>
    <s v="SUL"/>
    <s v="LD04002091"/>
    <s v="Segue nota para verificar falha e constantes travamento no regulador de tensão 5848305116 - chapada da Natividade .Foi identificado que regulador está com divergência em TAP&quot;S analógico e digital .Foi executado comandos no relé para comutar TAP na fase AB foi executado no relé , porém não alterou analógico e nem fez barulho algum , a princípio a fase C está normal ."/>
    <m/>
    <m/>
    <m/>
    <m/>
    <m/>
    <m/>
    <m/>
    <m/>
    <m/>
    <x v="4"/>
    <m/>
  </r>
  <r>
    <n v="2026"/>
    <s v="ETO-TELE 01007/2026"/>
    <x v="3"/>
    <n v="7961368005"/>
    <x v="1"/>
    <d v="2026-07-16T00:00:00"/>
    <n v="5"/>
    <s v="ARRAIAS"/>
    <s v="DIANOPOLIS"/>
    <s v="SUL"/>
    <s v="LD01110005"/>
    <s v="Favor verifcar Religador 7961368005 , equipamento sem comunicação , feito primeiro ataque com equipe operacional , porem não ouve retorno ."/>
    <m/>
    <m/>
    <m/>
    <m/>
    <m/>
    <m/>
    <m/>
    <m/>
    <m/>
    <x v="4"/>
    <m/>
  </r>
  <r>
    <n v="2026"/>
    <s v="ETO-TELE 01026/2026"/>
    <x v="3"/>
    <n v="7929663074"/>
    <x v="1"/>
    <d v="2026-07-23T00:00:00"/>
    <n v="74"/>
    <s v="DIANOPOLIS"/>
    <s v="DIANOPOLIS"/>
    <s v="SUL"/>
    <s v="LD05028074"/>
    <s v="Segue nota para verificar falha de comunicação no religador 7929663074  rural - Dianópolis  .Equipamento perde a comunicação quando falta CA !"/>
    <m/>
    <m/>
    <m/>
    <m/>
    <m/>
    <m/>
    <m/>
    <m/>
    <m/>
    <x v="4"/>
    <m/>
  </r>
  <r>
    <n v="2026"/>
    <s v="ETO-TELE 01029/2026"/>
    <x v="3"/>
    <n v="7900722193"/>
    <x v="1"/>
    <d v="2026-07-24T00:00:00"/>
    <n v="193"/>
    <s v="CAMPOS LINDOS"/>
    <s v="ARAGUAINA"/>
    <s v="NORTE"/>
    <s v="PS01112193"/>
    <s v="Religador sem comunicação, apos primeiro ataque não retornou a comunicação."/>
    <m/>
    <m/>
    <m/>
    <m/>
    <m/>
    <m/>
    <m/>
    <m/>
    <m/>
    <x v="4"/>
    <m/>
  </r>
  <r>
    <n v="2026"/>
    <s v="ETO-TELE 00999/2026"/>
    <x v="3"/>
    <n v="7955792076"/>
    <x v="1"/>
    <d v="2026-07-12T00:00:00"/>
    <n v="76"/>
    <s v="DUERE"/>
    <s v="GURUPI"/>
    <s v="SUL"/>
    <s v="LD02040003"/>
    <s v="RELIGADOR DE POSTE 7955792076 SEM COMUNIÇÃO COM COI ,FEITO PRIMEIRO ATAQUE COM EQUIPE OPERACIONAL O MESMO NÃO RETORNOU A COMUNICAÇÃO ENVIAR EQUIPE ESPECIAL VERIFICAR EM CAMPO"/>
    <m/>
    <m/>
    <m/>
    <m/>
    <m/>
    <m/>
    <m/>
    <m/>
    <m/>
    <x v="4"/>
    <m/>
  </r>
  <r>
    <n v="2026"/>
    <s v="ETO-TELE 00985/2026"/>
    <x v="3"/>
    <n v="5839141113"/>
    <x v="0"/>
    <d v="2026-07-07T00:00:00"/>
    <n v="113"/>
    <s v="COUTO MAGALHAES"/>
    <s v="GUARAI"/>
    <s v="NORTE"/>
    <s v="AL01024113"/>
    <s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
    <m/>
    <m/>
    <m/>
    <m/>
    <m/>
    <m/>
    <m/>
    <m/>
    <m/>
    <x v="4"/>
    <m/>
  </r>
  <r>
    <n v="2026"/>
    <s v="ETO-TELE 00998/2026"/>
    <x v="3"/>
    <n v="7908683122"/>
    <x v="1"/>
    <d v="2026-07-10T00:00:00"/>
    <n v="122"/>
    <s v="PALMAS"/>
    <s v="PALMAS"/>
    <s v="CENTRO"/>
    <s v="AL10059122"/>
    <s v="rl 7908683122  retirado de operaçao devido falha na base do rele  equipamento."/>
    <m/>
    <m/>
    <m/>
    <m/>
    <m/>
    <m/>
    <m/>
    <m/>
    <m/>
    <x v="4"/>
    <m/>
  </r>
  <r>
    <n v="2026"/>
    <s v="ETO-TELE 01027/2026"/>
    <x v="3"/>
    <n v="7923110021"/>
    <x v="1"/>
    <d v="2026-07-23T00:00:00"/>
    <n v="21"/>
    <s v="PARANA"/>
    <s v="PEIXE"/>
    <s v="SUL"/>
    <s v="LD03010021"/>
    <s v="Segue SS para verificar falha de comunicação no religador 7923110021. Equipe foi no local realizar primeiro ataque e informou que o radio de comunicação encontra-se com defeito"/>
    <m/>
    <m/>
    <m/>
    <m/>
    <m/>
    <m/>
    <m/>
    <m/>
    <m/>
    <x v="4"/>
    <m/>
  </r>
  <r>
    <n v="2026"/>
    <s v="ETO-TELE 01018/2026"/>
    <x v="3"/>
    <n v="7900001096"/>
    <x v="1"/>
    <d v="2026-07-20T00:00:00"/>
    <n v="96"/>
    <s v="PINDORAMA DO TOCANTINS"/>
    <s v="PONTE ALTA TOCANTINS"/>
    <s v="CENTRO"/>
    <s v="LD03046026"/>
    <s v="Segue nota para falha de comunicação no religador 7900001096 - Rural - Pindorama .Equipamento perdeu a comunicação quando faltou CA , porém mesmo ao retorna o CA não retornou a comunicação !Feito primeiro ataque sem sucesso !"/>
    <m/>
    <m/>
    <m/>
    <m/>
    <m/>
    <m/>
    <m/>
    <m/>
    <m/>
    <x v="4"/>
    <m/>
  </r>
  <r>
    <n v="2026"/>
    <s v="ETO-TELE 01020/2026"/>
    <x v="3"/>
    <n v="7900451096"/>
    <x v="1"/>
    <d v="2026-07-20T00:00:00"/>
    <n v="96"/>
    <s v="PINDORAMA DO TOCANTINS"/>
    <s v="PONTE ALTA TOCANTINS"/>
    <s v="CENTRO"/>
    <s v="LD03046026"/>
    <s v="Segue nota para verificar falha de comunicação no religador 7900451096 - Rural -  Pindorama  .Equipamento perde a comunicação quando falta CA !"/>
    <m/>
    <m/>
    <m/>
    <m/>
    <m/>
    <m/>
    <m/>
    <m/>
    <m/>
    <x v="4"/>
    <m/>
  </r>
  <r>
    <n v="2026"/>
    <s v="ETO-TELE 01021/2026"/>
    <x v="3"/>
    <n v="7900259096"/>
    <x v="1"/>
    <d v="2026-07-20T00:00:00"/>
    <n v="96"/>
    <s v="PINDORAMA DO TOCANTINS"/>
    <s v="PONTE ALTA TOCANTINS"/>
    <s v="CENTRO"/>
    <s v="LD03046026"/>
    <s v="Boa noite .Segue nota para verificar falha de comunicação no religador 7900259096 -  Pindorama .Equipamento perde a comunicação quando falta CA !"/>
    <m/>
    <m/>
    <m/>
    <m/>
    <m/>
    <m/>
    <m/>
    <m/>
    <m/>
    <x v="4"/>
    <m/>
  </r>
  <r>
    <n v="2026"/>
    <s v="ETO-TELE 01008/2026"/>
    <x v="3"/>
    <n v="7962734119"/>
    <x v="1"/>
    <d v="2026-07-16T00:00:00"/>
    <n v="119"/>
    <s v="SAO BENTO DO TOCANTINS"/>
    <s v="TOCANTINOPOLIS"/>
    <s v="NORTE"/>
    <s v="LD03005098"/>
    <s v="por favor deslocar equipe da manutenção no RL 7962734119 por que foi feito o primeiro ataque no mesmo mais não voltou comunção no sistema escada"/>
    <m/>
    <m/>
    <m/>
    <m/>
    <m/>
    <m/>
    <m/>
    <m/>
    <m/>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n v="5800291077"/>
    <s v="58"/>
    <s v="GOIATINS"/>
    <s v="ARAGUAINA"/>
    <s v="NORTE"/>
    <s v="CONCLUÍDA"/>
    <x v="0"/>
    <m/>
    <m/>
    <m/>
    <m/>
    <m/>
    <m/>
    <m/>
    <e v="#N/A"/>
    <m/>
    <m/>
    <x v="0"/>
    <s v="Ok"/>
    <m/>
    <m/>
    <s v=""/>
    <n v="40"/>
    <n v="20"/>
    <n v="20"/>
    <n v="20"/>
    <n v="20"/>
    <s v="-"/>
    <s v="-"/>
    <s v="-"/>
    <n v="120"/>
    <x v="0"/>
    <s v="Aumento de reclamações no atendimento de Goiatins e GAs relevantes na região"/>
  </r>
  <r>
    <n v="5854566043"/>
    <s v="58"/>
    <s v="SILVANOPOLIS"/>
    <s v="PORTO NACIONAL"/>
    <s v="CENTRO"/>
    <s v="ETO-PROT 00158/2026"/>
    <x v="1"/>
    <m/>
    <m/>
    <m/>
    <m/>
    <m/>
    <m/>
    <m/>
    <e v="#N/A"/>
    <m/>
    <m/>
    <x v="1"/>
    <s v="Em andamento"/>
    <s v="Célula"/>
    <n v="1"/>
    <s v="24/07/2026 - PARECE COCM: EQUIPAMENTO SUBSTITUIDO NA OBRA 0312600352 OS: ETO-RD-PO 1873/2026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n v="40"/>
    <n v="20"/>
    <n v="20"/>
    <n v="10"/>
    <n v="20"/>
    <s v="-"/>
    <s v="-"/>
    <s v="-"/>
    <n v="110"/>
    <x v="0"/>
    <s v="Aumento de reclamações no atendimento de Silvanópolis por Porto Nacional no período seco (Outra fonte com defeito também)"/>
  </r>
  <r>
    <n v="5800859011"/>
    <s v="58"/>
    <s v="TUPIRAMA"/>
    <s v="GUARAI"/>
    <s v="NORTE"/>
    <s v="CONCLUÍDA"/>
    <x v="2"/>
    <m/>
    <m/>
    <m/>
    <m/>
    <m/>
    <m/>
    <m/>
    <e v="#N/A"/>
    <m/>
    <m/>
    <x v="2"/>
    <s v="Em andamento"/>
    <s v="Controle "/>
    <n v="1"/>
    <s v=""/>
    <n v="40"/>
    <n v="20"/>
    <n v="20"/>
    <n v="10"/>
    <n v="20"/>
    <s v="-"/>
    <s v="-"/>
    <s v="-"/>
    <n v="110"/>
    <x v="0"/>
    <s v="Atendimento de parte da RDU Guaraí por fonte alternativa"/>
  </r>
  <r>
    <n v="5836764032"/>
    <s v="58"/>
    <s v="ARAGUACU"/>
    <s v="ALVORADA"/>
    <s v="SUL"/>
    <s v="CONCLUÍDA"/>
    <x v="0"/>
    <m/>
    <m/>
    <m/>
    <m/>
    <m/>
    <m/>
    <m/>
    <e v="#N/A"/>
    <m/>
    <m/>
    <x v="0"/>
    <s v="Ok"/>
    <m/>
    <m/>
    <s v=""/>
    <n v="40"/>
    <n v="20"/>
    <n v="20"/>
    <n v="10"/>
    <n v="20"/>
    <s v="-"/>
    <s v="-"/>
    <s v="-"/>
    <n v="110"/>
    <x v="0"/>
    <s v="Aumento de reclamações no atendimento de Araguaçu no período seco"/>
  </r>
  <r>
    <n v="7923673004"/>
    <s v="79"/>
    <s v="ARAGUAINA"/>
    <s v="ARAGUAINA"/>
    <s v="NORTE"/>
    <s v="ETO-COEP 00124/2026"/>
    <x v="3"/>
    <m/>
    <m/>
    <m/>
    <m/>
    <m/>
    <m/>
    <m/>
    <e v="#N/A"/>
    <m/>
    <m/>
    <x v="3"/>
    <s v="Pendente"/>
    <s v="Tanque + controle"/>
    <n v="1"/>
    <s v="PARECER COEP: Verificar Disponibilidade de equipamento no Scada e enviar modelo e tensão para a compra.RELIGADOR COM RELÉ DANIFICADO, REALIZAR SUBSTITUIÇÃO"/>
    <n v="15"/>
    <n v="20"/>
    <n v="15"/>
    <n v="15"/>
    <n v="15"/>
    <n v="10"/>
    <n v="0"/>
    <n v="15"/>
    <n v="105"/>
    <x v="0"/>
    <s v="Transferência de cargas na RDU de Araguaína (2797 UCs)"/>
  </r>
  <r>
    <n v="7931608059"/>
    <s v="79"/>
    <s v="TAQUARALTO"/>
    <s v="TAQUARALTO"/>
    <s v="CENTRO"/>
    <s v="ETO-COEP 00040/2026"/>
    <x v="3"/>
    <m/>
    <m/>
    <m/>
    <m/>
    <m/>
    <m/>
    <m/>
    <e v="#N/A"/>
    <m/>
    <m/>
    <x v="0"/>
    <s v="Pendente"/>
    <s v="Tanque e rádio"/>
    <n v="1"/>
    <s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
    <n v="15"/>
    <n v="20"/>
    <n v="15"/>
    <n v="15"/>
    <n v="15"/>
    <n v="10"/>
    <n v="0"/>
    <n v="15"/>
    <n v="105"/>
    <x v="0"/>
    <s v="Transferência dos bairros Morada do Sol, Vale do Sol, Morada do Sol II, Nova Esperança, Sõa João, Araras I e II e Jardim Laila em Taquaralto (6033 UCs)"/>
  </r>
  <r>
    <n v="7931610122"/>
    <s v="79"/>
    <s v="PALMAS"/>
    <s v="PALMAS"/>
    <s v="CENTRO"/>
    <s v="CONCLUÍDA"/>
    <x v="2"/>
    <m/>
    <m/>
    <m/>
    <m/>
    <m/>
    <m/>
    <m/>
    <e v="#N/A"/>
    <m/>
    <m/>
    <x v="0"/>
    <s v="Em andamento"/>
    <s v="Tanque e antena "/>
    <n v="1"/>
    <s v=""/>
    <n v="15"/>
    <n v="20"/>
    <n v="15"/>
    <n v="15"/>
    <n v="15"/>
    <n v="10"/>
    <n v="0"/>
    <n v="15"/>
    <n v="105"/>
    <x v="0"/>
    <s v="Transferência entre 284R SE Palmas IV e 2294R SE Palmas II"/>
  </r>
  <r>
    <n v="7900648055"/>
    <s v="79"/>
    <s v="ARAGUACEMA"/>
    <s v="DIVINOPOLIS"/>
    <s v="CENTRO"/>
    <s v="CONCLUÍDA"/>
    <x v="0"/>
    <m/>
    <m/>
    <m/>
    <m/>
    <m/>
    <m/>
    <m/>
    <e v="#N/A"/>
    <m/>
    <m/>
    <x v="0"/>
    <s v="Ok"/>
    <m/>
    <m/>
    <s v=""/>
    <n v="15"/>
    <n v="20"/>
    <n v="15"/>
    <n v="15"/>
    <n v="15"/>
    <n v="10"/>
    <n v="0"/>
    <n v="15"/>
    <n v="105"/>
    <x v="0"/>
    <s v="Transferência da RDU de Araguacema (1506 UCs)"/>
  </r>
  <r>
    <n v="7947203070"/>
    <s v="79"/>
    <s v="RIO SONO"/>
    <s v="TAQUARALTO"/>
    <s v="CENTRO"/>
    <s v="ETO-COEP 00131/2026"/>
    <x v="3"/>
    <m/>
    <m/>
    <m/>
    <m/>
    <m/>
    <m/>
    <m/>
    <e v="#N/A"/>
    <m/>
    <m/>
    <x v="0"/>
    <s v="Pendente"/>
    <s v="Controle"/>
    <n v="1"/>
    <s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
    <n v="10"/>
    <n v="20"/>
    <n v="15"/>
    <n v="15"/>
    <n v="15"/>
    <n v="10"/>
    <n v="0"/>
    <n v="15"/>
    <n v="100"/>
    <x v="0"/>
    <s v="Transferência da RDU de Lizarda (1650 UCs) para fonte alternativa"/>
  </r>
  <r>
    <n v="5856070091"/>
    <s v="58"/>
    <s v="ALMAS"/>
    <s v="DIANOPOLIS"/>
    <s v="SUL"/>
    <s v="ETO-RD-DP 00479/2026"/>
    <x v="4"/>
    <m/>
    <m/>
    <m/>
    <m/>
    <m/>
    <m/>
    <m/>
    <e v="#N/A"/>
    <m/>
    <m/>
    <x v="4"/>
    <s v="Em andamento"/>
    <s v="Células + controle"/>
    <n v="3"/>
    <s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n v="40"/>
    <n v="20"/>
    <n v="20"/>
    <n v="20"/>
    <n v="0"/>
    <s v="-"/>
    <s v="-"/>
    <s v="-"/>
    <n v="100"/>
    <x v="0"/>
    <s v="Atendimento da região da Engegold, Nativa, cidade Natividade e Chapada da Natividade"/>
  </r>
  <r>
    <n v="7903569004"/>
    <s v="79"/>
    <s v="ARAGUAINA"/>
    <s v="ARAGUAINA"/>
    <s v="NORTE"/>
    <s v="ETO-COEP 00152/2026"/>
    <x v="0"/>
    <m/>
    <m/>
    <m/>
    <m/>
    <m/>
    <m/>
    <m/>
    <e v="#N/A"/>
    <m/>
    <m/>
    <x v="0"/>
    <m/>
    <m/>
    <m/>
    <s v="PARECER COEP 28/07/2026 : EQUIPAMENTO SELECIONADO PARA COMPRAEquipamento baypassado PARECER DMSL em 12/03: Realizar substituição do equipamento todo e parte ativa."/>
    <n v="15"/>
    <n v="20"/>
    <n v="5"/>
    <n v="15"/>
    <n v="15"/>
    <n v="10"/>
    <n v="0"/>
    <n v="15"/>
    <n v="95"/>
    <x v="0"/>
    <s v="Transferência dos bairros JD Santa Helena, Jd Filadelfiae Setor Caraja em Araguaína (2053 UCs), AL 254R de AR I e AL 214R de AR III"/>
  </r>
  <r>
    <n v="7925744087"/>
    <s v="79"/>
    <s v="GOIANORTE"/>
    <s v="GUARAI"/>
    <s v="NORTE"/>
    <s v="ETO-COEP 00059/2026"/>
    <x v="3"/>
    <m/>
    <m/>
    <m/>
    <m/>
    <m/>
    <m/>
    <m/>
    <e v="#N/A"/>
    <m/>
    <m/>
    <x v="5"/>
    <s v="Pendente"/>
    <s v="Tanque e cabo umbilical"/>
    <n v="1"/>
    <s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
    <n v="15"/>
    <n v="20"/>
    <n v="5"/>
    <n v="15"/>
    <n v="15"/>
    <n v="10"/>
    <n v="0"/>
    <n v="15"/>
    <n v="95"/>
    <x v="0"/>
    <s v="Transferência de Goianorte, fonte principal operando"/>
  </r>
  <r>
    <n v="7900117013"/>
    <s v="79"/>
    <s v="PARAISO DO TOCANTINS"/>
    <s v="PARAISO DO TOCANTINS"/>
    <s v="CENTRO"/>
    <s v="ETO-PROT 00154/2026"/>
    <x v="1"/>
    <m/>
    <m/>
    <m/>
    <m/>
    <m/>
    <m/>
    <m/>
    <e v="#N/A"/>
    <m/>
    <m/>
    <x v="0"/>
    <s v="Em andamento"/>
    <s v="Controle"/>
    <n v="1"/>
    <s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
    <n v="15"/>
    <n v="20"/>
    <n v="15"/>
    <n v="15"/>
    <n v="15"/>
    <n v="0"/>
    <n v="0"/>
    <n v="15"/>
    <n v="95"/>
    <x v="0"/>
    <s v="Transferência do 214R de Paraíso I, Centro Comercial de Paraíso"/>
  </r>
  <r>
    <n v="7929376022"/>
    <s v="79"/>
    <s v="BABACULANDIA"/>
    <s v="ARAGUAINA"/>
    <s v="NORTE"/>
    <s v="ETO-TELE 01107/2026"/>
    <x v="5"/>
    <m/>
    <m/>
    <m/>
    <m/>
    <m/>
    <m/>
    <m/>
    <s v="SS PENDENTE"/>
    <m/>
    <m/>
    <x v="6"/>
    <s v="Em andamento"/>
    <s v="Tanque + controle"/>
    <n v="1"/>
    <s v="13/08/2026 PARECER COEP: EQUIPAMENTO FOI TROCADO A PEÇA , CONFIRMAMOS COM O LEONARDO DE ARAGUAÍNA , LAUDO EM ANEXO , FAVOR REALIZAR COMISSIONAMENTO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
    <n v="15"/>
    <n v="20"/>
    <n v="5"/>
    <n v="15"/>
    <n v="15"/>
    <n v="10"/>
    <n v="0"/>
    <n v="15"/>
    <n v="95"/>
    <x v="0"/>
    <s v="Transferência de Babaçulândia, fonte principal operando"/>
  </r>
  <r>
    <n v="7908705049"/>
    <s v="79"/>
    <s v="AURORA DO TOCANTINS"/>
    <s v="DIANOPOLIS"/>
    <s v="SUL"/>
    <s v="ETO-RD-DP 00409/2026"/>
    <x v="4"/>
    <m/>
    <m/>
    <m/>
    <m/>
    <m/>
    <m/>
    <m/>
    <e v="#N/A"/>
    <m/>
    <m/>
    <x v="7"/>
    <s v="Em andamento"/>
    <s v="Tanque + controle"/>
    <n v="1"/>
    <s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
    <n v="15"/>
    <n v="20"/>
    <n v="5"/>
    <n v="15"/>
    <n v="15"/>
    <n v="0"/>
    <n v="10"/>
    <n v="15"/>
    <n v="95"/>
    <x v="0"/>
    <s v="Proteção da baixa do TF de força da SE Aurora"/>
  </r>
  <r>
    <n v="7933726256"/>
    <s v="79"/>
    <s v="MATEIROS"/>
    <s v="PONTE ALTA TOCANTINS"/>
    <s v="CENTRO"/>
    <s v="ETO-SE-PCM 00092/2026"/>
    <x v="1"/>
    <m/>
    <m/>
    <m/>
    <m/>
    <m/>
    <m/>
    <m/>
    <e v="#N/A"/>
    <m/>
    <m/>
    <x v="8"/>
    <s v="Em andamento"/>
    <s v="Tanque "/>
    <n v="1"/>
    <s v="17/08/2026 PARECER DA PROTEÇÃO:NOTA REPASSADA PARA DMSL COMISSIONARENG° IRLLEY CASTELO BRANCO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
    <n v="15"/>
    <n v="10"/>
    <n v="15"/>
    <n v="15"/>
    <n v="15"/>
    <n v="10"/>
    <n v="0"/>
    <n v="15"/>
    <n v="95"/>
    <x v="0"/>
    <s v="Transferência da cidade de Mateiros (733 UCs) para o gerador"/>
  </r>
  <r>
    <n v="7933766059"/>
    <s v="79"/>
    <s v="TAQUARALTO"/>
    <s v="TAQUARALTO"/>
    <s v="CENTRO"/>
    <s v="CONCLUÍDA"/>
    <x v="2"/>
    <m/>
    <m/>
    <m/>
    <m/>
    <m/>
    <m/>
    <m/>
    <e v="#N/A"/>
    <m/>
    <m/>
    <x v="0"/>
    <s v="Em andamento"/>
    <s v="Tanque "/>
    <n v="1"/>
    <s v=""/>
    <n v="15"/>
    <n v="20"/>
    <n v="5"/>
    <n v="15"/>
    <n v="15"/>
    <n v="0"/>
    <n v="10"/>
    <n v="15"/>
    <n v="95"/>
    <x v="0"/>
    <s v="Seccionamento de trecho do Setor Taquari"/>
  </r>
  <r>
    <n v="7900594026"/>
    <s v="79"/>
    <s v="PONTE ALTA TOCANTINS"/>
    <s v="PONTE ALTA TOCANTINS"/>
    <s v="CENTRO"/>
    <s v="ETO-SE-PA 00107/2026"/>
    <x v="2"/>
    <m/>
    <m/>
    <m/>
    <m/>
    <m/>
    <m/>
    <m/>
    <e v="#N/A"/>
    <m/>
    <m/>
    <x v="0"/>
    <s v="Em andamento"/>
    <s v="Tanque + controle"/>
    <n v="1"/>
    <s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
    <n v="15"/>
    <n v="20"/>
    <n v="15"/>
    <n v="15"/>
    <n v="15"/>
    <n v="0"/>
    <n v="0"/>
    <n v="15"/>
    <n v="95"/>
    <x v="0"/>
    <s v="Religador responsável pela proteção da barra da SE Ponte Alta (2381 UCs)"/>
  </r>
  <r>
    <n v="7921040031"/>
    <s v="79"/>
    <s v="RIO DOS BOIS"/>
    <s v="MIRACEMA DO TOCANTINS"/>
    <s v="CENTRO"/>
    <s v="CONCLUÍDA"/>
    <x v="0"/>
    <m/>
    <m/>
    <m/>
    <m/>
    <m/>
    <m/>
    <m/>
    <e v="#N/A"/>
    <m/>
    <m/>
    <x v="0"/>
    <s v="Ok"/>
    <m/>
    <m/>
    <s v=""/>
    <n v="15"/>
    <n v="20"/>
    <n v="5"/>
    <n v="15"/>
    <n v="15"/>
    <n v="10"/>
    <n v="0"/>
    <n v="15"/>
    <n v="95"/>
    <x v="0"/>
    <s v="Fonte principal de Rio dos Bois, RL de transferência operando"/>
  </r>
  <r>
    <n v="7957620015"/>
    <s v="79"/>
    <s v="PEDRO AFONSO"/>
    <s v="GUARAI"/>
    <s v="NORTE"/>
    <s v="CONCLUÍDA"/>
    <x v="0"/>
    <m/>
    <m/>
    <m/>
    <m/>
    <m/>
    <m/>
    <m/>
    <e v="#N/A"/>
    <m/>
    <m/>
    <x v="0"/>
    <s v="Ok"/>
    <m/>
    <m/>
    <s v=""/>
    <n v="15"/>
    <n v="20"/>
    <n v="15"/>
    <n v="15"/>
    <n v="15"/>
    <n v="0"/>
    <n v="0"/>
    <n v="15"/>
    <n v="95"/>
    <x v="0"/>
    <s v="Atendimento da RDU de Bom Jesus e parcial da RDU de Pedro Afonso "/>
  </r>
  <r>
    <n v="7927413001"/>
    <s v="79"/>
    <s v="PORTO NACIONAL"/>
    <s v="PORTO NACIONAL"/>
    <s v="CENTRO"/>
    <s v="ETO-COEP 00141/2026"/>
    <x v="3"/>
    <m/>
    <m/>
    <m/>
    <m/>
    <m/>
    <m/>
    <m/>
    <e v="#N/A"/>
    <m/>
    <m/>
    <x v="0"/>
    <s v="Pendente"/>
    <s v="Tanque + controle"/>
    <n v="1"/>
    <s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
    <n v="15"/>
    <n v="5"/>
    <n v="15"/>
    <n v="15"/>
    <n v="15"/>
    <n v="10"/>
    <n v="0"/>
    <n v="15"/>
    <n v="90"/>
    <x v="0"/>
    <s v="Transferência do Distrito Ind de Porto Nacional e GAs"/>
  </r>
  <r>
    <n v="7908686014"/>
    <s v="79"/>
    <s v="PIUM"/>
    <s v="PARAISO DO TOCANTINS"/>
    <s v="CENTRO"/>
    <s v="ETO-PROT 00159/2026"/>
    <x v="6"/>
    <m/>
    <m/>
    <m/>
    <m/>
    <m/>
    <m/>
    <m/>
    <e v="#N/A"/>
    <m/>
    <m/>
    <x v="9"/>
    <s v="Em andamento"/>
    <s v="Tanque"/>
    <n v="1"/>
    <s v="24/07 PARECER COCM: EQUIPAMENTO FOI SUBSTITUIDO OBRA 0212600425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
    <n v="15"/>
    <n v="20"/>
    <n v="0"/>
    <n v="15"/>
    <n v="15"/>
    <n v="10"/>
    <n v="0"/>
    <n v="15"/>
    <n v="90"/>
    <x v="0"/>
    <s v="Fonte principal de Pium, RL de transferência operando"/>
  </r>
  <r>
    <n v="5800440256"/>
    <s v="58"/>
    <s v="MATEIROS"/>
    <s v="PONTE ALTA TOCANTINS"/>
    <s v="CENTRO"/>
    <s v="ETO-COEP 00169/2026"/>
    <x v="0"/>
    <m/>
    <m/>
    <m/>
    <m/>
    <m/>
    <m/>
    <m/>
    <e v="#N/A"/>
    <m/>
    <m/>
    <x v="0"/>
    <s v="Ok"/>
    <m/>
    <m/>
    <s v="PARECER DMSL 06/08: Substituir célula da Fase B do banco de Regulador de tensão e realizar melhorias na malha de aterramento do ReguladorBoa noite,Segue SS para as devidas tratativas, verificar flutuação de tensão do regulador 5800440256 pois a tensão está oscilando de 16kv a 23kv    favor verificar esta anomalia pois cliente BRK está abrindo reclamação todas as noites."/>
    <n v="20"/>
    <n v="20"/>
    <n v="20"/>
    <n v="10"/>
    <n v="20"/>
    <s v="-"/>
    <s v="-"/>
    <s v="-"/>
    <n v="90"/>
    <x v="0"/>
    <s v="Aumento de reclamações no atendimento de São Felix e Mateiros no período seco"/>
  </r>
  <r>
    <n v="7943790134"/>
    <s v="79"/>
    <s v="ESPERANTINA"/>
    <s v="AUGUSTINOPOLIS"/>
    <s v="NORTE"/>
    <s v="ETO-TELE 00896/2026"/>
    <x v="2"/>
    <m/>
    <m/>
    <m/>
    <m/>
    <m/>
    <m/>
    <m/>
    <s v="SS PENDENTE"/>
    <d v="2026-08-27T00:00:00"/>
    <m/>
    <x v="0"/>
    <s v="Em andamento"/>
    <s v="Tanque"/>
    <n v="1"/>
    <s v="PARECER DCMD:Serviço realizado , substituição da parte ativa  do RELIGADOR 7943790134 - Favor realizar comissionamento"/>
    <n v="15"/>
    <n v="10"/>
    <n v="5"/>
    <n v="15"/>
    <n v="15"/>
    <n v="10"/>
    <n v="0"/>
    <n v="15"/>
    <n v="85"/>
    <x v="0"/>
    <s v="Transferência de Esperantina, fonte principal operando"/>
  </r>
  <r>
    <n v="7900453110"/>
    <s v="79"/>
    <s v="SANTA RITA DO TOCANTINS"/>
    <s v="PORTO NACIONAL"/>
    <s v="CENTRO"/>
    <s v="ETO-COEP 00087/2026"/>
    <x v="3"/>
    <m/>
    <m/>
    <m/>
    <m/>
    <m/>
    <m/>
    <m/>
    <e v="#N/A"/>
    <m/>
    <m/>
    <x v="10"/>
    <s v="Pendente"/>
    <s v="Tanque"/>
    <n v="1"/>
    <s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
    <n v="15"/>
    <n v="10"/>
    <n v="5"/>
    <n v="15"/>
    <n v="15"/>
    <n v="10"/>
    <n v="0"/>
    <n v="15"/>
    <n v="85"/>
    <x v="0"/>
    <s v="Transferência de Santa Rita, fonte principal operando"/>
  </r>
  <r>
    <n v="7925871077"/>
    <s v="79"/>
    <s v="GOIATINS"/>
    <s v="ARAGUAINA"/>
    <s v="NORTE"/>
    <s v="ETO-COEP 00048/2026"/>
    <x v="3"/>
    <m/>
    <m/>
    <m/>
    <m/>
    <m/>
    <m/>
    <m/>
    <e v="#N/A"/>
    <m/>
    <m/>
    <x v="10"/>
    <s v="Pendente"/>
    <s v="Tanque"/>
    <n v="1"/>
    <s v="27/07 PARECER COEP: EM PROCESSO DE AQUISIÇÃO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
    <n v="15"/>
    <n v="10"/>
    <n v="15"/>
    <n v="15"/>
    <n v="15"/>
    <n v="10"/>
    <n v="0"/>
    <n v="0"/>
    <n v="80"/>
    <x v="0"/>
    <s v="Transferência de Goiatins e GAs (2492 UCs)"/>
  </r>
  <r>
    <n v="5803327001"/>
    <s v="58"/>
    <s v="PORTO NACIONAL"/>
    <s v="PORTO NACIONAL"/>
    <s v="CENTRO"/>
    <s v="ETO-COEP 00149/2026"/>
    <x v="7"/>
    <m/>
    <m/>
    <m/>
    <m/>
    <m/>
    <m/>
    <m/>
    <e v="#N/A"/>
    <m/>
    <m/>
    <x v="11"/>
    <s v="Em andamento"/>
    <s v="Controle e aterramento"/>
    <n v="1"/>
    <s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
    <n v="40"/>
    <n v="0"/>
    <n v="0"/>
    <n v="20"/>
    <n v="20"/>
    <s v="-"/>
    <s v="-"/>
    <s v="-"/>
    <n v="80"/>
    <x v="1"/>
    <s v="Em caso de perca da fonte principal é necessário esse RT para alimentação da Frísia"/>
  </r>
  <r>
    <n v="7900230155"/>
    <s v="79"/>
    <s v="PALMEIRANTE"/>
    <s v="COLINAS DO TOCANTINS"/>
    <s v="NORTE"/>
    <s v="ETO-SE-PCM 00090/2026"/>
    <x v="1"/>
    <m/>
    <m/>
    <m/>
    <m/>
    <m/>
    <m/>
    <m/>
    <e v="#N/A"/>
    <m/>
    <m/>
    <x v="0"/>
    <s v="Em andamento"/>
    <s v="Tanque e PR do trafo e chave"/>
    <n v="1"/>
    <s v="PARECER DA PROTEÇÃO - 17/08/2026:SEGUE NOTA PARA COMISSIONAMENTO JUNTO COM TIME SCADA, EQUIPAMENTO JA NO DESENHO ADMS.ENG° IRLLEY CASTELO BRANCO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
    <n v="15"/>
    <n v="20"/>
    <n v="5"/>
    <n v="15"/>
    <n v="0"/>
    <n v="10"/>
    <n v="0"/>
    <n v="15"/>
    <n v="80"/>
    <x v="0"/>
    <s v="Fonte principal de Palmeirante, RL de transferência operando"/>
  </r>
  <r>
    <n v="7900543083"/>
    <s v="79"/>
    <s v="APARECIDA DO RIO NEGRO"/>
    <s v="TAQUARALTO"/>
    <s v="CENTRO"/>
    <m/>
    <x v="0"/>
    <m/>
    <m/>
    <m/>
    <m/>
    <m/>
    <m/>
    <m/>
    <e v="#N/A"/>
    <m/>
    <m/>
    <x v="0"/>
    <s v="Ok"/>
    <m/>
    <m/>
    <s v=""/>
    <n v="15"/>
    <n v="20"/>
    <n v="5"/>
    <n v="15"/>
    <n v="0"/>
    <n v="0"/>
    <n v="10"/>
    <n v="15"/>
    <n v="80"/>
    <x v="0"/>
    <s v="Atendimento da RDU de Aparecida do Rio Negro"/>
  </r>
  <r>
    <n v="7900930040"/>
    <s v="79"/>
    <s v="ARAGOMINAS"/>
    <s v="ARAGUAINA"/>
    <s v="NORTE"/>
    <s v="CONCLUÍDA"/>
    <x v="0"/>
    <m/>
    <m/>
    <m/>
    <m/>
    <m/>
    <m/>
    <m/>
    <e v="#N/A"/>
    <m/>
    <m/>
    <x v="0"/>
    <s v="Ok"/>
    <m/>
    <m/>
    <s v=""/>
    <n v="15"/>
    <n v="20"/>
    <n v="5"/>
    <n v="15"/>
    <n v="0"/>
    <n v="0"/>
    <n v="10"/>
    <n v="15"/>
    <n v="80"/>
    <x v="0"/>
    <s v="Proteção da baixa do TF de força da SE Aragominas"/>
  </r>
  <r>
    <n v="7931383086"/>
    <s v="79"/>
    <s v="MARIANOPOLIS"/>
    <s v="DIVINOPOLIS"/>
    <s v="CENTRO"/>
    <s v="CONCLUÍDA"/>
    <x v="0"/>
    <m/>
    <m/>
    <m/>
    <m/>
    <m/>
    <m/>
    <m/>
    <e v="#N/A"/>
    <m/>
    <m/>
    <x v="0"/>
    <s v="Ok"/>
    <m/>
    <m/>
    <s v=""/>
    <n v="15"/>
    <n v="20"/>
    <n v="5"/>
    <n v="15"/>
    <n v="0"/>
    <n v="10"/>
    <n v="0"/>
    <n v="15"/>
    <n v="80"/>
    <x v="0"/>
    <s v="Fonte principal de Marianópolis, RL transferência operando"/>
  </r>
  <r>
    <n v="7908302256"/>
    <s v="79"/>
    <s v="MATEIROS"/>
    <s v="PONTE ALTA TOCANTINS"/>
    <s v="CENTRO"/>
    <s v="CONCLUÍDA"/>
    <x v="8"/>
    <m/>
    <m/>
    <m/>
    <m/>
    <m/>
    <m/>
    <m/>
    <e v="#N/A"/>
    <m/>
    <m/>
    <x v="0"/>
    <m/>
    <m/>
    <m/>
    <s v=""/>
    <n v="5"/>
    <n v="10"/>
    <n v="5"/>
    <n v="15"/>
    <n v="15"/>
    <n v="10"/>
    <n v="0"/>
    <n v="15"/>
    <n v="75"/>
    <x v="1"/>
    <s v="Isolação de trecho e transferência das cidades de São Felix e Mateiros para gerador, além de atendimento de clientes rurais"/>
  </r>
  <r>
    <n v="5800371025"/>
    <s v="58"/>
    <s v="ARAPOEMA"/>
    <s v="COLINAS DO TOCANTINS"/>
    <s v="NORTE"/>
    <s v="ETO-TELE 01040/2026"/>
    <x v="4"/>
    <m/>
    <m/>
    <m/>
    <m/>
    <m/>
    <m/>
    <m/>
    <s v="SS PENDENTE"/>
    <m/>
    <m/>
    <x v="12"/>
    <s v="Em andamento"/>
    <s v="Controle"/>
    <n v="1"/>
    <s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Parecer DCMD: foi substituido célula 30/07/2026. o mesmo está liberado para ser colocado em operação"/>
    <n v="0"/>
    <n v="20"/>
    <n v="20"/>
    <n v="10"/>
    <n v="20"/>
    <s v="-"/>
    <s v="-"/>
    <s v="-"/>
    <n v="70"/>
    <x v="1"/>
    <s v="Aumento de reclamações no atendimento de Arapoema no período seco"/>
  </r>
  <r>
    <n v="7926089013"/>
    <s v="79"/>
    <s v="PARAISO DO TOCANTINS"/>
    <s v="PARAISO DO TOCANTINS"/>
    <s v="CENTRO"/>
    <s v="ETO-COEP 00078/2026"/>
    <x v="3"/>
    <m/>
    <m/>
    <m/>
    <m/>
    <m/>
    <m/>
    <m/>
    <e v="#N/A"/>
    <m/>
    <m/>
    <x v="10"/>
    <s v="Pendente"/>
    <s v="Tanque"/>
    <n v="1"/>
    <s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
    <n v="15"/>
    <n v="10"/>
    <n v="5"/>
    <n v="15"/>
    <n v="15"/>
    <n v="10"/>
    <n v="0"/>
    <n v="0"/>
    <n v="70"/>
    <x v="1"/>
    <s v="Transferência da RDU de Chapada de Areia (937 UCs) para fonte alternativa"/>
  </r>
  <r>
    <n v="7925087021"/>
    <s v="79"/>
    <s v="PARANA"/>
    <s v="PEIXE"/>
    <s v="SUL"/>
    <s v="ETO-PROT 00152/2026"/>
    <x v="1"/>
    <m/>
    <m/>
    <m/>
    <m/>
    <m/>
    <m/>
    <m/>
    <e v="#N/A"/>
    <m/>
    <m/>
    <x v="0"/>
    <s v="Em andamento"/>
    <s v="Tanque"/>
    <n v="1"/>
    <s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
    <n v="15"/>
    <n v="10"/>
    <n v="5"/>
    <n v="0"/>
    <n v="15"/>
    <n v="10"/>
    <n v="0"/>
    <n v="15"/>
    <n v="70"/>
    <x v="1"/>
    <s v="Primeiro RL do 414R de Paranã, RL a jusante na LD também está bay-passado (630 UCs)"/>
  </r>
  <r>
    <n v="5801866013"/>
    <s v="58"/>
    <s v="PARAISO DO TOCANTINS"/>
    <s v="PARAISO DO TOCANTINS"/>
    <s v="CENTRO"/>
    <s v="ETO-PROT 00151/2026"/>
    <x v="1"/>
    <m/>
    <m/>
    <m/>
    <m/>
    <m/>
    <m/>
    <m/>
    <e v="#N/A"/>
    <m/>
    <m/>
    <x v="0"/>
    <s v="Em andamento"/>
    <s v="Célula"/>
    <n v="1"/>
    <s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
    <n v="0"/>
    <n v="20"/>
    <n v="20"/>
    <n v="20"/>
    <n v="10"/>
    <s v="-"/>
    <s v="-"/>
    <s v="-"/>
    <n v="70"/>
    <x v="1"/>
    <s v="Atendimento da RDU Luzimangues Industrial por fonte alternativa"/>
  </r>
  <r>
    <n v="5865120195"/>
    <s v="58"/>
    <s v="CENTENARIO"/>
    <s v="GUARAI"/>
    <s v="NORTE"/>
    <s v="ETO-SE-PCM 00091/2026"/>
    <x v="1"/>
    <m/>
    <m/>
    <m/>
    <m/>
    <m/>
    <m/>
    <m/>
    <e v="#N/A"/>
    <m/>
    <m/>
    <x v="0"/>
    <s v="Em andamento"/>
    <s v="Melhoria de aterramento"/>
    <n v="1"/>
    <s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 - 17/08/2026: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
    <n v="20"/>
    <n v="20"/>
    <n v="20"/>
    <n v="10"/>
    <n v="0"/>
    <s v="-"/>
    <s v="-"/>
    <s v="-"/>
    <n v="70"/>
    <x v="1"/>
    <s v="Atendimento das RDUs de Centenário, Recursolândia e clientes rurais"/>
  </r>
  <r>
    <n v="5853360007"/>
    <s v="58"/>
    <s v="MIRACEMA DO TOCANTINS"/>
    <s v="MIRACEMA DO TOCANTINS"/>
    <s v="CENTRO"/>
    <s v="ETO-RD-PS 00323/2025"/>
    <x v="9"/>
    <m/>
    <m/>
    <m/>
    <m/>
    <m/>
    <m/>
    <m/>
    <e v="#N/A"/>
    <m/>
    <m/>
    <x v="13"/>
    <m/>
    <s v="Melhoria de aterramento"/>
    <n v="1"/>
    <s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
    <n v="0"/>
    <n v="20"/>
    <n v="20"/>
    <n v="10"/>
    <n v="20"/>
    <s v="-"/>
    <s v="-"/>
    <s v="-"/>
    <n v="70"/>
    <x v="1"/>
    <s v="Aumento de reclamações no atendimento de Miracema no período seco"/>
  </r>
  <r>
    <n v="5800366016"/>
    <s v="58"/>
    <s v="WANDERLANDIA"/>
    <s v="TOCANTINOPOLIS"/>
    <s v="NORTE"/>
    <s v="CONCLUÍDA"/>
    <x v="0"/>
    <m/>
    <m/>
    <m/>
    <m/>
    <m/>
    <m/>
    <m/>
    <e v="#N/A"/>
    <m/>
    <m/>
    <x v="0"/>
    <s v="Ok"/>
    <m/>
    <m/>
    <s v=""/>
    <n v="0"/>
    <n v="20"/>
    <n v="20"/>
    <n v="20"/>
    <n v="10"/>
    <s v="-"/>
    <s v="-"/>
    <s v="-"/>
    <n v="70"/>
    <x v="1"/>
    <s v="Aumento de reclamações no atendimento de Wanderlândia no período seco"/>
  </r>
  <r>
    <n v="7955523028"/>
    <s v="79"/>
    <s v="NATIVIDADE"/>
    <s v="DIANOPOLIS"/>
    <s v="SUL"/>
    <s v="CONCLUÍDA"/>
    <x v="0"/>
    <m/>
    <m/>
    <m/>
    <m/>
    <m/>
    <m/>
    <m/>
    <e v="#N/A"/>
    <m/>
    <m/>
    <x v="0"/>
    <s v="Ok"/>
    <m/>
    <m/>
    <s v=""/>
    <n v="15"/>
    <n v="10"/>
    <n v="5"/>
    <n v="15"/>
    <n v="15"/>
    <n v="10"/>
    <n v="0"/>
    <n v="0"/>
    <n v="70"/>
    <x v="1"/>
    <s v="Equipamento para apoio na transferência de cargas na região de Natividade"/>
  </r>
  <r>
    <n v="7900573047"/>
    <s v="79"/>
    <s v="FIGUEIROPOLIS"/>
    <s v="ALVORADA"/>
    <s v="SUL"/>
    <s v="ETO-PROT 00153/2026"/>
    <x v="1"/>
    <m/>
    <m/>
    <m/>
    <m/>
    <m/>
    <m/>
    <m/>
    <e v="#N/A"/>
    <m/>
    <m/>
    <x v="0"/>
    <s v="Em andamento"/>
    <s v="Tanque + controle"/>
    <n v="1"/>
    <s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
    <n v="5"/>
    <n v="5"/>
    <n v="15"/>
    <n v="0"/>
    <n v="15"/>
    <n v="10"/>
    <n v="0"/>
    <n v="15"/>
    <n v="65"/>
    <x v="1"/>
    <s v="Transferência da Bunge, Saneatins e secadora"/>
  </r>
  <r>
    <n v="7953610256"/>
    <s v="79"/>
    <s v="MATEIROS"/>
    <s v="PONTE ALTA TOCANTINS"/>
    <s v="CENTRO"/>
    <s v="ETO-PROT 00157/2026"/>
    <x v="6"/>
    <m/>
    <m/>
    <m/>
    <m/>
    <m/>
    <m/>
    <m/>
    <e v="#N/A"/>
    <m/>
    <m/>
    <x v="1"/>
    <m/>
    <s v="Tanque e cabo umbilical"/>
    <n v="1"/>
    <s v="24/07/2026 - PARECE COCM: EQUIPAMENTO SUBSTIUIDO NA OS:ETO-RD-PO 2020/2026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
    <n v="5"/>
    <n v="5"/>
    <n v="15"/>
    <n v="15"/>
    <n v="0"/>
    <n v="0"/>
    <n v="10"/>
    <n v="15"/>
    <n v="65"/>
    <x v="1"/>
    <s v="Atenidmento da COELBA (Alto potencial de compensação)"/>
  </r>
  <r>
    <n v="5800438116"/>
    <s v="58"/>
    <s v="CHAPADA DA NATIVIDADE"/>
    <s v="DIANOPOLIS"/>
    <s v="SUL"/>
    <s v="CONCLUÍDA"/>
    <x v="10"/>
    <m/>
    <m/>
    <m/>
    <m/>
    <m/>
    <m/>
    <m/>
    <e v="#N/A"/>
    <m/>
    <m/>
    <x v="14"/>
    <s v="Em andamento"/>
    <s v="Célula"/>
    <n v="2"/>
    <s v=""/>
    <n v="0"/>
    <n v="20"/>
    <n v="20"/>
    <n v="20"/>
    <n v="0"/>
    <s v="-"/>
    <s v="-"/>
    <s v="-"/>
    <n v="60"/>
    <x v="2"/>
    <s v="Atendimento da região da Engegold, Nativa, cidade Natividade e Chapada da Natividade (Fonte alternativa)"/>
  </r>
  <r>
    <n v="5800090147"/>
    <s v="58"/>
    <s v="TAIPAS DO TOCANTINS"/>
    <s v="DIANOPOLIS"/>
    <s v="SUL"/>
    <s v="CONCLUÍDA"/>
    <x v="0"/>
    <m/>
    <m/>
    <m/>
    <m/>
    <m/>
    <m/>
    <m/>
    <e v="#N/A"/>
    <m/>
    <m/>
    <x v="0"/>
    <s v="Ok"/>
    <m/>
    <m/>
    <s v=""/>
    <n v="0"/>
    <n v="20"/>
    <n v="20"/>
    <n v="10"/>
    <n v="10"/>
    <s v="-"/>
    <s v="-"/>
    <s v="-"/>
    <n v="60"/>
    <x v="2"/>
    <s v="Atendimento de Taipas"/>
  </r>
  <r>
    <n v="5840227063"/>
    <s v="58"/>
    <s v="BANDEIRANTES DO TOCANTINS"/>
    <s v="COLINAS DO TOCANTINS"/>
    <s v="NORTE"/>
    <s v="ETO-COEP 00151/2026"/>
    <x v="3"/>
    <m/>
    <m/>
    <m/>
    <m/>
    <m/>
    <m/>
    <m/>
    <e v="#N/A"/>
    <m/>
    <m/>
    <x v="0"/>
    <s v="Pendente"/>
    <s v="Célula"/>
    <n v="1"/>
    <s v="PARECER COEP 27/07/2026 : EM PROCESSO DE AQUISIÇÃO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
    <n v="0"/>
    <n v="20"/>
    <n v="20"/>
    <n v="10"/>
    <n v="10"/>
    <s v="-"/>
    <s v="-"/>
    <s v="-"/>
    <n v="60"/>
    <x v="2"/>
    <s v="Atendimento da RDU Bandeirantes e clientes rurais"/>
  </r>
  <r>
    <n v="5846328094"/>
    <s v="58"/>
    <s v="PEIXE"/>
    <s v="PEIXE"/>
    <s v="SUL"/>
    <s v="ETO-TELE 00986/2026"/>
    <x v="2"/>
    <m/>
    <m/>
    <m/>
    <m/>
    <m/>
    <m/>
    <m/>
    <s v="SS PENDENTE"/>
    <d v="2026-08-24T00:00:00"/>
    <m/>
    <x v="0"/>
    <s v="Em andamento"/>
    <s v="Melhoria de aterramento"/>
    <n v="1"/>
    <s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
    <n v="0"/>
    <n v="20"/>
    <n v="20"/>
    <n v="10"/>
    <n v="10"/>
    <s v="-"/>
    <s v="-"/>
    <s v="-"/>
    <n v="60"/>
    <x v="2"/>
    <s v="Atendimento da RDU Sucupira e clientes rurais"/>
  </r>
  <r>
    <n v="5851753086"/>
    <s v="58"/>
    <s v="MARIANOPOLIS"/>
    <s v="DIVINOPOLIS"/>
    <s v="CENTRO"/>
    <s v="CONCLUÍDA"/>
    <x v="2"/>
    <m/>
    <m/>
    <m/>
    <m/>
    <m/>
    <m/>
    <m/>
    <e v="#N/A"/>
    <m/>
    <m/>
    <x v="0"/>
    <s v="Em andamento"/>
    <s v="Melhoria de aterramento"/>
    <n v="1"/>
    <s v=""/>
    <n v="0"/>
    <n v="20"/>
    <n v="20"/>
    <n v="10"/>
    <n v="10"/>
    <s v="-"/>
    <s v="-"/>
    <s v="-"/>
    <n v="60"/>
    <x v="2"/>
    <s v="Atendimento da RDU Marianópolis e clientes rurais"/>
  </r>
  <r>
    <n v="7903112004"/>
    <s v="79"/>
    <s v="ARAGUAINA"/>
    <s v="ARAGUAINA"/>
    <s v="NORTE"/>
    <s v="ETO-COEP 00184/2025"/>
    <x v="11"/>
    <m/>
    <m/>
    <m/>
    <m/>
    <m/>
    <m/>
    <m/>
    <e v="#N/A"/>
    <m/>
    <m/>
    <x v="9"/>
    <s v="Em andamento"/>
    <s v="Tanque"/>
    <n v="1"/>
    <s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
    <n v="15"/>
    <n v="10"/>
    <n v="5"/>
    <n v="15"/>
    <n v="0"/>
    <n v="10"/>
    <n v="0"/>
    <n v="0"/>
    <n v="55"/>
    <x v="1"/>
    <s v="Transferência de Babaçulândia, 4 RLs sendo 2 operando"/>
  </r>
  <r>
    <n v="7920024127"/>
    <s v="79"/>
    <s v="PALMEIRAS DO TOCANTINS"/>
    <s v="TOCANTINOPOLIS"/>
    <s v="NORTE"/>
    <s v="ETO-COEP 00120/2025"/>
    <x v="3"/>
    <m/>
    <m/>
    <m/>
    <m/>
    <m/>
    <m/>
    <m/>
    <e v="#N/A"/>
    <m/>
    <m/>
    <x v="0"/>
    <s v="Pendente"/>
    <s v="Tanque + controle e chave"/>
    <n v="1"/>
    <s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
    <n v="15"/>
    <n v="10"/>
    <n v="5"/>
    <n v="15"/>
    <n v="0"/>
    <n v="10"/>
    <n v="0"/>
    <n v="0"/>
    <n v="55"/>
    <x v="1"/>
    <s v="Transferência de Palmeiras, 3 fontes operando"/>
  </r>
  <r>
    <n v="7927646026"/>
    <s v="79"/>
    <s v="PONTE ALTA TOCANTINS"/>
    <s v="PONTE ALTA TOCANTINS"/>
    <s v="CENTRO"/>
    <s v="ETO-COEP 00029/2026"/>
    <x v="3"/>
    <m/>
    <m/>
    <m/>
    <m/>
    <m/>
    <m/>
    <m/>
    <e v="#N/A"/>
    <m/>
    <m/>
    <x v="0"/>
    <s v="Pendente"/>
    <s v="Tanque"/>
    <n v="1"/>
    <s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
    <n v="15"/>
    <n v="10"/>
    <n v="5"/>
    <n v="0"/>
    <n v="15"/>
    <n v="0"/>
    <n v="10"/>
    <n v="0"/>
    <n v="55"/>
    <x v="1"/>
    <s v="Opção de isolação de São Félix e Mateiros para alimentação por gerador"/>
  </r>
  <r>
    <n v="7927169001"/>
    <s v="79"/>
    <s v="PORTO NACIONAL"/>
    <s v="PORTO NACIONAL"/>
    <s v="CENTRO"/>
    <s v="ETO-PROT 00156/2026"/>
    <x v="1"/>
    <m/>
    <m/>
    <m/>
    <m/>
    <m/>
    <m/>
    <m/>
    <e v="#N/A"/>
    <m/>
    <m/>
    <x v="0"/>
    <s v="Em andamento"/>
    <s v="Tanque"/>
    <m/>
    <s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
    <n v="5"/>
    <n v="5"/>
    <n v="15"/>
    <n v="0"/>
    <n v="15"/>
    <n v="0"/>
    <n v="0"/>
    <n v="15"/>
    <n v="55"/>
    <x v="1"/>
    <s v="Transferência dos Grupos A -  VLI e Frisia"/>
  </r>
  <r>
    <n v="7900018004"/>
    <s v="79"/>
    <s v="ARAGUAINA"/>
    <s v="ARAGUAINA"/>
    <s v="NORTE"/>
    <s v="CONCLUÍDA"/>
    <x v="0"/>
    <m/>
    <m/>
    <m/>
    <m/>
    <m/>
    <m/>
    <m/>
    <e v="#N/A"/>
    <m/>
    <m/>
    <x v="0"/>
    <s v="Ok"/>
    <m/>
    <m/>
    <s v=""/>
    <n v="15"/>
    <n v="10"/>
    <n v="5"/>
    <n v="15"/>
    <n v="0"/>
    <n v="10"/>
    <n v="0"/>
    <n v="0"/>
    <n v="55"/>
    <x v="1"/>
    <s v="Transferência de Aragominas, 3 fontes operando"/>
  </r>
  <r>
    <n v="7934698002"/>
    <s v="79"/>
    <s v="TOCANTINOPOLIS"/>
    <s v="TOCANTINOPOLIS"/>
    <s v="NORTE"/>
    <s v="CONCLUÍDA"/>
    <x v="0"/>
    <m/>
    <m/>
    <m/>
    <m/>
    <m/>
    <m/>
    <m/>
    <e v="#N/A"/>
    <m/>
    <m/>
    <x v="0"/>
    <s v="Ok"/>
    <m/>
    <m/>
    <s v=""/>
    <n v="5"/>
    <n v="5"/>
    <n v="5"/>
    <n v="0"/>
    <n v="15"/>
    <n v="0"/>
    <n v="10"/>
    <n v="15"/>
    <n v="55"/>
    <x v="1"/>
    <s v="Atendimento do PA Mumbuca (106 UCs), no desarme a jusante penaliza parte da RDU de Tocantinópolis (1384 UCs)"/>
  </r>
  <r>
    <n v="7930428001"/>
    <s v="79"/>
    <s v="PORTO NACIONAL"/>
    <s v="PORTO NACIONAL"/>
    <s v="CENTRO"/>
    <s v="ETO-COEP 00150/2026"/>
    <x v="3"/>
    <m/>
    <m/>
    <m/>
    <m/>
    <m/>
    <m/>
    <m/>
    <e v="#N/A"/>
    <m/>
    <m/>
    <x v="0"/>
    <s v="Pendente"/>
    <s v="Tanque"/>
    <n v="1"/>
    <s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
    <n v="5"/>
    <n v="5"/>
    <n v="15"/>
    <n v="0"/>
    <n v="15"/>
    <n v="10"/>
    <n v="0"/>
    <n v="0"/>
    <n v="50"/>
    <x v="1"/>
    <s v="Transferência dos Grupos A -  Ramal do Rossato (TF 225kVA e TF 750kVA)"/>
  </r>
  <r>
    <n v="7936038076"/>
    <s v="79"/>
    <s v="DUERE"/>
    <s v="GURUPI"/>
    <s v="SUL"/>
    <s v="CONCLUÍDA"/>
    <x v="3"/>
    <m/>
    <m/>
    <m/>
    <m/>
    <m/>
    <m/>
    <m/>
    <e v="#N/A"/>
    <m/>
    <m/>
    <x v="15"/>
    <s v="Pendente"/>
    <m/>
    <m/>
    <s v=""/>
    <n v="5"/>
    <n v="5"/>
    <n v="15"/>
    <n v="0"/>
    <n v="15"/>
    <n v="10"/>
    <n v="0"/>
    <n v="0"/>
    <n v="50"/>
    <x v="1"/>
    <s v="Transferência do Grupo A - Xavante (TF 1087,5 kVA) e outros GA menores"/>
  </r>
  <r>
    <n v="7955520116"/>
    <s v="79"/>
    <s v="CHAPADA DA NATIVIDADE"/>
    <s v="DIANOPOLIS"/>
    <s v="SUL"/>
    <s v="CONCLUÍDA"/>
    <x v="3"/>
    <m/>
    <m/>
    <m/>
    <m/>
    <m/>
    <m/>
    <m/>
    <e v="#N/A"/>
    <m/>
    <m/>
    <x v="15"/>
    <s v="Pendente"/>
    <s v="Tanque"/>
    <n v="1"/>
    <s v=""/>
    <n v="5"/>
    <n v="5"/>
    <n v="15"/>
    <n v="0"/>
    <n v="0"/>
    <n v="10"/>
    <n v="0"/>
    <n v="15"/>
    <n v="50"/>
    <x v="1"/>
    <s v="Transferência do Grupo A - Engegold (TF 7500 kVA)"/>
  </r>
  <r>
    <n v="5800291035"/>
    <s v="58"/>
    <s v="MONTE DO CARMO"/>
    <s v="PONTE ALTA TOCANTINS"/>
    <s v="CENTRO"/>
    <s v="CONCLUÍDA"/>
    <x v="2"/>
    <m/>
    <m/>
    <m/>
    <m/>
    <m/>
    <m/>
    <m/>
    <e v="#N/A"/>
    <m/>
    <m/>
    <x v="0"/>
    <s v="Em andamento"/>
    <s v="Melhoria de aterramento"/>
    <n v="1"/>
    <s v="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
    <n v="0"/>
    <n v="20"/>
    <n v="20"/>
    <n v="10"/>
    <n v="0"/>
    <s v="-"/>
    <s v="-"/>
    <s v="-"/>
    <n v="50"/>
    <x v="2"/>
    <s v="Aumento de reclamações no atendimento de Silvanópolis por Monte do Carmo no período seco"/>
  </r>
  <r>
    <n v="5827102054"/>
    <s v="58"/>
    <s v="PUGMIL"/>
    <s v="PARAISO DO TOCANTINS"/>
    <s v="CENTRO"/>
    <s v="ETO-PROT 00164/2026"/>
    <x v="2"/>
    <m/>
    <m/>
    <m/>
    <m/>
    <m/>
    <m/>
    <m/>
    <e v="#N/A"/>
    <m/>
    <m/>
    <x v="16"/>
    <m/>
    <s v="Melhoria de aterramento"/>
    <n v="1"/>
    <s v="PARECER COCM: FOI SUBSTITUÍDO OS EQUIPAMENTO FEITO A MELHORIA DO ATERRAMENTO ATENDIDO PELA OBRA N-0212600609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
    <n v="0"/>
    <n v="20"/>
    <n v="20"/>
    <n v="10"/>
    <n v="0"/>
    <s v="-"/>
    <s v="-"/>
    <s v="-"/>
    <n v="50"/>
    <x v="2"/>
    <s v="Aumento de reclamações no atendimento de Pugmil no período seco"/>
  </r>
  <r>
    <n v="5850308009"/>
    <s v="58"/>
    <s v="GUARAI"/>
    <s v="GUARAI"/>
    <s v="NORTE"/>
    <s v="CONCLUÍDA"/>
    <x v="0"/>
    <m/>
    <m/>
    <m/>
    <m/>
    <m/>
    <m/>
    <m/>
    <e v="#N/A"/>
    <m/>
    <m/>
    <x v="0"/>
    <s v="Ok"/>
    <m/>
    <m/>
    <s v=""/>
    <n v="0"/>
    <n v="20"/>
    <n v="20"/>
    <n v="0"/>
    <n v="10"/>
    <s v="-"/>
    <s v="-"/>
    <s v="-"/>
    <n v="50"/>
    <x v="2"/>
    <s v="Atendimento de parte da RDU de Guaraí e ramal da PRF/Repetidora"/>
  </r>
  <r>
    <n v="7900535058"/>
    <s v="79"/>
    <s v="SANTA FE DO ARAGUAIA"/>
    <s v="ARAGUAINA"/>
    <s v="NORTE"/>
    <s v="ETO-COEP 00173/2025"/>
    <x v="3"/>
    <m/>
    <m/>
    <m/>
    <m/>
    <m/>
    <m/>
    <m/>
    <e v="#N/A"/>
    <m/>
    <m/>
    <x v="0"/>
    <s v="Pendente"/>
    <s v="Controle"/>
    <n v="1"/>
    <s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
    <n v="5"/>
    <n v="10"/>
    <n v="5"/>
    <n v="0"/>
    <n v="15"/>
    <n v="10"/>
    <n v="0"/>
    <n v="0"/>
    <n v="45"/>
    <x v="2"/>
    <s v="Atendimento 3 povoados, na perca 4 ficam fora (900 UCs)"/>
  </r>
  <r>
    <n v="7927713200"/>
    <s v="79"/>
    <s v="SAO SALVADOR DO TOCANTINS"/>
    <s v="PEIXE"/>
    <s v="SUL"/>
    <s v="ETO-COEP 00157/2026"/>
    <x v="3"/>
    <m/>
    <m/>
    <m/>
    <m/>
    <m/>
    <m/>
    <m/>
    <e v="#N/A"/>
    <m/>
    <m/>
    <x v="15"/>
    <s v="Pendente"/>
    <s v="Tanque"/>
    <n v="1"/>
    <s v="segue SS para REALIZAR SUBSTITUIÇÃO DO TANQUE do RL 7927713200 danificado , com equipe de manutencao tensao 34,5kv mesmo atende Povoado retiro na rural de sao salvador  ."/>
    <n v="5"/>
    <n v="5"/>
    <n v="5"/>
    <n v="0"/>
    <n v="15"/>
    <n v="10"/>
    <n v="0"/>
    <n v="0"/>
    <n v="40"/>
    <x v="2"/>
    <s v="Transferência do Ramal do Retiro (246UCs), fonte principal by-passado"/>
  </r>
  <r>
    <n v="7937102148"/>
    <s v="79"/>
    <s v="SAO VALERIO DA NATIVIDADE"/>
    <s v="PEIXE"/>
    <s v="SUL"/>
    <s v="ETO-COEP 00129/2026"/>
    <x v="3"/>
    <m/>
    <m/>
    <m/>
    <m/>
    <m/>
    <m/>
    <m/>
    <e v="#N/A"/>
    <m/>
    <m/>
    <x v="0"/>
    <s v="Pendente"/>
    <s v="Tanque"/>
    <n v="1"/>
    <s v="PARECER COEP: REAVALIAR DISPONIBILIDADE DO EQUIPAMENTO NO SCADA ASSIM COMO , FORNECER MODELO DO EQUIPAMENTO E FAIXA DE TENSÃO PARA COMPRA / AQUISIÇÃOTanque com defeito, realizar substituição do tanque."/>
    <n v="5"/>
    <n v="5"/>
    <n v="5"/>
    <n v="0"/>
    <n v="15"/>
    <n v="10"/>
    <n v="0"/>
    <n v="0"/>
    <n v="40"/>
    <x v="2"/>
    <s v="Fonte principal do Ramal Serranópolis (181 UCs), RL de transferência operando"/>
  </r>
  <r>
    <n v="7944559149"/>
    <s v="79"/>
    <s v="CASEARA"/>
    <s v="DIVINOPOLIS"/>
    <s v="CENTRO"/>
    <s v="ETO-COEP 00063/2026"/>
    <x v="3"/>
    <m/>
    <m/>
    <m/>
    <m/>
    <m/>
    <m/>
    <m/>
    <e v="#N/A"/>
    <m/>
    <m/>
    <x v="0"/>
    <s v="Pendente"/>
    <s v="Controle"/>
    <n v="1"/>
    <s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
    <n v="5"/>
    <n v="10"/>
    <n v="0"/>
    <n v="0"/>
    <n v="15"/>
    <n v="10"/>
    <n v="0"/>
    <n v="0"/>
    <n v="40"/>
    <x v="2"/>
    <s v="Atendimento de cargas rurais entre Caseara e Araguacema (221 UCs)"/>
  </r>
  <r>
    <n v="5800961074"/>
    <s v="58"/>
    <s v="DIANOPOLIS"/>
    <s v="DIANOPOLIS"/>
    <s v="SUL"/>
    <s v="ETO-COEP 00221/2025"/>
    <x v="12"/>
    <m/>
    <m/>
    <m/>
    <m/>
    <m/>
    <m/>
    <m/>
    <e v="#N/A"/>
    <m/>
    <m/>
    <x v="17"/>
    <s v="Pendente"/>
    <s v="Células + melhoria de aterramento"/>
    <n v="3"/>
    <s v="PARECER COEP: EQUIPAMENTO SELECIONADO PARA COMPRASubstituir as 3 células- Melhoria na malha de aterramento - Melhoria no circuito de aterramento qua aterra as células.- Substituir conectores paralelos"/>
    <n v="20"/>
    <n v="0"/>
    <n v="0"/>
    <n v="20"/>
    <n v="0"/>
    <s v="-"/>
    <s v="-"/>
    <s v="-"/>
    <n v="40"/>
    <x v="2"/>
    <s v="Atendimento da COELBA e GA Alessandro Maurício (1600 kVA)"/>
  </r>
  <r>
    <n v="7908249152"/>
    <s v="79"/>
    <s v="SANTA ROSA DO TOCANTINS"/>
    <s v="PORTO NACIONAL"/>
    <s v="CENTRO"/>
    <s v="ETO-COEP 00038/2026"/>
    <x v="3"/>
    <m/>
    <m/>
    <m/>
    <m/>
    <m/>
    <m/>
    <m/>
    <e v="#N/A"/>
    <m/>
    <m/>
    <x v="0"/>
    <s v="Pendente"/>
    <s v="Tanque + controle"/>
    <n v="1"/>
    <s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
    <n v="5"/>
    <n v="5"/>
    <n v="0"/>
    <n v="0"/>
    <n v="15"/>
    <n v="10"/>
    <n v="0"/>
    <n v="0"/>
    <n v="35"/>
    <x v="2"/>
    <s v="Atendimento de zona rural em Santa Rosa (160 UCs)"/>
  </r>
  <r>
    <n v="7922995039"/>
    <s v="79"/>
    <s v="ARAGUATINS"/>
    <s v="AUGUSTINOPOLIS"/>
    <s v="NORTE"/>
    <s v="CONCLUÍDA"/>
    <x v="0"/>
    <m/>
    <m/>
    <m/>
    <m/>
    <m/>
    <m/>
    <m/>
    <e v="#N/A"/>
    <m/>
    <m/>
    <x v="0"/>
    <s v="Em operação"/>
    <m/>
    <m/>
    <s v=""/>
    <n v="5"/>
    <n v="5"/>
    <n v="0"/>
    <n v="0"/>
    <n v="15"/>
    <n v="10"/>
    <n v="0"/>
    <n v="0"/>
    <n v="35"/>
    <x v="2"/>
    <s v="Atendimento do PA Esperança Viva (396 UCs)"/>
  </r>
  <r>
    <n v="7925733015"/>
    <s v="79"/>
    <s v="PEDRO AFONSO"/>
    <s v="GUARAI"/>
    <s v="NORTE"/>
    <s v="ETO-COEP 00058/2026"/>
    <x v="3"/>
    <m/>
    <m/>
    <m/>
    <m/>
    <m/>
    <m/>
    <m/>
    <s v="Validado"/>
    <m/>
    <m/>
    <x v="0"/>
    <s v="Pendente"/>
    <s v="Tanque"/>
    <n v="1"/>
    <s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
    <n v="5"/>
    <n v="5"/>
    <n v="0"/>
    <n v="0"/>
    <n v="15"/>
    <n v="10"/>
    <n v="0"/>
    <n v="0"/>
    <n v="35"/>
    <x v="2"/>
    <s v="Transferência do Ramal Agrovila (73 UCs)"/>
  </r>
  <r>
    <n v="7927396052"/>
    <s v="79"/>
    <s v="FORMOSO DO ARAGUAIA"/>
    <s v="FORMOSO DO ARAGUAIA"/>
    <s v="SUL"/>
    <s v="ETO-COEP 00045/2026"/>
    <x v="3"/>
    <m/>
    <m/>
    <m/>
    <m/>
    <m/>
    <m/>
    <m/>
    <e v="#N/A"/>
    <m/>
    <m/>
    <x v="0"/>
    <s v="Pendente"/>
    <s v="Tanque"/>
    <n v="1"/>
    <s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
    <n v="5"/>
    <n v="5"/>
    <n v="0"/>
    <n v="0"/>
    <n v="15"/>
    <n v="10"/>
    <n v="0"/>
    <n v="0"/>
    <n v="35"/>
    <x v="2"/>
    <s v="Equipamento localizado Fonte principal de atendimento a SE Cobrape"/>
  </r>
  <r>
    <n v="7933585074"/>
    <s v="79"/>
    <s v="DIANOPOLIS"/>
    <s v="DIANOPOLIS"/>
    <s v="SUL"/>
    <s v="ETO-COEP 00024/2026"/>
    <x v="3"/>
    <m/>
    <m/>
    <m/>
    <m/>
    <m/>
    <m/>
    <m/>
    <e v="#N/A"/>
    <m/>
    <m/>
    <x v="3"/>
    <s v="Pendente"/>
    <s v="Tanque"/>
    <n v="1"/>
    <s v="30/06 PARECER COEP: EQUIPAMENTO SELECIONADO PARA COMPRAREALIZAR SUBSTITUIÇÃO DO TANQUE, O MESMO ESTÁ COM DEFEITO."/>
    <n v="5"/>
    <n v="5"/>
    <n v="15"/>
    <n v="0"/>
    <n v="0"/>
    <n v="0"/>
    <n v="10"/>
    <n v="0"/>
    <n v="35"/>
    <x v="2"/>
    <s v="Atendimento da COELBA"/>
  </r>
  <r>
    <n v="7942572059"/>
    <s v="79"/>
    <s v="TAQUARALTO"/>
    <s v="TAQUARALTO"/>
    <s v="CENTRO"/>
    <s v="ETO-PROT 00155/2026"/>
    <x v="2"/>
    <m/>
    <m/>
    <m/>
    <m/>
    <m/>
    <m/>
    <m/>
    <e v="#N/A"/>
    <m/>
    <m/>
    <x v="0"/>
    <s v="Em operação"/>
    <m/>
    <m/>
    <s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
    <n v="5"/>
    <n v="5"/>
    <n v="15"/>
    <n v="0"/>
    <n v="0"/>
    <n v="0"/>
    <n v="10"/>
    <n v="0"/>
    <n v="35"/>
    <x v="2"/>
    <s v="Atendimento do Ramal do Marasca e GAs (108 UCs)"/>
  </r>
  <r>
    <n v="7944319149"/>
    <s v="79"/>
    <s v="CASEARA"/>
    <s v="DIVINOPOLIS"/>
    <s v="CENTRO"/>
    <s v="CONCLUÍDA"/>
    <x v="0"/>
    <m/>
    <m/>
    <m/>
    <m/>
    <m/>
    <m/>
    <m/>
    <e v="#N/A"/>
    <m/>
    <m/>
    <x v="0"/>
    <s v="Ok"/>
    <m/>
    <m/>
    <s v=""/>
    <n v="5"/>
    <n v="5"/>
    <n v="15"/>
    <n v="0"/>
    <n v="0"/>
    <n v="0"/>
    <n v="10"/>
    <n v="0"/>
    <n v="35"/>
    <x v="2"/>
    <s v="Atendimento do Grupo A - Matosul (TF 1500 kVA)"/>
  </r>
  <r>
    <n v="7955986084"/>
    <s v="79"/>
    <s v="DIVINOPOLIS"/>
    <s v="DIVINOPOLIS"/>
    <s v="CENTRO"/>
    <s v="ETO-COEP 00133/2026"/>
    <x v="3"/>
    <m/>
    <m/>
    <m/>
    <m/>
    <m/>
    <m/>
    <m/>
    <e v="#N/A"/>
    <m/>
    <m/>
    <x v="0"/>
    <s v="Pendente"/>
    <m/>
    <m/>
    <s v="14/07/2026 PARECER COEP : SUBSTIUIR CONTROLE COMPLETOPARECER DMSL: Equipamento com a placa de alimentação ca em curto, será necessário substituir a placa do equipamento. (Antiga nota era pra ter sido repassada porém foi baixada indevidamente pela equipe)"/>
    <n v="5"/>
    <n v="5"/>
    <n v="0"/>
    <n v="0"/>
    <n v="15"/>
    <n v="10"/>
    <n v="0"/>
    <n v="0"/>
    <n v="35"/>
    <x v="2"/>
    <s v="Transferência de cargas do 444R da SE Paraíso I"/>
  </r>
  <r>
    <n v="7967181127"/>
    <s v="79"/>
    <s v="PALMEIRAS DO TOCANTINS"/>
    <s v="TOCANTINOPOLIS"/>
    <s v="NORTE"/>
    <s v="CONCLUÍDA"/>
    <x v="13"/>
    <m/>
    <m/>
    <m/>
    <m/>
    <m/>
    <m/>
    <m/>
    <e v="#N/A"/>
    <m/>
    <m/>
    <x v="0"/>
    <m/>
    <m/>
    <m/>
    <s v=""/>
    <n v="5"/>
    <n v="5"/>
    <n v="0"/>
    <n v="0"/>
    <n v="15"/>
    <n v="10"/>
    <n v="0"/>
    <n v="0"/>
    <n v="35"/>
    <x v="2"/>
    <s v="Transferência de Palmeiras, 3 RLs sendo 2 operando"/>
  </r>
  <r>
    <n v="7900525015"/>
    <s v="79"/>
    <s v="PEDRO AFONSO"/>
    <s v="GUARAI"/>
    <s v="NORTE"/>
    <s v="ETO-COEP 00125/2026"/>
    <x v="3"/>
    <m/>
    <m/>
    <m/>
    <m/>
    <m/>
    <m/>
    <m/>
    <e v="#N/A"/>
    <m/>
    <m/>
    <x v="0"/>
    <s v="Pendente"/>
    <s v="Tanque"/>
    <n v="1"/>
    <s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
    <n v="5"/>
    <n v="5"/>
    <n v="0"/>
    <n v="0"/>
    <n v="15"/>
    <n v="10"/>
    <n v="0"/>
    <n v="0"/>
    <n v="35"/>
    <x v="2"/>
    <s v="Tranferência do Ramal do Chaparral (251 UCs)"/>
  </r>
  <r>
    <n v="7928564039"/>
    <s v="79"/>
    <s v="ARAGUATINS"/>
    <s v="AUGUSTINOPOLIS"/>
    <s v="NORTE"/>
    <s v="ETO-COEP 00123/2026"/>
    <x v="3"/>
    <m/>
    <m/>
    <m/>
    <m/>
    <m/>
    <m/>
    <m/>
    <e v="#N/A"/>
    <m/>
    <m/>
    <x v="0"/>
    <s v="Pendente"/>
    <s v="Tanque + controle"/>
    <n v="1"/>
    <s v="PARECER COEP: EQUIPAMENTO SELECIONADO PARA COMPRATroca do sistema de comunicação do equipamentoDMSL 28/07/2025: Equipamento com tanque, modulo e rele com defeito, solicitar troca do equipamento ao DCMD.Fotos vão ser enviadas por e-mail"/>
    <n v="5"/>
    <n v="10"/>
    <n v="5"/>
    <n v="0"/>
    <n v="0"/>
    <n v="10"/>
    <n v="0"/>
    <n v="0"/>
    <n v="30"/>
    <x v="2"/>
    <s v="Transferência entre 424R Araguatins e 434R Augustinópolis"/>
  </r>
  <r>
    <n v="7957126085"/>
    <s v="79"/>
    <s v="MONTE SANTO DO TOCANTINS"/>
    <s v="PARAISO DO TOCANTINS"/>
    <s v="CENTRO"/>
    <s v="CONCLUÍDA"/>
    <x v="0"/>
    <m/>
    <m/>
    <m/>
    <m/>
    <m/>
    <m/>
    <m/>
    <e v="#N/A"/>
    <m/>
    <m/>
    <x v="0"/>
    <s v="Ok"/>
    <m/>
    <m/>
    <s v=""/>
    <n v="5"/>
    <n v="10"/>
    <n v="5"/>
    <n v="0"/>
    <n v="0"/>
    <n v="10"/>
    <n v="0"/>
    <n v="0"/>
    <n v="30"/>
    <x v="2"/>
    <s v="444R de Paraíso I, atendimento de Monte Santo, devido defeito a RDU está manobrada para o 454R"/>
  </r>
  <r>
    <n v="5841308190"/>
    <s v="58"/>
    <s v="NOVO JARDIM"/>
    <s v="DIANOPOLIS"/>
    <s v="SUL"/>
    <s v="CONCLUÍDA"/>
    <x v="0"/>
    <m/>
    <m/>
    <m/>
    <m/>
    <m/>
    <m/>
    <m/>
    <e v="#N/A"/>
    <m/>
    <m/>
    <x v="0"/>
    <s v="Desmobilizado"/>
    <s v="-"/>
    <m/>
    <s v=""/>
    <n v="0"/>
    <n v="20"/>
    <n v="0"/>
    <n v="10"/>
    <n v="0"/>
    <s v="-"/>
    <s v="-"/>
    <s v="-"/>
    <n v="30"/>
    <x v="3"/>
    <s v="Equipamento obsoleto com a entrada da SE Serras Gerais"/>
  </r>
  <r>
    <n v="5844630060"/>
    <s v="58"/>
    <s v="NOVA OLINDA"/>
    <s v="COLINAS DO TOCANTINS"/>
    <s v="NORTE"/>
    <s v="ETO-TELE 01102/2026"/>
    <x v="14"/>
    <m/>
    <m/>
    <m/>
    <m/>
    <m/>
    <m/>
    <m/>
    <s v="SS PENDENTE"/>
    <m/>
    <m/>
    <x v="18"/>
    <s v="Em andamento"/>
    <s v="Célula"/>
    <n v="1"/>
    <s v="Segue nota para verificar falha em comandos via supervisório e constantes travamento no regulador de tensão 5844630060 - rural- Nova Olinda .Foi executado comandos no relé via supervisório, porém sem sucesso , em campo o equipamento está com a fase B travada no -16 .Obs: equipamento ficou fora de operação bay passado , favor agilizar atendimento !"/>
    <n v="20"/>
    <n v="0"/>
    <n v="0"/>
    <n v="10"/>
    <n v="0"/>
    <s v="-"/>
    <s v="-"/>
    <s v="-"/>
    <n v="30"/>
    <x v="3"/>
    <s v="Atendimento dos ramais PA Remansão e Água Branca"/>
  </r>
  <r>
    <n v="5855411017"/>
    <s v="58"/>
    <s v="BARROLANDIA"/>
    <s v="MIRACEMA DO TOCANTINS"/>
    <s v="CENTRO"/>
    <s v="ETO-COEP 00156/2026"/>
    <x v="3"/>
    <m/>
    <m/>
    <m/>
    <m/>
    <m/>
    <m/>
    <m/>
    <e v="#N/A"/>
    <m/>
    <m/>
    <x v="0"/>
    <s v="Pendente"/>
    <s v="Controle"/>
    <n v="1"/>
    <s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
    <n v="0"/>
    <n v="0"/>
    <n v="0"/>
    <n v="10"/>
    <n v="20"/>
    <s v="-"/>
    <s v="-"/>
    <s v="-"/>
    <n v="30"/>
    <x v="3"/>
    <s v="Atendimento do Assentamento Irmã Adelaide"/>
  </r>
  <r>
    <n v="7900505026"/>
    <s v="79"/>
    <s v="PONTE ALTA TOCANTINS"/>
    <s v="PONTE ALTA TOCANTINS"/>
    <s v="CENTRO"/>
    <s v="CONCLUÍDA"/>
    <x v="0"/>
    <m/>
    <m/>
    <m/>
    <m/>
    <m/>
    <m/>
    <m/>
    <e v="#N/A"/>
    <m/>
    <m/>
    <x v="0"/>
    <s v="Ok"/>
    <m/>
    <m/>
    <s v=""/>
    <n v="5"/>
    <n v="5"/>
    <n v="5"/>
    <n v="0"/>
    <n v="0"/>
    <n v="0"/>
    <n v="10"/>
    <n v="0"/>
    <n v="25"/>
    <x v="3"/>
    <s v="Atendimento do Ramal do Gato (288 UCs) e UFV Videira, no desarme a jusante penaliza a cidade de Pindorama"/>
  </r>
  <r>
    <n v="7908196047"/>
    <s v="79"/>
    <s v="FIGUEIROPOLIS"/>
    <s v="ALVORADA"/>
    <s v="SUL"/>
    <s v="ETO-COEP 00168/2026"/>
    <x v="3"/>
    <m/>
    <m/>
    <m/>
    <m/>
    <m/>
    <m/>
    <m/>
    <e v="#N/A"/>
    <m/>
    <m/>
    <x v="0"/>
    <s v="Pendente"/>
    <s v="Tanque + controle"/>
    <n v="1"/>
    <s v="03/08/2026 PARECER DMSL: FOI CONFIRMADO PELO VONES DO DCMD QUE O EQUIPAMENTO AINDA NÃO FOI SUBSTITUÍDO. FAVOR, APÓS SUBSTITUIÇÃO, REPASSAR A NOTA PARA A PROTEÇÃO PARA REVISAR OS AJUSTES, POIS TRATA-SE DE ALTERAÇÃO DO MODELO DO EQUIPAMENTO.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
    <n v="5"/>
    <n v="5"/>
    <n v="5"/>
    <n v="0"/>
    <n v="0"/>
    <n v="0"/>
    <n v="10"/>
    <n v="0"/>
    <n v="25"/>
    <x v="3"/>
    <s v="Seccionamento do Rural e energização do 224R"/>
  </r>
  <r>
    <n v="7921202014"/>
    <s v="79"/>
    <s v="PIUM"/>
    <s v="PARAISO DO TOCANTINS"/>
    <s v="CENTRO"/>
    <s v="ETO-COEP 00132/2026"/>
    <x v="3"/>
    <m/>
    <m/>
    <m/>
    <m/>
    <m/>
    <m/>
    <m/>
    <e v="#N/A"/>
    <m/>
    <m/>
    <x v="0"/>
    <s v="Pendente"/>
    <s v="Tanque"/>
    <n v="1"/>
    <s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
    <n v="5"/>
    <n v="5"/>
    <n v="5"/>
    <n v="0"/>
    <n v="0"/>
    <n v="10"/>
    <n v="0"/>
    <n v="0"/>
    <n v="25"/>
    <x v="3"/>
    <s v="Atendimento de Clientes rurais (483 UCs)"/>
  </r>
  <r>
    <n v="7923927122"/>
    <s v="79"/>
    <s v="PALMAS"/>
    <s v="PALMAS"/>
    <s v="CENTRO"/>
    <s v="ETO-COEP 00148/2026"/>
    <x v="3"/>
    <m/>
    <m/>
    <m/>
    <m/>
    <m/>
    <m/>
    <m/>
    <e v="#N/A"/>
    <m/>
    <m/>
    <x v="0"/>
    <s v="Pendente"/>
    <s v="Tanque"/>
    <n v="1"/>
    <s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
    <n v="15"/>
    <n v="0"/>
    <n v="0"/>
    <n v="0"/>
    <n v="0"/>
    <n v="10"/>
    <n v="0"/>
    <n v="0"/>
    <n v="25"/>
    <x v="3"/>
    <s v="Transferência entre 414R e 424R SE Palmas II"/>
  </r>
  <r>
    <n v="7927446001"/>
    <s v="79"/>
    <s v="PORTO NACIONAL"/>
    <s v="PORTO NACIONAL"/>
    <s v="CENTRO"/>
    <s v="ETO-COEP 00143/2025"/>
    <x v="3"/>
    <m/>
    <m/>
    <m/>
    <m/>
    <m/>
    <m/>
    <m/>
    <e v="#N/A"/>
    <m/>
    <m/>
    <x v="0"/>
    <s v="Pendente"/>
    <s v="Tanque + controle"/>
    <n v="1"/>
    <s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
    <n v="5"/>
    <n v="5"/>
    <n v="5"/>
    <n v="0"/>
    <n v="0"/>
    <n v="10"/>
    <n v="0"/>
    <n v="0"/>
    <n v="25"/>
    <x v="3"/>
    <s v="Alimentação de Monte do Carmo por Porto Nacional"/>
  </r>
  <r>
    <n v="7928241200"/>
    <s v="79"/>
    <s v="SAO SALVADOR DO TOCANTINS"/>
    <s v="PEIXE"/>
    <s v="SUL"/>
    <s v="ETO-COEP 00128/2026"/>
    <x v="3"/>
    <m/>
    <m/>
    <m/>
    <m/>
    <m/>
    <m/>
    <m/>
    <e v="#N/A"/>
    <m/>
    <m/>
    <x v="0"/>
    <s v="Pendente"/>
    <s v="Tanque"/>
    <n v="1"/>
    <s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
    <n v="5"/>
    <n v="5"/>
    <n v="5"/>
    <n v="0"/>
    <n v="0"/>
    <n v="10"/>
    <n v="0"/>
    <n v="0"/>
    <n v="25"/>
    <x v="3"/>
    <s v="Fonte principal do Ramal do Retiro (246UCs), RL transferência by-passado"/>
  </r>
  <r>
    <n v="7942485096"/>
    <s v="79"/>
    <s v="PINDORAMA DO TOCANTINS"/>
    <s v="PONTE ALTA TOCANTINS"/>
    <s v="CENTRO"/>
    <s v="ETO-COEP 00158/2025"/>
    <x v="3"/>
    <m/>
    <m/>
    <m/>
    <m/>
    <m/>
    <m/>
    <m/>
    <e v="#N/A"/>
    <m/>
    <m/>
    <x v="0"/>
    <s v="Pendente"/>
    <s v="Tanque"/>
    <n v="1"/>
    <s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
    <n v="5"/>
    <n v="5"/>
    <n v="5"/>
    <n v="0"/>
    <n v="0"/>
    <n v="10"/>
    <n v="0"/>
    <n v="0"/>
    <n v="25"/>
    <x v="3"/>
    <s v="Transferência da PCH Bagagem"/>
  </r>
  <r>
    <n v="7955430075"/>
    <s v="79"/>
    <s v="DOIS IRMAOS DO TOCANTINS"/>
    <s v="DIVINOPOLIS"/>
    <s v="CENTRO"/>
    <s v="CONCLUÍDA"/>
    <x v="0"/>
    <m/>
    <m/>
    <m/>
    <m/>
    <m/>
    <m/>
    <m/>
    <e v="#N/A"/>
    <m/>
    <m/>
    <x v="0"/>
    <s v="Ok"/>
    <m/>
    <m/>
    <s v=""/>
    <n v="5"/>
    <n v="5"/>
    <n v="5"/>
    <n v="0"/>
    <n v="0"/>
    <n v="0"/>
    <n v="10"/>
    <n v="0"/>
    <n v="25"/>
    <x v="3"/>
    <s v="Atendimento do Ramal do Boleu (13 UCs), no desarme a jusante penaliza parte 303 UCs rurais"/>
  </r>
  <r>
    <n v="7955686076"/>
    <s v="79"/>
    <s v="DUERE"/>
    <s v="GURUPI"/>
    <s v="SUL"/>
    <s v="CONCLUÍDA"/>
    <x v="0"/>
    <m/>
    <m/>
    <m/>
    <m/>
    <m/>
    <m/>
    <m/>
    <e v="#N/A"/>
    <m/>
    <m/>
    <x v="0"/>
    <s v="Ok"/>
    <m/>
    <m/>
    <s v=""/>
    <n v="5"/>
    <n v="5"/>
    <n v="0"/>
    <n v="0"/>
    <n v="15"/>
    <n v="0"/>
    <n v="0"/>
    <n v="0"/>
    <n v="25"/>
    <x v="3"/>
    <s v="Fonte alternativa de atendimento do Ramal Bacuri (217 UCs)"/>
  </r>
  <r>
    <n v="7955946007"/>
    <s v="79"/>
    <s v="MIRACEMA DO TOCANTINS"/>
    <s v="MIRACEMA DO TOCANTINS"/>
    <s v="CENTRO"/>
    <s v="ETO-COEP 00134/2026"/>
    <x v="3"/>
    <m/>
    <m/>
    <m/>
    <m/>
    <m/>
    <m/>
    <m/>
    <e v="#N/A"/>
    <m/>
    <m/>
    <x v="0"/>
    <s v="Pendente"/>
    <s v="Controle "/>
    <n v="1"/>
    <s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
    <n v="5"/>
    <n v="5"/>
    <n v="5"/>
    <n v="0"/>
    <n v="0"/>
    <n v="0"/>
    <n v="10"/>
    <n v="0"/>
    <n v="25"/>
    <x v="3"/>
    <s v="Alimentação do serviço auxiliar da Investco e clientes rurais (260 UCs)"/>
  </r>
  <r>
    <n v="7901110084"/>
    <s v="79"/>
    <s v="DIVINOPOLIS"/>
    <s v="DIVINOPOLIS"/>
    <s v="CENTRO"/>
    <s v="ETO-COEP 00061/2026"/>
    <x v="3"/>
    <m/>
    <m/>
    <m/>
    <m/>
    <m/>
    <m/>
    <m/>
    <e v="#N/A"/>
    <m/>
    <m/>
    <x v="0"/>
    <s v="Pendente"/>
    <s v="Tanque"/>
    <n v="1"/>
    <s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
    <n v="5"/>
    <n v="5"/>
    <n v="0"/>
    <n v="0"/>
    <n v="0"/>
    <n v="0"/>
    <n v="10"/>
    <n v="0"/>
    <n v="20"/>
    <x v="3"/>
    <s v="Localizado na fonte principal de atendimento de Divinópolis e Abreulândia"/>
  </r>
  <r>
    <n v="7908206074"/>
    <s v="79"/>
    <s v="DIANOPOLIS"/>
    <s v="DIANOPOLIS"/>
    <s v="SUL"/>
    <s v="CONCLUÍDA"/>
    <x v="0"/>
    <m/>
    <m/>
    <m/>
    <m/>
    <m/>
    <m/>
    <m/>
    <e v="#N/A"/>
    <m/>
    <m/>
    <x v="0"/>
    <s v="Ok"/>
    <m/>
    <m/>
    <s v=""/>
    <n v="5"/>
    <n v="5"/>
    <n v="0"/>
    <n v="0"/>
    <n v="0"/>
    <n v="0"/>
    <n v="10"/>
    <n v="0"/>
    <n v="20"/>
    <x v="3"/>
    <s v="Atendimento do PA Novo Plano (102 UCs)"/>
  </r>
  <r>
    <n v="7908708116"/>
    <s v="79"/>
    <s v="CHAPADA DA NATIVIDADE"/>
    <s v="DIANOPOLIS"/>
    <s v="SUL"/>
    <s v="ETO-PROT 00165/2026"/>
    <x v="15"/>
    <m/>
    <m/>
    <m/>
    <m/>
    <m/>
    <m/>
    <m/>
    <e v="#N/A"/>
    <m/>
    <m/>
    <x v="15"/>
    <s v="Pendente"/>
    <s v="Tanque + controle"/>
    <m/>
    <s v="COCMS: 12/08/2026PART ATIVA DO RELIGADOR FOI SUBSTITUIDA.GENTILEZA COMISSIONAR EQUIPAMENTO. SUBSTITUIR PARTE ATIVA DO RELIGADOR 7908708116. LV. ABRIR JUNTE DE ENTRADA E SAIDA DO RELIGADOR PARA POSSIBILITAR SUBSTITUIÇÃO DO MESMO."/>
    <n v="5"/>
    <n v="5"/>
    <n v="0"/>
    <n v="0"/>
    <n v="0"/>
    <n v="0"/>
    <n v="10"/>
    <n v="0"/>
    <n v="20"/>
    <x v="3"/>
    <s v="Atendimento do PA Xobo (194 UCs)"/>
  </r>
  <r>
    <n v="7910027196"/>
    <s v="79"/>
    <s v="LAGOA DO TOCANTINS"/>
    <s v="TAQUARALTO"/>
    <s v="CENTRO"/>
    <s v="ETO-COEP 00154/2026"/>
    <x v="3"/>
    <m/>
    <m/>
    <m/>
    <m/>
    <m/>
    <m/>
    <m/>
    <e v="#N/A"/>
    <m/>
    <m/>
    <x v="0"/>
    <s v="Pendente"/>
    <s v="Tanque + controle"/>
    <n v="1"/>
    <s v="13/07/2026 PARECER COEP: NÃO FAZ SENTIDO FAZER A TROCA DE EQUIPAMENTO COMPLETO APENAS POR CAUSA DA FASE B , QUE PARECE SER UM ERRO DE CALIBRAÇÃO.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PARECER DMSL(22/07/26): O religador está fora de operação desde 11/2025. Necessitando substituição completa em função do defeito de leitura de corrente da fase B. Preservar apenas o radio e antena."/>
    <n v="5"/>
    <n v="5"/>
    <n v="0"/>
    <n v="0"/>
    <n v="0"/>
    <n v="0"/>
    <n v="10"/>
    <n v="0"/>
    <n v="20"/>
    <x v="3"/>
    <s v="Atendimento do Ramal do Rio Preto (197 UCs)"/>
  </r>
  <r>
    <n v="7913662076"/>
    <s v="79"/>
    <s v="DUERE"/>
    <s v="GURUPI"/>
    <s v="SUL"/>
    <s v="ETO-COEP 00114/2026"/>
    <x v="3"/>
    <m/>
    <m/>
    <m/>
    <m/>
    <m/>
    <m/>
    <m/>
    <e v="#N/A"/>
    <m/>
    <m/>
    <x v="19"/>
    <s v="Pendente"/>
    <s v="Tanque"/>
    <n v="1"/>
    <s v="27/07 PARECER COEP: TANQUE DANIFICADO DA 13,5Aberto nota para substituir tanque danificado e chave de entrada fase B danificadaPARECER DMSL: Foi confirmado pela equipe DMSL o defeito do tanque, favor seguir com a substituição e correção da chave de entrada fase B danificada."/>
    <n v="5"/>
    <n v="5"/>
    <n v="0"/>
    <n v="0"/>
    <n v="0"/>
    <n v="10"/>
    <n v="0"/>
    <n v="0"/>
    <n v="20"/>
    <x v="3"/>
    <s v="Atendimento do Ramal do Bacuri (168 UCs)"/>
  </r>
  <r>
    <n v="5862236091"/>
    <s v="58"/>
    <s v="ALMAS"/>
    <s v="DIANOPOLIS"/>
    <s v="SUL"/>
    <s v="ETO-COEP 00158/2026"/>
    <x v="3"/>
    <m/>
    <m/>
    <m/>
    <m/>
    <m/>
    <m/>
    <m/>
    <e v="#N/A"/>
    <m/>
    <m/>
    <x v="0"/>
    <s v="Pendente"/>
    <s v="Célula"/>
    <n v="1"/>
    <s v="27/07 PARECER COEP: PEÇAS REDIRECIONADAS 5856070091 PRIORIDADE MAIOR20/07 PARECER COEP: EQUIPAMENTO ENTREGUE , FAVOR EDITAR A SS COM A DATA PREVISTA DE SUBSTITUIÇÃO NO PARECER DOS COCM´S Realizar substituição da FASE B.Célula da fase B estava com a tampa do contador de tape aberta, pegou chuva e molhou os contatos danificando a peça toda."/>
    <n v="0"/>
    <n v="0"/>
    <n v="0"/>
    <n v="20"/>
    <n v="0"/>
    <s v="-"/>
    <s v="-"/>
    <s v="-"/>
    <n v="20"/>
    <x v="3"/>
    <s v="Atendimento da LD Vale Rio Doce (Nova Aura Mineradora)"/>
  </r>
  <r>
    <n v="5836786094"/>
    <s v="58"/>
    <s v="PEIXE"/>
    <s v="PEIXE"/>
    <s v="SUL"/>
    <s v="ETO-COEP 00095/2026"/>
    <x v="7"/>
    <m/>
    <m/>
    <m/>
    <m/>
    <m/>
    <m/>
    <m/>
    <e v="#N/A"/>
    <m/>
    <m/>
    <x v="20"/>
    <s v="Em andamento"/>
    <s v="Célula"/>
    <n v="1"/>
    <s v="24/07 PARECER COEP:EQUIPAMENTO EM LOGISTICA DE ENTREGA Favor levar outro regulador de tensão, pois o mesmo foi furtado em campo."/>
    <n v="0"/>
    <n v="0"/>
    <n v="0"/>
    <n v="10"/>
    <n v="10"/>
    <s v="-"/>
    <s v="-"/>
    <s v="-"/>
    <n v="20"/>
    <x v="3"/>
    <s v="Atendimento de clientes rurais na LD Peixe Angical - Peixe"/>
  </r>
  <r>
    <n v="7919270014"/>
    <s v="79"/>
    <s v="PIUM"/>
    <s v="PARAISO DO TOCANTINS"/>
    <s v="CENTRO"/>
    <s v="ETO-COEP 00159/2026"/>
    <x v="3"/>
    <m/>
    <m/>
    <m/>
    <m/>
    <m/>
    <m/>
    <m/>
    <e v="#N/A"/>
    <m/>
    <m/>
    <x v="0"/>
    <s v="Pendente"/>
    <m/>
    <m/>
    <s v="27/07/2026 PARECER COEP: EM PROCESSO DE AQUISIÇÃO , COMPLETO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
    <n v="5"/>
    <n v="5"/>
    <n v="0"/>
    <n v="0"/>
    <n v="0"/>
    <n v="10"/>
    <n v="0"/>
    <n v="0"/>
    <n v="20"/>
    <x v="3"/>
    <s v="Atendimento de Clientes rurais (48 UCs)"/>
  </r>
  <r>
    <n v="7926442035"/>
    <s v="79"/>
    <s v="MONTE DO CARMO"/>
    <s v="PONTE ALTA TOCANTINS"/>
    <s v="CENTRO"/>
    <s v="ETO-COEP 00051/2026"/>
    <x v="3"/>
    <m/>
    <m/>
    <m/>
    <m/>
    <m/>
    <m/>
    <m/>
    <e v="#N/A"/>
    <m/>
    <m/>
    <x v="19"/>
    <s v="Pendente"/>
    <s v="Trafo auxiliar e tanque"/>
    <n v="1"/>
    <s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
    <n v="5"/>
    <n v="5"/>
    <n v="0"/>
    <n v="0"/>
    <n v="0"/>
    <n v="0"/>
    <n v="10"/>
    <n v="0"/>
    <n v="20"/>
    <x v="3"/>
    <s v="Atenidmento do PA Principado (200 UCs)"/>
  </r>
  <r>
    <n v="7954668084"/>
    <s v="79"/>
    <s v="DIVINOPOLIS"/>
    <s v="DIVINOPOLIS"/>
    <s v="CENTRO"/>
    <s v="CONCLUÍDA"/>
    <x v="0"/>
    <m/>
    <m/>
    <m/>
    <m/>
    <m/>
    <m/>
    <m/>
    <e v="#N/A"/>
    <m/>
    <m/>
    <x v="0"/>
    <s v="Ok"/>
    <m/>
    <m/>
    <s v=""/>
    <n v="5"/>
    <n v="5"/>
    <n v="0"/>
    <n v="0"/>
    <n v="0"/>
    <n v="0"/>
    <n v="10"/>
    <n v="0"/>
    <n v="20"/>
    <x v="3"/>
    <s v="Atendimento do PA Piedade (125 UCs)"/>
  </r>
  <r>
    <n v="7938137007"/>
    <s v="79"/>
    <s v="MIRACEMA DO TOCANTINS"/>
    <s v="MIRACEMA DO TOCANTINS"/>
    <s v="CENTRO"/>
    <s v="ETO-COEP 00144/2026"/>
    <x v="3"/>
    <m/>
    <m/>
    <m/>
    <m/>
    <m/>
    <m/>
    <m/>
    <e v="#N/A"/>
    <m/>
    <m/>
    <x v="0"/>
    <s v="Pendente"/>
    <s v="Trafo auxiliar e completo"/>
    <n v="1"/>
    <s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
    <n v="5"/>
    <n v="5"/>
    <n v="5"/>
    <n v="0"/>
    <n v="0"/>
    <n v="0"/>
    <n v="0"/>
    <n v="0"/>
    <n v="15"/>
    <x v="3"/>
    <s v="Transferência do Irmã Adelaide (470 UCs)"/>
  </r>
  <r>
    <n v="5856156091"/>
    <s v="58"/>
    <s v="ALMAS"/>
    <s v="DIANOPOLIS"/>
    <s v="SUL"/>
    <s v="ETO-COEP 00160/2026"/>
    <x v="3"/>
    <m/>
    <m/>
    <m/>
    <m/>
    <m/>
    <m/>
    <m/>
    <e v="#N/A"/>
    <m/>
    <m/>
    <x v="21"/>
    <s v="Pendente"/>
    <s v="Células + controle"/>
    <n v="3"/>
    <s v="27/07/2026 PARECER COEP: EQUIPAMENTO SELECIONADO PARA COMPRA, PORÉM PODEMOS DESATIVAR DE ACORDO COM A ASPO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
    <n v="0"/>
    <n v="0"/>
    <n v="0"/>
    <n v="0"/>
    <n v="0"/>
    <s v="-"/>
    <s v="-"/>
    <s v="-"/>
    <n v="0"/>
    <x v="3"/>
    <s v="Equipamento novo furtado antes de ser colocado em operação"/>
  </r>
  <r>
    <n v="5858783119"/>
    <s v="58"/>
    <s v="SAO BENTO DO TOCANTINS"/>
    <s v="TOCANTINOPOLIS"/>
    <s v="NORTE"/>
    <s v="ETO-COEP 00164/2026"/>
    <x v="16"/>
    <m/>
    <m/>
    <m/>
    <m/>
    <m/>
    <m/>
    <m/>
    <e v="#N/A"/>
    <m/>
    <m/>
    <x v="22"/>
    <s v="Pendente"/>
    <m/>
    <m/>
    <s v="PARECER DMSL 31/07/2026: RT 5858783119 SE ECONTRA NA MESMA SITUAÇÃO INFORMADA NO DIA 16/06/2026. FAVOR, REGULARIZAR A SITUAÇÃO DO EQUIPAMENTO, SUBSTITUINDO OS 3 TANQUES E  INSTALAR NOVOS PARA-RAIOS.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n v="0"/>
    <n v="0"/>
    <n v="0"/>
    <n v="0"/>
    <n v="0"/>
    <s v="-"/>
    <s v="-"/>
    <s v="-"/>
    <n v="0"/>
    <x v="3"/>
    <s v="Equipamento não inserido no SCADA"/>
  </r>
  <r>
    <n v="7900532053"/>
    <s v="79"/>
    <s v="PIRAQUE"/>
    <s v="TOCANTINOPOLIS"/>
    <s v="NORTE"/>
    <s v="CONCLUÍDA"/>
    <x v="17"/>
    <m/>
    <m/>
    <m/>
    <m/>
    <m/>
    <m/>
    <m/>
    <e v="#N/A"/>
    <m/>
    <m/>
    <x v="0"/>
    <m/>
    <s v="Completo"/>
    <m/>
    <s v=""/>
    <n v="0"/>
    <n v="0"/>
    <n v="0"/>
    <n v="0"/>
    <n v="0"/>
    <n v="0"/>
    <n v="0"/>
    <n v="0"/>
    <n v="0"/>
    <x v="3"/>
    <s v="Equipamento não identificado no SCADA e Mapa TS"/>
  </r>
  <r>
    <n v="7930359149"/>
    <s v="79"/>
    <s v="CASEARA"/>
    <s v="DIVINOPOLIS"/>
    <s v="CENTRO"/>
    <s v="ETO-COEP 00138/2026"/>
    <x v="0"/>
    <m/>
    <m/>
    <m/>
    <m/>
    <m/>
    <m/>
    <m/>
    <e v="#N/A"/>
    <m/>
    <m/>
    <x v="0"/>
    <m/>
    <m/>
    <m/>
    <s v="PARECER DMSL 07/07/2026: equipamento tem que ser subistuido pois não faz comando, parte ativa com defeito FEITO O PRIMEIRO ATAQUE NO RELIGADOR 7930359149 E MESMO NÃO ACEITA COMANDO NEM LOCAL E NEM REMOTO SEGUNDO EQUIPE 149OP02 E PLACA DO RL ESTA CARBONIZADA COM SINAL DE CURTO."/>
    <s v=" "/>
    <m/>
    <m/>
    <m/>
    <m/>
    <m/>
    <m/>
    <m/>
    <n v="0"/>
    <x v="4"/>
    <m/>
  </r>
  <r>
    <n v="7953211079"/>
    <s v="79"/>
    <s v="ITAPIRATINS"/>
    <s v="GUARAI"/>
    <s v="NORTE"/>
    <s v="ETO-COEP 00147/2026"/>
    <x v="0"/>
    <m/>
    <m/>
    <m/>
    <m/>
    <m/>
    <m/>
    <m/>
    <e v="#N/A"/>
    <m/>
    <m/>
    <x v="0"/>
    <m/>
    <m/>
    <m/>
    <s v="20/07 PARECER COEP: EQUIPAMENTO SELECIONADO PARA COMPRASegue nota para substituir relé religador avariado marca noja , equipamento N: 7953211079 - Itapiratins .Obs: informação repassado pelo técnico DMSL Bruno ."/>
    <s v=" "/>
    <m/>
    <m/>
    <m/>
    <m/>
    <m/>
    <m/>
    <m/>
    <n v="0"/>
    <x v="4"/>
    <m/>
  </r>
  <r>
    <n v="7949648145"/>
    <s v="79"/>
    <s v="MAURILANDIA DO TOCANTINS"/>
    <s v="AUGUSTINOPOLIS"/>
    <s v="NORTE"/>
    <s v="ETO-TELE 00929/2026"/>
    <x v="0"/>
    <m/>
    <m/>
    <m/>
    <m/>
    <m/>
    <m/>
    <m/>
    <s v="SS PENDENTE"/>
    <d v="2026-08-26T00:00:00"/>
    <m/>
    <x v="23"/>
    <m/>
    <m/>
    <m/>
    <s v="FEITO PRIMEIRO ATAQUE COM A EQUIPE LOCAL E NÃO VOLTOU A COMUNICAR. PROVIDENCIAR MANUTENÇÃO PARA O MESMO."/>
    <s v=" "/>
    <m/>
    <m/>
    <m/>
    <m/>
    <m/>
    <m/>
    <m/>
    <n v="0"/>
    <x v="4"/>
    <m/>
  </r>
  <r>
    <n v="7908300096"/>
    <s v="79"/>
    <s v="PINDORAMA DO TOCANTINS"/>
    <s v="PONTE ALTA TOCANTINS"/>
    <s v="CENTRO"/>
    <s v="ETO-TELE 00938/2026"/>
    <x v="0"/>
    <m/>
    <m/>
    <m/>
    <m/>
    <m/>
    <m/>
    <m/>
    <s v="SS PENDENTE"/>
    <s v="A REPROGRAMAR"/>
    <m/>
    <x v="0"/>
    <m/>
    <m/>
    <m/>
    <s v="Segue nota para verificar falha intermitência na comunicação RL 7908300096 RDU- Pindorama ."/>
    <s v=" "/>
    <m/>
    <m/>
    <m/>
    <m/>
    <m/>
    <m/>
    <m/>
    <n v="0"/>
    <x v="4"/>
    <m/>
  </r>
  <r>
    <n v="7911120026"/>
    <s v="79"/>
    <s v="PONTE ALTA TOCANTINS"/>
    <s v="PONTE ALTA TOCANTINS"/>
    <s v="CENTRO"/>
    <s v="CONCLUÍDA"/>
    <x v="18"/>
    <m/>
    <m/>
    <m/>
    <m/>
    <m/>
    <m/>
    <m/>
    <e v="#N/A"/>
    <m/>
    <m/>
    <x v="24"/>
    <m/>
    <m/>
    <m/>
    <s v=""/>
    <s v=" "/>
    <m/>
    <m/>
    <m/>
    <m/>
    <m/>
    <m/>
    <m/>
    <n v="0"/>
    <x v="4"/>
    <m/>
  </r>
  <r>
    <n v="7900722193"/>
    <s v="79"/>
    <m/>
    <m/>
    <m/>
    <s v="ETO-TELE 01029/2026"/>
    <x v="19"/>
    <m/>
    <m/>
    <m/>
    <m/>
    <m/>
    <m/>
    <m/>
    <s v="SS PENDENTE"/>
    <s v="OK"/>
    <m/>
    <x v="25"/>
    <m/>
    <m/>
    <m/>
    <s v="Religador sem comunicação, apos primeiro ataque não retornou a comunicação."/>
    <m/>
    <m/>
    <m/>
    <m/>
    <m/>
    <m/>
    <m/>
    <m/>
    <n v="0"/>
    <x v="4"/>
    <m/>
  </r>
  <r>
    <n v="5839141113"/>
    <s v="58"/>
    <m/>
    <m/>
    <m/>
    <s v="ETO-TELE 00985/2026"/>
    <x v="19"/>
    <m/>
    <m/>
    <m/>
    <m/>
    <m/>
    <m/>
    <m/>
    <s v="SS PENDENTE"/>
    <m/>
    <m/>
    <x v="26"/>
    <m/>
    <m/>
    <m/>
    <s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
    <m/>
    <m/>
    <m/>
    <m/>
    <m/>
    <m/>
    <m/>
    <m/>
    <n v="0"/>
    <x v="4"/>
    <m/>
  </r>
  <r>
    <n v="7923110021"/>
    <s v="79"/>
    <m/>
    <m/>
    <m/>
    <s v="ETO-TELE 01027/2026"/>
    <x v="19"/>
    <m/>
    <m/>
    <m/>
    <m/>
    <m/>
    <m/>
    <m/>
    <s v="SS PENDENTE"/>
    <d v="2026-08-28T00:00:00"/>
    <m/>
    <x v="0"/>
    <m/>
    <m/>
    <m/>
    <s v="Segue SS para verificar falha de comunicação no religador 7923110021. Equipe foi no local realizar primeiro ataque e informou que o radio de comunicação encontra-se com defeito"/>
    <m/>
    <m/>
    <m/>
    <m/>
    <m/>
    <m/>
    <m/>
    <m/>
    <n v="0"/>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99532-7646-4D5A-9810-BD1BF5FB9BB9}" name="Tabela dinâmica3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riticidade" colHeaderCaption="Cód">
  <location ref="A3:D10" firstHeaderRow="1" firstDataRow="2" firstDataCol="1" rowPageCount="1" colPageCount="1"/>
  <pivotFields count="23">
    <pivotField showAll="0"/>
    <pivotField showAll="0"/>
    <pivotField axis="axisPage" multipleItemSelectionAllowed="1" showAll="0">
      <items count="14">
        <item x="2"/>
        <item x="4"/>
        <item x="1"/>
        <item x="0"/>
        <item x="7"/>
        <item h="1" x="6"/>
        <item h="1" x="3"/>
        <item h="1" m="1" x="11"/>
        <item h="1" m="1" x="10"/>
        <item h="1" x="5"/>
        <item h="1" x="8"/>
        <item h="1" m="1" x="9"/>
        <item h="1" m="1" x="12"/>
        <item t="default"/>
      </items>
    </pivotField>
    <pivotField dataField="1" showAll="0"/>
    <pivotField axis="axisCol"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n="Em definição" x="4"/>
        <item m="1" x="5"/>
        <item t="default"/>
      </items>
    </pivotField>
    <pivotField showAll="0"/>
  </pivotFields>
  <rowFields count="1">
    <field x="21"/>
  </rowFields>
  <rowItems count="6">
    <i>
      <x/>
    </i>
    <i>
      <x v="1"/>
    </i>
    <i>
      <x v="2"/>
    </i>
    <i>
      <x v="3"/>
    </i>
    <i>
      <x v="4"/>
    </i>
    <i t="grand">
      <x/>
    </i>
  </rowItems>
  <colFields count="1">
    <field x="4"/>
  </colFields>
  <colItems count="3">
    <i>
      <x/>
    </i>
    <i>
      <x v="1"/>
    </i>
    <i t="grand">
      <x/>
    </i>
  </colItems>
  <pageFields count="1">
    <pageField fld="2" hier="-1"/>
  </pageFields>
  <dataFields count="1">
    <dataField name="Qtd" fld="3" subtotal="count" baseField="2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84CEBF-8D3D-4550-9315-2EDB1A0225FA}"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Status">
  <location ref="A3:B37" firstHeaderRow="1" firstDataRow="1" firstDataCol="1"/>
  <pivotFields count="33">
    <pivotField dataField="1" showAll="0"/>
    <pivotField showAll="0"/>
    <pivotField showAll="0"/>
    <pivotField showAll="0"/>
    <pivotField showAll="0"/>
    <pivotField showAll="0"/>
    <pivotField axis="axisRow" showAll="0">
      <items count="25">
        <item m="1" x="22"/>
        <item x="2"/>
        <item x="16"/>
        <item x="1"/>
        <item x="3"/>
        <item x="7"/>
        <item x="4"/>
        <item m="1" x="23"/>
        <item x="8"/>
        <item x="9"/>
        <item x="17"/>
        <item m="1" x="20"/>
        <item m="1" x="21"/>
        <item n="Concluído" x="0"/>
        <item x="5"/>
        <item x="6"/>
        <item x="10"/>
        <item x="11"/>
        <item x="12"/>
        <item x="13"/>
        <item x="14"/>
        <item x="15"/>
        <item x="18"/>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h="1" x="4"/>
        <item t="default"/>
      </items>
    </pivotField>
    <pivotField showAll="0"/>
  </pivotFields>
  <rowFields count="2">
    <field x="31"/>
    <field x="6"/>
  </rowFields>
  <rowItems count="34">
    <i>
      <x/>
    </i>
    <i r="1">
      <x v="1"/>
    </i>
    <i r="1">
      <x v="3"/>
    </i>
    <i r="1">
      <x v="4"/>
    </i>
    <i r="1">
      <x v="6"/>
    </i>
    <i r="1">
      <x v="13"/>
    </i>
    <i r="1">
      <x v="14"/>
    </i>
    <i r="1">
      <x v="15"/>
    </i>
    <i>
      <x v="1"/>
    </i>
    <i r="1">
      <x v="3"/>
    </i>
    <i r="1">
      <x v="4"/>
    </i>
    <i r="1">
      <x v="5"/>
    </i>
    <i r="1">
      <x v="6"/>
    </i>
    <i r="1">
      <x v="8"/>
    </i>
    <i r="1">
      <x v="9"/>
    </i>
    <i r="1">
      <x v="13"/>
    </i>
    <i r="1">
      <x v="15"/>
    </i>
    <i r="1">
      <x v="17"/>
    </i>
    <i>
      <x v="2"/>
    </i>
    <i r="1">
      <x v="1"/>
    </i>
    <i r="1">
      <x v="4"/>
    </i>
    <i r="1">
      <x v="13"/>
    </i>
    <i r="1">
      <x v="16"/>
    </i>
    <i r="1">
      <x v="18"/>
    </i>
    <i r="1">
      <x v="19"/>
    </i>
    <i>
      <x v="3"/>
    </i>
    <i r="1">
      <x v="2"/>
    </i>
    <i r="1">
      <x v="4"/>
    </i>
    <i r="1">
      <x v="5"/>
    </i>
    <i r="1">
      <x v="10"/>
    </i>
    <i r="1">
      <x v="13"/>
    </i>
    <i r="1">
      <x v="20"/>
    </i>
    <i r="1">
      <x v="21"/>
    </i>
    <i t="grand">
      <x/>
    </i>
  </rowItems>
  <colItems count="1">
    <i/>
  </colItems>
  <dataFields count="1">
    <dataField name="Contagem de Ativ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D9F7A7-4C63-4180-9D0D-0BFAED3146E1}" name="Tabela dinâ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Status">
  <location ref="D16:E21" firstHeaderRow="1" firstDataRow="1" firstDataCol="1" rowPageCount="1" colPageCount="1"/>
  <pivotFields count="33">
    <pivotField dataField="1" showAll="0"/>
    <pivotField showAll="0"/>
    <pivotField showAll="0"/>
    <pivotField showAll="0"/>
    <pivotField showAll="0"/>
    <pivotField showAll="0"/>
    <pivotField axis="axisPage" multipleItemSelectionAllowed="1" showAll="0">
      <items count="25">
        <item h="1" m="1" x="22"/>
        <item h="1" x="2"/>
        <item h="1" x="16"/>
        <item h="1" x="1"/>
        <item h="1" x="3"/>
        <item x="7"/>
        <item h="1" x="4"/>
        <item h="1" m="1" x="23"/>
        <item h="1" x="8"/>
        <item h="1" x="9"/>
        <item h="1" x="17"/>
        <item h="1" m="1" x="20"/>
        <item h="1" m="1" x="21"/>
        <item n="Concluído" h="1" x="0"/>
        <item h="1" x="5"/>
        <item h="1" x="6"/>
        <item h="1" x="10"/>
        <item h="1" x="11"/>
        <item h="1" x="12"/>
        <item h="1" x="13"/>
        <item h="1" x="14"/>
        <item h="1" x="15"/>
        <item h="1" x="18"/>
        <item h="1" x="19"/>
        <item t="default"/>
      </items>
    </pivotField>
    <pivotField showAll="0"/>
    <pivotField showAll="0"/>
    <pivotField showAll="0"/>
    <pivotField showAll="0"/>
    <pivotField showAll="0"/>
    <pivotField showAll="0"/>
    <pivotField showAll="0"/>
    <pivotField showAll="0"/>
    <pivotField showAll="0"/>
    <pivotField showAll="0"/>
    <pivotField axis="axisRow" showAll="0">
      <items count="34">
        <item x="19"/>
        <item x="13"/>
        <item m="1" x="28"/>
        <item x="3"/>
        <item m="1" x="32"/>
        <item x="5"/>
        <item x="1"/>
        <item x="11"/>
        <item m="1" x="29"/>
        <item x="20"/>
        <item m="1" x="31"/>
        <item x="10"/>
        <item x="14"/>
        <item x="2"/>
        <item x="12"/>
        <item m="1" x="30"/>
        <item x="0"/>
        <item x="4"/>
        <item x="6"/>
        <item x="7"/>
        <item x="8"/>
        <item x="9"/>
        <item x="15"/>
        <item x="16"/>
        <item x="17"/>
        <item x="18"/>
        <item x="21"/>
        <item x="24"/>
        <item m="1" x="27"/>
        <item x="23"/>
        <item x="25"/>
        <item x="26"/>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6">
        <item x="0"/>
        <item x="1"/>
        <item x="2"/>
        <item x="3"/>
        <item h="1" x="4"/>
        <item t="default"/>
      </items>
    </pivotField>
    <pivotField showAll="0"/>
  </pivotFields>
  <rowFields count="2">
    <field x="31"/>
    <field x="17"/>
  </rowFields>
  <rowItems count="5">
    <i>
      <x v="1"/>
    </i>
    <i r="1">
      <x v="7"/>
    </i>
    <i>
      <x v="3"/>
    </i>
    <i r="1">
      <x v="9"/>
    </i>
    <i t="grand">
      <x/>
    </i>
  </rowItems>
  <colItems count="1">
    <i/>
  </colItems>
  <pageFields count="1">
    <pageField fld="6" hier="-1"/>
  </pageFields>
  <dataFields count="1">
    <dataField name="Contagem de Ativ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DAE4D3-BF23-4898-A8B9-D832E35986BF}" name="Tabela dinâ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Status">
  <location ref="D4:E10" firstHeaderRow="1" firstDataRow="1" firstDataCol="1" rowPageCount="1" colPageCount="1"/>
  <pivotFields count="33">
    <pivotField dataField="1" showAll="0"/>
    <pivotField showAll="0"/>
    <pivotField showAll="0"/>
    <pivotField showAll="0"/>
    <pivotField showAll="0"/>
    <pivotField showAll="0"/>
    <pivotField axis="axisPage" multipleItemSelectionAllowed="1" showAll="0">
      <items count="25">
        <item h="1" m="1" x="22"/>
        <item h="1" x="2"/>
        <item h="1" x="16"/>
        <item h="1" x="1"/>
        <item h="1" x="3"/>
        <item h="1" x="7"/>
        <item x="4"/>
        <item h="1" m="1" x="23"/>
        <item h="1" x="8"/>
        <item h="1" x="9"/>
        <item h="1" x="17"/>
        <item h="1" m="1" x="20"/>
        <item h="1" m="1" x="21"/>
        <item n="Concluído" h="1" x="0"/>
        <item h="1" x="5"/>
        <item h="1" x="6"/>
        <item h="1" x="10"/>
        <item h="1" x="11"/>
        <item h="1" x="12"/>
        <item h="1" x="13"/>
        <item h="1" x="14"/>
        <item h="1" x="15"/>
        <item h="1" x="18"/>
        <item h="1" x="19"/>
        <item t="default"/>
      </items>
    </pivotField>
    <pivotField showAll="0"/>
    <pivotField showAll="0"/>
    <pivotField showAll="0"/>
    <pivotField showAll="0"/>
    <pivotField showAll="0"/>
    <pivotField showAll="0"/>
    <pivotField showAll="0"/>
    <pivotField showAll="0"/>
    <pivotField showAll="0"/>
    <pivotField showAll="0"/>
    <pivotField axis="axisRow" showAll="0">
      <items count="34">
        <item x="19"/>
        <item x="13"/>
        <item m="1" x="28"/>
        <item x="3"/>
        <item m="1" x="32"/>
        <item x="5"/>
        <item x="1"/>
        <item x="11"/>
        <item m="1" x="29"/>
        <item x="20"/>
        <item m="1" x="31"/>
        <item x="10"/>
        <item x="14"/>
        <item x="2"/>
        <item x="12"/>
        <item m="1" x="30"/>
        <item x="0"/>
        <item x="4"/>
        <item x="6"/>
        <item x="7"/>
        <item x="8"/>
        <item x="9"/>
        <item x="15"/>
        <item x="16"/>
        <item x="17"/>
        <item x="18"/>
        <item x="21"/>
        <item x="24"/>
        <item m="1" x="27"/>
        <item x="23"/>
        <item x="25"/>
        <item x="26"/>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6">
        <item x="0"/>
        <item x="1"/>
        <item x="2"/>
        <item x="3"/>
        <item h="1" x="4"/>
        <item t="default"/>
      </items>
    </pivotField>
    <pivotField showAll="0"/>
  </pivotFields>
  <rowFields count="2">
    <field x="31"/>
    <field x="17"/>
  </rowFields>
  <rowItems count="6">
    <i>
      <x/>
    </i>
    <i r="1">
      <x v="17"/>
    </i>
    <i r="1">
      <x v="19"/>
    </i>
    <i>
      <x v="1"/>
    </i>
    <i r="1">
      <x v="14"/>
    </i>
    <i t="grand">
      <x/>
    </i>
  </rowItems>
  <colItems count="1">
    <i/>
  </colItems>
  <pageFields count="1">
    <pageField fld="6" hier="-1"/>
  </pageFields>
  <dataFields count="1">
    <dataField name="Contagem de Ativ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3" xr16:uid="{FB97C640-7295-473C-A251-3720EDE57D1E}" autoFormatId="16" applyNumberFormats="0" applyBorderFormats="0" applyFontFormats="0" applyPatternFormats="0" applyAlignmentFormats="0" applyWidthHeightFormats="0">
  <queryTableRefresh nextId="25">
    <queryTableFields count="23">
      <queryTableField id="1" name="ANO_SS" tableColumnId="1"/>
      <queryTableField id="2" name="SS_ORIGINAL" tableColumnId="2"/>
      <queryTableField id="3" name="DESTINO_SS" tableColumnId="3"/>
      <queryTableField id="4" name="COD_RELIGADOR" tableColumnId="4"/>
      <queryTableField id="23" name="TIPO" tableColumnId="23"/>
      <queryTableField id="5" name="DTA_ABERTURA" tableColumnId="5"/>
      <queryTableField id="6" name="COD_LOC" tableColumnId="6"/>
      <queryTableField id="7" name="LOCALIDADE" tableColumnId="7"/>
      <queryTableField id="8" name="POLO" tableColumnId="8"/>
      <queryTableField id="9" name="REGIONAL" tableColumnId="9"/>
      <queryTableField id="10" name="ALIMENTADOR" tableColumnId="10"/>
      <queryTableField id="11" name="DESCRICAO" tableColumnId="11"/>
      <queryTableField id="12" name="Premissa 1" tableColumnId="12"/>
      <queryTableField id="13" name="Premissa 2" tableColumnId="13"/>
      <queryTableField id="14" name="Premissa 3" tableColumnId="14"/>
      <queryTableField id="15" name="Premissa 4" tableColumnId="15"/>
      <queryTableField id="16" name="Premissa 5" tableColumnId="16"/>
      <queryTableField id="17" name="Premissa 6" tableColumnId="17"/>
      <queryTableField id="18" name="Premissa 7" tableColumnId="18"/>
      <queryTableField id="19" name="Premissa 8" tableColumnId="19"/>
      <queryTableField id="20" name="Priorização" tableColumnId="20"/>
      <queryTableField id="21" name="Criticidade" tableColumnId="21"/>
      <queryTableField id="22" name="Observação após análise"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3" connectionId="4" xr16:uid="{63059310-212C-4B3E-BA9E-6FD909F45C33}" autoFormatId="16" applyNumberFormats="0" applyBorderFormats="0" applyFontFormats="0" applyPatternFormats="0" applyAlignmentFormats="0" applyWidthHeightFormats="0">
  <queryTableRefresh nextId="57">
    <queryTableFields count="33">
      <queryTableField id="1" name="Ativo" tableColumnId="1"/>
      <queryTableField id="4" name="Tipo" tableColumnId="4"/>
      <queryTableField id="5" name="Localidade" tableColumnId="5"/>
      <queryTableField id="6" name="Polo" tableColumnId="6"/>
      <queryTableField id="7" name="Regional" tableColumnId="7"/>
      <queryTableField id="8" name="SS aberta" tableColumnId="8"/>
      <queryTableField id="32" name="Parecer COEP" tableColumnId="2"/>
      <queryTableField id="37" name="SS DCMD" tableColumnId="24"/>
      <queryTableField id="38" name="Status DCMD" tableColumnId="25"/>
      <queryTableField id="39" name="Previsão DCMD" tableColumnId="26"/>
      <queryTableField id="40" name="SS Proteção" tableColumnId="27"/>
      <queryTableField id="41" name="Status Proteção" tableColumnId="28"/>
      <queryTableField id="42" name="Previsão Proteção" tableColumnId="29"/>
      <queryTableField id="43" name="SS DMSL" tableColumnId="30"/>
      <queryTableField id="44" name="Status DMSL" tableColumnId="31"/>
      <queryTableField id="45" name="Previsão DMSL" tableColumnId="32"/>
      <queryTableField id="46" name="Status COI" tableColumnId="33"/>
      <queryTableField id="28" name="Observação" tableColumnId="3"/>
      <queryTableField id="23" name="Check de concluídas" tableColumnId="22"/>
      <queryTableField id="9" name="Defeito identificado" tableColumnId="9"/>
      <queryTableField id="35" name="Quantidade" tableColumnId="23"/>
      <queryTableField id="21" name="Descrição SS" tableColumnId="21"/>
      <queryTableField id="10" name="Premissa 1" tableColumnId="10"/>
      <queryTableField id="11" name="Premissa 2" tableColumnId="11"/>
      <queryTableField id="12" name="Premissa 3" tableColumnId="12"/>
      <queryTableField id="13" name="Premissa 4" tableColumnId="13"/>
      <queryTableField id="14" name="Premissa 5" tableColumnId="14"/>
      <queryTableField id="15" name="Premissa 6" tableColumnId="15"/>
      <queryTableField id="16" name="Premissa 7" tableColumnId="16"/>
      <queryTableField id="17" name="Premissa 8" tableColumnId="17"/>
      <queryTableField id="18" name="Priorização" tableColumnId="18"/>
      <queryTableField id="19" name="Criticidade" tableColumnId="19"/>
      <queryTableField id="20" name="Observação após análise"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4" connectionId="1" xr16:uid="{EF997D14-19D1-4ADA-9D9F-BE22B81DCA50}" autoFormatId="16" applyNumberFormats="0" applyBorderFormats="0" applyFontFormats="0" applyPatternFormats="0" applyAlignmentFormats="0" applyWidthHeightFormats="0">
  <queryTableRefresh nextId="13">
    <queryTableFields count="12">
      <queryTableField id="1" name="ANO_SS" tableColumnId="1"/>
      <queryTableField id="2" name="SS_ORIGINAL" tableColumnId="2"/>
      <queryTableField id="3" name="DESTINO_SS" tableColumnId="3"/>
      <queryTableField id="4" name="COD_RELIGADOR" tableColumnId="4"/>
      <queryTableField id="5" name="DTA_ABERTURA" tableColumnId="5"/>
      <queryTableField id="6" name="DTA_CONCLUSAO" tableColumnId="6"/>
      <queryTableField id="7" name="COD_LOC" tableColumnId="7"/>
      <queryTableField id="8" name="LOCALIDADE" tableColumnId="8"/>
      <queryTableField id="9" name="POLO" tableColumnId="9"/>
      <queryTableField id="10" name="REGIONAL" tableColumnId="10"/>
      <queryTableField id="11" name="ALIMENTADOR" tableColumnId="11"/>
      <queryTableField id="12" name="DESCRICAO"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2" connectionId="2" xr16:uid="{2D375E71-3E1B-4055-83A0-0F24712FE1F4}" autoFormatId="16" applyNumberFormats="0" applyBorderFormats="0" applyFontFormats="0" applyPatternFormats="0" applyAlignmentFormats="0" applyWidthHeightFormats="0">
  <queryTableRefresh nextId="8">
    <queryTableFields count="7">
      <queryTableField id="1" name="NumLocal" tableColumnId="1"/>
      <queryTableField id="2" name="SiglaLocal" tableColumnId="2"/>
      <queryTableField id="3" name="NomeLocal" tableColumnId="3"/>
      <queryTableField id="4" name="SiglaPolo" tableColumnId="4"/>
      <queryTableField id="5" name="NomePoloDEOP" tableColumnId="5"/>
      <queryTableField id="6" name="NomePoloDESC" tableColumnId="6"/>
      <queryTableField id="7" name="SiglaRegiona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A0DEFF-2E3E-4761-8991-77F0AED0E02C}" name="Pendentes" displayName="Pendentes" ref="A1:W94" tableType="queryTable" totalsRowShown="0" headerRowDxfId="77" dataDxfId="76">
  <autoFilter ref="A1:W94" xr:uid="{84A0DEFF-2E3E-4761-8991-77F0AED0E02C}"/>
  <tableColumns count="23">
    <tableColumn id="1" xr3:uid="{E6A6C5EE-7280-4F10-9DD5-7269F422F0EF}" uniqueName="1" name="ANO_SS" queryTableFieldId="1" dataDxfId="75"/>
    <tableColumn id="2" xr3:uid="{EE3FC682-ED4A-41CF-B211-F3F3955D42C5}" uniqueName="2" name="SS_ORIGINAL" queryTableFieldId="2" dataDxfId="74"/>
    <tableColumn id="3" xr3:uid="{539BB74E-1074-42E2-8415-34D208CF60B5}" uniqueName="3" name="DESTINO_SS" queryTableFieldId="3" dataDxfId="73"/>
    <tableColumn id="4" xr3:uid="{A40AE912-5F58-4E47-8E2A-56F45A7CBB1C}" uniqueName="4" name="COD_RELIGADOR" queryTableFieldId="4" dataDxfId="72"/>
    <tableColumn id="23" xr3:uid="{BB4BA0C2-BA93-432D-982F-3DFA4CBE6D77}" uniqueName="23" name="TIPO" queryTableFieldId="23" dataDxfId="71"/>
    <tableColumn id="5" xr3:uid="{CC224E63-0DDE-4705-96F9-53D9CF788961}" uniqueName="5" name="DTA_ABERTURA" queryTableFieldId="5" dataDxfId="70"/>
    <tableColumn id="6" xr3:uid="{35B829E1-91B8-4716-A985-150A7CD343B7}" uniqueName="6" name="COD_LOC" queryTableFieldId="6" dataDxfId="69"/>
    <tableColumn id="7" xr3:uid="{BBDC719E-D769-487C-87A8-C906A90AE812}" uniqueName="7" name="LOCALIDADE" queryTableFieldId="7" dataDxfId="68"/>
    <tableColumn id="8" xr3:uid="{2C689952-2478-4C66-9E1A-3D3A0D0A4E6D}" uniqueName="8" name="POLO" queryTableFieldId="8" dataDxfId="67"/>
    <tableColumn id="9" xr3:uid="{C16E0600-9493-486D-8BEC-E9CD73884D5B}" uniqueName="9" name="REGIONAL" queryTableFieldId="9" dataDxfId="66"/>
    <tableColumn id="10" xr3:uid="{560D3DDE-12C9-4E93-9C5E-F335A7F9E150}" uniqueName="10" name="ALIMENTADOR" queryTableFieldId="10" dataDxfId="65"/>
    <tableColumn id="11" xr3:uid="{082027D3-DE6A-45E3-BDE5-31D0A3DB1DEB}" uniqueName="11" name="DESCRICAO" queryTableFieldId="11" dataDxfId="64"/>
    <tableColumn id="12" xr3:uid="{72A081E0-A0B5-494B-847A-A9D16D37DC94}" uniqueName="12" name="Premissa 1" queryTableFieldId="12" dataDxfId="63"/>
    <tableColumn id="13" xr3:uid="{A644284D-F5FD-4C89-9984-0898650CAA3D}" uniqueName="13" name="Premissa 2" queryTableFieldId="13" dataDxfId="62"/>
    <tableColumn id="14" xr3:uid="{6EDEB7FE-2C85-46F8-817E-A1CA23BEFBAC}" uniqueName="14" name="Premissa 3" queryTableFieldId="14" dataDxfId="61"/>
    <tableColumn id="15" xr3:uid="{9BC02513-F3E6-485F-8A1E-E2E6AE51B225}" uniqueName="15" name="Premissa 4" queryTableFieldId="15" dataDxfId="60"/>
    <tableColumn id="16" xr3:uid="{FFFD87E8-E939-46C1-8CDB-D81121FA9C34}" uniqueName="16" name="Premissa 5" queryTableFieldId="16" dataDxfId="59"/>
    <tableColumn id="17" xr3:uid="{DD948E96-CE36-44B7-9F1F-CC46C31BD723}" uniqueName="17" name="Premissa 6" queryTableFieldId="17" dataDxfId="58"/>
    <tableColumn id="18" xr3:uid="{67E8779A-14AA-4EC8-892D-CC09FE0D8A89}" uniqueName="18" name="Premissa 7" queryTableFieldId="18" dataDxfId="57"/>
    <tableColumn id="19" xr3:uid="{1E2AE6CD-77BD-4037-A7CF-818AA404F62C}" uniqueName="19" name="Premissa 8" queryTableFieldId="19" dataDxfId="56"/>
    <tableColumn id="20" xr3:uid="{A8AD0B5E-0BD3-4D1E-8F4E-0AC87AEC1D85}" uniqueName="20" name="Priorização" queryTableFieldId="20" dataDxfId="55"/>
    <tableColumn id="21" xr3:uid="{DD1E2F8D-3D0C-454D-9191-3374C26AB92E}" uniqueName="21" name="Criticidade" queryTableFieldId="21" dataDxfId="54"/>
    <tableColumn id="22" xr3:uid="{39B2BDCF-7029-42BE-8B60-87DD2E621DDB}" uniqueName="22" name="Observação após análise" queryTableFieldId="22" dataDxfId="5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F00080-E5C1-41E0-9542-BD4DE7DE2AAD}" name="Premissas_por_Equipamento" displayName="Premissas_por_Equipamento" ref="A1:AG131" tableType="queryTable" totalsRowShown="0">
  <autoFilter ref="A1:AG131" xr:uid="{B5F00080-E5C1-41E0-9542-BD4DE7DE2AAD}"/>
  <tableColumns count="33">
    <tableColumn id="1" xr3:uid="{1EF87124-D127-44E9-9D0B-5F69B9AB30AF}" uniqueName="1" name="Ativo" queryTableFieldId="1"/>
    <tableColumn id="4" xr3:uid="{52B535D2-9921-4F36-BBDD-0B52F66B73FF}" uniqueName="4" name="Tipo" queryTableFieldId="4"/>
    <tableColumn id="5" xr3:uid="{EB5B47BE-FFE6-4A88-9E4F-4E0BE7C9A1FE}" uniqueName="5" name="Localidade" queryTableFieldId="5" dataDxfId="52"/>
    <tableColumn id="6" xr3:uid="{2C0DB2A4-8BC4-4656-A3DF-84C2FA780C04}" uniqueName="6" name="Polo" queryTableFieldId="6" dataDxfId="51"/>
    <tableColumn id="7" xr3:uid="{E800A53D-B9D0-46C2-8E9A-35506D919202}" uniqueName="7" name="Regional" queryTableFieldId="7" dataDxfId="50"/>
    <tableColumn id="8" xr3:uid="{A9B942B7-CCF7-486F-BA36-91E1CE439437}" uniqueName="8" name="SS aberta" queryTableFieldId="8"/>
    <tableColumn id="2" xr3:uid="{63254BE1-B5F3-4866-8249-A45802DF3996}" uniqueName="2" name="Parecer COEP" queryTableFieldId="32"/>
    <tableColumn id="24" xr3:uid="{E62F12A3-E2DB-468E-AF6F-A6299D856469}" uniqueName="24" name="SS DCMD" queryTableFieldId="37"/>
    <tableColumn id="25" xr3:uid="{774A4E17-2599-4F7A-8E5C-2A8CBE5909E4}" uniqueName="25" name="Status DCMD" queryTableFieldId="38"/>
    <tableColumn id="26" xr3:uid="{25183ABB-5896-4CD7-93B7-8940F49DBCCF}" uniqueName="26" name="Previsão DCMD" queryTableFieldId="39"/>
    <tableColumn id="27" xr3:uid="{9EA6D81B-2649-45B1-B41E-70E83DC5CEEC}" uniqueName="27" name="SS Proteção" queryTableFieldId="40"/>
    <tableColumn id="28" xr3:uid="{BF644AEA-FF0C-43A0-9D7D-7FC1D3448723}" uniqueName="28" name="Status Proteção" queryTableFieldId="41"/>
    <tableColumn id="29" xr3:uid="{7E043E16-97C8-4E8A-820D-02A67173EF8D}" uniqueName="29" name="Previsão Proteção" queryTableFieldId="42"/>
    <tableColumn id="30" xr3:uid="{2302C406-C88C-4264-8D9F-5ED874992835}" uniqueName="30" name="SS DMSL" queryTableFieldId="43"/>
    <tableColumn id="31" xr3:uid="{88E9B08E-19D5-44EC-8C23-FE2987A59DE9}" uniqueName="31" name="Status DMSL" queryTableFieldId="44"/>
    <tableColumn id="32" xr3:uid="{2C6BF3D8-D79F-43E5-8CF0-9F11EBE14E9B}" uniqueName="32" name="Previsão DMSL" queryTableFieldId="45"/>
    <tableColumn id="33" xr3:uid="{A84AF189-78F9-4F97-BD8C-FE25833C5E08}" uniqueName="33" name="Status COI" queryTableFieldId="46"/>
    <tableColumn id="3" xr3:uid="{E5BB3A28-F8AF-4AB2-BA3F-234AAC5679D0}" uniqueName="3" name="Observação" queryTableFieldId="28"/>
    <tableColumn id="22" xr3:uid="{66893F11-9746-4FCD-8609-FE1D6F0E37F5}" uniqueName="22" name="Check de concluídas" queryTableFieldId="23"/>
    <tableColumn id="9" xr3:uid="{C1D1C190-0237-4893-9B8A-D360B4AE6F03}" uniqueName="9" name="Defeito identificado" queryTableFieldId="9"/>
    <tableColumn id="23" xr3:uid="{72C0757E-3B2B-4465-99F5-C25423B2EA3E}" uniqueName="23" name="Quantidade" queryTableFieldId="35"/>
    <tableColumn id="21" xr3:uid="{E63D589B-61F7-43CA-91F9-4CA72432A4E2}" uniqueName="21" name="Descrição SS" queryTableFieldId="21"/>
    <tableColumn id="10" xr3:uid="{A31D04D4-26B5-4EEE-8E88-62F14CDDDB88}" uniqueName="10" name="Premissa 1" queryTableFieldId="10"/>
    <tableColumn id="11" xr3:uid="{762E79EA-3E5B-4A46-859E-21FC6B874569}" uniqueName="11" name="Premissa 2" queryTableFieldId="11"/>
    <tableColumn id="12" xr3:uid="{FD7B2E67-56DE-4F30-8C18-AED6F7909D4C}" uniqueName="12" name="Premissa 3" queryTableFieldId="12"/>
    <tableColumn id="13" xr3:uid="{D31D86ED-8820-43AA-8EF9-67E411B6C0AC}" uniqueName="13" name="Premissa 4" queryTableFieldId="13"/>
    <tableColumn id="14" xr3:uid="{60684C5A-2AF6-4916-9139-0334B2C1941E}" uniqueName="14" name="Premissa 5" queryTableFieldId="14"/>
    <tableColumn id="15" xr3:uid="{130939B2-A203-4373-8620-4C1B473EB512}" uniqueName="15" name="Premissa 6" queryTableFieldId="15"/>
    <tableColumn id="16" xr3:uid="{BEEC70DD-6F7A-43F4-B8DE-03018578CD71}" uniqueName="16" name="Premissa 7" queryTableFieldId="16"/>
    <tableColumn id="17" xr3:uid="{C239648D-A132-4397-B968-15086974B0CA}" uniqueName="17" name="Premissa 8" queryTableFieldId="17"/>
    <tableColumn id="18" xr3:uid="{981AF409-2462-4C7E-9870-03850D1D9D63}" uniqueName="18" name="Priorização" queryTableFieldId="18"/>
    <tableColumn id="19" xr3:uid="{E83441D9-3ABD-4274-B9E2-08F42BDD4CE9}" uniqueName="19" name="Criticidade" queryTableFieldId="19" dataDxfId="49"/>
    <tableColumn id="20" xr3:uid="{FB772826-0D39-4376-A013-D09E3918B09F}" uniqueName="20" name="Observação após análise" queryTableFieldId="20" dataDxfId="4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D200EBF-61C5-4C81-A6C1-9591098D8577}" name="Concluídas" displayName="Concluídas" ref="A1:L42" tableType="queryTable" totalsRowShown="0">
  <autoFilter ref="A1:L42" xr:uid="{4D200EBF-61C5-4C81-A6C1-9591098D8577}"/>
  <tableColumns count="12">
    <tableColumn id="1" xr3:uid="{EC58944D-1C71-4BBB-AAC5-60583AA3E13A}" uniqueName="1" name="ANO_SS" queryTableFieldId="1"/>
    <tableColumn id="2" xr3:uid="{4F3BD8B4-62CD-4703-9595-DDF744CAB999}" uniqueName="2" name="SS_ORIGINAL" queryTableFieldId="2" dataDxfId="47"/>
    <tableColumn id="3" xr3:uid="{73D9E47C-B3E5-45FF-A96D-476115762DA7}" uniqueName="3" name="DESTINO_SS" queryTableFieldId="3" dataDxfId="46"/>
    <tableColumn id="4" xr3:uid="{EA61F354-1B17-42E2-9300-9AA7B6268516}" uniqueName="4" name="COD_RELIGADOR" queryTableFieldId="4"/>
    <tableColumn id="5" xr3:uid="{256C9B12-5859-4DB9-B3C8-FB84E767FA36}" uniqueName="5" name="DTA_ABERTURA" queryTableFieldId="5" dataDxfId="45"/>
    <tableColumn id="6" xr3:uid="{76841132-A1FE-42A1-8DFF-A2C8D38F1AC2}" uniqueName="6" name="DTA_CONCLUSAO" queryTableFieldId="6" dataDxfId="44"/>
    <tableColumn id="7" xr3:uid="{68088FF6-8BD0-46D5-8ADD-46549AC53DEC}" uniqueName="7" name="COD_LOC" queryTableFieldId="7"/>
    <tableColumn id="8" xr3:uid="{3B7EF0B4-A965-41BC-AA7F-D5CD55939179}" uniqueName="8" name="LOCALIDADE" queryTableFieldId="8" dataDxfId="43"/>
    <tableColumn id="9" xr3:uid="{C841F033-098E-4BC5-A925-B0F082B05CC7}" uniqueName="9" name="POLO" queryTableFieldId="9" dataDxfId="42"/>
    <tableColumn id="10" xr3:uid="{F19CB83E-FAEB-4781-B5E0-DA2398F249B4}" uniqueName="10" name="REGIONAL" queryTableFieldId="10" dataDxfId="41"/>
    <tableColumn id="11" xr3:uid="{FDE60DF8-5B3A-4A8E-BB61-E49326129E7C}" uniqueName="11" name="ALIMENTADOR" queryTableFieldId="11" dataDxfId="40"/>
    <tableColumn id="12" xr3:uid="{11EE351C-EDC9-4DF1-8522-CAD0EC1C86CE}" uniqueName="12" name="DESCRICAO" queryTableFieldId="12" dataDxfId="3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255971-C30E-427C-A20F-6A2A910E19E8}" name="Table2" displayName="Table2" ref="A1:Y130">
  <autoFilter ref="A1:Y130" xr:uid="{80B6FB4C-6219-4940-9542-6F129007473F}"/>
  <sortState xmlns:xlrd2="http://schemas.microsoft.com/office/spreadsheetml/2017/richdata2" ref="A2:Y130">
    <sortCondition ref="A1:A130"/>
  </sortState>
  <tableColumns count="25">
    <tableColumn id="1" xr3:uid="{41281F92-479C-408C-A88A-FC739D4F093E}" name="Ativo" dataDxfId="38"/>
    <tableColumn id="24" xr3:uid="{ABD92491-1697-4554-A544-7CD0BD883E70}" name="Coluna1" dataDxfId="37">
      <calculatedColumnFormula>_xlfn.XLOOKUP(Table2[[#This Row],[Ativo]],Joao!B:B,Joao!Z:Z)</calculatedColumnFormula>
    </tableColumn>
    <tableColumn id="6" xr3:uid="{99BCFC89-B69E-4DAB-829D-A1A638FE7E6B}" name="Tipo" dataDxfId="36">
      <calculatedColumnFormula>MID(Table2[[#This Row],[Ativo]],1,2)</calculatedColumnFormula>
    </tableColumn>
    <tableColumn id="12" xr3:uid="{D5F1349F-118C-4717-986E-6F7722263E79}" name="Localidade" dataDxfId="35"/>
    <tableColumn id="13" xr3:uid="{6BEDAF84-64A4-4C5E-A01E-6A454D955B63}" name="Polo" dataDxfId="34"/>
    <tableColumn id="14" xr3:uid="{49201567-5003-4959-B1DE-69F58BB94EE3}" name="Regional" dataDxfId="33"/>
    <tableColumn id="4" xr3:uid="{666DBB56-1C52-4D53-AB66-0B01F8638141}" name="SS aberta" dataDxfId="32">
      <calculatedColumnFormula>IFERROR(_xlfn.XLOOKUP(Table2[[#This Row],[Ativo]],Pendentes[COD_RELIGADOR],Pendentes[SS_ORIGINAL]),"CONCLUÍDA")</calculatedColumnFormula>
    </tableColumn>
    <tableColumn id="10" xr3:uid="{B8B07055-3AB5-4990-BD9A-F9B25DAB562F}" name="Parecer COEP" dataDxfId="31"/>
    <tableColumn id="8" xr3:uid="{C54BA805-36B5-40AA-A919-D69AB07D8D12}" name="Observação" dataDxfId="30"/>
    <tableColumn id="25" xr3:uid="{940A89AA-758A-41D4-BB3D-06DD61CA86A3}" name="Coluna2" dataDxfId="29"/>
    <tableColumn id="22" xr3:uid="{0ACC8731-FD25-4711-943D-B97EB2200663}" name="Check de concluídas" dataDxfId="28"/>
    <tableColumn id="3" xr3:uid="{0F33F7BF-AB65-4957-82D4-2C07667F0D1A}" name="Defeito identificado" dataDxfId="27"/>
    <tableColumn id="21" xr3:uid="{C8B3B76A-6261-4599-BB9B-5DA421AE265D}" name="Quantidade" dataDxfId="26"/>
    <tableColumn id="11" xr3:uid="{76C212D9-9811-46B5-8A31-AA608F8FF162}" name="Descrição SS" dataDxfId="25">
      <calculatedColumnFormula>IFERROR(_xlfn.XLOOKUP(Table2[[#This Row],[Ativo]],Pendentes[COD_RELIGADOR],Pendentes[DESCRICAO]),"")</calculatedColumnFormula>
    </tableColumn>
    <tableColumn id="5" xr3:uid="{34A57F05-BFBE-43F0-B610-405DA456D94F}" name="Premissa 1" dataDxfId="24"/>
    <tableColumn id="7" xr3:uid="{539BEA4D-FF07-4699-846D-27D0A2D0AEE0}" name="Premissa 2" dataDxfId="23"/>
    <tableColumn id="9" xr3:uid="{59B1AD89-5EB1-4EE2-BE95-47DCFCE8C956}" name="Premissa 3" dataDxfId="22"/>
    <tableColumn id="15" xr3:uid="{A1F2D3AA-DB13-47CC-8897-03766E39C03E}" name="Premissa 4" dataDxfId="21"/>
    <tableColumn id="16" xr3:uid="{F2276FE9-9C37-4DDD-844C-1DBCF3768D2B}" name="Premissa 5" dataDxfId="20"/>
    <tableColumn id="17" xr3:uid="{BE16451E-F964-428E-B416-FF42248F1E92}" name="Premissa 6" dataDxfId="19"/>
    <tableColumn id="18" xr3:uid="{CBA11534-4A10-46D4-AB3B-87FADBB04776}" name="Premissa 7" dataDxfId="18"/>
    <tableColumn id="23" xr3:uid="{3DCD93A7-EB07-4A1E-B773-D8EBB0C89106}" name="Premissa 8" dataDxfId="17"/>
    <tableColumn id="19" xr3:uid="{62D81D25-4342-4E66-B772-C85CC6749E7D}" name="Priorização" dataDxfId="16">
      <calculatedColumnFormula>SUM(Table2[[#This Row],[Premissa 1]:[Premissa 8]])</calculatedColumnFormula>
    </tableColumn>
    <tableColumn id="2" xr3:uid="{CD7FE349-74D5-496A-926C-D4FA1C9AC10B}" name="Criticidade" dataDxfId="15"/>
    <tableColumn id="20" xr3:uid="{57F338D8-D83B-429A-9C8B-3ED99A5512FF}" name="Observação após análise" dataDxf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B6FB4C-6219-4940-9542-6F129007473F}" name="Table" displayName="Table" ref="A1:AG112">
  <autoFilter ref="A1:AG112" xr:uid="{80B6FB4C-6219-4940-9542-6F129007473F}"/>
  <tableColumns count="33">
    <tableColumn id="1" xr3:uid="{D25F50E7-6BC0-4A3F-B6AE-42D706B1FE12}" name="Ativo" dataDxfId="110"/>
    <tableColumn id="6" xr3:uid="{F553B815-B9DE-460F-9151-2068646301E7}" name="Tipo" dataDxfId="109">
      <calculatedColumnFormula>MID(Table[[#This Row],[Ativo]],1,2)</calculatedColumnFormula>
    </tableColumn>
    <tableColumn id="12" xr3:uid="{8BC516DA-7737-49CE-9657-D1A8A54F9C85}" name="Localidade" dataDxfId="108"/>
    <tableColumn id="13" xr3:uid="{C8727B0E-0753-4097-B14E-EF211D9E25F1}" name="Polo" dataDxfId="107"/>
    <tableColumn id="14" xr3:uid="{191B0FB2-F81C-4A9F-ADA3-00F044CFF4DD}" name="Regional" dataDxfId="106"/>
    <tableColumn id="4" xr3:uid="{0C0E295E-0BE4-4EC8-8DD1-E8393A84DB05}" name="SS aberta" dataDxfId="105">
      <calculatedColumnFormula>IFERROR(_xlfn.XLOOKUP(Table[[#This Row],[Ativo]],Pendentes[COD_RELIGADOR],Pendentes[SS_ORIGINAL]),"CONCLUÍDA")</calculatedColumnFormula>
    </tableColumn>
    <tableColumn id="10" xr3:uid="{E71B99D2-5D7D-407C-9C3D-1B0781A5967C}" name="Parecer COEP" dataDxfId="104"/>
    <tableColumn id="29" xr3:uid="{8DDEB9F1-39F7-4142-A8A6-097956EEFB51}" name="SS DCMD" dataDxfId="103"/>
    <tableColumn id="24" xr3:uid="{6E11D3BF-759A-4180-B93F-1651D2285810}" name="Status DCMD" dataDxfId="102"/>
    <tableColumn id="27" xr3:uid="{BBEA00B1-00B6-4AFF-977D-41378C18078A}" name="Previsão DCMD" dataDxfId="101"/>
    <tableColumn id="31" xr3:uid="{64AC7368-5738-4E5E-8193-EFA20FF28CE3}" name="SS Proteção" dataDxfId="100"/>
    <tableColumn id="32" xr3:uid="{DA39CFE7-6F24-4633-B361-303BE965F7E5}" name="Status Proteção" dataDxfId="99"/>
    <tableColumn id="33" xr3:uid="{3DE3178B-5FD0-4A1F-8399-B3F203B61221}" name="Previsão Proteção" dataDxfId="98"/>
    <tableColumn id="30" xr3:uid="{F896882B-817B-4D99-8CDB-C61EA2DB2FF7}" name="SS DMSL" dataDxfId="97"/>
    <tableColumn id="25" xr3:uid="{909CF5A0-EDAA-4805-A5C6-7D0EDEF2FFC5}" name="Status DMSL" dataDxfId="96"/>
    <tableColumn id="28" xr3:uid="{CD0BE059-812E-4269-A8ED-415702F3AE42}" name="Previsão DMSL" dataDxfId="95"/>
    <tableColumn id="26" xr3:uid="{8DA45D8C-28F0-437F-8B78-68E8225A6C7C}" name="Status COI" dataDxfId="94"/>
    <tableColumn id="8" xr3:uid="{F9263CEE-C68F-4C6A-AD07-A768B37D8819}" name="Observação" dataDxfId="93"/>
    <tableColumn id="22" xr3:uid="{BC78A7D3-3FD6-4EF0-B261-4AE2AF3CD9B4}" name="Check de concluídas" dataDxfId="92"/>
    <tableColumn id="3" xr3:uid="{B30A1D85-31D5-4CD6-BF05-F6857C42F529}" name="Defeito identificado" dataDxfId="91"/>
    <tableColumn id="21" xr3:uid="{8EBA67A3-E1DE-479E-B7C4-110F2A193E06}" name="Quantidade" dataDxfId="90"/>
    <tableColumn id="11" xr3:uid="{C8D6C4AB-B6B8-4E8C-8993-53FF4E01E9ED}" name="Descrição SS" dataDxfId="89">
      <calculatedColumnFormula>IFERROR(_xlfn.XLOOKUP(Table[[#This Row],[Ativo]],Pendentes[COD_RELIGADOR],Pendentes[DESCRICAO]),"")</calculatedColumnFormula>
    </tableColumn>
    <tableColumn id="5" xr3:uid="{004E5D25-E2A6-4BA0-A9F3-21FF7D03C4A5}" name="Premissa 1" dataDxfId="88"/>
    <tableColumn id="7" xr3:uid="{6FB7DB52-DD97-4793-82E3-C7F07FD78EBB}" name="Premissa 2" dataDxfId="87"/>
    <tableColumn id="9" xr3:uid="{67B7578D-5D5D-472F-87AB-DF7F52028E4A}" name="Premissa 3" dataDxfId="86"/>
    <tableColumn id="15" xr3:uid="{D02FD7C9-1F52-4B9C-99AC-780B84E93946}" name="Premissa 4" dataDxfId="85"/>
    <tableColumn id="16" xr3:uid="{6FB3C19E-7C69-40CD-84DA-1C591E2DFD3F}" name="Premissa 5" dataDxfId="84"/>
    <tableColumn id="17" xr3:uid="{C838B824-B0ED-4C18-9269-186D01EA5058}" name="Premissa 6" dataDxfId="83"/>
    <tableColumn id="18" xr3:uid="{3A9DA255-4F54-4C13-BE37-B46992895559}" name="Premissa 7" dataDxfId="82"/>
    <tableColumn id="23" xr3:uid="{B98C81D7-ED38-4E64-95ED-2F3CF7A83BDD}" name="Premissa 8" dataDxfId="81"/>
    <tableColumn id="19" xr3:uid="{305A0E1A-4554-4E34-ADAF-0F467F9AA60B}" name="Priorização" dataDxfId="80">
      <calculatedColumnFormula>SUM(Table[[#This Row],[Premissa 1]:[Premissa 8]])</calculatedColumnFormula>
    </tableColumn>
    <tableColumn id="2" xr3:uid="{334E5566-6E77-4FE9-9606-A6EF0E33A6C7}" name="Criticidade" dataDxfId="79"/>
    <tableColumn id="20" xr3:uid="{02FADC95-AC05-4876-9E9C-086DDBB73DC4}" name="Observação após análise" dataDxfId="7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9829F4-2724-4032-9878-8C66D28E5F4E}" name="Localidades" displayName="Localidades" ref="A1:G276" tableType="queryTable" totalsRowShown="0">
  <autoFilter ref="A1:G276" xr:uid="{CC9829F4-2724-4032-9878-8C66D28E5F4E}"/>
  <tableColumns count="7">
    <tableColumn id="1" xr3:uid="{6E474941-C2B8-424D-B7A6-7ECEB050B936}" uniqueName="1" name="NumLocal" queryTableFieldId="1"/>
    <tableColumn id="2" xr3:uid="{1AEAD494-240F-46F7-BAE1-BAC2DE611B21}" uniqueName="2" name="SiglaLocal" queryTableFieldId="2" dataDxfId="13"/>
    <tableColumn id="3" xr3:uid="{B64188E1-B0BD-47A2-955A-4530562775F9}" uniqueName="3" name="NomeLocal" queryTableFieldId="3" dataDxfId="12"/>
    <tableColumn id="4" xr3:uid="{A6EE629C-314B-42DD-8E9A-130C1D9C3520}" uniqueName="4" name="SiglaPolo" queryTableFieldId="4" dataDxfId="11"/>
    <tableColumn id="5" xr3:uid="{491711E0-CDB2-4E74-BA72-FC4701C31809}" uniqueName="5" name="NomePoloDEOP" queryTableFieldId="5" dataDxfId="10"/>
    <tableColumn id="6" xr3:uid="{3A70E64F-F4EA-4FEC-AF9D-F6AD71D8AC17}" uniqueName="6" name="NomePoloDESC" queryTableFieldId="6" dataDxfId="9"/>
    <tableColumn id="7" xr3:uid="{D6C12579-1941-4E39-AD40-184B24D6171D}" uniqueName="7" name="SiglaRegional" queryTableFieldId="7"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6" dT="2026-07-27T21:55:01.48" personId="{2CA1750F-6264-42FE-A0B9-B3DEE7C271DA}" id="{6E139C2E-CDD2-4D41-B3DB-7E6D67770E02}">
    <text>Equipamento alinhado com o Jean para colocar os cabos compatibilizadores</text>
  </threadedComment>
  <threadedComment ref="H7" dT="2026-08-12T18:13:28.63" personId="{6564218A-E088-4662-9D46-DA31EA88AA31}" id="{B9554FAB-B93A-4A33-A94A-18003134722F}">
    <text>Ocorreu simultaneo era caso de furto</text>
  </threadedComment>
  <threadedComment ref="A9" dT="2026-07-22T13:16:07.28" personId="{6564218A-E088-4662-9D46-DA31EA88AA31}" id="{D708458E-3082-42BE-BA9C-FB76140F8A89}">
    <text>Equipamento alinhado com o Jean para colocar os cabos compatibilizadores , vamos só instalar o controle e o suporte</text>
  </threadedComment>
  <threadedComment ref="A16" dT="2026-07-27T23:36:35.50" personId="{2CA1750F-6264-42FE-A0B9-B3DEE7C271DA}" id="{5E0A5B36-30BA-4785-9EC7-D9E59F1B16CE}">
    <text>Equipamento não abre a tela de controle de sinais, Zenilson verificar.</text>
  </threadedComment>
  <threadedComment ref="A20" dT="2026-07-27T23:03:21.41" personId="{2CA1750F-6264-42FE-A0B9-B3DEE7C271DA}" id="{2832532F-3601-467A-AD62-C3A497EF3F2F}">
    <text>Equipamento fora de operação, baixada erroneamente pelo COCM.</text>
  </threadedComment>
  <threadedComment ref="A25" dT="2026-07-22T14:01:27.87" personId="{6564218A-E088-4662-9D46-DA31EA88AA31}" id="{59C5E8B4-950F-4728-A552-4F68E2A85566}">
    <text>Joelson vai mandar uma equipe de campo ver</text>
  </threadedComment>
  <threadedComment ref="H25" dT="2026-07-28T14:42:16.96" personId="{6564218A-E088-4662-9D46-DA31EA88AA31}" id="{C67DE103-245C-480C-AFF1-8C8083938B75}">
    <text>Conversar Com o Sandro Para Podermos mandar o e-mail para o Juridico</text>
  </threadedComment>
  <threadedComment ref="I28" dT="2026-08-12T18:25:28.95" personId="{6564218A-E088-4662-9D46-DA31EA88AA31}" id="{2058EF75-2506-49C6-943C-0BAF81E854D5}">
    <text>21/08 Se a DB Machado for pro Sul</text>
  </threadedComment>
  <threadedComment ref="A29" dT="2026-07-27T23:50:33.68" personId="{2CA1750F-6264-42FE-A0B9-B3DEE7C271DA}" id="{2A646E23-7359-4DAA-8D67-66CEB4A83557}">
    <text>Equipamento não abre a tela de controle de sinais, Zenilson verificar.</text>
  </threadedComment>
  <threadedComment ref="A39" dT="2026-07-22T13:30:56.19" personId="{6564218A-E088-4662-9D46-DA31EA88AA31}" id="{B310DD81-FDB4-4F35-8D41-78710C9E81A3}">
    <text xml:space="preserve">Foi redirecionado para priorizar o RL 7933726256 </text>
  </threadedComment>
  <threadedComment ref="A42" dT="2026-07-27T23:56:43.83" personId="{2CA1750F-6264-42FE-A0B9-B3DEE7C271DA}" id="{4B850DF9-9D81-4FD5-8455-43E1F38C3E1F}">
    <text>Paramos aqui</text>
  </threadedComment>
  <threadedComment ref="A54" dT="2026-07-27T23:09:12.51" personId="{2CA1750F-6264-42FE-A0B9-B3DEE7C271DA}" id="{9AD85768-E606-4DBC-95DD-02B1E72530BC}">
    <text>Confirmar informação de remanejamento inserida na SS.</text>
  </threadedComment>
  <threadedComment ref="I61" dT="2026-08-12T18:24:52.75" personId="{6564218A-E088-4662-9D46-DA31EA88AA31}" id="{F375E268-C2EA-4FF1-BEB3-31A2F451652F}">
    <text>22/08 Se a DB Machado for pro Sul</text>
  </threadedComment>
  <threadedComment ref="A62" dT="2026-07-27T23:15:55.74" personId="{2CA1750F-6264-42FE-A0B9-B3DEE7C271DA}" id="{CD0B1590-A453-4743-B7D1-8AF3FB367521}">
    <text>Nota baixada erroneamente pelo DMSL, aguardando retorno da Lorrane.</text>
  </threadedComment>
  <threadedComment ref="A71" dT="2026-07-14T21:25:38.69" personId="{2CA1750F-6264-42FE-A0B9-B3DEE7C271DA}" id="{535E2C4F-7CF7-4D1A-BED5-6155ADC108E2}">
    <text>Verificar com a PROT sobre os ajustes, equipamento já em operação.</text>
  </threadedComment>
  <threadedComment ref="L73" dT="2026-07-27T21:38:28.05" personId="{2CA1750F-6264-42FE-A0B9-B3DEE7C271DA}" id="{DC2E55DF-8169-487D-A11A-15E83A494C0F}">
    <text>Artech</text>
  </threadedComment>
  <threadedComment ref="L95" dT="2026-07-27T22:02:22.93" personId="{6564218A-E088-4662-9D46-DA31EA88AA31}" id="{0325A06D-7BE0-4393-AAAC-8D5E8037A023}">
    <text xml:space="preserve">Redirecionar tanque do 7955946007 </text>
  </threadedComment>
  <threadedComment ref="L95" dT="2026-08-06T12:00:31.31" personId="{6564218A-E088-4662-9D46-DA31EA88AA31}" id="{F23B7824-F26F-4FBA-81AB-708FED20DA56}" parentId="{0325A06D-7BE0-4393-AAAC-8D5E8037A023}">
    <text>7955520116 - Redirecionar para esse</text>
  </threadedComment>
  <threadedComment ref="A102" dT="2026-07-27T22:28:43.17" personId="{2CA1750F-6264-42FE-A0B9-B3DEE7C271DA}" id="{1E8F91FD-46BF-4C84-BBB2-1D5735B92A8E}">
    <text>Nota baixada erroneamente pelo DMSL, aguardando retorno da Lorrane.</text>
  </threadedComment>
  <threadedComment ref="A106" dT="2026-07-14T21:28:50.48" personId="{2CA1750F-6264-42FE-A0B9-B3DEE7C271DA}" id="{15EA5A79-A9E3-4B39-958F-C93A8E6CC1DA}">
    <text>Equipamento em operação, necessário confirmar com o COCM Palmas</text>
  </threadedComment>
  <threadedComment ref="L110" dT="2026-07-27T22:44:52.90" personId="{6564218A-E088-4662-9D46-DA31EA88AA31}" id="{2AF65545-6B4E-4DD7-9198-31E0C1B096EA}">
    <text>Tanque de Caseara e o Controle do Estoque Sono</text>
  </threadedComment>
  <threadedComment ref="H113" dT="2026-07-27T22:56:48.83" personId="{6564218A-E088-4662-9D46-DA31EA88AA31}" id="{255CB460-5F6C-4BF8-8027-E4F6AD6F6B58}">
    <text>Tenho um Controle ou consigo reaproveitar o tanque em outro, dependendo da criticidade</text>
  </threadedComment>
  <threadedComment ref="A130" dT="2026-07-14T21:45:49.00" personId="{2CA1750F-6264-42FE-A0B9-B3DEE7C271DA}" id="{D704E761-0AD8-4A99-B919-33F6BAC9A363}">
    <text>Linha viva substituiu a CH danificada, confirmar com o Zenilson se esta em operação.</text>
  </threadedComment>
</ThreadedComments>
</file>

<file path=xl/threadedComments/threadedComment2.xml><?xml version="1.0" encoding="utf-8"?>
<ThreadedComments xmlns="http://schemas.microsoft.com/office/spreadsheetml/2018/threadedcomments" xmlns:x="http://schemas.openxmlformats.org/spreadsheetml/2006/main">
  <threadedComment ref="F3" dT="2026-08-20T19:04:34.77" personId="{6564218A-E088-4662-9D46-DA31EA88AA31}" id="{1B0F795D-3058-4FFA-9ECB-DE8BDEA03539}">
    <text>ETO-PROT</text>
  </threadedComment>
  <threadedComment ref="A4" dT="2026-07-22T13:16:07.28" personId="{6564218A-E088-4662-9D46-DA31EA88AA31}" id="{FA3BD34B-2A07-467F-8B11-22E1D1AB5C33}">
    <text>Equipamento alinhado com o Jean para colocar os cabos compatibilizadores , vamos só instalar o controle e o suporte</text>
  </threadedComment>
  <threadedComment ref="F4" dT="2026-08-20T19:05:04.37" personId="{6564218A-E088-4662-9D46-DA31EA88AA31}" id="{09E9CC8C-1E39-4639-B284-6A088BD46121}">
    <text>ETO-TELE 1037/2026</text>
  </threadedComment>
  <threadedComment ref="T6" dT="2026-07-27T21:38:28.05" personId="{2CA1750F-6264-42FE-A0B9-B3DEE7C271DA}" id="{15DCDDF5-AEE2-4B96-AD0E-11D15B25A282}">
    <text>Artech</text>
  </threadedComment>
  <threadedComment ref="T7" dT="2026-07-27T22:02:22.93" personId="{6564218A-E088-4662-9D46-DA31EA88AA31}" id="{6D07E0F6-4DF0-4ADE-9949-3A718B5AFBAE}">
    <text xml:space="preserve">Redirecionar tanque do 7955946007 </text>
  </threadedComment>
  <threadedComment ref="T7" dT="2026-08-06T12:00:31.31" personId="{6564218A-E088-4662-9D46-DA31EA88AA31}" id="{CE76CAA6-9D87-4EE9-8EE0-32F6BD44FD99}" parentId="{6D07E0F6-4DF0-4ADE-9949-3A718B5AFBAE}">
    <text>7955520116 - Redirecionar para esse</text>
  </threadedComment>
  <threadedComment ref="T10" dT="2026-07-27T22:44:52.90" personId="{6564218A-E088-4662-9D46-DA31EA88AA31}" id="{D5B2FBD9-7E55-4394-8714-701EBCC35144}">
    <text>Tanque de Caseara e o Controle do Estoque Sono</text>
  </threadedComment>
  <threadedComment ref="R11" dT="2026-08-12T18:25:28.95" personId="{6564218A-E088-4662-9D46-DA31EA88AA31}" id="{B1C788A8-7A79-44EE-A54B-CBC5AFDBD9F4}">
    <text>21/08 Se a DB Machado for pro Sul</text>
  </threadedComment>
  <threadedComment ref="R16" dT="2026-08-12T18:24:52.75" personId="{6564218A-E088-4662-9D46-DA31EA88AA31}" id="{92D052E1-98AB-486D-9A79-11DA2A2DACF3}">
    <text>22/08 Se a DB Machado for pro Sul</text>
  </threadedComment>
  <threadedComment ref="A26" dT="2026-07-22T13:30:56.19" personId="{6564218A-E088-4662-9D46-DA31EA88AA31}" id="{E8206474-6697-48E9-A31E-69138945C5CA}">
    <text xml:space="preserve">Foi redirecionado para priorizar o RL 7933726256 </text>
  </threadedComment>
  <threadedComment ref="A34" dT="2026-07-27T21:55:01.48" personId="{2CA1750F-6264-42FE-A0B9-B3DEE7C271DA}" id="{0041C59C-F9F9-4C83-993D-D122C9399368}">
    <text>Equipamento alinhado com o Jean para colocar os cabos compatibilizadores</text>
  </threadedComment>
  <threadedComment ref="A39" dT="2026-07-22T14:01:27.87" personId="{6564218A-E088-4662-9D46-DA31EA88AA31}" id="{72850F46-6F99-4AE9-AA9C-0D35C56ACC60}">
    <text>Joelson vai mandar uma equipe de campo ver</text>
  </threadedComment>
  <threadedComment ref="G39" dT="2026-07-28T14:42:16.96" personId="{6564218A-E088-4662-9D46-DA31EA88AA31}" id="{390B3EE9-C964-4BBF-8A8C-EF83FE61AE2A}">
    <text>Conversar Com o Sandro Para Podermos mandar o e-mail para o Juridico</text>
  </threadedComment>
  <threadedComment ref="G44" dT="2026-08-12T18:13:28.63" personId="{6564218A-E088-4662-9D46-DA31EA88AA31}" id="{824C3832-6F9A-4886-A556-58C556E545B8}">
    <text>Ocorreu simultaneo era caso de furto</text>
  </threadedComment>
  <threadedComment ref="A56" dT="2026-07-27T22:28:43.17" personId="{2CA1750F-6264-42FE-A0B9-B3DEE7C271DA}" id="{9EFFF02E-E71A-4EAA-B7B0-BDEC52ED4DEF}">
    <text>Nota baixada erroneamente pelo DMSL, aguardando retorno da Lorrane.</text>
  </threadedComment>
  <threadedComment ref="A67" dT="2026-07-14T21:25:38.69" personId="{2CA1750F-6264-42FE-A0B9-B3DEE7C271DA}" id="{08741313-3F60-4F2B-856E-7E8FFB04A879}">
    <text>Verificar com a PROT sobre os ajustes, equipamento já em operação.</text>
  </threadedComment>
  <threadedComment ref="A71" dT="2026-07-14T21:28:50.48" personId="{2CA1750F-6264-42FE-A0B9-B3DEE7C271DA}" id="{A5CAD942-B372-4B9A-8A2D-F37251F74BF3}">
    <text>Equipamento em operação, necessário confirmar com o COCM Palmas</text>
  </threadedComment>
  <threadedComment ref="A74" dT="2026-07-14T21:45:49.00" personId="{2CA1750F-6264-42FE-A0B9-B3DEE7C271DA}" id="{272641DD-DFB7-4672-8214-D86F06479939}">
    <text>Linha viva substituiu a CH danificada, confirmar com o Zenilson se esta em operação.</text>
  </threadedComment>
  <threadedComment ref="A79" dT="2026-07-27T23:03:21.41" personId="{2CA1750F-6264-42FE-A0B9-B3DEE7C271DA}" id="{6F55BA77-480E-40E4-B08D-D74D81B7284E}">
    <text>Equipamento fora de operação, baixada erroneamente pelo COCM.</text>
  </threadedComment>
  <threadedComment ref="A82" dT="2026-07-27T23:09:12.51" personId="{2CA1750F-6264-42FE-A0B9-B3DEE7C271DA}" id="{D0D64B82-4998-4C28-9AD4-CD7B13F39588}">
    <text>Confirmar informação de remanejamento inserida na SS.</text>
  </threadedComment>
  <threadedComment ref="A93" dT="2026-07-27T23:15:55.74" personId="{2CA1750F-6264-42FE-A0B9-B3DEE7C271DA}" id="{60FB343E-7068-4516-969E-F4791E8E04F1}">
    <text>Nota baixada erroneamente pelo DMSL, aguardando retorno da Lorrane.</text>
  </threadedComment>
  <threadedComment ref="A97" dT="2026-07-27T23:36:35.50" personId="{2CA1750F-6264-42FE-A0B9-B3DEE7C271DA}" id="{715334F1-1F6D-435D-BF76-109CE1206DB1}">
    <text>Equipamento não abre a tela de controle de sinais, Zenilson verificar.</text>
  </threadedComment>
  <threadedComment ref="A102" dT="2026-07-27T23:50:33.68" personId="{2CA1750F-6264-42FE-A0B9-B3DEE7C271DA}" id="{C907F8D6-B9B1-4147-8FED-064820BD0B3A}">
    <text>Equipamento não abre a tela de controle de sinais, Zenilson verificar.</text>
  </threadedComment>
  <threadedComment ref="A104" dT="2026-07-27T23:56:43.83" personId="{2CA1750F-6264-42FE-A0B9-B3DEE7C271DA}" id="{E94CBFE0-6B9E-4BC2-A75F-87CF5CC98DEC}">
    <text>Paramos aqui</text>
  </threadedComment>
</ThreadedComments>
</file>

<file path=xl/threadedComments/threadedComment3.xml><?xml version="1.0" encoding="utf-8"?>
<ThreadedComments xmlns="http://schemas.microsoft.com/office/spreadsheetml/2018/threadedcomments" xmlns:x="http://schemas.openxmlformats.org/spreadsheetml/2006/main">
  <threadedComment ref="B14" dT="2026-07-14T12:38:16.26" personId="{6564218A-E088-4662-9D46-DA31EA88AA31}" id="{DF772875-8A42-4BAA-AFB3-6FFE8C3AB7EB}">
    <text>02125725</text>
  </threadedComment>
  <threadedComment ref="B14" dT="2026-07-14T12:39:20.52" personId="{6564218A-E088-4662-9D46-DA31EA88AA31}" id="{CD896CBC-1525-436C-8026-C062672FC966}" parentId="{DF772875-8A42-4BAA-AFB3-6FFE8C3AB7EB}">
    <text>17/07/2026</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A2749-7BE0-4C81-B8F8-EE7E6B411119}">
  <dimension ref="A1:J10"/>
  <sheetViews>
    <sheetView workbookViewId="0">
      <selection activeCell="F13" sqref="F13"/>
    </sheetView>
  </sheetViews>
  <sheetFormatPr defaultRowHeight="15" x14ac:dyDescent="0.25"/>
  <cols>
    <col min="1" max="1" width="13.85546875" bestFit="1" customWidth="1"/>
    <col min="2" max="2" width="15.5703125" bestFit="1" customWidth="1"/>
    <col min="3" max="3" width="3.28515625" bestFit="1" customWidth="1"/>
    <col min="4" max="4" width="11" bestFit="1" customWidth="1"/>
    <col min="5" max="5" width="10.7109375" customWidth="1"/>
    <col min="6" max="6" width="25.7109375" customWidth="1"/>
    <col min="7" max="9" width="10.7109375" customWidth="1"/>
  </cols>
  <sheetData>
    <row r="1" spans="1:10" x14ac:dyDescent="0.25">
      <c r="A1" s="13" t="s">
        <v>0</v>
      </c>
      <c r="B1" t="s">
        <v>1</v>
      </c>
      <c r="F1" s="133" t="s">
        <v>2</v>
      </c>
      <c r="G1" s="130" t="s">
        <v>3</v>
      </c>
      <c r="H1" s="130"/>
      <c r="I1" s="131" t="s">
        <v>4</v>
      </c>
    </row>
    <row r="2" spans="1:10" x14ac:dyDescent="0.25">
      <c r="F2" s="134"/>
      <c r="G2" s="14" t="s">
        <v>5</v>
      </c>
      <c r="H2" s="19" t="s">
        <v>6</v>
      </c>
      <c r="I2" s="132"/>
      <c r="J2" s="20"/>
    </row>
    <row r="3" spans="1:10" x14ac:dyDescent="0.25">
      <c r="A3" s="13" t="s">
        <v>7</v>
      </c>
      <c r="B3" s="13" t="s">
        <v>8</v>
      </c>
      <c r="F3" s="15" t="s">
        <v>9</v>
      </c>
      <c r="G3" s="23">
        <v>9</v>
      </c>
      <c r="H3" s="23">
        <v>2</v>
      </c>
      <c r="I3" s="23">
        <f>SUM(G3:H3)</f>
        <v>11</v>
      </c>
      <c r="J3" s="20"/>
    </row>
    <row r="4" spans="1:10" x14ac:dyDescent="0.25">
      <c r="A4" s="13" t="s">
        <v>2</v>
      </c>
      <c r="B4" t="s">
        <v>10</v>
      </c>
      <c r="C4" t="s">
        <v>11</v>
      </c>
      <c r="D4" t="s">
        <v>12</v>
      </c>
      <c r="F4" s="16" t="s">
        <v>13</v>
      </c>
      <c r="G4" s="24">
        <v>9</v>
      </c>
      <c r="H4" s="24">
        <v>3</v>
      </c>
      <c r="I4" s="24">
        <f t="shared" ref="I4:I7" si="0">SUM(G4:H4)</f>
        <v>12</v>
      </c>
    </row>
    <row r="5" spans="1:10" x14ac:dyDescent="0.25">
      <c r="A5" s="10" t="s">
        <v>9</v>
      </c>
      <c r="B5">
        <v>3</v>
      </c>
      <c r="C5">
        <v>11</v>
      </c>
      <c r="D5">
        <v>14</v>
      </c>
      <c r="F5" s="16" t="s">
        <v>14</v>
      </c>
      <c r="G5" s="25">
        <v>9</v>
      </c>
      <c r="H5" s="25">
        <v>4</v>
      </c>
      <c r="I5" s="25">
        <f t="shared" si="0"/>
        <v>13</v>
      </c>
    </row>
    <row r="6" spans="1:10" x14ac:dyDescent="0.25">
      <c r="A6" s="10" t="s">
        <v>13</v>
      </c>
      <c r="B6">
        <v>3</v>
      </c>
      <c r="C6">
        <v>6</v>
      </c>
      <c r="D6">
        <v>9</v>
      </c>
      <c r="F6" s="16" t="s">
        <v>15</v>
      </c>
      <c r="G6" s="25">
        <v>9</v>
      </c>
      <c r="H6" s="25">
        <v>5</v>
      </c>
      <c r="I6" s="25">
        <f t="shared" si="0"/>
        <v>14</v>
      </c>
    </row>
    <row r="7" spans="1:10" x14ac:dyDescent="0.25">
      <c r="A7" s="10" t="s">
        <v>14</v>
      </c>
      <c r="B7">
        <v>5</v>
      </c>
      <c r="C7">
        <v>10</v>
      </c>
      <c r="D7">
        <v>15</v>
      </c>
      <c r="F7" s="16" t="s">
        <v>16</v>
      </c>
      <c r="G7" s="26">
        <v>28</v>
      </c>
      <c r="H7" s="26">
        <v>9</v>
      </c>
      <c r="I7" s="26">
        <f t="shared" si="0"/>
        <v>37</v>
      </c>
    </row>
    <row r="8" spans="1:10" x14ac:dyDescent="0.25">
      <c r="A8" s="10" t="s">
        <v>15</v>
      </c>
      <c r="B8">
        <v>4</v>
      </c>
      <c r="C8">
        <v>11</v>
      </c>
      <c r="D8">
        <v>15</v>
      </c>
      <c r="F8" s="18" t="s">
        <v>12</v>
      </c>
      <c r="G8" s="17">
        <v>64</v>
      </c>
      <c r="H8" s="21">
        <v>23</v>
      </c>
      <c r="I8" s="22">
        <f>SUM(I3:I7)</f>
        <v>87</v>
      </c>
    </row>
    <row r="9" spans="1:10" x14ac:dyDescent="0.25">
      <c r="A9" s="10" t="s">
        <v>16</v>
      </c>
      <c r="C9">
        <v>2</v>
      </c>
      <c r="D9">
        <v>2</v>
      </c>
      <c r="J9" s="20"/>
    </row>
    <row r="10" spans="1:10" x14ac:dyDescent="0.25">
      <c r="A10" s="10" t="s">
        <v>12</v>
      </c>
      <c r="B10">
        <v>15</v>
      </c>
      <c r="C10">
        <v>40</v>
      </c>
      <c r="D10">
        <v>55</v>
      </c>
    </row>
  </sheetData>
  <mergeCells count="3">
    <mergeCell ref="G1:H1"/>
    <mergeCell ref="I1:I2"/>
    <mergeCell ref="F1:F2"/>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B1DD6-9784-4ED5-893C-BEFA26B59293}">
  <dimension ref="A1:W94"/>
  <sheetViews>
    <sheetView topLeftCell="A94" workbookViewId="0">
      <selection activeCell="D2" sqref="D2:D94"/>
    </sheetView>
  </sheetViews>
  <sheetFormatPr defaultRowHeight="15" x14ac:dyDescent="0.25"/>
  <cols>
    <col min="1" max="1" width="12.7109375" style="4" bestFit="1" customWidth="1"/>
    <col min="2" max="2" width="15.28515625" style="4" bestFit="1" customWidth="1"/>
    <col min="3" max="3" width="16.28515625" style="4" bestFit="1" customWidth="1"/>
    <col min="4" max="4" width="20.7109375" style="4" bestFit="1" customWidth="1"/>
    <col min="5" max="5" width="7.42578125" style="4" bestFit="1" customWidth="1"/>
    <col min="6" max="6" width="19.7109375" style="4" bestFit="1" customWidth="1"/>
    <col min="7" max="7" width="13.85546875" style="4" bestFit="1" customWidth="1"/>
    <col min="8" max="8" width="29.140625" style="4" bestFit="1" customWidth="1"/>
    <col min="9" max="9" width="25.140625" style="4" bestFit="1" customWidth="1"/>
    <col min="10" max="10" width="14.7109375" style="4" bestFit="1" customWidth="1"/>
    <col min="11" max="11" width="18.85546875" style="10" bestFit="1" customWidth="1"/>
    <col min="12" max="12" width="81.140625" style="4" bestFit="1" customWidth="1"/>
    <col min="13" max="20" width="15" style="4" bestFit="1" customWidth="1"/>
    <col min="21" max="21" width="15.28515625" style="4" bestFit="1" customWidth="1"/>
    <col min="22" max="22" width="15.140625" style="4" bestFit="1" customWidth="1"/>
    <col min="23" max="23" width="81.140625" style="4" customWidth="1"/>
    <col min="24" max="16384" width="9.140625" style="4"/>
  </cols>
  <sheetData>
    <row r="1" spans="1:23" s="5" customFormat="1" x14ac:dyDescent="0.25">
      <c r="A1" s="5" t="s">
        <v>17</v>
      </c>
      <c r="B1" s="5" t="s">
        <v>18</v>
      </c>
      <c r="C1" s="5" t="s">
        <v>0</v>
      </c>
      <c r="D1" s="5" t="s">
        <v>19</v>
      </c>
      <c r="E1" t="s">
        <v>20</v>
      </c>
      <c r="F1" s="5" t="s">
        <v>21</v>
      </c>
      <c r="G1" s="5" t="s">
        <v>22</v>
      </c>
      <c r="H1" s="5" t="s">
        <v>23</v>
      </c>
      <c r="I1" s="5" t="s">
        <v>24</v>
      </c>
      <c r="J1" s="5" t="s">
        <v>25</v>
      </c>
      <c r="K1" s="5" t="s">
        <v>26</v>
      </c>
      <c r="L1" s="5" t="s">
        <v>27</v>
      </c>
      <c r="M1" s="5" t="s">
        <v>28</v>
      </c>
      <c r="N1" s="5" t="s">
        <v>29</v>
      </c>
      <c r="O1" s="5" t="s">
        <v>30</v>
      </c>
      <c r="P1" s="5" t="s">
        <v>31</v>
      </c>
      <c r="Q1" s="5" t="s">
        <v>32</v>
      </c>
      <c r="R1" s="5" t="s">
        <v>33</v>
      </c>
      <c r="S1" s="5" t="s">
        <v>34</v>
      </c>
      <c r="T1" s="5" t="s">
        <v>35</v>
      </c>
      <c r="U1" s="5" t="s">
        <v>36</v>
      </c>
      <c r="V1" s="5" t="s">
        <v>2</v>
      </c>
      <c r="W1" s="5" t="s">
        <v>37</v>
      </c>
    </row>
    <row r="2" spans="1:23" ht="195" x14ac:dyDescent="0.25">
      <c r="A2" s="4">
        <v>2026</v>
      </c>
      <c r="B2" s="4" t="s">
        <v>38</v>
      </c>
      <c r="C2" s="4" t="s">
        <v>39</v>
      </c>
      <c r="D2" s="4">
        <v>5856070091</v>
      </c>
      <c r="E2" t="s">
        <v>10</v>
      </c>
      <c r="F2" s="9">
        <v>46230</v>
      </c>
      <c r="G2" s="4">
        <v>91</v>
      </c>
      <c r="H2" s="4" t="s">
        <v>40</v>
      </c>
      <c r="I2" s="4" t="s">
        <v>41</v>
      </c>
      <c r="J2" s="4" t="s">
        <v>42</v>
      </c>
      <c r="K2" s="4" t="s">
        <v>43</v>
      </c>
      <c r="L2" s="42" t="s">
        <v>44</v>
      </c>
      <c r="M2" s="4">
        <v>40</v>
      </c>
      <c r="N2" s="4">
        <v>20</v>
      </c>
      <c r="O2" s="4">
        <v>20</v>
      </c>
      <c r="P2" s="4">
        <v>20</v>
      </c>
      <c r="Q2" s="4">
        <v>0</v>
      </c>
      <c r="R2" s="4" t="s">
        <v>45</v>
      </c>
      <c r="S2" s="4" t="s">
        <v>45</v>
      </c>
      <c r="T2" s="4" t="s">
        <v>45</v>
      </c>
      <c r="U2" s="4">
        <v>100</v>
      </c>
      <c r="V2" s="4" t="s">
        <v>9</v>
      </c>
      <c r="W2" s="4" t="s">
        <v>46</v>
      </c>
    </row>
    <row r="3" spans="1:23" ht="165" x14ac:dyDescent="0.25">
      <c r="A3" s="4">
        <v>2026</v>
      </c>
      <c r="B3" s="4" t="s">
        <v>47</v>
      </c>
      <c r="C3" s="4" t="s">
        <v>48</v>
      </c>
      <c r="D3" s="4">
        <v>5854566043</v>
      </c>
      <c r="E3" t="s">
        <v>10</v>
      </c>
      <c r="F3" s="9">
        <v>46231</v>
      </c>
      <c r="G3" s="4">
        <v>43</v>
      </c>
      <c r="H3" s="4" t="s">
        <v>49</v>
      </c>
      <c r="I3" s="4" t="s">
        <v>50</v>
      </c>
      <c r="J3" s="4" t="s">
        <v>51</v>
      </c>
      <c r="K3" s="4" t="s">
        <v>52</v>
      </c>
      <c r="L3" s="42" t="s">
        <v>53</v>
      </c>
      <c r="M3" s="4">
        <v>40</v>
      </c>
      <c r="N3" s="4">
        <v>20</v>
      </c>
      <c r="O3" s="4">
        <v>20</v>
      </c>
      <c r="P3" s="4">
        <v>10</v>
      </c>
      <c r="Q3" s="4">
        <v>20</v>
      </c>
      <c r="R3" s="4" t="s">
        <v>45</v>
      </c>
      <c r="S3" s="4" t="s">
        <v>45</v>
      </c>
      <c r="T3" s="4" t="s">
        <v>45</v>
      </c>
      <c r="U3" s="4">
        <v>110</v>
      </c>
      <c r="V3" s="4" t="s">
        <v>9</v>
      </c>
      <c r="W3" s="4" t="s">
        <v>54</v>
      </c>
    </row>
    <row r="4" spans="1:23" ht="60" x14ac:dyDescent="0.25">
      <c r="A4" s="4">
        <v>2026</v>
      </c>
      <c r="B4" s="4" t="s">
        <v>55</v>
      </c>
      <c r="C4" s="4" t="s">
        <v>56</v>
      </c>
      <c r="D4" s="4">
        <v>7928564039</v>
      </c>
      <c r="E4" t="s">
        <v>11</v>
      </c>
      <c r="F4" s="9">
        <v>46210</v>
      </c>
      <c r="G4" s="4">
        <v>39</v>
      </c>
      <c r="H4" s="4" t="s">
        <v>57</v>
      </c>
      <c r="I4" s="4" t="s">
        <v>58</v>
      </c>
      <c r="J4" s="4" t="s">
        <v>59</v>
      </c>
      <c r="K4" s="4" t="s">
        <v>60</v>
      </c>
      <c r="L4" s="42" t="s">
        <v>61</v>
      </c>
      <c r="M4" s="4">
        <v>5</v>
      </c>
      <c r="N4" s="4">
        <v>10</v>
      </c>
      <c r="O4" s="4">
        <v>5</v>
      </c>
      <c r="P4" s="4">
        <v>0</v>
      </c>
      <c r="Q4" s="4">
        <v>0</v>
      </c>
      <c r="R4" s="4">
        <v>10</v>
      </c>
      <c r="S4" s="4">
        <v>0</v>
      </c>
      <c r="T4" s="4">
        <v>0</v>
      </c>
      <c r="U4" s="4">
        <v>30</v>
      </c>
      <c r="V4" s="4" t="s">
        <v>14</v>
      </c>
      <c r="W4" s="4" t="s">
        <v>62</v>
      </c>
    </row>
    <row r="5" spans="1:23" ht="75" x14ac:dyDescent="0.25">
      <c r="A5" s="4">
        <v>2026</v>
      </c>
      <c r="B5" s="4" t="s">
        <v>63</v>
      </c>
      <c r="C5" s="4" t="s">
        <v>39</v>
      </c>
      <c r="D5" s="4">
        <v>7908705049</v>
      </c>
      <c r="E5" t="s">
        <v>11</v>
      </c>
      <c r="F5" s="9">
        <v>46209</v>
      </c>
      <c r="G5" s="4">
        <v>49</v>
      </c>
      <c r="H5" s="4" t="s">
        <v>64</v>
      </c>
      <c r="I5" s="4" t="s">
        <v>41</v>
      </c>
      <c r="J5" s="4" t="s">
        <v>42</v>
      </c>
      <c r="K5" s="4" t="s">
        <v>65</v>
      </c>
      <c r="L5" s="42" t="s">
        <v>66</v>
      </c>
      <c r="M5" s="4">
        <v>15</v>
      </c>
      <c r="N5" s="4">
        <v>20</v>
      </c>
      <c r="O5" s="4">
        <v>5</v>
      </c>
      <c r="P5" s="4">
        <v>15</v>
      </c>
      <c r="Q5" s="4">
        <v>15</v>
      </c>
      <c r="R5" s="4">
        <v>0</v>
      </c>
      <c r="S5" s="4">
        <v>10</v>
      </c>
      <c r="T5" s="4">
        <v>15</v>
      </c>
      <c r="U5" s="4">
        <v>95</v>
      </c>
      <c r="V5" s="4" t="s">
        <v>9</v>
      </c>
      <c r="W5" s="4" t="s">
        <v>67</v>
      </c>
    </row>
    <row r="6" spans="1:23" ht="30" x14ac:dyDescent="0.25">
      <c r="A6" s="4">
        <v>2026</v>
      </c>
      <c r="B6" s="4" t="s">
        <v>68</v>
      </c>
      <c r="C6" s="4" t="s">
        <v>56</v>
      </c>
      <c r="D6" s="4">
        <v>7923673004</v>
      </c>
      <c r="E6" t="s">
        <v>11</v>
      </c>
      <c r="F6" s="9">
        <v>46210</v>
      </c>
      <c r="G6" s="4">
        <v>4</v>
      </c>
      <c r="H6" s="4" t="s">
        <v>69</v>
      </c>
      <c r="I6" s="4" t="s">
        <v>69</v>
      </c>
      <c r="J6" s="4" t="s">
        <v>59</v>
      </c>
      <c r="K6" s="4" t="s">
        <v>70</v>
      </c>
      <c r="L6" s="42" t="s">
        <v>71</v>
      </c>
      <c r="M6" s="4">
        <v>15</v>
      </c>
      <c r="N6" s="4">
        <v>20</v>
      </c>
      <c r="O6" s="4">
        <v>15</v>
      </c>
      <c r="P6" s="4">
        <v>15</v>
      </c>
      <c r="Q6" s="4">
        <v>15</v>
      </c>
      <c r="R6" s="4">
        <v>10</v>
      </c>
      <c r="S6" s="4">
        <v>0</v>
      </c>
      <c r="T6" s="4">
        <v>15</v>
      </c>
      <c r="U6" s="4">
        <v>105</v>
      </c>
      <c r="V6" s="4" t="s">
        <v>9</v>
      </c>
      <c r="W6" s="4" t="s">
        <v>72</v>
      </c>
    </row>
    <row r="7" spans="1:23" ht="75" x14ac:dyDescent="0.25">
      <c r="A7" s="4">
        <v>2026</v>
      </c>
      <c r="B7" s="4" t="s">
        <v>73</v>
      </c>
      <c r="C7" s="4" t="s">
        <v>56</v>
      </c>
      <c r="D7" s="4">
        <v>7931608059</v>
      </c>
      <c r="E7" t="s">
        <v>11</v>
      </c>
      <c r="F7" s="9">
        <v>46077</v>
      </c>
      <c r="G7" s="4">
        <v>59</v>
      </c>
      <c r="H7" s="4" t="s">
        <v>74</v>
      </c>
      <c r="I7" s="4" t="s">
        <v>74</v>
      </c>
      <c r="J7" s="4" t="s">
        <v>51</v>
      </c>
      <c r="K7" s="4" t="s">
        <v>75</v>
      </c>
      <c r="L7" s="42" t="s">
        <v>76</v>
      </c>
      <c r="M7" s="4">
        <v>15</v>
      </c>
      <c r="N7" s="4">
        <v>20</v>
      </c>
      <c r="O7" s="4">
        <v>15</v>
      </c>
      <c r="P7" s="4">
        <v>15</v>
      </c>
      <c r="Q7" s="4">
        <v>15</v>
      </c>
      <c r="R7" s="4">
        <v>10</v>
      </c>
      <c r="S7" s="4">
        <v>0</v>
      </c>
      <c r="T7" s="4">
        <v>15</v>
      </c>
      <c r="U7" s="4">
        <v>105</v>
      </c>
      <c r="V7" s="4" t="s">
        <v>9</v>
      </c>
      <c r="W7" s="4" t="s">
        <v>77</v>
      </c>
    </row>
    <row r="8" spans="1:23" ht="60" x14ac:dyDescent="0.25">
      <c r="A8" s="4">
        <v>2025</v>
      </c>
      <c r="B8" s="4" t="s">
        <v>78</v>
      </c>
      <c r="C8" s="4" t="s">
        <v>56</v>
      </c>
      <c r="D8" s="4">
        <v>7903112004</v>
      </c>
      <c r="E8" t="s">
        <v>11</v>
      </c>
      <c r="F8" s="9">
        <v>45903</v>
      </c>
      <c r="G8" s="4">
        <v>4</v>
      </c>
      <c r="H8" s="4" t="s">
        <v>69</v>
      </c>
      <c r="I8" s="4" t="s">
        <v>69</v>
      </c>
      <c r="J8" s="4" t="s">
        <v>59</v>
      </c>
      <c r="K8" s="4" t="s">
        <v>79</v>
      </c>
      <c r="L8" s="42" t="s">
        <v>80</v>
      </c>
      <c r="M8" s="4">
        <v>15</v>
      </c>
      <c r="N8" s="4">
        <v>10</v>
      </c>
      <c r="O8" s="4">
        <v>5</v>
      </c>
      <c r="P8" s="4">
        <v>15</v>
      </c>
      <c r="Q8" s="4">
        <v>0</v>
      </c>
      <c r="R8" s="4">
        <v>10</v>
      </c>
      <c r="S8" s="4">
        <v>0</v>
      </c>
      <c r="T8" s="4">
        <v>0</v>
      </c>
      <c r="U8" s="4">
        <v>55</v>
      </c>
      <c r="V8" s="4" t="s">
        <v>13</v>
      </c>
      <c r="W8" s="4" t="s">
        <v>81</v>
      </c>
    </row>
    <row r="9" spans="1:23" ht="45" x14ac:dyDescent="0.25">
      <c r="A9" s="4">
        <v>2026</v>
      </c>
      <c r="B9" s="4" t="s">
        <v>82</v>
      </c>
      <c r="C9" s="4" t="s">
        <v>56</v>
      </c>
      <c r="D9" s="4">
        <v>7903569004</v>
      </c>
      <c r="E9" t="s">
        <v>11</v>
      </c>
      <c r="F9" s="9">
        <v>46223</v>
      </c>
      <c r="G9" s="4">
        <v>4</v>
      </c>
      <c r="H9" s="4" t="s">
        <v>69</v>
      </c>
      <c r="I9" s="4" t="s">
        <v>69</v>
      </c>
      <c r="J9" s="4" t="s">
        <v>59</v>
      </c>
      <c r="K9" s="4" t="s">
        <v>83</v>
      </c>
      <c r="L9" s="42" t="s">
        <v>84</v>
      </c>
      <c r="M9" s="4">
        <v>15</v>
      </c>
      <c r="N9" s="4">
        <v>20</v>
      </c>
      <c r="O9" s="4">
        <v>5</v>
      </c>
      <c r="P9" s="4">
        <v>15</v>
      </c>
      <c r="Q9" s="4">
        <v>15</v>
      </c>
      <c r="R9" s="4">
        <v>10</v>
      </c>
      <c r="S9" s="4">
        <v>0</v>
      </c>
      <c r="T9" s="4">
        <v>15</v>
      </c>
      <c r="U9" s="4">
        <v>95</v>
      </c>
      <c r="V9" s="4" t="s">
        <v>9</v>
      </c>
      <c r="W9" s="4" t="s">
        <v>85</v>
      </c>
    </row>
    <row r="10" spans="1:23" ht="75" x14ac:dyDescent="0.25">
      <c r="A10" s="4">
        <v>2026</v>
      </c>
      <c r="B10" s="4" t="s">
        <v>86</v>
      </c>
      <c r="C10" s="4" t="s">
        <v>56</v>
      </c>
      <c r="D10" s="4">
        <v>7947203070</v>
      </c>
      <c r="E10" t="s">
        <v>11</v>
      </c>
      <c r="F10" s="9">
        <v>46211</v>
      </c>
      <c r="G10" s="4">
        <v>70</v>
      </c>
      <c r="H10" s="4" t="s">
        <v>87</v>
      </c>
      <c r="I10" s="4" t="s">
        <v>74</v>
      </c>
      <c r="J10" s="4" t="s">
        <v>51</v>
      </c>
      <c r="K10" s="4" t="s">
        <v>88</v>
      </c>
      <c r="L10" s="42" t="s">
        <v>89</v>
      </c>
      <c r="M10" s="4">
        <v>10</v>
      </c>
      <c r="N10" s="4">
        <v>20</v>
      </c>
      <c r="O10" s="4">
        <v>15</v>
      </c>
      <c r="P10" s="4">
        <v>15</v>
      </c>
      <c r="Q10" s="4">
        <v>15</v>
      </c>
      <c r="R10" s="4">
        <v>10</v>
      </c>
      <c r="S10" s="4">
        <v>0</v>
      </c>
      <c r="T10" s="4">
        <v>15</v>
      </c>
      <c r="U10" s="4">
        <v>100</v>
      </c>
      <c r="V10" s="4" t="s">
        <v>9</v>
      </c>
      <c r="W10" s="4" t="s">
        <v>90</v>
      </c>
    </row>
    <row r="11" spans="1:23" ht="165" x14ac:dyDescent="0.25">
      <c r="A11" s="4">
        <v>2026</v>
      </c>
      <c r="B11" s="4" t="s">
        <v>91</v>
      </c>
      <c r="C11" s="4" t="s">
        <v>92</v>
      </c>
      <c r="D11" s="4">
        <v>5800371025</v>
      </c>
      <c r="E11" t="s">
        <v>10</v>
      </c>
      <c r="F11" s="9">
        <v>46233</v>
      </c>
      <c r="G11" s="4">
        <v>25</v>
      </c>
      <c r="H11" s="4" t="s">
        <v>93</v>
      </c>
      <c r="I11" s="4" t="s">
        <v>94</v>
      </c>
      <c r="J11" s="4" t="s">
        <v>59</v>
      </c>
      <c r="K11" s="4" t="s">
        <v>95</v>
      </c>
      <c r="L11" s="42" t="s">
        <v>96</v>
      </c>
      <c r="M11" s="4">
        <v>0</v>
      </c>
      <c r="N11" s="4">
        <v>20</v>
      </c>
      <c r="O11" s="4">
        <v>20</v>
      </c>
      <c r="P11" s="4">
        <v>10</v>
      </c>
      <c r="Q11" s="4">
        <v>20</v>
      </c>
      <c r="R11" s="4" t="s">
        <v>45</v>
      </c>
      <c r="S11" s="4" t="s">
        <v>45</v>
      </c>
      <c r="T11" s="4" t="s">
        <v>45</v>
      </c>
      <c r="U11" s="4">
        <v>70</v>
      </c>
      <c r="V11" s="4" t="s">
        <v>13</v>
      </c>
      <c r="W11" s="4" t="s">
        <v>97</v>
      </c>
    </row>
    <row r="12" spans="1:23" ht="105" x14ac:dyDescent="0.25">
      <c r="A12" s="4">
        <v>2026</v>
      </c>
      <c r="B12" s="4" t="s">
        <v>98</v>
      </c>
      <c r="C12" s="4" t="s">
        <v>56</v>
      </c>
      <c r="D12" s="4">
        <v>5855411017</v>
      </c>
      <c r="E12" t="s">
        <v>10</v>
      </c>
      <c r="F12" s="9">
        <v>46227</v>
      </c>
      <c r="G12" s="4">
        <v>17</v>
      </c>
      <c r="H12" s="4" t="s">
        <v>99</v>
      </c>
      <c r="I12" s="4" t="s">
        <v>100</v>
      </c>
      <c r="J12" s="4" t="s">
        <v>51</v>
      </c>
      <c r="K12" s="4" t="s">
        <v>101</v>
      </c>
      <c r="L12" s="42" t="s">
        <v>102</v>
      </c>
      <c r="M12" s="4">
        <v>0</v>
      </c>
      <c r="N12" s="4">
        <v>0</v>
      </c>
      <c r="O12" s="4">
        <v>0</v>
      </c>
      <c r="P12" s="4">
        <v>10</v>
      </c>
      <c r="Q12" s="4">
        <v>20</v>
      </c>
      <c r="R12" s="4" t="s">
        <v>45</v>
      </c>
      <c r="S12" s="4" t="s">
        <v>45</v>
      </c>
      <c r="T12" s="4" t="s">
        <v>45</v>
      </c>
      <c r="U12" s="4">
        <v>30</v>
      </c>
      <c r="V12" s="4" t="s">
        <v>15</v>
      </c>
      <c r="W12" s="4" t="s">
        <v>103</v>
      </c>
    </row>
    <row r="13" spans="1:23" ht="150" x14ac:dyDescent="0.25">
      <c r="A13" s="4">
        <v>2026</v>
      </c>
      <c r="B13" s="4" t="s">
        <v>104</v>
      </c>
      <c r="C13" s="4" t="s">
        <v>56</v>
      </c>
      <c r="D13" s="4">
        <v>7925744087</v>
      </c>
      <c r="E13" t="s">
        <v>11</v>
      </c>
      <c r="F13" s="9">
        <v>46111</v>
      </c>
      <c r="G13" s="4">
        <v>87</v>
      </c>
      <c r="H13" s="4" t="s">
        <v>105</v>
      </c>
      <c r="I13" s="4" t="s">
        <v>106</v>
      </c>
      <c r="J13" s="4" t="s">
        <v>59</v>
      </c>
      <c r="K13" s="4" t="s">
        <v>107</v>
      </c>
      <c r="L13" s="42" t="s">
        <v>108</v>
      </c>
      <c r="M13" s="4">
        <v>15</v>
      </c>
      <c r="N13" s="4">
        <v>20</v>
      </c>
      <c r="O13" s="4">
        <v>5</v>
      </c>
      <c r="P13" s="4">
        <v>15</v>
      </c>
      <c r="Q13" s="4">
        <v>15</v>
      </c>
      <c r="R13" s="4">
        <v>10</v>
      </c>
      <c r="S13" s="4">
        <v>0</v>
      </c>
      <c r="T13" s="4">
        <v>15</v>
      </c>
      <c r="U13" s="4">
        <v>95</v>
      </c>
      <c r="V13" s="4" t="s">
        <v>9</v>
      </c>
      <c r="W13" s="4" t="s">
        <v>109</v>
      </c>
    </row>
    <row r="14" spans="1:23" ht="195" x14ac:dyDescent="0.25">
      <c r="A14" s="4">
        <v>2026</v>
      </c>
      <c r="B14" s="4" t="s">
        <v>110</v>
      </c>
      <c r="C14" s="4" t="s">
        <v>56</v>
      </c>
      <c r="D14" s="4">
        <v>7908196047</v>
      </c>
      <c r="E14" t="s">
        <v>11</v>
      </c>
      <c r="F14" s="9">
        <v>46237</v>
      </c>
      <c r="G14" s="4">
        <v>47</v>
      </c>
      <c r="H14" s="4" t="s">
        <v>111</v>
      </c>
      <c r="I14" s="4" t="s">
        <v>112</v>
      </c>
      <c r="J14" s="4" t="s">
        <v>42</v>
      </c>
      <c r="K14" s="4" t="s">
        <v>113</v>
      </c>
      <c r="L14" s="42" t="s">
        <v>114</v>
      </c>
      <c r="M14" s="4">
        <v>5</v>
      </c>
      <c r="N14" s="4">
        <v>5</v>
      </c>
      <c r="O14" s="4">
        <v>5</v>
      </c>
      <c r="P14" s="4">
        <v>0</v>
      </c>
      <c r="Q14" s="4">
        <v>0</v>
      </c>
      <c r="R14" s="4">
        <v>0</v>
      </c>
      <c r="S14" s="4">
        <v>10</v>
      </c>
      <c r="T14" s="4">
        <v>0</v>
      </c>
      <c r="U14" s="4">
        <v>25</v>
      </c>
      <c r="V14" s="4" t="s">
        <v>15</v>
      </c>
      <c r="W14" s="4" t="s">
        <v>115</v>
      </c>
    </row>
    <row r="15" spans="1:23" ht="150" x14ac:dyDescent="0.25">
      <c r="A15" s="4">
        <v>2026</v>
      </c>
      <c r="B15" s="4" t="s">
        <v>116</v>
      </c>
      <c r="C15" s="4" t="s">
        <v>48</v>
      </c>
      <c r="D15" s="4">
        <v>7900117013</v>
      </c>
      <c r="E15" t="s">
        <v>11</v>
      </c>
      <c r="F15" s="9">
        <v>46224</v>
      </c>
      <c r="G15" s="4">
        <v>13</v>
      </c>
      <c r="H15" s="4" t="s">
        <v>117</v>
      </c>
      <c r="I15" s="4" t="s">
        <v>117</v>
      </c>
      <c r="J15" s="4" t="s">
        <v>51</v>
      </c>
      <c r="K15" s="4" t="s">
        <v>118</v>
      </c>
      <c r="L15" s="42" t="s">
        <v>119</v>
      </c>
      <c r="M15" s="4">
        <v>15</v>
      </c>
      <c r="N15" s="4">
        <v>20</v>
      </c>
      <c r="O15" s="4">
        <v>15</v>
      </c>
      <c r="P15" s="4">
        <v>15</v>
      </c>
      <c r="Q15" s="4">
        <v>15</v>
      </c>
      <c r="R15" s="4">
        <v>0</v>
      </c>
      <c r="S15" s="4">
        <v>0</v>
      </c>
      <c r="T15" s="4">
        <v>15</v>
      </c>
      <c r="U15" s="4">
        <v>95</v>
      </c>
      <c r="V15" s="4" t="s">
        <v>9</v>
      </c>
      <c r="W15" s="4" t="s">
        <v>120</v>
      </c>
    </row>
    <row r="16" spans="1:23" ht="135" x14ac:dyDescent="0.25">
      <c r="A16" s="4">
        <v>2026</v>
      </c>
      <c r="B16" s="4" t="s">
        <v>121</v>
      </c>
      <c r="C16" s="4" t="s">
        <v>48</v>
      </c>
      <c r="D16" s="4">
        <v>7900573047</v>
      </c>
      <c r="E16" t="s">
        <v>11</v>
      </c>
      <c r="F16" s="9">
        <v>46223</v>
      </c>
      <c r="G16" s="4">
        <v>47</v>
      </c>
      <c r="H16" s="4" t="s">
        <v>111</v>
      </c>
      <c r="I16" s="4" t="s">
        <v>112</v>
      </c>
      <c r="J16" s="4" t="s">
        <v>42</v>
      </c>
      <c r="K16" s="4" t="s">
        <v>113</v>
      </c>
      <c r="L16" s="42" t="s">
        <v>122</v>
      </c>
      <c r="M16" s="4">
        <v>5</v>
      </c>
      <c r="N16" s="4">
        <v>5</v>
      </c>
      <c r="O16" s="4">
        <v>15</v>
      </c>
      <c r="P16" s="4">
        <v>0</v>
      </c>
      <c r="Q16" s="4">
        <v>15</v>
      </c>
      <c r="R16" s="4">
        <v>10</v>
      </c>
      <c r="S16" s="4">
        <v>0</v>
      </c>
      <c r="T16" s="4">
        <v>15</v>
      </c>
      <c r="U16" s="4">
        <v>65</v>
      </c>
      <c r="V16" s="4" t="s">
        <v>13</v>
      </c>
      <c r="W16" s="4" t="s">
        <v>123</v>
      </c>
    </row>
    <row r="17" spans="1:23" ht="165" x14ac:dyDescent="0.25">
      <c r="A17" s="4">
        <v>2026</v>
      </c>
      <c r="B17" s="4" t="s">
        <v>124</v>
      </c>
      <c r="C17" s="4" t="s">
        <v>92</v>
      </c>
      <c r="D17" s="4">
        <v>7929376022</v>
      </c>
      <c r="E17" t="s">
        <v>11</v>
      </c>
      <c r="F17" s="9">
        <v>46247</v>
      </c>
      <c r="G17" s="4">
        <v>22</v>
      </c>
      <c r="H17" s="4" t="s">
        <v>125</v>
      </c>
      <c r="I17" s="4" t="s">
        <v>69</v>
      </c>
      <c r="J17" s="4" t="s">
        <v>59</v>
      </c>
      <c r="K17" s="4" t="s">
        <v>79</v>
      </c>
      <c r="L17" s="42" t="s">
        <v>126</v>
      </c>
      <c r="M17" s="4">
        <v>15</v>
      </c>
      <c r="N17" s="4">
        <v>20</v>
      </c>
      <c r="O17" s="4">
        <v>5</v>
      </c>
      <c r="P17" s="4">
        <v>15</v>
      </c>
      <c r="Q17" s="4">
        <v>15</v>
      </c>
      <c r="R17" s="4">
        <v>10</v>
      </c>
      <c r="S17" s="4">
        <v>0</v>
      </c>
      <c r="T17" s="4">
        <v>15</v>
      </c>
      <c r="U17" s="4">
        <v>95</v>
      </c>
      <c r="V17" s="4" t="s">
        <v>9</v>
      </c>
      <c r="W17" s="4" t="s">
        <v>127</v>
      </c>
    </row>
    <row r="18" spans="1:23" ht="45" x14ac:dyDescent="0.25">
      <c r="A18" s="4">
        <v>2025</v>
      </c>
      <c r="B18" s="4" t="s">
        <v>128</v>
      </c>
      <c r="C18" s="4" t="s">
        <v>56</v>
      </c>
      <c r="D18" s="4">
        <v>5800961074</v>
      </c>
      <c r="E18" t="s">
        <v>10</v>
      </c>
      <c r="F18" s="9">
        <v>45996</v>
      </c>
      <c r="G18" s="4">
        <v>74</v>
      </c>
      <c r="H18" s="4" t="s">
        <v>41</v>
      </c>
      <c r="I18" s="4" t="s">
        <v>41</v>
      </c>
      <c r="J18" s="4" t="s">
        <v>42</v>
      </c>
      <c r="K18" s="4" t="s">
        <v>129</v>
      </c>
      <c r="L18" s="42" t="s">
        <v>130</v>
      </c>
      <c r="M18" s="4">
        <v>20</v>
      </c>
      <c r="N18" s="4">
        <v>0</v>
      </c>
      <c r="O18" s="4">
        <v>0</v>
      </c>
      <c r="P18" s="4">
        <v>20</v>
      </c>
      <c r="Q18" s="4">
        <v>0</v>
      </c>
      <c r="R18" s="4" t="s">
        <v>45</v>
      </c>
      <c r="S18" s="4" t="s">
        <v>45</v>
      </c>
      <c r="T18" s="4" t="s">
        <v>45</v>
      </c>
      <c r="U18" s="4">
        <v>40</v>
      </c>
      <c r="V18" s="4" t="s">
        <v>14</v>
      </c>
      <c r="W18" s="4" t="s">
        <v>131</v>
      </c>
    </row>
    <row r="19" spans="1:23" ht="210" x14ac:dyDescent="0.25">
      <c r="A19" s="4">
        <v>2026</v>
      </c>
      <c r="B19" s="4" t="s">
        <v>132</v>
      </c>
      <c r="C19" s="4" t="s">
        <v>133</v>
      </c>
      <c r="D19" s="4">
        <v>7933726256</v>
      </c>
      <c r="E19" t="s">
        <v>11</v>
      </c>
      <c r="F19" s="9">
        <v>46251</v>
      </c>
      <c r="G19" s="4">
        <v>256</v>
      </c>
      <c r="H19" s="4" t="s">
        <v>134</v>
      </c>
      <c r="I19" s="4" t="s">
        <v>135</v>
      </c>
      <c r="J19" s="4" t="s">
        <v>51</v>
      </c>
      <c r="K19" s="4" t="s">
        <v>136</v>
      </c>
      <c r="L19" s="42" t="s">
        <v>137</v>
      </c>
      <c r="M19" s="4">
        <v>15</v>
      </c>
      <c r="N19" s="4">
        <v>10</v>
      </c>
      <c r="O19" s="4">
        <v>15</v>
      </c>
      <c r="P19" s="4">
        <v>15</v>
      </c>
      <c r="Q19" s="4">
        <v>15</v>
      </c>
      <c r="R19" s="4">
        <v>10</v>
      </c>
      <c r="S19" s="4">
        <v>0</v>
      </c>
      <c r="T19" s="4">
        <v>15</v>
      </c>
      <c r="U19" s="4">
        <v>95</v>
      </c>
      <c r="V19" s="4" t="s">
        <v>9</v>
      </c>
      <c r="W19" s="4" t="s">
        <v>138</v>
      </c>
    </row>
    <row r="20" spans="1:23" ht="30" x14ac:dyDescent="0.25">
      <c r="A20" s="4">
        <v>2026</v>
      </c>
      <c r="B20" s="4" t="s">
        <v>139</v>
      </c>
      <c r="C20" s="4" t="s">
        <v>56</v>
      </c>
      <c r="D20" s="4">
        <v>7933585074</v>
      </c>
      <c r="E20" t="s">
        <v>11</v>
      </c>
      <c r="F20" s="9">
        <v>46049</v>
      </c>
      <c r="G20" s="4">
        <v>74</v>
      </c>
      <c r="H20" s="4" t="s">
        <v>41</v>
      </c>
      <c r="I20" s="4" t="s">
        <v>41</v>
      </c>
      <c r="J20" s="4" t="s">
        <v>42</v>
      </c>
      <c r="K20" s="4" t="s">
        <v>129</v>
      </c>
      <c r="L20" s="42" t="s">
        <v>140</v>
      </c>
      <c r="M20" s="4">
        <v>5</v>
      </c>
      <c r="N20" s="4">
        <v>5</v>
      </c>
      <c r="O20" s="4">
        <v>15</v>
      </c>
      <c r="P20" s="4">
        <v>0</v>
      </c>
      <c r="Q20" s="4">
        <v>0</v>
      </c>
      <c r="R20" s="4">
        <v>0</v>
      </c>
      <c r="S20" s="4">
        <v>10</v>
      </c>
      <c r="T20" s="4">
        <v>0</v>
      </c>
      <c r="U20" s="4">
        <v>35</v>
      </c>
      <c r="V20" s="4" t="s">
        <v>14</v>
      </c>
      <c r="W20" s="4" t="s">
        <v>141</v>
      </c>
    </row>
    <row r="21" spans="1:23" ht="180" x14ac:dyDescent="0.25">
      <c r="A21" s="4">
        <v>2026</v>
      </c>
      <c r="B21" s="4" t="s">
        <v>142</v>
      </c>
      <c r="C21" s="4" t="s">
        <v>143</v>
      </c>
      <c r="D21" s="4">
        <v>7900594026</v>
      </c>
      <c r="E21" t="s">
        <v>11</v>
      </c>
      <c r="F21" s="9">
        <v>46219</v>
      </c>
      <c r="G21" s="4">
        <v>26</v>
      </c>
      <c r="H21" s="4" t="s">
        <v>135</v>
      </c>
      <c r="I21" s="4" t="s">
        <v>135</v>
      </c>
      <c r="J21" s="4" t="s">
        <v>51</v>
      </c>
      <c r="K21" s="4" t="s">
        <v>136</v>
      </c>
      <c r="L21" s="42" t="s">
        <v>144</v>
      </c>
      <c r="M21" s="4">
        <v>15</v>
      </c>
      <c r="N21" s="4">
        <v>20</v>
      </c>
      <c r="O21" s="4">
        <v>15</v>
      </c>
      <c r="P21" s="4">
        <v>15</v>
      </c>
      <c r="Q21" s="4">
        <v>15</v>
      </c>
      <c r="R21" s="4">
        <v>0</v>
      </c>
      <c r="S21" s="4">
        <v>0</v>
      </c>
      <c r="T21" s="4">
        <v>15</v>
      </c>
      <c r="U21" s="4">
        <v>95</v>
      </c>
      <c r="V21" s="4" t="s">
        <v>9</v>
      </c>
      <c r="W21" s="4" t="s">
        <v>145</v>
      </c>
    </row>
    <row r="22" spans="1:23" ht="105" x14ac:dyDescent="0.25">
      <c r="A22" s="4">
        <v>2026</v>
      </c>
      <c r="B22" s="4" t="s">
        <v>146</v>
      </c>
      <c r="C22" s="4" t="s">
        <v>56</v>
      </c>
      <c r="D22" s="4">
        <v>5840227063</v>
      </c>
      <c r="E22" t="s">
        <v>10</v>
      </c>
      <c r="F22" s="9">
        <v>46223</v>
      </c>
      <c r="G22" s="4">
        <v>63</v>
      </c>
      <c r="H22" s="4" t="s">
        <v>147</v>
      </c>
      <c r="I22" s="4" t="s">
        <v>94</v>
      </c>
      <c r="J22" s="4" t="s">
        <v>59</v>
      </c>
      <c r="K22" s="4" t="s">
        <v>148</v>
      </c>
      <c r="L22" s="42" t="s">
        <v>149</v>
      </c>
      <c r="M22" s="4">
        <v>0</v>
      </c>
      <c r="N22" s="4">
        <v>20</v>
      </c>
      <c r="O22" s="4">
        <v>20</v>
      </c>
      <c r="P22" s="4">
        <v>10</v>
      </c>
      <c r="Q22" s="4">
        <v>10</v>
      </c>
      <c r="R22" s="4" t="s">
        <v>45</v>
      </c>
      <c r="S22" s="4" t="s">
        <v>45</v>
      </c>
      <c r="T22" s="4" t="s">
        <v>45</v>
      </c>
      <c r="U22" s="4">
        <v>60</v>
      </c>
      <c r="V22" s="4" t="s">
        <v>14</v>
      </c>
      <c r="W22" s="4" t="s">
        <v>150</v>
      </c>
    </row>
    <row r="23" spans="1:23" ht="90" x14ac:dyDescent="0.25">
      <c r="A23" s="4">
        <v>2026</v>
      </c>
      <c r="B23" s="4" t="s">
        <v>151</v>
      </c>
      <c r="C23" s="4" t="s">
        <v>56</v>
      </c>
      <c r="D23" s="4">
        <v>7901110084</v>
      </c>
      <c r="E23" t="s">
        <v>11</v>
      </c>
      <c r="F23" s="9">
        <v>46112</v>
      </c>
      <c r="G23" s="4">
        <v>84</v>
      </c>
      <c r="H23" s="4" t="s">
        <v>152</v>
      </c>
      <c r="I23" s="4" t="s">
        <v>152</v>
      </c>
      <c r="J23" s="4" t="s">
        <v>51</v>
      </c>
      <c r="K23" s="4" t="s">
        <v>153</v>
      </c>
      <c r="L23" s="42" t="s">
        <v>154</v>
      </c>
      <c r="M23" s="4">
        <v>5</v>
      </c>
      <c r="N23" s="4">
        <v>5</v>
      </c>
      <c r="O23" s="4">
        <v>0</v>
      </c>
      <c r="P23" s="4">
        <v>0</v>
      </c>
      <c r="Q23" s="4">
        <v>0</v>
      </c>
      <c r="R23" s="4">
        <v>0</v>
      </c>
      <c r="S23" s="4">
        <v>10</v>
      </c>
      <c r="T23" s="4">
        <v>0</v>
      </c>
      <c r="U23" s="4">
        <v>20</v>
      </c>
      <c r="V23" s="4" t="s">
        <v>15</v>
      </c>
      <c r="W23" s="4" t="s">
        <v>155</v>
      </c>
    </row>
    <row r="24" spans="1:23" ht="60" x14ac:dyDescent="0.25">
      <c r="A24" s="4">
        <v>2026</v>
      </c>
      <c r="B24" s="4" t="s">
        <v>156</v>
      </c>
      <c r="C24" s="4" t="s">
        <v>56</v>
      </c>
      <c r="D24" s="4">
        <v>7955986084</v>
      </c>
      <c r="E24" t="s">
        <v>11</v>
      </c>
      <c r="F24" s="9">
        <v>46211</v>
      </c>
      <c r="G24" s="4">
        <v>84</v>
      </c>
      <c r="H24" s="4" t="s">
        <v>152</v>
      </c>
      <c r="I24" s="4" t="s">
        <v>152</v>
      </c>
      <c r="J24" s="4" t="s">
        <v>51</v>
      </c>
      <c r="K24" s="4" t="s">
        <v>153</v>
      </c>
      <c r="L24" s="42" t="s">
        <v>157</v>
      </c>
      <c r="M24" s="4">
        <v>5</v>
      </c>
      <c r="N24" s="4">
        <v>5</v>
      </c>
      <c r="O24" s="4">
        <v>0</v>
      </c>
      <c r="P24" s="4">
        <v>0</v>
      </c>
      <c r="Q24" s="4">
        <v>15</v>
      </c>
      <c r="R24" s="4">
        <v>10</v>
      </c>
      <c r="S24" s="4">
        <v>0</v>
      </c>
      <c r="T24" s="4">
        <v>0</v>
      </c>
      <c r="U24" s="4">
        <v>35</v>
      </c>
      <c r="V24" s="4" t="s">
        <v>14</v>
      </c>
      <c r="W24" s="4" t="s">
        <v>158</v>
      </c>
    </row>
    <row r="25" spans="1:23" ht="120" x14ac:dyDescent="0.25">
      <c r="A25" s="4">
        <v>2026</v>
      </c>
      <c r="B25" s="4" t="s">
        <v>159</v>
      </c>
      <c r="C25" s="4" t="s">
        <v>56</v>
      </c>
      <c r="D25" s="4">
        <v>7927413001</v>
      </c>
      <c r="E25" t="s">
        <v>11</v>
      </c>
      <c r="F25" s="9">
        <v>46216</v>
      </c>
      <c r="G25" s="4">
        <v>1</v>
      </c>
      <c r="H25" s="4" t="s">
        <v>50</v>
      </c>
      <c r="I25" s="4" t="s">
        <v>50</v>
      </c>
      <c r="J25" s="4" t="s">
        <v>51</v>
      </c>
      <c r="K25" s="4" t="s">
        <v>160</v>
      </c>
      <c r="L25" s="42" t="s">
        <v>161</v>
      </c>
      <c r="M25" s="4">
        <v>15</v>
      </c>
      <c r="N25" s="4">
        <v>5</v>
      </c>
      <c r="O25" s="4">
        <v>15</v>
      </c>
      <c r="P25" s="4">
        <v>15</v>
      </c>
      <c r="Q25" s="4">
        <v>15</v>
      </c>
      <c r="R25" s="4">
        <v>10</v>
      </c>
      <c r="S25" s="4">
        <v>0</v>
      </c>
      <c r="T25" s="4">
        <v>15</v>
      </c>
      <c r="U25" s="4">
        <v>90</v>
      </c>
      <c r="V25" s="4" t="s">
        <v>9</v>
      </c>
      <c r="W25" s="4" t="s">
        <v>162</v>
      </c>
    </row>
    <row r="26" spans="1:23" ht="135" x14ac:dyDescent="0.25">
      <c r="A26" s="4">
        <v>2026</v>
      </c>
      <c r="B26" s="4" t="s">
        <v>163</v>
      </c>
      <c r="C26" s="4" t="s">
        <v>48</v>
      </c>
      <c r="D26" s="4">
        <v>7908686014</v>
      </c>
      <c r="E26" t="s">
        <v>11</v>
      </c>
      <c r="F26" s="9">
        <v>46231</v>
      </c>
      <c r="G26" s="4">
        <v>14</v>
      </c>
      <c r="H26" s="4" t="s">
        <v>164</v>
      </c>
      <c r="I26" s="4" t="s">
        <v>117</v>
      </c>
      <c r="J26" s="4" t="s">
        <v>51</v>
      </c>
      <c r="K26" s="4" t="s">
        <v>165</v>
      </c>
      <c r="L26" s="42" t="s">
        <v>166</v>
      </c>
      <c r="M26" s="4">
        <v>15</v>
      </c>
      <c r="N26" s="4">
        <v>20</v>
      </c>
      <c r="O26" s="4">
        <v>0</v>
      </c>
      <c r="P26" s="4">
        <v>15</v>
      </c>
      <c r="Q26" s="4">
        <v>15</v>
      </c>
      <c r="R26" s="4">
        <v>10</v>
      </c>
      <c r="S26" s="4">
        <v>0</v>
      </c>
      <c r="T26" s="4">
        <v>15</v>
      </c>
      <c r="U26" s="4">
        <v>90</v>
      </c>
      <c r="V26" s="4" t="s">
        <v>9</v>
      </c>
      <c r="W26" s="4" t="s">
        <v>167</v>
      </c>
    </row>
    <row r="27" spans="1:23" ht="135" x14ac:dyDescent="0.25">
      <c r="A27" s="4">
        <v>2026</v>
      </c>
      <c r="B27" s="4" t="s">
        <v>168</v>
      </c>
      <c r="C27" s="4" t="s">
        <v>133</v>
      </c>
      <c r="D27" s="4">
        <v>5865120195</v>
      </c>
      <c r="E27" t="s">
        <v>10</v>
      </c>
      <c r="F27" s="9">
        <v>46251</v>
      </c>
      <c r="G27" s="4">
        <v>195</v>
      </c>
      <c r="H27" s="4" t="s">
        <v>169</v>
      </c>
      <c r="I27" s="4" t="s">
        <v>106</v>
      </c>
      <c r="J27" s="4" t="s">
        <v>59</v>
      </c>
      <c r="K27" s="4" t="s">
        <v>170</v>
      </c>
      <c r="L27" s="42" t="s">
        <v>171</v>
      </c>
      <c r="M27" s="4">
        <v>20</v>
      </c>
      <c r="N27" s="4">
        <v>20</v>
      </c>
      <c r="O27" s="4">
        <v>20</v>
      </c>
      <c r="P27" s="4">
        <v>10</v>
      </c>
      <c r="Q27" s="4">
        <v>0</v>
      </c>
      <c r="R27" s="4" t="s">
        <v>45</v>
      </c>
      <c r="S27" s="4" t="s">
        <v>45</v>
      </c>
      <c r="T27" s="4" t="s">
        <v>45</v>
      </c>
      <c r="U27" s="4">
        <v>70</v>
      </c>
      <c r="V27" s="4" t="s">
        <v>13</v>
      </c>
      <c r="W27" s="4" t="s">
        <v>172</v>
      </c>
    </row>
    <row r="28" spans="1:23" ht="75" x14ac:dyDescent="0.25">
      <c r="A28" s="4">
        <v>2026</v>
      </c>
      <c r="B28" s="4" t="s">
        <v>173</v>
      </c>
      <c r="C28" s="4" t="s">
        <v>56</v>
      </c>
      <c r="D28" s="4">
        <v>5800440256</v>
      </c>
      <c r="E28" t="s">
        <v>10</v>
      </c>
      <c r="F28" s="9">
        <v>46240</v>
      </c>
      <c r="G28" s="4">
        <v>256</v>
      </c>
      <c r="H28" s="4" t="s">
        <v>134</v>
      </c>
      <c r="I28" s="4" t="s">
        <v>135</v>
      </c>
      <c r="J28" s="4" t="s">
        <v>51</v>
      </c>
      <c r="K28" s="4" t="s">
        <v>136</v>
      </c>
      <c r="L28" s="42" t="s">
        <v>174</v>
      </c>
      <c r="M28" s="4">
        <v>20</v>
      </c>
      <c r="N28" s="4">
        <v>20</v>
      </c>
      <c r="O28" s="4">
        <v>20</v>
      </c>
      <c r="P28" s="4">
        <v>10</v>
      </c>
      <c r="Q28" s="4">
        <v>20</v>
      </c>
      <c r="R28" s="4" t="s">
        <v>45</v>
      </c>
      <c r="S28" s="4" t="s">
        <v>45</v>
      </c>
      <c r="T28" s="4" t="s">
        <v>45</v>
      </c>
      <c r="U28" s="4">
        <v>90</v>
      </c>
      <c r="V28" s="4" t="s">
        <v>9</v>
      </c>
      <c r="W28" s="4" t="s">
        <v>175</v>
      </c>
    </row>
    <row r="29" spans="1:23" ht="30" x14ac:dyDescent="0.25">
      <c r="A29" s="4">
        <v>2026</v>
      </c>
      <c r="B29" s="4" t="s">
        <v>176</v>
      </c>
      <c r="C29" s="4" t="s">
        <v>92</v>
      </c>
      <c r="D29" s="4">
        <v>7943790134</v>
      </c>
      <c r="E29" t="s">
        <v>11</v>
      </c>
      <c r="F29" s="9">
        <v>46183</v>
      </c>
      <c r="G29" s="4">
        <v>134</v>
      </c>
      <c r="H29" s="4" t="s">
        <v>177</v>
      </c>
      <c r="I29" s="4" t="s">
        <v>58</v>
      </c>
      <c r="J29" s="4" t="s">
        <v>59</v>
      </c>
      <c r="K29" s="4" t="s">
        <v>60</v>
      </c>
      <c r="L29" s="42" t="s">
        <v>178</v>
      </c>
      <c r="M29" s="4">
        <v>15</v>
      </c>
      <c r="N29" s="4">
        <v>10</v>
      </c>
      <c r="O29" s="4">
        <v>5</v>
      </c>
      <c r="P29" s="4">
        <v>15</v>
      </c>
      <c r="Q29" s="4">
        <v>15</v>
      </c>
      <c r="R29" s="4">
        <v>10</v>
      </c>
      <c r="S29" s="4">
        <v>0</v>
      </c>
      <c r="T29" s="4">
        <v>15</v>
      </c>
      <c r="U29" s="4">
        <v>85</v>
      </c>
      <c r="V29" s="4" t="s">
        <v>9</v>
      </c>
      <c r="W29" s="4" t="s">
        <v>179</v>
      </c>
    </row>
    <row r="30" spans="1:23" ht="75" x14ac:dyDescent="0.25">
      <c r="A30" s="4">
        <v>2026</v>
      </c>
      <c r="B30" s="4" t="s">
        <v>180</v>
      </c>
      <c r="C30" s="4" t="s">
        <v>56</v>
      </c>
      <c r="D30" s="4">
        <v>7927396052</v>
      </c>
      <c r="E30" t="s">
        <v>11</v>
      </c>
      <c r="F30" s="9">
        <v>46083</v>
      </c>
      <c r="G30" s="4">
        <v>52</v>
      </c>
      <c r="H30" s="4" t="s">
        <v>112</v>
      </c>
      <c r="I30" s="4" t="s">
        <v>112</v>
      </c>
      <c r="J30" s="4" t="s">
        <v>42</v>
      </c>
      <c r="K30" s="4" t="s">
        <v>181</v>
      </c>
      <c r="L30" s="42" t="s">
        <v>182</v>
      </c>
      <c r="M30" s="4">
        <v>5</v>
      </c>
      <c r="N30" s="4">
        <v>5</v>
      </c>
      <c r="O30" s="4">
        <v>0</v>
      </c>
      <c r="P30" s="4">
        <v>0</v>
      </c>
      <c r="Q30" s="4">
        <v>15</v>
      </c>
      <c r="R30" s="4">
        <v>10</v>
      </c>
      <c r="S30" s="4">
        <v>0</v>
      </c>
      <c r="T30" s="4">
        <v>0</v>
      </c>
      <c r="U30" s="4">
        <v>35</v>
      </c>
      <c r="V30" s="4" t="s">
        <v>14</v>
      </c>
      <c r="W30" s="4" t="s">
        <v>183</v>
      </c>
    </row>
    <row r="31" spans="1:23" ht="150" x14ac:dyDescent="0.25">
      <c r="A31" s="4">
        <v>2026</v>
      </c>
      <c r="B31" s="4" t="s">
        <v>184</v>
      </c>
      <c r="C31" s="4" t="s">
        <v>56</v>
      </c>
      <c r="D31" s="4">
        <v>7900453110</v>
      </c>
      <c r="E31" t="s">
        <v>11</v>
      </c>
      <c r="F31" s="9">
        <v>46139</v>
      </c>
      <c r="G31" s="4">
        <v>110</v>
      </c>
      <c r="H31" s="4" t="s">
        <v>185</v>
      </c>
      <c r="I31" s="4" t="s">
        <v>50</v>
      </c>
      <c r="J31" s="4" t="s">
        <v>51</v>
      </c>
      <c r="K31" s="4" t="s">
        <v>186</v>
      </c>
      <c r="L31" s="42" t="s">
        <v>187</v>
      </c>
      <c r="M31" s="4">
        <v>15</v>
      </c>
      <c r="N31" s="4">
        <v>10</v>
      </c>
      <c r="O31" s="4">
        <v>5</v>
      </c>
      <c r="P31" s="4">
        <v>15</v>
      </c>
      <c r="Q31" s="4">
        <v>15</v>
      </c>
      <c r="R31" s="4">
        <v>10</v>
      </c>
      <c r="S31" s="4">
        <v>0</v>
      </c>
      <c r="T31" s="4">
        <v>15</v>
      </c>
      <c r="U31" s="4">
        <v>85</v>
      </c>
      <c r="V31" s="4" t="s">
        <v>9</v>
      </c>
      <c r="W31" s="4" t="s">
        <v>188</v>
      </c>
    </row>
    <row r="32" spans="1:23" ht="75" x14ac:dyDescent="0.25">
      <c r="A32" s="4">
        <v>2026</v>
      </c>
      <c r="B32" s="4" t="s">
        <v>189</v>
      </c>
      <c r="C32" s="4" t="s">
        <v>56</v>
      </c>
      <c r="D32" s="4">
        <v>7925871077</v>
      </c>
      <c r="E32" t="s">
        <v>11</v>
      </c>
      <c r="F32" s="9">
        <v>46097</v>
      </c>
      <c r="G32" s="4">
        <v>77</v>
      </c>
      <c r="H32" s="4" t="s">
        <v>190</v>
      </c>
      <c r="I32" s="4" t="s">
        <v>69</v>
      </c>
      <c r="J32" s="4" t="s">
        <v>59</v>
      </c>
      <c r="K32" s="4" t="s">
        <v>191</v>
      </c>
      <c r="L32" s="42" t="s">
        <v>192</v>
      </c>
      <c r="M32" s="4">
        <v>15</v>
      </c>
      <c r="N32" s="4">
        <v>10</v>
      </c>
      <c r="O32" s="4">
        <v>15</v>
      </c>
      <c r="P32" s="4">
        <v>15</v>
      </c>
      <c r="Q32" s="4">
        <v>15</v>
      </c>
      <c r="R32" s="4">
        <v>10</v>
      </c>
      <c r="S32" s="4">
        <v>0</v>
      </c>
      <c r="T32" s="4">
        <v>0</v>
      </c>
      <c r="U32" s="4">
        <v>80</v>
      </c>
      <c r="V32" s="4" t="s">
        <v>9</v>
      </c>
      <c r="W32" s="4" t="s">
        <v>193</v>
      </c>
    </row>
    <row r="33" spans="1:23" ht="60" x14ac:dyDescent="0.25">
      <c r="A33" s="4">
        <v>2026</v>
      </c>
      <c r="B33" s="4" t="s">
        <v>194</v>
      </c>
      <c r="C33" s="4" t="s">
        <v>56</v>
      </c>
      <c r="D33" s="4">
        <v>7944559149</v>
      </c>
      <c r="E33" t="s">
        <v>11</v>
      </c>
      <c r="F33" s="9">
        <v>46112</v>
      </c>
      <c r="G33" s="4">
        <v>149</v>
      </c>
      <c r="H33" s="4" t="s">
        <v>195</v>
      </c>
      <c r="I33" s="4" t="s">
        <v>152</v>
      </c>
      <c r="J33" s="4" t="s">
        <v>51</v>
      </c>
      <c r="K33" s="4" t="s">
        <v>196</v>
      </c>
      <c r="L33" s="42" t="s">
        <v>197</v>
      </c>
      <c r="M33" s="4">
        <v>5</v>
      </c>
      <c r="N33" s="4">
        <v>10</v>
      </c>
      <c r="O33" s="4">
        <v>0</v>
      </c>
      <c r="P33" s="4">
        <v>0</v>
      </c>
      <c r="Q33" s="4">
        <v>15</v>
      </c>
      <c r="R33" s="4">
        <v>10</v>
      </c>
      <c r="S33" s="4">
        <v>0</v>
      </c>
      <c r="T33" s="4">
        <v>0</v>
      </c>
      <c r="U33" s="4">
        <v>40</v>
      </c>
      <c r="V33" s="4" t="s">
        <v>14</v>
      </c>
      <c r="W33" s="4" t="s">
        <v>198</v>
      </c>
    </row>
    <row r="34" spans="1:23" ht="210" x14ac:dyDescent="0.25">
      <c r="A34" s="4">
        <v>2026</v>
      </c>
      <c r="B34" s="4" t="s">
        <v>199</v>
      </c>
      <c r="C34" s="4" t="s">
        <v>56</v>
      </c>
      <c r="D34" s="4">
        <v>5803327001</v>
      </c>
      <c r="E34" t="s">
        <v>10</v>
      </c>
      <c r="F34" s="9">
        <v>46223</v>
      </c>
      <c r="G34" s="4">
        <v>1</v>
      </c>
      <c r="H34" s="4" t="s">
        <v>50</v>
      </c>
      <c r="I34" s="4" t="s">
        <v>50</v>
      </c>
      <c r="J34" s="4" t="s">
        <v>51</v>
      </c>
      <c r="K34" s="4" t="s">
        <v>200</v>
      </c>
      <c r="L34" s="42" t="s">
        <v>201</v>
      </c>
      <c r="M34" s="4">
        <v>40</v>
      </c>
      <c r="N34" s="4">
        <v>0</v>
      </c>
      <c r="O34" s="4">
        <v>0</v>
      </c>
      <c r="P34" s="4">
        <v>20</v>
      </c>
      <c r="Q34" s="4">
        <v>20</v>
      </c>
      <c r="R34" s="4" t="s">
        <v>45</v>
      </c>
      <c r="S34" s="4" t="s">
        <v>45</v>
      </c>
      <c r="T34" s="4" t="s">
        <v>45</v>
      </c>
      <c r="U34" s="4">
        <v>80</v>
      </c>
      <c r="V34" s="4" t="s">
        <v>13</v>
      </c>
      <c r="W34" s="4" t="s">
        <v>202</v>
      </c>
    </row>
    <row r="35" spans="1:23" ht="255" x14ac:dyDescent="0.25">
      <c r="A35" s="4">
        <v>2026</v>
      </c>
      <c r="B35" s="4" t="s">
        <v>203</v>
      </c>
      <c r="C35" s="4" t="s">
        <v>133</v>
      </c>
      <c r="D35" s="4">
        <v>7900230155</v>
      </c>
      <c r="E35" t="s">
        <v>11</v>
      </c>
      <c r="F35" s="9">
        <v>46251</v>
      </c>
      <c r="G35" s="4">
        <v>155</v>
      </c>
      <c r="H35" s="4" t="s">
        <v>204</v>
      </c>
      <c r="I35" s="4" t="s">
        <v>94</v>
      </c>
      <c r="J35" s="4" t="s">
        <v>59</v>
      </c>
      <c r="K35" s="4" t="s">
        <v>205</v>
      </c>
      <c r="L35" s="42" t="s">
        <v>206</v>
      </c>
      <c r="M35" s="4">
        <v>15</v>
      </c>
      <c r="N35" s="4">
        <v>20</v>
      </c>
      <c r="O35" s="4">
        <v>5</v>
      </c>
      <c r="P35" s="4">
        <v>15</v>
      </c>
      <c r="Q35" s="4">
        <v>0</v>
      </c>
      <c r="R35" s="4">
        <v>10</v>
      </c>
      <c r="S35" s="4">
        <v>0</v>
      </c>
      <c r="T35" s="4">
        <v>15</v>
      </c>
      <c r="U35" s="4">
        <v>80</v>
      </c>
      <c r="V35" s="4" t="s">
        <v>9</v>
      </c>
      <c r="W35" s="4" t="s">
        <v>207</v>
      </c>
    </row>
    <row r="36" spans="1:23" ht="60" x14ac:dyDescent="0.25">
      <c r="A36" s="4">
        <v>2026</v>
      </c>
      <c r="B36" s="4" t="s">
        <v>208</v>
      </c>
      <c r="C36" s="4" t="s">
        <v>56</v>
      </c>
      <c r="D36" s="4">
        <v>7913662076</v>
      </c>
      <c r="E36" t="s">
        <v>11</v>
      </c>
      <c r="F36" s="9">
        <v>46183</v>
      </c>
      <c r="G36" s="4">
        <v>76</v>
      </c>
      <c r="H36" s="4" t="s">
        <v>209</v>
      </c>
      <c r="I36" s="4" t="s">
        <v>210</v>
      </c>
      <c r="J36" s="4" t="s">
        <v>42</v>
      </c>
      <c r="K36" s="4" t="s">
        <v>211</v>
      </c>
      <c r="L36" s="42" t="s">
        <v>212</v>
      </c>
      <c r="M36" s="4">
        <v>5</v>
      </c>
      <c r="N36" s="4">
        <v>5</v>
      </c>
      <c r="O36" s="4">
        <v>0</v>
      </c>
      <c r="P36" s="4">
        <v>0</v>
      </c>
      <c r="Q36" s="4">
        <v>0</v>
      </c>
      <c r="R36" s="4">
        <v>10</v>
      </c>
      <c r="S36" s="4">
        <v>0</v>
      </c>
      <c r="T36" s="4">
        <v>0</v>
      </c>
      <c r="U36" s="4">
        <v>20</v>
      </c>
      <c r="V36" s="4" t="s">
        <v>15</v>
      </c>
      <c r="W36" s="4" t="s">
        <v>213</v>
      </c>
    </row>
    <row r="37" spans="1:23" ht="60" x14ac:dyDescent="0.25">
      <c r="A37" s="4">
        <v>2026</v>
      </c>
      <c r="B37" s="4" t="s">
        <v>214</v>
      </c>
      <c r="C37" s="4" t="s">
        <v>48</v>
      </c>
      <c r="D37" s="4">
        <v>7908708116</v>
      </c>
      <c r="E37" t="s">
        <v>11</v>
      </c>
      <c r="F37" s="9">
        <v>46246</v>
      </c>
      <c r="G37" s="4">
        <v>116</v>
      </c>
      <c r="H37" s="4" t="s">
        <v>215</v>
      </c>
      <c r="I37" s="4" t="s">
        <v>41</v>
      </c>
      <c r="J37" s="4" t="s">
        <v>42</v>
      </c>
      <c r="K37" s="4" t="s">
        <v>43</v>
      </c>
      <c r="L37" s="42" t="s">
        <v>216</v>
      </c>
      <c r="M37" s="4">
        <v>5</v>
      </c>
      <c r="N37" s="4">
        <v>5</v>
      </c>
      <c r="O37" s="4">
        <v>0</v>
      </c>
      <c r="P37" s="4">
        <v>0</v>
      </c>
      <c r="Q37" s="4">
        <v>0</v>
      </c>
      <c r="R37" s="4">
        <v>0</v>
      </c>
      <c r="S37" s="4">
        <v>10</v>
      </c>
      <c r="T37" s="4">
        <v>0</v>
      </c>
      <c r="U37" s="4">
        <v>20</v>
      </c>
      <c r="V37" s="4" t="s">
        <v>15</v>
      </c>
      <c r="W37" s="4" t="s">
        <v>217</v>
      </c>
    </row>
    <row r="38" spans="1:23" ht="135" x14ac:dyDescent="0.25">
      <c r="A38" s="4">
        <v>2026</v>
      </c>
      <c r="B38" s="4" t="s">
        <v>218</v>
      </c>
      <c r="C38" s="4" t="s">
        <v>56</v>
      </c>
      <c r="D38" s="4">
        <v>7926089013</v>
      </c>
      <c r="E38" t="s">
        <v>11</v>
      </c>
      <c r="F38" s="9">
        <v>46135</v>
      </c>
      <c r="G38" s="4">
        <v>13</v>
      </c>
      <c r="H38" s="4" t="s">
        <v>117</v>
      </c>
      <c r="I38" s="4" t="s">
        <v>117</v>
      </c>
      <c r="J38" s="4" t="s">
        <v>51</v>
      </c>
      <c r="K38" s="4" t="s">
        <v>219</v>
      </c>
      <c r="L38" s="42" t="s">
        <v>220</v>
      </c>
      <c r="M38" s="4">
        <v>15</v>
      </c>
      <c r="N38" s="4">
        <v>10</v>
      </c>
      <c r="O38" s="4">
        <v>5</v>
      </c>
      <c r="P38" s="4">
        <v>15</v>
      </c>
      <c r="Q38" s="4">
        <v>15</v>
      </c>
      <c r="R38" s="4">
        <v>10</v>
      </c>
      <c r="S38" s="4">
        <v>0</v>
      </c>
      <c r="T38" s="4">
        <v>0</v>
      </c>
      <c r="U38" s="4">
        <v>70</v>
      </c>
      <c r="V38" s="4" t="s">
        <v>13</v>
      </c>
      <c r="W38" s="4" t="s">
        <v>221</v>
      </c>
    </row>
    <row r="39" spans="1:23" ht="75" x14ac:dyDescent="0.25">
      <c r="A39" s="4">
        <v>2026</v>
      </c>
      <c r="B39" s="4" t="s">
        <v>222</v>
      </c>
      <c r="C39" s="4" t="s">
        <v>48</v>
      </c>
      <c r="D39" s="4">
        <v>7925087021</v>
      </c>
      <c r="E39" t="s">
        <v>11</v>
      </c>
      <c r="F39" s="9">
        <v>46223</v>
      </c>
      <c r="G39" s="4">
        <v>21</v>
      </c>
      <c r="H39" s="4" t="s">
        <v>223</v>
      </c>
      <c r="I39" s="4" t="s">
        <v>224</v>
      </c>
      <c r="J39" s="4" t="s">
        <v>42</v>
      </c>
      <c r="K39" s="4" t="s">
        <v>225</v>
      </c>
      <c r="L39" s="42" t="s">
        <v>226</v>
      </c>
      <c r="M39" s="4">
        <v>15</v>
      </c>
      <c r="N39" s="4">
        <v>10</v>
      </c>
      <c r="O39" s="4">
        <v>5</v>
      </c>
      <c r="P39" s="4">
        <v>0</v>
      </c>
      <c r="Q39" s="4">
        <v>15</v>
      </c>
      <c r="R39" s="4">
        <v>10</v>
      </c>
      <c r="S39" s="4">
        <v>0</v>
      </c>
      <c r="T39" s="4">
        <v>15</v>
      </c>
      <c r="U39" s="4">
        <v>70</v>
      </c>
      <c r="V39" s="4" t="s">
        <v>13</v>
      </c>
      <c r="W39" s="4" t="s">
        <v>227</v>
      </c>
    </row>
    <row r="40" spans="1:23" ht="225" x14ac:dyDescent="0.25">
      <c r="A40" s="4">
        <v>2026</v>
      </c>
      <c r="B40" s="4" t="s">
        <v>228</v>
      </c>
      <c r="C40" s="4" t="s">
        <v>48</v>
      </c>
      <c r="D40" s="4">
        <v>5801866013</v>
      </c>
      <c r="E40" t="s">
        <v>10</v>
      </c>
      <c r="F40" s="9">
        <v>46220</v>
      </c>
      <c r="G40" s="4">
        <v>13</v>
      </c>
      <c r="H40" s="4" t="s">
        <v>117</v>
      </c>
      <c r="I40" s="4" t="s">
        <v>117</v>
      </c>
      <c r="J40" s="4" t="s">
        <v>51</v>
      </c>
      <c r="K40" s="4" t="s">
        <v>229</v>
      </c>
      <c r="L40" s="42" t="s">
        <v>230</v>
      </c>
      <c r="M40" s="4">
        <v>0</v>
      </c>
      <c r="N40" s="4">
        <v>20</v>
      </c>
      <c r="O40" s="4">
        <v>20</v>
      </c>
      <c r="P40" s="4">
        <v>20</v>
      </c>
      <c r="Q40" s="4">
        <v>10</v>
      </c>
      <c r="R40" s="4" t="s">
        <v>45</v>
      </c>
      <c r="S40" s="4" t="s">
        <v>45</v>
      </c>
      <c r="T40" s="4" t="s">
        <v>45</v>
      </c>
      <c r="U40" s="4">
        <v>70</v>
      </c>
      <c r="V40" s="4" t="s">
        <v>13</v>
      </c>
      <c r="W40" s="4" t="s">
        <v>231</v>
      </c>
    </row>
    <row r="41" spans="1:23" ht="135" x14ac:dyDescent="0.25">
      <c r="A41" s="4">
        <v>2026</v>
      </c>
      <c r="B41" s="4" t="s">
        <v>232</v>
      </c>
      <c r="C41" s="4" t="s">
        <v>56</v>
      </c>
      <c r="D41" s="4">
        <v>7910027196</v>
      </c>
      <c r="E41" t="s">
        <v>11</v>
      </c>
      <c r="F41" s="9">
        <v>46225</v>
      </c>
      <c r="G41" s="4">
        <v>196</v>
      </c>
      <c r="H41" s="4" t="s">
        <v>233</v>
      </c>
      <c r="I41" s="4" t="s">
        <v>74</v>
      </c>
      <c r="J41" s="4" t="s">
        <v>51</v>
      </c>
      <c r="K41" s="4" t="s">
        <v>234</v>
      </c>
      <c r="L41" s="42" t="s">
        <v>235</v>
      </c>
      <c r="M41" s="4">
        <v>5</v>
      </c>
      <c r="N41" s="4">
        <v>5</v>
      </c>
      <c r="O41" s="4">
        <v>0</v>
      </c>
      <c r="P41" s="4">
        <v>0</v>
      </c>
      <c r="Q41" s="4">
        <v>0</v>
      </c>
      <c r="R41" s="4">
        <v>0</v>
      </c>
      <c r="S41" s="4">
        <v>10</v>
      </c>
      <c r="T41" s="4">
        <v>0</v>
      </c>
      <c r="U41" s="4">
        <v>20</v>
      </c>
      <c r="V41" s="4" t="s">
        <v>15</v>
      </c>
      <c r="W41" s="4" t="s">
        <v>236</v>
      </c>
    </row>
    <row r="42" spans="1:23" ht="135" x14ac:dyDescent="0.25">
      <c r="A42" s="4">
        <v>2025</v>
      </c>
      <c r="B42" s="4" t="s">
        <v>237</v>
      </c>
      <c r="C42" s="4" t="s">
        <v>238</v>
      </c>
      <c r="D42" s="4">
        <v>5853360007</v>
      </c>
      <c r="E42" t="s">
        <v>10</v>
      </c>
      <c r="F42" s="9">
        <v>45946</v>
      </c>
      <c r="G42" s="4">
        <v>7</v>
      </c>
      <c r="H42" s="4" t="s">
        <v>100</v>
      </c>
      <c r="I42" s="4" t="s">
        <v>100</v>
      </c>
      <c r="J42" s="4" t="s">
        <v>51</v>
      </c>
      <c r="K42" s="4" t="s">
        <v>239</v>
      </c>
      <c r="L42" s="42" t="s">
        <v>240</v>
      </c>
      <c r="M42" s="4">
        <v>0</v>
      </c>
      <c r="N42" s="4">
        <v>20</v>
      </c>
      <c r="O42" s="4">
        <v>20</v>
      </c>
      <c r="P42" s="4">
        <v>10</v>
      </c>
      <c r="Q42" s="4">
        <v>20</v>
      </c>
      <c r="R42" s="4" t="s">
        <v>45</v>
      </c>
      <c r="S42" s="4" t="s">
        <v>45</v>
      </c>
      <c r="T42" s="4" t="s">
        <v>45</v>
      </c>
      <c r="U42" s="4">
        <v>70</v>
      </c>
      <c r="V42" s="4" t="s">
        <v>13</v>
      </c>
      <c r="W42" s="4" t="s">
        <v>241</v>
      </c>
    </row>
    <row r="43" spans="1:23" ht="135" x14ac:dyDescent="0.25">
      <c r="A43" s="4">
        <v>2026</v>
      </c>
      <c r="B43" s="4" t="s">
        <v>242</v>
      </c>
      <c r="C43" s="4" t="s">
        <v>48</v>
      </c>
      <c r="D43" s="4">
        <v>7953610256</v>
      </c>
      <c r="E43" t="s">
        <v>11</v>
      </c>
      <c r="F43" s="9">
        <v>46231</v>
      </c>
      <c r="G43" s="4">
        <v>256</v>
      </c>
      <c r="H43" s="4" t="s">
        <v>134</v>
      </c>
      <c r="I43" s="4" t="s">
        <v>135</v>
      </c>
      <c r="J43" s="4" t="s">
        <v>51</v>
      </c>
      <c r="K43" s="4" t="s">
        <v>136</v>
      </c>
      <c r="L43" s="42" t="s">
        <v>243</v>
      </c>
      <c r="M43" s="4">
        <v>5</v>
      </c>
      <c r="N43" s="4">
        <v>5</v>
      </c>
      <c r="O43" s="4">
        <v>15</v>
      </c>
      <c r="P43" s="4">
        <v>15</v>
      </c>
      <c r="Q43" s="4">
        <v>0</v>
      </c>
      <c r="R43" s="4">
        <v>0</v>
      </c>
      <c r="S43" s="4">
        <v>10</v>
      </c>
      <c r="T43" s="4">
        <v>15</v>
      </c>
      <c r="U43" s="4">
        <v>65</v>
      </c>
      <c r="V43" s="4" t="s">
        <v>13</v>
      </c>
      <c r="W43" s="4" t="s">
        <v>244</v>
      </c>
    </row>
    <row r="44" spans="1:23" ht="60" x14ac:dyDescent="0.25">
      <c r="A44" s="4">
        <v>2026</v>
      </c>
      <c r="B44" s="4" t="s">
        <v>245</v>
      </c>
      <c r="C44" s="4" t="s">
        <v>56</v>
      </c>
      <c r="D44" s="4">
        <v>7955946007</v>
      </c>
      <c r="E44" t="s">
        <v>11</v>
      </c>
      <c r="F44" s="9">
        <v>46211</v>
      </c>
      <c r="G44" s="4">
        <v>7</v>
      </c>
      <c r="H44" s="4" t="s">
        <v>100</v>
      </c>
      <c r="I44" s="4" t="s">
        <v>100</v>
      </c>
      <c r="J44" s="4" t="s">
        <v>51</v>
      </c>
      <c r="K44" s="4" t="s">
        <v>239</v>
      </c>
      <c r="L44" s="42" t="s">
        <v>246</v>
      </c>
      <c r="M44" s="4">
        <v>5</v>
      </c>
      <c r="N44" s="4">
        <v>5</v>
      </c>
      <c r="O44" s="4">
        <v>5</v>
      </c>
      <c r="P44" s="4">
        <v>0</v>
      </c>
      <c r="Q44" s="4">
        <v>0</v>
      </c>
      <c r="R44" s="4">
        <v>0</v>
      </c>
      <c r="S44" s="4">
        <v>10</v>
      </c>
      <c r="T44" s="4">
        <v>0</v>
      </c>
      <c r="U44" s="4">
        <v>25</v>
      </c>
      <c r="V44" s="4" t="s">
        <v>15</v>
      </c>
      <c r="W44" s="4" t="s">
        <v>247</v>
      </c>
    </row>
    <row r="45" spans="1:23" ht="105" x14ac:dyDescent="0.25">
      <c r="A45" s="4">
        <v>2026</v>
      </c>
      <c r="B45" s="4" t="s">
        <v>248</v>
      </c>
      <c r="C45" s="4" t="s">
        <v>92</v>
      </c>
      <c r="D45" s="4">
        <v>5846328094</v>
      </c>
      <c r="E45" t="s">
        <v>10</v>
      </c>
      <c r="F45" s="9">
        <v>46211</v>
      </c>
      <c r="G45" s="4">
        <v>94</v>
      </c>
      <c r="H45" s="4" t="s">
        <v>224</v>
      </c>
      <c r="I45" s="4" t="s">
        <v>224</v>
      </c>
      <c r="J45" s="4" t="s">
        <v>42</v>
      </c>
      <c r="K45" s="4" t="s">
        <v>249</v>
      </c>
      <c r="L45" s="42" t="s">
        <v>250</v>
      </c>
      <c r="M45" s="4">
        <v>0</v>
      </c>
      <c r="N45" s="4">
        <v>20</v>
      </c>
      <c r="O45" s="4">
        <v>20</v>
      </c>
      <c r="P45" s="4">
        <v>10</v>
      </c>
      <c r="Q45" s="4">
        <v>10</v>
      </c>
      <c r="R45" s="4" t="s">
        <v>45</v>
      </c>
      <c r="S45" s="4" t="s">
        <v>45</v>
      </c>
      <c r="T45" s="4" t="s">
        <v>45</v>
      </c>
      <c r="U45" s="4">
        <v>60</v>
      </c>
      <c r="V45" s="4" t="s">
        <v>14</v>
      </c>
      <c r="W45" s="4" t="s">
        <v>251</v>
      </c>
    </row>
    <row r="46" spans="1:23" ht="75" x14ac:dyDescent="0.25">
      <c r="A46" s="4">
        <v>2026</v>
      </c>
      <c r="B46" s="4" t="s">
        <v>252</v>
      </c>
      <c r="C46" s="4" t="s">
        <v>92</v>
      </c>
      <c r="D46" s="4">
        <v>5844630060</v>
      </c>
      <c r="E46" t="s">
        <v>10</v>
      </c>
      <c r="F46" s="9">
        <v>46246</v>
      </c>
      <c r="G46" s="4">
        <v>60</v>
      </c>
      <c r="H46" s="4" t="s">
        <v>253</v>
      </c>
      <c r="I46" s="4" t="s">
        <v>94</v>
      </c>
      <c r="J46" s="4" t="s">
        <v>59</v>
      </c>
      <c r="K46" s="4" t="s">
        <v>254</v>
      </c>
      <c r="L46" s="42" t="s">
        <v>255</v>
      </c>
      <c r="M46" s="4">
        <v>20</v>
      </c>
      <c r="N46" s="4">
        <v>0</v>
      </c>
      <c r="O46" s="4">
        <v>0</v>
      </c>
      <c r="P46" s="4">
        <v>10</v>
      </c>
      <c r="Q46" s="4">
        <v>0</v>
      </c>
      <c r="R46" s="4" t="s">
        <v>45</v>
      </c>
      <c r="S46" s="4" t="s">
        <v>45</v>
      </c>
      <c r="T46" s="4" t="s">
        <v>45</v>
      </c>
      <c r="U46" s="4">
        <v>30</v>
      </c>
      <c r="V46" s="4" t="s">
        <v>15</v>
      </c>
      <c r="W46" s="4" t="s">
        <v>256</v>
      </c>
    </row>
    <row r="47" spans="1:23" ht="120" x14ac:dyDescent="0.25">
      <c r="A47" s="4">
        <v>2025</v>
      </c>
      <c r="B47" s="4" t="s">
        <v>257</v>
      </c>
      <c r="C47" s="4" t="s">
        <v>56</v>
      </c>
      <c r="D47" s="4">
        <v>7920024127</v>
      </c>
      <c r="E47" t="s">
        <v>11</v>
      </c>
      <c r="F47" s="9">
        <v>45839</v>
      </c>
      <c r="G47" s="4">
        <v>127</v>
      </c>
      <c r="H47" s="4" t="s">
        <v>258</v>
      </c>
      <c r="I47" s="4" t="s">
        <v>259</v>
      </c>
      <c r="J47" s="4" t="s">
        <v>59</v>
      </c>
      <c r="K47" s="4" t="s">
        <v>260</v>
      </c>
      <c r="L47" s="42" t="s">
        <v>261</v>
      </c>
      <c r="M47" s="4">
        <v>15</v>
      </c>
      <c r="N47" s="4">
        <v>10</v>
      </c>
      <c r="O47" s="4">
        <v>5</v>
      </c>
      <c r="P47" s="4">
        <v>15</v>
      </c>
      <c r="Q47" s="4">
        <v>0</v>
      </c>
      <c r="R47" s="4">
        <v>10</v>
      </c>
      <c r="S47" s="4">
        <v>0</v>
      </c>
      <c r="T47" s="4">
        <v>0</v>
      </c>
      <c r="U47" s="4">
        <v>55</v>
      </c>
      <c r="V47" s="4" t="s">
        <v>13</v>
      </c>
      <c r="W47" s="4" t="s">
        <v>262</v>
      </c>
    </row>
    <row r="48" spans="1:23" ht="75" x14ac:dyDescent="0.25">
      <c r="A48" s="4">
        <v>2026</v>
      </c>
      <c r="B48" s="4" t="s">
        <v>263</v>
      </c>
      <c r="C48" s="4" t="s">
        <v>56</v>
      </c>
      <c r="D48" s="4">
        <v>7923927122</v>
      </c>
      <c r="E48" t="s">
        <v>11</v>
      </c>
      <c r="F48" s="9">
        <v>46219</v>
      </c>
      <c r="G48" s="4">
        <v>122</v>
      </c>
      <c r="H48" s="4" t="s">
        <v>264</v>
      </c>
      <c r="I48" s="4" t="s">
        <v>264</v>
      </c>
      <c r="J48" s="4" t="s">
        <v>51</v>
      </c>
      <c r="K48" s="4" t="s">
        <v>234</v>
      </c>
      <c r="L48" s="42" t="s">
        <v>265</v>
      </c>
      <c r="M48" s="4">
        <v>15</v>
      </c>
      <c r="N48" s="4">
        <v>0</v>
      </c>
      <c r="O48" s="4">
        <v>0</v>
      </c>
      <c r="P48" s="4">
        <v>0</v>
      </c>
      <c r="Q48" s="4">
        <v>0</v>
      </c>
      <c r="R48" s="4">
        <v>10</v>
      </c>
      <c r="S48" s="4">
        <v>0</v>
      </c>
      <c r="T48" s="4">
        <v>0</v>
      </c>
      <c r="U48" s="4">
        <v>25</v>
      </c>
      <c r="V48" s="4" t="s">
        <v>15</v>
      </c>
      <c r="W48" s="4" t="s">
        <v>266</v>
      </c>
    </row>
    <row r="49" spans="1:23" ht="90" x14ac:dyDescent="0.25">
      <c r="A49" s="4">
        <v>2026</v>
      </c>
      <c r="B49" s="4" t="s">
        <v>267</v>
      </c>
      <c r="C49" s="4" t="s">
        <v>56</v>
      </c>
      <c r="D49" s="4">
        <v>7927646026</v>
      </c>
      <c r="E49" t="s">
        <v>11</v>
      </c>
      <c r="F49" s="9">
        <v>46057</v>
      </c>
      <c r="G49" s="4">
        <v>26</v>
      </c>
      <c r="H49" s="4" t="s">
        <v>135</v>
      </c>
      <c r="I49" s="4" t="s">
        <v>135</v>
      </c>
      <c r="J49" s="4" t="s">
        <v>51</v>
      </c>
      <c r="K49" s="4" t="s">
        <v>136</v>
      </c>
      <c r="L49" s="42" t="s">
        <v>268</v>
      </c>
      <c r="M49" s="4">
        <v>15</v>
      </c>
      <c r="N49" s="4">
        <v>10</v>
      </c>
      <c r="O49" s="4">
        <v>5</v>
      </c>
      <c r="P49" s="4">
        <v>0</v>
      </c>
      <c r="Q49" s="4">
        <v>15</v>
      </c>
      <c r="R49" s="4">
        <v>0</v>
      </c>
      <c r="S49" s="4">
        <v>10</v>
      </c>
      <c r="T49" s="4">
        <v>0</v>
      </c>
      <c r="U49" s="4">
        <v>55</v>
      </c>
      <c r="V49" s="4" t="s">
        <v>13</v>
      </c>
      <c r="W49" s="4" t="s">
        <v>269</v>
      </c>
    </row>
    <row r="50" spans="1:23" ht="120" x14ac:dyDescent="0.25">
      <c r="A50" s="4">
        <v>2026</v>
      </c>
      <c r="B50" s="4" t="s">
        <v>270</v>
      </c>
      <c r="C50" s="4" t="s">
        <v>48</v>
      </c>
      <c r="D50" s="4">
        <v>7927169001</v>
      </c>
      <c r="E50" t="s">
        <v>11</v>
      </c>
      <c r="F50" s="9">
        <v>46224</v>
      </c>
      <c r="G50" s="4">
        <v>1</v>
      </c>
      <c r="H50" s="4" t="s">
        <v>50</v>
      </c>
      <c r="I50" s="4" t="s">
        <v>50</v>
      </c>
      <c r="J50" s="4" t="s">
        <v>51</v>
      </c>
      <c r="K50" s="4" t="s">
        <v>200</v>
      </c>
      <c r="L50" s="42" t="s">
        <v>271</v>
      </c>
      <c r="M50" s="4">
        <v>5</v>
      </c>
      <c r="N50" s="4">
        <v>5</v>
      </c>
      <c r="O50" s="4">
        <v>15</v>
      </c>
      <c r="P50" s="4">
        <v>0</v>
      </c>
      <c r="Q50" s="4">
        <v>15</v>
      </c>
      <c r="R50" s="4">
        <v>0</v>
      </c>
      <c r="S50" s="4">
        <v>0</v>
      </c>
      <c r="T50" s="4">
        <v>15</v>
      </c>
      <c r="U50" s="4">
        <v>55</v>
      </c>
      <c r="V50" s="4" t="s">
        <v>13</v>
      </c>
      <c r="W50" s="4" t="s">
        <v>272</v>
      </c>
    </row>
    <row r="51" spans="1:23" ht="90" x14ac:dyDescent="0.25">
      <c r="A51" s="4">
        <v>2026</v>
      </c>
      <c r="B51" s="4" t="s">
        <v>273</v>
      </c>
      <c r="C51" s="4" t="s">
        <v>56</v>
      </c>
      <c r="D51" s="4">
        <v>7930428001</v>
      </c>
      <c r="E51" t="s">
        <v>11</v>
      </c>
      <c r="F51" s="9">
        <v>46223</v>
      </c>
      <c r="G51" s="4">
        <v>1</v>
      </c>
      <c r="H51" s="4" t="s">
        <v>50</v>
      </c>
      <c r="I51" s="4" t="s">
        <v>50</v>
      </c>
      <c r="J51" s="4" t="s">
        <v>51</v>
      </c>
      <c r="K51" s="4" t="s">
        <v>274</v>
      </c>
      <c r="L51" s="42" t="s">
        <v>275</v>
      </c>
      <c r="M51" s="4">
        <v>5</v>
      </c>
      <c r="N51" s="4">
        <v>5</v>
      </c>
      <c r="O51" s="4">
        <v>15</v>
      </c>
      <c r="P51" s="4">
        <v>0</v>
      </c>
      <c r="Q51" s="4">
        <v>15</v>
      </c>
      <c r="R51" s="4">
        <v>10</v>
      </c>
      <c r="S51" s="4">
        <v>0</v>
      </c>
      <c r="T51" s="4">
        <v>0</v>
      </c>
      <c r="U51" s="4">
        <v>50</v>
      </c>
      <c r="V51" s="4" t="s">
        <v>13</v>
      </c>
      <c r="W51" s="4" t="s">
        <v>276</v>
      </c>
    </row>
    <row r="52" spans="1:23" ht="165" x14ac:dyDescent="0.25">
      <c r="A52" s="4">
        <v>2026</v>
      </c>
      <c r="B52" s="4" t="s">
        <v>277</v>
      </c>
      <c r="C52" s="4" t="s">
        <v>48</v>
      </c>
      <c r="D52" s="4">
        <v>5827102054</v>
      </c>
      <c r="E52" t="s">
        <v>10</v>
      </c>
      <c r="F52" s="9">
        <v>46245</v>
      </c>
      <c r="G52" s="4">
        <v>54</v>
      </c>
      <c r="H52" s="4" t="s">
        <v>278</v>
      </c>
      <c r="I52" s="4" t="s">
        <v>117</v>
      </c>
      <c r="J52" s="4" t="s">
        <v>51</v>
      </c>
      <c r="K52" s="4" t="s">
        <v>279</v>
      </c>
      <c r="L52" s="42" t="s">
        <v>280</v>
      </c>
      <c r="M52" s="4">
        <v>0</v>
      </c>
      <c r="N52" s="4">
        <v>20</v>
      </c>
      <c r="O52" s="4">
        <v>20</v>
      </c>
      <c r="P52" s="4">
        <v>10</v>
      </c>
      <c r="Q52" s="4">
        <v>0</v>
      </c>
      <c r="R52" s="4" t="s">
        <v>45</v>
      </c>
      <c r="S52" s="4" t="s">
        <v>45</v>
      </c>
      <c r="T52" s="4" t="s">
        <v>45</v>
      </c>
      <c r="U52" s="4">
        <v>50</v>
      </c>
      <c r="V52" s="4" t="s">
        <v>14</v>
      </c>
      <c r="W52" s="4" t="s">
        <v>281</v>
      </c>
    </row>
    <row r="53" spans="1:23" ht="120" x14ac:dyDescent="0.25">
      <c r="A53" s="4">
        <v>2025</v>
      </c>
      <c r="B53" s="4" t="s">
        <v>282</v>
      </c>
      <c r="C53" s="4" t="s">
        <v>56</v>
      </c>
      <c r="D53" s="4">
        <v>7900535058</v>
      </c>
      <c r="E53" t="s">
        <v>11</v>
      </c>
      <c r="F53" s="9">
        <v>45894</v>
      </c>
      <c r="G53" s="4">
        <v>58</v>
      </c>
      <c r="H53" s="4" t="s">
        <v>283</v>
      </c>
      <c r="I53" s="4" t="s">
        <v>69</v>
      </c>
      <c r="J53" s="4" t="s">
        <v>59</v>
      </c>
      <c r="K53" s="4" t="s">
        <v>284</v>
      </c>
      <c r="L53" s="42" t="s">
        <v>285</v>
      </c>
      <c r="M53" s="4">
        <v>5</v>
      </c>
      <c r="N53" s="4">
        <v>10</v>
      </c>
      <c r="O53" s="4">
        <v>5</v>
      </c>
      <c r="P53" s="4">
        <v>0</v>
      </c>
      <c r="Q53" s="4">
        <v>15</v>
      </c>
      <c r="R53" s="4">
        <v>10</v>
      </c>
      <c r="S53" s="4">
        <v>0</v>
      </c>
      <c r="T53" s="4">
        <v>0</v>
      </c>
      <c r="U53" s="4">
        <v>45</v>
      </c>
      <c r="V53" s="4" t="s">
        <v>14</v>
      </c>
      <c r="W53" s="4" t="s">
        <v>286</v>
      </c>
    </row>
    <row r="54" spans="1:23" ht="150" x14ac:dyDescent="0.25">
      <c r="A54" s="4">
        <v>2026</v>
      </c>
      <c r="B54" s="4" t="s">
        <v>287</v>
      </c>
      <c r="C54" s="4" t="s">
        <v>56</v>
      </c>
      <c r="D54" s="4">
        <v>7925733015</v>
      </c>
      <c r="E54" t="s">
        <v>11</v>
      </c>
      <c r="F54" s="9">
        <v>46111</v>
      </c>
      <c r="G54" s="4">
        <v>15</v>
      </c>
      <c r="H54" s="4" t="s">
        <v>288</v>
      </c>
      <c r="I54" s="4" t="s">
        <v>106</v>
      </c>
      <c r="J54" s="4" t="s">
        <v>59</v>
      </c>
      <c r="K54" s="4" t="s">
        <v>289</v>
      </c>
      <c r="L54" s="42" t="s">
        <v>290</v>
      </c>
      <c r="M54" s="4">
        <v>5</v>
      </c>
      <c r="N54" s="4">
        <v>5</v>
      </c>
      <c r="O54" s="4">
        <v>0</v>
      </c>
      <c r="P54" s="4">
        <v>0</v>
      </c>
      <c r="Q54" s="4">
        <v>15</v>
      </c>
      <c r="R54" s="4">
        <v>10</v>
      </c>
      <c r="S54" s="4">
        <v>0</v>
      </c>
      <c r="T54" s="4">
        <v>0</v>
      </c>
      <c r="U54" s="4">
        <v>35</v>
      </c>
      <c r="V54" s="4" t="s">
        <v>14</v>
      </c>
      <c r="W54" s="4" t="s">
        <v>291</v>
      </c>
    </row>
    <row r="55" spans="1:23" ht="45" x14ac:dyDescent="0.25">
      <c r="A55" s="4">
        <v>2026</v>
      </c>
      <c r="B55" s="4" t="s">
        <v>292</v>
      </c>
      <c r="C55" s="4" t="s">
        <v>56</v>
      </c>
      <c r="D55" s="4">
        <v>7927713200</v>
      </c>
      <c r="E55" t="s">
        <v>11</v>
      </c>
      <c r="F55" s="9">
        <v>46230</v>
      </c>
      <c r="G55" s="4">
        <v>200</v>
      </c>
      <c r="H55" s="4" t="s">
        <v>293</v>
      </c>
      <c r="I55" s="4" t="s">
        <v>224</v>
      </c>
      <c r="J55" s="4" t="s">
        <v>42</v>
      </c>
      <c r="K55" s="4" t="s">
        <v>294</v>
      </c>
      <c r="L55" s="42" t="s">
        <v>295</v>
      </c>
      <c r="M55" s="4">
        <v>5</v>
      </c>
      <c r="N55" s="4">
        <v>5</v>
      </c>
      <c r="O55" s="4">
        <v>5</v>
      </c>
      <c r="P55" s="4">
        <v>0</v>
      </c>
      <c r="Q55" s="4">
        <v>15</v>
      </c>
      <c r="R55" s="4">
        <v>10</v>
      </c>
      <c r="S55" s="4">
        <v>0</v>
      </c>
      <c r="T55" s="4">
        <v>0</v>
      </c>
      <c r="U55" s="4">
        <v>40</v>
      </c>
      <c r="V55" s="4" t="s">
        <v>14</v>
      </c>
      <c r="W55" s="4" t="s">
        <v>296</v>
      </c>
    </row>
    <row r="56" spans="1:23" ht="75" x14ac:dyDescent="0.25">
      <c r="A56" s="4">
        <v>2026</v>
      </c>
      <c r="B56" s="4" t="s">
        <v>297</v>
      </c>
      <c r="C56" s="4" t="s">
        <v>56</v>
      </c>
      <c r="D56" s="4">
        <v>7900525015</v>
      </c>
      <c r="E56" t="s">
        <v>11</v>
      </c>
      <c r="F56" s="9">
        <v>46210</v>
      </c>
      <c r="G56" s="4">
        <v>15</v>
      </c>
      <c r="H56" s="4" t="s">
        <v>288</v>
      </c>
      <c r="I56" s="4" t="s">
        <v>106</v>
      </c>
      <c r="J56" s="4" t="s">
        <v>59</v>
      </c>
      <c r="K56" s="4" t="s">
        <v>88</v>
      </c>
      <c r="L56" s="42" t="s">
        <v>298</v>
      </c>
      <c r="M56" s="4">
        <v>5</v>
      </c>
      <c r="N56" s="4">
        <v>5</v>
      </c>
      <c r="O56" s="4">
        <v>0</v>
      </c>
      <c r="P56" s="4">
        <v>0</v>
      </c>
      <c r="Q56" s="4">
        <v>15</v>
      </c>
      <c r="R56" s="4">
        <v>10</v>
      </c>
      <c r="S56" s="4">
        <v>0</v>
      </c>
      <c r="T56" s="4">
        <v>0</v>
      </c>
      <c r="U56" s="4">
        <v>35</v>
      </c>
      <c r="V56" s="4" t="s">
        <v>14</v>
      </c>
      <c r="W56" s="4" t="s">
        <v>299</v>
      </c>
    </row>
    <row r="57" spans="1:23" ht="45" x14ac:dyDescent="0.25">
      <c r="A57" s="4">
        <v>2026</v>
      </c>
      <c r="B57" s="4" t="s">
        <v>300</v>
      </c>
      <c r="C57" s="4" t="s">
        <v>56</v>
      </c>
      <c r="D57" s="4">
        <v>7937102148</v>
      </c>
      <c r="E57" t="s">
        <v>11</v>
      </c>
      <c r="F57" s="9">
        <v>46210</v>
      </c>
      <c r="G57" s="4">
        <v>148</v>
      </c>
      <c r="H57" s="4" t="s">
        <v>301</v>
      </c>
      <c r="I57" s="4" t="s">
        <v>224</v>
      </c>
      <c r="J57" s="4" t="s">
        <v>42</v>
      </c>
      <c r="K57" s="4" t="s">
        <v>302</v>
      </c>
      <c r="L57" s="42" t="s">
        <v>303</v>
      </c>
      <c r="M57" s="4">
        <v>5</v>
      </c>
      <c r="N57" s="4">
        <v>5</v>
      </c>
      <c r="O57" s="4">
        <v>5</v>
      </c>
      <c r="P57" s="4">
        <v>0</v>
      </c>
      <c r="Q57" s="4">
        <v>15</v>
      </c>
      <c r="R57" s="4">
        <v>10</v>
      </c>
      <c r="S57" s="4">
        <v>0</v>
      </c>
      <c r="T57" s="4">
        <v>0</v>
      </c>
      <c r="U57" s="4">
        <v>40</v>
      </c>
      <c r="V57" s="4" t="s">
        <v>14</v>
      </c>
      <c r="W57" s="4" t="s">
        <v>304</v>
      </c>
    </row>
    <row r="58" spans="1:23" ht="90" x14ac:dyDescent="0.25">
      <c r="A58" s="4">
        <v>2026</v>
      </c>
      <c r="B58" s="4" t="s">
        <v>305</v>
      </c>
      <c r="C58" s="4" t="s">
        <v>56</v>
      </c>
      <c r="D58" s="4">
        <v>7908249152</v>
      </c>
      <c r="E58" t="s">
        <v>11</v>
      </c>
      <c r="F58" s="9">
        <v>46077</v>
      </c>
      <c r="G58" s="4">
        <v>152</v>
      </c>
      <c r="H58" s="4" t="s">
        <v>306</v>
      </c>
      <c r="I58" s="4" t="s">
        <v>50</v>
      </c>
      <c r="J58" s="4" t="s">
        <v>51</v>
      </c>
      <c r="K58" s="4" t="s">
        <v>52</v>
      </c>
      <c r="L58" s="42" t="s">
        <v>307</v>
      </c>
      <c r="M58" s="4">
        <v>5</v>
      </c>
      <c r="N58" s="4">
        <v>5</v>
      </c>
      <c r="O58" s="4">
        <v>0</v>
      </c>
      <c r="P58" s="4">
        <v>0</v>
      </c>
      <c r="Q58" s="4">
        <v>15</v>
      </c>
      <c r="R58" s="4">
        <v>10</v>
      </c>
      <c r="S58" s="4">
        <v>0</v>
      </c>
      <c r="T58" s="4">
        <v>0</v>
      </c>
      <c r="U58" s="4">
        <v>35</v>
      </c>
      <c r="V58" s="4" t="s">
        <v>14</v>
      </c>
      <c r="W58" s="4" t="s">
        <v>308</v>
      </c>
    </row>
    <row r="59" spans="1:23" ht="90" x14ac:dyDescent="0.25">
      <c r="A59" s="4">
        <v>2025</v>
      </c>
      <c r="B59" s="4" t="s">
        <v>309</v>
      </c>
      <c r="C59" s="4" t="s">
        <v>56</v>
      </c>
      <c r="D59" s="4">
        <v>7942485096</v>
      </c>
      <c r="E59" t="s">
        <v>11</v>
      </c>
      <c r="F59" s="9">
        <v>45861</v>
      </c>
      <c r="G59" s="4">
        <v>96</v>
      </c>
      <c r="H59" s="4" t="s">
        <v>310</v>
      </c>
      <c r="I59" s="4" t="s">
        <v>135</v>
      </c>
      <c r="J59" s="4" t="s">
        <v>51</v>
      </c>
      <c r="K59" s="4" t="s">
        <v>136</v>
      </c>
      <c r="L59" s="42" t="s">
        <v>311</v>
      </c>
      <c r="M59" s="4">
        <v>5</v>
      </c>
      <c r="N59" s="4">
        <v>5</v>
      </c>
      <c r="O59" s="4">
        <v>5</v>
      </c>
      <c r="P59" s="4">
        <v>0</v>
      </c>
      <c r="Q59" s="4">
        <v>0</v>
      </c>
      <c r="R59" s="4">
        <v>10</v>
      </c>
      <c r="S59" s="4">
        <v>0</v>
      </c>
      <c r="T59" s="4">
        <v>0</v>
      </c>
      <c r="U59" s="4">
        <v>25</v>
      </c>
      <c r="V59" s="4" t="s">
        <v>15</v>
      </c>
      <c r="W59" s="4" t="s">
        <v>312</v>
      </c>
    </row>
    <row r="60" spans="1:23" ht="120" x14ac:dyDescent="0.25">
      <c r="A60" s="4">
        <v>2026</v>
      </c>
      <c r="B60" s="4" t="s">
        <v>313</v>
      </c>
      <c r="C60" s="4" t="s">
        <v>56</v>
      </c>
      <c r="D60" s="4">
        <v>7921202014</v>
      </c>
      <c r="E60" t="s">
        <v>11</v>
      </c>
      <c r="F60" s="9">
        <v>46211</v>
      </c>
      <c r="G60" s="4">
        <v>14</v>
      </c>
      <c r="H60" s="4" t="s">
        <v>164</v>
      </c>
      <c r="I60" s="4" t="s">
        <v>117</v>
      </c>
      <c r="J60" s="4" t="s">
        <v>51</v>
      </c>
      <c r="K60" s="4" t="s">
        <v>314</v>
      </c>
      <c r="L60" s="42" t="s">
        <v>315</v>
      </c>
      <c r="M60" s="4">
        <v>5</v>
      </c>
      <c r="N60" s="4">
        <v>5</v>
      </c>
      <c r="O60" s="4">
        <v>5</v>
      </c>
      <c r="P60" s="4">
        <v>0</v>
      </c>
      <c r="Q60" s="4">
        <v>0</v>
      </c>
      <c r="R60" s="4">
        <v>10</v>
      </c>
      <c r="S60" s="4">
        <v>0</v>
      </c>
      <c r="T60" s="4">
        <v>0</v>
      </c>
      <c r="U60" s="4">
        <v>25</v>
      </c>
      <c r="V60" s="4" t="s">
        <v>15</v>
      </c>
      <c r="W60" s="4" t="s">
        <v>316</v>
      </c>
    </row>
    <row r="61" spans="1:23" ht="105" x14ac:dyDescent="0.25">
      <c r="A61" s="4">
        <v>2026</v>
      </c>
      <c r="B61" s="4" t="s">
        <v>317</v>
      </c>
      <c r="C61" s="4" t="s">
        <v>48</v>
      </c>
      <c r="D61" s="4">
        <v>7942572059</v>
      </c>
      <c r="E61" t="s">
        <v>11</v>
      </c>
      <c r="F61" s="9">
        <v>46224</v>
      </c>
      <c r="G61" s="4">
        <v>59</v>
      </c>
      <c r="H61" s="4" t="s">
        <v>74</v>
      </c>
      <c r="I61" s="4" t="s">
        <v>74</v>
      </c>
      <c r="J61" s="4" t="s">
        <v>51</v>
      </c>
      <c r="K61" s="4" t="s">
        <v>234</v>
      </c>
      <c r="L61" s="42" t="s">
        <v>318</v>
      </c>
      <c r="M61" s="4">
        <v>5</v>
      </c>
      <c r="N61" s="4">
        <v>5</v>
      </c>
      <c r="O61" s="4">
        <v>15</v>
      </c>
      <c r="P61" s="4">
        <v>0</v>
      </c>
      <c r="Q61" s="4">
        <v>0</v>
      </c>
      <c r="R61" s="4">
        <v>0</v>
      </c>
      <c r="S61" s="4">
        <v>10</v>
      </c>
      <c r="T61" s="4">
        <v>0</v>
      </c>
      <c r="U61" s="4">
        <v>35</v>
      </c>
      <c r="V61" s="4" t="s">
        <v>14</v>
      </c>
      <c r="W61" s="4" t="s">
        <v>319</v>
      </c>
    </row>
    <row r="62" spans="1:23" ht="105" x14ac:dyDescent="0.25">
      <c r="A62" s="4">
        <v>2025</v>
      </c>
      <c r="B62" s="4" t="s">
        <v>320</v>
      </c>
      <c r="C62" s="4" t="s">
        <v>56</v>
      </c>
      <c r="D62" s="4">
        <v>7927446001</v>
      </c>
      <c r="E62" t="s">
        <v>11</v>
      </c>
      <c r="F62" s="9">
        <v>45846</v>
      </c>
      <c r="G62" s="4">
        <v>1</v>
      </c>
      <c r="H62" s="4" t="s">
        <v>50</v>
      </c>
      <c r="I62" s="4" t="s">
        <v>50</v>
      </c>
      <c r="J62" s="4" t="s">
        <v>51</v>
      </c>
      <c r="K62" s="4" t="s">
        <v>52</v>
      </c>
      <c r="L62" s="42" t="s">
        <v>321</v>
      </c>
      <c r="M62" s="4">
        <v>5</v>
      </c>
      <c r="N62" s="4">
        <v>5</v>
      </c>
      <c r="O62" s="4">
        <v>5</v>
      </c>
      <c r="P62" s="4">
        <v>0</v>
      </c>
      <c r="Q62" s="4">
        <v>0</v>
      </c>
      <c r="R62" s="4">
        <v>10</v>
      </c>
      <c r="S62" s="4">
        <v>0</v>
      </c>
      <c r="T62" s="4">
        <v>0</v>
      </c>
      <c r="U62" s="4">
        <v>25</v>
      </c>
      <c r="V62" s="4" t="s">
        <v>15</v>
      </c>
      <c r="W62" s="4" t="s">
        <v>322</v>
      </c>
    </row>
    <row r="63" spans="1:23" ht="90" x14ac:dyDescent="0.25">
      <c r="A63" s="4">
        <v>2026</v>
      </c>
      <c r="B63" s="4" t="s">
        <v>323</v>
      </c>
      <c r="C63" s="4" t="s">
        <v>56</v>
      </c>
      <c r="D63" s="4">
        <v>7928241200</v>
      </c>
      <c r="E63" t="s">
        <v>11</v>
      </c>
      <c r="F63" s="9">
        <v>46210</v>
      </c>
      <c r="G63" s="4">
        <v>200</v>
      </c>
      <c r="H63" s="4" t="s">
        <v>293</v>
      </c>
      <c r="I63" s="4" t="s">
        <v>224</v>
      </c>
      <c r="J63" s="4" t="s">
        <v>42</v>
      </c>
      <c r="K63" s="4" t="s">
        <v>324</v>
      </c>
      <c r="L63" s="42" t="s">
        <v>325</v>
      </c>
      <c r="M63" s="4">
        <v>5</v>
      </c>
      <c r="N63" s="4">
        <v>5</v>
      </c>
      <c r="O63" s="4">
        <v>5</v>
      </c>
      <c r="P63" s="4">
        <v>0</v>
      </c>
      <c r="Q63" s="4">
        <v>0</v>
      </c>
      <c r="R63" s="4">
        <v>10</v>
      </c>
      <c r="S63" s="4">
        <v>0</v>
      </c>
      <c r="T63" s="4">
        <v>0</v>
      </c>
      <c r="U63" s="4">
        <v>25</v>
      </c>
      <c r="V63" s="4" t="s">
        <v>15</v>
      </c>
      <c r="W63" s="4" t="s">
        <v>326</v>
      </c>
    </row>
    <row r="64" spans="1:23" ht="75" x14ac:dyDescent="0.25">
      <c r="A64" s="4">
        <v>2026</v>
      </c>
      <c r="B64" s="4" t="s">
        <v>327</v>
      </c>
      <c r="C64" s="4" t="s">
        <v>56</v>
      </c>
      <c r="D64" s="4">
        <v>5862236091</v>
      </c>
      <c r="E64" t="s">
        <v>10</v>
      </c>
      <c r="F64" s="9">
        <v>46230</v>
      </c>
      <c r="G64" s="4">
        <v>91</v>
      </c>
      <c r="H64" s="4" t="s">
        <v>40</v>
      </c>
      <c r="I64" s="4" t="s">
        <v>41</v>
      </c>
      <c r="J64" s="4" t="s">
        <v>42</v>
      </c>
      <c r="K64" s="4" t="s">
        <v>328</v>
      </c>
      <c r="L64" s="42" t="s">
        <v>329</v>
      </c>
      <c r="M64" s="4">
        <v>0</v>
      </c>
      <c r="N64" s="4">
        <v>0</v>
      </c>
      <c r="O64" s="4">
        <v>0</v>
      </c>
      <c r="P64" s="4">
        <v>20</v>
      </c>
      <c r="Q64" s="4">
        <v>0</v>
      </c>
      <c r="R64" s="4" t="s">
        <v>45</v>
      </c>
      <c r="S64" s="4" t="s">
        <v>45</v>
      </c>
      <c r="T64" s="4" t="s">
        <v>45</v>
      </c>
      <c r="U64" s="4">
        <v>20</v>
      </c>
      <c r="V64" s="4" t="s">
        <v>15</v>
      </c>
      <c r="W64" s="4" t="s">
        <v>330</v>
      </c>
    </row>
    <row r="65" spans="1:23" ht="30" x14ac:dyDescent="0.25">
      <c r="A65" s="4">
        <v>2026</v>
      </c>
      <c r="B65" s="4" t="s">
        <v>331</v>
      </c>
      <c r="C65" s="4" t="s">
        <v>56</v>
      </c>
      <c r="D65" s="4">
        <v>5836786094</v>
      </c>
      <c r="E65" t="s">
        <v>10</v>
      </c>
      <c r="F65" s="9">
        <v>46160</v>
      </c>
      <c r="G65" s="4">
        <v>94</v>
      </c>
      <c r="H65" s="4" t="s">
        <v>224</v>
      </c>
      <c r="I65" s="4" t="s">
        <v>224</v>
      </c>
      <c r="J65" s="4" t="s">
        <v>42</v>
      </c>
      <c r="K65" s="4" t="s">
        <v>302</v>
      </c>
      <c r="L65" s="42" t="s">
        <v>332</v>
      </c>
      <c r="M65" s="4">
        <v>0</v>
      </c>
      <c r="N65" s="4">
        <v>0</v>
      </c>
      <c r="O65" s="4">
        <v>0</v>
      </c>
      <c r="P65" s="4">
        <v>10</v>
      </c>
      <c r="Q65" s="4">
        <v>10</v>
      </c>
      <c r="R65" s="4" t="s">
        <v>45</v>
      </c>
      <c r="S65" s="4" t="s">
        <v>45</v>
      </c>
      <c r="T65" s="4" t="s">
        <v>45</v>
      </c>
      <c r="U65" s="4">
        <v>20</v>
      </c>
      <c r="V65" s="4" t="s">
        <v>15</v>
      </c>
      <c r="W65" s="4" t="s">
        <v>333</v>
      </c>
    </row>
    <row r="66" spans="1:23" ht="210" x14ac:dyDescent="0.25">
      <c r="A66" s="4">
        <v>2026</v>
      </c>
      <c r="B66" s="4" t="s">
        <v>334</v>
      </c>
      <c r="C66" s="4" t="s">
        <v>56</v>
      </c>
      <c r="D66" s="4">
        <v>7919270014</v>
      </c>
      <c r="E66" t="s">
        <v>11</v>
      </c>
      <c r="F66" s="9">
        <v>46230</v>
      </c>
      <c r="G66" s="4">
        <v>14</v>
      </c>
      <c r="H66" s="4" t="s">
        <v>164</v>
      </c>
      <c r="I66" s="4" t="s">
        <v>117</v>
      </c>
      <c r="J66" s="4" t="s">
        <v>51</v>
      </c>
      <c r="K66" s="4" t="s">
        <v>335</v>
      </c>
      <c r="L66" s="42" t="s">
        <v>336</v>
      </c>
      <c r="M66" s="4">
        <v>5</v>
      </c>
      <c r="N66" s="4">
        <v>5</v>
      </c>
      <c r="O66" s="4">
        <v>0</v>
      </c>
      <c r="P66" s="4">
        <v>0</v>
      </c>
      <c r="Q66" s="4">
        <v>0</v>
      </c>
      <c r="R66" s="4">
        <v>10</v>
      </c>
      <c r="S66" s="4">
        <v>0</v>
      </c>
      <c r="T66" s="4">
        <v>0</v>
      </c>
      <c r="U66" s="4">
        <v>20</v>
      </c>
      <c r="V66" s="4" t="s">
        <v>15</v>
      </c>
      <c r="W66" s="4" t="s">
        <v>337</v>
      </c>
    </row>
    <row r="67" spans="1:23" ht="135" x14ac:dyDescent="0.25">
      <c r="A67" s="4">
        <v>2026</v>
      </c>
      <c r="B67" s="4" t="s">
        <v>338</v>
      </c>
      <c r="C67" s="4" t="s">
        <v>56</v>
      </c>
      <c r="D67" s="4">
        <v>7926442035</v>
      </c>
      <c r="E67" t="s">
        <v>11</v>
      </c>
      <c r="F67" s="9">
        <v>46099</v>
      </c>
      <c r="G67" s="4">
        <v>35</v>
      </c>
      <c r="H67" s="4" t="s">
        <v>339</v>
      </c>
      <c r="I67" s="4" t="s">
        <v>135</v>
      </c>
      <c r="J67" s="4" t="s">
        <v>51</v>
      </c>
      <c r="K67" s="4" t="s">
        <v>340</v>
      </c>
      <c r="L67" s="42" t="s">
        <v>341</v>
      </c>
      <c r="M67" s="4">
        <v>5</v>
      </c>
      <c r="N67" s="4">
        <v>5</v>
      </c>
      <c r="O67" s="4">
        <v>0</v>
      </c>
      <c r="P67" s="4">
        <v>0</v>
      </c>
      <c r="Q67" s="4">
        <v>0</v>
      </c>
      <c r="R67" s="4">
        <v>0</v>
      </c>
      <c r="S67" s="4">
        <v>10</v>
      </c>
      <c r="T67" s="4">
        <v>0</v>
      </c>
      <c r="U67" s="4">
        <v>20</v>
      </c>
      <c r="V67" s="4" t="s">
        <v>15</v>
      </c>
      <c r="W67" s="4" t="s">
        <v>342</v>
      </c>
    </row>
    <row r="68" spans="1:23" ht="105" x14ac:dyDescent="0.25">
      <c r="A68" s="4">
        <v>2026</v>
      </c>
      <c r="B68" s="4" t="s">
        <v>343</v>
      </c>
      <c r="C68" s="4" t="s">
        <v>56</v>
      </c>
      <c r="D68" s="4">
        <v>7938137007</v>
      </c>
      <c r="E68" t="s">
        <v>11</v>
      </c>
      <c r="F68" s="9">
        <v>46218</v>
      </c>
      <c r="G68" s="4">
        <v>7</v>
      </c>
      <c r="H68" s="4" t="s">
        <v>100</v>
      </c>
      <c r="I68" s="4" t="s">
        <v>100</v>
      </c>
      <c r="J68" s="4" t="s">
        <v>51</v>
      </c>
      <c r="K68" s="4" t="s">
        <v>101</v>
      </c>
      <c r="L68" s="42" t="s">
        <v>344</v>
      </c>
      <c r="M68" s="4">
        <v>5</v>
      </c>
      <c r="N68" s="4">
        <v>5</v>
      </c>
      <c r="O68" s="4">
        <v>5</v>
      </c>
      <c r="P68" s="4">
        <v>0</v>
      </c>
      <c r="Q68" s="4">
        <v>0</v>
      </c>
      <c r="R68" s="4">
        <v>0</v>
      </c>
      <c r="S68" s="4">
        <v>0</v>
      </c>
      <c r="T68" s="4">
        <v>0</v>
      </c>
      <c r="U68" s="4">
        <v>15</v>
      </c>
      <c r="V68" s="4" t="s">
        <v>15</v>
      </c>
      <c r="W68" s="4" t="s">
        <v>345</v>
      </c>
    </row>
    <row r="69" spans="1:23" ht="180" x14ac:dyDescent="0.25">
      <c r="A69" s="4">
        <v>2026</v>
      </c>
      <c r="B69" s="4" t="s">
        <v>346</v>
      </c>
      <c r="C69" s="4" t="s">
        <v>56</v>
      </c>
      <c r="D69" s="4">
        <v>5856156091</v>
      </c>
      <c r="E69" t="s">
        <v>10</v>
      </c>
      <c r="F69" s="9">
        <v>46230</v>
      </c>
      <c r="G69" s="4">
        <v>91</v>
      </c>
      <c r="H69" s="4" t="s">
        <v>40</v>
      </c>
      <c r="I69" s="4" t="s">
        <v>41</v>
      </c>
      <c r="J69" s="4" t="s">
        <v>42</v>
      </c>
      <c r="K69" s="4" t="s">
        <v>43</v>
      </c>
      <c r="L69" s="42" t="s">
        <v>347</v>
      </c>
      <c r="M69" s="4">
        <v>0</v>
      </c>
      <c r="N69" s="4">
        <v>0</v>
      </c>
      <c r="O69" s="4">
        <v>0</v>
      </c>
      <c r="P69" s="4">
        <v>0</v>
      </c>
      <c r="Q69" s="4">
        <v>0</v>
      </c>
      <c r="R69" s="4" t="s">
        <v>45</v>
      </c>
      <c r="S69" s="4" t="s">
        <v>45</v>
      </c>
      <c r="T69" s="4" t="s">
        <v>45</v>
      </c>
      <c r="U69" s="4">
        <v>0</v>
      </c>
      <c r="V69" s="4" t="s">
        <v>15</v>
      </c>
      <c r="W69" s="4" t="s">
        <v>348</v>
      </c>
    </row>
    <row r="70" spans="1:23" ht="180" x14ac:dyDescent="0.25">
      <c r="A70" s="4">
        <v>2026</v>
      </c>
      <c r="B70" s="4" t="s">
        <v>349</v>
      </c>
      <c r="C70" s="4" t="s">
        <v>56</v>
      </c>
      <c r="D70" s="4">
        <v>5858783119</v>
      </c>
      <c r="E70" t="s">
        <v>10</v>
      </c>
      <c r="F70" s="9">
        <v>46234</v>
      </c>
      <c r="G70" s="4">
        <v>119</v>
      </c>
      <c r="H70" s="4" t="s">
        <v>350</v>
      </c>
      <c r="I70" s="4" t="s">
        <v>259</v>
      </c>
      <c r="J70" s="4" t="s">
        <v>59</v>
      </c>
      <c r="K70" s="4" t="s">
        <v>351</v>
      </c>
      <c r="L70" s="42" t="s">
        <v>352</v>
      </c>
      <c r="M70" s="4">
        <v>0</v>
      </c>
      <c r="N70" s="4">
        <v>0</v>
      </c>
      <c r="O70" s="4">
        <v>0</v>
      </c>
      <c r="P70" s="4">
        <v>0</v>
      </c>
      <c r="Q70" s="4">
        <v>0</v>
      </c>
      <c r="R70" s="4" t="s">
        <v>45</v>
      </c>
      <c r="S70" s="4" t="s">
        <v>45</v>
      </c>
      <c r="T70" s="4" t="s">
        <v>45</v>
      </c>
      <c r="U70" s="4">
        <v>0</v>
      </c>
      <c r="V70" s="4" t="s">
        <v>15</v>
      </c>
      <c r="W70" s="4" t="s">
        <v>353</v>
      </c>
    </row>
    <row r="71" spans="1:23" ht="60" x14ac:dyDescent="0.25">
      <c r="A71" s="4">
        <v>2026</v>
      </c>
      <c r="B71" s="4" t="s">
        <v>354</v>
      </c>
      <c r="C71" s="4" t="s">
        <v>56</v>
      </c>
      <c r="D71" s="4">
        <v>7930359149</v>
      </c>
      <c r="E71" t="s">
        <v>11</v>
      </c>
      <c r="F71" s="9">
        <v>46216</v>
      </c>
      <c r="G71" s="4">
        <v>149</v>
      </c>
      <c r="H71" s="4" t="s">
        <v>195</v>
      </c>
      <c r="I71" s="4" t="s">
        <v>152</v>
      </c>
      <c r="J71" s="4" t="s">
        <v>51</v>
      </c>
      <c r="K71" s="4" t="s">
        <v>355</v>
      </c>
      <c r="L71" s="42" t="s">
        <v>356</v>
      </c>
      <c r="U71" s="4">
        <v>0</v>
      </c>
      <c r="V71" s="4" t="s">
        <v>357</v>
      </c>
    </row>
    <row r="72" spans="1:23" ht="45" x14ac:dyDescent="0.25">
      <c r="A72" s="4">
        <v>2026</v>
      </c>
      <c r="B72" s="4" t="s">
        <v>358</v>
      </c>
      <c r="C72" s="4" t="s">
        <v>56</v>
      </c>
      <c r="D72" s="4">
        <v>7953211079</v>
      </c>
      <c r="E72" t="s">
        <v>11</v>
      </c>
      <c r="F72" s="9">
        <v>46219</v>
      </c>
      <c r="G72" s="4">
        <v>79</v>
      </c>
      <c r="H72" s="4" t="s">
        <v>359</v>
      </c>
      <c r="I72" s="4" t="s">
        <v>106</v>
      </c>
      <c r="J72" s="4" t="s">
        <v>59</v>
      </c>
      <c r="K72" s="4" t="s">
        <v>360</v>
      </c>
      <c r="L72" s="42" t="s">
        <v>361</v>
      </c>
      <c r="U72" s="4">
        <v>0</v>
      </c>
      <c r="V72" s="4" t="s">
        <v>357</v>
      </c>
    </row>
    <row r="73" spans="1:23" ht="30" x14ac:dyDescent="0.25">
      <c r="A73" s="4">
        <v>2026</v>
      </c>
      <c r="B73" s="4" t="s">
        <v>362</v>
      </c>
      <c r="C73" s="4" t="s">
        <v>92</v>
      </c>
      <c r="D73" s="4">
        <v>7949648145</v>
      </c>
      <c r="E73" t="s">
        <v>11</v>
      </c>
      <c r="F73" s="9">
        <v>46186</v>
      </c>
      <c r="G73" s="4">
        <v>145</v>
      </c>
      <c r="H73" s="4" t="s">
        <v>363</v>
      </c>
      <c r="I73" s="4" t="s">
        <v>58</v>
      </c>
      <c r="J73" s="4" t="s">
        <v>59</v>
      </c>
      <c r="K73" s="4" t="s">
        <v>364</v>
      </c>
      <c r="L73" s="42" t="s">
        <v>365</v>
      </c>
      <c r="U73" s="4">
        <v>0</v>
      </c>
      <c r="V73" s="4" t="s">
        <v>357</v>
      </c>
    </row>
    <row r="74" spans="1:23" ht="30" x14ac:dyDescent="0.25">
      <c r="A74" s="4">
        <v>2026</v>
      </c>
      <c r="B74" s="4" t="s">
        <v>366</v>
      </c>
      <c r="C74" s="4" t="s">
        <v>92</v>
      </c>
      <c r="D74" s="4">
        <v>7908300096</v>
      </c>
      <c r="E74" t="s">
        <v>11</v>
      </c>
      <c r="F74" s="9">
        <v>46191</v>
      </c>
      <c r="G74" s="4">
        <v>96</v>
      </c>
      <c r="H74" s="4" t="s">
        <v>310</v>
      </c>
      <c r="I74" s="4" t="s">
        <v>135</v>
      </c>
      <c r="J74" s="4" t="s">
        <v>51</v>
      </c>
      <c r="K74" s="4" t="s">
        <v>136</v>
      </c>
      <c r="L74" s="42" t="s">
        <v>367</v>
      </c>
      <c r="U74" s="4">
        <v>0</v>
      </c>
      <c r="V74" s="4" t="s">
        <v>357</v>
      </c>
    </row>
    <row r="75" spans="1:23" x14ac:dyDescent="0.25">
      <c r="A75" s="4">
        <v>2026</v>
      </c>
      <c r="B75" s="4" t="s">
        <v>368</v>
      </c>
      <c r="C75" s="4" t="s">
        <v>92</v>
      </c>
      <c r="D75" s="4">
        <v>7900722193</v>
      </c>
      <c r="E75" t="s">
        <v>11</v>
      </c>
      <c r="F75" s="9">
        <v>46227</v>
      </c>
      <c r="G75" s="4">
        <v>193</v>
      </c>
      <c r="H75" s="4" t="s">
        <v>369</v>
      </c>
      <c r="I75" s="4" t="s">
        <v>69</v>
      </c>
      <c r="J75" s="4" t="s">
        <v>59</v>
      </c>
      <c r="K75" s="4" t="s">
        <v>370</v>
      </c>
      <c r="L75" s="42" t="s">
        <v>371</v>
      </c>
      <c r="U75" s="4">
        <v>0</v>
      </c>
      <c r="V75" s="4" t="s">
        <v>357</v>
      </c>
    </row>
    <row r="76" spans="1:23" ht="135" x14ac:dyDescent="0.25">
      <c r="A76" s="4">
        <v>2026</v>
      </c>
      <c r="B76" s="4" t="s">
        <v>372</v>
      </c>
      <c r="C76" s="4" t="s">
        <v>92</v>
      </c>
      <c r="D76" s="4">
        <v>5839141113</v>
      </c>
      <c r="E76" t="s">
        <v>10</v>
      </c>
      <c r="F76" s="9">
        <v>46210</v>
      </c>
      <c r="G76" s="4">
        <v>113</v>
      </c>
      <c r="H76" s="4" t="s">
        <v>373</v>
      </c>
      <c r="I76" s="4" t="s">
        <v>106</v>
      </c>
      <c r="J76" s="4" t="s">
        <v>59</v>
      </c>
      <c r="K76" s="4" t="s">
        <v>374</v>
      </c>
      <c r="L76" s="42" t="s">
        <v>375</v>
      </c>
      <c r="U76" s="4">
        <v>0</v>
      </c>
      <c r="V76" s="4" t="s">
        <v>357</v>
      </c>
    </row>
    <row r="77" spans="1:23" ht="45" x14ac:dyDescent="0.25">
      <c r="A77" s="4">
        <v>2026</v>
      </c>
      <c r="B77" s="4" t="s">
        <v>376</v>
      </c>
      <c r="C77" s="4" t="s">
        <v>92</v>
      </c>
      <c r="D77" s="4">
        <v>7923110021</v>
      </c>
      <c r="E77" t="s">
        <v>11</v>
      </c>
      <c r="F77" s="9">
        <v>46226</v>
      </c>
      <c r="G77" s="4">
        <v>21</v>
      </c>
      <c r="H77" s="4" t="s">
        <v>223</v>
      </c>
      <c r="I77" s="4" t="s">
        <v>224</v>
      </c>
      <c r="J77" s="4" t="s">
        <v>42</v>
      </c>
      <c r="K77" s="4" t="s">
        <v>377</v>
      </c>
      <c r="L77" s="42" t="s">
        <v>378</v>
      </c>
      <c r="U77" s="4">
        <v>0</v>
      </c>
      <c r="V77" s="4" t="s">
        <v>357</v>
      </c>
    </row>
    <row r="78" spans="1:23" ht="30" x14ac:dyDescent="0.25">
      <c r="A78" s="4">
        <v>2026</v>
      </c>
      <c r="B78" s="4" t="s">
        <v>379</v>
      </c>
      <c r="C78" s="4" t="s">
        <v>92</v>
      </c>
      <c r="D78" s="4">
        <v>7950296049</v>
      </c>
      <c r="E78" t="s">
        <v>11</v>
      </c>
      <c r="F78" s="9">
        <v>46243</v>
      </c>
      <c r="G78" s="4">
        <v>49</v>
      </c>
      <c r="H78" s="4" t="s">
        <v>64</v>
      </c>
      <c r="I78" s="4" t="s">
        <v>41</v>
      </c>
      <c r="J78" s="4" t="s">
        <v>42</v>
      </c>
      <c r="K78" s="4" t="s">
        <v>380</v>
      </c>
      <c r="L78" s="42" t="s">
        <v>381</v>
      </c>
      <c r="V78" s="4" t="s">
        <v>357</v>
      </c>
    </row>
    <row r="79" spans="1:23" x14ac:dyDescent="0.25">
      <c r="A79" s="4">
        <v>2026</v>
      </c>
      <c r="B79" s="4" t="s">
        <v>382</v>
      </c>
      <c r="C79" s="4" t="s">
        <v>92</v>
      </c>
      <c r="D79" s="4">
        <v>7909594004</v>
      </c>
      <c r="E79" t="s">
        <v>11</v>
      </c>
      <c r="F79" s="9">
        <v>46243</v>
      </c>
      <c r="G79" s="4">
        <v>4</v>
      </c>
      <c r="H79" s="4" t="s">
        <v>69</v>
      </c>
      <c r="I79" s="4" t="s">
        <v>69</v>
      </c>
      <c r="J79" s="4" t="s">
        <v>59</v>
      </c>
      <c r="K79" s="4" t="s">
        <v>383</v>
      </c>
      <c r="L79" s="42" t="s">
        <v>384</v>
      </c>
      <c r="V79" s="4" t="s">
        <v>357</v>
      </c>
    </row>
    <row r="80" spans="1:23" ht="60" x14ac:dyDescent="0.25">
      <c r="A80" s="4">
        <v>2026</v>
      </c>
      <c r="B80" s="4" t="s">
        <v>385</v>
      </c>
      <c r="C80" s="4" t="s">
        <v>92</v>
      </c>
      <c r="D80" s="4">
        <v>7961515047</v>
      </c>
      <c r="E80" t="s">
        <v>11</v>
      </c>
      <c r="F80" s="9">
        <v>46239</v>
      </c>
      <c r="G80" s="4">
        <v>47</v>
      </c>
      <c r="H80" s="4" t="s">
        <v>111</v>
      </c>
      <c r="I80" s="4" t="s">
        <v>112</v>
      </c>
      <c r="J80" s="4" t="s">
        <v>42</v>
      </c>
      <c r="K80" s="4" t="s">
        <v>386</v>
      </c>
      <c r="L80" s="42" t="s">
        <v>387</v>
      </c>
      <c r="V80" s="4" t="s">
        <v>357</v>
      </c>
    </row>
    <row r="81" spans="1:22" ht="60" x14ac:dyDescent="0.25">
      <c r="A81" s="4">
        <v>2026</v>
      </c>
      <c r="B81" s="4" t="s">
        <v>388</v>
      </c>
      <c r="C81" s="4" t="s">
        <v>56</v>
      </c>
      <c r="D81" s="4">
        <v>5825703064</v>
      </c>
      <c r="E81" t="s">
        <v>10</v>
      </c>
      <c r="F81" s="9">
        <v>46224</v>
      </c>
      <c r="G81" s="4">
        <v>64</v>
      </c>
      <c r="H81" s="4" t="s">
        <v>389</v>
      </c>
      <c r="I81" s="4" t="s">
        <v>106</v>
      </c>
      <c r="J81" s="4" t="s">
        <v>59</v>
      </c>
      <c r="K81" s="4" t="s">
        <v>390</v>
      </c>
      <c r="L81" s="42" t="s">
        <v>391</v>
      </c>
      <c r="V81" s="4" t="s">
        <v>357</v>
      </c>
    </row>
    <row r="82" spans="1:22" ht="45" x14ac:dyDescent="0.25">
      <c r="A82" s="4">
        <v>2026</v>
      </c>
      <c r="B82" s="4" t="s">
        <v>392</v>
      </c>
      <c r="C82" s="4" t="s">
        <v>92</v>
      </c>
      <c r="D82" s="4">
        <v>7938048113</v>
      </c>
      <c r="E82" t="s">
        <v>11</v>
      </c>
      <c r="F82" s="9">
        <v>46244</v>
      </c>
      <c r="G82" s="4">
        <v>113</v>
      </c>
      <c r="H82" s="4" t="s">
        <v>373</v>
      </c>
      <c r="I82" s="4" t="s">
        <v>106</v>
      </c>
      <c r="J82" s="4" t="s">
        <v>59</v>
      </c>
      <c r="K82" s="4" t="s">
        <v>390</v>
      </c>
      <c r="L82" s="42" t="s">
        <v>393</v>
      </c>
      <c r="V82" s="4" t="s">
        <v>357</v>
      </c>
    </row>
    <row r="83" spans="1:22" ht="150" x14ac:dyDescent="0.25">
      <c r="A83" s="4">
        <v>2026</v>
      </c>
      <c r="B83" s="4" t="s">
        <v>394</v>
      </c>
      <c r="C83" s="4" t="s">
        <v>395</v>
      </c>
      <c r="D83" s="4">
        <v>7931219078</v>
      </c>
      <c r="E83" t="s">
        <v>11</v>
      </c>
      <c r="F83" s="9">
        <v>46211</v>
      </c>
      <c r="G83" s="4">
        <v>78</v>
      </c>
      <c r="H83" s="4" t="s">
        <v>396</v>
      </c>
      <c r="I83" s="4" t="s">
        <v>106</v>
      </c>
      <c r="J83" s="4" t="s">
        <v>59</v>
      </c>
      <c r="K83" s="4" t="s">
        <v>170</v>
      </c>
      <c r="L83" s="42" t="s">
        <v>397</v>
      </c>
      <c r="V83" s="4" t="s">
        <v>357</v>
      </c>
    </row>
    <row r="84" spans="1:22" ht="30" x14ac:dyDescent="0.25">
      <c r="A84" s="4">
        <v>2026</v>
      </c>
      <c r="B84" s="4" t="s">
        <v>398</v>
      </c>
      <c r="C84" s="4" t="s">
        <v>399</v>
      </c>
      <c r="D84" s="4">
        <v>7949656024</v>
      </c>
      <c r="E84" t="s">
        <v>11</v>
      </c>
      <c r="F84" s="9">
        <v>46246</v>
      </c>
      <c r="G84" s="4">
        <v>24</v>
      </c>
      <c r="H84" s="4" t="s">
        <v>400</v>
      </c>
      <c r="I84" s="4" t="s">
        <v>106</v>
      </c>
      <c r="J84" s="4" t="s">
        <v>59</v>
      </c>
      <c r="K84" s="4" t="s">
        <v>390</v>
      </c>
      <c r="L84" s="42" t="s">
        <v>401</v>
      </c>
      <c r="V84" s="4" t="s">
        <v>357</v>
      </c>
    </row>
    <row r="85" spans="1:22" ht="45" x14ac:dyDescent="0.25">
      <c r="A85" s="4">
        <v>2026</v>
      </c>
      <c r="B85" s="4" t="s">
        <v>402</v>
      </c>
      <c r="C85" s="4" t="s">
        <v>92</v>
      </c>
      <c r="D85" s="4">
        <v>7944353028</v>
      </c>
      <c r="E85" t="s">
        <v>11</v>
      </c>
      <c r="F85" s="9">
        <v>46241</v>
      </c>
      <c r="G85" s="4">
        <v>28</v>
      </c>
      <c r="H85" s="4" t="s">
        <v>403</v>
      </c>
      <c r="I85" s="4" t="s">
        <v>41</v>
      </c>
      <c r="J85" s="4" t="s">
        <v>42</v>
      </c>
      <c r="K85" s="4" t="s">
        <v>43</v>
      </c>
      <c r="L85" s="42" t="s">
        <v>404</v>
      </c>
      <c r="V85" s="4" t="s">
        <v>357</v>
      </c>
    </row>
    <row r="86" spans="1:22" ht="30" x14ac:dyDescent="0.25">
      <c r="A86" s="4">
        <v>2026</v>
      </c>
      <c r="B86" s="4" t="s">
        <v>405</v>
      </c>
      <c r="C86" s="4" t="s">
        <v>92</v>
      </c>
      <c r="D86" s="4">
        <v>7925126060</v>
      </c>
      <c r="E86" t="s">
        <v>11</v>
      </c>
      <c r="F86" s="9">
        <v>46252</v>
      </c>
      <c r="G86" s="4">
        <v>60</v>
      </c>
      <c r="H86" s="4" t="s">
        <v>253</v>
      </c>
      <c r="I86" s="4" t="s">
        <v>94</v>
      </c>
      <c r="J86" s="4" t="s">
        <v>59</v>
      </c>
      <c r="K86" s="4" t="s">
        <v>406</v>
      </c>
      <c r="L86" s="42" t="s">
        <v>407</v>
      </c>
      <c r="V86" s="4" t="s">
        <v>357</v>
      </c>
    </row>
    <row r="87" spans="1:22" ht="30" x14ac:dyDescent="0.25">
      <c r="A87" s="4">
        <v>2026</v>
      </c>
      <c r="B87" s="4" t="s">
        <v>408</v>
      </c>
      <c r="C87" s="4" t="s">
        <v>92</v>
      </c>
      <c r="D87" s="4">
        <v>7908709122</v>
      </c>
      <c r="E87" t="s">
        <v>11</v>
      </c>
      <c r="F87" s="9">
        <v>46245</v>
      </c>
      <c r="G87" s="4">
        <v>122</v>
      </c>
      <c r="H87" s="4" t="s">
        <v>264</v>
      </c>
      <c r="I87" s="4" t="s">
        <v>264</v>
      </c>
      <c r="J87" s="4" t="s">
        <v>51</v>
      </c>
      <c r="K87" s="4" t="s">
        <v>409</v>
      </c>
      <c r="L87" s="42" t="s">
        <v>410</v>
      </c>
      <c r="V87" s="4" t="s">
        <v>357</v>
      </c>
    </row>
    <row r="88" spans="1:22" ht="30" x14ac:dyDescent="0.25">
      <c r="A88" s="4">
        <v>2026</v>
      </c>
      <c r="B88" s="4" t="s">
        <v>411</v>
      </c>
      <c r="C88" s="4" t="s">
        <v>92</v>
      </c>
      <c r="D88" s="4">
        <v>7905320122</v>
      </c>
      <c r="E88" t="s">
        <v>11</v>
      </c>
      <c r="F88" s="9">
        <v>46250</v>
      </c>
      <c r="G88" s="4">
        <v>122</v>
      </c>
      <c r="H88" s="4" t="s">
        <v>264</v>
      </c>
      <c r="I88" s="4" t="s">
        <v>264</v>
      </c>
      <c r="J88" s="4" t="s">
        <v>51</v>
      </c>
      <c r="K88" s="4" t="s">
        <v>412</v>
      </c>
      <c r="L88" s="42" t="s">
        <v>413</v>
      </c>
      <c r="V88" s="4" t="s">
        <v>357</v>
      </c>
    </row>
    <row r="89" spans="1:22" ht="45" x14ac:dyDescent="0.25">
      <c r="A89" s="4">
        <v>2026</v>
      </c>
      <c r="B89" s="4" t="s">
        <v>414</v>
      </c>
      <c r="C89" s="4" t="s">
        <v>92</v>
      </c>
      <c r="D89" s="4">
        <v>7926242029</v>
      </c>
      <c r="E89" t="s">
        <v>11</v>
      </c>
      <c r="F89" s="9">
        <v>46243</v>
      </c>
      <c r="G89" s="4">
        <v>29</v>
      </c>
      <c r="H89" s="4" t="s">
        <v>415</v>
      </c>
      <c r="I89" s="4" t="s">
        <v>224</v>
      </c>
      <c r="J89" s="4" t="s">
        <v>42</v>
      </c>
      <c r="K89" s="4" t="s">
        <v>294</v>
      </c>
      <c r="L89" s="42" t="s">
        <v>416</v>
      </c>
      <c r="V89" s="4" t="s">
        <v>357</v>
      </c>
    </row>
    <row r="90" spans="1:22" ht="30" x14ac:dyDescent="0.25">
      <c r="A90" s="4">
        <v>2026</v>
      </c>
      <c r="B90" s="4" t="s">
        <v>417</v>
      </c>
      <c r="C90" s="4" t="s">
        <v>92</v>
      </c>
      <c r="D90" s="4">
        <v>7946713015</v>
      </c>
      <c r="E90" t="s">
        <v>11</v>
      </c>
      <c r="F90" s="9">
        <v>46245</v>
      </c>
      <c r="G90" s="4">
        <v>15</v>
      </c>
      <c r="H90" s="4" t="s">
        <v>288</v>
      </c>
      <c r="I90" s="4" t="s">
        <v>106</v>
      </c>
      <c r="J90" s="4" t="s">
        <v>59</v>
      </c>
      <c r="K90" s="4" t="s">
        <v>418</v>
      </c>
      <c r="L90" s="42" t="s">
        <v>419</v>
      </c>
      <c r="V90" s="4" t="s">
        <v>357</v>
      </c>
    </row>
    <row r="91" spans="1:22" ht="30" x14ac:dyDescent="0.25">
      <c r="A91" s="4">
        <v>2026</v>
      </c>
      <c r="B91" s="4" t="s">
        <v>420</v>
      </c>
      <c r="C91" s="4" t="s">
        <v>92</v>
      </c>
      <c r="D91" s="4">
        <v>7908693026</v>
      </c>
      <c r="E91" t="s">
        <v>11</v>
      </c>
      <c r="F91" s="9">
        <v>46241</v>
      </c>
      <c r="G91" s="4">
        <v>26</v>
      </c>
      <c r="H91" s="4" t="s">
        <v>135</v>
      </c>
      <c r="I91" s="4" t="s">
        <v>135</v>
      </c>
      <c r="J91" s="4" t="s">
        <v>51</v>
      </c>
      <c r="K91" s="4" t="s">
        <v>136</v>
      </c>
      <c r="L91" s="42" t="s">
        <v>421</v>
      </c>
      <c r="V91" s="4" t="s">
        <v>357</v>
      </c>
    </row>
    <row r="92" spans="1:22" ht="30" x14ac:dyDescent="0.25">
      <c r="A92" s="4">
        <v>2026</v>
      </c>
      <c r="B92" s="4" t="s">
        <v>422</v>
      </c>
      <c r="C92" s="4" t="s">
        <v>92</v>
      </c>
      <c r="D92" s="4">
        <v>5854766001</v>
      </c>
      <c r="E92" t="s">
        <v>10</v>
      </c>
      <c r="F92" s="9">
        <v>46244</v>
      </c>
      <c r="G92" s="4">
        <v>1</v>
      </c>
      <c r="H92" s="4" t="s">
        <v>50</v>
      </c>
      <c r="I92" s="4" t="s">
        <v>50</v>
      </c>
      <c r="J92" s="4" t="s">
        <v>51</v>
      </c>
      <c r="K92" s="4" t="s">
        <v>423</v>
      </c>
      <c r="L92" s="42" t="s">
        <v>424</v>
      </c>
      <c r="V92" s="4" t="s">
        <v>357</v>
      </c>
    </row>
    <row r="93" spans="1:22" ht="30" x14ac:dyDescent="0.25">
      <c r="A93" s="4">
        <v>2026</v>
      </c>
      <c r="B93" s="4" t="s">
        <v>425</v>
      </c>
      <c r="C93" s="4" t="s">
        <v>92</v>
      </c>
      <c r="D93" s="4">
        <v>7902702257</v>
      </c>
      <c r="E93" t="s">
        <v>11</v>
      </c>
      <c r="F93" s="9">
        <v>46247</v>
      </c>
      <c r="G93" s="4">
        <v>257</v>
      </c>
      <c r="H93" s="4" t="s">
        <v>426</v>
      </c>
      <c r="I93" s="4" t="s">
        <v>135</v>
      </c>
      <c r="J93" s="4" t="s">
        <v>51</v>
      </c>
      <c r="K93" s="4" t="s">
        <v>136</v>
      </c>
      <c r="L93" s="42" t="s">
        <v>427</v>
      </c>
      <c r="V93" s="4" t="s">
        <v>357</v>
      </c>
    </row>
    <row r="94" spans="1:22" ht="30" x14ac:dyDescent="0.25">
      <c r="A94" s="4">
        <v>2026</v>
      </c>
      <c r="B94" s="4" t="s">
        <v>428</v>
      </c>
      <c r="C94" s="4" t="s">
        <v>92</v>
      </c>
      <c r="D94" s="4">
        <v>7925727002</v>
      </c>
      <c r="E94" t="s">
        <v>11</v>
      </c>
      <c r="F94" s="9">
        <v>46241</v>
      </c>
      <c r="G94" s="4">
        <v>2</v>
      </c>
      <c r="H94" s="4" t="s">
        <v>259</v>
      </c>
      <c r="I94" s="4" t="s">
        <v>259</v>
      </c>
      <c r="J94" s="4" t="s">
        <v>59</v>
      </c>
      <c r="K94" s="4" t="s">
        <v>429</v>
      </c>
      <c r="L94" s="42" t="s">
        <v>430</v>
      </c>
      <c r="V94" s="4" t="s">
        <v>357</v>
      </c>
    </row>
  </sheetData>
  <conditionalFormatting sqref="D1:D1048576">
    <cfRule type="duplicateValues" dxfId="7" priority="22"/>
  </conditionalFormatting>
  <conditionalFormatting sqref="D2:D94">
    <cfRule type="duplicateValues" dxfId="6" priority="61"/>
  </conditionalFormatting>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AE06-8DDE-4A08-B07D-B3D96DDBC7BF}">
  <dimension ref="A1:AG131"/>
  <sheetViews>
    <sheetView workbookViewId="0"/>
  </sheetViews>
  <sheetFormatPr defaultRowHeight="15" x14ac:dyDescent="0.25"/>
  <cols>
    <col min="1" max="1" width="12" bestFit="1" customWidth="1"/>
    <col min="2" max="2" width="7.28515625" bestFit="1" customWidth="1"/>
    <col min="3" max="3" width="29.140625" bestFit="1" customWidth="1"/>
    <col min="4" max="4" width="25.42578125" bestFit="1" customWidth="1"/>
    <col min="5" max="5" width="11.140625" bestFit="1" customWidth="1"/>
    <col min="6" max="6" width="22.42578125" bestFit="1" customWidth="1"/>
    <col min="7" max="7" width="62.42578125" bestFit="1" customWidth="1"/>
    <col min="8" max="8" width="11.7109375" bestFit="1" customWidth="1"/>
    <col min="9" max="9" width="15.140625" bestFit="1" customWidth="1"/>
    <col min="10" max="10" width="17.28515625" bestFit="1" customWidth="1"/>
    <col min="11" max="11" width="13.85546875" bestFit="1" customWidth="1"/>
    <col min="12" max="12" width="17.42578125" bestFit="1" customWidth="1"/>
    <col min="13" max="13" width="19.7109375" bestFit="1" customWidth="1"/>
    <col min="14" max="14" width="11.140625" bestFit="1" customWidth="1"/>
    <col min="15" max="15" width="14.5703125" bestFit="1" customWidth="1"/>
    <col min="16" max="16" width="16.85546875" bestFit="1" customWidth="1"/>
    <col min="17" max="17" width="12.5703125" bestFit="1" customWidth="1"/>
    <col min="18" max="18" width="142.28515625" bestFit="1" customWidth="1"/>
    <col min="19" max="19" width="21.5703125" bestFit="1" customWidth="1"/>
    <col min="20" max="20" width="32" bestFit="1" customWidth="1"/>
    <col min="21" max="21" width="14" bestFit="1" customWidth="1"/>
    <col min="22" max="22" width="255.7109375" bestFit="1" customWidth="1"/>
    <col min="23" max="30" width="13" bestFit="1" customWidth="1"/>
    <col min="31" max="31" width="13.28515625" bestFit="1" customWidth="1"/>
    <col min="32" max="32" width="13" bestFit="1" customWidth="1"/>
    <col min="33" max="33" width="135.28515625" bestFit="1" customWidth="1"/>
  </cols>
  <sheetData>
    <row r="1" spans="1:33" x14ac:dyDescent="0.25">
      <c r="A1" t="s">
        <v>431</v>
      </c>
      <c r="B1" t="s">
        <v>432</v>
      </c>
      <c r="C1" t="s">
        <v>433</v>
      </c>
      <c r="D1" t="s">
        <v>434</v>
      </c>
      <c r="E1" t="s">
        <v>435</v>
      </c>
      <c r="F1" t="s">
        <v>436</v>
      </c>
      <c r="G1" t="s">
        <v>437</v>
      </c>
      <c r="H1" t="s">
        <v>438</v>
      </c>
      <c r="I1" t="s">
        <v>439</v>
      </c>
      <c r="J1" t="s">
        <v>440</v>
      </c>
      <c r="K1" t="s">
        <v>441</v>
      </c>
      <c r="L1" t="s">
        <v>442</v>
      </c>
      <c r="M1" t="s">
        <v>443</v>
      </c>
      <c r="N1" t="s">
        <v>444</v>
      </c>
      <c r="O1" t="s">
        <v>445</v>
      </c>
      <c r="P1" t="s">
        <v>446</v>
      </c>
      <c r="Q1" t="s">
        <v>447</v>
      </c>
      <c r="R1" t="s">
        <v>448</v>
      </c>
      <c r="S1" t="s">
        <v>449</v>
      </c>
      <c r="T1" t="s">
        <v>450</v>
      </c>
      <c r="U1" t="s">
        <v>3</v>
      </c>
      <c r="V1" t="s">
        <v>451</v>
      </c>
      <c r="W1" t="s">
        <v>28</v>
      </c>
      <c r="X1" t="s">
        <v>29</v>
      </c>
      <c r="Y1" t="s">
        <v>30</v>
      </c>
      <c r="Z1" t="s">
        <v>31</v>
      </c>
      <c r="AA1" t="s">
        <v>32</v>
      </c>
      <c r="AB1" t="s">
        <v>33</v>
      </c>
      <c r="AC1" t="s">
        <v>34</v>
      </c>
      <c r="AD1" t="s">
        <v>35</v>
      </c>
      <c r="AE1" t="s">
        <v>36</v>
      </c>
      <c r="AF1" t="s">
        <v>2</v>
      </c>
      <c r="AG1" t="s">
        <v>37</v>
      </c>
    </row>
    <row r="2" spans="1:33" x14ac:dyDescent="0.25">
      <c r="A2">
        <v>5800291077</v>
      </c>
      <c r="B2" t="s">
        <v>10</v>
      </c>
      <c r="C2" t="s">
        <v>190</v>
      </c>
      <c r="D2" t="s">
        <v>69</v>
      </c>
      <c r="E2" t="s">
        <v>59</v>
      </c>
      <c r="F2" t="s">
        <v>452</v>
      </c>
      <c r="S2" t="s">
        <v>453</v>
      </c>
      <c r="V2" t="s">
        <v>454</v>
      </c>
      <c r="W2">
        <v>40</v>
      </c>
      <c r="X2">
        <v>20</v>
      </c>
      <c r="Y2">
        <v>20</v>
      </c>
      <c r="Z2">
        <v>20</v>
      </c>
      <c r="AA2">
        <v>20</v>
      </c>
      <c r="AB2" t="s">
        <v>45</v>
      </c>
      <c r="AC2" t="s">
        <v>45</v>
      </c>
      <c r="AD2" t="s">
        <v>45</v>
      </c>
      <c r="AE2">
        <v>120</v>
      </c>
      <c r="AF2" t="s">
        <v>9</v>
      </c>
      <c r="AG2" t="s">
        <v>455</v>
      </c>
    </row>
    <row r="3" spans="1:33" x14ac:dyDescent="0.25">
      <c r="A3">
        <v>5854566043</v>
      </c>
      <c r="B3" t="s">
        <v>10</v>
      </c>
      <c r="C3" t="s">
        <v>49</v>
      </c>
      <c r="D3" t="s">
        <v>50</v>
      </c>
      <c r="E3" t="s">
        <v>51</v>
      </c>
      <c r="F3" t="s">
        <v>456</v>
      </c>
      <c r="G3" t="s">
        <v>457</v>
      </c>
      <c r="R3" t="s">
        <v>458</v>
      </c>
      <c r="S3" t="s">
        <v>459</v>
      </c>
      <c r="T3" t="s">
        <v>460</v>
      </c>
      <c r="U3">
        <v>1</v>
      </c>
      <c r="V3" t="s">
        <v>461</v>
      </c>
      <c r="W3">
        <v>40</v>
      </c>
      <c r="X3">
        <v>20</v>
      </c>
      <c r="Y3">
        <v>20</v>
      </c>
      <c r="Z3">
        <v>10</v>
      </c>
      <c r="AA3">
        <v>20</v>
      </c>
      <c r="AB3" t="s">
        <v>45</v>
      </c>
      <c r="AC3" t="s">
        <v>45</v>
      </c>
      <c r="AD3" t="s">
        <v>45</v>
      </c>
      <c r="AE3">
        <v>110</v>
      </c>
      <c r="AF3" t="s">
        <v>9</v>
      </c>
      <c r="AG3" t="s">
        <v>54</v>
      </c>
    </row>
    <row r="4" spans="1:33" x14ac:dyDescent="0.25">
      <c r="A4">
        <v>5800859011</v>
      </c>
      <c r="B4" t="s">
        <v>10</v>
      </c>
      <c r="C4" t="s">
        <v>462</v>
      </c>
      <c r="D4" t="s">
        <v>106</v>
      </c>
      <c r="E4" t="s">
        <v>59</v>
      </c>
      <c r="F4" t="s">
        <v>463</v>
      </c>
      <c r="G4" t="s">
        <v>464</v>
      </c>
      <c r="R4" t="s">
        <v>465</v>
      </c>
      <c r="S4" t="s">
        <v>459</v>
      </c>
      <c r="T4" t="s">
        <v>466</v>
      </c>
      <c r="U4">
        <v>1</v>
      </c>
      <c r="V4" t="s">
        <v>467</v>
      </c>
      <c r="W4">
        <v>40</v>
      </c>
      <c r="X4">
        <v>20</v>
      </c>
      <c r="Y4">
        <v>20</v>
      </c>
      <c r="Z4">
        <v>10</v>
      </c>
      <c r="AA4">
        <v>20</v>
      </c>
      <c r="AB4" t="s">
        <v>45</v>
      </c>
      <c r="AC4" t="s">
        <v>45</v>
      </c>
      <c r="AD4" t="s">
        <v>45</v>
      </c>
      <c r="AE4">
        <v>110</v>
      </c>
      <c r="AF4" t="s">
        <v>9</v>
      </c>
      <c r="AG4" t="s">
        <v>468</v>
      </c>
    </row>
    <row r="5" spans="1:33" x14ac:dyDescent="0.25">
      <c r="A5">
        <v>5836764032</v>
      </c>
      <c r="B5" t="s">
        <v>10</v>
      </c>
      <c r="C5" t="s">
        <v>469</v>
      </c>
      <c r="D5" t="s">
        <v>470</v>
      </c>
      <c r="E5" t="s">
        <v>42</v>
      </c>
      <c r="F5" t="s">
        <v>452</v>
      </c>
      <c r="S5" t="s">
        <v>453</v>
      </c>
      <c r="V5" t="s">
        <v>454</v>
      </c>
      <c r="W5">
        <v>40</v>
      </c>
      <c r="X5">
        <v>20</v>
      </c>
      <c r="Y5">
        <v>20</v>
      </c>
      <c r="Z5">
        <v>10</v>
      </c>
      <c r="AA5">
        <v>20</v>
      </c>
      <c r="AB5" t="s">
        <v>45</v>
      </c>
      <c r="AC5" t="s">
        <v>45</v>
      </c>
      <c r="AD5" t="s">
        <v>45</v>
      </c>
      <c r="AE5">
        <v>110</v>
      </c>
      <c r="AF5" t="s">
        <v>9</v>
      </c>
      <c r="AG5" t="s">
        <v>471</v>
      </c>
    </row>
    <row r="6" spans="1:33" x14ac:dyDescent="0.25">
      <c r="A6">
        <v>7923673004</v>
      </c>
      <c r="B6" t="s">
        <v>11</v>
      </c>
      <c r="C6" t="s">
        <v>69</v>
      </c>
      <c r="D6" t="s">
        <v>69</v>
      </c>
      <c r="E6" t="s">
        <v>59</v>
      </c>
      <c r="F6" t="s">
        <v>68</v>
      </c>
      <c r="G6" t="s">
        <v>472</v>
      </c>
      <c r="R6" t="s">
        <v>473</v>
      </c>
      <c r="S6" t="s">
        <v>474</v>
      </c>
      <c r="T6" t="s">
        <v>475</v>
      </c>
      <c r="U6">
        <v>1</v>
      </c>
      <c r="V6" t="s">
        <v>71</v>
      </c>
      <c r="W6">
        <v>15</v>
      </c>
      <c r="X6">
        <v>20</v>
      </c>
      <c r="Y6">
        <v>15</v>
      </c>
      <c r="Z6">
        <v>15</v>
      </c>
      <c r="AA6">
        <v>15</v>
      </c>
      <c r="AB6">
        <v>10</v>
      </c>
      <c r="AC6">
        <v>0</v>
      </c>
      <c r="AD6">
        <v>15</v>
      </c>
      <c r="AE6">
        <v>105</v>
      </c>
      <c r="AF6" t="s">
        <v>9</v>
      </c>
      <c r="AG6" t="s">
        <v>72</v>
      </c>
    </row>
    <row r="7" spans="1:33" x14ac:dyDescent="0.25">
      <c r="A7">
        <v>7931608059</v>
      </c>
      <c r="B7" t="s">
        <v>11</v>
      </c>
      <c r="C7" t="s">
        <v>74</v>
      </c>
      <c r="D7" t="s">
        <v>74</v>
      </c>
      <c r="E7" t="s">
        <v>51</v>
      </c>
      <c r="F7" t="s">
        <v>73</v>
      </c>
      <c r="G7" t="s">
        <v>472</v>
      </c>
      <c r="S7" t="s">
        <v>474</v>
      </c>
      <c r="T7" t="s">
        <v>476</v>
      </c>
      <c r="U7">
        <v>1</v>
      </c>
      <c r="V7" t="s">
        <v>76</v>
      </c>
      <c r="W7">
        <v>15</v>
      </c>
      <c r="X7">
        <v>20</v>
      </c>
      <c r="Y7">
        <v>15</v>
      </c>
      <c r="Z7">
        <v>15</v>
      </c>
      <c r="AA7">
        <v>15</v>
      </c>
      <c r="AB7">
        <v>10</v>
      </c>
      <c r="AC7">
        <v>0</v>
      </c>
      <c r="AD7">
        <v>15</v>
      </c>
      <c r="AE7">
        <v>105</v>
      </c>
      <c r="AF7" t="s">
        <v>9</v>
      </c>
      <c r="AG7" t="s">
        <v>77</v>
      </c>
    </row>
    <row r="8" spans="1:33" x14ac:dyDescent="0.25">
      <c r="A8">
        <v>7931610122</v>
      </c>
      <c r="B8" t="s">
        <v>11</v>
      </c>
      <c r="C8" t="s">
        <v>264</v>
      </c>
      <c r="D8" t="s">
        <v>264</v>
      </c>
      <c r="E8" t="s">
        <v>51</v>
      </c>
      <c r="F8" t="s">
        <v>477</v>
      </c>
      <c r="G8" t="s">
        <v>464</v>
      </c>
      <c r="O8" t="s">
        <v>478</v>
      </c>
      <c r="S8" t="s">
        <v>459</v>
      </c>
      <c r="T8" t="s">
        <v>479</v>
      </c>
      <c r="U8">
        <v>1</v>
      </c>
      <c r="V8" t="s">
        <v>480</v>
      </c>
      <c r="W8">
        <v>15</v>
      </c>
      <c r="X8">
        <v>20</v>
      </c>
      <c r="Y8">
        <v>15</v>
      </c>
      <c r="Z8">
        <v>15</v>
      </c>
      <c r="AA8">
        <v>15</v>
      </c>
      <c r="AB8">
        <v>10</v>
      </c>
      <c r="AC8">
        <v>0</v>
      </c>
      <c r="AD8">
        <v>15</v>
      </c>
      <c r="AE8">
        <v>105</v>
      </c>
      <c r="AF8" t="s">
        <v>9</v>
      </c>
      <c r="AG8" t="s">
        <v>481</v>
      </c>
    </row>
    <row r="9" spans="1:33" x14ac:dyDescent="0.25">
      <c r="A9">
        <v>7900648055</v>
      </c>
      <c r="B9" t="s">
        <v>11</v>
      </c>
      <c r="C9" t="s">
        <v>482</v>
      </c>
      <c r="D9" t="s">
        <v>152</v>
      </c>
      <c r="E9" t="s">
        <v>51</v>
      </c>
      <c r="F9" t="s">
        <v>452</v>
      </c>
      <c r="S9" t="s">
        <v>453</v>
      </c>
      <c r="V9" t="s">
        <v>454</v>
      </c>
      <c r="W9">
        <v>15</v>
      </c>
      <c r="X9">
        <v>20</v>
      </c>
      <c r="Y9">
        <v>15</v>
      </c>
      <c r="Z9">
        <v>15</v>
      </c>
      <c r="AA9">
        <v>15</v>
      </c>
      <c r="AB9">
        <v>10</v>
      </c>
      <c r="AC9">
        <v>0</v>
      </c>
      <c r="AD9">
        <v>15</v>
      </c>
      <c r="AE9">
        <v>105</v>
      </c>
      <c r="AF9" t="s">
        <v>9</v>
      </c>
      <c r="AG9" t="s">
        <v>483</v>
      </c>
    </row>
    <row r="10" spans="1:33" x14ac:dyDescent="0.25">
      <c r="A10">
        <v>7947203070</v>
      </c>
      <c r="B10" t="s">
        <v>11</v>
      </c>
      <c r="C10" t="s">
        <v>87</v>
      </c>
      <c r="D10" t="s">
        <v>74</v>
      </c>
      <c r="E10" t="s">
        <v>51</v>
      </c>
      <c r="F10" t="s">
        <v>86</v>
      </c>
      <c r="G10" t="s">
        <v>472</v>
      </c>
      <c r="S10" t="s">
        <v>474</v>
      </c>
      <c r="T10" t="s">
        <v>484</v>
      </c>
      <c r="U10">
        <v>1</v>
      </c>
      <c r="V10" t="s">
        <v>89</v>
      </c>
      <c r="W10">
        <v>10</v>
      </c>
      <c r="X10">
        <v>20</v>
      </c>
      <c r="Y10">
        <v>15</v>
      </c>
      <c r="Z10">
        <v>15</v>
      </c>
      <c r="AA10">
        <v>15</v>
      </c>
      <c r="AB10">
        <v>10</v>
      </c>
      <c r="AC10">
        <v>0</v>
      </c>
      <c r="AD10">
        <v>15</v>
      </c>
      <c r="AE10">
        <v>100</v>
      </c>
      <c r="AF10" t="s">
        <v>9</v>
      </c>
      <c r="AG10" t="s">
        <v>90</v>
      </c>
    </row>
    <row r="11" spans="1:33" x14ac:dyDescent="0.25">
      <c r="A11">
        <v>5856070091</v>
      </c>
      <c r="B11" t="s">
        <v>10</v>
      </c>
      <c r="C11" t="s">
        <v>40</v>
      </c>
      <c r="D11" t="s">
        <v>41</v>
      </c>
      <c r="E11" t="s">
        <v>42</v>
      </c>
      <c r="F11" t="s">
        <v>38</v>
      </c>
      <c r="G11" t="s">
        <v>485</v>
      </c>
      <c r="R11" t="s">
        <v>486</v>
      </c>
      <c r="S11" t="s">
        <v>459</v>
      </c>
      <c r="T11" t="s">
        <v>487</v>
      </c>
      <c r="U11">
        <v>3</v>
      </c>
      <c r="V11" t="s">
        <v>44</v>
      </c>
      <c r="W11">
        <v>40</v>
      </c>
      <c r="X11">
        <v>20</v>
      </c>
      <c r="Y11">
        <v>20</v>
      </c>
      <c r="Z11">
        <v>20</v>
      </c>
      <c r="AA11">
        <v>0</v>
      </c>
      <c r="AB11" t="s">
        <v>45</v>
      </c>
      <c r="AC11" t="s">
        <v>45</v>
      </c>
      <c r="AD11" t="s">
        <v>45</v>
      </c>
      <c r="AE11">
        <v>100</v>
      </c>
      <c r="AF11" t="s">
        <v>9</v>
      </c>
      <c r="AG11" t="s">
        <v>46</v>
      </c>
    </row>
    <row r="12" spans="1:33" x14ac:dyDescent="0.25">
      <c r="A12">
        <v>7903569004</v>
      </c>
      <c r="B12" t="s">
        <v>11</v>
      </c>
      <c r="C12" t="s">
        <v>69</v>
      </c>
      <c r="D12" t="s">
        <v>69</v>
      </c>
      <c r="E12" t="s">
        <v>59</v>
      </c>
      <c r="F12" t="s">
        <v>452</v>
      </c>
      <c r="V12" t="s">
        <v>454</v>
      </c>
      <c r="W12">
        <v>15</v>
      </c>
      <c r="X12">
        <v>20</v>
      </c>
      <c r="Y12">
        <v>5</v>
      </c>
      <c r="Z12">
        <v>15</v>
      </c>
      <c r="AA12">
        <v>15</v>
      </c>
      <c r="AB12">
        <v>10</v>
      </c>
      <c r="AC12">
        <v>0</v>
      </c>
      <c r="AD12">
        <v>15</v>
      </c>
      <c r="AE12">
        <v>95</v>
      </c>
      <c r="AF12" t="s">
        <v>9</v>
      </c>
      <c r="AG12" t="s">
        <v>85</v>
      </c>
    </row>
    <row r="13" spans="1:33" x14ac:dyDescent="0.25">
      <c r="A13">
        <v>7925744087</v>
      </c>
      <c r="B13" t="s">
        <v>11</v>
      </c>
      <c r="C13" t="s">
        <v>105</v>
      </c>
      <c r="D13" t="s">
        <v>106</v>
      </c>
      <c r="E13" t="s">
        <v>59</v>
      </c>
      <c r="F13" t="s">
        <v>104</v>
      </c>
      <c r="G13" t="s">
        <v>472</v>
      </c>
      <c r="R13" t="s">
        <v>488</v>
      </c>
      <c r="S13" t="s">
        <v>474</v>
      </c>
      <c r="T13" t="s">
        <v>489</v>
      </c>
      <c r="U13">
        <v>1</v>
      </c>
      <c r="V13" t="s">
        <v>108</v>
      </c>
      <c r="W13">
        <v>15</v>
      </c>
      <c r="X13">
        <v>20</v>
      </c>
      <c r="Y13">
        <v>5</v>
      </c>
      <c r="Z13">
        <v>15</v>
      </c>
      <c r="AA13">
        <v>15</v>
      </c>
      <c r="AB13">
        <v>10</v>
      </c>
      <c r="AC13">
        <v>0</v>
      </c>
      <c r="AD13">
        <v>15</v>
      </c>
      <c r="AE13">
        <v>95</v>
      </c>
      <c r="AF13" t="s">
        <v>9</v>
      </c>
      <c r="AG13" t="s">
        <v>109</v>
      </c>
    </row>
    <row r="14" spans="1:33" x14ac:dyDescent="0.25">
      <c r="A14">
        <v>7900117013</v>
      </c>
      <c r="B14" t="s">
        <v>11</v>
      </c>
      <c r="C14" t="s">
        <v>117</v>
      </c>
      <c r="D14" t="s">
        <v>117</v>
      </c>
      <c r="E14" t="s">
        <v>51</v>
      </c>
      <c r="F14" t="s">
        <v>116</v>
      </c>
      <c r="G14" t="s">
        <v>457</v>
      </c>
      <c r="S14" t="s">
        <v>459</v>
      </c>
      <c r="T14" t="s">
        <v>484</v>
      </c>
      <c r="U14">
        <v>1</v>
      </c>
      <c r="V14" t="s">
        <v>119</v>
      </c>
      <c r="W14">
        <v>15</v>
      </c>
      <c r="X14">
        <v>20</v>
      </c>
      <c r="Y14">
        <v>15</v>
      </c>
      <c r="Z14">
        <v>15</v>
      </c>
      <c r="AA14">
        <v>15</v>
      </c>
      <c r="AB14">
        <v>0</v>
      </c>
      <c r="AC14">
        <v>0</v>
      </c>
      <c r="AD14">
        <v>15</v>
      </c>
      <c r="AE14">
        <v>95</v>
      </c>
      <c r="AF14" t="s">
        <v>9</v>
      </c>
      <c r="AG14" t="s">
        <v>120</v>
      </c>
    </row>
    <row r="15" spans="1:33" x14ac:dyDescent="0.25">
      <c r="A15">
        <v>7929376022</v>
      </c>
      <c r="B15" t="s">
        <v>11</v>
      </c>
      <c r="C15" t="s">
        <v>125</v>
      </c>
      <c r="D15" t="s">
        <v>69</v>
      </c>
      <c r="E15" t="s">
        <v>59</v>
      </c>
      <c r="F15" t="s">
        <v>490</v>
      </c>
      <c r="G15" t="s">
        <v>491</v>
      </c>
      <c r="R15" t="s">
        <v>492</v>
      </c>
      <c r="S15" t="s">
        <v>459</v>
      </c>
      <c r="T15" t="s">
        <v>475</v>
      </c>
      <c r="U15">
        <v>1</v>
      </c>
      <c r="V15" t="s">
        <v>493</v>
      </c>
      <c r="W15">
        <v>15</v>
      </c>
      <c r="X15">
        <v>20</v>
      </c>
      <c r="Y15">
        <v>5</v>
      </c>
      <c r="Z15">
        <v>15</v>
      </c>
      <c r="AA15">
        <v>15</v>
      </c>
      <c r="AB15">
        <v>10</v>
      </c>
      <c r="AC15">
        <v>0</v>
      </c>
      <c r="AD15">
        <v>15</v>
      </c>
      <c r="AE15">
        <v>95</v>
      </c>
      <c r="AF15" t="s">
        <v>9</v>
      </c>
      <c r="AG15" t="s">
        <v>127</v>
      </c>
    </row>
    <row r="16" spans="1:33" x14ac:dyDescent="0.25">
      <c r="A16">
        <v>7908705049</v>
      </c>
      <c r="B16" t="s">
        <v>11</v>
      </c>
      <c r="C16" t="s">
        <v>64</v>
      </c>
      <c r="D16" t="s">
        <v>41</v>
      </c>
      <c r="E16" t="s">
        <v>42</v>
      </c>
      <c r="F16" t="s">
        <v>63</v>
      </c>
      <c r="G16" t="s">
        <v>485</v>
      </c>
      <c r="R16" t="s">
        <v>494</v>
      </c>
      <c r="S16" t="s">
        <v>459</v>
      </c>
      <c r="T16" t="s">
        <v>475</v>
      </c>
      <c r="U16">
        <v>1</v>
      </c>
      <c r="V16" t="s">
        <v>66</v>
      </c>
      <c r="W16">
        <v>15</v>
      </c>
      <c r="X16">
        <v>20</v>
      </c>
      <c r="Y16">
        <v>5</v>
      </c>
      <c r="Z16">
        <v>15</v>
      </c>
      <c r="AA16">
        <v>15</v>
      </c>
      <c r="AB16">
        <v>0</v>
      </c>
      <c r="AC16">
        <v>10</v>
      </c>
      <c r="AD16">
        <v>15</v>
      </c>
      <c r="AE16">
        <v>95</v>
      </c>
      <c r="AF16" t="s">
        <v>9</v>
      </c>
      <c r="AG16" t="s">
        <v>67</v>
      </c>
    </row>
    <row r="17" spans="1:33" x14ac:dyDescent="0.25">
      <c r="A17">
        <v>7933726256</v>
      </c>
      <c r="B17" t="s">
        <v>11</v>
      </c>
      <c r="C17" t="s">
        <v>134</v>
      </c>
      <c r="D17" t="s">
        <v>135</v>
      </c>
      <c r="E17" t="s">
        <v>51</v>
      </c>
      <c r="F17" t="s">
        <v>495</v>
      </c>
      <c r="G17" t="s">
        <v>457</v>
      </c>
      <c r="R17" t="s">
        <v>496</v>
      </c>
      <c r="S17" t="s">
        <v>459</v>
      </c>
      <c r="T17" t="s">
        <v>497</v>
      </c>
      <c r="U17">
        <v>1</v>
      </c>
      <c r="V17" t="s">
        <v>498</v>
      </c>
      <c r="W17">
        <v>15</v>
      </c>
      <c r="X17">
        <v>10</v>
      </c>
      <c r="Y17">
        <v>15</v>
      </c>
      <c r="Z17">
        <v>15</v>
      </c>
      <c r="AA17">
        <v>15</v>
      </c>
      <c r="AB17">
        <v>10</v>
      </c>
      <c r="AC17">
        <v>0</v>
      </c>
      <c r="AD17">
        <v>15</v>
      </c>
      <c r="AE17">
        <v>95</v>
      </c>
      <c r="AF17" t="s">
        <v>9</v>
      </c>
      <c r="AG17" t="s">
        <v>138</v>
      </c>
    </row>
    <row r="18" spans="1:33" x14ac:dyDescent="0.25">
      <c r="A18">
        <v>7933766059</v>
      </c>
      <c r="B18" t="s">
        <v>11</v>
      </c>
      <c r="C18" t="s">
        <v>74</v>
      </c>
      <c r="D18" t="s">
        <v>74</v>
      </c>
      <c r="E18" t="s">
        <v>51</v>
      </c>
      <c r="F18" t="s">
        <v>499</v>
      </c>
      <c r="G18" t="s">
        <v>464</v>
      </c>
      <c r="O18" t="s">
        <v>478</v>
      </c>
      <c r="S18" t="s">
        <v>459</v>
      </c>
      <c r="T18" t="s">
        <v>497</v>
      </c>
      <c r="U18">
        <v>1</v>
      </c>
      <c r="V18" t="s">
        <v>500</v>
      </c>
      <c r="W18">
        <v>15</v>
      </c>
      <c r="X18">
        <v>20</v>
      </c>
      <c r="Y18">
        <v>5</v>
      </c>
      <c r="Z18">
        <v>15</v>
      </c>
      <c r="AA18">
        <v>15</v>
      </c>
      <c r="AB18">
        <v>0</v>
      </c>
      <c r="AC18">
        <v>10</v>
      </c>
      <c r="AD18">
        <v>15</v>
      </c>
      <c r="AE18">
        <v>95</v>
      </c>
      <c r="AF18" t="s">
        <v>9</v>
      </c>
      <c r="AG18" t="s">
        <v>501</v>
      </c>
    </row>
    <row r="19" spans="1:33" x14ac:dyDescent="0.25">
      <c r="A19">
        <v>7900594026</v>
      </c>
      <c r="B19" t="s">
        <v>11</v>
      </c>
      <c r="C19" t="s">
        <v>135</v>
      </c>
      <c r="D19" t="s">
        <v>135</v>
      </c>
      <c r="E19" t="s">
        <v>51</v>
      </c>
      <c r="F19" t="s">
        <v>142</v>
      </c>
      <c r="G19" t="s">
        <v>464</v>
      </c>
      <c r="S19" t="s">
        <v>459</v>
      </c>
      <c r="T19" t="s">
        <v>475</v>
      </c>
      <c r="U19">
        <v>1</v>
      </c>
      <c r="V19" t="s">
        <v>144</v>
      </c>
      <c r="W19">
        <v>15</v>
      </c>
      <c r="X19">
        <v>20</v>
      </c>
      <c r="Y19">
        <v>15</v>
      </c>
      <c r="Z19">
        <v>15</v>
      </c>
      <c r="AA19">
        <v>15</v>
      </c>
      <c r="AB19">
        <v>0</v>
      </c>
      <c r="AC19">
        <v>0</v>
      </c>
      <c r="AD19">
        <v>15</v>
      </c>
      <c r="AE19">
        <v>95</v>
      </c>
      <c r="AF19" t="s">
        <v>9</v>
      </c>
      <c r="AG19" t="s">
        <v>145</v>
      </c>
    </row>
    <row r="20" spans="1:33" x14ac:dyDescent="0.25">
      <c r="A20">
        <v>7921040031</v>
      </c>
      <c r="B20" t="s">
        <v>11</v>
      </c>
      <c r="C20" t="s">
        <v>502</v>
      </c>
      <c r="D20" t="s">
        <v>100</v>
      </c>
      <c r="E20" t="s">
        <v>51</v>
      </c>
      <c r="F20" t="s">
        <v>452</v>
      </c>
      <c r="S20" t="s">
        <v>453</v>
      </c>
      <c r="V20" t="s">
        <v>454</v>
      </c>
      <c r="W20">
        <v>15</v>
      </c>
      <c r="X20">
        <v>20</v>
      </c>
      <c r="Y20">
        <v>5</v>
      </c>
      <c r="Z20">
        <v>15</v>
      </c>
      <c r="AA20">
        <v>15</v>
      </c>
      <c r="AB20">
        <v>10</v>
      </c>
      <c r="AC20">
        <v>0</v>
      </c>
      <c r="AD20">
        <v>15</v>
      </c>
      <c r="AE20">
        <v>95</v>
      </c>
      <c r="AF20" t="s">
        <v>9</v>
      </c>
      <c r="AG20" t="s">
        <v>503</v>
      </c>
    </row>
    <row r="21" spans="1:33" x14ac:dyDescent="0.25">
      <c r="A21">
        <v>7957620015</v>
      </c>
      <c r="B21" t="s">
        <v>11</v>
      </c>
      <c r="C21" t="s">
        <v>288</v>
      </c>
      <c r="D21" t="s">
        <v>106</v>
      </c>
      <c r="E21" t="s">
        <v>59</v>
      </c>
      <c r="F21" t="s">
        <v>452</v>
      </c>
      <c r="S21" t="s">
        <v>453</v>
      </c>
      <c r="V21" t="s">
        <v>454</v>
      </c>
      <c r="W21">
        <v>15</v>
      </c>
      <c r="X21">
        <v>20</v>
      </c>
      <c r="Y21">
        <v>15</v>
      </c>
      <c r="Z21">
        <v>15</v>
      </c>
      <c r="AA21">
        <v>15</v>
      </c>
      <c r="AB21">
        <v>0</v>
      </c>
      <c r="AC21">
        <v>0</v>
      </c>
      <c r="AD21">
        <v>15</v>
      </c>
      <c r="AE21">
        <v>95</v>
      </c>
      <c r="AF21" t="s">
        <v>9</v>
      </c>
      <c r="AG21" t="s">
        <v>504</v>
      </c>
    </row>
    <row r="22" spans="1:33" x14ac:dyDescent="0.25">
      <c r="A22">
        <v>7927413001</v>
      </c>
      <c r="B22" t="s">
        <v>11</v>
      </c>
      <c r="C22" t="s">
        <v>50</v>
      </c>
      <c r="D22" t="s">
        <v>50</v>
      </c>
      <c r="E22" t="s">
        <v>51</v>
      </c>
      <c r="F22" t="s">
        <v>159</v>
      </c>
      <c r="G22" t="s">
        <v>472</v>
      </c>
      <c r="S22" t="s">
        <v>474</v>
      </c>
      <c r="T22" t="s">
        <v>475</v>
      </c>
      <c r="U22">
        <v>1</v>
      </c>
      <c r="V22" t="s">
        <v>161</v>
      </c>
      <c r="W22">
        <v>15</v>
      </c>
      <c r="X22">
        <v>5</v>
      </c>
      <c r="Y22">
        <v>15</v>
      </c>
      <c r="Z22">
        <v>15</v>
      </c>
      <c r="AA22">
        <v>15</v>
      </c>
      <c r="AB22">
        <v>10</v>
      </c>
      <c r="AC22">
        <v>0</v>
      </c>
      <c r="AD22">
        <v>15</v>
      </c>
      <c r="AE22">
        <v>90</v>
      </c>
      <c r="AF22" t="s">
        <v>9</v>
      </c>
      <c r="AG22" t="s">
        <v>162</v>
      </c>
    </row>
    <row r="23" spans="1:33" x14ac:dyDescent="0.25">
      <c r="A23">
        <v>7908686014</v>
      </c>
      <c r="B23" t="s">
        <v>11</v>
      </c>
      <c r="C23" t="s">
        <v>164</v>
      </c>
      <c r="D23" t="s">
        <v>117</v>
      </c>
      <c r="E23" t="s">
        <v>51</v>
      </c>
      <c r="F23" t="s">
        <v>505</v>
      </c>
      <c r="G23" t="s">
        <v>506</v>
      </c>
      <c r="R23" t="s">
        <v>507</v>
      </c>
      <c r="S23" t="s">
        <v>459</v>
      </c>
      <c r="T23" t="s">
        <v>508</v>
      </c>
      <c r="U23">
        <v>1</v>
      </c>
      <c r="V23" t="s">
        <v>509</v>
      </c>
      <c r="W23">
        <v>15</v>
      </c>
      <c r="X23">
        <v>20</v>
      </c>
      <c r="Y23">
        <v>0</v>
      </c>
      <c r="Z23">
        <v>15</v>
      </c>
      <c r="AA23">
        <v>15</v>
      </c>
      <c r="AB23">
        <v>10</v>
      </c>
      <c r="AC23">
        <v>0</v>
      </c>
      <c r="AD23">
        <v>15</v>
      </c>
      <c r="AE23">
        <v>90</v>
      </c>
      <c r="AF23" t="s">
        <v>9</v>
      </c>
      <c r="AG23" t="s">
        <v>167</v>
      </c>
    </row>
    <row r="24" spans="1:33" x14ac:dyDescent="0.25">
      <c r="A24">
        <v>5800440256</v>
      </c>
      <c r="B24" t="s">
        <v>10</v>
      </c>
      <c r="C24" t="s">
        <v>134</v>
      </c>
      <c r="D24" t="s">
        <v>135</v>
      </c>
      <c r="E24" t="s">
        <v>51</v>
      </c>
      <c r="F24" t="s">
        <v>452</v>
      </c>
      <c r="S24" t="s">
        <v>453</v>
      </c>
      <c r="V24" t="s">
        <v>454</v>
      </c>
      <c r="W24">
        <v>20</v>
      </c>
      <c r="X24">
        <v>20</v>
      </c>
      <c r="Y24">
        <v>20</v>
      </c>
      <c r="Z24">
        <v>10</v>
      </c>
      <c r="AA24">
        <v>20</v>
      </c>
      <c r="AB24" t="s">
        <v>45</v>
      </c>
      <c r="AC24" t="s">
        <v>45</v>
      </c>
      <c r="AD24" t="s">
        <v>45</v>
      </c>
      <c r="AE24">
        <v>90</v>
      </c>
      <c r="AF24" t="s">
        <v>9</v>
      </c>
      <c r="AG24" t="s">
        <v>175</v>
      </c>
    </row>
    <row r="25" spans="1:33" x14ac:dyDescent="0.25">
      <c r="A25">
        <v>7943790134</v>
      </c>
      <c r="B25" t="s">
        <v>11</v>
      </c>
      <c r="C25" t="s">
        <v>177</v>
      </c>
      <c r="D25" t="s">
        <v>58</v>
      </c>
      <c r="E25" t="s">
        <v>59</v>
      </c>
      <c r="F25" t="s">
        <v>176</v>
      </c>
      <c r="G25" t="s">
        <v>464</v>
      </c>
      <c r="O25" t="s">
        <v>510</v>
      </c>
      <c r="P25">
        <v>46261</v>
      </c>
      <c r="S25" t="s">
        <v>459</v>
      </c>
      <c r="T25" t="s">
        <v>508</v>
      </c>
      <c r="U25">
        <v>1</v>
      </c>
      <c r="V25" t="s">
        <v>178</v>
      </c>
      <c r="W25">
        <v>15</v>
      </c>
      <c r="X25">
        <v>10</v>
      </c>
      <c r="Y25">
        <v>5</v>
      </c>
      <c r="Z25">
        <v>15</v>
      </c>
      <c r="AA25">
        <v>15</v>
      </c>
      <c r="AB25">
        <v>10</v>
      </c>
      <c r="AC25">
        <v>0</v>
      </c>
      <c r="AD25">
        <v>15</v>
      </c>
      <c r="AE25">
        <v>85</v>
      </c>
      <c r="AF25" t="s">
        <v>9</v>
      </c>
      <c r="AG25" t="s">
        <v>179</v>
      </c>
    </row>
    <row r="26" spans="1:33" x14ac:dyDescent="0.25">
      <c r="A26">
        <v>7900453110</v>
      </c>
      <c r="B26" t="s">
        <v>11</v>
      </c>
      <c r="C26" t="s">
        <v>185</v>
      </c>
      <c r="D26" t="s">
        <v>50</v>
      </c>
      <c r="E26" t="s">
        <v>51</v>
      </c>
      <c r="F26" t="s">
        <v>184</v>
      </c>
      <c r="G26" t="s">
        <v>472</v>
      </c>
      <c r="R26" t="s">
        <v>511</v>
      </c>
      <c r="S26" t="s">
        <v>474</v>
      </c>
      <c r="T26" t="s">
        <v>508</v>
      </c>
      <c r="U26">
        <v>1</v>
      </c>
      <c r="V26" t="s">
        <v>187</v>
      </c>
      <c r="W26">
        <v>15</v>
      </c>
      <c r="X26">
        <v>10</v>
      </c>
      <c r="Y26">
        <v>5</v>
      </c>
      <c r="Z26">
        <v>15</v>
      </c>
      <c r="AA26">
        <v>15</v>
      </c>
      <c r="AB26">
        <v>10</v>
      </c>
      <c r="AC26">
        <v>0</v>
      </c>
      <c r="AD26">
        <v>15</v>
      </c>
      <c r="AE26">
        <v>85</v>
      </c>
      <c r="AF26" t="s">
        <v>9</v>
      </c>
      <c r="AG26" t="s">
        <v>188</v>
      </c>
    </row>
    <row r="27" spans="1:33" x14ac:dyDescent="0.25">
      <c r="A27">
        <v>7925871077</v>
      </c>
      <c r="B27" t="s">
        <v>11</v>
      </c>
      <c r="C27" t="s">
        <v>190</v>
      </c>
      <c r="D27" t="s">
        <v>69</v>
      </c>
      <c r="E27" t="s">
        <v>59</v>
      </c>
      <c r="F27" t="s">
        <v>189</v>
      </c>
      <c r="G27" t="s">
        <v>472</v>
      </c>
      <c r="R27" t="s">
        <v>511</v>
      </c>
      <c r="S27" t="s">
        <v>474</v>
      </c>
      <c r="T27" t="s">
        <v>508</v>
      </c>
      <c r="U27">
        <v>1</v>
      </c>
      <c r="V27" t="s">
        <v>512</v>
      </c>
      <c r="W27">
        <v>15</v>
      </c>
      <c r="X27">
        <v>10</v>
      </c>
      <c r="Y27">
        <v>15</v>
      </c>
      <c r="Z27">
        <v>15</v>
      </c>
      <c r="AA27">
        <v>15</v>
      </c>
      <c r="AB27">
        <v>10</v>
      </c>
      <c r="AC27">
        <v>0</v>
      </c>
      <c r="AD27">
        <v>0</v>
      </c>
      <c r="AE27">
        <v>80</v>
      </c>
      <c r="AF27" t="s">
        <v>9</v>
      </c>
      <c r="AG27" t="s">
        <v>193</v>
      </c>
    </row>
    <row r="28" spans="1:33" x14ac:dyDescent="0.25">
      <c r="A28">
        <v>5803327001</v>
      </c>
      <c r="B28" t="s">
        <v>10</v>
      </c>
      <c r="C28" t="s">
        <v>50</v>
      </c>
      <c r="D28" t="s">
        <v>50</v>
      </c>
      <c r="E28" t="s">
        <v>51</v>
      </c>
      <c r="F28" t="s">
        <v>199</v>
      </c>
      <c r="G28" t="s">
        <v>513</v>
      </c>
      <c r="R28" t="s">
        <v>514</v>
      </c>
      <c r="S28" t="s">
        <v>459</v>
      </c>
      <c r="T28" t="s">
        <v>515</v>
      </c>
      <c r="U28">
        <v>1</v>
      </c>
      <c r="V28" t="s">
        <v>201</v>
      </c>
      <c r="W28">
        <v>40</v>
      </c>
      <c r="X28">
        <v>0</v>
      </c>
      <c r="Y28">
        <v>0</v>
      </c>
      <c r="Z28">
        <v>20</v>
      </c>
      <c r="AA28">
        <v>20</v>
      </c>
      <c r="AB28" t="s">
        <v>45</v>
      </c>
      <c r="AC28" t="s">
        <v>45</v>
      </c>
      <c r="AD28" t="s">
        <v>45</v>
      </c>
      <c r="AE28">
        <v>80</v>
      </c>
      <c r="AF28" t="s">
        <v>13</v>
      </c>
      <c r="AG28" t="s">
        <v>202</v>
      </c>
    </row>
    <row r="29" spans="1:33" x14ac:dyDescent="0.25">
      <c r="A29">
        <v>7900230155</v>
      </c>
      <c r="B29" t="s">
        <v>11</v>
      </c>
      <c r="C29" t="s">
        <v>204</v>
      </c>
      <c r="D29" t="s">
        <v>94</v>
      </c>
      <c r="E29" t="s">
        <v>59</v>
      </c>
      <c r="F29" t="s">
        <v>516</v>
      </c>
      <c r="G29" t="s">
        <v>457</v>
      </c>
      <c r="S29" t="s">
        <v>459</v>
      </c>
      <c r="T29" t="s">
        <v>517</v>
      </c>
      <c r="U29">
        <v>1</v>
      </c>
      <c r="V29" t="s">
        <v>518</v>
      </c>
      <c r="W29">
        <v>15</v>
      </c>
      <c r="X29">
        <v>20</v>
      </c>
      <c r="Y29">
        <v>5</v>
      </c>
      <c r="Z29">
        <v>15</v>
      </c>
      <c r="AA29">
        <v>0</v>
      </c>
      <c r="AB29">
        <v>10</v>
      </c>
      <c r="AC29">
        <v>0</v>
      </c>
      <c r="AD29">
        <v>15</v>
      </c>
      <c r="AE29">
        <v>80</v>
      </c>
      <c r="AF29" t="s">
        <v>9</v>
      </c>
      <c r="AG29" t="s">
        <v>207</v>
      </c>
    </row>
    <row r="30" spans="1:33" x14ac:dyDescent="0.25">
      <c r="A30">
        <v>7900543083</v>
      </c>
      <c r="B30" t="s">
        <v>11</v>
      </c>
      <c r="C30" t="s">
        <v>519</v>
      </c>
      <c r="D30" t="s">
        <v>74</v>
      </c>
      <c r="E30" t="s">
        <v>51</v>
      </c>
      <c r="S30" t="s">
        <v>453</v>
      </c>
      <c r="V30" t="s">
        <v>454</v>
      </c>
      <c r="W30">
        <v>15</v>
      </c>
      <c r="X30">
        <v>20</v>
      </c>
      <c r="Y30">
        <v>5</v>
      </c>
      <c r="Z30">
        <v>15</v>
      </c>
      <c r="AA30">
        <v>0</v>
      </c>
      <c r="AB30">
        <v>0</v>
      </c>
      <c r="AC30">
        <v>10</v>
      </c>
      <c r="AD30">
        <v>15</v>
      </c>
      <c r="AE30">
        <v>80</v>
      </c>
      <c r="AF30" t="s">
        <v>9</v>
      </c>
      <c r="AG30" t="s">
        <v>520</v>
      </c>
    </row>
    <row r="31" spans="1:33" x14ac:dyDescent="0.25">
      <c r="A31">
        <v>7900930040</v>
      </c>
      <c r="B31" t="s">
        <v>11</v>
      </c>
      <c r="C31" t="s">
        <v>521</v>
      </c>
      <c r="D31" t="s">
        <v>69</v>
      </c>
      <c r="E31" t="s">
        <v>59</v>
      </c>
      <c r="F31" t="s">
        <v>452</v>
      </c>
      <c r="S31" t="s">
        <v>453</v>
      </c>
      <c r="V31" t="s">
        <v>454</v>
      </c>
      <c r="W31">
        <v>15</v>
      </c>
      <c r="X31">
        <v>20</v>
      </c>
      <c r="Y31">
        <v>5</v>
      </c>
      <c r="Z31">
        <v>15</v>
      </c>
      <c r="AA31">
        <v>0</v>
      </c>
      <c r="AB31">
        <v>0</v>
      </c>
      <c r="AC31">
        <v>10</v>
      </c>
      <c r="AD31">
        <v>15</v>
      </c>
      <c r="AE31">
        <v>80</v>
      </c>
      <c r="AF31" t="s">
        <v>9</v>
      </c>
      <c r="AG31" t="s">
        <v>522</v>
      </c>
    </row>
    <row r="32" spans="1:33" x14ac:dyDescent="0.25">
      <c r="A32">
        <v>7931383086</v>
      </c>
      <c r="B32" t="s">
        <v>11</v>
      </c>
      <c r="C32" t="s">
        <v>523</v>
      </c>
      <c r="D32" t="s">
        <v>152</v>
      </c>
      <c r="E32" t="s">
        <v>51</v>
      </c>
      <c r="F32" t="s">
        <v>452</v>
      </c>
      <c r="S32" t="s">
        <v>453</v>
      </c>
      <c r="V32" t="s">
        <v>454</v>
      </c>
      <c r="W32">
        <v>15</v>
      </c>
      <c r="X32">
        <v>20</v>
      </c>
      <c r="Y32">
        <v>5</v>
      </c>
      <c r="Z32">
        <v>15</v>
      </c>
      <c r="AA32">
        <v>0</v>
      </c>
      <c r="AB32">
        <v>10</v>
      </c>
      <c r="AC32">
        <v>0</v>
      </c>
      <c r="AD32">
        <v>15</v>
      </c>
      <c r="AE32">
        <v>80</v>
      </c>
      <c r="AF32" t="s">
        <v>9</v>
      </c>
      <c r="AG32" t="s">
        <v>524</v>
      </c>
    </row>
    <row r="33" spans="1:33" x14ac:dyDescent="0.25">
      <c r="A33">
        <v>7908302256</v>
      </c>
      <c r="B33" t="s">
        <v>11</v>
      </c>
      <c r="C33" t="s">
        <v>134</v>
      </c>
      <c r="D33" t="s">
        <v>135</v>
      </c>
      <c r="E33" t="s">
        <v>51</v>
      </c>
      <c r="F33" t="s">
        <v>525</v>
      </c>
      <c r="G33" t="s">
        <v>526</v>
      </c>
      <c r="O33" t="s">
        <v>478</v>
      </c>
      <c r="V33" t="s">
        <v>527</v>
      </c>
      <c r="W33">
        <v>5</v>
      </c>
      <c r="X33">
        <v>10</v>
      </c>
      <c r="Y33">
        <v>5</v>
      </c>
      <c r="Z33">
        <v>15</v>
      </c>
      <c r="AA33">
        <v>15</v>
      </c>
      <c r="AB33">
        <v>10</v>
      </c>
      <c r="AC33">
        <v>0</v>
      </c>
      <c r="AD33">
        <v>15</v>
      </c>
      <c r="AE33">
        <v>75</v>
      </c>
      <c r="AF33" t="s">
        <v>13</v>
      </c>
      <c r="AG33" t="s">
        <v>528</v>
      </c>
    </row>
    <row r="34" spans="1:33" x14ac:dyDescent="0.25">
      <c r="A34">
        <v>5800371025</v>
      </c>
      <c r="B34" t="s">
        <v>10</v>
      </c>
      <c r="C34" t="s">
        <v>93</v>
      </c>
      <c r="D34" t="s">
        <v>94</v>
      </c>
      <c r="E34" t="s">
        <v>59</v>
      </c>
      <c r="F34" t="s">
        <v>529</v>
      </c>
      <c r="G34" t="s">
        <v>485</v>
      </c>
      <c r="R34" t="s">
        <v>530</v>
      </c>
      <c r="S34" t="s">
        <v>459</v>
      </c>
      <c r="T34" t="s">
        <v>484</v>
      </c>
      <c r="U34">
        <v>1</v>
      </c>
      <c r="V34" t="s">
        <v>531</v>
      </c>
      <c r="W34">
        <v>0</v>
      </c>
      <c r="X34">
        <v>20</v>
      </c>
      <c r="Y34">
        <v>20</v>
      </c>
      <c r="Z34">
        <v>10</v>
      </c>
      <c r="AA34">
        <v>20</v>
      </c>
      <c r="AB34" t="s">
        <v>45</v>
      </c>
      <c r="AC34" t="s">
        <v>45</v>
      </c>
      <c r="AD34" t="s">
        <v>45</v>
      </c>
      <c r="AE34">
        <v>70</v>
      </c>
      <c r="AF34" t="s">
        <v>13</v>
      </c>
      <c r="AG34" t="s">
        <v>97</v>
      </c>
    </row>
    <row r="35" spans="1:33" x14ac:dyDescent="0.25">
      <c r="A35">
        <v>7926089013</v>
      </c>
      <c r="B35" t="s">
        <v>11</v>
      </c>
      <c r="C35" t="s">
        <v>117</v>
      </c>
      <c r="D35" t="s">
        <v>117</v>
      </c>
      <c r="E35" t="s">
        <v>51</v>
      </c>
      <c r="F35" t="s">
        <v>218</v>
      </c>
      <c r="G35" t="s">
        <v>472</v>
      </c>
      <c r="R35" t="s">
        <v>511</v>
      </c>
      <c r="S35" t="s">
        <v>474</v>
      </c>
      <c r="T35" t="s">
        <v>508</v>
      </c>
      <c r="U35">
        <v>1</v>
      </c>
      <c r="V35" t="s">
        <v>220</v>
      </c>
      <c r="W35">
        <v>15</v>
      </c>
      <c r="X35">
        <v>10</v>
      </c>
      <c r="Y35">
        <v>5</v>
      </c>
      <c r="Z35">
        <v>15</v>
      </c>
      <c r="AA35">
        <v>15</v>
      </c>
      <c r="AB35">
        <v>10</v>
      </c>
      <c r="AC35">
        <v>0</v>
      </c>
      <c r="AD35">
        <v>0</v>
      </c>
      <c r="AE35">
        <v>70</v>
      </c>
      <c r="AF35" t="s">
        <v>13</v>
      </c>
      <c r="AG35" t="s">
        <v>221</v>
      </c>
    </row>
    <row r="36" spans="1:33" x14ac:dyDescent="0.25">
      <c r="A36">
        <v>7925087021</v>
      </c>
      <c r="B36" t="s">
        <v>11</v>
      </c>
      <c r="C36" t="s">
        <v>223</v>
      </c>
      <c r="D36" t="s">
        <v>224</v>
      </c>
      <c r="E36" t="s">
        <v>42</v>
      </c>
      <c r="F36" t="s">
        <v>222</v>
      </c>
      <c r="G36" t="s">
        <v>457</v>
      </c>
      <c r="S36" t="s">
        <v>459</v>
      </c>
      <c r="T36" t="s">
        <v>508</v>
      </c>
      <c r="U36">
        <v>1</v>
      </c>
      <c r="V36" t="s">
        <v>226</v>
      </c>
      <c r="W36">
        <v>15</v>
      </c>
      <c r="X36">
        <v>10</v>
      </c>
      <c r="Y36">
        <v>5</v>
      </c>
      <c r="Z36">
        <v>0</v>
      </c>
      <c r="AA36">
        <v>15</v>
      </c>
      <c r="AB36">
        <v>10</v>
      </c>
      <c r="AC36">
        <v>0</v>
      </c>
      <c r="AD36">
        <v>15</v>
      </c>
      <c r="AE36">
        <v>70</v>
      </c>
      <c r="AF36" t="s">
        <v>13</v>
      </c>
      <c r="AG36" t="s">
        <v>227</v>
      </c>
    </row>
    <row r="37" spans="1:33" x14ac:dyDescent="0.25">
      <c r="A37">
        <v>5801866013</v>
      </c>
      <c r="B37" t="s">
        <v>10</v>
      </c>
      <c r="C37" t="s">
        <v>117</v>
      </c>
      <c r="D37" t="s">
        <v>117</v>
      </c>
      <c r="E37" t="s">
        <v>51</v>
      </c>
      <c r="F37" t="s">
        <v>228</v>
      </c>
      <c r="G37" t="s">
        <v>457</v>
      </c>
      <c r="S37" t="s">
        <v>459</v>
      </c>
      <c r="T37" t="s">
        <v>460</v>
      </c>
      <c r="U37">
        <v>1</v>
      </c>
      <c r="V37" t="s">
        <v>230</v>
      </c>
      <c r="W37">
        <v>0</v>
      </c>
      <c r="X37">
        <v>20</v>
      </c>
      <c r="Y37">
        <v>20</v>
      </c>
      <c r="Z37">
        <v>20</v>
      </c>
      <c r="AA37">
        <v>10</v>
      </c>
      <c r="AB37" t="s">
        <v>45</v>
      </c>
      <c r="AC37" t="s">
        <v>45</v>
      </c>
      <c r="AD37" t="s">
        <v>45</v>
      </c>
      <c r="AE37">
        <v>70</v>
      </c>
      <c r="AF37" t="s">
        <v>13</v>
      </c>
      <c r="AG37" t="s">
        <v>231</v>
      </c>
    </row>
    <row r="38" spans="1:33" x14ac:dyDescent="0.25">
      <c r="A38">
        <v>5865120195</v>
      </c>
      <c r="B38" t="s">
        <v>10</v>
      </c>
      <c r="C38" t="s">
        <v>169</v>
      </c>
      <c r="D38" t="s">
        <v>106</v>
      </c>
      <c r="E38" t="s">
        <v>59</v>
      </c>
      <c r="F38" t="s">
        <v>532</v>
      </c>
      <c r="G38" t="s">
        <v>457</v>
      </c>
      <c r="S38" t="s">
        <v>459</v>
      </c>
      <c r="T38" t="s">
        <v>533</v>
      </c>
      <c r="U38">
        <v>1</v>
      </c>
      <c r="V38" t="s">
        <v>534</v>
      </c>
      <c r="W38">
        <v>20</v>
      </c>
      <c r="X38">
        <v>20</v>
      </c>
      <c r="Y38">
        <v>20</v>
      </c>
      <c r="Z38">
        <v>10</v>
      </c>
      <c r="AA38">
        <v>0</v>
      </c>
      <c r="AB38" t="s">
        <v>45</v>
      </c>
      <c r="AC38" t="s">
        <v>45</v>
      </c>
      <c r="AD38" t="s">
        <v>45</v>
      </c>
      <c r="AE38">
        <v>70</v>
      </c>
      <c r="AF38" t="s">
        <v>13</v>
      </c>
      <c r="AG38" t="s">
        <v>172</v>
      </c>
    </row>
    <row r="39" spans="1:33" x14ac:dyDescent="0.25">
      <c r="A39">
        <v>5853360007</v>
      </c>
      <c r="B39" t="s">
        <v>10</v>
      </c>
      <c r="C39" t="s">
        <v>100</v>
      </c>
      <c r="D39" t="s">
        <v>100</v>
      </c>
      <c r="E39" t="s">
        <v>51</v>
      </c>
      <c r="F39" t="s">
        <v>237</v>
      </c>
      <c r="G39" t="s">
        <v>535</v>
      </c>
      <c r="R39" t="s">
        <v>536</v>
      </c>
      <c r="T39" t="s">
        <v>533</v>
      </c>
      <c r="U39">
        <v>1</v>
      </c>
      <c r="V39" t="s">
        <v>240</v>
      </c>
      <c r="W39">
        <v>0</v>
      </c>
      <c r="X39">
        <v>20</v>
      </c>
      <c r="Y39">
        <v>20</v>
      </c>
      <c r="Z39">
        <v>10</v>
      </c>
      <c r="AA39">
        <v>20</v>
      </c>
      <c r="AB39" t="s">
        <v>45</v>
      </c>
      <c r="AC39" t="s">
        <v>45</v>
      </c>
      <c r="AD39" t="s">
        <v>45</v>
      </c>
      <c r="AE39">
        <v>70</v>
      </c>
      <c r="AF39" t="s">
        <v>13</v>
      </c>
      <c r="AG39" t="s">
        <v>241</v>
      </c>
    </row>
    <row r="40" spans="1:33" x14ac:dyDescent="0.25">
      <c r="A40">
        <v>5800366016</v>
      </c>
      <c r="B40" t="s">
        <v>10</v>
      </c>
      <c r="C40" t="s">
        <v>537</v>
      </c>
      <c r="D40" t="s">
        <v>259</v>
      </c>
      <c r="E40" t="s">
        <v>59</v>
      </c>
      <c r="F40" t="s">
        <v>452</v>
      </c>
      <c r="S40" t="s">
        <v>453</v>
      </c>
      <c r="V40" t="s">
        <v>454</v>
      </c>
      <c r="W40">
        <v>0</v>
      </c>
      <c r="X40">
        <v>20</v>
      </c>
      <c r="Y40">
        <v>20</v>
      </c>
      <c r="Z40">
        <v>20</v>
      </c>
      <c r="AA40">
        <v>10</v>
      </c>
      <c r="AB40" t="s">
        <v>45</v>
      </c>
      <c r="AC40" t="s">
        <v>45</v>
      </c>
      <c r="AD40" t="s">
        <v>45</v>
      </c>
      <c r="AE40">
        <v>70</v>
      </c>
      <c r="AF40" t="s">
        <v>13</v>
      </c>
      <c r="AG40" t="s">
        <v>538</v>
      </c>
    </row>
    <row r="41" spans="1:33" x14ac:dyDescent="0.25">
      <c r="A41">
        <v>7955523028</v>
      </c>
      <c r="B41" t="s">
        <v>11</v>
      </c>
      <c r="C41" t="s">
        <v>403</v>
      </c>
      <c r="D41" t="s">
        <v>41</v>
      </c>
      <c r="E41" t="s">
        <v>42</v>
      </c>
      <c r="F41" t="s">
        <v>452</v>
      </c>
      <c r="S41" t="s">
        <v>453</v>
      </c>
      <c r="V41" t="s">
        <v>454</v>
      </c>
      <c r="W41">
        <v>15</v>
      </c>
      <c r="X41">
        <v>10</v>
      </c>
      <c r="Y41">
        <v>5</v>
      </c>
      <c r="Z41">
        <v>15</v>
      </c>
      <c r="AA41">
        <v>15</v>
      </c>
      <c r="AB41">
        <v>10</v>
      </c>
      <c r="AC41">
        <v>0</v>
      </c>
      <c r="AD41">
        <v>0</v>
      </c>
      <c r="AE41">
        <v>70</v>
      </c>
      <c r="AF41" t="s">
        <v>13</v>
      </c>
      <c r="AG41" t="s">
        <v>539</v>
      </c>
    </row>
    <row r="42" spans="1:33" x14ac:dyDescent="0.25">
      <c r="A42">
        <v>7900573047</v>
      </c>
      <c r="B42" t="s">
        <v>11</v>
      </c>
      <c r="C42" t="s">
        <v>111</v>
      </c>
      <c r="D42" t="s">
        <v>470</v>
      </c>
      <c r="E42" t="s">
        <v>42</v>
      </c>
      <c r="F42" t="s">
        <v>121</v>
      </c>
      <c r="G42" t="s">
        <v>457</v>
      </c>
      <c r="S42" t="s">
        <v>459</v>
      </c>
      <c r="T42" t="s">
        <v>475</v>
      </c>
      <c r="U42">
        <v>1</v>
      </c>
      <c r="V42" t="s">
        <v>122</v>
      </c>
      <c r="W42">
        <v>5</v>
      </c>
      <c r="X42">
        <v>5</v>
      </c>
      <c r="Y42">
        <v>15</v>
      </c>
      <c r="Z42">
        <v>0</v>
      </c>
      <c r="AA42">
        <v>15</v>
      </c>
      <c r="AB42">
        <v>10</v>
      </c>
      <c r="AC42">
        <v>0</v>
      </c>
      <c r="AD42">
        <v>15</v>
      </c>
      <c r="AE42">
        <v>65</v>
      </c>
      <c r="AF42" t="s">
        <v>13</v>
      </c>
      <c r="AG42" t="s">
        <v>123</v>
      </c>
    </row>
    <row r="43" spans="1:33" x14ac:dyDescent="0.25">
      <c r="A43">
        <v>7953610256</v>
      </c>
      <c r="B43" t="s">
        <v>11</v>
      </c>
      <c r="C43" t="s">
        <v>134</v>
      </c>
      <c r="D43" t="s">
        <v>135</v>
      </c>
      <c r="E43" t="s">
        <v>51</v>
      </c>
      <c r="F43" t="s">
        <v>540</v>
      </c>
      <c r="G43" t="s">
        <v>506</v>
      </c>
      <c r="R43" t="s">
        <v>458</v>
      </c>
      <c r="T43" t="s">
        <v>489</v>
      </c>
      <c r="U43">
        <v>1</v>
      </c>
      <c r="V43" t="s">
        <v>541</v>
      </c>
      <c r="W43">
        <v>5</v>
      </c>
      <c r="X43">
        <v>5</v>
      </c>
      <c r="Y43">
        <v>15</v>
      </c>
      <c r="Z43">
        <v>15</v>
      </c>
      <c r="AA43">
        <v>0</v>
      </c>
      <c r="AB43">
        <v>0</v>
      </c>
      <c r="AC43">
        <v>10</v>
      </c>
      <c r="AD43">
        <v>15</v>
      </c>
      <c r="AE43">
        <v>65</v>
      </c>
      <c r="AF43" t="s">
        <v>13</v>
      </c>
      <c r="AG43" t="s">
        <v>244</v>
      </c>
    </row>
    <row r="44" spans="1:33" x14ac:dyDescent="0.25">
      <c r="A44">
        <v>5800438116</v>
      </c>
      <c r="B44" t="s">
        <v>10</v>
      </c>
      <c r="C44" t="s">
        <v>215</v>
      </c>
      <c r="D44" t="s">
        <v>41</v>
      </c>
      <c r="E44" t="s">
        <v>42</v>
      </c>
      <c r="F44" t="s">
        <v>542</v>
      </c>
      <c r="G44" t="s">
        <v>543</v>
      </c>
      <c r="R44" t="s">
        <v>544</v>
      </c>
      <c r="S44" t="s">
        <v>459</v>
      </c>
      <c r="T44" t="s">
        <v>460</v>
      </c>
      <c r="U44">
        <v>2</v>
      </c>
      <c r="V44" t="s">
        <v>545</v>
      </c>
      <c r="W44">
        <v>0</v>
      </c>
      <c r="X44">
        <v>20</v>
      </c>
      <c r="Y44">
        <v>20</v>
      </c>
      <c r="Z44">
        <v>20</v>
      </c>
      <c r="AA44">
        <v>0</v>
      </c>
      <c r="AB44" t="s">
        <v>45</v>
      </c>
      <c r="AC44" t="s">
        <v>45</v>
      </c>
      <c r="AD44" t="s">
        <v>45</v>
      </c>
      <c r="AE44">
        <v>60</v>
      </c>
      <c r="AF44" t="s">
        <v>14</v>
      </c>
      <c r="AG44" t="s">
        <v>546</v>
      </c>
    </row>
    <row r="45" spans="1:33" x14ac:dyDescent="0.25">
      <c r="A45">
        <v>5800090147</v>
      </c>
      <c r="B45" t="s">
        <v>10</v>
      </c>
      <c r="C45" t="s">
        <v>547</v>
      </c>
      <c r="D45" t="s">
        <v>41</v>
      </c>
      <c r="E45" t="s">
        <v>42</v>
      </c>
      <c r="F45" t="s">
        <v>452</v>
      </c>
      <c r="S45" t="s">
        <v>453</v>
      </c>
      <c r="V45" t="s">
        <v>454</v>
      </c>
      <c r="W45">
        <v>0</v>
      </c>
      <c r="X45">
        <v>20</v>
      </c>
      <c r="Y45">
        <v>20</v>
      </c>
      <c r="Z45">
        <v>10</v>
      </c>
      <c r="AA45">
        <v>10</v>
      </c>
      <c r="AB45" t="s">
        <v>45</v>
      </c>
      <c r="AC45" t="s">
        <v>45</v>
      </c>
      <c r="AD45" t="s">
        <v>45</v>
      </c>
      <c r="AE45">
        <v>60</v>
      </c>
      <c r="AF45" t="s">
        <v>14</v>
      </c>
      <c r="AG45" t="s">
        <v>548</v>
      </c>
    </row>
    <row r="46" spans="1:33" x14ac:dyDescent="0.25">
      <c r="A46">
        <v>5840227063</v>
      </c>
      <c r="B46" t="s">
        <v>10</v>
      </c>
      <c r="C46" t="s">
        <v>147</v>
      </c>
      <c r="D46" t="s">
        <v>94</v>
      </c>
      <c r="E46" t="s">
        <v>59</v>
      </c>
      <c r="F46" t="s">
        <v>146</v>
      </c>
      <c r="G46" t="s">
        <v>472</v>
      </c>
      <c r="S46" t="s">
        <v>474</v>
      </c>
      <c r="T46" t="s">
        <v>460</v>
      </c>
      <c r="U46">
        <v>1</v>
      </c>
      <c r="V46" t="s">
        <v>549</v>
      </c>
      <c r="W46">
        <v>0</v>
      </c>
      <c r="X46">
        <v>20</v>
      </c>
      <c r="Y46">
        <v>20</v>
      </c>
      <c r="Z46">
        <v>10</v>
      </c>
      <c r="AA46">
        <v>10</v>
      </c>
      <c r="AB46" t="s">
        <v>45</v>
      </c>
      <c r="AC46" t="s">
        <v>45</v>
      </c>
      <c r="AD46" t="s">
        <v>45</v>
      </c>
      <c r="AE46">
        <v>60</v>
      </c>
      <c r="AF46" t="s">
        <v>14</v>
      </c>
      <c r="AG46" t="s">
        <v>150</v>
      </c>
    </row>
    <row r="47" spans="1:33" x14ac:dyDescent="0.25">
      <c r="A47">
        <v>5846328094</v>
      </c>
      <c r="B47" t="s">
        <v>10</v>
      </c>
      <c r="C47" t="s">
        <v>224</v>
      </c>
      <c r="D47" t="s">
        <v>224</v>
      </c>
      <c r="E47" t="s">
        <v>42</v>
      </c>
      <c r="F47" t="s">
        <v>248</v>
      </c>
      <c r="G47" t="s">
        <v>464</v>
      </c>
      <c r="O47" t="s">
        <v>510</v>
      </c>
      <c r="P47" t="s">
        <v>550</v>
      </c>
      <c r="S47" t="s">
        <v>459</v>
      </c>
      <c r="T47" t="s">
        <v>533</v>
      </c>
      <c r="U47">
        <v>1</v>
      </c>
      <c r="V47" t="s">
        <v>250</v>
      </c>
      <c r="W47">
        <v>0</v>
      </c>
      <c r="X47">
        <v>20</v>
      </c>
      <c r="Y47">
        <v>20</v>
      </c>
      <c r="Z47">
        <v>10</v>
      </c>
      <c r="AA47">
        <v>10</v>
      </c>
      <c r="AB47" t="s">
        <v>45</v>
      </c>
      <c r="AC47" t="s">
        <v>45</v>
      </c>
      <c r="AD47" t="s">
        <v>45</v>
      </c>
      <c r="AE47">
        <v>60</v>
      </c>
      <c r="AF47" t="s">
        <v>14</v>
      </c>
      <c r="AG47" t="s">
        <v>251</v>
      </c>
    </row>
    <row r="48" spans="1:33" x14ac:dyDescent="0.25">
      <c r="A48">
        <v>5851753086</v>
      </c>
      <c r="B48" t="s">
        <v>10</v>
      </c>
      <c r="C48" t="s">
        <v>523</v>
      </c>
      <c r="D48" t="s">
        <v>152</v>
      </c>
      <c r="E48" t="s">
        <v>51</v>
      </c>
      <c r="F48" t="s">
        <v>551</v>
      </c>
      <c r="G48" t="s">
        <v>464</v>
      </c>
      <c r="O48" t="s">
        <v>478</v>
      </c>
      <c r="S48" t="s">
        <v>459</v>
      </c>
      <c r="T48" t="s">
        <v>533</v>
      </c>
      <c r="U48">
        <v>1</v>
      </c>
      <c r="V48" t="s">
        <v>552</v>
      </c>
      <c r="W48">
        <v>0</v>
      </c>
      <c r="X48">
        <v>20</v>
      </c>
      <c r="Y48">
        <v>20</v>
      </c>
      <c r="Z48">
        <v>10</v>
      </c>
      <c r="AA48">
        <v>10</v>
      </c>
      <c r="AB48" t="s">
        <v>45</v>
      </c>
      <c r="AC48" t="s">
        <v>45</v>
      </c>
      <c r="AD48" t="s">
        <v>45</v>
      </c>
      <c r="AE48">
        <v>60</v>
      </c>
      <c r="AF48" t="s">
        <v>14</v>
      </c>
      <c r="AG48" t="s">
        <v>553</v>
      </c>
    </row>
    <row r="49" spans="1:33" x14ac:dyDescent="0.25">
      <c r="A49">
        <v>7903112004</v>
      </c>
      <c r="B49" t="s">
        <v>11</v>
      </c>
      <c r="C49" t="s">
        <v>69</v>
      </c>
      <c r="D49" t="s">
        <v>69</v>
      </c>
      <c r="E49" t="s">
        <v>59</v>
      </c>
      <c r="F49" t="s">
        <v>78</v>
      </c>
      <c r="G49" t="s">
        <v>554</v>
      </c>
      <c r="R49" t="s">
        <v>507</v>
      </c>
      <c r="S49" t="s">
        <v>459</v>
      </c>
      <c r="T49" t="s">
        <v>508</v>
      </c>
      <c r="U49">
        <v>1</v>
      </c>
      <c r="V49" t="s">
        <v>80</v>
      </c>
      <c r="W49">
        <v>15</v>
      </c>
      <c r="X49">
        <v>10</v>
      </c>
      <c r="Y49">
        <v>5</v>
      </c>
      <c r="Z49">
        <v>15</v>
      </c>
      <c r="AA49">
        <v>0</v>
      </c>
      <c r="AB49">
        <v>10</v>
      </c>
      <c r="AC49">
        <v>0</v>
      </c>
      <c r="AD49">
        <v>0</v>
      </c>
      <c r="AE49">
        <v>55</v>
      </c>
      <c r="AF49" t="s">
        <v>13</v>
      </c>
      <c r="AG49" t="s">
        <v>81</v>
      </c>
    </row>
    <row r="50" spans="1:33" x14ac:dyDescent="0.25">
      <c r="A50">
        <v>7920024127</v>
      </c>
      <c r="B50" t="s">
        <v>11</v>
      </c>
      <c r="C50" t="s">
        <v>258</v>
      </c>
      <c r="D50" t="s">
        <v>259</v>
      </c>
      <c r="E50" t="s">
        <v>59</v>
      </c>
      <c r="F50" t="s">
        <v>257</v>
      </c>
      <c r="G50" t="s">
        <v>472</v>
      </c>
      <c r="S50" t="s">
        <v>474</v>
      </c>
      <c r="T50" t="s">
        <v>555</v>
      </c>
      <c r="U50">
        <v>1</v>
      </c>
      <c r="V50" t="s">
        <v>261</v>
      </c>
      <c r="W50">
        <v>15</v>
      </c>
      <c r="X50">
        <v>10</v>
      </c>
      <c r="Y50">
        <v>5</v>
      </c>
      <c r="Z50">
        <v>15</v>
      </c>
      <c r="AA50">
        <v>0</v>
      </c>
      <c r="AB50">
        <v>10</v>
      </c>
      <c r="AC50">
        <v>0</v>
      </c>
      <c r="AD50">
        <v>0</v>
      </c>
      <c r="AE50">
        <v>55</v>
      </c>
      <c r="AF50" t="s">
        <v>13</v>
      </c>
      <c r="AG50" t="s">
        <v>262</v>
      </c>
    </row>
    <row r="51" spans="1:33" x14ac:dyDescent="0.25">
      <c r="A51">
        <v>7927646026</v>
      </c>
      <c r="B51" t="s">
        <v>11</v>
      </c>
      <c r="C51" t="s">
        <v>135</v>
      </c>
      <c r="D51" t="s">
        <v>135</v>
      </c>
      <c r="E51" t="s">
        <v>51</v>
      </c>
      <c r="F51" t="s">
        <v>267</v>
      </c>
      <c r="G51" t="s">
        <v>472</v>
      </c>
      <c r="S51" t="s">
        <v>474</v>
      </c>
      <c r="T51" t="s">
        <v>508</v>
      </c>
      <c r="U51">
        <v>1</v>
      </c>
      <c r="V51" t="s">
        <v>268</v>
      </c>
      <c r="W51">
        <v>15</v>
      </c>
      <c r="X51">
        <v>10</v>
      </c>
      <c r="Y51">
        <v>5</v>
      </c>
      <c r="Z51">
        <v>0</v>
      </c>
      <c r="AA51">
        <v>15</v>
      </c>
      <c r="AB51">
        <v>0</v>
      </c>
      <c r="AC51">
        <v>10</v>
      </c>
      <c r="AD51">
        <v>0</v>
      </c>
      <c r="AE51">
        <v>55</v>
      </c>
      <c r="AF51" t="s">
        <v>13</v>
      </c>
      <c r="AG51" t="s">
        <v>269</v>
      </c>
    </row>
    <row r="52" spans="1:33" x14ac:dyDescent="0.25">
      <c r="A52">
        <v>7927169001</v>
      </c>
      <c r="B52" t="s">
        <v>11</v>
      </c>
      <c r="C52" t="s">
        <v>50</v>
      </c>
      <c r="D52" t="s">
        <v>50</v>
      </c>
      <c r="E52" t="s">
        <v>51</v>
      </c>
      <c r="F52" t="s">
        <v>270</v>
      </c>
      <c r="G52" t="s">
        <v>457</v>
      </c>
      <c r="S52" t="s">
        <v>459</v>
      </c>
      <c r="T52" t="s">
        <v>508</v>
      </c>
      <c r="V52" t="s">
        <v>271</v>
      </c>
      <c r="W52">
        <v>5</v>
      </c>
      <c r="X52">
        <v>5</v>
      </c>
      <c r="Y52">
        <v>15</v>
      </c>
      <c r="Z52">
        <v>0</v>
      </c>
      <c r="AA52">
        <v>15</v>
      </c>
      <c r="AB52">
        <v>0</v>
      </c>
      <c r="AC52">
        <v>0</v>
      </c>
      <c r="AD52">
        <v>15</v>
      </c>
      <c r="AE52">
        <v>55</v>
      </c>
      <c r="AF52" t="s">
        <v>13</v>
      </c>
      <c r="AG52" t="s">
        <v>272</v>
      </c>
    </row>
    <row r="53" spans="1:33" x14ac:dyDescent="0.25">
      <c r="A53">
        <v>7900018004</v>
      </c>
      <c r="B53" t="s">
        <v>11</v>
      </c>
      <c r="C53" t="s">
        <v>69</v>
      </c>
      <c r="D53" t="s">
        <v>69</v>
      </c>
      <c r="E53" t="s">
        <v>59</v>
      </c>
      <c r="F53" t="s">
        <v>452</v>
      </c>
      <c r="S53" t="s">
        <v>453</v>
      </c>
      <c r="V53" t="s">
        <v>454</v>
      </c>
      <c r="W53">
        <v>15</v>
      </c>
      <c r="X53">
        <v>10</v>
      </c>
      <c r="Y53">
        <v>5</v>
      </c>
      <c r="Z53">
        <v>15</v>
      </c>
      <c r="AA53">
        <v>0</v>
      </c>
      <c r="AB53">
        <v>10</v>
      </c>
      <c r="AC53">
        <v>0</v>
      </c>
      <c r="AD53">
        <v>0</v>
      </c>
      <c r="AE53">
        <v>55</v>
      </c>
      <c r="AF53" t="s">
        <v>13</v>
      </c>
      <c r="AG53" t="s">
        <v>556</v>
      </c>
    </row>
    <row r="54" spans="1:33" x14ac:dyDescent="0.25">
      <c r="A54">
        <v>7934698002</v>
      </c>
      <c r="B54" t="s">
        <v>11</v>
      </c>
      <c r="C54" t="s">
        <v>259</v>
      </c>
      <c r="D54" t="s">
        <v>259</v>
      </c>
      <c r="E54" t="s">
        <v>59</v>
      </c>
      <c r="F54" t="s">
        <v>452</v>
      </c>
      <c r="S54" t="s">
        <v>453</v>
      </c>
      <c r="V54" t="s">
        <v>454</v>
      </c>
      <c r="W54">
        <v>5</v>
      </c>
      <c r="X54">
        <v>5</v>
      </c>
      <c r="Y54">
        <v>5</v>
      </c>
      <c r="Z54">
        <v>0</v>
      </c>
      <c r="AA54">
        <v>15</v>
      </c>
      <c r="AB54">
        <v>0</v>
      </c>
      <c r="AC54">
        <v>10</v>
      </c>
      <c r="AD54">
        <v>15</v>
      </c>
      <c r="AE54">
        <v>55</v>
      </c>
      <c r="AF54" t="s">
        <v>13</v>
      </c>
      <c r="AG54" t="s">
        <v>557</v>
      </c>
    </row>
    <row r="55" spans="1:33" x14ac:dyDescent="0.25">
      <c r="A55">
        <v>7930428001</v>
      </c>
      <c r="B55" t="s">
        <v>11</v>
      </c>
      <c r="C55" t="s">
        <v>50</v>
      </c>
      <c r="D55" t="s">
        <v>50</v>
      </c>
      <c r="E55" t="s">
        <v>51</v>
      </c>
      <c r="F55" t="s">
        <v>273</v>
      </c>
      <c r="G55" t="s">
        <v>472</v>
      </c>
      <c r="S55" t="s">
        <v>474</v>
      </c>
      <c r="T55" t="s">
        <v>508</v>
      </c>
      <c r="U55">
        <v>1</v>
      </c>
      <c r="V55" t="s">
        <v>275</v>
      </c>
      <c r="W55">
        <v>5</v>
      </c>
      <c r="X55">
        <v>5</v>
      </c>
      <c r="Y55">
        <v>15</v>
      </c>
      <c r="Z55">
        <v>0</v>
      </c>
      <c r="AA55">
        <v>15</v>
      </c>
      <c r="AB55">
        <v>10</v>
      </c>
      <c r="AC55">
        <v>0</v>
      </c>
      <c r="AD55">
        <v>0</v>
      </c>
      <c r="AE55">
        <v>50</v>
      </c>
      <c r="AF55" t="s">
        <v>13</v>
      </c>
      <c r="AG55" t="s">
        <v>276</v>
      </c>
    </row>
    <row r="56" spans="1:33" x14ac:dyDescent="0.25">
      <c r="A56">
        <v>7936038076</v>
      </c>
      <c r="B56" t="s">
        <v>11</v>
      </c>
      <c r="C56" t="s">
        <v>209</v>
      </c>
      <c r="D56" t="s">
        <v>210</v>
      </c>
      <c r="E56" t="s">
        <v>42</v>
      </c>
      <c r="F56" t="s">
        <v>452</v>
      </c>
      <c r="G56" t="s">
        <v>472</v>
      </c>
      <c r="R56" t="s">
        <v>558</v>
      </c>
      <c r="S56" t="s">
        <v>474</v>
      </c>
      <c r="V56" t="s">
        <v>454</v>
      </c>
      <c r="W56">
        <v>5</v>
      </c>
      <c r="X56">
        <v>5</v>
      </c>
      <c r="Y56">
        <v>15</v>
      </c>
      <c r="Z56">
        <v>0</v>
      </c>
      <c r="AA56">
        <v>15</v>
      </c>
      <c r="AB56">
        <v>10</v>
      </c>
      <c r="AC56">
        <v>0</v>
      </c>
      <c r="AD56">
        <v>0</v>
      </c>
      <c r="AE56">
        <v>50</v>
      </c>
      <c r="AF56" t="s">
        <v>13</v>
      </c>
      <c r="AG56" t="s">
        <v>559</v>
      </c>
    </row>
    <row r="57" spans="1:33" x14ac:dyDescent="0.25">
      <c r="A57">
        <v>7955520116</v>
      </c>
      <c r="B57" t="s">
        <v>11</v>
      </c>
      <c r="C57" t="s">
        <v>215</v>
      </c>
      <c r="D57" t="s">
        <v>41</v>
      </c>
      <c r="E57" t="s">
        <v>42</v>
      </c>
      <c r="F57" t="s">
        <v>452</v>
      </c>
      <c r="G57" t="s">
        <v>472</v>
      </c>
      <c r="R57" t="s">
        <v>558</v>
      </c>
      <c r="S57" t="s">
        <v>474</v>
      </c>
      <c r="T57" t="s">
        <v>508</v>
      </c>
      <c r="U57">
        <v>1</v>
      </c>
      <c r="V57" t="s">
        <v>454</v>
      </c>
      <c r="W57">
        <v>5</v>
      </c>
      <c r="X57">
        <v>5</v>
      </c>
      <c r="Y57">
        <v>15</v>
      </c>
      <c r="Z57">
        <v>0</v>
      </c>
      <c r="AA57">
        <v>0</v>
      </c>
      <c r="AB57">
        <v>10</v>
      </c>
      <c r="AC57">
        <v>0</v>
      </c>
      <c r="AD57">
        <v>15</v>
      </c>
      <c r="AE57">
        <v>50</v>
      </c>
      <c r="AF57" t="s">
        <v>13</v>
      </c>
      <c r="AG57" t="s">
        <v>560</v>
      </c>
    </row>
    <row r="58" spans="1:33" x14ac:dyDescent="0.25">
      <c r="A58">
        <v>5800291035</v>
      </c>
      <c r="B58" t="s">
        <v>10</v>
      </c>
      <c r="C58" t="s">
        <v>339</v>
      </c>
      <c r="D58" t="s">
        <v>135</v>
      </c>
      <c r="E58" t="s">
        <v>51</v>
      </c>
      <c r="F58" t="s">
        <v>561</v>
      </c>
      <c r="G58" t="s">
        <v>464</v>
      </c>
      <c r="S58" t="s">
        <v>459</v>
      </c>
      <c r="T58" t="s">
        <v>533</v>
      </c>
      <c r="U58">
        <v>1</v>
      </c>
      <c r="V58" t="s">
        <v>562</v>
      </c>
      <c r="W58">
        <v>0</v>
      </c>
      <c r="X58">
        <v>20</v>
      </c>
      <c r="Y58">
        <v>20</v>
      </c>
      <c r="Z58">
        <v>10</v>
      </c>
      <c r="AA58">
        <v>0</v>
      </c>
      <c r="AB58" t="s">
        <v>45</v>
      </c>
      <c r="AC58" t="s">
        <v>45</v>
      </c>
      <c r="AD58" t="s">
        <v>45</v>
      </c>
      <c r="AE58">
        <v>50</v>
      </c>
      <c r="AF58" t="s">
        <v>14</v>
      </c>
      <c r="AG58" t="s">
        <v>563</v>
      </c>
    </row>
    <row r="59" spans="1:33" x14ac:dyDescent="0.25">
      <c r="A59">
        <v>5827102054</v>
      </c>
      <c r="B59" t="s">
        <v>10</v>
      </c>
      <c r="C59" t="s">
        <v>278</v>
      </c>
      <c r="D59" t="s">
        <v>117</v>
      </c>
      <c r="E59" t="s">
        <v>51</v>
      </c>
      <c r="F59" t="s">
        <v>564</v>
      </c>
      <c r="G59" t="s">
        <v>464</v>
      </c>
      <c r="R59" t="s">
        <v>565</v>
      </c>
      <c r="T59" t="s">
        <v>533</v>
      </c>
      <c r="U59">
        <v>1</v>
      </c>
      <c r="V59" t="s">
        <v>566</v>
      </c>
      <c r="W59">
        <v>0</v>
      </c>
      <c r="X59">
        <v>20</v>
      </c>
      <c r="Y59">
        <v>20</v>
      </c>
      <c r="Z59">
        <v>10</v>
      </c>
      <c r="AA59">
        <v>0</v>
      </c>
      <c r="AB59" t="s">
        <v>45</v>
      </c>
      <c r="AC59" t="s">
        <v>45</v>
      </c>
      <c r="AD59" t="s">
        <v>45</v>
      </c>
      <c r="AE59">
        <v>50</v>
      </c>
      <c r="AF59" t="s">
        <v>14</v>
      </c>
      <c r="AG59" t="s">
        <v>281</v>
      </c>
    </row>
    <row r="60" spans="1:33" x14ac:dyDescent="0.25">
      <c r="A60">
        <v>5850308009</v>
      </c>
      <c r="B60" t="s">
        <v>10</v>
      </c>
      <c r="C60" t="s">
        <v>106</v>
      </c>
      <c r="D60" t="s">
        <v>106</v>
      </c>
      <c r="E60" t="s">
        <v>59</v>
      </c>
      <c r="F60" t="s">
        <v>452</v>
      </c>
      <c r="S60" t="s">
        <v>453</v>
      </c>
      <c r="V60" t="s">
        <v>454</v>
      </c>
      <c r="W60">
        <v>0</v>
      </c>
      <c r="X60">
        <v>20</v>
      </c>
      <c r="Y60">
        <v>20</v>
      </c>
      <c r="Z60">
        <v>0</v>
      </c>
      <c r="AA60">
        <v>10</v>
      </c>
      <c r="AB60" t="s">
        <v>45</v>
      </c>
      <c r="AC60" t="s">
        <v>45</v>
      </c>
      <c r="AD60" t="s">
        <v>45</v>
      </c>
      <c r="AE60">
        <v>50</v>
      </c>
      <c r="AF60" t="s">
        <v>14</v>
      </c>
      <c r="AG60" t="s">
        <v>567</v>
      </c>
    </row>
    <row r="61" spans="1:33" x14ac:dyDescent="0.25">
      <c r="A61">
        <v>7900535058</v>
      </c>
      <c r="B61" t="s">
        <v>11</v>
      </c>
      <c r="C61" t="s">
        <v>283</v>
      </c>
      <c r="D61" t="s">
        <v>69</v>
      </c>
      <c r="E61" t="s">
        <v>59</v>
      </c>
      <c r="F61" t="s">
        <v>282</v>
      </c>
      <c r="G61" t="s">
        <v>472</v>
      </c>
      <c r="S61" t="s">
        <v>474</v>
      </c>
      <c r="T61" t="s">
        <v>484</v>
      </c>
      <c r="U61">
        <v>1</v>
      </c>
      <c r="V61" t="s">
        <v>285</v>
      </c>
      <c r="W61">
        <v>5</v>
      </c>
      <c r="X61">
        <v>10</v>
      </c>
      <c r="Y61">
        <v>5</v>
      </c>
      <c r="Z61">
        <v>0</v>
      </c>
      <c r="AA61">
        <v>15</v>
      </c>
      <c r="AB61">
        <v>10</v>
      </c>
      <c r="AC61">
        <v>0</v>
      </c>
      <c r="AD61">
        <v>0</v>
      </c>
      <c r="AE61">
        <v>45</v>
      </c>
      <c r="AF61" t="s">
        <v>14</v>
      </c>
      <c r="AG61" t="s">
        <v>286</v>
      </c>
    </row>
    <row r="62" spans="1:33" x14ac:dyDescent="0.25">
      <c r="A62">
        <v>7927713200</v>
      </c>
      <c r="B62" t="s">
        <v>11</v>
      </c>
      <c r="C62" t="s">
        <v>293</v>
      </c>
      <c r="D62" t="s">
        <v>224</v>
      </c>
      <c r="E62" t="s">
        <v>42</v>
      </c>
      <c r="F62" t="s">
        <v>452</v>
      </c>
      <c r="G62" t="s">
        <v>472</v>
      </c>
      <c r="R62" t="s">
        <v>558</v>
      </c>
      <c r="S62" t="s">
        <v>474</v>
      </c>
      <c r="T62" t="s">
        <v>508</v>
      </c>
      <c r="U62">
        <v>1</v>
      </c>
      <c r="V62" t="s">
        <v>454</v>
      </c>
      <c r="W62">
        <v>5</v>
      </c>
      <c r="X62">
        <v>5</v>
      </c>
      <c r="Y62">
        <v>5</v>
      </c>
      <c r="Z62">
        <v>0</v>
      </c>
      <c r="AA62">
        <v>15</v>
      </c>
      <c r="AB62">
        <v>10</v>
      </c>
      <c r="AC62">
        <v>0</v>
      </c>
      <c r="AD62">
        <v>0</v>
      </c>
      <c r="AE62">
        <v>40</v>
      </c>
      <c r="AF62" t="s">
        <v>14</v>
      </c>
      <c r="AG62" t="s">
        <v>296</v>
      </c>
    </row>
    <row r="63" spans="1:33" x14ac:dyDescent="0.25">
      <c r="A63">
        <v>7937102148</v>
      </c>
      <c r="B63" t="s">
        <v>11</v>
      </c>
      <c r="C63" t="s">
        <v>301</v>
      </c>
      <c r="D63" t="s">
        <v>224</v>
      </c>
      <c r="E63" t="s">
        <v>42</v>
      </c>
      <c r="F63" t="s">
        <v>300</v>
      </c>
      <c r="G63" t="s">
        <v>472</v>
      </c>
      <c r="S63" t="s">
        <v>474</v>
      </c>
      <c r="T63" t="s">
        <v>508</v>
      </c>
      <c r="U63">
        <v>1</v>
      </c>
      <c r="V63" t="s">
        <v>303</v>
      </c>
      <c r="W63">
        <v>5</v>
      </c>
      <c r="X63">
        <v>5</v>
      </c>
      <c r="Y63">
        <v>5</v>
      </c>
      <c r="Z63">
        <v>0</v>
      </c>
      <c r="AA63">
        <v>15</v>
      </c>
      <c r="AB63">
        <v>10</v>
      </c>
      <c r="AC63">
        <v>0</v>
      </c>
      <c r="AD63">
        <v>0</v>
      </c>
      <c r="AE63">
        <v>40</v>
      </c>
      <c r="AF63" t="s">
        <v>14</v>
      </c>
      <c r="AG63" t="s">
        <v>304</v>
      </c>
    </row>
    <row r="64" spans="1:33" x14ac:dyDescent="0.25">
      <c r="A64">
        <v>7944559149</v>
      </c>
      <c r="B64" t="s">
        <v>11</v>
      </c>
      <c r="C64" t="s">
        <v>195</v>
      </c>
      <c r="D64" t="s">
        <v>152</v>
      </c>
      <c r="E64" t="s">
        <v>51</v>
      </c>
      <c r="F64" t="s">
        <v>194</v>
      </c>
      <c r="G64" t="s">
        <v>472</v>
      </c>
      <c r="S64" t="s">
        <v>474</v>
      </c>
      <c r="T64" t="s">
        <v>484</v>
      </c>
      <c r="U64">
        <v>1</v>
      </c>
      <c r="V64" t="s">
        <v>197</v>
      </c>
      <c r="W64">
        <v>5</v>
      </c>
      <c r="X64">
        <v>10</v>
      </c>
      <c r="Y64">
        <v>0</v>
      </c>
      <c r="Z64">
        <v>0</v>
      </c>
      <c r="AA64">
        <v>15</v>
      </c>
      <c r="AB64">
        <v>10</v>
      </c>
      <c r="AC64">
        <v>0</v>
      </c>
      <c r="AD64">
        <v>0</v>
      </c>
      <c r="AE64">
        <v>40</v>
      </c>
      <c r="AF64" t="s">
        <v>14</v>
      </c>
      <c r="AG64" t="s">
        <v>198</v>
      </c>
    </row>
    <row r="65" spans="1:33" x14ac:dyDescent="0.25">
      <c r="A65">
        <v>5800961074</v>
      </c>
      <c r="B65" t="s">
        <v>10</v>
      </c>
      <c r="C65" t="s">
        <v>41</v>
      </c>
      <c r="D65" t="s">
        <v>41</v>
      </c>
      <c r="E65" t="s">
        <v>42</v>
      </c>
      <c r="F65" t="s">
        <v>128</v>
      </c>
      <c r="G65" t="s">
        <v>568</v>
      </c>
      <c r="R65" t="s">
        <v>569</v>
      </c>
      <c r="S65" t="s">
        <v>474</v>
      </c>
      <c r="T65" t="s">
        <v>570</v>
      </c>
      <c r="U65">
        <v>3</v>
      </c>
      <c r="V65" t="s">
        <v>130</v>
      </c>
      <c r="W65">
        <v>20</v>
      </c>
      <c r="X65">
        <v>0</v>
      </c>
      <c r="Y65">
        <v>0</v>
      </c>
      <c r="Z65">
        <v>20</v>
      </c>
      <c r="AA65">
        <v>0</v>
      </c>
      <c r="AB65" t="s">
        <v>45</v>
      </c>
      <c r="AC65" t="s">
        <v>45</v>
      </c>
      <c r="AD65" t="s">
        <v>45</v>
      </c>
      <c r="AE65">
        <v>40</v>
      </c>
      <c r="AF65" t="s">
        <v>14</v>
      </c>
      <c r="AG65" t="s">
        <v>131</v>
      </c>
    </row>
    <row r="66" spans="1:33" x14ac:dyDescent="0.25">
      <c r="A66">
        <v>7908249152</v>
      </c>
      <c r="B66" t="s">
        <v>11</v>
      </c>
      <c r="C66" t="s">
        <v>306</v>
      </c>
      <c r="D66" t="s">
        <v>50</v>
      </c>
      <c r="E66" t="s">
        <v>51</v>
      </c>
      <c r="F66" t="s">
        <v>305</v>
      </c>
      <c r="G66" t="s">
        <v>472</v>
      </c>
      <c r="S66" t="s">
        <v>474</v>
      </c>
      <c r="T66" t="s">
        <v>475</v>
      </c>
      <c r="U66">
        <v>1</v>
      </c>
      <c r="V66" t="s">
        <v>307</v>
      </c>
      <c r="W66">
        <v>5</v>
      </c>
      <c r="X66">
        <v>5</v>
      </c>
      <c r="Y66">
        <v>0</v>
      </c>
      <c r="Z66">
        <v>0</v>
      </c>
      <c r="AA66">
        <v>15</v>
      </c>
      <c r="AB66">
        <v>10</v>
      </c>
      <c r="AC66">
        <v>0</v>
      </c>
      <c r="AD66">
        <v>0</v>
      </c>
      <c r="AE66">
        <v>35</v>
      </c>
      <c r="AF66" t="s">
        <v>14</v>
      </c>
      <c r="AG66" t="s">
        <v>308</v>
      </c>
    </row>
    <row r="67" spans="1:33" x14ac:dyDescent="0.25">
      <c r="A67">
        <v>7922995039</v>
      </c>
      <c r="B67" t="s">
        <v>11</v>
      </c>
      <c r="C67" t="s">
        <v>57</v>
      </c>
      <c r="D67" t="s">
        <v>58</v>
      </c>
      <c r="E67" t="s">
        <v>59</v>
      </c>
      <c r="F67" t="s">
        <v>571</v>
      </c>
      <c r="S67" t="s">
        <v>572</v>
      </c>
      <c r="V67" t="s">
        <v>573</v>
      </c>
      <c r="W67">
        <v>5</v>
      </c>
      <c r="X67">
        <v>5</v>
      </c>
      <c r="Y67">
        <v>0</v>
      </c>
      <c r="Z67">
        <v>0</v>
      </c>
      <c r="AA67">
        <v>15</v>
      </c>
      <c r="AB67">
        <v>10</v>
      </c>
      <c r="AC67">
        <v>0</v>
      </c>
      <c r="AD67">
        <v>0</v>
      </c>
      <c r="AE67">
        <v>35</v>
      </c>
      <c r="AF67" t="s">
        <v>14</v>
      </c>
      <c r="AG67" t="s">
        <v>574</v>
      </c>
    </row>
    <row r="68" spans="1:33" x14ac:dyDescent="0.25">
      <c r="A68">
        <v>7925733015</v>
      </c>
      <c r="B68" t="s">
        <v>11</v>
      </c>
      <c r="C68" t="s">
        <v>288</v>
      </c>
      <c r="D68" t="s">
        <v>106</v>
      </c>
      <c r="E68" t="s">
        <v>59</v>
      </c>
      <c r="F68" t="s">
        <v>287</v>
      </c>
      <c r="G68" t="s">
        <v>472</v>
      </c>
      <c r="O68" t="s">
        <v>575</v>
      </c>
      <c r="S68" t="s">
        <v>474</v>
      </c>
      <c r="T68" t="s">
        <v>508</v>
      </c>
      <c r="U68">
        <v>1</v>
      </c>
      <c r="V68" t="s">
        <v>290</v>
      </c>
      <c r="W68">
        <v>5</v>
      </c>
      <c r="X68">
        <v>5</v>
      </c>
      <c r="Y68">
        <v>0</v>
      </c>
      <c r="Z68">
        <v>0</v>
      </c>
      <c r="AA68">
        <v>15</v>
      </c>
      <c r="AB68">
        <v>10</v>
      </c>
      <c r="AC68">
        <v>0</v>
      </c>
      <c r="AD68">
        <v>0</v>
      </c>
      <c r="AE68">
        <v>35</v>
      </c>
      <c r="AF68" t="s">
        <v>14</v>
      </c>
      <c r="AG68" t="s">
        <v>291</v>
      </c>
    </row>
    <row r="69" spans="1:33" x14ac:dyDescent="0.25">
      <c r="A69">
        <v>7927396052</v>
      </c>
      <c r="B69" t="s">
        <v>11</v>
      </c>
      <c r="C69" t="s">
        <v>112</v>
      </c>
      <c r="D69" t="s">
        <v>112</v>
      </c>
      <c r="E69" t="s">
        <v>42</v>
      </c>
      <c r="F69" t="s">
        <v>180</v>
      </c>
      <c r="G69" t="s">
        <v>472</v>
      </c>
      <c r="S69" t="s">
        <v>474</v>
      </c>
      <c r="T69" t="s">
        <v>508</v>
      </c>
      <c r="U69">
        <v>1</v>
      </c>
      <c r="V69" t="s">
        <v>182</v>
      </c>
      <c r="W69">
        <v>5</v>
      </c>
      <c r="X69">
        <v>5</v>
      </c>
      <c r="Y69">
        <v>0</v>
      </c>
      <c r="Z69">
        <v>0</v>
      </c>
      <c r="AA69">
        <v>15</v>
      </c>
      <c r="AB69">
        <v>10</v>
      </c>
      <c r="AC69">
        <v>0</v>
      </c>
      <c r="AD69">
        <v>0</v>
      </c>
      <c r="AE69">
        <v>35</v>
      </c>
      <c r="AF69" t="s">
        <v>14</v>
      </c>
      <c r="AG69" t="s">
        <v>183</v>
      </c>
    </row>
    <row r="70" spans="1:33" x14ac:dyDescent="0.25">
      <c r="A70">
        <v>7933585074</v>
      </c>
      <c r="B70" t="s">
        <v>11</v>
      </c>
      <c r="C70" t="s">
        <v>41</v>
      </c>
      <c r="D70" t="s">
        <v>41</v>
      </c>
      <c r="E70" t="s">
        <v>42</v>
      </c>
      <c r="F70" t="s">
        <v>139</v>
      </c>
      <c r="G70" t="s">
        <v>472</v>
      </c>
      <c r="R70" t="s">
        <v>473</v>
      </c>
      <c r="S70" t="s">
        <v>474</v>
      </c>
      <c r="T70" t="s">
        <v>508</v>
      </c>
      <c r="U70">
        <v>1</v>
      </c>
      <c r="V70" t="s">
        <v>140</v>
      </c>
      <c r="W70">
        <v>5</v>
      </c>
      <c r="X70">
        <v>5</v>
      </c>
      <c r="Y70">
        <v>15</v>
      </c>
      <c r="Z70">
        <v>0</v>
      </c>
      <c r="AA70">
        <v>0</v>
      </c>
      <c r="AB70">
        <v>0</v>
      </c>
      <c r="AC70">
        <v>10</v>
      </c>
      <c r="AD70">
        <v>0</v>
      </c>
      <c r="AE70">
        <v>35</v>
      </c>
      <c r="AF70" t="s">
        <v>14</v>
      </c>
      <c r="AG70" t="s">
        <v>141</v>
      </c>
    </row>
    <row r="71" spans="1:33" x14ac:dyDescent="0.25">
      <c r="A71">
        <v>7942572059</v>
      </c>
      <c r="B71" t="s">
        <v>11</v>
      </c>
      <c r="C71" t="s">
        <v>74</v>
      </c>
      <c r="D71" t="s">
        <v>74</v>
      </c>
      <c r="E71" t="s">
        <v>51</v>
      </c>
      <c r="F71" t="s">
        <v>317</v>
      </c>
      <c r="G71" t="s">
        <v>464</v>
      </c>
      <c r="S71" t="s">
        <v>572</v>
      </c>
      <c r="V71" t="s">
        <v>318</v>
      </c>
      <c r="W71">
        <v>5</v>
      </c>
      <c r="X71">
        <v>5</v>
      </c>
      <c r="Y71">
        <v>15</v>
      </c>
      <c r="Z71">
        <v>0</v>
      </c>
      <c r="AA71">
        <v>0</v>
      </c>
      <c r="AB71">
        <v>0</v>
      </c>
      <c r="AC71">
        <v>10</v>
      </c>
      <c r="AD71">
        <v>0</v>
      </c>
      <c r="AE71">
        <v>35</v>
      </c>
      <c r="AF71" t="s">
        <v>14</v>
      </c>
      <c r="AG71" t="s">
        <v>319</v>
      </c>
    </row>
    <row r="72" spans="1:33" x14ac:dyDescent="0.25">
      <c r="A72">
        <v>7944319149</v>
      </c>
      <c r="B72" t="s">
        <v>11</v>
      </c>
      <c r="C72" t="s">
        <v>195</v>
      </c>
      <c r="D72" t="s">
        <v>152</v>
      </c>
      <c r="E72" t="s">
        <v>51</v>
      </c>
      <c r="F72" t="s">
        <v>452</v>
      </c>
      <c r="S72" t="s">
        <v>453</v>
      </c>
      <c r="V72" t="s">
        <v>454</v>
      </c>
      <c r="W72">
        <v>5</v>
      </c>
      <c r="X72">
        <v>5</v>
      </c>
      <c r="Y72">
        <v>15</v>
      </c>
      <c r="Z72">
        <v>0</v>
      </c>
      <c r="AA72">
        <v>0</v>
      </c>
      <c r="AB72">
        <v>0</v>
      </c>
      <c r="AC72">
        <v>10</v>
      </c>
      <c r="AD72">
        <v>0</v>
      </c>
      <c r="AE72">
        <v>35</v>
      </c>
      <c r="AF72" t="s">
        <v>14</v>
      </c>
      <c r="AG72" t="s">
        <v>576</v>
      </c>
    </row>
    <row r="73" spans="1:33" x14ac:dyDescent="0.25">
      <c r="A73">
        <v>7955986084</v>
      </c>
      <c r="B73" t="s">
        <v>11</v>
      </c>
      <c r="C73" t="s">
        <v>152</v>
      </c>
      <c r="D73" t="s">
        <v>152</v>
      </c>
      <c r="E73" t="s">
        <v>51</v>
      </c>
      <c r="F73" t="s">
        <v>156</v>
      </c>
      <c r="G73" t="s">
        <v>472</v>
      </c>
      <c r="S73" t="s">
        <v>474</v>
      </c>
      <c r="V73" t="s">
        <v>157</v>
      </c>
      <c r="W73">
        <v>5</v>
      </c>
      <c r="X73">
        <v>5</v>
      </c>
      <c r="Y73">
        <v>0</v>
      </c>
      <c r="Z73">
        <v>0</v>
      </c>
      <c r="AA73">
        <v>15</v>
      </c>
      <c r="AB73">
        <v>10</v>
      </c>
      <c r="AC73">
        <v>0</v>
      </c>
      <c r="AD73">
        <v>0</v>
      </c>
      <c r="AE73">
        <v>35</v>
      </c>
      <c r="AF73" t="s">
        <v>14</v>
      </c>
      <c r="AG73" t="s">
        <v>158</v>
      </c>
    </row>
    <row r="74" spans="1:33" x14ac:dyDescent="0.25">
      <c r="A74">
        <v>7967181127</v>
      </c>
      <c r="B74" t="s">
        <v>11</v>
      </c>
      <c r="C74" t="s">
        <v>258</v>
      </c>
      <c r="D74" t="s">
        <v>259</v>
      </c>
      <c r="E74" t="s">
        <v>59</v>
      </c>
      <c r="F74" t="s">
        <v>452</v>
      </c>
      <c r="G74" t="s">
        <v>577</v>
      </c>
      <c r="V74" t="s">
        <v>454</v>
      </c>
      <c r="W74">
        <v>5</v>
      </c>
      <c r="X74">
        <v>5</v>
      </c>
      <c r="Y74">
        <v>0</v>
      </c>
      <c r="Z74">
        <v>0</v>
      </c>
      <c r="AA74">
        <v>15</v>
      </c>
      <c r="AB74">
        <v>10</v>
      </c>
      <c r="AC74">
        <v>0</v>
      </c>
      <c r="AD74">
        <v>0</v>
      </c>
      <c r="AE74">
        <v>35</v>
      </c>
      <c r="AF74" t="s">
        <v>14</v>
      </c>
      <c r="AG74" t="s">
        <v>578</v>
      </c>
    </row>
    <row r="75" spans="1:33" x14ac:dyDescent="0.25">
      <c r="A75">
        <v>7900525015</v>
      </c>
      <c r="B75" t="s">
        <v>11</v>
      </c>
      <c r="C75" t="s">
        <v>288</v>
      </c>
      <c r="D75" t="s">
        <v>106</v>
      </c>
      <c r="E75" t="s">
        <v>59</v>
      </c>
      <c r="F75" t="s">
        <v>297</v>
      </c>
      <c r="G75" t="s">
        <v>472</v>
      </c>
      <c r="S75" t="s">
        <v>474</v>
      </c>
      <c r="T75" t="s">
        <v>508</v>
      </c>
      <c r="U75">
        <v>1</v>
      </c>
      <c r="V75" t="s">
        <v>298</v>
      </c>
      <c r="W75">
        <v>5</v>
      </c>
      <c r="X75">
        <v>5</v>
      </c>
      <c r="Y75">
        <v>0</v>
      </c>
      <c r="Z75">
        <v>0</v>
      </c>
      <c r="AA75">
        <v>15</v>
      </c>
      <c r="AB75">
        <v>10</v>
      </c>
      <c r="AC75">
        <v>0</v>
      </c>
      <c r="AD75">
        <v>0</v>
      </c>
      <c r="AE75">
        <v>35</v>
      </c>
      <c r="AF75" t="s">
        <v>14</v>
      </c>
      <c r="AG75" t="s">
        <v>299</v>
      </c>
    </row>
    <row r="76" spans="1:33" x14ac:dyDescent="0.25">
      <c r="A76">
        <v>7928564039</v>
      </c>
      <c r="B76" t="s">
        <v>11</v>
      </c>
      <c r="C76" t="s">
        <v>57</v>
      </c>
      <c r="D76" t="s">
        <v>58</v>
      </c>
      <c r="E76" t="s">
        <v>59</v>
      </c>
      <c r="F76" t="s">
        <v>55</v>
      </c>
      <c r="G76" t="s">
        <v>472</v>
      </c>
      <c r="S76" t="s">
        <v>474</v>
      </c>
      <c r="T76" t="s">
        <v>475</v>
      </c>
      <c r="U76">
        <v>1</v>
      </c>
      <c r="V76" t="s">
        <v>61</v>
      </c>
      <c r="W76">
        <v>5</v>
      </c>
      <c r="X76">
        <v>10</v>
      </c>
      <c r="Y76">
        <v>5</v>
      </c>
      <c r="Z76">
        <v>0</v>
      </c>
      <c r="AA76">
        <v>0</v>
      </c>
      <c r="AB76">
        <v>10</v>
      </c>
      <c r="AC76">
        <v>0</v>
      </c>
      <c r="AD76">
        <v>0</v>
      </c>
      <c r="AE76">
        <v>30</v>
      </c>
      <c r="AF76" t="s">
        <v>14</v>
      </c>
      <c r="AG76" t="s">
        <v>62</v>
      </c>
    </row>
    <row r="77" spans="1:33" x14ac:dyDescent="0.25">
      <c r="A77">
        <v>7957126085</v>
      </c>
      <c r="B77" t="s">
        <v>11</v>
      </c>
      <c r="C77" t="s">
        <v>579</v>
      </c>
      <c r="D77" t="s">
        <v>117</v>
      </c>
      <c r="E77" t="s">
        <v>51</v>
      </c>
      <c r="F77" t="s">
        <v>452</v>
      </c>
      <c r="S77" t="s">
        <v>453</v>
      </c>
      <c r="V77" t="s">
        <v>454</v>
      </c>
      <c r="W77">
        <v>5</v>
      </c>
      <c r="X77">
        <v>10</v>
      </c>
      <c r="Y77">
        <v>5</v>
      </c>
      <c r="Z77">
        <v>0</v>
      </c>
      <c r="AA77">
        <v>0</v>
      </c>
      <c r="AB77">
        <v>10</v>
      </c>
      <c r="AC77">
        <v>0</v>
      </c>
      <c r="AD77">
        <v>0</v>
      </c>
      <c r="AE77">
        <v>30</v>
      </c>
      <c r="AF77" t="s">
        <v>14</v>
      </c>
      <c r="AG77" t="s">
        <v>580</v>
      </c>
    </row>
    <row r="78" spans="1:33" x14ac:dyDescent="0.25">
      <c r="A78">
        <v>5841308190</v>
      </c>
      <c r="B78" t="s">
        <v>10</v>
      </c>
      <c r="C78" t="s">
        <v>581</v>
      </c>
      <c r="D78" t="s">
        <v>41</v>
      </c>
      <c r="E78" t="s">
        <v>42</v>
      </c>
      <c r="F78" t="s">
        <v>452</v>
      </c>
      <c r="S78" t="s">
        <v>582</v>
      </c>
      <c r="T78" t="s">
        <v>45</v>
      </c>
      <c r="V78" t="s">
        <v>454</v>
      </c>
      <c r="W78">
        <v>0</v>
      </c>
      <c r="X78">
        <v>20</v>
      </c>
      <c r="Y78">
        <v>0</v>
      </c>
      <c r="Z78">
        <v>10</v>
      </c>
      <c r="AA78">
        <v>0</v>
      </c>
      <c r="AB78" t="s">
        <v>45</v>
      </c>
      <c r="AC78" t="s">
        <v>45</v>
      </c>
      <c r="AD78" t="s">
        <v>45</v>
      </c>
      <c r="AE78">
        <v>30</v>
      </c>
      <c r="AF78" t="s">
        <v>15</v>
      </c>
      <c r="AG78" t="s">
        <v>583</v>
      </c>
    </row>
    <row r="79" spans="1:33" x14ac:dyDescent="0.25">
      <c r="A79">
        <v>5844630060</v>
      </c>
      <c r="B79" t="s">
        <v>10</v>
      </c>
      <c r="C79" t="s">
        <v>253</v>
      </c>
      <c r="D79" t="s">
        <v>94</v>
      </c>
      <c r="E79" t="s">
        <v>59</v>
      </c>
      <c r="F79" t="s">
        <v>452</v>
      </c>
      <c r="G79" t="s">
        <v>584</v>
      </c>
      <c r="R79" t="s">
        <v>585</v>
      </c>
      <c r="S79" t="s">
        <v>459</v>
      </c>
      <c r="T79" t="s">
        <v>460</v>
      </c>
      <c r="U79">
        <v>1</v>
      </c>
      <c r="V79" t="s">
        <v>454</v>
      </c>
      <c r="W79">
        <v>20</v>
      </c>
      <c r="X79">
        <v>0</v>
      </c>
      <c r="Y79">
        <v>0</v>
      </c>
      <c r="Z79">
        <v>10</v>
      </c>
      <c r="AA79">
        <v>0</v>
      </c>
      <c r="AB79" t="s">
        <v>45</v>
      </c>
      <c r="AC79" t="s">
        <v>45</v>
      </c>
      <c r="AD79" t="s">
        <v>45</v>
      </c>
      <c r="AE79">
        <v>30</v>
      </c>
      <c r="AF79" t="s">
        <v>15</v>
      </c>
      <c r="AG79" t="s">
        <v>256</v>
      </c>
    </row>
    <row r="80" spans="1:33" x14ac:dyDescent="0.25">
      <c r="A80">
        <v>5855411017</v>
      </c>
      <c r="B80" t="s">
        <v>10</v>
      </c>
      <c r="C80" t="s">
        <v>99</v>
      </c>
      <c r="D80" t="s">
        <v>100</v>
      </c>
      <c r="E80" t="s">
        <v>51</v>
      </c>
      <c r="F80" t="s">
        <v>98</v>
      </c>
      <c r="G80" t="s">
        <v>472</v>
      </c>
      <c r="S80" t="s">
        <v>474</v>
      </c>
      <c r="T80" t="s">
        <v>484</v>
      </c>
      <c r="U80">
        <v>1</v>
      </c>
      <c r="V80" t="s">
        <v>102</v>
      </c>
      <c r="W80">
        <v>0</v>
      </c>
      <c r="X80">
        <v>0</v>
      </c>
      <c r="Y80">
        <v>0</v>
      </c>
      <c r="Z80">
        <v>10</v>
      </c>
      <c r="AA80">
        <v>20</v>
      </c>
      <c r="AB80" t="s">
        <v>45</v>
      </c>
      <c r="AC80" t="s">
        <v>45</v>
      </c>
      <c r="AD80" t="s">
        <v>45</v>
      </c>
      <c r="AE80">
        <v>30</v>
      </c>
      <c r="AF80" t="s">
        <v>15</v>
      </c>
      <c r="AG80" t="s">
        <v>103</v>
      </c>
    </row>
    <row r="81" spans="1:33" x14ac:dyDescent="0.25">
      <c r="A81">
        <v>7900505026</v>
      </c>
      <c r="B81" t="s">
        <v>11</v>
      </c>
      <c r="C81" t="s">
        <v>135</v>
      </c>
      <c r="D81" t="s">
        <v>135</v>
      </c>
      <c r="E81" t="s">
        <v>51</v>
      </c>
      <c r="F81" t="s">
        <v>452</v>
      </c>
      <c r="S81" t="s">
        <v>453</v>
      </c>
      <c r="V81" t="s">
        <v>454</v>
      </c>
      <c r="W81">
        <v>5</v>
      </c>
      <c r="X81">
        <v>5</v>
      </c>
      <c r="Y81">
        <v>5</v>
      </c>
      <c r="Z81">
        <v>0</v>
      </c>
      <c r="AA81">
        <v>0</v>
      </c>
      <c r="AB81">
        <v>0</v>
      </c>
      <c r="AC81">
        <v>10</v>
      </c>
      <c r="AD81">
        <v>0</v>
      </c>
      <c r="AE81">
        <v>25</v>
      </c>
      <c r="AF81" t="s">
        <v>15</v>
      </c>
      <c r="AG81" t="s">
        <v>586</v>
      </c>
    </row>
    <row r="82" spans="1:33" x14ac:dyDescent="0.25">
      <c r="A82">
        <v>7908196047</v>
      </c>
      <c r="B82" t="s">
        <v>11</v>
      </c>
      <c r="C82" t="s">
        <v>111</v>
      </c>
      <c r="D82" t="s">
        <v>470</v>
      </c>
      <c r="E82" t="s">
        <v>42</v>
      </c>
      <c r="F82" t="s">
        <v>587</v>
      </c>
      <c r="G82" t="s">
        <v>472</v>
      </c>
      <c r="O82" t="s">
        <v>588</v>
      </c>
      <c r="S82" t="s">
        <v>474</v>
      </c>
      <c r="T82" t="s">
        <v>475</v>
      </c>
      <c r="U82">
        <v>1</v>
      </c>
      <c r="V82" t="s">
        <v>589</v>
      </c>
      <c r="W82">
        <v>5</v>
      </c>
      <c r="X82">
        <v>5</v>
      </c>
      <c r="Y82">
        <v>5</v>
      </c>
      <c r="Z82">
        <v>0</v>
      </c>
      <c r="AA82">
        <v>0</v>
      </c>
      <c r="AB82">
        <v>0</v>
      </c>
      <c r="AC82">
        <v>10</v>
      </c>
      <c r="AD82">
        <v>0</v>
      </c>
      <c r="AE82">
        <v>25</v>
      </c>
      <c r="AF82" t="s">
        <v>15</v>
      </c>
      <c r="AG82" t="s">
        <v>115</v>
      </c>
    </row>
    <row r="83" spans="1:33" x14ac:dyDescent="0.25">
      <c r="A83">
        <v>7921202014</v>
      </c>
      <c r="B83" t="s">
        <v>11</v>
      </c>
      <c r="C83" t="s">
        <v>164</v>
      </c>
      <c r="D83" t="s">
        <v>117</v>
      </c>
      <c r="E83" t="s">
        <v>51</v>
      </c>
      <c r="F83" t="s">
        <v>313</v>
      </c>
      <c r="G83" t="s">
        <v>472</v>
      </c>
      <c r="S83" t="s">
        <v>474</v>
      </c>
      <c r="T83" t="s">
        <v>508</v>
      </c>
      <c r="U83">
        <v>1</v>
      </c>
      <c r="V83" t="s">
        <v>315</v>
      </c>
      <c r="W83">
        <v>5</v>
      </c>
      <c r="X83">
        <v>5</v>
      </c>
      <c r="Y83">
        <v>5</v>
      </c>
      <c r="Z83">
        <v>0</v>
      </c>
      <c r="AA83">
        <v>0</v>
      </c>
      <c r="AB83">
        <v>10</v>
      </c>
      <c r="AC83">
        <v>0</v>
      </c>
      <c r="AD83">
        <v>0</v>
      </c>
      <c r="AE83">
        <v>25</v>
      </c>
      <c r="AF83" t="s">
        <v>15</v>
      </c>
      <c r="AG83" t="s">
        <v>316</v>
      </c>
    </row>
    <row r="84" spans="1:33" x14ac:dyDescent="0.25">
      <c r="A84">
        <v>7923927122</v>
      </c>
      <c r="B84" t="s">
        <v>11</v>
      </c>
      <c r="C84" t="s">
        <v>264</v>
      </c>
      <c r="D84" t="s">
        <v>264</v>
      </c>
      <c r="E84" t="s">
        <v>51</v>
      </c>
      <c r="F84" t="s">
        <v>263</v>
      </c>
      <c r="G84" t="s">
        <v>472</v>
      </c>
      <c r="S84" t="s">
        <v>474</v>
      </c>
      <c r="T84" t="s">
        <v>508</v>
      </c>
      <c r="U84">
        <v>1</v>
      </c>
      <c r="V84" t="s">
        <v>265</v>
      </c>
      <c r="W84">
        <v>15</v>
      </c>
      <c r="X84">
        <v>0</v>
      </c>
      <c r="Y84">
        <v>0</v>
      </c>
      <c r="Z84">
        <v>0</v>
      </c>
      <c r="AA84">
        <v>0</v>
      </c>
      <c r="AB84">
        <v>10</v>
      </c>
      <c r="AC84">
        <v>0</v>
      </c>
      <c r="AD84">
        <v>0</v>
      </c>
      <c r="AE84">
        <v>25</v>
      </c>
      <c r="AF84" t="s">
        <v>15</v>
      </c>
      <c r="AG84" t="s">
        <v>266</v>
      </c>
    </row>
    <row r="85" spans="1:33" x14ac:dyDescent="0.25">
      <c r="A85">
        <v>7927446001</v>
      </c>
      <c r="B85" t="s">
        <v>11</v>
      </c>
      <c r="C85" t="s">
        <v>50</v>
      </c>
      <c r="D85" t="s">
        <v>50</v>
      </c>
      <c r="E85" t="s">
        <v>51</v>
      </c>
      <c r="F85" t="s">
        <v>320</v>
      </c>
      <c r="G85" t="s">
        <v>472</v>
      </c>
      <c r="S85" t="s">
        <v>474</v>
      </c>
      <c r="T85" t="s">
        <v>475</v>
      </c>
      <c r="U85">
        <v>1</v>
      </c>
      <c r="V85" t="s">
        <v>321</v>
      </c>
      <c r="W85">
        <v>5</v>
      </c>
      <c r="X85">
        <v>5</v>
      </c>
      <c r="Y85">
        <v>5</v>
      </c>
      <c r="Z85">
        <v>0</v>
      </c>
      <c r="AA85">
        <v>0</v>
      </c>
      <c r="AB85">
        <v>10</v>
      </c>
      <c r="AC85">
        <v>0</v>
      </c>
      <c r="AD85">
        <v>0</v>
      </c>
      <c r="AE85">
        <v>25</v>
      </c>
      <c r="AF85" t="s">
        <v>15</v>
      </c>
      <c r="AG85" t="s">
        <v>322</v>
      </c>
    </row>
    <row r="86" spans="1:33" x14ac:dyDescent="0.25">
      <c r="A86">
        <v>7928241200</v>
      </c>
      <c r="B86" t="s">
        <v>11</v>
      </c>
      <c r="C86" t="s">
        <v>293</v>
      </c>
      <c r="D86" t="s">
        <v>224</v>
      </c>
      <c r="E86" t="s">
        <v>42</v>
      </c>
      <c r="F86" t="s">
        <v>323</v>
      </c>
      <c r="G86" t="s">
        <v>472</v>
      </c>
      <c r="S86" t="s">
        <v>474</v>
      </c>
      <c r="T86" t="s">
        <v>508</v>
      </c>
      <c r="U86">
        <v>1</v>
      </c>
      <c r="V86" t="s">
        <v>325</v>
      </c>
      <c r="W86">
        <v>5</v>
      </c>
      <c r="X86">
        <v>5</v>
      </c>
      <c r="Y86">
        <v>5</v>
      </c>
      <c r="Z86">
        <v>0</v>
      </c>
      <c r="AA86">
        <v>0</v>
      </c>
      <c r="AB86">
        <v>10</v>
      </c>
      <c r="AC86">
        <v>0</v>
      </c>
      <c r="AD86">
        <v>0</v>
      </c>
      <c r="AE86">
        <v>25</v>
      </c>
      <c r="AF86" t="s">
        <v>15</v>
      </c>
      <c r="AG86" t="s">
        <v>326</v>
      </c>
    </row>
    <row r="87" spans="1:33" x14ac:dyDescent="0.25">
      <c r="A87">
        <v>7942485096</v>
      </c>
      <c r="B87" t="s">
        <v>11</v>
      </c>
      <c r="C87" t="s">
        <v>310</v>
      </c>
      <c r="D87" t="s">
        <v>135</v>
      </c>
      <c r="E87" t="s">
        <v>51</v>
      </c>
      <c r="F87" t="s">
        <v>309</v>
      </c>
      <c r="G87" t="s">
        <v>472</v>
      </c>
      <c r="S87" t="s">
        <v>474</v>
      </c>
      <c r="T87" t="s">
        <v>508</v>
      </c>
      <c r="U87">
        <v>1</v>
      </c>
      <c r="V87" t="s">
        <v>311</v>
      </c>
      <c r="W87">
        <v>5</v>
      </c>
      <c r="X87">
        <v>5</v>
      </c>
      <c r="Y87">
        <v>5</v>
      </c>
      <c r="Z87">
        <v>0</v>
      </c>
      <c r="AA87">
        <v>0</v>
      </c>
      <c r="AB87">
        <v>10</v>
      </c>
      <c r="AC87">
        <v>0</v>
      </c>
      <c r="AD87">
        <v>0</v>
      </c>
      <c r="AE87">
        <v>25</v>
      </c>
      <c r="AF87" t="s">
        <v>15</v>
      </c>
      <c r="AG87" t="s">
        <v>312</v>
      </c>
    </row>
    <row r="88" spans="1:33" x14ac:dyDescent="0.25">
      <c r="A88">
        <v>7955430075</v>
      </c>
      <c r="B88" t="s">
        <v>11</v>
      </c>
      <c r="C88" t="s">
        <v>590</v>
      </c>
      <c r="D88" t="s">
        <v>152</v>
      </c>
      <c r="E88" t="s">
        <v>51</v>
      </c>
      <c r="F88" t="s">
        <v>452</v>
      </c>
      <c r="S88" t="s">
        <v>453</v>
      </c>
      <c r="V88" t="s">
        <v>454</v>
      </c>
      <c r="W88">
        <v>5</v>
      </c>
      <c r="X88">
        <v>5</v>
      </c>
      <c r="Y88">
        <v>5</v>
      </c>
      <c r="Z88">
        <v>0</v>
      </c>
      <c r="AA88">
        <v>0</v>
      </c>
      <c r="AB88">
        <v>0</v>
      </c>
      <c r="AC88">
        <v>10</v>
      </c>
      <c r="AD88">
        <v>0</v>
      </c>
      <c r="AE88">
        <v>25</v>
      </c>
      <c r="AF88" t="s">
        <v>15</v>
      </c>
      <c r="AG88" t="s">
        <v>591</v>
      </c>
    </row>
    <row r="89" spans="1:33" x14ac:dyDescent="0.25">
      <c r="A89">
        <v>7955686076</v>
      </c>
      <c r="B89" t="s">
        <v>11</v>
      </c>
      <c r="C89" t="s">
        <v>209</v>
      </c>
      <c r="D89" t="s">
        <v>210</v>
      </c>
      <c r="E89" t="s">
        <v>42</v>
      </c>
      <c r="F89" t="s">
        <v>452</v>
      </c>
      <c r="S89" t="s">
        <v>453</v>
      </c>
      <c r="V89" t="s">
        <v>454</v>
      </c>
      <c r="W89">
        <v>5</v>
      </c>
      <c r="X89">
        <v>5</v>
      </c>
      <c r="Y89">
        <v>0</v>
      </c>
      <c r="Z89">
        <v>0</v>
      </c>
      <c r="AA89">
        <v>15</v>
      </c>
      <c r="AB89">
        <v>0</v>
      </c>
      <c r="AC89">
        <v>0</v>
      </c>
      <c r="AD89">
        <v>0</v>
      </c>
      <c r="AE89">
        <v>25</v>
      </c>
      <c r="AF89" t="s">
        <v>15</v>
      </c>
      <c r="AG89" t="s">
        <v>592</v>
      </c>
    </row>
    <row r="90" spans="1:33" x14ac:dyDescent="0.25">
      <c r="A90">
        <v>7955946007</v>
      </c>
      <c r="B90" t="s">
        <v>11</v>
      </c>
      <c r="C90" t="s">
        <v>100</v>
      </c>
      <c r="D90" t="s">
        <v>100</v>
      </c>
      <c r="E90" t="s">
        <v>51</v>
      </c>
      <c r="F90" t="s">
        <v>245</v>
      </c>
      <c r="G90" t="s">
        <v>472</v>
      </c>
      <c r="S90" t="s">
        <v>474</v>
      </c>
      <c r="T90" t="s">
        <v>466</v>
      </c>
      <c r="U90">
        <v>1</v>
      </c>
      <c r="V90" t="s">
        <v>246</v>
      </c>
      <c r="W90">
        <v>5</v>
      </c>
      <c r="X90">
        <v>5</v>
      </c>
      <c r="Y90">
        <v>5</v>
      </c>
      <c r="Z90">
        <v>0</v>
      </c>
      <c r="AA90">
        <v>0</v>
      </c>
      <c r="AB90">
        <v>0</v>
      </c>
      <c r="AC90">
        <v>10</v>
      </c>
      <c r="AD90">
        <v>0</v>
      </c>
      <c r="AE90">
        <v>25</v>
      </c>
      <c r="AF90" t="s">
        <v>15</v>
      </c>
      <c r="AG90" t="s">
        <v>247</v>
      </c>
    </row>
    <row r="91" spans="1:33" x14ac:dyDescent="0.25">
      <c r="A91">
        <v>7901110084</v>
      </c>
      <c r="B91" t="s">
        <v>11</v>
      </c>
      <c r="C91" t="s">
        <v>152</v>
      </c>
      <c r="D91" t="s">
        <v>152</v>
      </c>
      <c r="E91" t="s">
        <v>51</v>
      </c>
      <c r="F91" t="s">
        <v>151</v>
      </c>
      <c r="G91" t="s">
        <v>472</v>
      </c>
      <c r="S91" t="s">
        <v>474</v>
      </c>
      <c r="T91" t="s">
        <v>508</v>
      </c>
      <c r="U91">
        <v>1</v>
      </c>
      <c r="V91" t="s">
        <v>154</v>
      </c>
      <c r="W91">
        <v>5</v>
      </c>
      <c r="X91">
        <v>5</v>
      </c>
      <c r="Y91">
        <v>0</v>
      </c>
      <c r="Z91">
        <v>0</v>
      </c>
      <c r="AA91">
        <v>0</v>
      </c>
      <c r="AB91">
        <v>0</v>
      </c>
      <c r="AC91">
        <v>10</v>
      </c>
      <c r="AD91">
        <v>0</v>
      </c>
      <c r="AE91">
        <v>20</v>
      </c>
      <c r="AF91" t="s">
        <v>15</v>
      </c>
      <c r="AG91" t="s">
        <v>155</v>
      </c>
    </row>
    <row r="92" spans="1:33" x14ac:dyDescent="0.25">
      <c r="A92">
        <v>7908206074</v>
      </c>
      <c r="B92" t="s">
        <v>11</v>
      </c>
      <c r="C92" t="s">
        <v>41</v>
      </c>
      <c r="D92" t="s">
        <v>41</v>
      </c>
      <c r="E92" t="s">
        <v>42</v>
      </c>
      <c r="F92" t="s">
        <v>452</v>
      </c>
      <c r="S92" t="s">
        <v>453</v>
      </c>
      <c r="V92" t="s">
        <v>454</v>
      </c>
      <c r="W92">
        <v>5</v>
      </c>
      <c r="X92">
        <v>5</v>
      </c>
      <c r="Y92">
        <v>0</v>
      </c>
      <c r="Z92">
        <v>0</v>
      </c>
      <c r="AA92">
        <v>0</v>
      </c>
      <c r="AB92">
        <v>0</v>
      </c>
      <c r="AC92">
        <v>10</v>
      </c>
      <c r="AD92">
        <v>0</v>
      </c>
      <c r="AE92">
        <v>20</v>
      </c>
      <c r="AF92" t="s">
        <v>15</v>
      </c>
      <c r="AG92" t="s">
        <v>593</v>
      </c>
    </row>
    <row r="93" spans="1:33" x14ac:dyDescent="0.25">
      <c r="A93">
        <v>7908708116</v>
      </c>
      <c r="B93" t="s">
        <v>11</v>
      </c>
      <c r="C93" t="s">
        <v>215</v>
      </c>
      <c r="D93" t="s">
        <v>41</v>
      </c>
      <c r="E93" t="s">
        <v>42</v>
      </c>
      <c r="F93" t="s">
        <v>452</v>
      </c>
      <c r="G93" t="s">
        <v>594</v>
      </c>
      <c r="R93" t="s">
        <v>558</v>
      </c>
      <c r="S93" t="s">
        <v>474</v>
      </c>
      <c r="T93" t="s">
        <v>475</v>
      </c>
      <c r="V93" t="s">
        <v>454</v>
      </c>
      <c r="W93">
        <v>5</v>
      </c>
      <c r="X93">
        <v>5</v>
      </c>
      <c r="Y93">
        <v>0</v>
      </c>
      <c r="Z93">
        <v>0</v>
      </c>
      <c r="AA93">
        <v>0</v>
      </c>
      <c r="AB93">
        <v>0</v>
      </c>
      <c r="AC93">
        <v>10</v>
      </c>
      <c r="AD93">
        <v>0</v>
      </c>
      <c r="AE93">
        <v>20</v>
      </c>
      <c r="AF93" t="s">
        <v>15</v>
      </c>
      <c r="AG93" t="s">
        <v>217</v>
      </c>
    </row>
    <row r="94" spans="1:33" x14ac:dyDescent="0.25">
      <c r="A94">
        <v>7910027196</v>
      </c>
      <c r="B94" t="s">
        <v>11</v>
      </c>
      <c r="C94" t="s">
        <v>233</v>
      </c>
      <c r="D94" t="s">
        <v>74</v>
      </c>
      <c r="E94" t="s">
        <v>51</v>
      </c>
      <c r="F94" t="s">
        <v>452</v>
      </c>
      <c r="G94" t="s">
        <v>472</v>
      </c>
      <c r="S94" t="s">
        <v>474</v>
      </c>
      <c r="T94" t="s">
        <v>475</v>
      </c>
      <c r="U94">
        <v>1</v>
      </c>
      <c r="V94" t="s">
        <v>454</v>
      </c>
      <c r="W94">
        <v>5</v>
      </c>
      <c r="X94">
        <v>5</v>
      </c>
      <c r="Y94">
        <v>0</v>
      </c>
      <c r="Z94">
        <v>0</v>
      </c>
      <c r="AA94">
        <v>0</v>
      </c>
      <c r="AB94">
        <v>0</v>
      </c>
      <c r="AC94">
        <v>10</v>
      </c>
      <c r="AD94">
        <v>0</v>
      </c>
      <c r="AE94">
        <v>20</v>
      </c>
      <c r="AF94" t="s">
        <v>15</v>
      </c>
      <c r="AG94" t="s">
        <v>236</v>
      </c>
    </row>
    <row r="95" spans="1:33" x14ac:dyDescent="0.25">
      <c r="A95">
        <v>7913662076</v>
      </c>
      <c r="B95" t="s">
        <v>11</v>
      </c>
      <c r="C95" t="s">
        <v>209</v>
      </c>
      <c r="D95" t="s">
        <v>210</v>
      </c>
      <c r="E95" t="s">
        <v>42</v>
      </c>
      <c r="F95" t="s">
        <v>208</v>
      </c>
      <c r="G95" t="s">
        <v>472</v>
      </c>
      <c r="R95" t="s">
        <v>595</v>
      </c>
      <c r="S95" t="s">
        <v>474</v>
      </c>
      <c r="T95" t="s">
        <v>508</v>
      </c>
      <c r="U95">
        <v>1</v>
      </c>
      <c r="V95" t="s">
        <v>596</v>
      </c>
      <c r="W95">
        <v>5</v>
      </c>
      <c r="X95">
        <v>5</v>
      </c>
      <c r="Y95">
        <v>0</v>
      </c>
      <c r="Z95">
        <v>0</v>
      </c>
      <c r="AA95">
        <v>0</v>
      </c>
      <c r="AB95">
        <v>10</v>
      </c>
      <c r="AC95">
        <v>0</v>
      </c>
      <c r="AD95">
        <v>0</v>
      </c>
      <c r="AE95">
        <v>20</v>
      </c>
      <c r="AF95" t="s">
        <v>15</v>
      </c>
      <c r="AG95" t="s">
        <v>213</v>
      </c>
    </row>
    <row r="96" spans="1:33" x14ac:dyDescent="0.25">
      <c r="A96">
        <v>5862236091</v>
      </c>
      <c r="B96" t="s">
        <v>10</v>
      </c>
      <c r="C96" t="s">
        <v>40</v>
      </c>
      <c r="D96" t="s">
        <v>41</v>
      </c>
      <c r="E96" t="s">
        <v>42</v>
      </c>
      <c r="F96" t="s">
        <v>597</v>
      </c>
      <c r="G96" t="s">
        <v>472</v>
      </c>
      <c r="S96" t="s">
        <v>474</v>
      </c>
      <c r="T96" t="s">
        <v>460</v>
      </c>
      <c r="U96">
        <v>1</v>
      </c>
      <c r="V96" t="s">
        <v>598</v>
      </c>
      <c r="W96">
        <v>0</v>
      </c>
      <c r="X96">
        <v>0</v>
      </c>
      <c r="Y96">
        <v>0</v>
      </c>
      <c r="Z96">
        <v>20</v>
      </c>
      <c r="AA96">
        <v>0</v>
      </c>
      <c r="AB96" t="s">
        <v>45</v>
      </c>
      <c r="AC96" t="s">
        <v>45</v>
      </c>
      <c r="AD96" t="s">
        <v>45</v>
      </c>
      <c r="AE96">
        <v>20</v>
      </c>
      <c r="AF96" t="s">
        <v>15</v>
      </c>
      <c r="AG96" t="s">
        <v>330</v>
      </c>
    </row>
    <row r="97" spans="1:33" x14ac:dyDescent="0.25">
      <c r="A97">
        <v>5836786094</v>
      </c>
      <c r="B97" t="s">
        <v>10</v>
      </c>
      <c r="C97" t="s">
        <v>224</v>
      </c>
      <c r="D97" t="s">
        <v>224</v>
      </c>
      <c r="E97" t="s">
        <v>42</v>
      </c>
      <c r="F97" t="s">
        <v>331</v>
      </c>
      <c r="G97" t="s">
        <v>513</v>
      </c>
      <c r="R97" t="s">
        <v>599</v>
      </c>
      <c r="S97" t="s">
        <v>459</v>
      </c>
      <c r="T97" t="s">
        <v>460</v>
      </c>
      <c r="U97">
        <v>1</v>
      </c>
      <c r="V97" t="s">
        <v>332</v>
      </c>
      <c r="W97">
        <v>0</v>
      </c>
      <c r="X97">
        <v>0</v>
      </c>
      <c r="Y97">
        <v>0</v>
      </c>
      <c r="Z97">
        <v>10</v>
      </c>
      <c r="AA97">
        <v>10</v>
      </c>
      <c r="AB97" t="s">
        <v>45</v>
      </c>
      <c r="AC97" t="s">
        <v>45</v>
      </c>
      <c r="AD97" t="s">
        <v>45</v>
      </c>
      <c r="AE97">
        <v>20</v>
      </c>
      <c r="AF97" t="s">
        <v>15</v>
      </c>
      <c r="AG97" t="s">
        <v>333</v>
      </c>
    </row>
    <row r="98" spans="1:33" x14ac:dyDescent="0.25">
      <c r="A98">
        <v>7919270014</v>
      </c>
      <c r="B98" t="s">
        <v>11</v>
      </c>
      <c r="C98" t="s">
        <v>164</v>
      </c>
      <c r="D98" t="s">
        <v>117</v>
      </c>
      <c r="E98" t="s">
        <v>51</v>
      </c>
      <c r="F98" t="s">
        <v>600</v>
      </c>
      <c r="G98" t="s">
        <v>472</v>
      </c>
      <c r="S98" t="s">
        <v>474</v>
      </c>
      <c r="V98" t="s">
        <v>601</v>
      </c>
      <c r="W98">
        <v>5</v>
      </c>
      <c r="X98">
        <v>5</v>
      </c>
      <c r="Y98">
        <v>0</v>
      </c>
      <c r="Z98">
        <v>0</v>
      </c>
      <c r="AA98">
        <v>0</v>
      </c>
      <c r="AB98">
        <v>10</v>
      </c>
      <c r="AC98">
        <v>0</v>
      </c>
      <c r="AD98">
        <v>0</v>
      </c>
      <c r="AE98">
        <v>20</v>
      </c>
      <c r="AF98" t="s">
        <v>15</v>
      </c>
      <c r="AG98" t="s">
        <v>337</v>
      </c>
    </row>
    <row r="99" spans="1:33" x14ac:dyDescent="0.25">
      <c r="A99">
        <v>7926442035</v>
      </c>
      <c r="B99" t="s">
        <v>11</v>
      </c>
      <c r="C99" t="s">
        <v>339</v>
      </c>
      <c r="D99" t="s">
        <v>135</v>
      </c>
      <c r="E99" t="s">
        <v>51</v>
      </c>
      <c r="F99" t="s">
        <v>338</v>
      </c>
      <c r="G99" t="s">
        <v>472</v>
      </c>
      <c r="R99" t="s">
        <v>595</v>
      </c>
      <c r="S99" t="s">
        <v>474</v>
      </c>
      <c r="T99" t="s">
        <v>602</v>
      </c>
      <c r="U99">
        <v>1</v>
      </c>
      <c r="V99" t="s">
        <v>341</v>
      </c>
      <c r="W99">
        <v>5</v>
      </c>
      <c r="X99">
        <v>5</v>
      </c>
      <c r="Y99">
        <v>0</v>
      </c>
      <c r="Z99">
        <v>0</v>
      </c>
      <c r="AA99">
        <v>0</v>
      </c>
      <c r="AB99">
        <v>0</v>
      </c>
      <c r="AC99">
        <v>10</v>
      </c>
      <c r="AD99">
        <v>0</v>
      </c>
      <c r="AE99">
        <v>20</v>
      </c>
      <c r="AF99" t="s">
        <v>15</v>
      </c>
      <c r="AG99" t="s">
        <v>342</v>
      </c>
    </row>
    <row r="100" spans="1:33" x14ac:dyDescent="0.25">
      <c r="A100">
        <v>7954668084</v>
      </c>
      <c r="B100" t="s">
        <v>11</v>
      </c>
      <c r="C100" t="s">
        <v>152</v>
      </c>
      <c r="D100" t="s">
        <v>152</v>
      </c>
      <c r="E100" t="s">
        <v>51</v>
      </c>
      <c r="F100" t="s">
        <v>452</v>
      </c>
      <c r="S100" t="s">
        <v>453</v>
      </c>
      <c r="V100" t="s">
        <v>454</v>
      </c>
      <c r="W100">
        <v>5</v>
      </c>
      <c r="X100">
        <v>5</v>
      </c>
      <c r="Y100">
        <v>0</v>
      </c>
      <c r="Z100">
        <v>0</v>
      </c>
      <c r="AA100">
        <v>0</v>
      </c>
      <c r="AB100">
        <v>0</v>
      </c>
      <c r="AC100">
        <v>10</v>
      </c>
      <c r="AD100">
        <v>0</v>
      </c>
      <c r="AE100">
        <v>20</v>
      </c>
      <c r="AF100" t="s">
        <v>15</v>
      </c>
      <c r="AG100" t="s">
        <v>603</v>
      </c>
    </row>
    <row r="101" spans="1:33" x14ac:dyDescent="0.25">
      <c r="A101">
        <v>7938137007</v>
      </c>
      <c r="B101" t="s">
        <v>11</v>
      </c>
      <c r="C101" t="s">
        <v>100</v>
      </c>
      <c r="D101" t="s">
        <v>100</v>
      </c>
      <c r="E101" t="s">
        <v>51</v>
      </c>
      <c r="F101" t="s">
        <v>343</v>
      </c>
      <c r="G101" t="s">
        <v>472</v>
      </c>
      <c r="S101" t="s">
        <v>474</v>
      </c>
      <c r="T101" t="s">
        <v>604</v>
      </c>
      <c r="U101">
        <v>1</v>
      </c>
      <c r="V101" t="s">
        <v>344</v>
      </c>
      <c r="W101">
        <v>5</v>
      </c>
      <c r="X101">
        <v>5</v>
      </c>
      <c r="Y101">
        <v>5</v>
      </c>
      <c r="Z101">
        <v>0</v>
      </c>
      <c r="AA101">
        <v>0</v>
      </c>
      <c r="AB101">
        <v>0</v>
      </c>
      <c r="AC101">
        <v>0</v>
      </c>
      <c r="AD101">
        <v>0</v>
      </c>
      <c r="AE101">
        <v>15</v>
      </c>
      <c r="AF101" t="s">
        <v>15</v>
      </c>
      <c r="AG101" t="s">
        <v>345</v>
      </c>
    </row>
    <row r="102" spans="1:33" x14ac:dyDescent="0.25">
      <c r="A102">
        <v>5856156091</v>
      </c>
      <c r="B102" t="s">
        <v>10</v>
      </c>
      <c r="C102" t="s">
        <v>40</v>
      </c>
      <c r="D102" t="s">
        <v>41</v>
      </c>
      <c r="E102" t="s">
        <v>42</v>
      </c>
      <c r="F102" t="s">
        <v>605</v>
      </c>
      <c r="G102" t="s">
        <v>472</v>
      </c>
      <c r="R102" t="s">
        <v>606</v>
      </c>
      <c r="S102" t="s">
        <v>474</v>
      </c>
      <c r="T102" t="s">
        <v>487</v>
      </c>
      <c r="U102">
        <v>3</v>
      </c>
      <c r="V102" t="s">
        <v>607</v>
      </c>
      <c r="W102">
        <v>0</v>
      </c>
      <c r="X102">
        <v>0</v>
      </c>
      <c r="Y102">
        <v>0</v>
      </c>
      <c r="Z102">
        <v>0</v>
      </c>
      <c r="AA102">
        <v>0</v>
      </c>
      <c r="AB102" t="s">
        <v>45</v>
      </c>
      <c r="AC102" t="s">
        <v>45</v>
      </c>
      <c r="AD102" t="s">
        <v>45</v>
      </c>
      <c r="AE102">
        <v>0</v>
      </c>
      <c r="AF102" t="s">
        <v>15</v>
      </c>
      <c r="AG102" t="s">
        <v>348</v>
      </c>
    </row>
    <row r="103" spans="1:33" x14ac:dyDescent="0.25">
      <c r="A103">
        <v>5858783119</v>
      </c>
      <c r="B103" t="s">
        <v>10</v>
      </c>
      <c r="C103" t="s">
        <v>350</v>
      </c>
      <c r="D103" t="s">
        <v>259</v>
      </c>
      <c r="E103" t="s">
        <v>59</v>
      </c>
      <c r="F103" t="s">
        <v>608</v>
      </c>
      <c r="G103" t="s">
        <v>609</v>
      </c>
      <c r="O103" t="s">
        <v>588</v>
      </c>
      <c r="R103" t="s">
        <v>610</v>
      </c>
      <c r="S103" t="s">
        <v>474</v>
      </c>
      <c r="V103" t="s">
        <v>611</v>
      </c>
      <c r="W103">
        <v>0</v>
      </c>
      <c r="X103">
        <v>0</v>
      </c>
      <c r="Y103">
        <v>0</v>
      </c>
      <c r="Z103">
        <v>0</v>
      </c>
      <c r="AA103">
        <v>0</v>
      </c>
      <c r="AB103" t="s">
        <v>45</v>
      </c>
      <c r="AC103" t="s">
        <v>45</v>
      </c>
      <c r="AD103" t="s">
        <v>45</v>
      </c>
      <c r="AE103">
        <v>0</v>
      </c>
      <c r="AF103" t="s">
        <v>15</v>
      </c>
      <c r="AG103" t="s">
        <v>353</v>
      </c>
    </row>
    <row r="104" spans="1:33" x14ac:dyDescent="0.25">
      <c r="A104">
        <v>7900532053</v>
      </c>
      <c r="B104" t="s">
        <v>11</v>
      </c>
      <c r="C104" t="s">
        <v>612</v>
      </c>
      <c r="D104" t="s">
        <v>259</v>
      </c>
      <c r="E104" t="s">
        <v>59</v>
      </c>
      <c r="F104" t="s">
        <v>452</v>
      </c>
      <c r="G104" t="s">
        <v>613</v>
      </c>
      <c r="T104" t="s">
        <v>614</v>
      </c>
      <c r="V104" t="s">
        <v>454</v>
      </c>
      <c r="W104">
        <v>0</v>
      </c>
      <c r="X104">
        <v>0</v>
      </c>
      <c r="Y104">
        <v>0</v>
      </c>
      <c r="Z104">
        <v>0</v>
      </c>
      <c r="AA104">
        <v>0</v>
      </c>
      <c r="AB104">
        <v>0</v>
      </c>
      <c r="AC104">
        <v>0</v>
      </c>
      <c r="AD104">
        <v>0</v>
      </c>
      <c r="AE104">
        <v>0</v>
      </c>
      <c r="AF104" t="s">
        <v>15</v>
      </c>
      <c r="AG104" t="s">
        <v>615</v>
      </c>
    </row>
    <row r="105" spans="1:33" x14ac:dyDescent="0.25">
      <c r="A105">
        <v>7925713040</v>
      </c>
      <c r="B105" t="s">
        <v>11</v>
      </c>
      <c r="C105" t="s">
        <v>521</v>
      </c>
      <c r="D105" t="s">
        <v>69</v>
      </c>
      <c r="E105" t="s">
        <v>59</v>
      </c>
      <c r="F105" t="s">
        <v>452</v>
      </c>
      <c r="V105" t="s">
        <v>454</v>
      </c>
      <c r="AE105">
        <v>0</v>
      </c>
    </row>
    <row r="106" spans="1:33" x14ac:dyDescent="0.25">
      <c r="A106">
        <v>7948412064</v>
      </c>
      <c r="B106" t="s">
        <v>11</v>
      </c>
      <c r="C106" t="s">
        <v>389</v>
      </c>
      <c r="D106" t="s">
        <v>106</v>
      </c>
      <c r="E106" t="s">
        <v>59</v>
      </c>
      <c r="F106" t="s">
        <v>452</v>
      </c>
      <c r="V106" t="s">
        <v>454</v>
      </c>
      <c r="AE106">
        <v>0</v>
      </c>
    </row>
    <row r="107" spans="1:33" x14ac:dyDescent="0.25">
      <c r="A107">
        <v>7955832052</v>
      </c>
      <c r="B107" t="s">
        <v>11</v>
      </c>
      <c r="C107" t="s">
        <v>112</v>
      </c>
      <c r="D107" t="s">
        <v>112</v>
      </c>
      <c r="E107" t="s">
        <v>42</v>
      </c>
      <c r="F107" t="s">
        <v>616</v>
      </c>
      <c r="O107" t="s">
        <v>478</v>
      </c>
      <c r="V107" t="s">
        <v>617</v>
      </c>
      <c r="AE107">
        <v>0</v>
      </c>
    </row>
    <row r="108" spans="1:33" x14ac:dyDescent="0.25">
      <c r="A108">
        <v>7930359149</v>
      </c>
      <c r="B108" t="s">
        <v>11</v>
      </c>
      <c r="C108" t="s">
        <v>195</v>
      </c>
      <c r="D108" t="s">
        <v>152</v>
      </c>
      <c r="E108" t="s">
        <v>51</v>
      </c>
      <c r="F108" t="s">
        <v>354</v>
      </c>
      <c r="V108" t="s">
        <v>356</v>
      </c>
      <c r="AE108">
        <v>0</v>
      </c>
    </row>
    <row r="109" spans="1:33" x14ac:dyDescent="0.25">
      <c r="A109">
        <v>7902098003</v>
      </c>
      <c r="B109" t="s">
        <v>11</v>
      </c>
      <c r="C109" t="s">
        <v>210</v>
      </c>
      <c r="D109" t="s">
        <v>210</v>
      </c>
      <c r="E109" t="s">
        <v>42</v>
      </c>
      <c r="F109" t="s">
        <v>618</v>
      </c>
      <c r="O109" t="s">
        <v>478</v>
      </c>
      <c r="V109" t="s">
        <v>619</v>
      </c>
      <c r="AE109">
        <v>0</v>
      </c>
    </row>
    <row r="110" spans="1:33" x14ac:dyDescent="0.25">
      <c r="A110">
        <v>7953211079</v>
      </c>
      <c r="B110" t="s">
        <v>11</v>
      </c>
      <c r="C110" t="s">
        <v>359</v>
      </c>
      <c r="D110" t="s">
        <v>106</v>
      </c>
      <c r="E110" t="s">
        <v>59</v>
      </c>
      <c r="F110" t="s">
        <v>358</v>
      </c>
      <c r="V110" t="s">
        <v>361</v>
      </c>
      <c r="AE110">
        <v>0</v>
      </c>
    </row>
    <row r="111" spans="1:33" x14ac:dyDescent="0.25">
      <c r="A111">
        <v>7949648145</v>
      </c>
      <c r="B111" t="s">
        <v>11</v>
      </c>
      <c r="C111" t="s">
        <v>363</v>
      </c>
      <c r="D111" t="s">
        <v>58</v>
      </c>
      <c r="E111" t="s">
        <v>59</v>
      </c>
      <c r="F111" t="s">
        <v>362</v>
      </c>
      <c r="O111" t="s">
        <v>510</v>
      </c>
      <c r="P111">
        <v>46260</v>
      </c>
      <c r="R111" t="s">
        <v>620</v>
      </c>
      <c r="V111" t="s">
        <v>365</v>
      </c>
      <c r="AE111">
        <v>0</v>
      </c>
    </row>
    <row r="112" spans="1:33" x14ac:dyDescent="0.25">
      <c r="A112">
        <v>7957021094</v>
      </c>
      <c r="B112" t="s">
        <v>11</v>
      </c>
      <c r="C112" t="s">
        <v>224</v>
      </c>
      <c r="D112" t="s">
        <v>224</v>
      </c>
      <c r="E112" t="s">
        <v>42</v>
      </c>
      <c r="F112" t="s">
        <v>452</v>
      </c>
      <c r="V112" t="s">
        <v>454</v>
      </c>
      <c r="AE112">
        <v>0</v>
      </c>
    </row>
    <row r="113" spans="1:31" x14ac:dyDescent="0.25">
      <c r="A113">
        <v>7908300096</v>
      </c>
      <c r="B113" t="s">
        <v>11</v>
      </c>
      <c r="C113" t="s">
        <v>310</v>
      </c>
      <c r="D113" t="s">
        <v>135</v>
      </c>
      <c r="E113" t="s">
        <v>51</v>
      </c>
      <c r="F113" t="s">
        <v>366</v>
      </c>
      <c r="O113" t="s">
        <v>510</v>
      </c>
      <c r="P113" t="s">
        <v>621</v>
      </c>
      <c r="V113" t="s">
        <v>367</v>
      </c>
      <c r="AE113">
        <v>0</v>
      </c>
    </row>
    <row r="114" spans="1:31" x14ac:dyDescent="0.25">
      <c r="A114">
        <v>7953570026</v>
      </c>
      <c r="B114" t="s">
        <v>11</v>
      </c>
      <c r="C114" t="s">
        <v>135</v>
      </c>
      <c r="D114" t="s">
        <v>135</v>
      </c>
      <c r="E114" t="s">
        <v>51</v>
      </c>
      <c r="F114" t="s">
        <v>622</v>
      </c>
      <c r="O114" t="s">
        <v>478</v>
      </c>
      <c r="V114" t="s">
        <v>623</v>
      </c>
      <c r="AE114">
        <v>0</v>
      </c>
    </row>
    <row r="115" spans="1:31" x14ac:dyDescent="0.25">
      <c r="A115">
        <v>7911120026</v>
      </c>
      <c r="B115" t="s">
        <v>11</v>
      </c>
      <c r="C115" t="s">
        <v>135</v>
      </c>
      <c r="D115" t="s">
        <v>135</v>
      </c>
      <c r="E115" t="s">
        <v>51</v>
      </c>
      <c r="F115" t="s">
        <v>624</v>
      </c>
      <c r="G115" t="s">
        <v>625</v>
      </c>
      <c r="R115" t="s">
        <v>533</v>
      </c>
      <c r="V115" t="s">
        <v>626</v>
      </c>
      <c r="AE115">
        <v>0</v>
      </c>
    </row>
    <row r="116" spans="1:31" x14ac:dyDescent="0.25">
      <c r="A116">
        <v>5820790038</v>
      </c>
      <c r="B116" t="s">
        <v>10</v>
      </c>
      <c r="C116" t="s">
        <v>627</v>
      </c>
      <c r="D116" t="s">
        <v>41</v>
      </c>
      <c r="E116" t="s">
        <v>42</v>
      </c>
      <c r="F116" t="s">
        <v>452</v>
      </c>
      <c r="V116" t="s">
        <v>454</v>
      </c>
      <c r="AE116">
        <v>0</v>
      </c>
    </row>
    <row r="117" spans="1:31" x14ac:dyDescent="0.25">
      <c r="A117">
        <v>7934697002</v>
      </c>
      <c r="B117" t="s">
        <v>11</v>
      </c>
      <c r="C117" t="s">
        <v>259</v>
      </c>
      <c r="D117" t="s">
        <v>259</v>
      </c>
      <c r="E117" t="s">
        <v>59</v>
      </c>
      <c r="F117" t="s">
        <v>452</v>
      </c>
      <c r="V117" t="s">
        <v>454</v>
      </c>
      <c r="AE117">
        <v>0</v>
      </c>
    </row>
    <row r="118" spans="1:31" x14ac:dyDescent="0.25">
      <c r="A118">
        <v>7908716091</v>
      </c>
      <c r="B118" t="s">
        <v>11</v>
      </c>
      <c r="F118" t="s">
        <v>628</v>
      </c>
      <c r="G118" t="s">
        <v>629</v>
      </c>
      <c r="O118" t="s">
        <v>478</v>
      </c>
      <c r="V118" t="s">
        <v>630</v>
      </c>
      <c r="AE118">
        <v>0</v>
      </c>
    </row>
    <row r="119" spans="1:31" x14ac:dyDescent="0.25">
      <c r="A119">
        <v>5848305116</v>
      </c>
      <c r="B119" t="s">
        <v>10</v>
      </c>
      <c r="F119" t="s">
        <v>631</v>
      </c>
      <c r="G119" t="s">
        <v>629</v>
      </c>
      <c r="O119" t="s">
        <v>478</v>
      </c>
      <c r="V119" t="s">
        <v>632</v>
      </c>
      <c r="AE119">
        <v>0</v>
      </c>
    </row>
    <row r="120" spans="1:31" x14ac:dyDescent="0.25">
      <c r="A120">
        <v>7961368005</v>
      </c>
      <c r="B120" t="s">
        <v>11</v>
      </c>
      <c r="F120" t="s">
        <v>633</v>
      </c>
      <c r="G120" t="s">
        <v>629</v>
      </c>
      <c r="O120" t="s">
        <v>478</v>
      </c>
      <c r="V120" t="s">
        <v>634</v>
      </c>
      <c r="AE120">
        <v>0</v>
      </c>
    </row>
    <row r="121" spans="1:31" x14ac:dyDescent="0.25">
      <c r="A121">
        <v>7929663074</v>
      </c>
      <c r="B121" t="s">
        <v>11</v>
      </c>
      <c r="F121" t="s">
        <v>635</v>
      </c>
      <c r="G121" t="s">
        <v>629</v>
      </c>
      <c r="O121" t="s">
        <v>478</v>
      </c>
      <c r="V121" t="s">
        <v>636</v>
      </c>
      <c r="AE121">
        <v>0</v>
      </c>
    </row>
    <row r="122" spans="1:31" x14ac:dyDescent="0.25">
      <c r="A122">
        <v>7900722193</v>
      </c>
      <c r="B122" t="s">
        <v>11</v>
      </c>
      <c r="F122" t="s">
        <v>368</v>
      </c>
      <c r="G122" t="s">
        <v>629</v>
      </c>
      <c r="O122" t="s">
        <v>510</v>
      </c>
      <c r="P122" t="s">
        <v>637</v>
      </c>
      <c r="R122" t="s">
        <v>638</v>
      </c>
      <c r="V122" t="s">
        <v>371</v>
      </c>
      <c r="AE122">
        <v>0</v>
      </c>
    </row>
    <row r="123" spans="1:31" x14ac:dyDescent="0.25">
      <c r="A123">
        <v>7955792076</v>
      </c>
      <c r="B123" t="s">
        <v>11</v>
      </c>
      <c r="F123" t="s">
        <v>639</v>
      </c>
      <c r="G123" t="s">
        <v>629</v>
      </c>
      <c r="O123" t="s">
        <v>478</v>
      </c>
      <c r="V123" t="s">
        <v>640</v>
      </c>
      <c r="AE123">
        <v>0</v>
      </c>
    </row>
    <row r="124" spans="1:31" x14ac:dyDescent="0.25">
      <c r="A124">
        <v>5839141113</v>
      </c>
      <c r="B124" t="s">
        <v>10</v>
      </c>
      <c r="F124" t="s">
        <v>372</v>
      </c>
      <c r="G124" t="s">
        <v>629</v>
      </c>
      <c r="O124" t="s">
        <v>510</v>
      </c>
      <c r="R124" t="s">
        <v>641</v>
      </c>
      <c r="V124" t="s">
        <v>375</v>
      </c>
      <c r="AE124">
        <v>0</v>
      </c>
    </row>
    <row r="125" spans="1:31" x14ac:dyDescent="0.25">
      <c r="A125">
        <v>7908683122</v>
      </c>
      <c r="B125" t="s">
        <v>11</v>
      </c>
      <c r="F125" t="s">
        <v>642</v>
      </c>
      <c r="G125" t="s">
        <v>629</v>
      </c>
      <c r="O125" t="s">
        <v>478</v>
      </c>
      <c r="V125" t="s">
        <v>643</v>
      </c>
      <c r="AE125">
        <v>0</v>
      </c>
    </row>
    <row r="126" spans="1:31" x14ac:dyDescent="0.25">
      <c r="A126">
        <v>7923110021</v>
      </c>
      <c r="B126" t="s">
        <v>11</v>
      </c>
      <c r="F126" t="s">
        <v>376</v>
      </c>
      <c r="G126" t="s">
        <v>629</v>
      </c>
      <c r="O126" t="s">
        <v>510</v>
      </c>
      <c r="P126">
        <v>46262</v>
      </c>
      <c r="V126" t="s">
        <v>378</v>
      </c>
      <c r="AE126">
        <v>0</v>
      </c>
    </row>
    <row r="127" spans="1:31" x14ac:dyDescent="0.25">
      <c r="A127">
        <v>7900001096</v>
      </c>
      <c r="B127" t="s">
        <v>11</v>
      </c>
      <c r="F127" t="s">
        <v>644</v>
      </c>
      <c r="G127" t="s">
        <v>629</v>
      </c>
      <c r="O127" t="s">
        <v>478</v>
      </c>
      <c r="V127" t="s">
        <v>645</v>
      </c>
      <c r="AE127">
        <v>0</v>
      </c>
    </row>
    <row r="128" spans="1:31" x14ac:dyDescent="0.25">
      <c r="A128">
        <v>7900451096</v>
      </c>
      <c r="B128" t="s">
        <v>11</v>
      </c>
      <c r="F128" t="s">
        <v>646</v>
      </c>
      <c r="G128" t="s">
        <v>629</v>
      </c>
      <c r="O128" t="s">
        <v>478</v>
      </c>
      <c r="V128" t="s">
        <v>647</v>
      </c>
      <c r="AE128">
        <v>0</v>
      </c>
    </row>
    <row r="129" spans="1:31" x14ac:dyDescent="0.25">
      <c r="A129">
        <v>7900259096</v>
      </c>
      <c r="B129" t="s">
        <v>11</v>
      </c>
      <c r="F129" t="s">
        <v>648</v>
      </c>
      <c r="G129" t="s">
        <v>629</v>
      </c>
      <c r="O129" t="s">
        <v>478</v>
      </c>
      <c r="V129" t="s">
        <v>649</v>
      </c>
      <c r="AE129">
        <v>0</v>
      </c>
    </row>
    <row r="130" spans="1:31" x14ac:dyDescent="0.25">
      <c r="A130">
        <v>7962734119</v>
      </c>
      <c r="B130" t="s">
        <v>11</v>
      </c>
      <c r="F130" t="s">
        <v>650</v>
      </c>
      <c r="G130" t="s">
        <v>629</v>
      </c>
      <c r="O130" t="s">
        <v>478</v>
      </c>
      <c r="V130" t="s">
        <v>651</v>
      </c>
      <c r="AE130">
        <v>0</v>
      </c>
    </row>
    <row r="131" spans="1:31" x14ac:dyDescent="0.25">
      <c r="B131" t="s">
        <v>454</v>
      </c>
      <c r="V131" t="s">
        <v>454</v>
      </c>
      <c r="AE131">
        <v>0</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DE3D-1447-4665-A98F-5317D339A57E}">
  <dimension ref="A2:E37"/>
  <sheetViews>
    <sheetView workbookViewId="0">
      <selection activeCell="A7" sqref="A7"/>
    </sheetView>
  </sheetViews>
  <sheetFormatPr defaultRowHeight="15" x14ac:dyDescent="0.25"/>
  <cols>
    <col min="1" max="1" width="66.28515625" bestFit="1" customWidth="1"/>
    <col min="2" max="2" width="18.42578125" bestFit="1" customWidth="1"/>
    <col min="3" max="3" width="15" customWidth="1"/>
    <col min="4" max="4" width="91.7109375" bestFit="1" customWidth="1"/>
    <col min="5" max="5" width="33.7109375" bestFit="1" customWidth="1"/>
    <col min="6" max="7" width="15" customWidth="1"/>
  </cols>
  <sheetData>
    <row r="2" spans="1:5" x14ac:dyDescent="0.25">
      <c r="D2" s="13" t="s">
        <v>437</v>
      </c>
      <c r="E2" t="s">
        <v>485</v>
      </c>
    </row>
    <row r="3" spans="1:5" x14ac:dyDescent="0.25">
      <c r="A3" s="13" t="s">
        <v>652</v>
      </c>
      <c r="B3" t="s">
        <v>653</v>
      </c>
    </row>
    <row r="4" spans="1:5" x14ac:dyDescent="0.25">
      <c r="A4" s="10" t="s">
        <v>9</v>
      </c>
      <c r="B4">
        <v>30</v>
      </c>
      <c r="D4" s="13" t="s">
        <v>652</v>
      </c>
      <c r="E4" t="s">
        <v>653</v>
      </c>
    </row>
    <row r="5" spans="1:5" x14ac:dyDescent="0.25">
      <c r="A5" s="48" t="s">
        <v>464</v>
      </c>
      <c r="B5">
        <v>5</v>
      </c>
      <c r="D5" s="10" t="s">
        <v>9</v>
      </c>
      <c r="E5">
        <v>2</v>
      </c>
    </row>
    <row r="6" spans="1:5" x14ac:dyDescent="0.25">
      <c r="A6" s="48" t="s">
        <v>457</v>
      </c>
      <c r="B6">
        <v>4</v>
      </c>
      <c r="D6" s="48" t="s">
        <v>486</v>
      </c>
      <c r="E6">
        <v>1</v>
      </c>
    </row>
    <row r="7" spans="1:5" x14ac:dyDescent="0.25">
      <c r="A7" s="48" t="s">
        <v>472</v>
      </c>
      <c r="B7">
        <v>7</v>
      </c>
      <c r="D7" s="48" t="s">
        <v>494</v>
      </c>
      <c r="E7">
        <v>1</v>
      </c>
    </row>
    <row r="8" spans="1:5" x14ac:dyDescent="0.25">
      <c r="A8" s="48" t="s">
        <v>485</v>
      </c>
      <c r="B8">
        <v>2</v>
      </c>
      <c r="D8" s="10" t="s">
        <v>13</v>
      </c>
      <c r="E8">
        <v>1</v>
      </c>
    </row>
    <row r="9" spans="1:5" x14ac:dyDescent="0.25">
      <c r="A9" s="48" t="s">
        <v>654</v>
      </c>
      <c r="B9">
        <v>10</v>
      </c>
      <c r="D9" s="48" t="s">
        <v>530</v>
      </c>
      <c r="E9">
        <v>1</v>
      </c>
    </row>
    <row r="10" spans="1:5" x14ac:dyDescent="0.25">
      <c r="A10" s="48" t="s">
        <v>491</v>
      </c>
      <c r="B10">
        <v>1</v>
      </c>
      <c r="D10" s="10" t="s">
        <v>12</v>
      </c>
      <c r="E10">
        <v>3</v>
      </c>
    </row>
    <row r="11" spans="1:5" x14ac:dyDescent="0.25">
      <c r="A11" s="48" t="s">
        <v>506</v>
      </c>
      <c r="B11">
        <v>1</v>
      </c>
    </row>
    <row r="12" spans="1:5" x14ac:dyDescent="0.25">
      <c r="A12" s="10" t="s">
        <v>13</v>
      </c>
      <c r="B12">
        <v>21</v>
      </c>
    </row>
    <row r="13" spans="1:5" x14ac:dyDescent="0.25">
      <c r="A13" s="48" t="s">
        <v>457</v>
      </c>
      <c r="B13">
        <v>5</v>
      </c>
    </row>
    <row r="14" spans="1:5" x14ac:dyDescent="0.25">
      <c r="A14" s="48" t="s">
        <v>472</v>
      </c>
      <c r="B14">
        <v>6</v>
      </c>
      <c r="D14" s="13" t="s">
        <v>437</v>
      </c>
      <c r="E14" t="s">
        <v>513</v>
      </c>
    </row>
    <row r="15" spans="1:5" x14ac:dyDescent="0.25">
      <c r="A15" s="48" t="s">
        <v>513</v>
      </c>
      <c r="B15">
        <v>1</v>
      </c>
    </row>
    <row r="16" spans="1:5" x14ac:dyDescent="0.25">
      <c r="A16" s="48" t="s">
        <v>485</v>
      </c>
      <c r="B16">
        <v>1</v>
      </c>
      <c r="D16" s="13" t="s">
        <v>652</v>
      </c>
      <c r="E16" t="s">
        <v>653</v>
      </c>
    </row>
    <row r="17" spans="1:5" x14ac:dyDescent="0.25">
      <c r="A17" s="48" t="s">
        <v>526</v>
      </c>
      <c r="B17">
        <v>1</v>
      </c>
      <c r="D17" s="10" t="s">
        <v>13</v>
      </c>
      <c r="E17">
        <v>1</v>
      </c>
    </row>
    <row r="18" spans="1:5" x14ac:dyDescent="0.25">
      <c r="A18" s="48" t="s">
        <v>535</v>
      </c>
      <c r="B18">
        <v>1</v>
      </c>
      <c r="D18" s="48" t="s">
        <v>514</v>
      </c>
      <c r="E18">
        <v>1</v>
      </c>
    </row>
    <row r="19" spans="1:5" x14ac:dyDescent="0.25">
      <c r="A19" s="48" t="s">
        <v>654</v>
      </c>
      <c r="B19">
        <v>4</v>
      </c>
      <c r="D19" s="10" t="s">
        <v>15</v>
      </c>
      <c r="E19">
        <v>1</v>
      </c>
    </row>
    <row r="20" spans="1:5" x14ac:dyDescent="0.25">
      <c r="A20" s="48" t="s">
        <v>506</v>
      </c>
      <c r="B20">
        <v>1</v>
      </c>
      <c r="D20" s="48" t="s">
        <v>599</v>
      </c>
      <c r="E20">
        <v>1</v>
      </c>
    </row>
    <row r="21" spans="1:5" x14ac:dyDescent="0.25">
      <c r="A21" s="48" t="s">
        <v>554</v>
      </c>
      <c r="B21">
        <v>1</v>
      </c>
      <c r="D21" s="10" t="s">
        <v>12</v>
      </c>
      <c r="E21">
        <v>2</v>
      </c>
    </row>
    <row r="22" spans="1:5" x14ac:dyDescent="0.25">
      <c r="A22" s="10" t="s">
        <v>14</v>
      </c>
      <c r="B22">
        <v>25</v>
      </c>
    </row>
    <row r="23" spans="1:5" x14ac:dyDescent="0.25">
      <c r="A23" s="48" t="s">
        <v>464</v>
      </c>
      <c r="B23">
        <v>5</v>
      </c>
    </row>
    <row r="24" spans="1:5" x14ac:dyDescent="0.25">
      <c r="A24" s="48" t="s">
        <v>472</v>
      </c>
      <c r="B24">
        <v>12</v>
      </c>
    </row>
    <row r="25" spans="1:5" x14ac:dyDescent="0.25">
      <c r="A25" s="48" t="s">
        <v>654</v>
      </c>
      <c r="B25">
        <v>5</v>
      </c>
    </row>
    <row r="26" spans="1:5" x14ac:dyDescent="0.25">
      <c r="A26" s="48" t="s">
        <v>543</v>
      </c>
      <c r="B26">
        <v>1</v>
      </c>
    </row>
    <row r="27" spans="1:5" x14ac:dyDescent="0.25">
      <c r="A27" s="48" t="s">
        <v>568</v>
      </c>
      <c r="B27">
        <v>1</v>
      </c>
    </row>
    <row r="28" spans="1:5" x14ac:dyDescent="0.25">
      <c r="A28" s="48" t="s">
        <v>577</v>
      </c>
      <c r="B28">
        <v>1</v>
      </c>
    </row>
    <row r="29" spans="1:5" x14ac:dyDescent="0.25">
      <c r="A29" s="10" t="s">
        <v>15</v>
      </c>
      <c r="B29">
        <v>27</v>
      </c>
    </row>
    <row r="30" spans="1:5" x14ac:dyDescent="0.25">
      <c r="A30" s="48" t="s">
        <v>609</v>
      </c>
      <c r="B30">
        <v>1</v>
      </c>
    </row>
    <row r="31" spans="1:5" x14ac:dyDescent="0.25">
      <c r="A31" s="48" t="s">
        <v>472</v>
      </c>
      <c r="B31">
        <v>16</v>
      </c>
    </row>
    <row r="32" spans="1:5" x14ac:dyDescent="0.25">
      <c r="A32" s="48" t="s">
        <v>513</v>
      </c>
      <c r="B32">
        <v>1</v>
      </c>
    </row>
    <row r="33" spans="1:2" x14ac:dyDescent="0.25">
      <c r="A33" s="48" t="s">
        <v>613</v>
      </c>
      <c r="B33">
        <v>1</v>
      </c>
    </row>
    <row r="34" spans="1:2" x14ac:dyDescent="0.25">
      <c r="A34" s="48" t="s">
        <v>654</v>
      </c>
      <c r="B34">
        <v>6</v>
      </c>
    </row>
    <row r="35" spans="1:2" x14ac:dyDescent="0.25">
      <c r="A35" s="48" t="s">
        <v>584</v>
      </c>
      <c r="B35">
        <v>1</v>
      </c>
    </row>
    <row r="36" spans="1:2" x14ac:dyDescent="0.25">
      <c r="A36" s="48" t="s">
        <v>594</v>
      </c>
      <c r="B36">
        <v>1</v>
      </c>
    </row>
    <row r="37" spans="1:2" x14ac:dyDescent="0.25">
      <c r="A37" s="10" t="s">
        <v>12</v>
      </c>
      <c r="B37">
        <v>103</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FDBC2-B103-445C-98CB-621423E01279}">
  <dimension ref="A1:L42"/>
  <sheetViews>
    <sheetView topLeftCell="A21" workbookViewId="0">
      <selection activeCell="E2" sqref="E2:E47"/>
    </sheetView>
  </sheetViews>
  <sheetFormatPr defaultRowHeight="15" x14ac:dyDescent="0.25"/>
  <cols>
    <col min="1" max="1" width="10.42578125" bestFit="1" customWidth="1"/>
    <col min="2" max="2" width="22.42578125" bestFit="1" customWidth="1"/>
    <col min="3" max="3" width="14" bestFit="1" customWidth="1"/>
    <col min="4" max="4" width="18.42578125" bestFit="1" customWidth="1"/>
    <col min="5" max="5" width="17.42578125" bestFit="1" customWidth="1"/>
    <col min="6" max="6" width="19.140625" bestFit="1" customWidth="1"/>
    <col min="7" max="7" width="11.5703125" bestFit="1" customWidth="1"/>
    <col min="8" max="8" width="29.140625" bestFit="1" customWidth="1"/>
    <col min="9" max="9" width="23.5703125" bestFit="1" customWidth="1"/>
    <col min="10" max="10" width="12.42578125" bestFit="1" customWidth="1"/>
    <col min="11" max="11" width="16.5703125" bestFit="1" customWidth="1"/>
    <col min="12" max="12" width="81.140625" bestFit="1" customWidth="1"/>
  </cols>
  <sheetData>
    <row r="1" spans="1:12" x14ac:dyDescent="0.25">
      <c r="A1" t="s">
        <v>17</v>
      </c>
      <c r="B1" t="s">
        <v>18</v>
      </c>
      <c r="C1" t="s">
        <v>0</v>
      </c>
      <c r="D1" t="s">
        <v>19</v>
      </c>
      <c r="E1" t="s">
        <v>21</v>
      </c>
      <c r="F1" t="s">
        <v>655</v>
      </c>
      <c r="G1" t="s">
        <v>22</v>
      </c>
      <c r="H1" t="s">
        <v>23</v>
      </c>
      <c r="I1" t="s">
        <v>24</v>
      </c>
      <c r="J1" t="s">
        <v>25</v>
      </c>
      <c r="K1" t="s">
        <v>26</v>
      </c>
      <c r="L1" t="s">
        <v>27</v>
      </c>
    </row>
    <row r="2" spans="1:12" x14ac:dyDescent="0.25">
      <c r="A2">
        <v>2026</v>
      </c>
      <c r="B2" t="s">
        <v>656</v>
      </c>
      <c r="C2" t="s">
        <v>92</v>
      </c>
      <c r="D2">
        <v>7903569004</v>
      </c>
      <c r="E2" s="7">
        <v>46202</v>
      </c>
      <c r="F2" s="7">
        <v>46210</v>
      </c>
      <c r="G2">
        <v>4</v>
      </c>
      <c r="H2" t="s">
        <v>69</v>
      </c>
      <c r="I2" t="s">
        <v>69</v>
      </c>
      <c r="J2" t="s">
        <v>59</v>
      </c>
      <c r="K2" t="s">
        <v>83</v>
      </c>
      <c r="L2" t="s">
        <v>657</v>
      </c>
    </row>
    <row r="3" spans="1:12" x14ac:dyDescent="0.25">
      <c r="A3">
        <v>2026</v>
      </c>
      <c r="B3" t="s">
        <v>658</v>
      </c>
      <c r="C3" t="s">
        <v>92</v>
      </c>
      <c r="D3">
        <v>7954668084</v>
      </c>
      <c r="E3" s="7">
        <v>46192</v>
      </c>
      <c r="F3" s="7">
        <v>46210</v>
      </c>
      <c r="G3">
        <v>84</v>
      </c>
      <c r="H3" t="s">
        <v>152</v>
      </c>
      <c r="I3" t="s">
        <v>152</v>
      </c>
      <c r="J3" t="s">
        <v>51</v>
      </c>
      <c r="K3" t="s">
        <v>153</v>
      </c>
      <c r="L3" t="s">
        <v>659</v>
      </c>
    </row>
    <row r="4" spans="1:12" x14ac:dyDescent="0.25">
      <c r="A4">
        <v>2026</v>
      </c>
      <c r="B4" t="s">
        <v>660</v>
      </c>
      <c r="C4" t="s">
        <v>92</v>
      </c>
      <c r="D4">
        <v>7908708116</v>
      </c>
      <c r="E4" s="7">
        <v>46202</v>
      </c>
      <c r="F4" s="7">
        <v>46211</v>
      </c>
      <c r="G4">
        <v>116</v>
      </c>
      <c r="H4" t="s">
        <v>215</v>
      </c>
      <c r="I4" t="s">
        <v>41</v>
      </c>
      <c r="J4" t="s">
        <v>42</v>
      </c>
      <c r="K4" t="s">
        <v>43</v>
      </c>
      <c r="L4" t="s">
        <v>661</v>
      </c>
    </row>
    <row r="5" spans="1:12" x14ac:dyDescent="0.25">
      <c r="A5">
        <v>2026</v>
      </c>
      <c r="B5" t="s">
        <v>662</v>
      </c>
      <c r="C5" t="s">
        <v>92</v>
      </c>
      <c r="D5">
        <v>7936038076</v>
      </c>
      <c r="E5" s="7">
        <v>46202</v>
      </c>
      <c r="F5" s="7">
        <v>46211</v>
      </c>
      <c r="G5">
        <v>76</v>
      </c>
      <c r="H5" t="s">
        <v>209</v>
      </c>
      <c r="I5" t="s">
        <v>210</v>
      </c>
      <c r="J5" t="s">
        <v>42</v>
      </c>
      <c r="K5" t="s">
        <v>663</v>
      </c>
      <c r="L5" t="s">
        <v>664</v>
      </c>
    </row>
    <row r="6" spans="1:12" x14ac:dyDescent="0.25">
      <c r="A6">
        <v>2026</v>
      </c>
      <c r="B6" t="s">
        <v>665</v>
      </c>
      <c r="C6" t="s">
        <v>92</v>
      </c>
      <c r="D6">
        <v>7955520116</v>
      </c>
      <c r="E6" s="7">
        <v>46202</v>
      </c>
      <c r="F6" s="7">
        <v>46211</v>
      </c>
      <c r="G6">
        <v>116</v>
      </c>
      <c r="H6" t="s">
        <v>215</v>
      </c>
      <c r="I6" t="s">
        <v>41</v>
      </c>
      <c r="J6" t="s">
        <v>42</v>
      </c>
      <c r="K6" t="s">
        <v>43</v>
      </c>
      <c r="L6" t="s">
        <v>666</v>
      </c>
    </row>
    <row r="7" spans="1:12" x14ac:dyDescent="0.25">
      <c r="A7">
        <v>2026</v>
      </c>
      <c r="B7" t="s">
        <v>667</v>
      </c>
      <c r="C7" t="s">
        <v>92</v>
      </c>
      <c r="D7">
        <v>7927713200</v>
      </c>
      <c r="E7" s="7">
        <v>46202</v>
      </c>
      <c r="F7" s="7">
        <v>46211</v>
      </c>
      <c r="G7">
        <v>200</v>
      </c>
      <c r="H7" t="s">
        <v>293</v>
      </c>
      <c r="I7" t="s">
        <v>224</v>
      </c>
      <c r="J7" t="s">
        <v>42</v>
      </c>
      <c r="K7" t="s">
        <v>294</v>
      </c>
      <c r="L7" t="s">
        <v>668</v>
      </c>
    </row>
    <row r="8" spans="1:12" x14ac:dyDescent="0.25">
      <c r="A8">
        <v>2026</v>
      </c>
      <c r="B8" t="s">
        <v>669</v>
      </c>
      <c r="C8" t="s">
        <v>92</v>
      </c>
      <c r="D8">
        <v>7957021094</v>
      </c>
      <c r="E8" s="7">
        <v>46162</v>
      </c>
      <c r="F8" s="7">
        <v>46213</v>
      </c>
      <c r="G8">
        <v>94</v>
      </c>
      <c r="H8" t="s">
        <v>224</v>
      </c>
      <c r="I8" t="s">
        <v>224</v>
      </c>
      <c r="J8" t="s">
        <v>42</v>
      </c>
      <c r="K8" t="s">
        <v>302</v>
      </c>
      <c r="L8" t="s">
        <v>670</v>
      </c>
    </row>
    <row r="9" spans="1:12" x14ac:dyDescent="0.25">
      <c r="A9">
        <v>2026</v>
      </c>
      <c r="B9" t="s">
        <v>671</v>
      </c>
      <c r="C9" t="s">
        <v>48</v>
      </c>
      <c r="D9">
        <v>5800657026</v>
      </c>
      <c r="E9" s="7">
        <v>46216</v>
      </c>
      <c r="F9" s="7">
        <v>46216</v>
      </c>
      <c r="G9">
        <v>26</v>
      </c>
      <c r="H9" t="s">
        <v>135</v>
      </c>
      <c r="I9" t="s">
        <v>135</v>
      </c>
      <c r="J9" t="s">
        <v>51</v>
      </c>
      <c r="K9" t="s">
        <v>136</v>
      </c>
      <c r="L9" t="s">
        <v>672</v>
      </c>
    </row>
    <row r="10" spans="1:12" x14ac:dyDescent="0.25">
      <c r="A10">
        <v>2026</v>
      </c>
      <c r="B10" t="s">
        <v>673</v>
      </c>
      <c r="C10" t="s">
        <v>48</v>
      </c>
      <c r="D10">
        <v>5820790038</v>
      </c>
      <c r="E10" s="7">
        <v>46200</v>
      </c>
      <c r="F10" s="7">
        <v>46216</v>
      </c>
      <c r="G10">
        <v>38</v>
      </c>
      <c r="H10" t="s">
        <v>627</v>
      </c>
      <c r="I10" t="s">
        <v>41</v>
      </c>
      <c r="J10" t="s">
        <v>42</v>
      </c>
      <c r="K10" t="s">
        <v>674</v>
      </c>
      <c r="L10" t="s">
        <v>675</v>
      </c>
    </row>
    <row r="11" spans="1:12" x14ac:dyDescent="0.25">
      <c r="A11">
        <v>2026</v>
      </c>
      <c r="B11" t="s">
        <v>676</v>
      </c>
      <c r="C11" t="s">
        <v>92</v>
      </c>
      <c r="D11">
        <v>7948412064</v>
      </c>
      <c r="E11" s="7">
        <v>46203</v>
      </c>
      <c r="F11" s="7">
        <v>46216</v>
      </c>
      <c r="G11">
        <v>64</v>
      </c>
      <c r="H11" t="s">
        <v>389</v>
      </c>
      <c r="I11" t="s">
        <v>106</v>
      </c>
      <c r="J11" t="s">
        <v>59</v>
      </c>
      <c r="K11" t="s">
        <v>390</v>
      </c>
      <c r="L11" t="s">
        <v>677</v>
      </c>
    </row>
    <row r="12" spans="1:12" x14ac:dyDescent="0.25">
      <c r="A12">
        <v>2026</v>
      </c>
      <c r="B12" t="s">
        <v>678</v>
      </c>
      <c r="C12" t="s">
        <v>238</v>
      </c>
      <c r="D12">
        <v>5801866013</v>
      </c>
      <c r="E12" s="7">
        <v>46213</v>
      </c>
      <c r="F12" s="7">
        <v>46217</v>
      </c>
      <c r="G12">
        <v>13</v>
      </c>
      <c r="H12" t="s">
        <v>117</v>
      </c>
      <c r="I12" t="s">
        <v>117</v>
      </c>
      <c r="J12" t="s">
        <v>51</v>
      </c>
      <c r="K12" t="s">
        <v>229</v>
      </c>
      <c r="L12" t="s">
        <v>679</v>
      </c>
    </row>
    <row r="13" spans="1:12" x14ac:dyDescent="0.25">
      <c r="A13">
        <v>2026</v>
      </c>
      <c r="B13" t="s">
        <v>680</v>
      </c>
      <c r="C13" t="s">
        <v>92</v>
      </c>
      <c r="D13">
        <v>7925713040</v>
      </c>
      <c r="E13" s="7">
        <v>46183</v>
      </c>
      <c r="F13" s="7">
        <v>46220</v>
      </c>
      <c r="G13">
        <v>40</v>
      </c>
      <c r="H13" t="s">
        <v>521</v>
      </c>
      <c r="I13" t="s">
        <v>69</v>
      </c>
      <c r="J13" t="s">
        <v>59</v>
      </c>
      <c r="K13" t="s">
        <v>284</v>
      </c>
      <c r="L13" t="s">
        <v>681</v>
      </c>
    </row>
    <row r="14" spans="1:12" x14ac:dyDescent="0.25">
      <c r="A14">
        <v>2026</v>
      </c>
      <c r="B14" t="s">
        <v>551</v>
      </c>
      <c r="C14" t="s">
        <v>92</v>
      </c>
      <c r="D14">
        <v>5851753086</v>
      </c>
      <c r="E14" s="7">
        <v>46175</v>
      </c>
      <c r="F14" s="7">
        <v>46220</v>
      </c>
      <c r="G14">
        <v>86</v>
      </c>
      <c r="H14" t="s">
        <v>523</v>
      </c>
      <c r="I14" t="s">
        <v>152</v>
      </c>
      <c r="J14" t="s">
        <v>51</v>
      </c>
      <c r="K14" t="s">
        <v>682</v>
      </c>
      <c r="L14" t="s">
        <v>552</v>
      </c>
    </row>
    <row r="15" spans="1:12" x14ac:dyDescent="0.25">
      <c r="A15">
        <v>2026</v>
      </c>
      <c r="B15" t="s">
        <v>683</v>
      </c>
      <c r="C15" t="s">
        <v>92</v>
      </c>
      <c r="D15">
        <v>7934697002</v>
      </c>
      <c r="E15" s="7">
        <v>46199</v>
      </c>
      <c r="F15" s="7">
        <v>46223</v>
      </c>
      <c r="G15">
        <v>2</v>
      </c>
      <c r="H15" t="s">
        <v>259</v>
      </c>
      <c r="I15" t="s">
        <v>259</v>
      </c>
      <c r="J15" t="s">
        <v>59</v>
      </c>
      <c r="K15" t="s">
        <v>429</v>
      </c>
      <c r="L15" t="s">
        <v>684</v>
      </c>
    </row>
    <row r="16" spans="1:12" x14ac:dyDescent="0.25">
      <c r="A16">
        <v>2026</v>
      </c>
      <c r="B16" t="s">
        <v>685</v>
      </c>
      <c r="C16" t="s">
        <v>686</v>
      </c>
      <c r="D16">
        <v>5844630060</v>
      </c>
      <c r="E16" s="7">
        <v>46223</v>
      </c>
      <c r="F16" s="7">
        <v>46227</v>
      </c>
      <c r="G16">
        <v>60</v>
      </c>
      <c r="H16" t="s">
        <v>253</v>
      </c>
      <c r="I16" t="s">
        <v>94</v>
      </c>
      <c r="J16" t="s">
        <v>59</v>
      </c>
      <c r="K16" t="s">
        <v>254</v>
      </c>
      <c r="L16" t="s">
        <v>687</v>
      </c>
    </row>
    <row r="17" spans="1:12" x14ac:dyDescent="0.25">
      <c r="A17">
        <v>2026</v>
      </c>
      <c r="B17" t="s">
        <v>631</v>
      </c>
      <c r="C17" t="s">
        <v>92</v>
      </c>
      <c r="D17">
        <v>5848305116</v>
      </c>
      <c r="E17" s="7">
        <v>46218</v>
      </c>
      <c r="F17" s="7">
        <v>46230</v>
      </c>
      <c r="G17">
        <v>116</v>
      </c>
      <c r="H17" t="s">
        <v>215</v>
      </c>
      <c r="I17" t="s">
        <v>41</v>
      </c>
      <c r="J17" t="s">
        <v>42</v>
      </c>
      <c r="K17" t="s">
        <v>43</v>
      </c>
      <c r="L17" t="s">
        <v>632</v>
      </c>
    </row>
    <row r="18" spans="1:12" x14ac:dyDescent="0.25">
      <c r="A18">
        <v>2026</v>
      </c>
      <c r="B18" t="s">
        <v>650</v>
      </c>
      <c r="C18" t="s">
        <v>92</v>
      </c>
      <c r="D18">
        <v>7962734119</v>
      </c>
      <c r="E18" s="7">
        <v>46219</v>
      </c>
      <c r="F18" s="7">
        <v>46230</v>
      </c>
      <c r="G18">
        <v>119</v>
      </c>
      <c r="H18" t="s">
        <v>350</v>
      </c>
      <c r="I18" t="s">
        <v>259</v>
      </c>
      <c r="J18" t="s">
        <v>59</v>
      </c>
      <c r="K18" t="s">
        <v>351</v>
      </c>
      <c r="L18" t="s">
        <v>651</v>
      </c>
    </row>
    <row r="19" spans="1:12" x14ac:dyDescent="0.25">
      <c r="A19">
        <v>2026</v>
      </c>
      <c r="B19" t="s">
        <v>564</v>
      </c>
      <c r="C19" t="s">
        <v>238</v>
      </c>
      <c r="D19">
        <v>5827102054</v>
      </c>
      <c r="E19" s="7">
        <v>46202</v>
      </c>
      <c r="F19" s="7">
        <v>46231</v>
      </c>
      <c r="G19">
        <v>54</v>
      </c>
      <c r="H19" t="s">
        <v>278</v>
      </c>
      <c r="I19" t="s">
        <v>117</v>
      </c>
      <c r="J19" t="s">
        <v>51</v>
      </c>
      <c r="K19" t="s">
        <v>279</v>
      </c>
      <c r="L19" t="s">
        <v>566</v>
      </c>
    </row>
    <row r="20" spans="1:12" x14ac:dyDescent="0.25">
      <c r="A20">
        <v>2026</v>
      </c>
      <c r="B20" t="s">
        <v>646</v>
      </c>
      <c r="C20" t="s">
        <v>92</v>
      </c>
      <c r="D20">
        <v>7900451096</v>
      </c>
      <c r="E20" s="7">
        <v>46223</v>
      </c>
      <c r="F20" s="7">
        <v>46232</v>
      </c>
      <c r="G20">
        <v>96</v>
      </c>
      <c r="H20" t="s">
        <v>310</v>
      </c>
      <c r="I20" t="s">
        <v>135</v>
      </c>
      <c r="J20" t="s">
        <v>51</v>
      </c>
      <c r="K20" t="s">
        <v>136</v>
      </c>
      <c r="L20" t="s">
        <v>647</v>
      </c>
    </row>
    <row r="21" spans="1:12" x14ac:dyDescent="0.25">
      <c r="A21">
        <v>2026</v>
      </c>
      <c r="B21" t="s">
        <v>648</v>
      </c>
      <c r="C21" t="s">
        <v>92</v>
      </c>
      <c r="D21">
        <v>7900259096</v>
      </c>
      <c r="E21" s="7">
        <v>46223</v>
      </c>
      <c r="F21" s="7">
        <v>46232</v>
      </c>
      <c r="G21">
        <v>96</v>
      </c>
      <c r="H21" t="s">
        <v>310</v>
      </c>
      <c r="I21" t="s">
        <v>135</v>
      </c>
      <c r="J21" t="s">
        <v>51</v>
      </c>
      <c r="K21" t="s">
        <v>136</v>
      </c>
      <c r="L21" t="s">
        <v>649</v>
      </c>
    </row>
    <row r="22" spans="1:12" x14ac:dyDescent="0.25">
      <c r="A22">
        <v>2026</v>
      </c>
      <c r="B22" t="s">
        <v>644</v>
      </c>
      <c r="C22" t="s">
        <v>92</v>
      </c>
      <c r="D22">
        <v>7900001096</v>
      </c>
      <c r="E22" s="7">
        <v>46223</v>
      </c>
      <c r="F22" s="7">
        <v>46232</v>
      </c>
      <c r="G22">
        <v>96</v>
      </c>
      <c r="H22" t="s">
        <v>310</v>
      </c>
      <c r="I22" t="s">
        <v>135</v>
      </c>
      <c r="J22" t="s">
        <v>51</v>
      </c>
      <c r="K22" t="s">
        <v>136</v>
      </c>
      <c r="L22" t="s">
        <v>645</v>
      </c>
    </row>
    <row r="23" spans="1:12" x14ac:dyDescent="0.25">
      <c r="A23">
        <v>2026</v>
      </c>
      <c r="B23" t="s">
        <v>616</v>
      </c>
      <c r="C23" t="s">
        <v>92</v>
      </c>
      <c r="D23">
        <v>7955832052</v>
      </c>
      <c r="E23" s="7">
        <v>46207</v>
      </c>
      <c r="F23" s="7">
        <v>46232</v>
      </c>
      <c r="G23">
        <v>52</v>
      </c>
      <c r="H23" t="s">
        <v>112</v>
      </c>
      <c r="I23" t="s">
        <v>112</v>
      </c>
      <c r="J23" t="s">
        <v>42</v>
      </c>
      <c r="K23" t="s">
        <v>688</v>
      </c>
      <c r="L23" t="s">
        <v>617</v>
      </c>
    </row>
    <row r="24" spans="1:12" x14ac:dyDescent="0.25">
      <c r="A24">
        <v>2026</v>
      </c>
      <c r="B24" t="s">
        <v>639</v>
      </c>
      <c r="C24" t="s">
        <v>92</v>
      </c>
      <c r="D24">
        <v>7955792076</v>
      </c>
      <c r="E24" s="7">
        <v>46215</v>
      </c>
      <c r="F24" s="7">
        <v>46232</v>
      </c>
      <c r="G24">
        <v>76</v>
      </c>
      <c r="H24" t="s">
        <v>209</v>
      </c>
      <c r="I24" t="s">
        <v>210</v>
      </c>
      <c r="J24" t="s">
        <v>42</v>
      </c>
      <c r="K24" t="s">
        <v>663</v>
      </c>
      <c r="L24" t="s">
        <v>640</v>
      </c>
    </row>
    <row r="25" spans="1:12" x14ac:dyDescent="0.25">
      <c r="A25">
        <v>2026</v>
      </c>
      <c r="B25" t="s">
        <v>642</v>
      </c>
      <c r="C25" t="s">
        <v>92</v>
      </c>
      <c r="D25">
        <v>7908683122</v>
      </c>
      <c r="E25" s="7">
        <v>46213</v>
      </c>
      <c r="F25" s="7">
        <v>46233</v>
      </c>
      <c r="G25">
        <v>122</v>
      </c>
      <c r="H25" t="s">
        <v>264</v>
      </c>
      <c r="I25" t="s">
        <v>264</v>
      </c>
      <c r="J25" t="s">
        <v>51</v>
      </c>
      <c r="K25" t="s">
        <v>689</v>
      </c>
      <c r="L25" t="s">
        <v>643</v>
      </c>
    </row>
    <row r="26" spans="1:12" x14ac:dyDescent="0.25">
      <c r="A26">
        <v>2026</v>
      </c>
      <c r="B26" t="s">
        <v>690</v>
      </c>
      <c r="C26" t="s">
        <v>395</v>
      </c>
      <c r="D26">
        <v>7911120026</v>
      </c>
      <c r="E26" s="7">
        <v>46233</v>
      </c>
      <c r="F26" s="7">
        <v>46233</v>
      </c>
      <c r="G26">
        <v>26</v>
      </c>
      <c r="H26" t="s">
        <v>135</v>
      </c>
      <c r="I26" t="s">
        <v>135</v>
      </c>
      <c r="J26" t="s">
        <v>51</v>
      </c>
      <c r="K26" t="s">
        <v>136</v>
      </c>
      <c r="L26" t="s">
        <v>626</v>
      </c>
    </row>
    <row r="27" spans="1:12" x14ac:dyDescent="0.25">
      <c r="A27">
        <v>2026</v>
      </c>
      <c r="B27" t="s">
        <v>499</v>
      </c>
      <c r="C27" t="s">
        <v>92</v>
      </c>
      <c r="D27">
        <v>7933766059</v>
      </c>
      <c r="E27" s="7">
        <v>46225</v>
      </c>
      <c r="F27" s="7">
        <v>46237</v>
      </c>
      <c r="G27">
        <v>59</v>
      </c>
      <c r="H27" t="s">
        <v>74</v>
      </c>
      <c r="I27" t="s">
        <v>74</v>
      </c>
      <c r="J27" t="s">
        <v>51</v>
      </c>
      <c r="K27" t="s">
        <v>691</v>
      </c>
      <c r="L27" t="s">
        <v>500</v>
      </c>
    </row>
    <row r="28" spans="1:12" x14ac:dyDescent="0.25">
      <c r="A28">
        <v>2026</v>
      </c>
      <c r="B28" t="s">
        <v>477</v>
      </c>
      <c r="C28" t="s">
        <v>92</v>
      </c>
      <c r="D28">
        <v>7931610122</v>
      </c>
      <c r="E28" s="7">
        <v>46225</v>
      </c>
      <c r="F28" s="7">
        <v>46238</v>
      </c>
      <c r="G28">
        <v>122</v>
      </c>
      <c r="H28" t="s">
        <v>264</v>
      </c>
      <c r="I28" t="s">
        <v>264</v>
      </c>
      <c r="J28" t="s">
        <v>51</v>
      </c>
      <c r="K28" t="s">
        <v>692</v>
      </c>
      <c r="L28" t="s">
        <v>480</v>
      </c>
    </row>
    <row r="29" spans="1:12" x14ac:dyDescent="0.25">
      <c r="A29">
        <v>2026</v>
      </c>
      <c r="B29" t="s">
        <v>693</v>
      </c>
      <c r="C29" t="s">
        <v>39</v>
      </c>
      <c r="D29">
        <v>7908708116</v>
      </c>
      <c r="E29" s="7">
        <v>46241</v>
      </c>
      <c r="F29" s="7">
        <v>46238</v>
      </c>
      <c r="G29">
        <v>116</v>
      </c>
      <c r="H29" t="s">
        <v>215</v>
      </c>
      <c r="I29" t="s">
        <v>41</v>
      </c>
      <c r="J29" t="s">
        <v>42</v>
      </c>
      <c r="K29" t="s">
        <v>43</v>
      </c>
      <c r="L29" t="s">
        <v>694</v>
      </c>
    </row>
    <row r="30" spans="1:12" x14ac:dyDescent="0.25">
      <c r="A30">
        <v>2026</v>
      </c>
      <c r="B30" t="s">
        <v>633</v>
      </c>
      <c r="C30" t="s">
        <v>92</v>
      </c>
      <c r="D30">
        <v>7961368005</v>
      </c>
      <c r="E30" s="7">
        <v>46219</v>
      </c>
      <c r="F30" s="7">
        <v>46239</v>
      </c>
      <c r="G30">
        <v>5</v>
      </c>
      <c r="H30" t="s">
        <v>695</v>
      </c>
      <c r="I30" t="s">
        <v>41</v>
      </c>
      <c r="J30" t="s">
        <v>42</v>
      </c>
      <c r="K30" t="s">
        <v>696</v>
      </c>
      <c r="L30" t="s">
        <v>634</v>
      </c>
    </row>
    <row r="31" spans="1:12" x14ac:dyDescent="0.25">
      <c r="A31">
        <v>2026</v>
      </c>
      <c r="B31" t="s">
        <v>635</v>
      </c>
      <c r="C31" t="s">
        <v>92</v>
      </c>
      <c r="D31">
        <v>7929663074</v>
      </c>
      <c r="E31" s="7">
        <v>46226</v>
      </c>
      <c r="F31" s="7">
        <v>46240</v>
      </c>
      <c r="G31">
        <v>74</v>
      </c>
      <c r="H31" t="s">
        <v>41</v>
      </c>
      <c r="I31" t="s">
        <v>41</v>
      </c>
      <c r="J31" t="s">
        <v>42</v>
      </c>
      <c r="K31" t="s">
        <v>697</v>
      </c>
      <c r="L31" t="s">
        <v>636</v>
      </c>
    </row>
    <row r="32" spans="1:12" x14ac:dyDescent="0.25">
      <c r="A32">
        <v>2026</v>
      </c>
      <c r="B32" t="s">
        <v>698</v>
      </c>
      <c r="C32" t="s">
        <v>92</v>
      </c>
      <c r="D32">
        <v>5800291035</v>
      </c>
      <c r="E32" s="7">
        <v>46230</v>
      </c>
      <c r="F32" s="7">
        <v>46240</v>
      </c>
      <c r="G32">
        <v>35</v>
      </c>
      <c r="H32" t="s">
        <v>339</v>
      </c>
      <c r="I32" t="s">
        <v>135</v>
      </c>
      <c r="J32" t="s">
        <v>51</v>
      </c>
      <c r="K32" t="s">
        <v>340</v>
      </c>
      <c r="L32" t="s">
        <v>699</v>
      </c>
    </row>
    <row r="33" spans="1:12" x14ac:dyDescent="0.25">
      <c r="A33">
        <v>2026</v>
      </c>
      <c r="B33" t="s">
        <v>525</v>
      </c>
      <c r="C33" t="s">
        <v>92</v>
      </c>
      <c r="D33">
        <v>7908302256</v>
      </c>
      <c r="E33" s="7">
        <v>46213</v>
      </c>
      <c r="F33" s="7">
        <v>46240</v>
      </c>
      <c r="G33">
        <v>256</v>
      </c>
      <c r="H33" t="s">
        <v>134</v>
      </c>
      <c r="I33" t="s">
        <v>135</v>
      </c>
      <c r="J33" t="s">
        <v>51</v>
      </c>
      <c r="K33" t="s">
        <v>136</v>
      </c>
      <c r="L33" t="s">
        <v>527</v>
      </c>
    </row>
    <row r="34" spans="1:12" x14ac:dyDescent="0.25">
      <c r="A34">
        <v>2026</v>
      </c>
      <c r="B34" t="s">
        <v>700</v>
      </c>
      <c r="C34" t="s">
        <v>92</v>
      </c>
      <c r="D34">
        <v>5844630060</v>
      </c>
      <c r="E34" s="7">
        <v>46231</v>
      </c>
      <c r="F34" s="7">
        <v>46244</v>
      </c>
      <c r="G34">
        <v>60</v>
      </c>
      <c r="H34" t="s">
        <v>253</v>
      </c>
      <c r="I34" t="s">
        <v>94</v>
      </c>
      <c r="J34" t="s">
        <v>59</v>
      </c>
      <c r="K34" t="s">
        <v>254</v>
      </c>
      <c r="L34" t="s">
        <v>701</v>
      </c>
    </row>
    <row r="35" spans="1:12" x14ac:dyDescent="0.25">
      <c r="A35">
        <v>2026</v>
      </c>
      <c r="B35" t="s">
        <v>618</v>
      </c>
      <c r="C35" t="s">
        <v>92</v>
      </c>
      <c r="D35">
        <v>7902098003</v>
      </c>
      <c r="E35" s="7">
        <v>46188</v>
      </c>
      <c r="F35" s="7">
        <v>46245</v>
      </c>
      <c r="G35">
        <v>3</v>
      </c>
      <c r="H35" t="s">
        <v>210</v>
      </c>
      <c r="I35" t="s">
        <v>210</v>
      </c>
      <c r="J35" t="s">
        <v>42</v>
      </c>
      <c r="K35" t="s">
        <v>702</v>
      </c>
      <c r="L35" t="s">
        <v>619</v>
      </c>
    </row>
    <row r="36" spans="1:12" x14ac:dyDescent="0.25">
      <c r="A36">
        <v>2026</v>
      </c>
      <c r="B36" t="s">
        <v>703</v>
      </c>
      <c r="C36" t="s">
        <v>686</v>
      </c>
      <c r="D36">
        <v>7901151022</v>
      </c>
      <c r="E36" s="7">
        <v>46246</v>
      </c>
      <c r="F36" s="7">
        <v>46246</v>
      </c>
      <c r="G36">
        <v>22</v>
      </c>
      <c r="H36" t="s">
        <v>125</v>
      </c>
      <c r="I36" t="s">
        <v>69</v>
      </c>
      <c r="J36" t="s">
        <v>59</v>
      </c>
      <c r="K36" t="s">
        <v>79</v>
      </c>
      <c r="L36" t="s">
        <v>704</v>
      </c>
    </row>
    <row r="37" spans="1:12" x14ac:dyDescent="0.25">
      <c r="A37">
        <v>2026</v>
      </c>
      <c r="B37" t="s">
        <v>705</v>
      </c>
      <c r="C37" t="s">
        <v>92</v>
      </c>
      <c r="D37">
        <v>5800859011</v>
      </c>
      <c r="E37" s="7">
        <v>46231</v>
      </c>
      <c r="F37" s="7">
        <v>46247</v>
      </c>
      <c r="G37">
        <v>11</v>
      </c>
      <c r="H37" t="s">
        <v>462</v>
      </c>
      <c r="I37" t="s">
        <v>106</v>
      </c>
      <c r="J37" t="s">
        <v>59</v>
      </c>
      <c r="K37" t="s">
        <v>706</v>
      </c>
      <c r="L37" t="s">
        <v>707</v>
      </c>
    </row>
    <row r="38" spans="1:12" x14ac:dyDescent="0.25">
      <c r="A38">
        <v>2026</v>
      </c>
      <c r="B38" t="s">
        <v>708</v>
      </c>
      <c r="C38" t="s">
        <v>92</v>
      </c>
      <c r="D38">
        <v>5800438116</v>
      </c>
      <c r="E38" s="7">
        <v>46232</v>
      </c>
      <c r="F38" s="7">
        <v>46247</v>
      </c>
      <c r="G38">
        <v>116</v>
      </c>
      <c r="H38" t="s">
        <v>215</v>
      </c>
      <c r="I38" t="s">
        <v>41</v>
      </c>
      <c r="J38" t="s">
        <v>42</v>
      </c>
      <c r="K38" t="s">
        <v>43</v>
      </c>
      <c r="L38" t="s">
        <v>709</v>
      </c>
    </row>
    <row r="39" spans="1:12" x14ac:dyDescent="0.25">
      <c r="A39">
        <v>2026</v>
      </c>
      <c r="B39" t="s">
        <v>710</v>
      </c>
      <c r="C39" t="s">
        <v>92</v>
      </c>
      <c r="D39">
        <v>7927601001</v>
      </c>
      <c r="E39" s="7">
        <v>46235</v>
      </c>
      <c r="F39" s="7">
        <v>46247</v>
      </c>
      <c r="G39">
        <v>1</v>
      </c>
      <c r="H39" t="s">
        <v>50</v>
      </c>
      <c r="I39" t="s">
        <v>50</v>
      </c>
      <c r="J39" t="s">
        <v>51</v>
      </c>
      <c r="K39" t="s">
        <v>711</v>
      </c>
      <c r="L39" t="s">
        <v>712</v>
      </c>
    </row>
    <row r="40" spans="1:12" x14ac:dyDescent="0.25">
      <c r="A40">
        <v>2026</v>
      </c>
      <c r="B40" t="s">
        <v>628</v>
      </c>
      <c r="C40" t="s">
        <v>92</v>
      </c>
      <c r="D40">
        <v>7908716091</v>
      </c>
      <c r="E40" s="7">
        <v>46223</v>
      </c>
      <c r="F40" s="7">
        <v>46248</v>
      </c>
      <c r="G40">
        <v>91</v>
      </c>
      <c r="H40" t="s">
        <v>40</v>
      </c>
      <c r="I40" t="s">
        <v>41</v>
      </c>
      <c r="J40" t="s">
        <v>42</v>
      </c>
      <c r="K40" t="s">
        <v>136</v>
      </c>
      <c r="L40" t="s">
        <v>630</v>
      </c>
    </row>
    <row r="41" spans="1:12" x14ac:dyDescent="0.25">
      <c r="A41">
        <v>2026</v>
      </c>
      <c r="B41" t="s">
        <v>571</v>
      </c>
      <c r="C41" t="s">
        <v>48</v>
      </c>
      <c r="D41">
        <v>7922995039</v>
      </c>
      <c r="E41" s="7">
        <v>46202</v>
      </c>
      <c r="F41" s="7">
        <v>46251</v>
      </c>
      <c r="G41">
        <v>39</v>
      </c>
      <c r="H41" t="s">
        <v>57</v>
      </c>
      <c r="I41" t="s">
        <v>58</v>
      </c>
      <c r="J41" t="s">
        <v>59</v>
      </c>
      <c r="K41" t="s">
        <v>713</v>
      </c>
      <c r="L41" t="s">
        <v>714</v>
      </c>
    </row>
    <row r="42" spans="1:12" x14ac:dyDescent="0.25">
      <c r="A42">
        <v>2026</v>
      </c>
      <c r="B42" t="s">
        <v>715</v>
      </c>
      <c r="C42" t="s">
        <v>92</v>
      </c>
      <c r="D42">
        <v>7928462040</v>
      </c>
      <c r="E42" s="7">
        <v>46240</v>
      </c>
      <c r="F42" s="7">
        <v>46252</v>
      </c>
      <c r="G42">
        <v>40</v>
      </c>
      <c r="H42" t="s">
        <v>521</v>
      </c>
      <c r="I42" t="s">
        <v>69</v>
      </c>
      <c r="J42" t="s">
        <v>59</v>
      </c>
      <c r="K42" t="s">
        <v>716</v>
      </c>
      <c r="L42" t="s">
        <v>717</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A502A-F614-41D5-8A16-195B4F709E1A}">
  <dimension ref="A1:AB134"/>
  <sheetViews>
    <sheetView topLeftCell="A2" zoomScale="115" zoomScaleNormal="115" workbookViewId="0">
      <selection activeCell="D40" sqref="D40"/>
    </sheetView>
  </sheetViews>
  <sheetFormatPr defaultRowHeight="15" customHeight="1" x14ac:dyDescent="0.25"/>
  <cols>
    <col min="1" max="1" width="16.85546875" style="4" customWidth="1"/>
    <col min="2" max="2" width="46.140625" style="4" customWidth="1"/>
    <col min="3" max="3" width="8.7109375" style="5" hidden="1" customWidth="1"/>
    <col min="4" max="4" width="34" style="5" hidden="1" customWidth="1"/>
    <col min="5" max="5" width="28.140625" style="5" hidden="1" customWidth="1"/>
    <col min="6" max="6" width="18.28515625" style="5" hidden="1" customWidth="1"/>
    <col min="7" max="7" width="33.85546875" style="4" bestFit="1" customWidth="1"/>
    <col min="8" max="8" width="55.5703125" style="4" customWidth="1"/>
    <col min="9" max="10" width="64" style="4" customWidth="1"/>
    <col min="11" max="11" width="29.140625" style="4" customWidth="1"/>
    <col min="12" max="12" width="34" customWidth="1"/>
    <col min="13" max="13" width="18.28515625" style="30" customWidth="1"/>
    <col min="14" max="14" width="255.7109375" bestFit="1" customWidth="1"/>
    <col min="15" max="24" width="12.7109375" customWidth="1"/>
    <col min="25" max="25" width="144.5703125" bestFit="1" customWidth="1"/>
    <col min="26" max="29" width="17.28515625" customWidth="1"/>
  </cols>
  <sheetData>
    <row r="1" spans="1:28" ht="15" customHeight="1" x14ac:dyDescent="0.25">
      <c r="A1" s="4" t="s">
        <v>431</v>
      </c>
      <c r="B1" s="4" t="s">
        <v>718</v>
      </c>
      <c r="C1" s="5" t="s">
        <v>432</v>
      </c>
      <c r="D1" s="5" t="s">
        <v>433</v>
      </c>
      <c r="E1" s="5" t="s">
        <v>434</v>
      </c>
      <c r="F1" s="5" t="s">
        <v>435</v>
      </c>
      <c r="G1" s="4" t="s">
        <v>436</v>
      </c>
      <c r="H1" s="4" t="s">
        <v>437</v>
      </c>
      <c r="I1" s="4" t="s">
        <v>448</v>
      </c>
      <c r="J1" s="4" t="s">
        <v>719</v>
      </c>
      <c r="K1" s="4" t="s">
        <v>449</v>
      </c>
      <c r="L1" t="s">
        <v>450</v>
      </c>
      <c r="M1" s="10" t="s">
        <v>3</v>
      </c>
      <c r="N1" t="s">
        <v>451</v>
      </c>
      <c r="O1" t="s">
        <v>28</v>
      </c>
      <c r="P1" t="s">
        <v>29</v>
      </c>
      <c r="Q1" t="s">
        <v>30</v>
      </c>
      <c r="R1" t="s">
        <v>31</v>
      </c>
      <c r="S1" t="s">
        <v>32</v>
      </c>
      <c r="T1" t="s">
        <v>33</v>
      </c>
      <c r="U1" t="s">
        <v>34</v>
      </c>
      <c r="V1" t="s">
        <v>35</v>
      </c>
      <c r="W1" t="s">
        <v>36</v>
      </c>
      <c r="X1" t="s">
        <v>2</v>
      </c>
      <c r="Y1" t="s">
        <v>37</v>
      </c>
      <c r="AA1" s="128" t="s">
        <v>720</v>
      </c>
      <c r="AB1" s="129"/>
    </row>
    <row r="2" spans="1:28" ht="15" customHeight="1" x14ac:dyDescent="0.25">
      <c r="A2" s="4">
        <v>5800090147</v>
      </c>
      <c r="B2" s="4" t="e">
        <f>_xlfn.XLOOKUP(Table2[[#This Row],[Ativo]],Joao!B:B,Joao!Z:Z)</f>
        <v>#N/A</v>
      </c>
      <c r="C2" s="5" t="str">
        <f>MID(Table2[[#This Row],[Ativo]],1,2)</f>
        <v>58</v>
      </c>
      <c r="D2" s="5" t="s">
        <v>547</v>
      </c>
      <c r="E2" s="5" t="s">
        <v>41</v>
      </c>
      <c r="F2" s="5" t="s">
        <v>42</v>
      </c>
      <c r="G2" s="4" t="str">
        <f>IFERROR(_xlfn.XLOOKUP(Table2[[#This Row],[Ativo]],Pendentes[COD_RELIGADOR],Pendentes[SS_ORIGINAL]),"CONCLUÍDA")</f>
        <v>CONCLUÍDA</v>
      </c>
      <c r="H2" s="4" t="s">
        <v>721</v>
      </c>
      <c r="K2" s="4" t="s">
        <v>453</v>
      </c>
      <c r="L2" s="29"/>
      <c r="M2" s="31"/>
      <c r="N2" t="str">
        <f>IFERROR(_xlfn.XLOOKUP(Table2[[#This Row],[Ativo]],Pendentes[COD_RELIGADOR],Pendentes[DESCRICAO]),"")</f>
        <v/>
      </c>
      <c r="O2" s="5">
        <v>0</v>
      </c>
      <c r="P2" s="5">
        <v>20</v>
      </c>
      <c r="Q2" s="5">
        <v>20</v>
      </c>
      <c r="R2" s="5">
        <v>10</v>
      </c>
      <c r="S2" s="5">
        <v>10</v>
      </c>
      <c r="T2" s="5" t="s">
        <v>45</v>
      </c>
      <c r="U2" s="5" t="s">
        <v>45</v>
      </c>
      <c r="V2" s="5" t="s">
        <v>45</v>
      </c>
      <c r="W2" s="5">
        <f>SUM(Table2[[#This Row],[Premissa 1]:[Premissa 8]])</f>
        <v>60</v>
      </c>
      <c r="X2" s="5" t="s">
        <v>14</v>
      </c>
      <c r="Y2" t="s">
        <v>548</v>
      </c>
      <c r="AA2" s="8" t="s">
        <v>722</v>
      </c>
      <c r="AB2" s="8" t="s">
        <v>723</v>
      </c>
    </row>
    <row r="3" spans="1:28" ht="15" customHeight="1" x14ac:dyDescent="0.25">
      <c r="A3" s="4">
        <v>5800291035</v>
      </c>
      <c r="B3" s="4" t="e">
        <f>_xlfn.XLOOKUP(Table2[[#This Row],[Ativo]],Joao!B:B,Joao!Z:Z)</f>
        <v>#N/A</v>
      </c>
      <c r="C3" s="5" t="str">
        <f>MID(Table2[[#This Row],[Ativo]],1,2)</f>
        <v>58</v>
      </c>
      <c r="D3" s="5" t="s">
        <v>339</v>
      </c>
      <c r="E3" s="5" t="s">
        <v>135</v>
      </c>
      <c r="F3" s="5" t="s">
        <v>51</v>
      </c>
      <c r="G3" s="4" t="str">
        <f>IFERROR(_xlfn.XLOOKUP(Table2[[#This Row],[Ativo]],Pendentes[COD_RELIGADOR],Pendentes[SS_ORIGINAL]),"CONCLUÍDA")</f>
        <v>CONCLUÍDA</v>
      </c>
      <c r="H3" s="11" t="s">
        <v>464</v>
      </c>
      <c r="I3" s="9" t="s">
        <v>724</v>
      </c>
      <c r="J3" s="9"/>
      <c r="K3" s="4" t="s">
        <v>459</v>
      </c>
      <c r="L3" s="29" t="s">
        <v>533</v>
      </c>
      <c r="M3" s="31">
        <v>1</v>
      </c>
      <c r="N3" t="s">
        <v>562</v>
      </c>
      <c r="O3" s="5">
        <v>0</v>
      </c>
      <c r="P3" s="5">
        <v>20</v>
      </c>
      <c r="Q3" s="5">
        <v>20</v>
      </c>
      <c r="R3" s="5">
        <v>10</v>
      </c>
      <c r="S3" s="5">
        <v>0</v>
      </c>
      <c r="T3" s="5" t="s">
        <v>45</v>
      </c>
      <c r="U3" s="5" t="s">
        <v>45</v>
      </c>
      <c r="V3" s="5" t="s">
        <v>45</v>
      </c>
      <c r="W3" s="5">
        <f>SUM(Table2[[#This Row],[Premissa 1]:[Premissa 8]])</f>
        <v>50</v>
      </c>
      <c r="X3" s="5" t="s">
        <v>14</v>
      </c>
      <c r="Y3" t="s">
        <v>563</v>
      </c>
    </row>
    <row r="4" spans="1:28" ht="15" customHeight="1" x14ac:dyDescent="0.25">
      <c r="A4" s="4">
        <v>5800291077</v>
      </c>
      <c r="B4" s="4" t="e">
        <f>_xlfn.XLOOKUP(Table2[[#This Row],[Ativo]],Joao!B:B,Joao!Z:Z)</f>
        <v>#N/A</v>
      </c>
      <c r="C4" s="5" t="str">
        <f>MID(Table2[[#This Row],[Ativo]],1,2)</f>
        <v>58</v>
      </c>
      <c r="D4" s="5" t="s">
        <v>190</v>
      </c>
      <c r="E4" s="5" t="s">
        <v>69</v>
      </c>
      <c r="F4" s="5" t="s">
        <v>59</v>
      </c>
      <c r="G4" s="4" t="str">
        <f>IFERROR(_xlfn.XLOOKUP(Table2[[#This Row],[Ativo]],Pendentes[COD_RELIGADOR],Pendentes[SS_ORIGINAL]),"CONCLUÍDA")</f>
        <v>CONCLUÍDA</v>
      </c>
      <c r="H4" s="4" t="s">
        <v>721</v>
      </c>
      <c r="I4" s="9"/>
      <c r="K4" s="4" t="s">
        <v>453</v>
      </c>
      <c r="L4" s="29"/>
      <c r="M4" s="31"/>
      <c r="N4" t="str">
        <f>IFERROR(_xlfn.XLOOKUP(Table2[[#This Row],[Ativo]],Pendentes[COD_RELIGADOR],Pendentes[DESCRICAO]),"")</f>
        <v/>
      </c>
      <c r="O4" s="5">
        <v>40</v>
      </c>
      <c r="P4" s="5">
        <v>20</v>
      </c>
      <c r="Q4" s="5">
        <v>20</v>
      </c>
      <c r="R4" s="5">
        <v>20</v>
      </c>
      <c r="S4" s="5">
        <v>20</v>
      </c>
      <c r="T4" s="5" t="s">
        <v>45</v>
      </c>
      <c r="U4" s="5" t="s">
        <v>45</v>
      </c>
      <c r="V4" s="5" t="s">
        <v>45</v>
      </c>
      <c r="W4" s="5">
        <f>SUM(Table2[[#This Row],[Premissa 1]:[Premissa 8]])</f>
        <v>120</v>
      </c>
      <c r="X4" s="5" t="s">
        <v>9</v>
      </c>
      <c r="Y4" t="s">
        <v>455</v>
      </c>
    </row>
    <row r="5" spans="1:28" ht="15" customHeight="1" x14ac:dyDescent="0.25">
      <c r="A5" s="4">
        <v>5800366016</v>
      </c>
      <c r="B5" s="4" t="e">
        <f>_xlfn.XLOOKUP(Table2[[#This Row],[Ativo]],Joao!B:B,Joao!Z:Z)</f>
        <v>#N/A</v>
      </c>
      <c r="C5" s="5" t="str">
        <f>MID(Table2[[#This Row],[Ativo]],1,2)</f>
        <v>58</v>
      </c>
      <c r="D5" s="5" t="s">
        <v>537</v>
      </c>
      <c r="E5" s="5" t="s">
        <v>259</v>
      </c>
      <c r="F5" s="5" t="s">
        <v>59</v>
      </c>
      <c r="G5" s="4" t="str">
        <f>IFERROR(_xlfn.XLOOKUP(Table2[[#This Row],[Ativo]],Pendentes[COD_RELIGADOR],Pendentes[SS_ORIGINAL]),"CONCLUÍDA")</f>
        <v>CONCLUÍDA</v>
      </c>
      <c r="H5" s="4" t="s">
        <v>721</v>
      </c>
      <c r="K5" s="4" t="s">
        <v>453</v>
      </c>
      <c r="L5" s="29"/>
      <c r="M5" s="31"/>
      <c r="N5" t="str">
        <f>IFERROR(_xlfn.XLOOKUP(Table2[[#This Row],[Ativo]],Pendentes[COD_RELIGADOR],Pendentes[DESCRICAO]),"")</f>
        <v/>
      </c>
      <c r="O5" s="5">
        <v>0</v>
      </c>
      <c r="P5" s="5">
        <v>20</v>
      </c>
      <c r="Q5" s="5">
        <v>20</v>
      </c>
      <c r="R5" s="5">
        <v>20</v>
      </c>
      <c r="S5" s="5">
        <v>10</v>
      </c>
      <c r="T5" s="5" t="s">
        <v>45</v>
      </c>
      <c r="U5" s="5" t="s">
        <v>45</v>
      </c>
      <c r="V5" s="5" t="s">
        <v>45</v>
      </c>
      <c r="W5" s="5">
        <f>SUM(Table2[[#This Row],[Premissa 1]:[Premissa 8]])</f>
        <v>70</v>
      </c>
      <c r="X5" s="5" t="s">
        <v>13</v>
      </c>
      <c r="Y5" t="s">
        <v>538</v>
      </c>
    </row>
    <row r="6" spans="1:28" ht="15" customHeight="1" x14ac:dyDescent="0.25">
      <c r="A6" s="12">
        <v>5800371025</v>
      </c>
      <c r="B6" s="12">
        <f>_xlfn.XLOOKUP(Table2[[#This Row],[Ativo]],Joao!B:B,Joao!Z:Z)</f>
        <v>0</v>
      </c>
      <c r="C6" s="5" t="str">
        <f>MID(Table2[[#This Row],[Ativo]],1,2)</f>
        <v>58</v>
      </c>
      <c r="D6" s="5" t="s">
        <v>93</v>
      </c>
      <c r="E6" s="5" t="s">
        <v>94</v>
      </c>
      <c r="F6" s="5" t="s">
        <v>59</v>
      </c>
      <c r="G6" s="4" t="str">
        <f>IFERROR(_xlfn.XLOOKUP(Table2[[#This Row],[Ativo]],Pendentes[COD_RELIGADOR],Pendentes[SS_ORIGINAL]),"CONCLUÍDA")</f>
        <v>ETO-TELE 01040/2026</v>
      </c>
      <c r="H6" s="4" t="s">
        <v>464</v>
      </c>
      <c r="I6" s="5" t="s">
        <v>725</v>
      </c>
      <c r="J6" s="5"/>
      <c r="K6" s="4" t="s">
        <v>459</v>
      </c>
      <c r="L6" s="29" t="s">
        <v>484</v>
      </c>
      <c r="M6" s="31">
        <v>1</v>
      </c>
      <c r="N6" t="str">
        <f>IFERROR(_xlfn.XLOOKUP(Table2[[#This Row],[Ativo]],Pendentes[COD_RELIGADOR],Pendentes[DESCRICAO]),"")</f>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.Parecer DCMD: foi substituido célula 30/07/2026. o mesmo está liberado para ser colocado em operação</v>
      </c>
      <c r="O6" s="5">
        <v>0</v>
      </c>
      <c r="P6" s="5">
        <v>20</v>
      </c>
      <c r="Q6" s="5">
        <v>20</v>
      </c>
      <c r="R6" s="5">
        <v>10</v>
      </c>
      <c r="S6" s="5">
        <v>20</v>
      </c>
      <c r="T6" s="5" t="s">
        <v>45</v>
      </c>
      <c r="U6" s="5" t="s">
        <v>45</v>
      </c>
      <c r="V6" s="5" t="s">
        <v>45</v>
      </c>
      <c r="W6" s="5">
        <f>SUM(Table2[[#This Row],[Premissa 1]:[Premissa 8]])</f>
        <v>70</v>
      </c>
      <c r="X6" s="5" t="s">
        <v>13</v>
      </c>
      <c r="Y6" t="s">
        <v>97</v>
      </c>
    </row>
    <row r="7" spans="1:28" ht="15" customHeight="1" x14ac:dyDescent="0.25">
      <c r="A7" s="4">
        <v>5800438116</v>
      </c>
      <c r="B7" s="4" t="str">
        <f>_xlfn.XLOOKUP(Table2[[#This Row],[Ativo]],Joao!B:B,Joao!Z:Z)</f>
        <v>NÃO PRECISA REQUISITAR EQUIPAMENTO, VAMOS UTILIZAR EQ RETIRADO DE OBRA DE CONSTRUÇÃO.</v>
      </c>
      <c r="C7" s="5" t="str">
        <f>MID(Table2[[#This Row],[Ativo]],1,2)</f>
        <v>58</v>
      </c>
      <c r="D7" s="5" t="s">
        <v>215</v>
      </c>
      <c r="E7" s="5" t="s">
        <v>41</v>
      </c>
      <c r="F7" s="5" t="s">
        <v>42</v>
      </c>
      <c r="G7" s="4" t="str">
        <f>IFERROR(_xlfn.XLOOKUP(Table2[[#This Row],[Ativo]],Pendentes[COD_RELIGADOR],Pendentes[SS_ORIGINAL]),"CONCLUÍDA")</f>
        <v>CONCLUÍDA</v>
      </c>
      <c r="H7" s="4" t="s">
        <v>543</v>
      </c>
      <c r="I7" s="4" t="s">
        <v>726</v>
      </c>
      <c r="K7" s="4" t="s">
        <v>459</v>
      </c>
      <c r="L7" s="29" t="s">
        <v>460</v>
      </c>
      <c r="M7" s="31">
        <v>2</v>
      </c>
      <c r="N7" t="str">
        <f>IFERROR(_xlfn.XLOOKUP(Table2[[#This Row],[Ativo]],Pendentes[COD_RELIGADOR],Pendentes[DESCRICAO]),"")</f>
        <v/>
      </c>
      <c r="O7" s="5">
        <v>0</v>
      </c>
      <c r="P7" s="5">
        <v>20</v>
      </c>
      <c r="Q7" s="5">
        <v>20</v>
      </c>
      <c r="R7" s="5">
        <v>20</v>
      </c>
      <c r="S7" s="5">
        <v>0</v>
      </c>
      <c r="T7" s="5" t="s">
        <v>45</v>
      </c>
      <c r="U7" s="5" t="s">
        <v>45</v>
      </c>
      <c r="V7" s="5" t="s">
        <v>45</v>
      </c>
      <c r="W7" s="5">
        <f>SUM(Table2[[#This Row],[Premissa 1]:[Premissa 8]])</f>
        <v>60</v>
      </c>
      <c r="X7" s="5" t="s">
        <v>14</v>
      </c>
      <c r="Y7" t="s">
        <v>546</v>
      </c>
    </row>
    <row r="8" spans="1:28" ht="15" customHeight="1" x14ac:dyDescent="0.25">
      <c r="A8" s="4">
        <v>5800440256</v>
      </c>
      <c r="B8" s="4" t="e">
        <f>_xlfn.XLOOKUP(Table2[[#This Row],[Ativo]],Joao!B:B,Joao!Z:Z)</f>
        <v>#N/A</v>
      </c>
      <c r="C8" s="5" t="str">
        <f>MID(Table2[[#This Row],[Ativo]],1,2)</f>
        <v>58</v>
      </c>
      <c r="D8" s="5" t="s">
        <v>134</v>
      </c>
      <c r="E8" s="5" t="s">
        <v>135</v>
      </c>
      <c r="F8" s="5" t="s">
        <v>51</v>
      </c>
      <c r="G8" s="4" t="str">
        <f>IFERROR(_xlfn.XLOOKUP(Table2[[#This Row],[Ativo]],Pendentes[COD_RELIGADOR],Pendentes[SS_ORIGINAL]),"CONCLUÍDA")</f>
        <v>ETO-COEP 00169/2026</v>
      </c>
      <c r="H8" s="11" t="s">
        <v>721</v>
      </c>
      <c r="K8" s="4" t="s">
        <v>453</v>
      </c>
      <c r="L8" s="29"/>
      <c r="M8" s="31"/>
      <c r="N8" t="str">
        <f>IFERROR(_xlfn.XLOOKUP(Table2[[#This Row],[Ativo]],Pendentes[COD_RELIGADOR],Pendentes[DESCRICAO]),"")</f>
        <v>PARECER DMSL 06/08: Substituir célula da Fase B do banco de Regulador de tensão e realizar melhorias na malha de aterramento do ReguladorBoa noite,Segue SS para as devidas tratativas, verificar flutuação de tensão do regulador 5800440256 pois a tensão está oscilando de 16kv a 23kv    favor verificar esta anomalia pois cliente BRK está abrindo reclamação todas as noites.</v>
      </c>
      <c r="O8" s="5">
        <v>20</v>
      </c>
      <c r="P8" s="5">
        <v>20</v>
      </c>
      <c r="Q8" s="5">
        <v>20</v>
      </c>
      <c r="R8" s="5">
        <v>10</v>
      </c>
      <c r="S8" s="5">
        <v>20</v>
      </c>
      <c r="T8" s="5" t="s">
        <v>45</v>
      </c>
      <c r="U8" s="5" t="s">
        <v>45</v>
      </c>
      <c r="V8" s="5" t="s">
        <v>45</v>
      </c>
      <c r="W8" s="5">
        <f>SUM(Table2[[#This Row],[Premissa 1]:[Premissa 8]])</f>
        <v>90</v>
      </c>
      <c r="X8" s="5" t="s">
        <v>9</v>
      </c>
      <c r="Y8" t="s">
        <v>175</v>
      </c>
    </row>
    <row r="9" spans="1:28" ht="15" customHeight="1" x14ac:dyDescent="0.25">
      <c r="A9" s="12">
        <v>5800859011</v>
      </c>
      <c r="B9" s="12">
        <f>_xlfn.XLOOKUP(Table2[[#This Row],[Ativo]],Joao!B:B,Joao!Z:Z)</f>
        <v>0</v>
      </c>
      <c r="C9" s="5" t="str">
        <f>MID(Table2[[#This Row],[Ativo]],1,2)</f>
        <v>58</v>
      </c>
      <c r="D9" s="5" t="s">
        <v>462</v>
      </c>
      <c r="E9" s="5" t="s">
        <v>106</v>
      </c>
      <c r="F9" s="5" t="s">
        <v>59</v>
      </c>
      <c r="G9" s="4" t="str">
        <f>IFERROR(_xlfn.XLOOKUP(Table2[[#This Row],[Ativo]],Pendentes[COD_RELIGADOR],Pendentes[SS_ORIGINAL]),"CONCLUÍDA")</f>
        <v>CONCLUÍDA</v>
      </c>
      <c r="H9" s="4" t="s">
        <v>506</v>
      </c>
      <c r="I9" s="4" t="s">
        <v>727</v>
      </c>
      <c r="J9" s="4" t="s">
        <v>728</v>
      </c>
      <c r="K9" s="4" t="s">
        <v>459</v>
      </c>
      <c r="L9" s="29" t="s">
        <v>466</v>
      </c>
      <c r="M9" s="31">
        <v>1</v>
      </c>
      <c r="N9" t="str">
        <f>IFERROR(_xlfn.XLOOKUP(Table2[[#This Row],[Ativo]],Pendentes[COD_RELIGADOR],Pendentes[DESCRICAO]),"")</f>
        <v/>
      </c>
      <c r="O9" s="5">
        <v>40</v>
      </c>
      <c r="P9" s="5">
        <v>20</v>
      </c>
      <c r="Q9" s="5">
        <v>20</v>
      </c>
      <c r="R9" s="5">
        <v>10</v>
      </c>
      <c r="S9" s="5">
        <v>20</v>
      </c>
      <c r="T9" s="5" t="s">
        <v>45</v>
      </c>
      <c r="U9" s="5" t="s">
        <v>45</v>
      </c>
      <c r="V9" s="5" t="s">
        <v>45</v>
      </c>
      <c r="W9" s="5">
        <f>SUM(Table2[[#This Row],[Premissa 1]:[Premissa 8]])</f>
        <v>110</v>
      </c>
      <c r="X9" s="5" t="s">
        <v>9</v>
      </c>
      <c r="Y9" t="s">
        <v>468</v>
      </c>
    </row>
    <row r="10" spans="1:28" ht="15" customHeight="1" x14ac:dyDescent="0.25">
      <c r="A10" s="4">
        <v>5800961074</v>
      </c>
      <c r="B10" s="4" t="e">
        <f>_xlfn.XLOOKUP(Table2[[#This Row],[Ativo]],Joao!B:B,Joao!Z:Z)</f>
        <v>#N/A</v>
      </c>
      <c r="C10" s="5" t="str">
        <f>MID(Table2[[#This Row],[Ativo]],1,2)</f>
        <v>58</v>
      </c>
      <c r="D10" s="5" t="s">
        <v>41</v>
      </c>
      <c r="E10" s="5" t="s">
        <v>41</v>
      </c>
      <c r="F10" s="5" t="s">
        <v>42</v>
      </c>
      <c r="G10" s="4" t="str">
        <f>IFERROR(_xlfn.XLOOKUP(Table2[[#This Row],[Ativo]],Pendentes[COD_RELIGADOR],Pendentes[SS_ORIGINAL]),"CONCLUÍDA")</f>
        <v>ETO-COEP 00221/2025</v>
      </c>
      <c r="H10" s="4" t="s">
        <v>568</v>
      </c>
      <c r="I10" s="49" t="s">
        <v>569</v>
      </c>
      <c r="J10" s="49"/>
      <c r="K10" s="4" t="s">
        <v>474</v>
      </c>
      <c r="L10" s="29" t="s">
        <v>570</v>
      </c>
      <c r="M10" s="31">
        <v>3</v>
      </c>
      <c r="N10" t="str">
        <f>IFERROR(_xlfn.XLOOKUP(Table2[[#This Row],[Ativo]],Pendentes[COD_RELIGADOR],Pendentes[DESCRICAO]),"")</f>
        <v>PARECER COEP: EQUIPAMENTO SELECIONADO PARA COMPRASubstituir as 3 células- Melhoria na malha de aterramento - Melhoria no circuito de aterramento qua aterra as células.- Substituir conectores paralelos</v>
      </c>
      <c r="O10" s="5">
        <v>20</v>
      </c>
      <c r="P10" s="5">
        <v>0</v>
      </c>
      <c r="Q10" s="5">
        <v>0</v>
      </c>
      <c r="R10" s="5">
        <v>20</v>
      </c>
      <c r="S10" s="5">
        <v>0</v>
      </c>
      <c r="T10" s="5" t="s">
        <v>45</v>
      </c>
      <c r="U10" s="5" t="s">
        <v>45</v>
      </c>
      <c r="V10" s="5" t="s">
        <v>45</v>
      </c>
      <c r="W10" s="5">
        <f>SUM(Table2[[#This Row],[Premissa 1]:[Premissa 8]])</f>
        <v>40</v>
      </c>
      <c r="X10" s="5" t="s">
        <v>14</v>
      </c>
      <c r="Y10" t="s">
        <v>131</v>
      </c>
    </row>
    <row r="11" spans="1:28" ht="15" customHeight="1" x14ac:dyDescent="0.25">
      <c r="A11" s="4">
        <v>5801866013</v>
      </c>
      <c r="B11" s="4" t="str">
        <f>_xlfn.XLOOKUP(Table2[[#This Row],[Ativo]],Joao!B:B,Joao!Z:Z)</f>
        <v>Aguardando previsão de substituição</v>
      </c>
      <c r="C11" s="5" t="str">
        <f>MID(Table2[[#This Row],[Ativo]],1,2)</f>
        <v>58</v>
      </c>
      <c r="D11" s="5" t="s">
        <v>117</v>
      </c>
      <c r="E11" s="5" t="s">
        <v>117</v>
      </c>
      <c r="F11" s="5" t="s">
        <v>51</v>
      </c>
      <c r="G11" s="4" t="str">
        <f>IFERROR(_xlfn.XLOOKUP(Table2[[#This Row],[Ativo]],Pendentes[COD_RELIGADOR],Pendentes[SS_ORIGINAL]),"CONCLUÍDA")</f>
        <v>ETO-PROT 00151/2026</v>
      </c>
      <c r="H11" s="4" t="s">
        <v>457</v>
      </c>
      <c r="I11" s="38"/>
      <c r="J11" s="38"/>
      <c r="K11" s="4" t="s">
        <v>459</v>
      </c>
      <c r="L11" s="29" t="s">
        <v>460</v>
      </c>
      <c r="M11" s="31">
        <v>1</v>
      </c>
      <c r="N11" t="str">
        <f>IFERROR(_xlfn.XLOOKUP(Table2[[#This Row],[Ativo]],Pendentes[COD_RELIGADOR],Pendentes[DESCRICAO]),"")</f>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v>
      </c>
      <c r="O11" s="5">
        <v>0</v>
      </c>
      <c r="P11" s="5">
        <v>20</v>
      </c>
      <c r="Q11" s="5">
        <v>20</v>
      </c>
      <c r="R11" s="5">
        <v>20</v>
      </c>
      <c r="S11" s="5">
        <v>10</v>
      </c>
      <c r="T11" s="5" t="s">
        <v>45</v>
      </c>
      <c r="U11" s="5" t="s">
        <v>45</v>
      </c>
      <c r="V11" s="5" t="s">
        <v>45</v>
      </c>
      <c r="W11" s="5">
        <f>SUM(Table2[[#This Row],[Premissa 1]:[Premissa 8]])</f>
        <v>70</v>
      </c>
      <c r="X11" s="5" t="s">
        <v>13</v>
      </c>
      <c r="Y11" t="s">
        <v>231</v>
      </c>
    </row>
    <row r="12" spans="1:28" ht="15" customHeight="1" x14ac:dyDescent="0.25">
      <c r="A12" s="4">
        <v>5803327001</v>
      </c>
      <c r="B12" s="4" t="e">
        <f>_xlfn.XLOOKUP(Table2[[#This Row],[Ativo]],Joao!B:B,Joao!Z:Z)</f>
        <v>#N/A</v>
      </c>
      <c r="C12" s="5" t="str">
        <f>MID(Table2[[#This Row],[Ativo]],1,2)</f>
        <v>58</v>
      </c>
      <c r="D12" s="5" t="s">
        <v>50</v>
      </c>
      <c r="E12" s="5" t="s">
        <v>50</v>
      </c>
      <c r="F12" s="5" t="s">
        <v>51</v>
      </c>
      <c r="G12" s="4" t="str">
        <f>IFERROR(_xlfn.XLOOKUP(Table2[[#This Row],[Ativo]],Pendentes[COD_RELIGADOR],Pendentes[SS_ORIGINAL]),"CONCLUÍDA")</f>
        <v>ETO-COEP 00149/2026</v>
      </c>
      <c r="H12" s="11" t="s">
        <v>513</v>
      </c>
      <c r="I12" s="4" t="s">
        <v>729</v>
      </c>
      <c r="K12" s="4" t="s">
        <v>459</v>
      </c>
      <c r="L12" s="29" t="s">
        <v>515</v>
      </c>
      <c r="M12" s="31">
        <v>1</v>
      </c>
      <c r="N12" t="str">
        <f>IFERROR(_xlfn.XLOOKUP(Table2[[#This Row],[Ativo]],Pendentes[COD_RELIGADOR],Pendentes[DESCRICAO]),"")</f>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v>
      </c>
      <c r="O12" s="5">
        <v>40</v>
      </c>
      <c r="P12" s="5">
        <v>0</v>
      </c>
      <c r="Q12" s="5">
        <v>0</v>
      </c>
      <c r="R12" s="5">
        <v>20</v>
      </c>
      <c r="S12" s="5">
        <v>20</v>
      </c>
      <c r="T12" s="5" t="s">
        <v>45</v>
      </c>
      <c r="U12" s="5" t="s">
        <v>45</v>
      </c>
      <c r="V12" s="5" t="s">
        <v>45</v>
      </c>
      <c r="W12" s="5">
        <f>SUM(Table2[[#This Row],[Premissa 1]:[Premissa 8]])</f>
        <v>80</v>
      </c>
      <c r="X12" s="5" t="s">
        <v>13</v>
      </c>
      <c r="Y12" t="s">
        <v>202</v>
      </c>
    </row>
    <row r="13" spans="1:28" ht="15" customHeight="1" x14ac:dyDescent="0.25">
      <c r="A13" s="39">
        <v>5820790038</v>
      </c>
      <c r="B13" s="39" t="e">
        <f>_xlfn.XLOOKUP(Table2[[#This Row],[Ativo]],Joao!B:B,Joao!Z:Z)</f>
        <v>#N/A</v>
      </c>
      <c r="C13" s="5" t="str">
        <f>MID(Table2[[#This Row],[Ativo]],1,2)</f>
        <v>58</v>
      </c>
      <c r="D13" s="5" t="s">
        <v>627</v>
      </c>
      <c r="E13" s="5" t="s">
        <v>41</v>
      </c>
      <c r="F13" s="5" t="s">
        <v>42</v>
      </c>
      <c r="G13" s="4" t="str">
        <f>IFERROR(_xlfn.XLOOKUP(Table2[[#This Row],[Ativo]],Pendentes[COD_RELIGADOR],Pendentes[SS_ORIGINAL]),"CONCLUÍDA")</f>
        <v>CONCLUÍDA</v>
      </c>
      <c r="H13" s="4" t="s">
        <v>721</v>
      </c>
      <c r="L13" s="29"/>
      <c r="M13" s="31"/>
      <c r="N13" t="str">
        <f>IFERROR(_xlfn.XLOOKUP(Table2[[#This Row],[Ativo]],Pendentes[COD_RELIGADOR],Pendentes[DESCRICAO]),"")</f>
        <v/>
      </c>
      <c r="O13" s="5" t="s">
        <v>730</v>
      </c>
      <c r="P13" s="5"/>
      <c r="Q13" s="5"/>
      <c r="R13" s="5"/>
      <c r="S13" s="5"/>
      <c r="T13" s="5"/>
      <c r="U13" s="5"/>
      <c r="V13" s="5"/>
      <c r="W13" s="5">
        <f>SUM(Table2[[#This Row],[Premissa 1]:[Premissa 8]])</f>
        <v>0</v>
      </c>
      <c r="X13" s="5"/>
    </row>
    <row r="14" spans="1:28" ht="15" customHeight="1" x14ac:dyDescent="0.25">
      <c r="A14" s="4">
        <v>5827102054</v>
      </c>
      <c r="B14" s="4" t="str">
        <f>_xlfn.XLOOKUP(Table2[[#This Row],[Ativo]],Joao!B:B,Joao!Z:Z)</f>
        <v>Cancelar a obra tentar vedação do equipamento Melhoria de aterramento</v>
      </c>
      <c r="C14" s="5" t="str">
        <f>MID(Table2[[#This Row],[Ativo]],1,2)</f>
        <v>58</v>
      </c>
      <c r="D14" s="5" t="s">
        <v>278</v>
      </c>
      <c r="E14" s="5" t="s">
        <v>117</v>
      </c>
      <c r="F14" s="5" t="s">
        <v>51</v>
      </c>
      <c r="G14" s="4" t="str">
        <f>IFERROR(_xlfn.XLOOKUP(Table2[[#This Row],[Ativo]],Pendentes[COD_RELIGADOR],Pendentes[SS_ORIGINAL]),"CONCLUÍDA")</f>
        <v>ETO-PROT 00164/2026</v>
      </c>
      <c r="H14" s="11" t="s">
        <v>464</v>
      </c>
      <c r="I14" s="9" t="s">
        <v>565</v>
      </c>
      <c r="J14" s="9"/>
      <c r="L14" s="29" t="s">
        <v>533</v>
      </c>
      <c r="M14" s="31">
        <v>1</v>
      </c>
      <c r="N14" t="str">
        <f>IFERROR(_xlfn.XLOOKUP(Table2[[#This Row],[Ativo]],Pendentes[COD_RELIGADOR],Pendentes[DESCRICAO]),"")</f>
        <v>PARECER COCM: FOI SUBSTITUÍDO OS EQUIPAMENTO FEITO A MELHORIA DO ATERRAMENTO ATENDIDO PELA OBRA N-0212600609PARECER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v>
      </c>
      <c r="O14" s="5">
        <v>0</v>
      </c>
      <c r="P14" s="5">
        <v>20</v>
      </c>
      <c r="Q14" s="5">
        <v>20</v>
      </c>
      <c r="R14" s="5">
        <v>10</v>
      </c>
      <c r="S14" s="5">
        <v>0</v>
      </c>
      <c r="T14" s="5" t="s">
        <v>45</v>
      </c>
      <c r="U14" s="5" t="s">
        <v>45</v>
      </c>
      <c r="V14" s="5" t="s">
        <v>45</v>
      </c>
      <c r="W14" s="5">
        <f>SUM(Table2[[#This Row],[Premissa 1]:[Premissa 8]])</f>
        <v>50</v>
      </c>
      <c r="X14" s="5" t="s">
        <v>14</v>
      </c>
      <c r="Y14" t="s">
        <v>281</v>
      </c>
    </row>
    <row r="15" spans="1:28" ht="15" customHeight="1" x14ac:dyDescent="0.25">
      <c r="A15" s="4">
        <v>5836764032</v>
      </c>
      <c r="B15" s="4" t="e">
        <f>_xlfn.XLOOKUP(Table2[[#This Row],[Ativo]],Joao!B:B,Joao!Z:Z)</f>
        <v>#N/A</v>
      </c>
      <c r="C15" s="5" t="str">
        <f>MID(Table2[[#This Row],[Ativo]],1,2)</f>
        <v>58</v>
      </c>
      <c r="D15" s="5" t="s">
        <v>469</v>
      </c>
      <c r="E15" s="5" t="s">
        <v>470</v>
      </c>
      <c r="F15" s="5" t="s">
        <v>42</v>
      </c>
      <c r="G15" s="4" t="str">
        <f>IFERROR(_xlfn.XLOOKUP(Table2[[#This Row],[Ativo]],Pendentes[COD_RELIGADOR],Pendentes[SS_ORIGINAL]),"CONCLUÍDA")</f>
        <v>CONCLUÍDA</v>
      </c>
      <c r="H15" s="4" t="s">
        <v>721</v>
      </c>
      <c r="K15" s="4" t="s">
        <v>453</v>
      </c>
      <c r="L15" s="29"/>
      <c r="M15" s="31"/>
      <c r="N15" t="str">
        <f>IFERROR(_xlfn.XLOOKUP(Table2[[#This Row],[Ativo]],Pendentes[COD_RELIGADOR],Pendentes[DESCRICAO]),"")</f>
        <v/>
      </c>
      <c r="O15" s="5">
        <v>40</v>
      </c>
      <c r="P15" s="5">
        <v>20</v>
      </c>
      <c r="Q15" s="5">
        <v>20</v>
      </c>
      <c r="R15" s="5">
        <v>10</v>
      </c>
      <c r="S15" s="5">
        <v>20</v>
      </c>
      <c r="T15" s="5" t="s">
        <v>45</v>
      </c>
      <c r="U15" s="5" t="s">
        <v>45</v>
      </c>
      <c r="V15" s="5" t="s">
        <v>45</v>
      </c>
      <c r="W15" s="5">
        <f>SUM(Table2[[#This Row],[Premissa 1]:[Premissa 8]])</f>
        <v>110</v>
      </c>
      <c r="X15" s="5" t="s">
        <v>9</v>
      </c>
      <c r="Y15" t="s">
        <v>471</v>
      </c>
    </row>
    <row r="16" spans="1:28" ht="15" customHeight="1" x14ac:dyDescent="0.25">
      <c r="A16" s="12">
        <v>5836786094</v>
      </c>
      <c r="B16" s="12" t="str">
        <f>_xlfn.XLOOKUP(Table2[[#This Row],[Ativo]],Joao!B:B,Joao!Z:Z)</f>
        <v>Aguardando criação da Obra</v>
      </c>
      <c r="C16" s="5" t="str">
        <f>MID(Table2[[#This Row],[Ativo]],1,2)</f>
        <v>58</v>
      </c>
      <c r="D16" s="5" t="s">
        <v>224</v>
      </c>
      <c r="E16" s="5" t="s">
        <v>224</v>
      </c>
      <c r="F16" s="5" t="s">
        <v>42</v>
      </c>
      <c r="G16" s="4" t="str">
        <f>IFERROR(_xlfn.XLOOKUP(Table2[[#This Row],[Ativo]],Pendentes[COD_RELIGADOR],Pendentes[SS_ORIGINAL]),"CONCLUÍDA")</f>
        <v>ETO-COEP 00095/2026</v>
      </c>
      <c r="H16" s="4" t="s">
        <v>513</v>
      </c>
      <c r="I16" s="4" t="s">
        <v>599</v>
      </c>
      <c r="K16" s="4" t="s">
        <v>459</v>
      </c>
      <c r="L16" s="29" t="s">
        <v>460</v>
      </c>
      <c r="M16" s="31">
        <v>1</v>
      </c>
      <c r="N16" t="str">
        <f>IFERROR(_xlfn.XLOOKUP(Table2[[#This Row],[Ativo]],Pendentes[COD_RELIGADOR],Pendentes[DESCRICAO]),"")</f>
        <v>24/07 PARECER COEP:EQUIPAMENTO EM LOGISTICA DE ENTREGA Favor levar outro regulador de tensão, pois o mesmo foi furtado em campo.</v>
      </c>
      <c r="O16" s="5">
        <v>0</v>
      </c>
      <c r="P16" s="5">
        <v>0</v>
      </c>
      <c r="Q16" s="5">
        <v>0</v>
      </c>
      <c r="R16" s="5">
        <v>10</v>
      </c>
      <c r="S16" s="5">
        <v>10</v>
      </c>
      <c r="T16" s="5" t="s">
        <v>45</v>
      </c>
      <c r="U16" s="5" t="s">
        <v>45</v>
      </c>
      <c r="V16" s="5" t="s">
        <v>45</v>
      </c>
      <c r="W16" s="5">
        <f>SUM(Table2[[#This Row],[Premissa 1]:[Premissa 8]])</f>
        <v>20</v>
      </c>
      <c r="X16" s="5" t="s">
        <v>15</v>
      </c>
      <c r="Y16" t="s">
        <v>333</v>
      </c>
    </row>
    <row r="17" spans="1:25" ht="15" customHeight="1" x14ac:dyDescent="0.25">
      <c r="A17" s="4">
        <v>5839141113</v>
      </c>
      <c r="B17" s="4" t="e">
        <f>_xlfn.XLOOKUP(Table2[[#This Row],[Ativo]],Joao!B:B,Joao!Z:Z)</f>
        <v>#N/A</v>
      </c>
      <c r="C17" s="5" t="str">
        <f>MID(Table2[[#This Row],[Ativo]],1,2)</f>
        <v>58</v>
      </c>
      <c r="G17" s="4" t="str">
        <f>IFERROR(_xlfn.XLOOKUP(Table2[[#This Row],[Ativo]],Pendentes[COD_RELIGADOR],Pendentes[SS_ORIGINAL]),"CONCLUÍDA")</f>
        <v>ETO-TELE 00985/2026</v>
      </c>
      <c r="H17" s="4" t="s">
        <v>526</v>
      </c>
      <c r="L17" s="29"/>
      <c r="M17" s="31"/>
      <c r="N17" t="str">
        <f>IFERROR(_xlfn.XLOOKUP(Table2[[#This Row],[Ativo]],Pendentes[COD_RELIGADOR],Pendentes[DESCRICAO]),"")</f>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v>
      </c>
      <c r="O17" s="5"/>
      <c r="P17" s="5"/>
      <c r="Q17" s="5"/>
      <c r="R17" s="5"/>
      <c r="S17" s="5"/>
      <c r="T17" s="5"/>
      <c r="U17" s="5"/>
      <c r="V17" s="5"/>
      <c r="W17" s="5">
        <f>SUM(Table2[[#This Row],[Premissa 1]:[Premissa 8]])</f>
        <v>0</v>
      </c>
      <c r="X17" s="5"/>
    </row>
    <row r="18" spans="1:25" ht="15" customHeight="1" x14ac:dyDescent="0.25">
      <c r="A18" s="4">
        <v>5840227063</v>
      </c>
      <c r="B18" s="4" t="e">
        <f>_xlfn.XLOOKUP(Table2[[#This Row],[Ativo]],Joao!B:B,Joao!Z:Z)</f>
        <v>#N/A</v>
      </c>
      <c r="C18" s="5" t="str">
        <f>MID(Table2[[#This Row],[Ativo]],1,2)</f>
        <v>58</v>
      </c>
      <c r="D18" s="5" t="s">
        <v>147</v>
      </c>
      <c r="E18" s="5" t="s">
        <v>94</v>
      </c>
      <c r="F18" s="5" t="s">
        <v>59</v>
      </c>
      <c r="G18" s="4" t="str">
        <f>IFERROR(_xlfn.XLOOKUP(Table2[[#This Row],[Ativo]],Pendentes[COD_RELIGADOR],Pendentes[SS_ORIGINAL]),"CONCLUÍDA")</f>
        <v>ETO-COEP 00151/2026</v>
      </c>
      <c r="H18" s="4" t="s">
        <v>472</v>
      </c>
      <c r="K18" s="4" t="s">
        <v>474</v>
      </c>
      <c r="L18" s="29" t="s">
        <v>460</v>
      </c>
      <c r="M18" s="31">
        <v>1</v>
      </c>
      <c r="N18" t="str">
        <f>IFERROR(_xlfn.XLOOKUP(Table2[[#This Row],[Ativo]],Pendentes[COD_RELIGADOR],Pendentes[DESCRICAO]),"")</f>
        <v>PARECER COEP 27/07/2026 : EM PROCESSO DE AQUISIÇÃOPARECER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v>
      </c>
      <c r="O18" s="5">
        <v>0</v>
      </c>
      <c r="P18" s="5">
        <v>20</v>
      </c>
      <c r="Q18" s="5">
        <v>20</v>
      </c>
      <c r="R18" s="5">
        <v>10</v>
      </c>
      <c r="S18" s="5">
        <v>10</v>
      </c>
      <c r="T18" s="5" t="s">
        <v>45</v>
      </c>
      <c r="U18" s="5" t="s">
        <v>45</v>
      </c>
      <c r="V18" s="5" t="s">
        <v>45</v>
      </c>
      <c r="W18" s="5">
        <f>SUM(Table2[[#This Row],[Premissa 1]:[Premissa 8]])</f>
        <v>60</v>
      </c>
      <c r="X18" s="5" t="s">
        <v>14</v>
      </c>
      <c r="Y18" t="s">
        <v>150</v>
      </c>
    </row>
    <row r="19" spans="1:25" ht="15" customHeight="1" x14ac:dyDescent="0.25">
      <c r="A19" s="4">
        <v>5841308190</v>
      </c>
      <c r="B19" s="4" t="e">
        <f>_xlfn.XLOOKUP(Table2[[#This Row],[Ativo]],Joao!B:B,Joao!Z:Z)</f>
        <v>#N/A</v>
      </c>
      <c r="C19" s="5" t="str">
        <f>MID(Table2[[#This Row],[Ativo]],1,2)</f>
        <v>58</v>
      </c>
      <c r="D19" s="5" t="s">
        <v>581</v>
      </c>
      <c r="E19" s="5" t="s">
        <v>41</v>
      </c>
      <c r="F19" s="5" t="s">
        <v>42</v>
      </c>
      <c r="G19" s="4" t="str">
        <f>IFERROR(_xlfn.XLOOKUP(Table2[[#This Row],[Ativo]],Pendentes[COD_RELIGADOR],Pendentes[SS_ORIGINAL]),"CONCLUÍDA")</f>
        <v>CONCLUÍDA</v>
      </c>
      <c r="H19" s="4" t="s">
        <v>731</v>
      </c>
      <c r="I19" s="4" t="s">
        <v>732</v>
      </c>
      <c r="K19" s="4" t="s">
        <v>582</v>
      </c>
      <c r="L19" s="29" t="s">
        <v>45</v>
      </c>
      <c r="M19" s="31"/>
      <c r="N19" t="str">
        <f>IFERROR(_xlfn.XLOOKUP(Table2[[#This Row],[Ativo]],Pendentes[COD_RELIGADOR],Pendentes[DESCRICAO]),"")</f>
        <v/>
      </c>
      <c r="O19" s="5">
        <v>0</v>
      </c>
      <c r="P19" s="5">
        <v>20</v>
      </c>
      <c r="Q19" s="5">
        <v>0</v>
      </c>
      <c r="R19" s="5">
        <v>10</v>
      </c>
      <c r="S19" s="5">
        <v>0</v>
      </c>
      <c r="T19" s="5" t="s">
        <v>45</v>
      </c>
      <c r="U19" s="5" t="s">
        <v>45</v>
      </c>
      <c r="V19" s="5" t="s">
        <v>45</v>
      </c>
      <c r="W19" s="5">
        <f>SUM(Table2[[#This Row],[Premissa 1]:[Premissa 8]])</f>
        <v>30</v>
      </c>
      <c r="X19" s="5" t="s">
        <v>15</v>
      </c>
      <c r="Y19" t="s">
        <v>583</v>
      </c>
    </row>
    <row r="20" spans="1:25" ht="15" customHeight="1" x14ac:dyDescent="0.25">
      <c r="A20" s="12">
        <v>5844630060</v>
      </c>
      <c r="B20" s="12" t="str">
        <f>_xlfn.XLOOKUP(Table2[[#This Row],[Ativo]],Joao!B:B,Joao!Z:Z)</f>
        <v>Entrega 16/07</v>
      </c>
      <c r="C20" s="5" t="str">
        <f>MID(Table2[[#This Row],[Ativo]],1,2)</f>
        <v>58</v>
      </c>
      <c r="D20" s="5" t="s">
        <v>253</v>
      </c>
      <c r="E20" s="5" t="s">
        <v>94</v>
      </c>
      <c r="F20" s="5" t="s">
        <v>59</v>
      </c>
      <c r="G20" s="4" t="str">
        <f>IFERROR(_xlfn.XLOOKUP(Table2[[#This Row],[Ativo]],Pendentes[COD_RELIGADOR],Pendentes[SS_ORIGINAL]),"CONCLUÍDA")</f>
        <v>ETO-TELE 01102/2026</v>
      </c>
      <c r="H20" s="4" t="s">
        <v>584</v>
      </c>
      <c r="I20" s="4" t="s">
        <v>585</v>
      </c>
      <c r="K20" s="4" t="s">
        <v>459</v>
      </c>
      <c r="L20" s="29" t="s">
        <v>460</v>
      </c>
      <c r="M20" s="31">
        <v>1</v>
      </c>
      <c r="N20" t="str">
        <f>IFERROR(_xlfn.XLOOKUP(Table2[[#This Row],[Ativo]],Pendentes[COD_RELIGADOR],Pendentes[DESCRICAO]),"")</f>
        <v>Segue nota para verificar falha em comandos via supervisório e constantes travamento no regulador de tensão 5844630060 - rural- Nova Olinda .Foi executado comandos no relé via supervisório, porém sem sucesso , em campo o equipamento está com a fase B travada no -16 .Obs: equipamento ficou fora de operação bay passado , favor agilizar atendimento !</v>
      </c>
      <c r="O20" s="5">
        <v>20</v>
      </c>
      <c r="P20" s="5">
        <v>0</v>
      </c>
      <c r="Q20" s="5">
        <v>0</v>
      </c>
      <c r="R20" s="5">
        <v>10</v>
      </c>
      <c r="S20" s="5">
        <v>0</v>
      </c>
      <c r="T20" s="5" t="s">
        <v>45</v>
      </c>
      <c r="U20" s="5" t="s">
        <v>45</v>
      </c>
      <c r="V20" s="5" t="s">
        <v>45</v>
      </c>
      <c r="W20" s="5">
        <f>SUM(Table2[[#This Row],[Premissa 1]:[Premissa 8]])</f>
        <v>30</v>
      </c>
      <c r="X20" s="5" t="s">
        <v>15</v>
      </c>
      <c r="Y20" t="s">
        <v>256</v>
      </c>
    </row>
    <row r="21" spans="1:25" ht="15" customHeight="1" x14ac:dyDescent="0.25">
      <c r="A21" s="4">
        <v>5846328094</v>
      </c>
      <c r="B21" s="4" t="e">
        <f>_xlfn.XLOOKUP(Table2[[#This Row],[Ativo]],Joao!B:B,Joao!Z:Z)</f>
        <v>#N/A</v>
      </c>
      <c r="C21" s="5" t="str">
        <f>MID(Table2[[#This Row],[Ativo]],1,2)</f>
        <v>58</v>
      </c>
      <c r="D21" s="5" t="s">
        <v>224</v>
      </c>
      <c r="E21" s="5" t="s">
        <v>224</v>
      </c>
      <c r="F21" s="5" t="s">
        <v>42</v>
      </c>
      <c r="G21" s="4" t="str">
        <f>IFERROR(_xlfn.XLOOKUP(Table2[[#This Row],[Ativo]],Pendentes[COD_RELIGADOR],Pendentes[SS_ORIGINAL]),"CONCLUÍDA")</f>
        <v>ETO-TELE 00986/2026</v>
      </c>
      <c r="H21" s="4" t="s">
        <v>464</v>
      </c>
      <c r="K21" s="4" t="s">
        <v>459</v>
      </c>
      <c r="L21" s="29" t="s">
        <v>533</v>
      </c>
      <c r="M21" s="31">
        <v>1</v>
      </c>
      <c r="N21" t="str">
        <f>IFERROR(_xlfn.XLOOKUP(Table2[[#This Row],[Ativo]],Pendentes[COD_RELIGADOR],Pendentes[DESCRICAO]),"")</f>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v>
      </c>
      <c r="O21" s="5">
        <v>0</v>
      </c>
      <c r="P21" s="5">
        <v>20</v>
      </c>
      <c r="Q21" s="5">
        <v>20</v>
      </c>
      <c r="R21" s="5">
        <v>10</v>
      </c>
      <c r="S21" s="5">
        <v>10</v>
      </c>
      <c r="T21" s="5" t="s">
        <v>45</v>
      </c>
      <c r="U21" s="5" t="s">
        <v>45</v>
      </c>
      <c r="V21" s="5" t="s">
        <v>45</v>
      </c>
      <c r="W21" s="5">
        <f>SUM(Table2[[#This Row],[Premissa 1]:[Premissa 8]])</f>
        <v>60</v>
      </c>
      <c r="X21" s="5" t="s">
        <v>14</v>
      </c>
      <c r="Y21" t="s">
        <v>251</v>
      </c>
    </row>
    <row r="22" spans="1:25" ht="15" customHeight="1" x14ac:dyDescent="0.25">
      <c r="A22" s="4">
        <v>5848305116</v>
      </c>
      <c r="B22" s="4" t="e">
        <f>_xlfn.XLOOKUP(Table2[[#This Row],[Ativo]],Joao!B:B,Joao!Z:Z)</f>
        <v>#N/A</v>
      </c>
      <c r="C22" s="5" t="str">
        <f>MID(Table2[[#This Row],[Ativo]],1,2)</f>
        <v>58</v>
      </c>
      <c r="G22" s="4" t="str">
        <f>IFERROR(_xlfn.XLOOKUP(Table2[[#This Row],[Ativo]],Pendentes[COD_RELIGADOR],Pendentes[SS_ORIGINAL]),"CONCLUÍDA")</f>
        <v>CONCLUÍDA</v>
      </c>
      <c r="H22" s="4" t="s">
        <v>526</v>
      </c>
      <c r="L22" s="29"/>
      <c r="M22" s="31"/>
      <c r="N22" t="str">
        <f>IFERROR(_xlfn.XLOOKUP(Table2[[#This Row],[Ativo]],Pendentes[COD_RELIGADOR],Pendentes[DESCRICAO]),"")</f>
        <v/>
      </c>
      <c r="O22" s="5"/>
      <c r="P22" s="5"/>
      <c r="Q22" s="5"/>
      <c r="R22" s="5"/>
      <c r="S22" s="5"/>
      <c r="T22" s="5"/>
      <c r="U22" s="5"/>
      <c r="V22" s="5"/>
      <c r="W22" s="5">
        <f>SUM(Table2[[#This Row],[Premissa 1]:[Premissa 8]])</f>
        <v>0</v>
      </c>
      <c r="X22" s="5"/>
    </row>
    <row r="23" spans="1:25" ht="15" customHeight="1" x14ac:dyDescent="0.25">
      <c r="A23" s="4">
        <v>5850308009</v>
      </c>
      <c r="B23" s="4" t="str">
        <f>_xlfn.XLOOKUP(Table2[[#This Row],[Ativo]],Joao!B:B,Joao!Z:Z)</f>
        <v>Equipamento em operação em campo de acordo com a visita do Luanderson tem fotos
Equipamento já em operação , realocar controle de Regulador para Arapoema 5800371025</v>
      </c>
      <c r="C23" s="5" t="str">
        <f>MID(Table2[[#This Row],[Ativo]],1,2)</f>
        <v>58</v>
      </c>
      <c r="D23" s="5" t="s">
        <v>106</v>
      </c>
      <c r="E23" s="5" t="s">
        <v>106</v>
      </c>
      <c r="F23" s="5" t="s">
        <v>59</v>
      </c>
      <c r="G23" s="4" t="str">
        <f>IFERROR(_xlfn.XLOOKUP(Table2[[#This Row],[Ativo]],Pendentes[COD_RELIGADOR],Pendentes[SS_ORIGINAL]),"CONCLUÍDA")</f>
        <v>CONCLUÍDA</v>
      </c>
      <c r="H23" s="11" t="s">
        <v>721</v>
      </c>
      <c r="I23" s="9"/>
      <c r="J23" s="9"/>
      <c r="K23" s="4" t="s">
        <v>453</v>
      </c>
      <c r="L23" s="29"/>
      <c r="M23" s="31"/>
      <c r="N23" t="str">
        <f>IFERROR(_xlfn.XLOOKUP(Table2[[#This Row],[Ativo]],Pendentes[COD_RELIGADOR],Pendentes[DESCRICAO]),"")</f>
        <v/>
      </c>
      <c r="O23" s="5">
        <v>0</v>
      </c>
      <c r="P23" s="5">
        <v>20</v>
      </c>
      <c r="Q23" s="5">
        <v>20</v>
      </c>
      <c r="R23" s="5">
        <v>0</v>
      </c>
      <c r="S23" s="5">
        <v>10</v>
      </c>
      <c r="T23" s="5" t="s">
        <v>45</v>
      </c>
      <c r="U23" s="5" t="s">
        <v>45</v>
      </c>
      <c r="V23" s="5" t="s">
        <v>45</v>
      </c>
      <c r="W23" s="5">
        <f>SUM(Table2[[#This Row],[Premissa 1]:[Premissa 8]])</f>
        <v>50</v>
      </c>
      <c r="X23" s="5" t="s">
        <v>14</v>
      </c>
      <c r="Y23" t="s">
        <v>567</v>
      </c>
    </row>
    <row r="24" spans="1:25" ht="15" customHeight="1" x14ac:dyDescent="0.25">
      <c r="A24" s="4">
        <v>5851753086</v>
      </c>
      <c r="B24" s="4" t="e">
        <f>_xlfn.XLOOKUP(Table2[[#This Row],[Ativo]],Joao!B:B,Joao!Z:Z)</f>
        <v>#N/A</v>
      </c>
      <c r="C24" s="5" t="str">
        <f>MID(Table2[[#This Row],[Ativo]],1,2)</f>
        <v>58</v>
      </c>
      <c r="D24" s="5" t="s">
        <v>523</v>
      </c>
      <c r="E24" s="5" t="s">
        <v>152</v>
      </c>
      <c r="F24" s="5" t="s">
        <v>51</v>
      </c>
      <c r="G24" s="4" t="str">
        <f>IFERROR(_xlfn.XLOOKUP(Table2[[#This Row],[Ativo]],Pendentes[COD_RELIGADOR],Pendentes[SS_ORIGINAL]),"CONCLUÍDA")</f>
        <v>CONCLUÍDA</v>
      </c>
      <c r="H24" s="4" t="s">
        <v>464</v>
      </c>
      <c r="K24" s="4" t="s">
        <v>459</v>
      </c>
      <c r="L24" s="29" t="s">
        <v>533</v>
      </c>
      <c r="M24" s="31">
        <v>1</v>
      </c>
      <c r="N24" t="str">
        <f>IFERROR(_xlfn.XLOOKUP(Table2[[#This Row],[Ativo]],Pendentes[COD_RELIGADOR],Pendentes[DESCRICAO]),"")</f>
        <v/>
      </c>
      <c r="O24" s="5">
        <v>0</v>
      </c>
      <c r="P24" s="5">
        <v>20</v>
      </c>
      <c r="Q24" s="5">
        <v>20</v>
      </c>
      <c r="R24" s="5">
        <v>10</v>
      </c>
      <c r="S24" s="5">
        <v>10</v>
      </c>
      <c r="T24" s="5" t="s">
        <v>45</v>
      </c>
      <c r="U24" s="5" t="s">
        <v>45</v>
      </c>
      <c r="V24" s="5" t="s">
        <v>45</v>
      </c>
      <c r="W24" s="5">
        <f>SUM(Table2[[#This Row],[Premissa 1]:[Premissa 8]])</f>
        <v>60</v>
      </c>
      <c r="X24" s="5" t="s">
        <v>14</v>
      </c>
      <c r="Y24" t="s">
        <v>553</v>
      </c>
    </row>
    <row r="25" spans="1:25" ht="15" customHeight="1" x14ac:dyDescent="0.25">
      <c r="A25" s="12">
        <v>5853360007</v>
      </c>
      <c r="B25" s="12" t="str">
        <f>_xlfn.XLOOKUP(Table2[[#This Row],[Ativo]],Joao!B:B,Joao!Z:Z)</f>
        <v>Melhoria de aterramento</v>
      </c>
      <c r="C25" s="5" t="str">
        <f>MID(Table2[[#This Row],[Ativo]],1,2)</f>
        <v>58</v>
      </c>
      <c r="D25" s="5" t="s">
        <v>100</v>
      </c>
      <c r="E25" s="5" t="s">
        <v>100</v>
      </c>
      <c r="F25" s="5" t="s">
        <v>51</v>
      </c>
      <c r="G25" s="4" t="str">
        <f>IFERROR(_xlfn.XLOOKUP(Table2[[#This Row],[Ativo]],Pendentes[COD_RELIGADOR],Pendentes[SS_ORIGINAL]),"CONCLUÍDA")</f>
        <v>ETO-RD-PS 00323/2025</v>
      </c>
      <c r="H25" s="28" t="s">
        <v>535</v>
      </c>
      <c r="I25" s="4" t="s">
        <v>536</v>
      </c>
      <c r="L25" s="29" t="s">
        <v>533</v>
      </c>
      <c r="M25" s="31">
        <v>1</v>
      </c>
      <c r="N25" t="str">
        <f>IFERROR(_xlfn.XLOOKUP(Table2[[#This Row],[Ativo]],Pendentes[COD_RELIGADOR],Pendentes[DESCRICAO]),"")</f>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v>
      </c>
      <c r="O25" s="5">
        <v>0</v>
      </c>
      <c r="P25" s="5">
        <v>20</v>
      </c>
      <c r="Q25" s="5">
        <v>20</v>
      </c>
      <c r="R25" s="5">
        <v>10</v>
      </c>
      <c r="S25" s="5">
        <v>20</v>
      </c>
      <c r="T25" s="5" t="s">
        <v>45</v>
      </c>
      <c r="U25" s="5" t="s">
        <v>45</v>
      </c>
      <c r="V25" s="5" t="s">
        <v>45</v>
      </c>
      <c r="W25" s="5">
        <f>SUM(Table2[[#This Row],[Premissa 1]:[Premissa 8]])</f>
        <v>70</v>
      </c>
      <c r="X25" s="5" t="s">
        <v>13</v>
      </c>
      <c r="Y25" t="s">
        <v>241</v>
      </c>
    </row>
    <row r="26" spans="1:25" ht="15" customHeight="1" x14ac:dyDescent="0.25">
      <c r="A26" s="12">
        <v>5854566043</v>
      </c>
      <c r="B26" s="12" t="str">
        <f>_xlfn.XLOOKUP(Table2[[#This Row],[Ativo]],Joao!B:B,Joao!Z:Z)</f>
        <v>Aguardando previsão de substituição</v>
      </c>
      <c r="C26" s="5" t="str">
        <f>MID(Table2[[#This Row],[Ativo]],1,2)</f>
        <v>58</v>
      </c>
      <c r="D26" s="5" t="s">
        <v>49</v>
      </c>
      <c r="E26" s="5" t="s">
        <v>50</v>
      </c>
      <c r="F26" s="5" t="s">
        <v>51</v>
      </c>
      <c r="G26" s="4" t="str">
        <f>IFERROR(_xlfn.XLOOKUP(Table2[[#This Row],[Ativo]],Pendentes[COD_RELIGADOR],Pendentes[SS_ORIGINAL]),"CONCLUÍDA")</f>
        <v>ETO-PROT 00158/2026</v>
      </c>
      <c r="H26" s="5" t="s">
        <v>733</v>
      </c>
      <c r="J26" s="4" t="s">
        <v>734</v>
      </c>
      <c r="K26" s="4" t="s">
        <v>459</v>
      </c>
      <c r="L26" s="29" t="s">
        <v>460</v>
      </c>
      <c r="M26" s="31">
        <v>1</v>
      </c>
      <c r="N26" t="str">
        <f>IFERROR(_xlfn.XLOOKUP(Table2[[#This Row],[Ativo]],Pendentes[COD_RELIGADOR],Pendentes[DESCRICAO]),"")</f>
        <v>24/07/2026 - PARECE COCM: EQUIPAMENTO SUBSTITUIDO NA OBRA 0312600352 OS: ETO-RD-PO 1873/202622/07/2026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v>
      </c>
      <c r="O26" s="5">
        <v>40</v>
      </c>
      <c r="P26" s="5">
        <v>20</v>
      </c>
      <c r="Q26" s="5">
        <v>20</v>
      </c>
      <c r="R26" s="5">
        <v>10</v>
      </c>
      <c r="S26" s="5">
        <v>20</v>
      </c>
      <c r="T26" s="5" t="s">
        <v>45</v>
      </c>
      <c r="U26" s="5" t="s">
        <v>45</v>
      </c>
      <c r="V26" s="5" t="s">
        <v>45</v>
      </c>
      <c r="W26" s="5">
        <f>SUM(Table2[[#This Row],[Premissa 1]:[Premissa 8]])</f>
        <v>110</v>
      </c>
      <c r="X26" s="5" t="s">
        <v>9</v>
      </c>
      <c r="Y26" t="s">
        <v>54</v>
      </c>
    </row>
    <row r="27" spans="1:25" ht="15" customHeight="1" x14ac:dyDescent="0.25">
      <c r="A27" s="4">
        <v>5855411017</v>
      </c>
      <c r="B27" s="4" t="str">
        <f>_xlfn.XLOOKUP(Table2[[#This Row],[Ativo]],Joao!B:B,Joao!Z:Z)</f>
        <v>Aguardando previsão de substituição</v>
      </c>
      <c r="C27" s="5" t="str">
        <f>MID(Table2[[#This Row],[Ativo]],1,2)</f>
        <v>58</v>
      </c>
      <c r="D27" s="5" t="s">
        <v>99</v>
      </c>
      <c r="E27" s="5" t="s">
        <v>100</v>
      </c>
      <c r="F27" s="5" t="s">
        <v>51</v>
      </c>
      <c r="G27" s="4" t="str">
        <f>IFERROR(_xlfn.XLOOKUP(Table2[[#This Row],[Ativo]],Pendentes[COD_RELIGADOR],Pendentes[SS_ORIGINAL]),"CONCLUÍDA")</f>
        <v>ETO-COEP 00156/2026</v>
      </c>
      <c r="H27" s="4" t="s">
        <v>472</v>
      </c>
      <c r="K27" s="4" t="s">
        <v>474</v>
      </c>
      <c r="L27" s="29" t="s">
        <v>484</v>
      </c>
      <c r="M27" s="31">
        <v>1</v>
      </c>
      <c r="N27" t="str">
        <f>IFERROR(_xlfn.XLOOKUP(Table2[[#This Row],[Ativo]],Pendentes[COD_RELIGADOR],Pendentes[DESCRICAO]),"")</f>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v>
      </c>
      <c r="O27" s="5">
        <v>0</v>
      </c>
      <c r="P27" s="5">
        <v>0</v>
      </c>
      <c r="Q27" s="5">
        <v>0</v>
      </c>
      <c r="R27" s="5">
        <v>10</v>
      </c>
      <c r="S27" s="5">
        <v>20</v>
      </c>
      <c r="T27" s="5" t="s">
        <v>45</v>
      </c>
      <c r="U27" s="5" t="s">
        <v>45</v>
      </c>
      <c r="V27" s="5" t="s">
        <v>45</v>
      </c>
      <c r="W27" s="5">
        <f>SUM(Table2[[#This Row],[Premissa 1]:[Premissa 8]])</f>
        <v>30</v>
      </c>
      <c r="X27" s="5" t="s">
        <v>15</v>
      </c>
      <c r="Y27" t="s">
        <v>103</v>
      </c>
    </row>
    <row r="28" spans="1:25" ht="15" customHeight="1" x14ac:dyDescent="0.25">
      <c r="A28" s="4">
        <v>5856070091</v>
      </c>
      <c r="B28" s="4" t="str">
        <f>_xlfn.XLOOKUP(Table2[[#This Row],[Ativo]],Joao!B:B,Joao!Z:Z)</f>
        <v>REQUISITAR 03 PEÇAS POIS 02  PÇ FOI RETIRADA PARA INSTALAÇÃO EM OBRA DE CONSTRUÇÃO.</v>
      </c>
      <c r="C28" s="5" t="str">
        <f>MID(Table2[[#This Row],[Ativo]],1,2)</f>
        <v>58</v>
      </c>
      <c r="D28" s="5" t="s">
        <v>40</v>
      </c>
      <c r="E28" s="5" t="s">
        <v>41</v>
      </c>
      <c r="F28" s="5" t="s">
        <v>42</v>
      </c>
      <c r="G28" s="4" t="str">
        <f>IFERROR(_xlfn.XLOOKUP(Table2[[#This Row],[Ativo]],Pendentes[COD_RELIGADOR],Pendentes[SS_ORIGINAL]),"CONCLUÍDA")</f>
        <v>ETO-RD-DP 00479/2026</v>
      </c>
      <c r="H28" s="4" t="s">
        <v>485</v>
      </c>
      <c r="I28" s="4" t="s">
        <v>486</v>
      </c>
      <c r="K28" s="4" t="s">
        <v>459</v>
      </c>
      <c r="L28" s="29" t="s">
        <v>487</v>
      </c>
      <c r="M28" s="31">
        <v>3</v>
      </c>
      <c r="N28" t="str">
        <f>IFERROR(_xlfn.XLOOKUP(Table2[[#This Row],[Ativo]],Pendentes[COD_RELIGADOR],Pendentes[DESCRICAO]),"")</f>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v>
      </c>
      <c r="O28" s="5">
        <v>40</v>
      </c>
      <c r="P28" s="5">
        <v>20</v>
      </c>
      <c r="Q28" s="5">
        <v>20</v>
      </c>
      <c r="R28" s="5">
        <v>20</v>
      </c>
      <c r="S28" s="5">
        <v>0</v>
      </c>
      <c r="T28" s="5" t="s">
        <v>45</v>
      </c>
      <c r="U28" s="5" t="s">
        <v>45</v>
      </c>
      <c r="V28" s="5" t="s">
        <v>45</v>
      </c>
      <c r="W28" s="5">
        <f>SUM(Table2[[#This Row],[Premissa 1]:[Premissa 8]])</f>
        <v>100</v>
      </c>
      <c r="X28" s="5" t="s">
        <v>9</v>
      </c>
      <c r="Y28" t="s">
        <v>46</v>
      </c>
    </row>
    <row r="29" spans="1:25" ht="15" customHeight="1" x14ac:dyDescent="0.25">
      <c r="A29" s="12">
        <v>5856156091</v>
      </c>
      <c r="B29" s="12" t="e">
        <f>_xlfn.XLOOKUP(Table2[[#This Row],[Ativo]],Joao!B:B,Joao!Z:Z)</f>
        <v>#N/A</v>
      </c>
      <c r="C29" s="5" t="str">
        <f>MID(Table2[[#This Row],[Ativo]],1,2)</f>
        <v>58</v>
      </c>
      <c r="D29" s="5" t="s">
        <v>40</v>
      </c>
      <c r="E29" s="5" t="s">
        <v>41</v>
      </c>
      <c r="F29" s="5" t="s">
        <v>42</v>
      </c>
      <c r="G29" s="4" t="str">
        <f>IFERROR(_xlfn.XLOOKUP(Table2[[#This Row],[Ativo]],Pendentes[COD_RELIGADOR],Pendentes[SS_ORIGINAL]),"CONCLUÍDA")</f>
        <v>ETO-COEP 00160/2026</v>
      </c>
      <c r="H29" s="5" t="s">
        <v>472</v>
      </c>
      <c r="I29" s="4" t="s">
        <v>606</v>
      </c>
      <c r="K29" s="4" t="s">
        <v>474</v>
      </c>
      <c r="L29" s="29" t="s">
        <v>487</v>
      </c>
      <c r="M29" s="31">
        <v>3</v>
      </c>
      <c r="N29" t="str">
        <f>IFERROR(_xlfn.XLOOKUP(Table2[[#This Row],[Ativo]],Pendentes[COD_RELIGADOR],Pendentes[DESCRICAO]),"")</f>
        <v>27/07/2026 PARECER COEP: EQUIPAMENTO SELECIONADO PARA COMPRA, PORÉM PODEMOS DESATIVAR DE ACORDO COM A ASPODCMD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v>
      </c>
      <c r="O29" s="5">
        <v>0</v>
      </c>
      <c r="P29" s="5">
        <v>0</v>
      </c>
      <c r="Q29" s="5">
        <v>0</v>
      </c>
      <c r="R29" s="5">
        <v>0</v>
      </c>
      <c r="S29" s="5">
        <v>0</v>
      </c>
      <c r="T29" s="5" t="s">
        <v>45</v>
      </c>
      <c r="U29" s="5" t="s">
        <v>45</v>
      </c>
      <c r="V29" s="5" t="s">
        <v>45</v>
      </c>
      <c r="W29" s="5">
        <f>SUM(Table2[[#This Row],[Premissa 1]:[Premissa 8]])</f>
        <v>0</v>
      </c>
      <c r="X29" s="5" t="s">
        <v>15</v>
      </c>
      <c r="Y29" t="s">
        <v>348</v>
      </c>
    </row>
    <row r="30" spans="1:25" ht="15" customHeight="1" x14ac:dyDescent="0.25">
      <c r="A30" s="12">
        <v>5858783119</v>
      </c>
      <c r="B30" s="12" t="str">
        <f>_xlfn.XLOOKUP(Table2[[#This Row],[Ativo]],Joao!B:B,Joao!Z:Z)</f>
        <v>Redirecionado para atender 5854566043 e 5862236091</v>
      </c>
      <c r="C30" s="5" t="str">
        <f>MID(Table2[[#This Row],[Ativo]],1,2)</f>
        <v>58</v>
      </c>
      <c r="D30" s="5" t="s">
        <v>350</v>
      </c>
      <c r="E30" s="5" t="s">
        <v>259</v>
      </c>
      <c r="F30" s="5" t="s">
        <v>59</v>
      </c>
      <c r="G30" s="4" t="str">
        <f>IFERROR(_xlfn.XLOOKUP(Table2[[#This Row],[Ativo]],Pendentes[COD_RELIGADOR],Pendentes[SS_ORIGINAL]),"CONCLUÍDA")</f>
        <v>ETO-COEP 00164/2026</v>
      </c>
      <c r="H30" s="4" t="s">
        <v>609</v>
      </c>
      <c r="K30" s="4" t="s">
        <v>474</v>
      </c>
      <c r="L30" s="29"/>
      <c r="M30" s="31"/>
      <c r="N30" t="str">
        <f>IFERROR(_xlfn.XLOOKUP(Table2[[#This Row],[Ativo]],Pendentes[COD_RELIGADOR],Pendentes[DESCRICAO]),"")</f>
        <v>PARECER DMSL 31/07/2026: RT 5858783119 SE ECONTRA NA MESMA SITUAÇÃO INFORMADA NO DIA 16/06/2026. FAVOR, REGULARIZAR A SITUAÇÃO DO EQUIPAMENTO, SUBSTITUINDO OS 3 TANQUES E  INSTALAR NOVOS PARA-RAIOS.27/07/2026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v>
      </c>
      <c r="O30" s="5">
        <v>0</v>
      </c>
      <c r="P30" s="5">
        <v>0</v>
      </c>
      <c r="Q30" s="5">
        <v>0</v>
      </c>
      <c r="R30" s="5">
        <v>0</v>
      </c>
      <c r="S30" s="5">
        <v>0</v>
      </c>
      <c r="T30" s="5" t="s">
        <v>45</v>
      </c>
      <c r="U30" s="5" t="s">
        <v>45</v>
      </c>
      <c r="V30" s="5" t="s">
        <v>45</v>
      </c>
      <c r="W30" s="5">
        <f>SUM(Table2[[#This Row],[Premissa 1]:[Premissa 8]])</f>
        <v>0</v>
      </c>
      <c r="X30" s="5" t="s">
        <v>15</v>
      </c>
      <c r="Y30" t="s">
        <v>353</v>
      </c>
    </row>
    <row r="31" spans="1:25" ht="15" customHeight="1" x14ac:dyDescent="0.25">
      <c r="A31" s="4">
        <v>5862236091</v>
      </c>
      <c r="B31" s="4" t="e">
        <f>_xlfn.XLOOKUP(Table2[[#This Row],[Ativo]],Joao!B:B,Joao!Z:Z)</f>
        <v>#N/A</v>
      </c>
      <c r="C31" s="5" t="str">
        <f>MID(Table2[[#This Row],[Ativo]],1,2)</f>
        <v>58</v>
      </c>
      <c r="D31" s="5" t="s">
        <v>40</v>
      </c>
      <c r="E31" s="5" t="s">
        <v>41</v>
      </c>
      <c r="F31" s="5" t="s">
        <v>42</v>
      </c>
      <c r="G31" s="4" t="str">
        <f>IFERROR(_xlfn.XLOOKUP(Table2[[#This Row],[Ativo]],Pendentes[COD_RELIGADOR],Pendentes[SS_ORIGINAL]),"CONCLUÍDA")</f>
        <v>ETO-COEP 00158/2026</v>
      </c>
      <c r="H31" s="5" t="s">
        <v>472</v>
      </c>
      <c r="I31" s="41"/>
      <c r="J31" s="41"/>
      <c r="K31" s="4" t="s">
        <v>474</v>
      </c>
      <c r="L31" s="29" t="s">
        <v>460</v>
      </c>
      <c r="M31" s="31">
        <v>1</v>
      </c>
      <c r="N31" t="str">
        <f>IFERROR(_xlfn.XLOOKUP(Table2[[#This Row],[Ativo]],Pendentes[COD_RELIGADOR],Pendentes[DESCRICAO]),"")</f>
        <v>27/07 PARECER COEP: PEÇAS REDIRECIONADAS 5856070091 PRIORIDADE MAIOR20/07 PARECER COEP: EQUIPAMENTO ENTREGUE , FAVOR EDITAR A SS COM A DATA PREVISTA DE SUBSTITUIÇÃO NO PARECER DOS COCM´S Realizar substituição da FASE B.Célula da fase B estava com a tampa do contador de tape aberta, pegou chuva e molhou os contatos danificando a peça toda.</v>
      </c>
      <c r="O31" s="5">
        <v>0</v>
      </c>
      <c r="P31" s="5">
        <v>0</v>
      </c>
      <c r="Q31" s="5">
        <v>0</v>
      </c>
      <c r="R31" s="5">
        <v>20</v>
      </c>
      <c r="S31" s="5">
        <v>0</v>
      </c>
      <c r="T31" s="5" t="s">
        <v>45</v>
      </c>
      <c r="U31" s="5" t="s">
        <v>45</v>
      </c>
      <c r="V31" s="5" t="s">
        <v>45</v>
      </c>
      <c r="W31" s="5">
        <f>SUM(Table2[[#This Row],[Premissa 1]:[Premissa 8]])</f>
        <v>20</v>
      </c>
      <c r="X31" s="5" t="s">
        <v>15</v>
      </c>
      <c r="Y31" t="s">
        <v>330</v>
      </c>
    </row>
    <row r="32" spans="1:25" ht="15" customHeight="1" x14ac:dyDescent="0.25">
      <c r="A32" s="4">
        <v>5865120195</v>
      </c>
      <c r="B32" s="4" t="e">
        <f>_xlfn.XLOOKUP(Table2[[#This Row],[Ativo]],Joao!B:B,Joao!Z:Z)</f>
        <v>#N/A</v>
      </c>
      <c r="C32" s="5" t="str">
        <f>MID(Table2[[#This Row],[Ativo]],1,2)</f>
        <v>58</v>
      </c>
      <c r="D32" s="5" t="s">
        <v>169</v>
      </c>
      <c r="E32" s="5" t="s">
        <v>106</v>
      </c>
      <c r="F32" s="5" t="s">
        <v>59</v>
      </c>
      <c r="G32" s="4" t="str">
        <f>IFERROR(_xlfn.XLOOKUP(Table2[[#This Row],[Ativo]],Pendentes[COD_RELIGADOR],Pendentes[SS_ORIGINAL]),"CONCLUÍDA")</f>
        <v>ETO-SE-PCM 00091/2026</v>
      </c>
      <c r="H32" s="4" t="s">
        <v>457</v>
      </c>
      <c r="K32" s="4" t="s">
        <v>459</v>
      </c>
      <c r="L32" s="29" t="s">
        <v>533</v>
      </c>
      <c r="M32" s="31">
        <v>1</v>
      </c>
      <c r="N32" t="str">
        <f>IFERROR(_xlfn.XLOOKUP(Table2[[#This Row],[Ativo]],Pendentes[COD_RELIGADOR],Pendentes[DESCRICAO]),"")</f>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 - 17/08/2026:FAVOR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v>
      </c>
      <c r="O32" s="5">
        <v>20</v>
      </c>
      <c r="P32" s="5">
        <v>20</v>
      </c>
      <c r="Q32" s="5">
        <v>20</v>
      </c>
      <c r="R32" s="5">
        <v>10</v>
      </c>
      <c r="S32" s="5">
        <v>0</v>
      </c>
      <c r="T32" s="5" t="s">
        <v>45</v>
      </c>
      <c r="U32" s="5" t="s">
        <v>45</v>
      </c>
      <c r="V32" s="5" t="s">
        <v>45</v>
      </c>
      <c r="W32" s="5">
        <f>SUM(Table2[[#This Row],[Premissa 1]:[Premissa 8]])</f>
        <v>70</v>
      </c>
      <c r="X32" s="5" t="s">
        <v>13</v>
      </c>
      <c r="Y32" t="s">
        <v>172</v>
      </c>
    </row>
    <row r="33" spans="1:25" ht="15" customHeight="1" x14ac:dyDescent="0.25">
      <c r="A33" s="4">
        <v>7900001096</v>
      </c>
      <c r="B33" s="4" t="e">
        <f>_xlfn.XLOOKUP(Table2[[#This Row],[Ativo]],Joao!B:B,Joao!Z:Z)</f>
        <v>#N/A</v>
      </c>
      <c r="C33" s="5" t="str">
        <f>MID(Table2[[#This Row],[Ativo]],1,2)</f>
        <v>79</v>
      </c>
      <c r="G33" s="4" t="str">
        <f>IFERROR(_xlfn.XLOOKUP(Table2[[#This Row],[Ativo]],Pendentes[COD_RELIGADOR],Pendentes[SS_ORIGINAL]),"CONCLUÍDA")</f>
        <v>CONCLUÍDA</v>
      </c>
      <c r="H33" s="4" t="s">
        <v>526</v>
      </c>
      <c r="L33" s="29"/>
      <c r="M33" s="31"/>
      <c r="N33" t="str">
        <f>IFERROR(_xlfn.XLOOKUP(Table2[[#This Row],[Ativo]],Pendentes[COD_RELIGADOR],Pendentes[DESCRICAO]),"")</f>
        <v/>
      </c>
      <c r="O33" s="5"/>
      <c r="P33" s="5"/>
      <c r="Q33" s="5"/>
      <c r="R33" s="5"/>
      <c r="S33" s="5"/>
      <c r="T33" s="5"/>
      <c r="U33" s="5"/>
      <c r="V33" s="5"/>
      <c r="W33" s="5">
        <f>SUM(Table2[[#This Row],[Premissa 1]:[Premissa 8]])</f>
        <v>0</v>
      </c>
      <c r="X33" s="5"/>
    </row>
    <row r="34" spans="1:25" ht="15" customHeight="1" x14ac:dyDescent="0.25">
      <c r="A34" s="4">
        <v>7900018004</v>
      </c>
      <c r="B34" s="4" t="str">
        <f>_xlfn.XLOOKUP(Table2[[#This Row],[Ativo]],Joao!B:B,Joao!Z:Z)</f>
        <v>Concluido</v>
      </c>
      <c r="C34" s="5" t="str">
        <f>MID(Table2[[#This Row],[Ativo]],1,2)</f>
        <v>79</v>
      </c>
      <c r="D34" s="5" t="s">
        <v>69</v>
      </c>
      <c r="E34" s="5" t="s">
        <v>69</v>
      </c>
      <c r="F34" s="5" t="s">
        <v>59</v>
      </c>
      <c r="G34" s="4" t="str">
        <f>IFERROR(_xlfn.XLOOKUP(Table2[[#This Row],[Ativo]],Pendentes[COD_RELIGADOR],Pendentes[SS_ORIGINAL]),"CONCLUÍDA")</f>
        <v>CONCLUÍDA</v>
      </c>
      <c r="H34" s="4" t="s">
        <v>506</v>
      </c>
      <c r="I34" s="4" t="s">
        <v>735</v>
      </c>
      <c r="K34" s="4" t="s">
        <v>453</v>
      </c>
      <c r="L34" s="29"/>
      <c r="M34" s="31"/>
      <c r="N34" t="str">
        <f>IFERROR(_xlfn.XLOOKUP(Table2[[#This Row],[Ativo]],Pendentes[COD_RELIGADOR],Pendentes[DESCRICAO]),"")</f>
        <v/>
      </c>
      <c r="O34" s="5">
        <v>15</v>
      </c>
      <c r="P34" s="5">
        <v>10</v>
      </c>
      <c r="Q34" s="5">
        <v>5</v>
      </c>
      <c r="R34" s="5">
        <v>15</v>
      </c>
      <c r="S34" s="5">
        <v>0</v>
      </c>
      <c r="T34" s="5">
        <v>10</v>
      </c>
      <c r="U34" s="5">
        <v>0</v>
      </c>
      <c r="V34" s="5">
        <v>0</v>
      </c>
      <c r="W34" s="5">
        <f>SUM(Table2[[#This Row],[Premissa 1]:[Premissa 8]])</f>
        <v>55</v>
      </c>
      <c r="X34" s="5" t="s">
        <v>13</v>
      </c>
      <c r="Y34" t="s">
        <v>556</v>
      </c>
    </row>
    <row r="35" spans="1:25" ht="15" customHeight="1" x14ac:dyDescent="0.25">
      <c r="A35" s="4">
        <v>7900117013</v>
      </c>
      <c r="B35" s="4" t="str">
        <f>_xlfn.XLOOKUP(Table2[[#This Row],[Ativo]],Joao!B:B,Joao!Z:Z)</f>
        <v>Calendário logistco vai sair hoje 29/05/2026, assim que tiver rota de entrga avisamos</v>
      </c>
      <c r="C35" s="5" t="str">
        <f>MID(Table2[[#This Row],[Ativo]],1,2)</f>
        <v>79</v>
      </c>
      <c r="D35" s="5" t="s">
        <v>117</v>
      </c>
      <c r="E35" s="5" t="s">
        <v>117</v>
      </c>
      <c r="F35" s="5" t="s">
        <v>51</v>
      </c>
      <c r="G35" s="4" t="str">
        <f>IFERROR(_xlfn.XLOOKUP(Table2[[#This Row],[Ativo]],Pendentes[COD_RELIGADOR],Pendentes[SS_ORIGINAL]),"CONCLUÍDA")</f>
        <v>ETO-PROT 00154/2026</v>
      </c>
      <c r="H35" s="4" t="s">
        <v>457</v>
      </c>
      <c r="K35" s="4" t="s">
        <v>459</v>
      </c>
      <c r="L35" s="29" t="s">
        <v>484</v>
      </c>
      <c r="M35" s="31">
        <v>1</v>
      </c>
      <c r="N35" t="str">
        <f>IFERROR(_xlfn.XLOOKUP(Table2[[#This Row],[Ativo]],Pendentes[COD_RELIGADOR],Pendentes[DESCRICAO]),"")</f>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v>
      </c>
      <c r="O35" s="5">
        <v>15</v>
      </c>
      <c r="P35" s="5">
        <v>20</v>
      </c>
      <c r="Q35" s="5">
        <v>15</v>
      </c>
      <c r="R35" s="5">
        <v>15</v>
      </c>
      <c r="S35" s="5">
        <v>15</v>
      </c>
      <c r="T35" s="5">
        <v>0</v>
      </c>
      <c r="U35" s="5">
        <v>0</v>
      </c>
      <c r="V35" s="5">
        <v>15</v>
      </c>
      <c r="W35" s="5">
        <f>SUM(Table2[[#This Row],[Premissa 1]:[Premissa 8]])</f>
        <v>95</v>
      </c>
      <c r="X35" s="5" t="s">
        <v>9</v>
      </c>
      <c r="Y35" t="s">
        <v>120</v>
      </c>
    </row>
    <row r="36" spans="1:25" ht="15" customHeight="1" x14ac:dyDescent="0.25">
      <c r="A36" s="4">
        <v>7900230155</v>
      </c>
      <c r="B36" s="4" t="str">
        <f>_xlfn.XLOOKUP(Table2[[#This Row],[Ativo]],Joao!B:B,Joao!Z:Z)</f>
        <v>Concluido</v>
      </c>
      <c r="C36" s="5" t="str">
        <f>MID(Table2[[#This Row],[Ativo]],1,2)</f>
        <v>79</v>
      </c>
      <c r="D36" s="5" t="s">
        <v>204</v>
      </c>
      <c r="E36" s="5" t="s">
        <v>94</v>
      </c>
      <c r="F36" s="5" t="s">
        <v>59</v>
      </c>
      <c r="G36" s="4" t="str">
        <f>IFERROR(_xlfn.XLOOKUP(Table2[[#This Row],[Ativo]],Pendentes[COD_RELIGADOR],Pendentes[SS_ORIGINAL]),"CONCLUÍDA")</f>
        <v>ETO-SE-PCM 00090/2026</v>
      </c>
      <c r="H36" s="4" t="s">
        <v>457</v>
      </c>
      <c r="I36" s="4" t="s">
        <v>736</v>
      </c>
      <c r="K36" s="4" t="s">
        <v>459</v>
      </c>
      <c r="L36" s="29" t="s">
        <v>517</v>
      </c>
      <c r="M36" s="31">
        <v>1</v>
      </c>
      <c r="N36" t="str">
        <f>IFERROR(_xlfn.XLOOKUP(Table2[[#This Row],[Ativo]],Pendentes[COD_RELIGADOR],Pendentes[DESCRICAO]),"")</f>
        <v>PARECER DA PROTEÇÃO - 17/08/2026:SEGUE NOTA PARA COMISSIONAMENTO JUNTO COM TIME SCADA, EQUIPAMENTO JA NO DESENHO ADMS.ENG° IRLLEY CASTELO BRANCO07/07/2026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v>
      </c>
      <c r="O36" s="5">
        <v>15</v>
      </c>
      <c r="P36" s="5">
        <v>20</v>
      </c>
      <c r="Q36" s="5">
        <v>5</v>
      </c>
      <c r="R36" s="5">
        <v>15</v>
      </c>
      <c r="S36" s="5">
        <v>0</v>
      </c>
      <c r="T36" s="5">
        <v>10</v>
      </c>
      <c r="U36" s="5">
        <v>0</v>
      </c>
      <c r="V36" s="5">
        <v>15</v>
      </c>
      <c r="W36" s="5">
        <f>SUM(Table2[[#This Row],[Premissa 1]:[Premissa 8]])</f>
        <v>80</v>
      </c>
      <c r="X36" s="5" t="s">
        <v>9</v>
      </c>
      <c r="Y36" t="s">
        <v>207</v>
      </c>
    </row>
    <row r="37" spans="1:25" ht="15" customHeight="1" x14ac:dyDescent="0.25">
      <c r="A37" s="4">
        <v>7900259096</v>
      </c>
      <c r="B37" s="4" t="e">
        <f>_xlfn.XLOOKUP(Table2[[#This Row],[Ativo]],Joao!B:B,Joao!Z:Z)</f>
        <v>#N/A</v>
      </c>
      <c r="C37" s="5" t="str">
        <f>MID(Table2[[#This Row],[Ativo]],1,2)</f>
        <v>79</v>
      </c>
      <c r="G37" s="4" t="str">
        <f>IFERROR(_xlfn.XLOOKUP(Table2[[#This Row],[Ativo]],Pendentes[COD_RELIGADOR],Pendentes[SS_ORIGINAL]),"CONCLUÍDA")</f>
        <v>CONCLUÍDA</v>
      </c>
      <c r="H37" s="4" t="s">
        <v>526</v>
      </c>
      <c r="L37" s="29"/>
      <c r="M37" s="31"/>
      <c r="N37" t="str">
        <f>IFERROR(_xlfn.XLOOKUP(Table2[[#This Row],[Ativo]],Pendentes[COD_RELIGADOR],Pendentes[DESCRICAO]),"")</f>
        <v/>
      </c>
      <c r="O37" s="5"/>
      <c r="P37" s="5"/>
      <c r="Q37" s="5"/>
      <c r="R37" s="5"/>
      <c r="S37" s="5"/>
      <c r="T37" s="5"/>
      <c r="U37" s="5"/>
      <c r="V37" s="5"/>
      <c r="W37" s="5">
        <f>SUM(Table2[[#This Row],[Premissa 1]:[Premissa 8]])</f>
        <v>0</v>
      </c>
      <c r="X37" s="5"/>
    </row>
    <row r="38" spans="1:25" ht="15" customHeight="1" x14ac:dyDescent="0.25">
      <c r="A38" s="4">
        <v>7900451096</v>
      </c>
      <c r="B38" s="4" t="e">
        <f>_xlfn.XLOOKUP(Table2[[#This Row],[Ativo]],Joao!B:B,Joao!Z:Z)</f>
        <v>#N/A</v>
      </c>
      <c r="C38" s="5" t="str">
        <f>MID(Table2[[#This Row],[Ativo]],1,2)</f>
        <v>79</v>
      </c>
      <c r="G38" s="4" t="str">
        <f>IFERROR(_xlfn.XLOOKUP(Table2[[#This Row],[Ativo]],Pendentes[COD_RELIGADOR],Pendentes[SS_ORIGINAL]),"CONCLUÍDA")</f>
        <v>CONCLUÍDA</v>
      </c>
      <c r="H38" s="4" t="s">
        <v>526</v>
      </c>
      <c r="L38" s="29"/>
      <c r="M38" s="31"/>
      <c r="N38" t="str">
        <f>IFERROR(_xlfn.XLOOKUP(Table2[[#This Row],[Ativo]],Pendentes[COD_RELIGADOR],Pendentes[DESCRICAO]),"")</f>
        <v/>
      </c>
      <c r="O38" s="5"/>
      <c r="P38" s="5"/>
      <c r="Q38" s="5"/>
      <c r="R38" s="5"/>
      <c r="S38" s="5"/>
      <c r="T38" s="5"/>
      <c r="U38" s="5"/>
      <c r="V38" s="5"/>
      <c r="W38" s="5">
        <f>SUM(Table2[[#This Row],[Premissa 1]:[Premissa 8]])</f>
        <v>0</v>
      </c>
      <c r="X38" s="5"/>
    </row>
    <row r="39" spans="1:25" ht="15" customHeight="1" x14ac:dyDescent="0.25">
      <c r="A39" s="12">
        <v>7900453110</v>
      </c>
      <c r="B39" s="12" t="str">
        <f>_xlfn.XLOOKUP(Table2[[#This Row],[Ativo]],Joao!B:B,Joao!Z:Z)</f>
        <v>Equipamento entregue, redirecionaremos para o Caso 7933726256</v>
      </c>
      <c r="C39" s="5" t="str">
        <f>MID(Table2[[#This Row],[Ativo]],1,2)</f>
        <v>79</v>
      </c>
      <c r="D39" s="5" t="s">
        <v>185</v>
      </c>
      <c r="E39" s="5" t="s">
        <v>50</v>
      </c>
      <c r="F39" s="5" t="s">
        <v>51</v>
      </c>
      <c r="G39" s="4" t="str">
        <f>IFERROR(_xlfn.XLOOKUP(Table2[[#This Row],[Ativo]],Pendentes[COD_RELIGADOR],Pendentes[SS_ORIGINAL]),"CONCLUÍDA")</f>
        <v>ETO-COEP 00087/2026</v>
      </c>
      <c r="H39" s="4" t="s">
        <v>472</v>
      </c>
      <c r="I39" s="4" t="s">
        <v>737</v>
      </c>
      <c r="K39" s="4" t="s">
        <v>474</v>
      </c>
      <c r="L39" s="29" t="s">
        <v>508</v>
      </c>
      <c r="M39" s="31">
        <v>1</v>
      </c>
      <c r="N39" t="str">
        <f>IFERROR(_xlfn.XLOOKUP(Table2[[#This Row],[Ativo]],Pendentes[COD_RELIGADOR],Pendentes[DESCRICAO]),"")</f>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v>
      </c>
      <c r="O39" s="5">
        <v>15</v>
      </c>
      <c r="P39" s="5">
        <v>10</v>
      </c>
      <c r="Q39" s="5">
        <v>5</v>
      </c>
      <c r="R39" s="5">
        <v>15</v>
      </c>
      <c r="S39" s="5">
        <v>15</v>
      </c>
      <c r="T39" s="5">
        <v>10</v>
      </c>
      <c r="U39" s="5">
        <v>0</v>
      </c>
      <c r="V39" s="5">
        <v>15</v>
      </c>
      <c r="W39" s="5">
        <f>SUM(Table2[[#This Row],[Premissa 1]:[Premissa 8]])</f>
        <v>85</v>
      </c>
      <c r="X39" s="5" t="s">
        <v>9</v>
      </c>
      <c r="Y39" t="s">
        <v>188</v>
      </c>
    </row>
    <row r="40" spans="1:25" ht="15" customHeight="1" x14ac:dyDescent="0.25">
      <c r="A40" s="4">
        <v>7900505026</v>
      </c>
      <c r="B40" s="4" t="e">
        <f>_xlfn.XLOOKUP(Table2[[#This Row],[Ativo]],Joao!B:B,Joao!Z:Z)</f>
        <v>#N/A</v>
      </c>
      <c r="C40" s="5" t="str">
        <f>MID(Table2[[#This Row],[Ativo]],1,2)</f>
        <v>79</v>
      </c>
      <c r="D40" s="5" t="s">
        <v>135</v>
      </c>
      <c r="E40" s="5" t="s">
        <v>135</v>
      </c>
      <c r="F40" s="5" t="s">
        <v>51</v>
      </c>
      <c r="G40" s="4" t="str">
        <f>IFERROR(_xlfn.XLOOKUP(Table2[[#This Row],[Ativo]],Pendentes[COD_RELIGADOR],Pendentes[SS_ORIGINAL]),"CONCLUÍDA")</f>
        <v>CONCLUÍDA</v>
      </c>
      <c r="H40" s="4" t="s">
        <v>721</v>
      </c>
      <c r="K40" s="4" t="s">
        <v>453</v>
      </c>
      <c r="L40" s="29"/>
      <c r="M40" s="31"/>
      <c r="N40" t="str">
        <f>IFERROR(_xlfn.XLOOKUP(Table2[[#This Row],[Ativo]],Pendentes[COD_RELIGADOR],Pendentes[DESCRICAO]),"")</f>
        <v/>
      </c>
      <c r="O40" s="5">
        <v>5</v>
      </c>
      <c r="P40" s="5">
        <v>5</v>
      </c>
      <c r="Q40" s="5">
        <v>5</v>
      </c>
      <c r="R40" s="5">
        <v>0</v>
      </c>
      <c r="S40" s="5">
        <v>0</v>
      </c>
      <c r="T40" s="5">
        <v>0</v>
      </c>
      <c r="U40" s="5">
        <v>10</v>
      </c>
      <c r="V40" s="5">
        <v>0</v>
      </c>
      <c r="W40" s="5">
        <f>SUM(Table2[[#This Row],[Premissa 1]:[Premissa 8]])</f>
        <v>25</v>
      </c>
      <c r="X40" s="5" t="s">
        <v>15</v>
      </c>
      <c r="Y40" t="s">
        <v>586</v>
      </c>
    </row>
    <row r="41" spans="1:25" ht="15" customHeight="1" x14ac:dyDescent="0.25">
      <c r="A41" s="4">
        <v>7900525015</v>
      </c>
      <c r="B41" s="4" t="e">
        <f>_xlfn.XLOOKUP(Table2[[#This Row],[Ativo]],Joao!B:B,Joao!Z:Z)</f>
        <v>#N/A</v>
      </c>
      <c r="C41" s="5" t="str">
        <f>MID(Table2[[#This Row],[Ativo]],1,2)</f>
        <v>79</v>
      </c>
      <c r="D41" s="5" t="s">
        <v>288</v>
      </c>
      <c r="E41" s="5" t="s">
        <v>106</v>
      </c>
      <c r="F41" s="5" t="s">
        <v>59</v>
      </c>
      <c r="G41" s="4" t="str">
        <f>IFERROR(_xlfn.XLOOKUP(Table2[[#This Row],[Ativo]],Pendentes[COD_RELIGADOR],Pendentes[SS_ORIGINAL]),"CONCLUÍDA")</f>
        <v>ETO-COEP 00125/2026</v>
      </c>
      <c r="H41" s="4" t="s">
        <v>472</v>
      </c>
      <c r="K41" s="4" t="s">
        <v>474</v>
      </c>
      <c r="L41" s="29" t="s">
        <v>508</v>
      </c>
      <c r="M41" s="31">
        <v>1</v>
      </c>
      <c r="N41" t="str">
        <f>IFERROR(_xlfn.XLOOKUP(Table2[[#This Row],[Ativo]],Pendentes[COD_RELIGADOR],Pendentes[DESCRICAO]),"")</f>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v>
      </c>
      <c r="O41" s="5">
        <v>5</v>
      </c>
      <c r="P41" s="5">
        <v>5</v>
      </c>
      <c r="Q41" s="5">
        <v>0</v>
      </c>
      <c r="R41" s="5">
        <v>0</v>
      </c>
      <c r="S41" s="5">
        <v>15</v>
      </c>
      <c r="T41" s="5">
        <v>10</v>
      </c>
      <c r="U41" s="5">
        <v>0</v>
      </c>
      <c r="V41" s="5">
        <v>0</v>
      </c>
      <c r="W41" s="5">
        <f>SUM(Table2[[#This Row],[Premissa 1]:[Premissa 8]])</f>
        <v>35</v>
      </c>
      <c r="X41" s="5" t="s">
        <v>14</v>
      </c>
      <c r="Y41" t="s">
        <v>299</v>
      </c>
    </row>
    <row r="42" spans="1:25" ht="15" customHeight="1" x14ac:dyDescent="0.25">
      <c r="A42" s="12">
        <v>7900532053</v>
      </c>
      <c r="B42" s="12" t="e">
        <f>_xlfn.XLOOKUP(Table2[[#This Row],[Ativo]],Joao!B:B,Joao!Z:Z)</f>
        <v>#N/A</v>
      </c>
      <c r="C42" s="43" t="str">
        <f>MID(Table2[[#This Row],[Ativo]],1,2)</f>
        <v>79</v>
      </c>
      <c r="D42" s="43" t="s">
        <v>612</v>
      </c>
      <c r="E42" s="43" t="s">
        <v>259</v>
      </c>
      <c r="F42" s="43" t="s">
        <v>59</v>
      </c>
      <c r="G42" s="12" t="str">
        <f>IFERROR(_xlfn.XLOOKUP(Table2[[#This Row],[Ativo]],Pendentes[COD_RELIGADOR],Pendentes[SS_ORIGINAL]),"CONCLUÍDA")</f>
        <v>CONCLUÍDA</v>
      </c>
      <c r="H42" s="12" t="s">
        <v>613</v>
      </c>
      <c r="I42" s="12"/>
      <c r="J42" s="12"/>
      <c r="K42" s="12"/>
      <c r="L42" s="44" t="s">
        <v>614</v>
      </c>
      <c r="M42" s="45"/>
      <c r="N42" s="46" t="str">
        <f>IFERROR(_xlfn.XLOOKUP(Table2[[#This Row],[Ativo]],Pendentes[COD_RELIGADOR],Pendentes[DESCRICAO]),"")</f>
        <v/>
      </c>
      <c r="O42" s="43">
        <v>0</v>
      </c>
      <c r="P42" s="43">
        <v>0</v>
      </c>
      <c r="Q42" s="43">
        <v>0</v>
      </c>
      <c r="R42" s="43">
        <v>0</v>
      </c>
      <c r="S42" s="43">
        <v>0</v>
      </c>
      <c r="T42" s="43">
        <v>0</v>
      </c>
      <c r="U42" s="43">
        <v>0</v>
      </c>
      <c r="V42" s="43">
        <v>0</v>
      </c>
      <c r="W42" s="43">
        <f>SUM(Table2[[#This Row],[Premissa 1]:[Premissa 8]])</f>
        <v>0</v>
      </c>
      <c r="X42" s="43" t="s">
        <v>15</v>
      </c>
      <c r="Y42" s="46" t="s">
        <v>615</v>
      </c>
    </row>
    <row r="43" spans="1:25" ht="15" customHeight="1" x14ac:dyDescent="0.25">
      <c r="A43" s="4">
        <v>7900535058</v>
      </c>
      <c r="B43" s="4" t="e">
        <f>_xlfn.XLOOKUP(Table2[[#This Row],[Ativo]],Joao!B:B,Joao!Z:Z)</f>
        <v>#N/A</v>
      </c>
      <c r="C43" s="5" t="str">
        <f>MID(Table2[[#This Row],[Ativo]],1,2)</f>
        <v>79</v>
      </c>
      <c r="D43" s="5" t="s">
        <v>283</v>
      </c>
      <c r="E43" s="5" t="s">
        <v>69</v>
      </c>
      <c r="F43" s="5" t="s">
        <v>59</v>
      </c>
      <c r="G43" s="4" t="str">
        <f>IFERROR(_xlfn.XLOOKUP(Table2[[#This Row],[Ativo]],Pendentes[COD_RELIGADOR],Pendentes[SS_ORIGINAL]),"CONCLUÍDA")</f>
        <v>ETO-COEP 00173/2025</v>
      </c>
      <c r="H43" s="11" t="s">
        <v>472</v>
      </c>
      <c r="I43" s="9"/>
      <c r="J43" s="9"/>
      <c r="K43" s="4" t="s">
        <v>474</v>
      </c>
      <c r="L43" s="29" t="s">
        <v>484</v>
      </c>
      <c r="M43" s="31">
        <v>1</v>
      </c>
      <c r="N43" t="str">
        <f>IFERROR(_xlfn.XLOOKUP(Table2[[#This Row],[Ativo]],Pendentes[COD_RELIGADOR],Pendentes[DESCRICAO]),"")</f>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v>
      </c>
      <c r="O43" s="5">
        <v>5</v>
      </c>
      <c r="P43" s="5">
        <v>10</v>
      </c>
      <c r="Q43" s="5">
        <v>5</v>
      </c>
      <c r="R43" s="5">
        <v>0</v>
      </c>
      <c r="S43" s="5">
        <v>15</v>
      </c>
      <c r="T43" s="5">
        <v>10</v>
      </c>
      <c r="U43" s="5">
        <v>0</v>
      </c>
      <c r="V43" s="5">
        <v>0</v>
      </c>
      <c r="W43" s="5">
        <f>SUM(Table2[[#This Row],[Premissa 1]:[Premissa 8]])</f>
        <v>45</v>
      </c>
      <c r="X43" s="5" t="s">
        <v>14</v>
      </c>
      <c r="Y43" t="s">
        <v>286</v>
      </c>
    </row>
    <row r="44" spans="1:25" ht="15" customHeight="1" x14ac:dyDescent="0.25">
      <c r="A44" s="4">
        <v>7900543083</v>
      </c>
      <c r="B44" s="4" t="e">
        <f>_xlfn.XLOOKUP(Table2[[#This Row],[Ativo]],Joao!B:B,Joao!Z:Z)</f>
        <v>#N/A</v>
      </c>
      <c r="C44" s="5" t="str">
        <f>MID(Table2[[#This Row],[Ativo]],1,2)</f>
        <v>79</v>
      </c>
      <c r="D44" s="5" t="s">
        <v>519</v>
      </c>
      <c r="E44" s="5" t="s">
        <v>74</v>
      </c>
      <c r="F44" s="5" t="s">
        <v>51</v>
      </c>
      <c r="G44" s="50"/>
      <c r="H44" s="4" t="s">
        <v>721</v>
      </c>
      <c r="K44" s="4" t="s">
        <v>453</v>
      </c>
      <c r="L44" s="29"/>
      <c r="M44" s="31"/>
      <c r="N44" t="str">
        <f>IFERROR(_xlfn.XLOOKUP(Table2[[#This Row],[Ativo]],Pendentes[COD_RELIGADOR],Pendentes[DESCRICAO]),"")</f>
        <v/>
      </c>
      <c r="O44" s="5">
        <v>15</v>
      </c>
      <c r="P44" s="5">
        <v>20</v>
      </c>
      <c r="Q44" s="5">
        <v>5</v>
      </c>
      <c r="R44" s="5">
        <v>15</v>
      </c>
      <c r="S44" s="5">
        <v>0</v>
      </c>
      <c r="T44" s="5">
        <v>0</v>
      </c>
      <c r="U44" s="5">
        <v>10</v>
      </c>
      <c r="V44" s="5">
        <v>15</v>
      </c>
      <c r="W44" s="5">
        <f>SUM(Table2[[#This Row],[Premissa 1]:[Premissa 8]])</f>
        <v>80</v>
      </c>
      <c r="X44" s="5" t="s">
        <v>9</v>
      </c>
      <c r="Y44" t="s">
        <v>520</v>
      </c>
    </row>
    <row r="45" spans="1:25" ht="15" customHeight="1" x14ac:dyDescent="0.25">
      <c r="A45" s="4">
        <v>7900573047</v>
      </c>
      <c r="B45" s="4" t="str">
        <f>_xlfn.XLOOKUP(Table2[[#This Row],[Ativo]],Joao!B:B,Joao!Z:Z)</f>
        <v>ATRASO COCM´S</v>
      </c>
      <c r="C45" s="5" t="str">
        <f>MID(Table2[[#This Row],[Ativo]],1,2)</f>
        <v>79</v>
      </c>
      <c r="D45" s="5" t="s">
        <v>111</v>
      </c>
      <c r="E45" s="5" t="s">
        <v>470</v>
      </c>
      <c r="F45" s="5" t="s">
        <v>42</v>
      </c>
      <c r="G45" s="4" t="str">
        <f>IFERROR(_xlfn.XLOOKUP(Table2[[#This Row],[Ativo]],Pendentes[COD_RELIGADOR],Pendentes[SS_ORIGINAL]),"CONCLUÍDA")</f>
        <v>ETO-PROT 00153/2026</v>
      </c>
      <c r="H45" s="4" t="s">
        <v>457</v>
      </c>
      <c r="I45" s="38"/>
      <c r="J45" s="38"/>
      <c r="K45" s="4" t="s">
        <v>459</v>
      </c>
      <c r="L45" s="29" t="s">
        <v>475</v>
      </c>
      <c r="M45" s="31">
        <v>1</v>
      </c>
      <c r="N45" t="str">
        <f>IFERROR(_xlfn.XLOOKUP(Table2[[#This Row],[Ativo]],Pendentes[COD_RELIGADOR],Pendentes[DESCRICAO]),"")</f>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v>
      </c>
      <c r="O45" s="5">
        <v>5</v>
      </c>
      <c r="P45" s="5">
        <v>5</v>
      </c>
      <c r="Q45" s="5">
        <v>15</v>
      </c>
      <c r="R45" s="5">
        <v>0</v>
      </c>
      <c r="S45" s="5">
        <v>15</v>
      </c>
      <c r="T45" s="5">
        <v>10</v>
      </c>
      <c r="U45" s="5">
        <v>0</v>
      </c>
      <c r="V45" s="5">
        <v>15</v>
      </c>
      <c r="W45" s="5">
        <f>SUM(Table2[[#This Row],[Premissa 1]:[Premissa 8]])</f>
        <v>65</v>
      </c>
      <c r="X45" s="5" t="s">
        <v>13</v>
      </c>
      <c r="Y45" t="s">
        <v>123</v>
      </c>
    </row>
    <row r="46" spans="1:25" ht="15" customHeight="1" x14ac:dyDescent="0.25">
      <c r="A46" s="4">
        <v>7900594026</v>
      </c>
      <c r="B46" s="4" t="str">
        <f>_xlfn.XLOOKUP(Table2[[#This Row],[Ativo]],Joao!B:B,Joao!Z:Z)</f>
        <v>Deslocamento  da ASPO Alinhado com o Allan de Guaraí para Pedro Afonso</v>
      </c>
      <c r="C46" s="5" t="str">
        <f>MID(Table2[[#This Row],[Ativo]],1,2)</f>
        <v>79</v>
      </c>
      <c r="D46" s="5" t="s">
        <v>135</v>
      </c>
      <c r="E46" s="5" t="s">
        <v>135</v>
      </c>
      <c r="F46" s="5" t="s">
        <v>51</v>
      </c>
      <c r="G46" s="4" t="str">
        <f>IFERROR(_xlfn.XLOOKUP(Table2[[#This Row],[Ativo]],Pendentes[COD_RELIGADOR],Pendentes[SS_ORIGINAL]),"CONCLUÍDA")</f>
        <v>ETO-SE-PA 00107/2026</v>
      </c>
      <c r="H46" s="4" t="s">
        <v>464</v>
      </c>
      <c r="K46" s="4" t="s">
        <v>459</v>
      </c>
      <c r="L46" s="29" t="s">
        <v>475</v>
      </c>
      <c r="M46" s="31">
        <v>1</v>
      </c>
      <c r="N46" t="str">
        <f>IFERROR(_xlfn.XLOOKUP(Table2[[#This Row],[Ativo]],Pendentes[COD_RELIGADOR],Pendentes[DESCRICAO]),"")</f>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v>
      </c>
      <c r="O46" s="5">
        <v>15</v>
      </c>
      <c r="P46" s="5">
        <v>20</v>
      </c>
      <c r="Q46" s="5">
        <v>15</v>
      </c>
      <c r="R46" s="5">
        <v>15</v>
      </c>
      <c r="S46" s="5">
        <v>15</v>
      </c>
      <c r="T46" s="5">
        <v>0</v>
      </c>
      <c r="U46" s="5">
        <v>0</v>
      </c>
      <c r="V46" s="5">
        <v>15</v>
      </c>
      <c r="W46" s="5">
        <f>SUM(Table2[[#This Row],[Premissa 1]:[Premissa 8]])</f>
        <v>95</v>
      </c>
      <c r="X46" s="5" t="s">
        <v>9</v>
      </c>
      <c r="Y46" t="s">
        <v>145</v>
      </c>
    </row>
    <row r="47" spans="1:25" ht="15" customHeight="1" x14ac:dyDescent="0.25">
      <c r="A47" s="4">
        <v>7900648055</v>
      </c>
      <c r="B47" s="4" t="e">
        <f>_xlfn.XLOOKUP(Table2[[#This Row],[Ativo]],Joao!B:B,Joao!Z:Z)</f>
        <v>#N/A</v>
      </c>
      <c r="C47" s="5" t="str">
        <f>MID(Table2[[#This Row],[Ativo]],1,2)</f>
        <v>79</v>
      </c>
      <c r="D47" s="5" t="s">
        <v>482</v>
      </c>
      <c r="E47" s="5" t="s">
        <v>152</v>
      </c>
      <c r="F47" s="5" t="s">
        <v>51</v>
      </c>
      <c r="G47" s="4" t="str">
        <f>IFERROR(_xlfn.XLOOKUP(Table2[[#This Row],[Ativo]],Pendentes[COD_RELIGADOR],Pendentes[SS_ORIGINAL]),"CONCLUÍDA")</f>
        <v>CONCLUÍDA</v>
      </c>
      <c r="H47" s="4" t="s">
        <v>721</v>
      </c>
      <c r="K47" s="4" t="s">
        <v>453</v>
      </c>
      <c r="L47" s="29"/>
      <c r="M47" s="31"/>
      <c r="N47" t="str">
        <f>IFERROR(_xlfn.XLOOKUP(Table2[[#This Row],[Ativo]],Pendentes[COD_RELIGADOR],Pendentes[DESCRICAO]),"")</f>
        <v/>
      </c>
      <c r="O47" s="5">
        <v>15</v>
      </c>
      <c r="P47" s="5">
        <v>20</v>
      </c>
      <c r="Q47" s="5">
        <v>15</v>
      </c>
      <c r="R47" s="5">
        <v>15</v>
      </c>
      <c r="S47" s="5">
        <v>15</v>
      </c>
      <c r="T47" s="5">
        <v>10</v>
      </c>
      <c r="U47" s="5">
        <v>0</v>
      </c>
      <c r="V47" s="5">
        <v>15</v>
      </c>
      <c r="W47" s="5">
        <f>SUM(Table2[[#This Row],[Premissa 1]:[Premissa 8]])</f>
        <v>105</v>
      </c>
      <c r="X47" s="5" t="s">
        <v>9</v>
      </c>
      <c r="Y47" t="s">
        <v>483</v>
      </c>
    </row>
    <row r="48" spans="1:25" ht="15" customHeight="1" x14ac:dyDescent="0.25">
      <c r="A48" s="4">
        <v>7900722193</v>
      </c>
      <c r="B48" s="4" t="e">
        <f>_xlfn.XLOOKUP(Table2[[#This Row],[Ativo]],Joao!B:B,Joao!Z:Z)</f>
        <v>#N/A</v>
      </c>
      <c r="C48" s="5" t="str">
        <f>MID(Table2[[#This Row],[Ativo]],1,2)</f>
        <v>79</v>
      </c>
      <c r="G48" s="4" t="str">
        <f>IFERROR(_xlfn.XLOOKUP(Table2[[#This Row],[Ativo]],Pendentes[COD_RELIGADOR],Pendentes[SS_ORIGINAL]),"CONCLUÍDA")</f>
        <v>ETO-TELE 01029/2026</v>
      </c>
      <c r="H48" s="4" t="s">
        <v>526</v>
      </c>
      <c r="L48" s="29"/>
      <c r="M48" s="31"/>
      <c r="N48" t="str">
        <f>IFERROR(_xlfn.XLOOKUP(Table2[[#This Row],[Ativo]],Pendentes[COD_RELIGADOR],Pendentes[DESCRICAO]),"")</f>
        <v>Religador sem comunicação, apos primeiro ataque não retornou a comunicação.</v>
      </c>
      <c r="O48" s="5"/>
      <c r="P48" s="5"/>
      <c r="Q48" s="5"/>
      <c r="R48" s="5"/>
      <c r="S48" s="5"/>
      <c r="T48" s="5"/>
      <c r="U48" s="5"/>
      <c r="V48" s="5"/>
      <c r="W48" s="5">
        <f>SUM(Table2[[#This Row],[Premissa 1]:[Premissa 8]])</f>
        <v>0</v>
      </c>
      <c r="X48" s="5"/>
    </row>
    <row r="49" spans="1:25" ht="15" customHeight="1" x14ac:dyDescent="0.25">
      <c r="A49" s="4">
        <v>7900930040</v>
      </c>
      <c r="B49" s="4" t="e">
        <f>_xlfn.XLOOKUP(Table2[[#This Row],[Ativo]],Joao!B:B,Joao!Z:Z)</f>
        <v>#N/A</v>
      </c>
      <c r="C49" s="5" t="str">
        <f>MID(Table2[[#This Row],[Ativo]],1,2)</f>
        <v>79</v>
      </c>
      <c r="D49" s="5" t="s">
        <v>521</v>
      </c>
      <c r="E49" s="5" t="s">
        <v>69</v>
      </c>
      <c r="F49" s="5" t="s">
        <v>59</v>
      </c>
      <c r="G49" s="4" t="str">
        <f>IFERROR(_xlfn.XLOOKUP(Table2[[#This Row],[Ativo]],Pendentes[COD_RELIGADOR],Pendentes[SS_ORIGINAL]),"CONCLUÍDA")</f>
        <v>CONCLUÍDA</v>
      </c>
      <c r="H49" s="4" t="s">
        <v>721</v>
      </c>
      <c r="K49" s="4" t="s">
        <v>453</v>
      </c>
      <c r="L49" s="29"/>
      <c r="M49" s="31"/>
      <c r="N49" t="str">
        <f>IFERROR(_xlfn.XLOOKUP(Table2[[#This Row],[Ativo]],Pendentes[COD_RELIGADOR],Pendentes[DESCRICAO]),"")</f>
        <v/>
      </c>
      <c r="O49" s="5">
        <v>15</v>
      </c>
      <c r="P49" s="5">
        <v>20</v>
      </c>
      <c r="Q49" s="5">
        <v>5</v>
      </c>
      <c r="R49" s="5">
        <v>15</v>
      </c>
      <c r="S49" s="5">
        <v>0</v>
      </c>
      <c r="T49" s="5">
        <v>0</v>
      </c>
      <c r="U49" s="5">
        <v>10</v>
      </c>
      <c r="V49" s="5">
        <v>15</v>
      </c>
      <c r="W49" s="5">
        <f>SUM(Table2[[#This Row],[Premissa 1]:[Premissa 8]])</f>
        <v>80</v>
      </c>
      <c r="X49" s="5" t="s">
        <v>9</v>
      </c>
      <c r="Y49" t="s">
        <v>522</v>
      </c>
    </row>
    <row r="50" spans="1:25" ht="15" customHeight="1" x14ac:dyDescent="0.25">
      <c r="A50" s="4">
        <v>7901110084</v>
      </c>
      <c r="B50" s="4" t="e">
        <f>_xlfn.XLOOKUP(Table2[[#This Row],[Ativo]],Joao!B:B,Joao!Z:Z)</f>
        <v>#N/A</v>
      </c>
      <c r="C50" s="5" t="str">
        <f>MID(Table2[[#This Row],[Ativo]],1,2)</f>
        <v>79</v>
      </c>
      <c r="D50" s="5" t="s">
        <v>152</v>
      </c>
      <c r="E50" s="5" t="s">
        <v>152</v>
      </c>
      <c r="F50" s="5" t="s">
        <v>51</v>
      </c>
      <c r="G50" s="4" t="str">
        <f>IFERROR(_xlfn.XLOOKUP(Table2[[#This Row],[Ativo]],Pendentes[COD_RELIGADOR],Pendentes[SS_ORIGINAL]),"CONCLUÍDA")</f>
        <v>ETO-COEP 00061/2026</v>
      </c>
      <c r="H50" s="4" t="s">
        <v>472</v>
      </c>
      <c r="K50" s="4" t="s">
        <v>474</v>
      </c>
      <c r="L50" s="29" t="s">
        <v>508</v>
      </c>
      <c r="M50" s="31">
        <v>1</v>
      </c>
      <c r="N50" t="str">
        <f>IFERROR(_xlfn.XLOOKUP(Table2[[#This Row],[Ativo]],Pendentes[COD_RELIGADOR],Pendentes[DESCRICAO]),"")</f>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v>
      </c>
      <c r="O50" s="5">
        <v>5</v>
      </c>
      <c r="P50" s="5">
        <v>5</v>
      </c>
      <c r="Q50" s="5">
        <v>0</v>
      </c>
      <c r="R50" s="5">
        <v>0</v>
      </c>
      <c r="S50" s="5">
        <v>0</v>
      </c>
      <c r="T50" s="5">
        <v>0</v>
      </c>
      <c r="U50" s="5">
        <v>10</v>
      </c>
      <c r="V50" s="5">
        <v>0</v>
      </c>
      <c r="W50" s="5">
        <f>SUM(Table2[[#This Row],[Premissa 1]:[Premissa 8]])</f>
        <v>20</v>
      </c>
      <c r="X50" s="5" t="s">
        <v>15</v>
      </c>
      <c r="Y50" t="s">
        <v>155</v>
      </c>
    </row>
    <row r="51" spans="1:25" ht="15" customHeight="1" x14ac:dyDescent="0.25">
      <c r="A51" s="39">
        <v>7902098003</v>
      </c>
      <c r="B51" s="39" t="e">
        <f>_xlfn.XLOOKUP(Table2[[#This Row],[Ativo]],Joao!B:B,Joao!Z:Z)</f>
        <v>#N/A</v>
      </c>
      <c r="C51" s="5" t="str">
        <f>MID(Table2[[#This Row],[Ativo]],1,2)</f>
        <v>79</v>
      </c>
      <c r="D51" s="5" t="s">
        <v>210</v>
      </c>
      <c r="E51" s="5" t="s">
        <v>210</v>
      </c>
      <c r="F51" s="5" t="s">
        <v>42</v>
      </c>
      <c r="G51" s="4" t="str">
        <f>IFERROR(_xlfn.XLOOKUP(Table2[[#This Row],[Ativo]],Pendentes[COD_RELIGADOR],Pendentes[SS_ORIGINAL]),"CONCLUÍDA")</f>
        <v>CONCLUÍDA</v>
      </c>
      <c r="H51" s="4" t="s">
        <v>526</v>
      </c>
      <c r="L51" s="29"/>
      <c r="M51" s="31"/>
      <c r="N51" t="str">
        <f>IFERROR(_xlfn.XLOOKUP(Table2[[#This Row],[Ativo]],Pendentes[COD_RELIGADOR],Pendentes[DESCRICAO]),"")</f>
        <v/>
      </c>
      <c r="O51" s="5" t="s">
        <v>730</v>
      </c>
      <c r="P51" s="5"/>
      <c r="Q51" s="5"/>
      <c r="R51" s="5"/>
      <c r="S51" s="5"/>
      <c r="T51" s="5"/>
      <c r="U51" s="5"/>
      <c r="V51" s="5"/>
      <c r="W51" s="5">
        <f>SUM(Table2[[#This Row],[Premissa 1]:[Premissa 8]])</f>
        <v>0</v>
      </c>
      <c r="X51" s="5"/>
    </row>
    <row r="52" spans="1:25" ht="15" customHeight="1" x14ac:dyDescent="0.25">
      <c r="A52" s="4">
        <v>7903112004</v>
      </c>
      <c r="B52" s="4" t="str">
        <f>_xlfn.XLOOKUP(Table2[[#This Row],[Ativo]],Joao!B:B,Joao!Z:Z)</f>
        <v>CONTROLE NOJA ENVIADO</v>
      </c>
      <c r="C52" s="5" t="str">
        <f>MID(Table2[[#This Row],[Ativo]],1,2)</f>
        <v>79</v>
      </c>
      <c r="D52" s="5" t="s">
        <v>69</v>
      </c>
      <c r="E52" s="5" t="s">
        <v>69</v>
      </c>
      <c r="F52" s="5" t="s">
        <v>59</v>
      </c>
      <c r="G52" s="4" t="str">
        <f>IFERROR(_xlfn.XLOOKUP(Table2[[#This Row],[Ativo]],Pendentes[COD_RELIGADOR],Pendentes[SS_ORIGINAL]),"CONCLUÍDA")</f>
        <v>ETO-COEP 00184/2025</v>
      </c>
      <c r="H52" s="4" t="s">
        <v>554</v>
      </c>
      <c r="I52" s="4" t="s">
        <v>507</v>
      </c>
      <c r="K52" s="4" t="s">
        <v>459</v>
      </c>
      <c r="L52" s="29" t="s">
        <v>508</v>
      </c>
      <c r="M52" s="31">
        <v>1</v>
      </c>
      <c r="N52" t="str">
        <f>IFERROR(_xlfn.XLOOKUP(Table2[[#This Row],[Ativo]],Pendentes[COD_RELIGADOR],Pendentes[DESCRICAO]),"")</f>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v>
      </c>
      <c r="O52" s="5">
        <v>15</v>
      </c>
      <c r="P52" s="5">
        <v>10</v>
      </c>
      <c r="Q52" s="5">
        <v>5</v>
      </c>
      <c r="R52" s="5">
        <v>15</v>
      </c>
      <c r="S52" s="5">
        <v>0</v>
      </c>
      <c r="T52" s="5">
        <v>10</v>
      </c>
      <c r="U52" s="5">
        <v>0</v>
      </c>
      <c r="V52" s="5">
        <v>0</v>
      </c>
      <c r="W52" s="5">
        <f>SUM(Table2[[#This Row],[Premissa 1]:[Premissa 8]])</f>
        <v>55</v>
      </c>
      <c r="X52" s="5" t="s">
        <v>13</v>
      </c>
      <c r="Y52" t="s">
        <v>81</v>
      </c>
    </row>
    <row r="53" spans="1:25" ht="15" customHeight="1" x14ac:dyDescent="0.25">
      <c r="A53" s="12">
        <v>7903569004</v>
      </c>
      <c r="B53" s="12" t="e">
        <f>_xlfn.XLOOKUP(Table2[[#This Row],[Ativo]],Joao!B:B,Joao!Z:Z)</f>
        <v>#N/A</v>
      </c>
      <c r="C53" s="5" t="str">
        <f>MID(Table2[[#This Row],[Ativo]],1,2)</f>
        <v>79</v>
      </c>
      <c r="D53" s="5" t="s">
        <v>69</v>
      </c>
      <c r="E53" s="5" t="s">
        <v>69</v>
      </c>
      <c r="F53" s="5" t="s">
        <v>59</v>
      </c>
      <c r="G53" s="4" t="str">
        <f>IFERROR(_xlfn.XLOOKUP(Table2[[#This Row],[Ativo]],Pendentes[COD_RELIGADOR],Pendentes[SS_ORIGINAL]),"CONCLUÍDA")</f>
        <v>ETO-COEP 00152/2026</v>
      </c>
      <c r="H53" s="4" t="s">
        <v>721</v>
      </c>
      <c r="L53" s="29"/>
      <c r="M53" s="31"/>
      <c r="N53" t="str">
        <f>IFERROR(_xlfn.XLOOKUP(Table2[[#This Row],[Ativo]],Pendentes[COD_RELIGADOR],Pendentes[DESCRICAO]),"")</f>
        <v>PARECER COEP 28/07/2026 : EQUIPAMENTO SELECIONADO PARA COMPRAEquipamento baypassado PARECER DMSL em 12/03: Realizar substituição do equipamento todo e parte ativa.</v>
      </c>
      <c r="O53" s="5">
        <v>15</v>
      </c>
      <c r="P53" s="5">
        <v>20</v>
      </c>
      <c r="Q53" s="5">
        <v>5</v>
      </c>
      <c r="R53" s="5">
        <v>15</v>
      </c>
      <c r="S53" s="5">
        <v>15</v>
      </c>
      <c r="T53" s="5">
        <v>10</v>
      </c>
      <c r="U53" s="5">
        <v>0</v>
      </c>
      <c r="V53" s="5">
        <v>15</v>
      </c>
      <c r="W53" s="5">
        <f>SUM(Table2[[#This Row],[Premissa 1]:[Premissa 8]])</f>
        <v>95</v>
      </c>
      <c r="X53" s="5" t="s">
        <v>9</v>
      </c>
      <c r="Y53" t="s">
        <v>85</v>
      </c>
    </row>
    <row r="54" spans="1:25" ht="15" customHeight="1" x14ac:dyDescent="0.25">
      <c r="A54" s="12">
        <v>7908196047</v>
      </c>
      <c r="B54" s="12" t="e">
        <f>_xlfn.XLOOKUP(Table2[[#This Row],[Ativo]],Joao!B:B,Joao!Z:Z)</f>
        <v>#N/A</v>
      </c>
      <c r="C54" s="5" t="str">
        <f>MID(Table2[[#This Row],[Ativo]],1,2)</f>
        <v>79</v>
      </c>
      <c r="D54" s="5" t="s">
        <v>111</v>
      </c>
      <c r="E54" s="5" t="s">
        <v>470</v>
      </c>
      <c r="F54" s="5" t="s">
        <v>42</v>
      </c>
      <c r="G54" s="4" t="str">
        <f>IFERROR(_xlfn.XLOOKUP(Table2[[#This Row],[Ativo]],Pendentes[COD_RELIGADOR],Pendentes[SS_ORIGINAL]),"CONCLUÍDA")</f>
        <v>ETO-COEP 00168/2026</v>
      </c>
      <c r="H54" s="4" t="s">
        <v>472</v>
      </c>
      <c r="K54" s="4" t="s">
        <v>474</v>
      </c>
      <c r="L54" s="29" t="s">
        <v>475</v>
      </c>
      <c r="M54" s="31">
        <v>1</v>
      </c>
      <c r="N54" t="str">
        <f>IFERROR(_xlfn.XLOOKUP(Table2[[#This Row],[Ativo]],Pendentes[COD_RELIGADOR],Pendentes[DESCRICAO]),"")</f>
        <v>03/08/2026 PARECER DMSL: FOI CONFIRMADO PELO VONES DO DCMD QUE O EQUIPAMENTO AINDA NÃO FOI SUBSTITUÍDO. FAVOR, APÓS SUBSTITUIÇÃO, REPASSAR A NOTA PARA A PROTEÇÃO PARA REVISAR OS AJUSTES, POIS TRATA-SE DE ALTERAÇÃO DO MODELO DO EQUIPAMENTO.13/07/2026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v>
      </c>
      <c r="O54" s="5">
        <v>5</v>
      </c>
      <c r="P54" s="5">
        <v>5</v>
      </c>
      <c r="Q54" s="5">
        <v>5</v>
      </c>
      <c r="R54" s="5">
        <v>0</v>
      </c>
      <c r="S54" s="5">
        <v>0</v>
      </c>
      <c r="T54" s="5">
        <v>0</v>
      </c>
      <c r="U54" s="5">
        <v>10</v>
      </c>
      <c r="V54" s="5">
        <v>0</v>
      </c>
      <c r="W54" s="5">
        <f>SUM(Table2[[#This Row],[Premissa 1]:[Premissa 8]])</f>
        <v>25</v>
      </c>
      <c r="X54" s="5" t="s">
        <v>15</v>
      </c>
      <c r="Y54" t="s">
        <v>115</v>
      </c>
    </row>
    <row r="55" spans="1:25" ht="15" customHeight="1" x14ac:dyDescent="0.25">
      <c r="A55" s="4">
        <v>7908206074</v>
      </c>
      <c r="B55" s="4" t="e">
        <f>_xlfn.XLOOKUP(Table2[[#This Row],[Ativo]],Joao!B:B,Joao!Z:Z)</f>
        <v>#N/A</v>
      </c>
      <c r="C55" s="5" t="str">
        <f>MID(Table2[[#This Row],[Ativo]],1,2)</f>
        <v>79</v>
      </c>
      <c r="D55" s="5" t="s">
        <v>41</v>
      </c>
      <c r="E55" s="5" t="s">
        <v>41</v>
      </c>
      <c r="F55" s="5" t="s">
        <v>42</v>
      </c>
      <c r="G55" s="4" t="str">
        <f>IFERROR(_xlfn.XLOOKUP(Table2[[#This Row],[Ativo]],Pendentes[COD_RELIGADOR],Pendentes[SS_ORIGINAL]),"CONCLUÍDA")</f>
        <v>CONCLUÍDA</v>
      </c>
      <c r="H55" s="4" t="s">
        <v>721</v>
      </c>
      <c r="K55" s="4" t="s">
        <v>453</v>
      </c>
      <c r="L55" s="29"/>
      <c r="M55" s="31"/>
      <c r="N55" t="str">
        <f>IFERROR(_xlfn.XLOOKUP(Table2[[#This Row],[Ativo]],Pendentes[COD_RELIGADOR],Pendentes[DESCRICAO]),"")</f>
        <v/>
      </c>
      <c r="O55" s="5">
        <v>5</v>
      </c>
      <c r="P55" s="5">
        <v>5</v>
      </c>
      <c r="Q55" s="5">
        <v>0</v>
      </c>
      <c r="R55" s="5">
        <v>0</v>
      </c>
      <c r="S55" s="5">
        <v>0</v>
      </c>
      <c r="T55" s="5">
        <v>0</v>
      </c>
      <c r="U55" s="5">
        <v>10</v>
      </c>
      <c r="V55" s="5">
        <v>0</v>
      </c>
      <c r="W55" s="5">
        <f>SUM(Table2[[#This Row],[Premissa 1]:[Premissa 8]])</f>
        <v>20</v>
      </c>
      <c r="X55" s="5" t="s">
        <v>15</v>
      </c>
      <c r="Y55" t="s">
        <v>593</v>
      </c>
    </row>
    <row r="56" spans="1:25" ht="15" customHeight="1" x14ac:dyDescent="0.25">
      <c r="A56" s="4">
        <v>7908249152</v>
      </c>
      <c r="B56" s="4" t="e">
        <f>_xlfn.XLOOKUP(Table2[[#This Row],[Ativo]],Joao!B:B,Joao!Z:Z)</f>
        <v>#N/A</v>
      </c>
      <c r="C56" s="5" t="str">
        <f>MID(Table2[[#This Row],[Ativo]],1,2)</f>
        <v>79</v>
      </c>
      <c r="D56" s="5" t="s">
        <v>306</v>
      </c>
      <c r="E56" s="5" t="s">
        <v>50</v>
      </c>
      <c r="F56" s="5" t="s">
        <v>51</v>
      </c>
      <c r="G56" s="4" t="str">
        <f>IFERROR(_xlfn.XLOOKUP(Table2[[#This Row],[Ativo]],Pendentes[COD_RELIGADOR],Pendentes[SS_ORIGINAL]),"CONCLUÍDA")</f>
        <v>ETO-COEP 00038/2026</v>
      </c>
      <c r="H56" s="4" t="s">
        <v>472</v>
      </c>
      <c r="K56" s="4" t="s">
        <v>474</v>
      </c>
      <c r="L56" s="29" t="s">
        <v>475</v>
      </c>
      <c r="M56" s="31">
        <v>1</v>
      </c>
      <c r="N56" t="str">
        <f>IFERROR(_xlfn.XLOOKUP(Table2[[#This Row],[Ativo]],Pendentes[COD_RELIGADOR],Pendentes[DESCRICAO]),"")</f>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v>
      </c>
      <c r="O56" s="5">
        <v>5</v>
      </c>
      <c r="P56" s="5">
        <v>5</v>
      </c>
      <c r="Q56" s="5">
        <v>0</v>
      </c>
      <c r="R56" s="5">
        <v>0</v>
      </c>
      <c r="S56" s="5">
        <v>15</v>
      </c>
      <c r="T56" s="5">
        <v>10</v>
      </c>
      <c r="U56" s="5">
        <v>0</v>
      </c>
      <c r="V56" s="5">
        <v>0</v>
      </c>
      <c r="W56" s="5">
        <f>SUM(Table2[[#This Row],[Premissa 1]:[Premissa 8]])</f>
        <v>35</v>
      </c>
      <c r="X56" s="5" t="s">
        <v>14</v>
      </c>
      <c r="Y56" t="s">
        <v>308</v>
      </c>
    </row>
    <row r="57" spans="1:25" ht="15" customHeight="1" x14ac:dyDescent="0.25">
      <c r="A57" s="4">
        <v>7908300096</v>
      </c>
      <c r="B57" s="4" t="e">
        <f>_xlfn.XLOOKUP(Table2[[#This Row],[Ativo]],Joao!B:B,Joao!Z:Z)</f>
        <v>#N/A</v>
      </c>
      <c r="C57" s="5" t="str">
        <f>MID(Table2[[#This Row],[Ativo]],1,2)</f>
        <v>79</v>
      </c>
      <c r="D57" s="5" t="s">
        <v>310</v>
      </c>
      <c r="E57" s="5" t="s">
        <v>135</v>
      </c>
      <c r="F57" s="5" t="s">
        <v>51</v>
      </c>
      <c r="G57" s="4" t="str">
        <f>IFERROR(_xlfn.XLOOKUP(Table2[[#This Row],[Ativo]],Pendentes[COD_RELIGADOR],Pendentes[SS_ORIGINAL]),"CONCLUÍDA")</f>
        <v>ETO-TELE 00938/2026</v>
      </c>
      <c r="H57" s="4" t="s">
        <v>526</v>
      </c>
      <c r="L57" s="29"/>
      <c r="M57" s="31"/>
      <c r="N57" t="str">
        <f>IFERROR(_xlfn.XLOOKUP(Table2[[#This Row],[Ativo]],Pendentes[COD_RELIGADOR],Pendentes[DESCRICAO]),"")</f>
        <v>Segue nota para verificar falha intermitência na comunicação RL 7908300096 RDU- Pindorama .</v>
      </c>
      <c r="O57" s="5" t="s">
        <v>730</v>
      </c>
      <c r="P57" s="5"/>
      <c r="Q57" s="5"/>
      <c r="R57" s="5"/>
      <c r="S57" s="5"/>
      <c r="T57" s="5"/>
      <c r="U57" s="5"/>
      <c r="V57" s="5"/>
      <c r="W57" s="5">
        <f>SUM(Table2[[#This Row],[Premissa 1]:[Premissa 8]])</f>
        <v>0</v>
      </c>
      <c r="X57" s="5"/>
    </row>
    <row r="58" spans="1:25" ht="15" customHeight="1" x14ac:dyDescent="0.25">
      <c r="A58" s="5">
        <v>7908302256</v>
      </c>
      <c r="B58" s="5" t="e">
        <f>_xlfn.XLOOKUP(Table2[[#This Row],[Ativo]],Joao!B:B,Joao!Z:Z)</f>
        <v>#N/A</v>
      </c>
      <c r="C58" s="5" t="str">
        <f>MID(Table2[[#This Row],[Ativo]],1,2)</f>
        <v>79</v>
      </c>
      <c r="D58" s="5" t="s">
        <v>134</v>
      </c>
      <c r="E58" s="5" t="s">
        <v>135</v>
      </c>
      <c r="F58" s="5" t="s">
        <v>51</v>
      </c>
      <c r="G58" s="4" t="str">
        <f>IFERROR(_xlfn.XLOOKUP(Table2[[#This Row],[Ativo]],Pendentes[COD_RELIGADOR],Pendentes[SS_ORIGINAL]),"CONCLUÍDA")</f>
        <v>CONCLUÍDA</v>
      </c>
      <c r="H58" s="5" t="s">
        <v>526</v>
      </c>
      <c r="L58" s="29"/>
      <c r="M58" s="31"/>
      <c r="N58" t="str">
        <f>IFERROR(_xlfn.XLOOKUP(Table2[[#This Row],[Ativo]],Pendentes[COD_RELIGADOR],Pendentes[DESCRICAO]),"")</f>
        <v/>
      </c>
      <c r="O58" s="5">
        <v>5</v>
      </c>
      <c r="P58" s="5">
        <v>10</v>
      </c>
      <c r="Q58" s="5">
        <v>5</v>
      </c>
      <c r="R58" s="5">
        <v>15</v>
      </c>
      <c r="S58" s="5">
        <v>15</v>
      </c>
      <c r="T58" s="5">
        <v>10</v>
      </c>
      <c r="U58" s="5">
        <v>0</v>
      </c>
      <c r="V58" s="5">
        <v>15</v>
      </c>
      <c r="W58" s="5">
        <f>SUM(Table2[[#This Row],[Premissa 1]:[Premissa 8]])</f>
        <v>75</v>
      </c>
      <c r="X58" s="5" t="s">
        <v>13</v>
      </c>
      <c r="Y58" t="s">
        <v>528</v>
      </c>
    </row>
    <row r="59" spans="1:25" ht="15" customHeight="1" x14ac:dyDescent="0.25">
      <c r="A59" s="4">
        <v>7908683122</v>
      </c>
      <c r="B59" s="4" t="e">
        <f>_xlfn.XLOOKUP(Table2[[#This Row],[Ativo]],Joao!B:B,Joao!Z:Z)</f>
        <v>#N/A</v>
      </c>
      <c r="C59" s="5" t="str">
        <f>MID(Table2[[#This Row],[Ativo]],1,2)</f>
        <v>79</v>
      </c>
      <c r="G59" s="4" t="str">
        <f>IFERROR(_xlfn.XLOOKUP(Table2[[#This Row],[Ativo]],Pendentes[COD_RELIGADOR],Pendentes[SS_ORIGINAL]),"CONCLUÍDA")</f>
        <v>CONCLUÍDA</v>
      </c>
      <c r="H59" s="4" t="s">
        <v>526</v>
      </c>
      <c r="L59" s="29"/>
      <c r="M59" s="31"/>
      <c r="N59" t="str">
        <f>IFERROR(_xlfn.XLOOKUP(Table2[[#This Row],[Ativo]],Pendentes[COD_RELIGADOR],Pendentes[DESCRICAO]),"")</f>
        <v/>
      </c>
      <c r="O59" s="5"/>
      <c r="P59" s="5"/>
      <c r="Q59" s="5"/>
      <c r="R59" s="5"/>
      <c r="S59" s="5"/>
      <c r="T59" s="5"/>
      <c r="U59" s="5"/>
      <c r="V59" s="5"/>
      <c r="W59" s="5">
        <f>SUM(Table2[[#This Row],[Premissa 1]:[Premissa 8]])</f>
        <v>0</v>
      </c>
      <c r="X59" s="5"/>
    </row>
    <row r="60" spans="1:25" ht="15" customHeight="1" x14ac:dyDescent="0.25">
      <c r="A60" s="4">
        <v>7908686014</v>
      </c>
      <c r="B60" s="4" t="str">
        <f>_xlfn.XLOOKUP(Table2[[#This Row],[Ativo]],Joao!B:B,Joao!Z:Z)</f>
        <v>Previsão de Substiuição atrasada</v>
      </c>
      <c r="C60" s="5" t="str">
        <f>MID(Table2[[#This Row],[Ativo]],1,2)</f>
        <v>79</v>
      </c>
      <c r="D60" s="5" t="s">
        <v>164</v>
      </c>
      <c r="E60" s="5" t="s">
        <v>117</v>
      </c>
      <c r="F60" s="5" t="s">
        <v>51</v>
      </c>
      <c r="G60" s="4" t="str">
        <f>IFERROR(_xlfn.XLOOKUP(Table2[[#This Row],[Ativo]],Pendentes[COD_RELIGADOR],Pendentes[SS_ORIGINAL]),"CONCLUÍDA")</f>
        <v>ETO-PROT 00159/2026</v>
      </c>
      <c r="H60" s="5" t="s">
        <v>506</v>
      </c>
      <c r="I60" s="4" t="s">
        <v>738</v>
      </c>
      <c r="K60" s="4" t="s">
        <v>459</v>
      </c>
      <c r="L60" s="29" t="s">
        <v>508</v>
      </c>
      <c r="M60" s="31">
        <v>1</v>
      </c>
      <c r="N60" t="str">
        <f>IFERROR(_xlfn.XLOOKUP(Table2[[#This Row],[Ativo]],Pendentes[COD_RELIGADOR],Pendentes[DESCRICAO]),"")</f>
        <v>24/07 PARECER COCM: EQUIPAMENTO FOI SUBSTITUIDO OBRA 021260042510/07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v>
      </c>
      <c r="O60" s="5">
        <v>15</v>
      </c>
      <c r="P60" s="5">
        <v>20</v>
      </c>
      <c r="Q60" s="5">
        <v>0</v>
      </c>
      <c r="R60" s="5">
        <v>15</v>
      </c>
      <c r="S60" s="5">
        <v>15</v>
      </c>
      <c r="T60" s="5">
        <v>10</v>
      </c>
      <c r="U60" s="5">
        <v>0</v>
      </c>
      <c r="V60" s="5">
        <v>15</v>
      </c>
      <c r="W60" s="5">
        <f>SUM(Table2[[#This Row],[Premissa 1]:[Premissa 8]])</f>
        <v>90</v>
      </c>
      <c r="X60" s="5" t="s">
        <v>9</v>
      </c>
      <c r="Y60" t="s">
        <v>167</v>
      </c>
    </row>
    <row r="61" spans="1:25" ht="15" customHeight="1" x14ac:dyDescent="0.25">
      <c r="A61" s="40">
        <v>7908705049</v>
      </c>
      <c r="B61" s="40">
        <f>_xlfn.XLOOKUP(Table2[[#This Row],[Ativo]],Joao!B:B,Joao!Z:Z)</f>
        <v>0</v>
      </c>
      <c r="C61" s="5" t="str">
        <f>MID(Table2[[#This Row],[Ativo]],1,2)</f>
        <v>79</v>
      </c>
      <c r="D61" s="5" t="s">
        <v>64</v>
      </c>
      <c r="E61" s="5" t="s">
        <v>41</v>
      </c>
      <c r="F61" s="5" t="s">
        <v>42</v>
      </c>
      <c r="G61" s="4" t="str">
        <f>IFERROR(_xlfn.XLOOKUP(Table2[[#This Row],[Ativo]],Pendentes[COD_RELIGADOR],Pendentes[SS_ORIGINAL]),"CONCLUÍDA")</f>
        <v>ETO-RD-DP 00409/2026</v>
      </c>
      <c r="H61" s="4" t="s">
        <v>485</v>
      </c>
      <c r="I61" s="4" t="s">
        <v>494</v>
      </c>
      <c r="K61" s="4" t="s">
        <v>459</v>
      </c>
      <c r="L61" s="29" t="s">
        <v>475</v>
      </c>
      <c r="M61" s="31">
        <v>1</v>
      </c>
      <c r="N61" t="str">
        <f>IFERROR(_xlfn.XLOOKUP(Table2[[#This Row],[Ativo]],Pendentes[COD_RELIGADOR],Pendentes[DESCRICAO]),"")</f>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v>
      </c>
      <c r="O61" s="5">
        <v>15</v>
      </c>
      <c r="P61" s="5">
        <v>20</v>
      </c>
      <c r="Q61" s="5">
        <v>5</v>
      </c>
      <c r="R61" s="5">
        <v>15</v>
      </c>
      <c r="S61" s="5">
        <v>15</v>
      </c>
      <c r="T61" s="5">
        <v>0</v>
      </c>
      <c r="U61" s="5">
        <v>10</v>
      </c>
      <c r="V61" s="5">
        <v>15</v>
      </c>
      <c r="W61" s="5">
        <f>SUM(Table2[[#This Row],[Premissa 1]:[Premissa 8]])</f>
        <v>95</v>
      </c>
      <c r="X61" s="5" t="s">
        <v>9</v>
      </c>
      <c r="Y61" t="s">
        <v>67</v>
      </c>
    </row>
    <row r="62" spans="1:25" ht="15" customHeight="1" x14ac:dyDescent="0.25">
      <c r="A62" s="12">
        <v>7908708116</v>
      </c>
      <c r="B62" s="12" t="e">
        <f>_xlfn.XLOOKUP(Table2[[#This Row],[Ativo]],Joao!B:B,Joao!Z:Z)</f>
        <v>#N/A</v>
      </c>
      <c r="C62" s="5" t="str">
        <f>MID(Table2[[#This Row],[Ativo]],1,2)</f>
        <v>79</v>
      </c>
      <c r="D62" s="5" t="s">
        <v>215</v>
      </c>
      <c r="E62" s="5" t="s">
        <v>41</v>
      </c>
      <c r="F62" s="5" t="s">
        <v>42</v>
      </c>
      <c r="G62" s="4" t="str">
        <f>IFERROR(_xlfn.XLOOKUP(Table2[[#This Row],[Ativo]],Pendentes[COD_RELIGADOR],Pendentes[SS_ORIGINAL]),"CONCLUÍDA")</f>
        <v>ETO-PROT 00165/2026</v>
      </c>
      <c r="H62" s="4" t="s">
        <v>594</v>
      </c>
      <c r="I62" s="4" t="s">
        <v>558</v>
      </c>
      <c r="K62" s="4" t="s">
        <v>474</v>
      </c>
      <c r="L62" s="29" t="s">
        <v>475</v>
      </c>
      <c r="M62" s="31"/>
      <c r="N62" t="str">
        <f>IFERROR(_xlfn.XLOOKUP(Table2[[#This Row],[Ativo]],Pendentes[COD_RELIGADOR],Pendentes[DESCRICAO]),"")</f>
        <v>COCMS: 12/08/2026PART ATIVA DO RELIGADOR FOI SUBSTITUIDA.GENTILEZA COMISSIONAR EQUIPAMENTO. SUBSTITUIR PARTE ATIVA DO RELIGADOR 7908708116. LV. ABRIR JUNTE DE ENTRADA E SAIDA DO RELIGADOR PARA POSSIBILITAR SUBSTITUIÇÃO DO MESMO.</v>
      </c>
      <c r="O62" s="5">
        <v>5</v>
      </c>
      <c r="P62" s="5">
        <v>5</v>
      </c>
      <c r="Q62" s="5">
        <v>0</v>
      </c>
      <c r="R62" s="5">
        <v>0</v>
      </c>
      <c r="S62" s="5">
        <v>0</v>
      </c>
      <c r="T62" s="5">
        <v>0</v>
      </c>
      <c r="U62" s="5">
        <v>10</v>
      </c>
      <c r="V62" s="5">
        <v>0</v>
      </c>
      <c r="W62" s="5">
        <f>SUM(Table2[[#This Row],[Premissa 1]:[Premissa 8]])</f>
        <v>20</v>
      </c>
      <c r="X62" s="5" t="s">
        <v>15</v>
      </c>
      <c r="Y62" t="s">
        <v>217</v>
      </c>
    </row>
    <row r="63" spans="1:25" ht="15" customHeight="1" x14ac:dyDescent="0.25">
      <c r="A63" s="4">
        <v>7908716091</v>
      </c>
      <c r="B63" s="4" t="e">
        <f>_xlfn.XLOOKUP(Table2[[#This Row],[Ativo]],Joao!B:B,Joao!Z:Z)</f>
        <v>#N/A</v>
      </c>
      <c r="C63" s="5" t="str">
        <f>MID(Table2[[#This Row],[Ativo]],1,2)</f>
        <v>79</v>
      </c>
      <c r="G63" s="4" t="str">
        <f>IFERROR(_xlfn.XLOOKUP(Table2[[#This Row],[Ativo]],Pendentes[COD_RELIGADOR],Pendentes[SS_ORIGINAL]),"CONCLUÍDA")</f>
        <v>CONCLUÍDA</v>
      </c>
      <c r="H63" s="4" t="s">
        <v>526</v>
      </c>
      <c r="L63" s="29"/>
      <c r="M63" s="31"/>
      <c r="N63" t="str">
        <f>IFERROR(_xlfn.XLOOKUP(Table2[[#This Row],[Ativo]],Pendentes[COD_RELIGADOR],Pendentes[DESCRICAO]),"")</f>
        <v/>
      </c>
      <c r="O63" s="5"/>
      <c r="P63" s="5"/>
      <c r="Q63" s="5"/>
      <c r="R63" s="5"/>
      <c r="S63" s="5"/>
      <c r="T63" s="5"/>
      <c r="U63" s="5"/>
      <c r="V63" s="5"/>
      <c r="W63" s="5">
        <f>SUM(Table2[[#This Row],[Premissa 1]:[Premissa 8]])</f>
        <v>0</v>
      </c>
      <c r="X63" s="5"/>
    </row>
    <row r="64" spans="1:25" ht="15" customHeight="1" x14ac:dyDescent="0.25">
      <c r="A64" s="4">
        <v>7910027196</v>
      </c>
      <c r="B64" s="4" t="e">
        <f>_xlfn.XLOOKUP(Table2[[#This Row],[Ativo]],Joao!B:B,Joao!Z:Z)</f>
        <v>#N/A</v>
      </c>
      <c r="C64" s="5" t="str">
        <f>MID(Table2[[#This Row],[Ativo]],1,2)</f>
        <v>79</v>
      </c>
      <c r="D64" s="5" t="s">
        <v>233</v>
      </c>
      <c r="E64" s="5" t="s">
        <v>74</v>
      </c>
      <c r="F64" s="5" t="s">
        <v>51</v>
      </c>
      <c r="G64" s="4" t="str">
        <f>IFERROR(_xlfn.XLOOKUP(Table2[[#This Row],[Ativo]],Pendentes[COD_RELIGADOR],Pendentes[SS_ORIGINAL]),"CONCLUÍDA")</f>
        <v>ETO-COEP 00154/2026</v>
      </c>
      <c r="H64" s="4" t="s">
        <v>472</v>
      </c>
      <c r="K64" s="4" t="s">
        <v>474</v>
      </c>
      <c r="L64" s="29" t="s">
        <v>475</v>
      </c>
      <c r="M64" s="31">
        <v>1</v>
      </c>
      <c r="N64" t="str">
        <f>IFERROR(_xlfn.XLOOKUP(Table2[[#This Row],[Ativo]],Pendentes[COD_RELIGADOR],Pendentes[DESCRICAO]),"")</f>
        <v>13/07/2026 PARECER COEP: NÃO FAZ SENTIDO FAZER A TROCA DE EQUIPAMENTO COMPLETO APENAS POR CAUSA DA FASE B , QUE PARECE SER UM ERRO DE CALIBRAÇÃO.PARECER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equipe)PARECER DMSL(22/07/26): O religador está fora de operação desde 11/2025. Necessitando substituição completa em função do defeito de leitura de corrente da fase B. Preservar apenas o radio e antena.</v>
      </c>
      <c r="O64" s="5">
        <v>5</v>
      </c>
      <c r="P64" s="5">
        <v>5</v>
      </c>
      <c r="Q64" s="5">
        <v>0</v>
      </c>
      <c r="R64" s="5">
        <v>0</v>
      </c>
      <c r="S64" s="5">
        <v>0</v>
      </c>
      <c r="T64" s="5">
        <v>0</v>
      </c>
      <c r="U64" s="5">
        <v>10</v>
      </c>
      <c r="V64" s="5">
        <v>0</v>
      </c>
      <c r="W64" s="5">
        <f>SUM(Table2[[#This Row],[Premissa 1]:[Premissa 8]])</f>
        <v>20</v>
      </c>
      <c r="X64" s="5" t="s">
        <v>15</v>
      </c>
      <c r="Y64" t="s">
        <v>236</v>
      </c>
    </row>
    <row r="65" spans="1:25" ht="34.5" customHeight="1" x14ac:dyDescent="0.25">
      <c r="A65" s="4">
        <v>7911120026</v>
      </c>
      <c r="B65" s="4" t="e">
        <f>_xlfn.XLOOKUP(Table2[[#This Row],[Ativo]],Joao!B:B,Joao!Z:Z)</f>
        <v>#N/A</v>
      </c>
      <c r="C65" s="5" t="str">
        <f>MID(Table2[[#This Row],[Ativo]],1,2)</f>
        <v>79</v>
      </c>
      <c r="D65" s="5" t="s">
        <v>135</v>
      </c>
      <c r="E65" s="5" t="s">
        <v>135</v>
      </c>
      <c r="F65" s="5" t="s">
        <v>51</v>
      </c>
      <c r="G65" s="4" t="str">
        <f>IFERROR(_xlfn.XLOOKUP(Table2[[#This Row],[Ativo]],Pendentes[COD_RELIGADOR],Pendentes[SS_ORIGINAL]),"CONCLUÍDA")</f>
        <v>CONCLUÍDA</v>
      </c>
      <c r="H65" s="4" t="s">
        <v>625</v>
      </c>
      <c r="I65" s="4" t="s">
        <v>533</v>
      </c>
      <c r="L65" s="29"/>
      <c r="M65" s="31"/>
      <c r="N65" t="str">
        <f>IFERROR(_xlfn.XLOOKUP(Table2[[#This Row],[Ativo]],Pendentes[COD_RELIGADOR],Pendentes[DESCRICAO]),"")</f>
        <v/>
      </c>
      <c r="O65" s="5" t="s">
        <v>730</v>
      </c>
      <c r="P65" s="5"/>
      <c r="Q65" s="5"/>
      <c r="R65" s="5"/>
      <c r="S65" s="5"/>
      <c r="T65" s="5"/>
      <c r="U65" s="5"/>
      <c r="V65" s="5"/>
      <c r="W65" s="5">
        <f>SUM(Table2[[#This Row],[Premissa 1]:[Premissa 8]])</f>
        <v>0</v>
      </c>
      <c r="X65" s="5"/>
    </row>
    <row r="66" spans="1:25" ht="15" customHeight="1" x14ac:dyDescent="0.25">
      <c r="A66" s="4">
        <v>7913662076</v>
      </c>
      <c r="B66" s="4" t="e">
        <f>_xlfn.XLOOKUP(Table2[[#This Row],[Ativo]],Joao!B:B,Joao!Z:Z)</f>
        <v>#N/A</v>
      </c>
      <c r="C66" s="5" t="str">
        <f>MID(Table2[[#This Row],[Ativo]],1,2)</f>
        <v>79</v>
      </c>
      <c r="D66" s="5" t="s">
        <v>209</v>
      </c>
      <c r="E66" s="5" t="s">
        <v>210</v>
      </c>
      <c r="F66" s="5" t="s">
        <v>42</v>
      </c>
      <c r="G66" s="4" t="str">
        <f>IFERROR(_xlfn.XLOOKUP(Table2[[#This Row],[Ativo]],Pendentes[COD_RELIGADOR],Pendentes[SS_ORIGINAL]),"CONCLUÍDA")</f>
        <v>ETO-COEP 00114/2026</v>
      </c>
      <c r="H66" s="4" t="s">
        <v>472</v>
      </c>
      <c r="I66" s="4" t="s">
        <v>595</v>
      </c>
      <c r="K66" s="4" t="s">
        <v>474</v>
      </c>
      <c r="L66" s="29" t="s">
        <v>508</v>
      </c>
      <c r="M66" s="31">
        <v>1</v>
      </c>
      <c r="N66" t="str">
        <f>IFERROR(_xlfn.XLOOKUP(Table2[[#This Row],[Ativo]],Pendentes[COD_RELIGADOR],Pendentes[DESCRICAO]),"")</f>
        <v>27/07 PARECER COEP: TANQUE DANIFICADO DA 13,5Aberto nota para substituir tanque danificado e chave de entrada fase B danificadaPARECER DMSL: Foi confirmado pela equipe DMSL o defeito do tanque, favor seguir com a substituição e correção da chave de entrada fase B danificada.</v>
      </c>
      <c r="O66" s="5">
        <v>5</v>
      </c>
      <c r="P66" s="5">
        <v>5</v>
      </c>
      <c r="Q66" s="5">
        <v>0</v>
      </c>
      <c r="R66" s="5">
        <v>0</v>
      </c>
      <c r="S66" s="5">
        <v>0</v>
      </c>
      <c r="T66" s="5">
        <v>10</v>
      </c>
      <c r="U66" s="5">
        <v>0</v>
      </c>
      <c r="V66" s="5">
        <v>0</v>
      </c>
      <c r="W66" s="5">
        <f>SUM(Table2[[#This Row],[Premissa 1]:[Premissa 8]])</f>
        <v>20</v>
      </c>
      <c r="X66" s="5" t="s">
        <v>15</v>
      </c>
      <c r="Y66" t="s">
        <v>213</v>
      </c>
    </row>
    <row r="67" spans="1:25" ht="15" customHeight="1" x14ac:dyDescent="0.25">
      <c r="A67" s="4">
        <v>7919270014</v>
      </c>
      <c r="B67" s="4" t="e">
        <f>_xlfn.XLOOKUP(Table2[[#This Row],[Ativo]],Joao!B:B,Joao!Z:Z)</f>
        <v>#N/A</v>
      </c>
      <c r="C67" s="5" t="str">
        <f>MID(Table2[[#This Row],[Ativo]],1,2)</f>
        <v>79</v>
      </c>
      <c r="D67" s="5" t="s">
        <v>164</v>
      </c>
      <c r="E67" s="5" t="s">
        <v>117</v>
      </c>
      <c r="F67" s="5" t="s">
        <v>51</v>
      </c>
      <c r="G67" s="4" t="str">
        <f>IFERROR(_xlfn.XLOOKUP(Table2[[#This Row],[Ativo]],Pendentes[COD_RELIGADOR],Pendentes[SS_ORIGINAL]),"CONCLUÍDA")</f>
        <v>ETO-COEP 00159/2026</v>
      </c>
      <c r="H67" s="4" t="s">
        <v>472</v>
      </c>
      <c r="K67" s="4" t="s">
        <v>474</v>
      </c>
      <c r="L67" s="29"/>
      <c r="M67" s="31"/>
      <c r="N67" t="str">
        <f>IFERROR(_xlfn.XLOOKUP(Table2[[#This Row],[Ativo]],Pendentes[COD_RELIGADOR],Pendentes[DESCRICAO]),"")</f>
        <v>27/07/2026 PARECER COEP: EM PROCESSO DE AQUISIÇÃO , COMPLETOPARECER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v>
      </c>
      <c r="O67" s="5">
        <v>5</v>
      </c>
      <c r="P67" s="5">
        <v>5</v>
      </c>
      <c r="Q67" s="5">
        <v>0</v>
      </c>
      <c r="R67" s="5">
        <v>0</v>
      </c>
      <c r="S67" s="5">
        <v>0</v>
      </c>
      <c r="T67" s="5">
        <v>10</v>
      </c>
      <c r="U67" s="5">
        <v>0</v>
      </c>
      <c r="V67" s="5">
        <v>0</v>
      </c>
      <c r="W67" s="5">
        <f>SUM(Table2[[#This Row],[Premissa 1]:[Premissa 8]])</f>
        <v>20</v>
      </c>
      <c r="X67" s="5" t="s">
        <v>15</v>
      </c>
      <c r="Y67" t="s">
        <v>337</v>
      </c>
    </row>
    <row r="68" spans="1:25" ht="15" customHeight="1" x14ac:dyDescent="0.25">
      <c r="A68" s="4">
        <v>7920024127</v>
      </c>
      <c r="B68" s="4" t="e">
        <f>_xlfn.XLOOKUP(Table2[[#This Row],[Ativo]],Joao!B:B,Joao!Z:Z)</f>
        <v>#N/A</v>
      </c>
      <c r="C68" s="5" t="str">
        <f>MID(Table2[[#This Row],[Ativo]],1,2)</f>
        <v>79</v>
      </c>
      <c r="D68" s="5" t="s">
        <v>258</v>
      </c>
      <c r="E68" s="5" t="s">
        <v>259</v>
      </c>
      <c r="F68" s="5" t="s">
        <v>59</v>
      </c>
      <c r="G68" s="4" t="str">
        <f>IFERROR(_xlfn.XLOOKUP(Table2[[#This Row],[Ativo]],Pendentes[COD_RELIGADOR],Pendentes[SS_ORIGINAL]),"CONCLUÍDA")</f>
        <v>ETO-COEP 00120/2025</v>
      </c>
      <c r="H68" s="4" t="s">
        <v>472</v>
      </c>
      <c r="K68" s="4" t="s">
        <v>474</v>
      </c>
      <c r="L68" s="29" t="s">
        <v>555</v>
      </c>
      <c r="M68" s="31">
        <v>1</v>
      </c>
      <c r="N68" t="str">
        <f>IFERROR(_xlfn.XLOOKUP(Table2[[#This Row],[Ativo]],Pendentes[COD_RELIGADOR],Pendentes[DESCRICAO]),"")</f>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v>
      </c>
      <c r="O68" s="5">
        <v>15</v>
      </c>
      <c r="P68" s="5">
        <v>10</v>
      </c>
      <c r="Q68" s="5">
        <v>5</v>
      </c>
      <c r="R68" s="5">
        <v>15</v>
      </c>
      <c r="S68" s="5">
        <v>0</v>
      </c>
      <c r="T68" s="5">
        <v>10</v>
      </c>
      <c r="U68" s="5">
        <v>0</v>
      </c>
      <c r="V68" s="5">
        <v>0</v>
      </c>
      <c r="W68" s="5">
        <f>SUM(Table2[[#This Row],[Premissa 1]:[Premissa 8]])</f>
        <v>55</v>
      </c>
      <c r="X68" s="5" t="s">
        <v>13</v>
      </c>
      <c r="Y68" t="s">
        <v>262</v>
      </c>
    </row>
    <row r="69" spans="1:25" ht="15" customHeight="1" x14ac:dyDescent="0.25">
      <c r="A69" s="4">
        <v>7921040031</v>
      </c>
      <c r="B69" s="4" t="e">
        <f>_xlfn.XLOOKUP(Table2[[#This Row],[Ativo]],Joao!B:B,Joao!Z:Z)</f>
        <v>#N/A</v>
      </c>
      <c r="C69" s="5" t="str">
        <f>MID(Table2[[#This Row],[Ativo]],1,2)</f>
        <v>79</v>
      </c>
      <c r="D69" s="5" t="s">
        <v>502</v>
      </c>
      <c r="E69" s="5" t="s">
        <v>100</v>
      </c>
      <c r="F69" s="5" t="s">
        <v>51</v>
      </c>
      <c r="G69" s="4" t="str">
        <f>IFERROR(_xlfn.XLOOKUP(Table2[[#This Row],[Ativo]],Pendentes[COD_RELIGADOR],Pendentes[SS_ORIGINAL]),"CONCLUÍDA")</f>
        <v>CONCLUÍDA</v>
      </c>
      <c r="H69" s="4" t="s">
        <v>721</v>
      </c>
      <c r="K69" s="4" t="s">
        <v>453</v>
      </c>
      <c r="L69" s="29"/>
      <c r="M69" s="31"/>
      <c r="N69" t="str">
        <f>IFERROR(_xlfn.XLOOKUP(Table2[[#This Row],[Ativo]],Pendentes[COD_RELIGADOR],Pendentes[DESCRICAO]),"")</f>
        <v/>
      </c>
      <c r="O69" s="5">
        <v>15</v>
      </c>
      <c r="P69" s="5">
        <v>20</v>
      </c>
      <c r="Q69" s="5">
        <v>5</v>
      </c>
      <c r="R69" s="5">
        <v>15</v>
      </c>
      <c r="S69" s="5">
        <v>15</v>
      </c>
      <c r="T69" s="5">
        <v>10</v>
      </c>
      <c r="U69" s="5">
        <v>0</v>
      </c>
      <c r="V69" s="5">
        <v>15</v>
      </c>
      <c r="W69" s="5">
        <f>SUM(Table2[[#This Row],[Premissa 1]:[Premissa 8]])</f>
        <v>95</v>
      </c>
      <c r="X69" s="5" t="s">
        <v>9</v>
      </c>
      <c r="Y69" t="s">
        <v>503</v>
      </c>
    </row>
    <row r="70" spans="1:25" ht="15" customHeight="1" x14ac:dyDescent="0.25">
      <c r="A70" s="4">
        <v>7921202014</v>
      </c>
      <c r="B70" s="4" t="e">
        <f>_xlfn.XLOOKUP(Table2[[#This Row],[Ativo]],Joao!B:B,Joao!Z:Z)</f>
        <v>#N/A</v>
      </c>
      <c r="C70" s="5" t="str">
        <f>MID(Table2[[#This Row],[Ativo]],1,2)</f>
        <v>79</v>
      </c>
      <c r="D70" s="5" t="s">
        <v>164</v>
      </c>
      <c r="E70" s="5" t="s">
        <v>117</v>
      </c>
      <c r="F70" s="5" t="s">
        <v>51</v>
      </c>
      <c r="G70" s="4" t="str">
        <f>IFERROR(_xlfn.XLOOKUP(Table2[[#This Row],[Ativo]],Pendentes[COD_RELIGADOR],Pendentes[SS_ORIGINAL]),"CONCLUÍDA")</f>
        <v>ETO-COEP 00132/2026</v>
      </c>
      <c r="H70" s="4" t="s">
        <v>472</v>
      </c>
      <c r="K70" s="4" t="s">
        <v>474</v>
      </c>
      <c r="L70" s="29" t="s">
        <v>508</v>
      </c>
      <c r="M70" s="31">
        <v>1</v>
      </c>
      <c r="N70" t="str">
        <f>IFERROR(_xlfn.XLOOKUP(Table2[[#This Row],[Ativo]],Pendentes[COD_RELIGADOR],Pendentes[DESCRICAO]),"")</f>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v>
      </c>
      <c r="O70" s="5">
        <v>5</v>
      </c>
      <c r="P70" s="5">
        <v>5</v>
      </c>
      <c r="Q70" s="5">
        <v>5</v>
      </c>
      <c r="R70" s="5">
        <v>0</v>
      </c>
      <c r="S70" s="5">
        <v>0</v>
      </c>
      <c r="T70" s="5">
        <v>10</v>
      </c>
      <c r="U70" s="5">
        <v>0</v>
      </c>
      <c r="V70" s="5">
        <v>0</v>
      </c>
      <c r="W70" s="5">
        <f>SUM(Table2[[#This Row],[Premissa 1]:[Premissa 8]])</f>
        <v>25</v>
      </c>
      <c r="X70" s="5" t="s">
        <v>15</v>
      </c>
      <c r="Y70" t="s">
        <v>316</v>
      </c>
    </row>
    <row r="71" spans="1:25" ht="15" customHeight="1" x14ac:dyDescent="0.25">
      <c r="A71" s="12">
        <v>7922995039</v>
      </c>
      <c r="B71" s="12" t="e">
        <f>_xlfn.XLOOKUP(Table2[[#This Row],[Ativo]],Joao!B:B,Joao!Z:Z)</f>
        <v>#N/A</v>
      </c>
      <c r="C71" s="5" t="str">
        <f>MID(Table2[[#This Row],[Ativo]],1,2)</f>
        <v>79</v>
      </c>
      <c r="D71" s="5" t="s">
        <v>57</v>
      </c>
      <c r="E71" s="5" t="s">
        <v>58</v>
      </c>
      <c r="F71" s="5" t="s">
        <v>59</v>
      </c>
      <c r="G71" s="4" t="str">
        <f>IFERROR(_xlfn.XLOOKUP(Table2[[#This Row],[Ativo]],Pendentes[COD_RELIGADOR],Pendentes[SS_ORIGINAL]),"CONCLUÍDA")</f>
        <v>CONCLUÍDA</v>
      </c>
      <c r="H71" s="4" t="s">
        <v>721</v>
      </c>
      <c r="K71" s="4" t="s">
        <v>572</v>
      </c>
      <c r="L71" s="29"/>
      <c r="M71" s="31"/>
      <c r="N71" t="str">
        <f>IFERROR(_xlfn.XLOOKUP(Table2[[#This Row],[Ativo]],Pendentes[COD_RELIGADOR],Pendentes[DESCRICAO]),"")</f>
        <v/>
      </c>
      <c r="O71" s="5">
        <v>5</v>
      </c>
      <c r="P71" s="5">
        <v>5</v>
      </c>
      <c r="Q71" s="5">
        <v>0</v>
      </c>
      <c r="R71" s="5">
        <v>0</v>
      </c>
      <c r="S71" s="5">
        <v>15</v>
      </c>
      <c r="T71" s="5">
        <v>10</v>
      </c>
      <c r="U71" s="5">
        <v>0</v>
      </c>
      <c r="V71" s="5">
        <v>0</v>
      </c>
      <c r="W71" s="5">
        <f>SUM(Table2[[#This Row],[Premissa 1]:[Premissa 8]])</f>
        <v>35</v>
      </c>
      <c r="X71" s="5" t="s">
        <v>14</v>
      </c>
      <c r="Y71" t="s">
        <v>574</v>
      </c>
    </row>
    <row r="72" spans="1:25" ht="15" customHeight="1" x14ac:dyDescent="0.25">
      <c r="A72" s="4">
        <v>7923110021</v>
      </c>
      <c r="B72" s="4" t="e">
        <f>_xlfn.XLOOKUP(Table2[[#This Row],[Ativo]],Joao!B:B,Joao!Z:Z)</f>
        <v>#N/A</v>
      </c>
      <c r="C72" s="5" t="str">
        <f>MID(Table2[[#This Row],[Ativo]],1,2)</f>
        <v>79</v>
      </c>
      <c r="G72" s="4" t="str">
        <f>IFERROR(_xlfn.XLOOKUP(Table2[[#This Row],[Ativo]],Pendentes[COD_RELIGADOR],Pendentes[SS_ORIGINAL]),"CONCLUÍDA")</f>
        <v>ETO-TELE 01027/2026</v>
      </c>
      <c r="H72" s="4" t="s">
        <v>526</v>
      </c>
      <c r="L72" s="29"/>
      <c r="M72" s="31"/>
      <c r="N72" t="str">
        <f>IFERROR(_xlfn.XLOOKUP(Table2[[#This Row],[Ativo]],Pendentes[COD_RELIGADOR],Pendentes[DESCRICAO]),"")</f>
        <v>Segue SS para verificar falha de comunicação no religador 7923110021. Equipe foi no local realizar primeiro ataque e informou que o radio de comunicação encontra-se com defeito</v>
      </c>
      <c r="O72" s="5"/>
      <c r="P72" s="5"/>
      <c r="Q72" s="5"/>
      <c r="R72" s="5"/>
      <c r="S72" s="5"/>
      <c r="T72" s="5"/>
      <c r="U72" s="5"/>
      <c r="V72" s="5"/>
      <c r="W72" s="5">
        <f>SUM(Table2[[#This Row],[Premissa 1]:[Premissa 8]])</f>
        <v>0</v>
      </c>
      <c r="X72" s="5"/>
    </row>
    <row r="73" spans="1:25" ht="15" customHeight="1" x14ac:dyDescent="0.25">
      <c r="A73" s="4">
        <v>7923673004</v>
      </c>
      <c r="B73" s="4" t="e">
        <f>_xlfn.XLOOKUP(Table2[[#This Row],[Ativo]],Joao!B:B,Joao!Z:Z)</f>
        <v>#N/A</v>
      </c>
      <c r="C73" s="5" t="str">
        <f>MID(Table2[[#This Row],[Ativo]],1,2)</f>
        <v>79</v>
      </c>
      <c r="D73" s="5" t="s">
        <v>69</v>
      </c>
      <c r="E73" s="5" t="s">
        <v>69</v>
      </c>
      <c r="F73" s="5" t="s">
        <v>59</v>
      </c>
      <c r="G73" s="4" t="str">
        <f>IFERROR(_xlfn.XLOOKUP(Table2[[#This Row],[Ativo]],Pendentes[COD_RELIGADOR],Pendentes[SS_ORIGINAL]),"CONCLUÍDA")</f>
        <v>ETO-COEP 00124/2026</v>
      </c>
      <c r="H73" s="4" t="s">
        <v>472</v>
      </c>
      <c r="I73" s="4" t="s">
        <v>739</v>
      </c>
      <c r="K73" s="4" t="s">
        <v>474</v>
      </c>
      <c r="L73" s="29" t="s">
        <v>475</v>
      </c>
      <c r="M73" s="31">
        <v>1</v>
      </c>
      <c r="N73" t="str">
        <f>IFERROR(_xlfn.XLOOKUP(Table2[[#This Row],[Ativo]],Pendentes[COD_RELIGADOR],Pendentes[DESCRICAO]),"")</f>
        <v>PARECER COEP: Verificar Disponibilidade de equipamento no Scada e enviar modelo e tensão para a compra.RELIGADOR COM RELÉ DANIFICADO, REALIZAR SUBSTITUIÇÃO</v>
      </c>
      <c r="O73" s="5">
        <v>15</v>
      </c>
      <c r="P73" s="5">
        <v>20</v>
      </c>
      <c r="Q73" s="5">
        <v>15</v>
      </c>
      <c r="R73" s="5">
        <v>15</v>
      </c>
      <c r="S73" s="5">
        <v>15</v>
      </c>
      <c r="T73" s="5">
        <v>10</v>
      </c>
      <c r="U73" s="5">
        <v>0</v>
      </c>
      <c r="V73" s="5">
        <v>15</v>
      </c>
      <c r="W73" s="5">
        <f>SUM(Table2[[#This Row],[Premissa 1]:[Premissa 8]])</f>
        <v>105</v>
      </c>
      <c r="X73" s="5" t="s">
        <v>9</v>
      </c>
      <c r="Y73" t="s">
        <v>72</v>
      </c>
    </row>
    <row r="74" spans="1:25" ht="15" customHeight="1" x14ac:dyDescent="0.25">
      <c r="A74" s="4">
        <v>7923927122</v>
      </c>
      <c r="B74" s="4" t="e">
        <f>_xlfn.XLOOKUP(Table2[[#This Row],[Ativo]],Joao!B:B,Joao!Z:Z)</f>
        <v>#N/A</v>
      </c>
      <c r="C74" s="5" t="str">
        <f>MID(Table2[[#This Row],[Ativo]],1,2)</f>
        <v>79</v>
      </c>
      <c r="D74" s="5" t="s">
        <v>264</v>
      </c>
      <c r="E74" s="5" t="s">
        <v>264</v>
      </c>
      <c r="F74" s="5" t="s">
        <v>51</v>
      </c>
      <c r="G74" s="4" t="str">
        <f>IFERROR(_xlfn.XLOOKUP(Table2[[#This Row],[Ativo]],Pendentes[COD_RELIGADOR],Pendentes[SS_ORIGINAL]),"CONCLUÍDA")</f>
        <v>ETO-COEP 00148/2026</v>
      </c>
      <c r="H74" s="4" t="s">
        <v>472</v>
      </c>
      <c r="K74" s="4" t="s">
        <v>474</v>
      </c>
      <c r="L74" s="29" t="s">
        <v>508</v>
      </c>
      <c r="M74" s="31">
        <v>1</v>
      </c>
      <c r="N74" t="str">
        <f>IFERROR(_xlfn.XLOOKUP(Table2[[#This Row],[Ativo]],Pendentes[COD_RELIGADOR],Pendentes[DESCRICAO]),"")</f>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v>
      </c>
      <c r="O74" s="5">
        <v>15</v>
      </c>
      <c r="P74" s="5">
        <v>0</v>
      </c>
      <c r="Q74" s="5">
        <v>0</v>
      </c>
      <c r="R74" s="5">
        <v>0</v>
      </c>
      <c r="S74" s="5">
        <v>0</v>
      </c>
      <c r="T74" s="5">
        <v>10</v>
      </c>
      <c r="U74" s="5">
        <v>0</v>
      </c>
      <c r="V74" s="5">
        <v>0</v>
      </c>
      <c r="W74" s="5">
        <f>SUM(Table2[[#This Row],[Premissa 1]:[Premissa 8]])</f>
        <v>25</v>
      </c>
      <c r="X74" s="5" t="s">
        <v>15</v>
      </c>
      <c r="Y74" t="s">
        <v>266</v>
      </c>
    </row>
    <row r="75" spans="1:25" ht="15" customHeight="1" x14ac:dyDescent="0.25">
      <c r="A75" s="4">
        <v>7925087021</v>
      </c>
      <c r="B75" s="4" t="str">
        <f>_xlfn.XLOOKUP(Table2[[#This Row],[Ativo]],Joao!B:B,Joao!Z:Z)</f>
        <v>ETO-RD-GU 1391/2026 (atrasada) Aguardando previsão de substituição</v>
      </c>
      <c r="C75" s="5" t="str">
        <f>MID(Table2[[#This Row],[Ativo]],1,2)</f>
        <v>79</v>
      </c>
      <c r="D75" s="5" t="s">
        <v>223</v>
      </c>
      <c r="E75" s="5" t="s">
        <v>224</v>
      </c>
      <c r="F75" s="5" t="s">
        <v>42</v>
      </c>
      <c r="G75" s="4" t="str">
        <f>IFERROR(_xlfn.XLOOKUP(Table2[[#This Row],[Ativo]],Pendentes[COD_RELIGADOR],Pendentes[SS_ORIGINAL]),"CONCLUÍDA")</f>
        <v>ETO-PROT 00152/2026</v>
      </c>
      <c r="H75" s="4" t="s">
        <v>457</v>
      </c>
      <c r="I75" s="38"/>
      <c r="J75" s="38"/>
      <c r="K75" s="4" t="s">
        <v>459</v>
      </c>
      <c r="L75" s="29" t="s">
        <v>508</v>
      </c>
      <c r="M75" s="31">
        <v>1</v>
      </c>
      <c r="N75" t="str">
        <f>IFERROR(_xlfn.XLOOKUP(Table2[[#This Row],[Ativo]],Pendentes[COD_RELIGADOR],Pendentes[DESCRICAO]),"")</f>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v>
      </c>
      <c r="O75" s="5">
        <v>15</v>
      </c>
      <c r="P75" s="5">
        <v>10</v>
      </c>
      <c r="Q75" s="5">
        <v>5</v>
      </c>
      <c r="R75" s="5">
        <v>0</v>
      </c>
      <c r="S75" s="5">
        <v>15</v>
      </c>
      <c r="T75" s="5">
        <v>10</v>
      </c>
      <c r="U75" s="5">
        <v>0</v>
      </c>
      <c r="V75" s="5">
        <v>15</v>
      </c>
      <c r="W75" s="5">
        <f>SUM(Table2[[#This Row],[Premissa 1]:[Premissa 8]])</f>
        <v>70</v>
      </c>
      <c r="X75" s="5" t="s">
        <v>13</v>
      </c>
      <c r="Y75" t="s">
        <v>227</v>
      </c>
    </row>
    <row r="76" spans="1:25" ht="15" customHeight="1" x14ac:dyDescent="0.25">
      <c r="A76" s="4">
        <v>7925713040</v>
      </c>
      <c r="B76" s="4" t="e">
        <f>_xlfn.XLOOKUP(Table2[[#This Row],[Ativo]],Joao!B:B,Joao!Z:Z)</f>
        <v>#N/A</v>
      </c>
      <c r="C76" s="5" t="str">
        <f>MID(Table2[[#This Row],[Ativo]],1,2)</f>
        <v>79</v>
      </c>
      <c r="D76" s="5" t="s">
        <v>521</v>
      </c>
      <c r="E76" s="5" t="s">
        <v>69</v>
      </c>
      <c r="F76" s="5" t="s">
        <v>59</v>
      </c>
      <c r="G76" s="4" t="str">
        <f>IFERROR(_xlfn.XLOOKUP(Table2[[#This Row],[Ativo]],Pendentes[COD_RELIGADOR],Pendentes[SS_ORIGINAL]),"CONCLUÍDA")</f>
        <v>CONCLUÍDA</v>
      </c>
      <c r="H76" s="4" t="s">
        <v>526</v>
      </c>
      <c r="L76" s="29"/>
      <c r="M76" s="31"/>
      <c r="N76" t="str">
        <f>IFERROR(_xlfn.XLOOKUP(Table2[[#This Row],[Ativo]],Pendentes[COD_RELIGADOR],Pendentes[DESCRICAO]),"")</f>
        <v/>
      </c>
      <c r="O76" s="5" t="s">
        <v>730</v>
      </c>
      <c r="P76" s="5"/>
      <c r="Q76" s="5"/>
      <c r="R76" s="5"/>
      <c r="S76" s="5"/>
      <c r="T76" s="5"/>
      <c r="U76" s="5"/>
      <c r="V76" s="5"/>
      <c r="W76" s="5">
        <f>SUM(Table2[[#This Row],[Premissa 1]:[Premissa 8]])</f>
        <v>0</v>
      </c>
      <c r="X76" s="5"/>
    </row>
    <row r="77" spans="1:25" ht="15" customHeight="1" x14ac:dyDescent="0.25">
      <c r="A77" s="4">
        <v>7925733015</v>
      </c>
      <c r="B77" s="4" t="e">
        <f>_xlfn.XLOOKUP(Table2[[#This Row],[Ativo]],Joao!B:B,Joao!Z:Z)</f>
        <v>#N/A</v>
      </c>
      <c r="C77" s="5" t="str">
        <f>MID(Table2[[#This Row],[Ativo]],1,2)</f>
        <v>79</v>
      </c>
      <c r="D77" s="5" t="s">
        <v>288</v>
      </c>
      <c r="E77" s="5" t="s">
        <v>106</v>
      </c>
      <c r="F77" s="5" t="s">
        <v>59</v>
      </c>
      <c r="G77" s="4" t="str">
        <f>IFERROR(_xlfn.XLOOKUP(Table2[[#This Row],[Ativo]],Pendentes[COD_RELIGADOR],Pendentes[SS_ORIGINAL]),"CONCLUÍDA")</f>
        <v>ETO-COEP 00058/2026</v>
      </c>
      <c r="H77" s="4" t="s">
        <v>472</v>
      </c>
      <c r="K77" s="4" t="s">
        <v>474</v>
      </c>
      <c r="L77" s="29" t="s">
        <v>508</v>
      </c>
      <c r="M77" s="31">
        <v>1</v>
      </c>
      <c r="N77" t="str">
        <f>IFERROR(_xlfn.XLOOKUP(Table2[[#This Row],[Ativo]],Pendentes[COD_RELIGADOR],Pendentes[DESCRICAO]),"")</f>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v>
      </c>
      <c r="O77" s="5">
        <v>5</v>
      </c>
      <c r="P77" s="5">
        <v>5</v>
      </c>
      <c r="Q77" s="5">
        <v>0</v>
      </c>
      <c r="R77" s="5">
        <v>0</v>
      </c>
      <c r="S77" s="5">
        <v>15</v>
      </c>
      <c r="T77" s="5">
        <v>10</v>
      </c>
      <c r="U77" s="5">
        <v>0</v>
      </c>
      <c r="V77" s="5">
        <v>0</v>
      </c>
      <c r="W77" s="5">
        <f>SUM(Table2[[#This Row],[Premissa 1]:[Premissa 8]])</f>
        <v>35</v>
      </c>
      <c r="X77" s="5" t="s">
        <v>14</v>
      </c>
      <c r="Y77" t="s">
        <v>291</v>
      </c>
    </row>
    <row r="78" spans="1:25" ht="15" customHeight="1" x14ac:dyDescent="0.25">
      <c r="A78" s="4">
        <v>7925744087</v>
      </c>
      <c r="B78" s="4" t="e">
        <f>_xlfn.XLOOKUP(Table2[[#This Row],[Ativo]],Joao!B:B,Joao!Z:Z)</f>
        <v>#N/A</v>
      </c>
      <c r="C78" s="5" t="str">
        <f>MID(Table2[[#This Row],[Ativo]],1,2)</f>
        <v>79</v>
      </c>
      <c r="D78" s="5" t="s">
        <v>105</v>
      </c>
      <c r="E78" s="5" t="s">
        <v>106</v>
      </c>
      <c r="F78" s="5" t="s">
        <v>59</v>
      </c>
      <c r="G78" s="4" t="str">
        <f>IFERROR(_xlfn.XLOOKUP(Table2[[#This Row],[Ativo]],Pendentes[COD_RELIGADOR],Pendentes[SS_ORIGINAL]),"CONCLUÍDA")</f>
        <v>ETO-COEP 00059/2026</v>
      </c>
      <c r="H78" s="4" t="s">
        <v>472</v>
      </c>
      <c r="I78" s="4" t="s">
        <v>488</v>
      </c>
      <c r="K78" s="4" t="s">
        <v>474</v>
      </c>
      <c r="L78" s="29" t="s">
        <v>489</v>
      </c>
      <c r="M78" s="31">
        <v>1</v>
      </c>
      <c r="N78" t="str">
        <f>IFERROR(_xlfn.XLOOKUP(Table2[[#This Row],[Ativo]],Pendentes[COD_RELIGADOR],Pendentes[DESCRICAO]),"")</f>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v>
      </c>
      <c r="O78" s="5">
        <v>15</v>
      </c>
      <c r="P78" s="5">
        <v>20</v>
      </c>
      <c r="Q78" s="5">
        <v>5</v>
      </c>
      <c r="R78" s="5">
        <v>15</v>
      </c>
      <c r="S78" s="5">
        <v>15</v>
      </c>
      <c r="T78" s="5">
        <v>10</v>
      </c>
      <c r="U78" s="5">
        <v>0</v>
      </c>
      <c r="V78" s="5">
        <v>15</v>
      </c>
      <c r="W78" s="5">
        <f>SUM(Table2[[#This Row],[Premissa 1]:[Premissa 8]])</f>
        <v>95</v>
      </c>
      <c r="X78" s="5" t="s">
        <v>9</v>
      </c>
      <c r="Y78" t="s">
        <v>109</v>
      </c>
    </row>
    <row r="79" spans="1:25" ht="15" customHeight="1" x14ac:dyDescent="0.25">
      <c r="A79" s="4">
        <v>7925871077</v>
      </c>
      <c r="B79" s="4" t="e">
        <f>_xlfn.XLOOKUP(Table2[[#This Row],[Ativo]],Joao!B:B,Joao!Z:Z)</f>
        <v>#N/A</v>
      </c>
      <c r="C79" s="5" t="str">
        <f>MID(Table2[[#This Row],[Ativo]],1,2)</f>
        <v>79</v>
      </c>
      <c r="D79" s="5" t="s">
        <v>190</v>
      </c>
      <c r="E79" s="5" t="s">
        <v>69</v>
      </c>
      <c r="F79" s="5" t="s">
        <v>59</v>
      </c>
      <c r="G79" s="4" t="str">
        <f>IFERROR(_xlfn.XLOOKUP(Table2[[#This Row],[Ativo]],Pendentes[COD_RELIGADOR],Pendentes[SS_ORIGINAL]),"CONCLUÍDA")</f>
        <v>ETO-COEP 00048/2026</v>
      </c>
      <c r="H79" s="4" t="s">
        <v>472</v>
      </c>
      <c r="K79" s="4" t="s">
        <v>474</v>
      </c>
      <c r="L79" s="29" t="s">
        <v>508</v>
      </c>
      <c r="M79" s="31">
        <v>1</v>
      </c>
      <c r="N79" t="str">
        <f>IFERROR(_xlfn.XLOOKUP(Table2[[#This Row],[Ativo]],Pendentes[COD_RELIGADOR],Pendentes[DESCRICAO]),"")</f>
        <v>27/07 PARECER COEP: EM PROCESSO DE AQUISIÇÃOPARECER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v>
      </c>
      <c r="O79" s="5">
        <v>15</v>
      </c>
      <c r="P79" s="5">
        <v>10</v>
      </c>
      <c r="Q79" s="5">
        <v>15</v>
      </c>
      <c r="R79" s="5">
        <v>15</v>
      </c>
      <c r="S79" s="5">
        <v>15</v>
      </c>
      <c r="T79" s="5">
        <v>10</v>
      </c>
      <c r="U79" s="5">
        <v>0</v>
      </c>
      <c r="V79" s="5">
        <v>0</v>
      </c>
      <c r="W79" s="5">
        <f>SUM(Table2[[#This Row],[Premissa 1]:[Premissa 8]])</f>
        <v>80</v>
      </c>
      <c r="X79" s="5" t="s">
        <v>9</v>
      </c>
      <c r="Y79" t="s">
        <v>193</v>
      </c>
    </row>
    <row r="80" spans="1:25" ht="15" customHeight="1" x14ac:dyDescent="0.25">
      <c r="A80" s="4">
        <v>7926089013</v>
      </c>
      <c r="B80" s="4" t="e">
        <f>_xlfn.XLOOKUP(Table2[[#This Row],[Ativo]],Joao!B:B,Joao!Z:Z)</f>
        <v>#N/A</v>
      </c>
      <c r="C80" s="5" t="str">
        <f>MID(Table2[[#This Row],[Ativo]],1,2)</f>
        <v>79</v>
      </c>
      <c r="D80" s="5" t="s">
        <v>117</v>
      </c>
      <c r="E80" s="5" t="s">
        <v>117</v>
      </c>
      <c r="F80" s="5" t="s">
        <v>51</v>
      </c>
      <c r="G80" s="4" t="str">
        <f>IFERROR(_xlfn.XLOOKUP(Table2[[#This Row],[Ativo]],Pendentes[COD_RELIGADOR],Pendentes[SS_ORIGINAL]),"CONCLUÍDA")</f>
        <v>ETO-COEP 00078/2026</v>
      </c>
      <c r="H80" s="4" t="s">
        <v>472</v>
      </c>
      <c r="K80" s="4" t="s">
        <v>474</v>
      </c>
      <c r="L80" s="29" t="s">
        <v>508</v>
      </c>
      <c r="M80" s="31">
        <v>1</v>
      </c>
      <c r="N80" t="str">
        <f>IFERROR(_xlfn.XLOOKUP(Table2[[#This Row],[Ativo]],Pendentes[COD_RELIGADOR],Pendentes[DESCRICAO]),"")</f>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v>
      </c>
      <c r="O80" s="5">
        <v>15</v>
      </c>
      <c r="P80" s="5">
        <v>10</v>
      </c>
      <c r="Q80" s="5">
        <v>5</v>
      </c>
      <c r="R80" s="5">
        <v>15</v>
      </c>
      <c r="S80" s="5">
        <v>15</v>
      </c>
      <c r="T80" s="5">
        <v>10</v>
      </c>
      <c r="U80" s="5">
        <v>0</v>
      </c>
      <c r="V80" s="5">
        <v>0</v>
      </c>
      <c r="W80" s="5">
        <f>SUM(Table2[[#This Row],[Premissa 1]:[Premissa 8]])</f>
        <v>70</v>
      </c>
      <c r="X80" s="5" t="s">
        <v>13</v>
      </c>
      <c r="Y80" t="s">
        <v>221</v>
      </c>
    </row>
    <row r="81" spans="1:25" ht="15" customHeight="1" x14ac:dyDescent="0.25">
      <c r="A81" s="4">
        <v>7926442035</v>
      </c>
      <c r="B81" s="4" t="e">
        <f>_xlfn.XLOOKUP(Table2[[#This Row],[Ativo]],Joao!B:B,Joao!Z:Z)</f>
        <v>#N/A</v>
      </c>
      <c r="C81" s="5" t="str">
        <f>MID(Table2[[#This Row],[Ativo]],1,2)</f>
        <v>79</v>
      </c>
      <c r="D81" s="5" t="s">
        <v>339</v>
      </c>
      <c r="E81" s="5" t="s">
        <v>135</v>
      </c>
      <c r="F81" s="5" t="s">
        <v>51</v>
      </c>
      <c r="G81" s="4" t="str">
        <f>IFERROR(_xlfn.XLOOKUP(Table2[[#This Row],[Ativo]],Pendentes[COD_RELIGADOR],Pendentes[SS_ORIGINAL]),"CONCLUÍDA")</f>
        <v>ETO-COEP 00051/2026</v>
      </c>
      <c r="H81" s="4" t="s">
        <v>472</v>
      </c>
      <c r="I81" s="4" t="s">
        <v>595</v>
      </c>
      <c r="K81" s="4" t="s">
        <v>474</v>
      </c>
      <c r="L81" s="29" t="s">
        <v>602</v>
      </c>
      <c r="M81" s="31">
        <v>1</v>
      </c>
      <c r="N81" t="str">
        <f>IFERROR(_xlfn.XLOOKUP(Table2[[#This Row],[Ativo]],Pendentes[COD_RELIGADOR],Pendentes[DESCRICAO]),"")</f>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v>
      </c>
      <c r="O81" s="5">
        <v>5</v>
      </c>
      <c r="P81" s="5">
        <v>5</v>
      </c>
      <c r="Q81" s="5">
        <v>0</v>
      </c>
      <c r="R81" s="5">
        <v>0</v>
      </c>
      <c r="S81" s="5">
        <v>0</v>
      </c>
      <c r="T81" s="5">
        <v>0</v>
      </c>
      <c r="U81" s="5">
        <v>10</v>
      </c>
      <c r="V81" s="5">
        <v>0</v>
      </c>
      <c r="W81" s="5">
        <f>SUM(Table2[[#This Row],[Premissa 1]:[Premissa 8]])</f>
        <v>20</v>
      </c>
      <c r="X81" s="5" t="s">
        <v>15</v>
      </c>
      <c r="Y81" t="s">
        <v>342</v>
      </c>
    </row>
    <row r="82" spans="1:25" ht="15" customHeight="1" x14ac:dyDescent="0.25">
      <c r="A82" s="4">
        <v>7927169001</v>
      </c>
      <c r="B82" s="4">
        <f>_xlfn.XLOOKUP(Table2[[#This Row],[Ativo]],Joao!B:B,Joao!Z:Z)</f>
        <v>0</v>
      </c>
      <c r="C82" s="5" t="str">
        <f>MID(Table2[[#This Row],[Ativo]],1,2)</f>
        <v>79</v>
      </c>
      <c r="D82" s="5" t="s">
        <v>50</v>
      </c>
      <c r="E82" s="5" t="s">
        <v>50</v>
      </c>
      <c r="F82" s="5" t="s">
        <v>51</v>
      </c>
      <c r="G82" s="4" t="str">
        <f>IFERROR(_xlfn.XLOOKUP(Table2[[#This Row],[Ativo]],Pendentes[COD_RELIGADOR],Pendentes[SS_ORIGINAL]),"CONCLUÍDA")</f>
        <v>ETO-PROT 00156/2026</v>
      </c>
      <c r="H82" s="4" t="s">
        <v>457</v>
      </c>
      <c r="I82" s="38"/>
      <c r="J82" s="38"/>
      <c r="K82" s="4" t="s">
        <v>459</v>
      </c>
      <c r="L82" s="29" t="s">
        <v>508</v>
      </c>
      <c r="M82" s="31"/>
      <c r="N82" t="str">
        <f>IFERROR(_xlfn.XLOOKUP(Table2[[#This Row],[Ativo]],Pendentes[COD_RELIGADOR],Pendentes[DESCRICAO]),"")</f>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v>
      </c>
      <c r="O82" s="5">
        <v>5</v>
      </c>
      <c r="P82" s="5">
        <v>5</v>
      </c>
      <c r="Q82" s="5">
        <v>15</v>
      </c>
      <c r="R82" s="5">
        <v>0</v>
      </c>
      <c r="S82" s="5">
        <v>15</v>
      </c>
      <c r="T82" s="5">
        <v>0</v>
      </c>
      <c r="U82" s="5">
        <v>0</v>
      </c>
      <c r="V82" s="5">
        <v>15</v>
      </c>
      <c r="W82" s="5">
        <f>SUM(Table2[[#This Row],[Premissa 1]:[Premissa 8]])</f>
        <v>55</v>
      </c>
      <c r="X82" s="5" t="s">
        <v>13</v>
      </c>
      <c r="Y82" t="s">
        <v>272</v>
      </c>
    </row>
    <row r="83" spans="1:25" ht="15" customHeight="1" x14ac:dyDescent="0.25">
      <c r="A83" s="4">
        <v>7927396052</v>
      </c>
      <c r="B83" s="4" t="e">
        <f>_xlfn.XLOOKUP(Table2[[#This Row],[Ativo]],Joao!B:B,Joao!Z:Z)</f>
        <v>#N/A</v>
      </c>
      <c r="C83" s="5" t="str">
        <f>MID(Table2[[#This Row],[Ativo]],1,2)</f>
        <v>79</v>
      </c>
      <c r="D83" s="5" t="s">
        <v>112</v>
      </c>
      <c r="E83" s="5" t="s">
        <v>112</v>
      </c>
      <c r="F83" s="5" t="s">
        <v>42</v>
      </c>
      <c r="G83" s="4" t="str">
        <f>IFERROR(_xlfn.XLOOKUP(Table2[[#This Row],[Ativo]],Pendentes[COD_RELIGADOR],Pendentes[SS_ORIGINAL]),"CONCLUÍDA")</f>
        <v>ETO-COEP 00045/2026</v>
      </c>
      <c r="H83" s="4" t="s">
        <v>472</v>
      </c>
      <c r="K83" s="4" t="s">
        <v>474</v>
      </c>
      <c r="L83" s="29" t="s">
        <v>508</v>
      </c>
      <c r="M83" s="31">
        <v>1</v>
      </c>
      <c r="N83" t="str">
        <f>IFERROR(_xlfn.XLOOKUP(Table2[[#This Row],[Ativo]],Pendentes[COD_RELIGADOR],Pendentes[DESCRICAO]),"")</f>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v>
      </c>
      <c r="O83" s="5">
        <v>5</v>
      </c>
      <c r="P83" s="5">
        <v>5</v>
      </c>
      <c r="Q83" s="5">
        <v>0</v>
      </c>
      <c r="R83" s="5">
        <v>0</v>
      </c>
      <c r="S83" s="5">
        <v>15</v>
      </c>
      <c r="T83" s="5">
        <v>10</v>
      </c>
      <c r="U83" s="5">
        <v>0</v>
      </c>
      <c r="V83" s="5">
        <v>0</v>
      </c>
      <c r="W83" s="5">
        <f>SUM(Table2[[#This Row],[Premissa 1]:[Premissa 8]])</f>
        <v>35</v>
      </c>
      <c r="X83" s="5" t="s">
        <v>14</v>
      </c>
      <c r="Y83" t="s">
        <v>183</v>
      </c>
    </row>
    <row r="84" spans="1:25" ht="15" customHeight="1" x14ac:dyDescent="0.25">
      <c r="A84" s="4">
        <v>7927413001</v>
      </c>
      <c r="B84" s="4" t="e">
        <f>_xlfn.XLOOKUP(Table2[[#This Row],[Ativo]],Joao!B:B,Joao!Z:Z)</f>
        <v>#N/A</v>
      </c>
      <c r="C84" s="5" t="str">
        <f>MID(Table2[[#This Row],[Ativo]],1,2)</f>
        <v>79</v>
      </c>
      <c r="D84" s="5" t="s">
        <v>50</v>
      </c>
      <c r="E84" s="5" t="s">
        <v>50</v>
      </c>
      <c r="F84" s="5" t="s">
        <v>51</v>
      </c>
      <c r="G84" s="4" t="str">
        <f>IFERROR(_xlfn.XLOOKUP(Table2[[#This Row],[Ativo]],Pendentes[COD_RELIGADOR],Pendentes[SS_ORIGINAL]),"CONCLUÍDA")</f>
        <v>ETO-COEP 00141/2026</v>
      </c>
      <c r="H84" s="4" t="s">
        <v>472</v>
      </c>
      <c r="K84" s="4" t="s">
        <v>474</v>
      </c>
      <c r="L84" s="29" t="s">
        <v>475</v>
      </c>
      <c r="M84" s="31">
        <v>1</v>
      </c>
      <c r="N84" t="str">
        <f>IFERROR(_xlfn.XLOOKUP(Table2[[#This Row],[Ativo]],Pendentes[COD_RELIGADOR],Pendentes[DESCRICAO]),"")</f>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v>
      </c>
      <c r="O84" s="5">
        <v>15</v>
      </c>
      <c r="P84" s="5">
        <v>5</v>
      </c>
      <c r="Q84" s="5">
        <v>15</v>
      </c>
      <c r="R84" s="5">
        <v>15</v>
      </c>
      <c r="S84" s="5">
        <v>15</v>
      </c>
      <c r="T84" s="5">
        <v>10</v>
      </c>
      <c r="U84" s="5">
        <v>0</v>
      </c>
      <c r="V84" s="5">
        <v>15</v>
      </c>
      <c r="W84" s="5">
        <f>SUM(Table2[[#This Row],[Premissa 1]:[Premissa 8]])</f>
        <v>90</v>
      </c>
      <c r="X84" s="5" t="s">
        <v>9</v>
      </c>
      <c r="Y84" t="s">
        <v>162</v>
      </c>
    </row>
    <row r="85" spans="1:25" ht="15" customHeight="1" x14ac:dyDescent="0.25">
      <c r="A85" s="4">
        <v>7927446001</v>
      </c>
      <c r="B85" s="4" t="e">
        <f>_xlfn.XLOOKUP(Table2[[#This Row],[Ativo]],Joao!B:B,Joao!Z:Z)</f>
        <v>#N/A</v>
      </c>
      <c r="C85" s="5" t="str">
        <f>MID(Table2[[#This Row],[Ativo]],1,2)</f>
        <v>79</v>
      </c>
      <c r="D85" s="5" t="s">
        <v>50</v>
      </c>
      <c r="E85" s="5" t="s">
        <v>50</v>
      </c>
      <c r="F85" s="5" t="s">
        <v>51</v>
      </c>
      <c r="G85" s="4" t="str">
        <f>IFERROR(_xlfn.XLOOKUP(Table2[[#This Row],[Ativo]],Pendentes[COD_RELIGADOR],Pendentes[SS_ORIGINAL]),"CONCLUÍDA")</f>
        <v>ETO-COEP 00143/2025</v>
      </c>
      <c r="H85" s="4" t="s">
        <v>472</v>
      </c>
      <c r="K85" s="4" t="s">
        <v>474</v>
      </c>
      <c r="L85" s="29" t="s">
        <v>475</v>
      </c>
      <c r="M85" s="31">
        <v>1</v>
      </c>
      <c r="N85" t="str">
        <f>IFERROR(_xlfn.XLOOKUP(Table2[[#This Row],[Ativo]],Pendentes[COD_RELIGADOR],Pendentes[DESCRICAO]),"")</f>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v>
      </c>
      <c r="O85" s="5">
        <v>5</v>
      </c>
      <c r="P85" s="5">
        <v>5</v>
      </c>
      <c r="Q85" s="5">
        <v>5</v>
      </c>
      <c r="R85" s="5">
        <v>0</v>
      </c>
      <c r="S85" s="5">
        <v>0</v>
      </c>
      <c r="T85" s="5">
        <v>10</v>
      </c>
      <c r="U85" s="5">
        <v>0</v>
      </c>
      <c r="V85" s="5">
        <v>0</v>
      </c>
      <c r="W85" s="5">
        <f>SUM(Table2[[#This Row],[Premissa 1]:[Premissa 8]])</f>
        <v>25</v>
      </c>
      <c r="X85" s="5" t="s">
        <v>15</v>
      </c>
      <c r="Y85" t="s">
        <v>322</v>
      </c>
    </row>
    <row r="86" spans="1:25" ht="15" customHeight="1" x14ac:dyDescent="0.25">
      <c r="A86" s="4">
        <v>7927646026</v>
      </c>
      <c r="B86" s="4" t="e">
        <f>_xlfn.XLOOKUP(Table2[[#This Row],[Ativo]],Joao!B:B,Joao!Z:Z)</f>
        <v>#N/A</v>
      </c>
      <c r="C86" s="5" t="str">
        <f>MID(Table2[[#This Row],[Ativo]],1,2)</f>
        <v>79</v>
      </c>
      <c r="D86" s="5" t="s">
        <v>135</v>
      </c>
      <c r="E86" s="5" t="s">
        <v>135</v>
      </c>
      <c r="F86" s="5" t="s">
        <v>51</v>
      </c>
      <c r="G86" s="4" t="str">
        <f>IFERROR(_xlfn.XLOOKUP(Table2[[#This Row],[Ativo]],Pendentes[COD_RELIGADOR],Pendentes[SS_ORIGINAL]),"CONCLUÍDA")</f>
        <v>ETO-COEP 00029/2026</v>
      </c>
      <c r="H86" s="4" t="s">
        <v>472</v>
      </c>
      <c r="K86" s="4" t="s">
        <v>474</v>
      </c>
      <c r="L86" s="29" t="s">
        <v>508</v>
      </c>
      <c r="M86" s="31">
        <v>1</v>
      </c>
      <c r="N86" t="str">
        <f>IFERROR(_xlfn.XLOOKUP(Table2[[#This Row],[Ativo]],Pendentes[COD_RELIGADOR],Pendentes[DESCRICAO]),"")</f>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v>
      </c>
      <c r="O86" s="5">
        <v>15</v>
      </c>
      <c r="P86" s="5">
        <v>10</v>
      </c>
      <c r="Q86" s="5">
        <v>5</v>
      </c>
      <c r="R86" s="5">
        <v>0</v>
      </c>
      <c r="S86" s="5">
        <v>15</v>
      </c>
      <c r="T86" s="5">
        <v>0</v>
      </c>
      <c r="U86" s="5">
        <v>10</v>
      </c>
      <c r="V86" s="5">
        <v>0</v>
      </c>
      <c r="W86" s="5">
        <f>SUM(Table2[[#This Row],[Premissa 1]:[Premissa 8]])</f>
        <v>55</v>
      </c>
      <c r="X86" s="5" t="s">
        <v>13</v>
      </c>
      <c r="Y86" t="s">
        <v>269</v>
      </c>
    </row>
    <row r="87" spans="1:25" ht="15" customHeight="1" x14ac:dyDescent="0.25">
      <c r="A87" s="4">
        <v>7927713200</v>
      </c>
      <c r="B87" s="4" t="e">
        <f>_xlfn.XLOOKUP(Table2[[#This Row],[Ativo]],Joao!B:B,Joao!Z:Z)</f>
        <v>#N/A</v>
      </c>
      <c r="C87" s="5" t="str">
        <f>MID(Table2[[#This Row],[Ativo]],1,2)</f>
        <v>79</v>
      </c>
      <c r="D87" s="5" t="s">
        <v>293</v>
      </c>
      <c r="E87" s="5" t="s">
        <v>224</v>
      </c>
      <c r="F87" s="5" t="s">
        <v>42</v>
      </c>
      <c r="G87" s="4" t="str">
        <f>IFERROR(_xlfn.XLOOKUP(Table2[[#This Row],[Ativo]],Pendentes[COD_RELIGADOR],Pendentes[SS_ORIGINAL]),"CONCLUÍDA")</f>
        <v>ETO-COEP 00157/2026</v>
      </c>
      <c r="H87" s="11" t="s">
        <v>472</v>
      </c>
      <c r="I87" s="4" t="s">
        <v>558</v>
      </c>
      <c r="K87" s="4" t="s">
        <v>474</v>
      </c>
      <c r="L87" s="29" t="s">
        <v>508</v>
      </c>
      <c r="M87" s="31">
        <v>1</v>
      </c>
      <c r="N87" t="str">
        <f>IFERROR(_xlfn.XLOOKUP(Table2[[#This Row],[Ativo]],Pendentes[COD_RELIGADOR],Pendentes[DESCRICAO]),"")</f>
        <v>segue SS para REALIZAR SUBSTITUIÇÃO DO TANQUE do RL 7927713200 danificado , com equipe de manutencao tensao 34,5kv mesmo atende Povoado retiro na rural de sao salvador  .</v>
      </c>
      <c r="O87" s="5">
        <v>5</v>
      </c>
      <c r="P87" s="5">
        <v>5</v>
      </c>
      <c r="Q87" s="5">
        <v>5</v>
      </c>
      <c r="R87" s="5">
        <v>0</v>
      </c>
      <c r="S87" s="5">
        <v>15</v>
      </c>
      <c r="T87" s="5">
        <v>10</v>
      </c>
      <c r="U87" s="5">
        <v>0</v>
      </c>
      <c r="V87" s="5">
        <v>0</v>
      </c>
      <c r="W87" s="5">
        <f>SUM(Table2[[#This Row],[Premissa 1]:[Premissa 8]])</f>
        <v>40</v>
      </c>
      <c r="X87" s="5" t="s">
        <v>14</v>
      </c>
      <c r="Y87" t="s">
        <v>296</v>
      </c>
    </row>
    <row r="88" spans="1:25" ht="15" customHeight="1" x14ac:dyDescent="0.25">
      <c r="A88" s="4">
        <v>7928241200</v>
      </c>
      <c r="B88" s="4" t="e">
        <f>_xlfn.XLOOKUP(Table2[[#This Row],[Ativo]],Joao!B:B,Joao!Z:Z)</f>
        <v>#N/A</v>
      </c>
      <c r="C88" s="5" t="str">
        <f>MID(Table2[[#This Row],[Ativo]],1,2)</f>
        <v>79</v>
      </c>
      <c r="D88" s="5" t="s">
        <v>293</v>
      </c>
      <c r="E88" s="5" t="s">
        <v>224</v>
      </c>
      <c r="F88" s="5" t="s">
        <v>42</v>
      </c>
      <c r="G88" s="4" t="str">
        <f>IFERROR(_xlfn.XLOOKUP(Table2[[#This Row],[Ativo]],Pendentes[COD_RELIGADOR],Pendentes[SS_ORIGINAL]),"CONCLUÍDA")</f>
        <v>ETO-COEP 00128/2026</v>
      </c>
      <c r="H88" s="4" t="s">
        <v>472</v>
      </c>
      <c r="K88" s="4" t="s">
        <v>474</v>
      </c>
      <c r="L88" s="29" t="s">
        <v>508</v>
      </c>
      <c r="M88" s="31">
        <v>1</v>
      </c>
      <c r="N88" t="str">
        <f>IFERROR(_xlfn.XLOOKUP(Table2[[#This Row],[Ativo]],Pendentes[COD_RELIGADOR],Pendentes[DESCRICAO]),"")</f>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v>
      </c>
      <c r="O88" s="5">
        <v>5</v>
      </c>
      <c r="P88" s="5">
        <v>5</v>
      </c>
      <c r="Q88" s="5">
        <v>5</v>
      </c>
      <c r="R88" s="5">
        <v>0</v>
      </c>
      <c r="S88" s="5">
        <v>0</v>
      </c>
      <c r="T88" s="5">
        <v>10</v>
      </c>
      <c r="U88" s="5">
        <v>0</v>
      </c>
      <c r="V88" s="5">
        <v>0</v>
      </c>
      <c r="W88" s="5">
        <f>SUM(Table2[[#This Row],[Premissa 1]:[Premissa 8]])</f>
        <v>25</v>
      </c>
      <c r="X88" s="5" t="s">
        <v>15</v>
      </c>
      <c r="Y88" t="s">
        <v>326</v>
      </c>
    </row>
    <row r="89" spans="1:25" ht="15" customHeight="1" x14ac:dyDescent="0.25">
      <c r="A89" s="4">
        <v>7928564039</v>
      </c>
      <c r="B89" s="4" t="e">
        <f>_xlfn.XLOOKUP(Table2[[#This Row],[Ativo]],Joao!B:B,Joao!Z:Z)</f>
        <v>#N/A</v>
      </c>
      <c r="C89" s="5" t="str">
        <f>MID(Table2[[#This Row],[Ativo]],1,2)</f>
        <v>79</v>
      </c>
      <c r="D89" s="5" t="s">
        <v>57</v>
      </c>
      <c r="E89" s="5" t="s">
        <v>58</v>
      </c>
      <c r="F89" s="5" t="s">
        <v>59</v>
      </c>
      <c r="G89" s="4" t="str">
        <f>IFERROR(_xlfn.XLOOKUP(Table2[[#This Row],[Ativo]],Pendentes[COD_RELIGADOR],Pendentes[SS_ORIGINAL]),"CONCLUÍDA")</f>
        <v>ETO-COEP 00123/2026</v>
      </c>
      <c r="H89" s="4" t="s">
        <v>472</v>
      </c>
      <c r="K89" s="4" t="s">
        <v>474</v>
      </c>
      <c r="L89" s="29" t="s">
        <v>475</v>
      </c>
      <c r="M89" s="31">
        <v>1</v>
      </c>
      <c r="N89" t="str">
        <f>IFERROR(_xlfn.XLOOKUP(Table2[[#This Row],[Ativo]],Pendentes[COD_RELIGADOR],Pendentes[DESCRICAO]),"")</f>
        <v>PARECER COEP: EQUIPAMENTO SELECIONADO PARA COMPRATroca do sistema de comunicação do equipamentoDMSL 28/07/2025: Equipamento com tanque, modulo e rele com defeito, solicitar troca do equipamento ao DCMD.Fotos vão ser enviadas por e-mail</v>
      </c>
      <c r="O89" s="5">
        <v>5</v>
      </c>
      <c r="P89" s="5">
        <v>10</v>
      </c>
      <c r="Q89" s="5">
        <v>5</v>
      </c>
      <c r="R89" s="5">
        <v>0</v>
      </c>
      <c r="S89" s="5">
        <v>0</v>
      </c>
      <c r="T89" s="5">
        <v>10</v>
      </c>
      <c r="U89" s="5">
        <v>0</v>
      </c>
      <c r="V89" s="5">
        <v>0</v>
      </c>
      <c r="W89" s="5">
        <f>SUM(Table2[[#This Row],[Premissa 1]:[Premissa 8]])</f>
        <v>30</v>
      </c>
      <c r="X89" s="5" t="s">
        <v>14</v>
      </c>
      <c r="Y89" t="s">
        <v>62</v>
      </c>
    </row>
    <row r="90" spans="1:25" ht="15" customHeight="1" x14ac:dyDescent="0.25">
      <c r="A90" s="4">
        <v>7929376022</v>
      </c>
      <c r="B90" s="4" t="str">
        <f>_xlfn.XLOOKUP(Table2[[#This Row],[Ativo]],Joao!B:B,Joao!Z:Z)</f>
        <v>PROBLEMA NO ENVIO DO CONTROLE</v>
      </c>
      <c r="C90" s="5" t="str">
        <f>MID(Table2[[#This Row],[Ativo]],1,2)</f>
        <v>79</v>
      </c>
      <c r="D90" s="5" t="s">
        <v>125</v>
      </c>
      <c r="E90" s="5" t="s">
        <v>69</v>
      </c>
      <c r="F90" s="5" t="s">
        <v>59</v>
      </c>
      <c r="G90" s="4" t="str">
        <f>IFERROR(_xlfn.XLOOKUP(Table2[[#This Row],[Ativo]],Pendentes[COD_RELIGADOR],Pendentes[SS_ORIGINAL]),"CONCLUÍDA")</f>
        <v>ETO-TELE 01107/2026</v>
      </c>
      <c r="H90" s="4" t="s">
        <v>491</v>
      </c>
      <c r="I90" s="4" t="s">
        <v>740</v>
      </c>
      <c r="K90" s="4" t="s">
        <v>459</v>
      </c>
      <c r="L90" s="29" t="s">
        <v>475</v>
      </c>
      <c r="M90" s="31">
        <v>1</v>
      </c>
      <c r="N90" t="str">
        <f>IFERROR(_xlfn.XLOOKUP(Table2[[#This Row],[Ativo]],Pendentes[COD_RELIGADOR],Pendentes[DESCRICAO]),"")</f>
        <v>13/08/2026 PARECER COEP: EQUIPAMENTO FOI TROCADO A PEÇA , CONFIRMAMOS COM O LEONARDO DE ARAGUAÍNA , LAUDO EM ANEXO , FAVOR REALIZAR COMISSIONAMENTOPARECER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v>
      </c>
      <c r="O90" s="5">
        <v>15</v>
      </c>
      <c r="P90" s="5">
        <v>20</v>
      </c>
      <c r="Q90" s="5">
        <v>5</v>
      </c>
      <c r="R90" s="5">
        <v>15</v>
      </c>
      <c r="S90" s="5">
        <v>15</v>
      </c>
      <c r="T90" s="5">
        <v>10</v>
      </c>
      <c r="U90" s="5">
        <v>0</v>
      </c>
      <c r="V90" s="5">
        <v>15</v>
      </c>
      <c r="W90" s="5">
        <f>SUM(Table2[[#This Row],[Premissa 1]:[Premissa 8]])</f>
        <v>95</v>
      </c>
      <c r="X90" s="5" t="s">
        <v>9</v>
      </c>
      <c r="Y90" t="s">
        <v>127</v>
      </c>
    </row>
    <row r="91" spans="1:25" ht="15" customHeight="1" x14ac:dyDescent="0.25">
      <c r="A91" s="4">
        <v>7929663074</v>
      </c>
      <c r="B91" s="4" t="e">
        <f>_xlfn.XLOOKUP(Table2[[#This Row],[Ativo]],Joao!B:B,Joao!Z:Z)</f>
        <v>#N/A</v>
      </c>
      <c r="C91" s="5" t="str">
        <f>MID(Table2[[#This Row],[Ativo]],1,2)</f>
        <v>79</v>
      </c>
      <c r="G91" s="4" t="str">
        <f>IFERROR(_xlfn.XLOOKUP(Table2[[#This Row],[Ativo]],Pendentes[COD_RELIGADOR],Pendentes[SS_ORIGINAL]),"CONCLUÍDA")</f>
        <v>CONCLUÍDA</v>
      </c>
      <c r="H91" s="4" t="s">
        <v>526</v>
      </c>
      <c r="L91" s="29"/>
      <c r="M91" s="31"/>
      <c r="N91" t="str">
        <f>IFERROR(_xlfn.XLOOKUP(Table2[[#This Row],[Ativo]],Pendentes[COD_RELIGADOR],Pendentes[DESCRICAO]),"")</f>
        <v/>
      </c>
      <c r="O91" s="5"/>
      <c r="P91" s="5"/>
      <c r="Q91" s="5"/>
      <c r="R91" s="5"/>
      <c r="S91" s="5"/>
      <c r="T91" s="5"/>
      <c r="U91" s="5"/>
      <c r="V91" s="5"/>
      <c r="W91" s="5">
        <f>SUM(Table2[[#This Row],[Premissa 1]:[Premissa 8]])</f>
        <v>0</v>
      </c>
      <c r="X91" s="5"/>
    </row>
    <row r="92" spans="1:25" ht="15" customHeight="1" x14ac:dyDescent="0.25">
      <c r="A92" s="4">
        <v>7930359149</v>
      </c>
      <c r="B92" s="4" t="e">
        <f>_xlfn.XLOOKUP(Table2[[#This Row],[Ativo]],Joao!B:B,Joao!Z:Z)</f>
        <v>#N/A</v>
      </c>
      <c r="C92" s="5" t="str">
        <f>MID(Table2[[#This Row],[Ativo]],1,2)</f>
        <v>79</v>
      </c>
      <c r="D92" s="5" t="s">
        <v>195</v>
      </c>
      <c r="E92" s="5" t="s">
        <v>152</v>
      </c>
      <c r="F92" s="5" t="s">
        <v>51</v>
      </c>
      <c r="G92" s="4" t="str">
        <f>IFERROR(_xlfn.XLOOKUP(Table2[[#This Row],[Ativo]],Pendentes[COD_RELIGADOR],Pendentes[SS_ORIGINAL]),"CONCLUÍDA")</f>
        <v>ETO-COEP 00138/2026</v>
      </c>
      <c r="H92" s="4" t="s">
        <v>506</v>
      </c>
      <c r="L92" s="29"/>
      <c r="M92" s="31"/>
      <c r="N92" t="str">
        <f>IFERROR(_xlfn.XLOOKUP(Table2[[#This Row],[Ativo]],Pendentes[COD_RELIGADOR],Pendentes[DESCRICAO]),"")</f>
        <v>PARECER DMSL 07/07/2026: equipamento tem que ser subistuido pois não faz comando, parte ativa com defeito FEITO O PRIMEIRO ATAQUE NO RELIGADOR 7930359149 E MESMO NÃO ACEITA COMANDO NEM LOCAL E NEM REMOTO SEGUNDO EQUIPE 149OP02 E PLACA DO RL ESTA CARBONIZADA COM SINAL DE CURTO.</v>
      </c>
      <c r="O92" s="5" t="s">
        <v>730</v>
      </c>
      <c r="P92" s="5"/>
      <c r="Q92" s="5"/>
      <c r="R92" s="5"/>
      <c r="S92" s="5"/>
      <c r="T92" s="5"/>
      <c r="U92" s="5"/>
      <c r="V92" s="5"/>
      <c r="W92" s="5">
        <f>SUM(Table2[[#This Row],[Premissa 1]:[Premissa 8]])</f>
        <v>0</v>
      </c>
      <c r="X92" s="5"/>
    </row>
    <row r="93" spans="1:25" ht="15" customHeight="1" x14ac:dyDescent="0.25">
      <c r="A93" s="4">
        <v>7930428001</v>
      </c>
      <c r="B93" s="4" t="e">
        <f>_xlfn.XLOOKUP(Table2[[#This Row],[Ativo]],Joao!B:B,Joao!Z:Z)</f>
        <v>#N/A</v>
      </c>
      <c r="C93" s="5" t="str">
        <f>MID(Table2[[#This Row],[Ativo]],1,2)</f>
        <v>79</v>
      </c>
      <c r="D93" s="5" t="s">
        <v>50</v>
      </c>
      <c r="E93" s="5" t="s">
        <v>50</v>
      </c>
      <c r="F93" s="5" t="s">
        <v>51</v>
      </c>
      <c r="G93" s="4" t="str">
        <f>IFERROR(_xlfn.XLOOKUP(Table2[[#This Row],[Ativo]],Pendentes[COD_RELIGADOR],Pendentes[SS_ORIGINAL]),"CONCLUÍDA")</f>
        <v>ETO-COEP 00150/2026</v>
      </c>
      <c r="H93" s="4" t="s">
        <v>472</v>
      </c>
      <c r="K93" s="4" t="s">
        <v>474</v>
      </c>
      <c r="L93" s="29" t="s">
        <v>508</v>
      </c>
      <c r="M93" s="31">
        <v>1</v>
      </c>
      <c r="N93" t="str">
        <f>IFERROR(_xlfn.XLOOKUP(Table2[[#This Row],[Ativo]],Pendentes[COD_RELIGADOR],Pendentes[DESCRICAO]),"")</f>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v>
      </c>
      <c r="O93" s="5">
        <v>5</v>
      </c>
      <c r="P93" s="5">
        <v>5</v>
      </c>
      <c r="Q93" s="5">
        <v>15</v>
      </c>
      <c r="R93" s="5">
        <v>0</v>
      </c>
      <c r="S93" s="5">
        <v>15</v>
      </c>
      <c r="T93" s="5">
        <v>10</v>
      </c>
      <c r="U93" s="5">
        <v>0</v>
      </c>
      <c r="V93" s="5">
        <v>0</v>
      </c>
      <c r="W93" s="5">
        <f>SUM(Table2[[#This Row],[Premissa 1]:[Premissa 8]])</f>
        <v>50</v>
      </c>
      <c r="X93" s="5" t="s">
        <v>13</v>
      </c>
      <c r="Y93" t="s">
        <v>276</v>
      </c>
    </row>
    <row r="94" spans="1:25" ht="15" customHeight="1" x14ac:dyDescent="0.25">
      <c r="A94" s="4">
        <v>7931383086</v>
      </c>
      <c r="B94" s="4" t="e">
        <f>_xlfn.XLOOKUP(Table2[[#This Row],[Ativo]],Joao!B:B,Joao!Z:Z)</f>
        <v>#N/A</v>
      </c>
      <c r="C94" s="5" t="str">
        <f>MID(Table2[[#This Row],[Ativo]],1,2)</f>
        <v>79</v>
      </c>
      <c r="D94" s="5" t="s">
        <v>523</v>
      </c>
      <c r="E94" s="5" t="s">
        <v>152</v>
      </c>
      <c r="F94" s="5" t="s">
        <v>51</v>
      </c>
      <c r="G94" s="4" t="str">
        <f>IFERROR(_xlfn.XLOOKUP(Table2[[#This Row],[Ativo]],Pendentes[COD_RELIGADOR],Pendentes[SS_ORIGINAL]),"CONCLUÍDA")</f>
        <v>CONCLUÍDA</v>
      </c>
      <c r="H94" s="4" t="s">
        <v>721</v>
      </c>
      <c r="K94" s="4" t="s">
        <v>453</v>
      </c>
      <c r="L94" s="29"/>
      <c r="M94" s="31"/>
      <c r="N94" t="str">
        <f>IFERROR(_xlfn.XLOOKUP(Table2[[#This Row],[Ativo]],Pendentes[COD_RELIGADOR],Pendentes[DESCRICAO]),"")</f>
        <v/>
      </c>
      <c r="O94" s="5">
        <v>15</v>
      </c>
      <c r="P94" s="5">
        <v>20</v>
      </c>
      <c r="Q94" s="5">
        <v>5</v>
      </c>
      <c r="R94" s="5">
        <v>15</v>
      </c>
      <c r="S94" s="5">
        <v>0</v>
      </c>
      <c r="T94" s="5">
        <v>10</v>
      </c>
      <c r="U94" s="5">
        <v>0</v>
      </c>
      <c r="V94" s="5">
        <v>15</v>
      </c>
      <c r="W94" s="5">
        <f>SUM(Table2[[#This Row],[Premissa 1]:[Premissa 8]])</f>
        <v>80</v>
      </c>
      <c r="X94" s="5" t="s">
        <v>9</v>
      </c>
      <c r="Y94" t="s">
        <v>524</v>
      </c>
    </row>
    <row r="95" spans="1:25" ht="15" customHeight="1" x14ac:dyDescent="0.25">
      <c r="A95" s="4">
        <v>7931608059</v>
      </c>
      <c r="B95" s="4" t="e">
        <f>_xlfn.XLOOKUP(Table2[[#This Row],[Ativo]],Joao!B:B,Joao!Z:Z)</f>
        <v>#N/A</v>
      </c>
      <c r="C95" s="5" t="str">
        <f>MID(Table2[[#This Row],[Ativo]],1,2)</f>
        <v>79</v>
      </c>
      <c r="D95" s="5" t="s">
        <v>74</v>
      </c>
      <c r="E95" s="5" t="s">
        <v>74</v>
      </c>
      <c r="F95" s="5" t="s">
        <v>51</v>
      </c>
      <c r="G95" s="4" t="str">
        <f>IFERROR(_xlfn.XLOOKUP(Table2[[#This Row],[Ativo]],Pendentes[COD_RELIGADOR],Pendentes[SS_ORIGINAL]),"CONCLUÍDA")</f>
        <v>ETO-COEP 00040/2026</v>
      </c>
      <c r="H95" s="4" t="s">
        <v>472</v>
      </c>
      <c r="K95" s="4" t="s">
        <v>474</v>
      </c>
      <c r="L95" s="29" t="s">
        <v>476</v>
      </c>
      <c r="M95" s="31">
        <v>1</v>
      </c>
      <c r="N95" t="str">
        <f>IFERROR(_xlfn.XLOOKUP(Table2[[#This Row],[Ativo]],Pendentes[COD_RELIGADOR],Pendentes[DESCRICAO]),"")</f>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v>
      </c>
      <c r="O95" s="5">
        <v>15</v>
      </c>
      <c r="P95" s="5">
        <v>20</v>
      </c>
      <c r="Q95" s="5">
        <v>15</v>
      </c>
      <c r="R95" s="5">
        <v>15</v>
      </c>
      <c r="S95" s="5">
        <v>15</v>
      </c>
      <c r="T95" s="5">
        <v>10</v>
      </c>
      <c r="U95" s="5">
        <v>0</v>
      </c>
      <c r="V95" s="5">
        <v>15</v>
      </c>
      <c r="W95" s="5">
        <f>SUM(Table2[[#This Row],[Premissa 1]:[Premissa 8]])</f>
        <v>105</v>
      </c>
      <c r="X95" s="5" t="s">
        <v>9</v>
      </c>
      <c r="Y95" t="s">
        <v>77</v>
      </c>
    </row>
    <row r="96" spans="1:25" ht="15" customHeight="1" x14ac:dyDescent="0.25">
      <c r="A96" s="4">
        <v>7931610122</v>
      </c>
      <c r="B96" s="4" t="str">
        <f>_xlfn.XLOOKUP(Table2[[#This Row],[Ativo]],Joao!B:B,Joao!Z:Z)</f>
        <v>Em andamento</v>
      </c>
      <c r="C96" s="5" t="str">
        <f>MID(Table2[[#This Row],[Ativo]],1,2)</f>
        <v>79</v>
      </c>
      <c r="D96" s="5" t="s">
        <v>264</v>
      </c>
      <c r="E96" s="5" t="s">
        <v>264</v>
      </c>
      <c r="F96" s="5" t="s">
        <v>51</v>
      </c>
      <c r="G96" s="4" t="str">
        <f>IFERROR(_xlfn.XLOOKUP(Table2[[#This Row],[Ativo]],Pendentes[COD_RELIGADOR],Pendentes[SS_ORIGINAL]),"CONCLUÍDA")</f>
        <v>CONCLUÍDA</v>
      </c>
      <c r="H96" s="4" t="s">
        <v>464</v>
      </c>
      <c r="J96" s="4" t="s">
        <v>741</v>
      </c>
      <c r="K96" s="4" t="s">
        <v>459</v>
      </c>
      <c r="L96" s="29" t="s">
        <v>479</v>
      </c>
      <c r="M96" s="31">
        <v>1</v>
      </c>
      <c r="N96" t="str">
        <f>IFERROR(_xlfn.XLOOKUP(Table2[[#This Row],[Ativo]],Pendentes[COD_RELIGADOR],Pendentes[DESCRICAO]),"")</f>
        <v/>
      </c>
      <c r="O96" s="5">
        <v>15</v>
      </c>
      <c r="P96" s="5">
        <v>20</v>
      </c>
      <c r="Q96" s="5">
        <v>15</v>
      </c>
      <c r="R96" s="5">
        <v>15</v>
      </c>
      <c r="S96" s="5">
        <v>15</v>
      </c>
      <c r="T96" s="5">
        <v>10</v>
      </c>
      <c r="U96" s="5">
        <v>0</v>
      </c>
      <c r="V96" s="5">
        <v>15</v>
      </c>
      <c r="W96" s="5">
        <f>SUM(Table2[[#This Row],[Premissa 1]:[Premissa 8]])</f>
        <v>105</v>
      </c>
      <c r="X96" s="5" t="s">
        <v>9</v>
      </c>
      <c r="Y96" t="s">
        <v>481</v>
      </c>
    </row>
    <row r="97" spans="1:25" ht="15" customHeight="1" x14ac:dyDescent="0.25">
      <c r="A97" s="4">
        <v>7933585074</v>
      </c>
      <c r="B97" s="4" t="e">
        <f>_xlfn.XLOOKUP(Table2[[#This Row],[Ativo]],Joao!B:B,Joao!Z:Z)</f>
        <v>#N/A</v>
      </c>
      <c r="C97" s="5" t="str">
        <f>MID(Table2[[#This Row],[Ativo]],1,2)</f>
        <v>79</v>
      </c>
      <c r="D97" s="5" t="s">
        <v>41</v>
      </c>
      <c r="E97" s="5" t="s">
        <v>41</v>
      </c>
      <c r="F97" s="5" t="s">
        <v>42</v>
      </c>
      <c r="G97" s="4" t="str">
        <f>IFERROR(_xlfn.XLOOKUP(Table2[[#This Row],[Ativo]],Pendentes[COD_RELIGADOR],Pendentes[SS_ORIGINAL]),"CONCLUÍDA")</f>
        <v>ETO-COEP 00024/2026</v>
      </c>
      <c r="H97" s="5" t="s">
        <v>472</v>
      </c>
      <c r="I97" s="4" t="s">
        <v>473</v>
      </c>
      <c r="K97" s="4" t="s">
        <v>474</v>
      </c>
      <c r="L97" s="29" t="s">
        <v>508</v>
      </c>
      <c r="M97" s="31">
        <v>1</v>
      </c>
      <c r="N97" t="str">
        <f>IFERROR(_xlfn.XLOOKUP(Table2[[#This Row],[Ativo]],Pendentes[COD_RELIGADOR],Pendentes[DESCRICAO]),"")</f>
        <v>30/06 PARECER COEP: EQUIPAMENTO SELECIONADO PARA COMPRAREALIZAR SUBSTITUIÇÃO DO TANQUE, O MESMO ESTÁ COM DEFEITO.</v>
      </c>
      <c r="O97" s="5">
        <v>5</v>
      </c>
      <c r="P97" s="5">
        <v>5</v>
      </c>
      <c r="Q97" s="5">
        <v>15</v>
      </c>
      <c r="R97" s="5">
        <v>0</v>
      </c>
      <c r="S97" s="5">
        <v>0</v>
      </c>
      <c r="T97" s="5">
        <v>0</v>
      </c>
      <c r="U97" s="5">
        <v>10</v>
      </c>
      <c r="V97" s="5">
        <v>0</v>
      </c>
      <c r="W97" s="5">
        <f>SUM(Table2[[#This Row],[Premissa 1]:[Premissa 8]])</f>
        <v>35</v>
      </c>
      <c r="X97" s="5" t="s">
        <v>14</v>
      </c>
      <c r="Y97" t="s">
        <v>141</v>
      </c>
    </row>
    <row r="98" spans="1:25" ht="15" customHeight="1" x14ac:dyDescent="0.25">
      <c r="A98" s="4">
        <v>7933726256</v>
      </c>
      <c r="B98" s="4" t="str">
        <f>_xlfn.XLOOKUP(Table2[[#This Row],[Ativo]],Joao!B:B,Joao!Z:Z)</f>
        <v>Utilizaremos o que foi direcionado para Santa Rita , Favor Cancelar a obra COCM´S</v>
      </c>
      <c r="C98" s="5" t="str">
        <f>MID(Table2[[#This Row],[Ativo]],1,2)</f>
        <v>79</v>
      </c>
      <c r="D98" s="5" t="s">
        <v>134</v>
      </c>
      <c r="E98" s="5" t="s">
        <v>135</v>
      </c>
      <c r="F98" s="5" t="s">
        <v>51</v>
      </c>
      <c r="G98" s="4" t="str">
        <f>IFERROR(_xlfn.XLOOKUP(Table2[[#This Row],[Ativo]],Pendentes[COD_RELIGADOR],Pendentes[SS_ORIGINAL]),"CONCLUÍDA")</f>
        <v>ETO-SE-PCM 00092/2026</v>
      </c>
      <c r="H98" s="4" t="s">
        <v>457</v>
      </c>
      <c r="I98" s="4" t="s">
        <v>496</v>
      </c>
      <c r="K98" s="4" t="s">
        <v>459</v>
      </c>
      <c r="L98" s="29" t="s">
        <v>497</v>
      </c>
      <c r="M98" s="31">
        <v>1</v>
      </c>
      <c r="N98" t="str">
        <f>IFERROR(_xlfn.XLOOKUP(Table2[[#This Row],[Ativo]],Pendentes[COD_RELIGADOR],Pendentes[DESCRICAO]),"")</f>
        <v>17/08/2026 PARECER DA PROTEÇÃO:NOTA REPASSADA PARA DMSL COMISSIONARENG° IRLLEY CASTELO BRANCO07/07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v>
      </c>
      <c r="O98" s="5">
        <v>15</v>
      </c>
      <c r="P98" s="5">
        <v>10</v>
      </c>
      <c r="Q98" s="5">
        <v>15</v>
      </c>
      <c r="R98" s="5">
        <v>15</v>
      </c>
      <c r="S98" s="5">
        <v>15</v>
      </c>
      <c r="T98" s="5">
        <v>10</v>
      </c>
      <c r="U98" s="5">
        <v>0</v>
      </c>
      <c r="V98" s="5">
        <v>15</v>
      </c>
      <c r="W98" s="5">
        <f>SUM(Table2[[#This Row],[Premissa 1]:[Premissa 8]])</f>
        <v>95</v>
      </c>
      <c r="X98" s="5" t="s">
        <v>9</v>
      </c>
      <c r="Y98" t="s">
        <v>138</v>
      </c>
    </row>
    <row r="99" spans="1:25" ht="15" customHeight="1" x14ac:dyDescent="0.25">
      <c r="A99" s="4">
        <v>7933766059</v>
      </c>
      <c r="B99" s="4" t="str">
        <f>_xlfn.XLOOKUP(Table2[[#This Row],[Ativo]],Joao!B:B,Joao!Z:Z)</f>
        <v>Em andamento</v>
      </c>
      <c r="C99" s="5" t="str">
        <f>MID(Table2[[#This Row],[Ativo]],1,2)</f>
        <v>79</v>
      </c>
      <c r="D99" s="5" t="s">
        <v>74</v>
      </c>
      <c r="E99" s="5" t="s">
        <v>74</v>
      </c>
      <c r="F99" s="5" t="s">
        <v>51</v>
      </c>
      <c r="G99" s="4" t="str">
        <f>IFERROR(_xlfn.XLOOKUP(Table2[[#This Row],[Ativo]],Pendentes[COD_RELIGADOR],Pendentes[SS_ORIGINAL]),"CONCLUÍDA")</f>
        <v>CONCLUÍDA</v>
      </c>
      <c r="H99" s="4" t="s">
        <v>464</v>
      </c>
      <c r="I99" s="9"/>
      <c r="J99" s="9"/>
      <c r="K99" s="4" t="s">
        <v>459</v>
      </c>
      <c r="L99" s="29" t="s">
        <v>497</v>
      </c>
      <c r="M99" s="31">
        <v>1</v>
      </c>
      <c r="N99" t="str">
        <f>IFERROR(_xlfn.XLOOKUP(Table2[[#This Row],[Ativo]],Pendentes[COD_RELIGADOR],Pendentes[DESCRICAO]),"")</f>
        <v/>
      </c>
      <c r="O99" s="5">
        <v>15</v>
      </c>
      <c r="P99" s="5">
        <v>20</v>
      </c>
      <c r="Q99" s="5">
        <v>5</v>
      </c>
      <c r="R99" s="5">
        <v>15</v>
      </c>
      <c r="S99" s="5">
        <v>15</v>
      </c>
      <c r="T99" s="5">
        <v>0</v>
      </c>
      <c r="U99" s="5">
        <v>10</v>
      </c>
      <c r="V99" s="5">
        <v>15</v>
      </c>
      <c r="W99" s="5">
        <f>SUM(Table2[[#This Row],[Premissa 1]:[Premissa 8]])</f>
        <v>95</v>
      </c>
      <c r="X99" s="5" t="s">
        <v>9</v>
      </c>
      <c r="Y99" t="s">
        <v>501</v>
      </c>
    </row>
    <row r="100" spans="1:25" ht="15" customHeight="1" x14ac:dyDescent="0.25">
      <c r="A100" s="4">
        <v>7934697002</v>
      </c>
      <c r="B100" s="4" t="e">
        <f>_xlfn.XLOOKUP(Table2[[#This Row],[Ativo]],Joao!B:B,Joao!Z:Z)</f>
        <v>#N/A</v>
      </c>
      <c r="C100" s="5" t="str">
        <f>MID(Table2[[#This Row],[Ativo]],1,2)</f>
        <v>79</v>
      </c>
      <c r="D100" s="5" t="s">
        <v>259</v>
      </c>
      <c r="E100" s="5" t="s">
        <v>259</v>
      </c>
      <c r="F100" s="5" t="s">
        <v>59</v>
      </c>
      <c r="G100" s="4" t="str">
        <f>IFERROR(_xlfn.XLOOKUP(Table2[[#This Row],[Ativo]],Pendentes[COD_RELIGADOR],Pendentes[SS_ORIGINAL]),"CONCLUÍDA")</f>
        <v>CONCLUÍDA</v>
      </c>
      <c r="H100" s="4" t="s">
        <v>742</v>
      </c>
      <c r="L100" s="29"/>
      <c r="M100" s="31"/>
      <c r="N100" t="str">
        <f>IFERROR(_xlfn.XLOOKUP(Table2[[#This Row],[Ativo]],Pendentes[COD_RELIGADOR],Pendentes[DESCRICAO]),"")</f>
        <v/>
      </c>
      <c r="O100" s="5" t="s">
        <v>730</v>
      </c>
      <c r="P100" s="5"/>
      <c r="Q100" s="5"/>
      <c r="R100" s="5"/>
      <c r="S100" s="5"/>
      <c r="T100" s="5"/>
      <c r="U100" s="5"/>
      <c r="V100" s="5"/>
      <c r="W100" s="5">
        <f>SUM(Table2[[#This Row],[Premissa 1]:[Premissa 8]])</f>
        <v>0</v>
      </c>
      <c r="X100" s="5"/>
    </row>
    <row r="101" spans="1:25" ht="15" customHeight="1" x14ac:dyDescent="0.25">
      <c r="A101" s="4">
        <v>7934698002</v>
      </c>
      <c r="B101" s="4" t="str">
        <f>_xlfn.XLOOKUP(Table2[[#This Row],[Ativo]],Joao!B:B,Joao!Z:Z)</f>
        <v>Concluido</v>
      </c>
      <c r="C101" s="5" t="str">
        <f>MID(Table2[[#This Row],[Ativo]],1,2)</f>
        <v>79</v>
      </c>
      <c r="D101" s="5" t="s">
        <v>259</v>
      </c>
      <c r="E101" s="5" t="s">
        <v>259</v>
      </c>
      <c r="F101" s="5" t="s">
        <v>59</v>
      </c>
      <c r="G101" s="4" t="str">
        <f>IFERROR(_xlfn.XLOOKUP(Table2[[#This Row],[Ativo]],Pendentes[COD_RELIGADOR],Pendentes[SS_ORIGINAL]),"CONCLUÍDA")</f>
        <v>CONCLUÍDA</v>
      </c>
      <c r="H101" s="4" t="s">
        <v>506</v>
      </c>
      <c r="I101" s="4" t="s">
        <v>743</v>
      </c>
      <c r="K101" s="4" t="s">
        <v>453</v>
      </c>
      <c r="L101" s="29"/>
      <c r="M101" s="31"/>
      <c r="N101" t="str">
        <f>IFERROR(_xlfn.XLOOKUP(Table2[[#This Row],[Ativo]],Pendentes[COD_RELIGADOR],Pendentes[DESCRICAO]),"")</f>
        <v/>
      </c>
      <c r="O101" s="5">
        <v>5</v>
      </c>
      <c r="P101" s="5">
        <v>5</v>
      </c>
      <c r="Q101" s="5">
        <v>5</v>
      </c>
      <c r="R101" s="5">
        <v>0</v>
      </c>
      <c r="S101" s="5">
        <v>15</v>
      </c>
      <c r="T101" s="5">
        <v>0</v>
      </c>
      <c r="U101" s="5">
        <v>10</v>
      </c>
      <c r="V101" s="5">
        <v>15</v>
      </c>
      <c r="W101" s="5">
        <f>SUM(Table2[[#This Row],[Premissa 1]:[Premissa 8]])</f>
        <v>55</v>
      </c>
      <c r="X101" s="5" t="s">
        <v>13</v>
      </c>
      <c r="Y101" t="s">
        <v>557</v>
      </c>
    </row>
    <row r="102" spans="1:25" ht="15" customHeight="1" x14ac:dyDescent="0.25">
      <c r="A102" s="43">
        <v>7936038076</v>
      </c>
      <c r="B102" s="43" t="e">
        <f>_xlfn.XLOOKUP(Table2[[#This Row],[Ativo]],Joao!B:B,Joao!Z:Z)</f>
        <v>#N/A</v>
      </c>
      <c r="C102" s="5" t="str">
        <f>MID(Table2[[#This Row],[Ativo]],1,2)</f>
        <v>79</v>
      </c>
      <c r="D102" s="5" t="s">
        <v>209</v>
      </c>
      <c r="E102" s="5" t="s">
        <v>210</v>
      </c>
      <c r="F102" s="5" t="s">
        <v>42</v>
      </c>
      <c r="G102" s="4" t="str">
        <f>IFERROR(_xlfn.XLOOKUP(Table2[[#This Row],[Ativo]],Pendentes[COD_RELIGADOR],Pendentes[SS_ORIGINAL]),"CONCLUÍDA")</f>
        <v>CONCLUÍDA</v>
      </c>
      <c r="H102" s="11" t="s">
        <v>472</v>
      </c>
      <c r="I102" s="4" t="s">
        <v>558</v>
      </c>
      <c r="K102" s="4" t="s">
        <v>474</v>
      </c>
      <c r="L102" s="29"/>
      <c r="M102" s="31"/>
      <c r="N102" t="str">
        <f>IFERROR(_xlfn.XLOOKUP(Table2[[#This Row],[Ativo]],Pendentes[COD_RELIGADOR],Pendentes[DESCRICAO]),"")</f>
        <v/>
      </c>
      <c r="O102" s="5">
        <v>5</v>
      </c>
      <c r="P102" s="5">
        <v>5</v>
      </c>
      <c r="Q102" s="5">
        <v>15</v>
      </c>
      <c r="R102" s="5">
        <v>0</v>
      </c>
      <c r="S102" s="5">
        <v>15</v>
      </c>
      <c r="T102" s="5">
        <v>10</v>
      </c>
      <c r="U102" s="5">
        <v>0</v>
      </c>
      <c r="V102" s="5">
        <v>0</v>
      </c>
      <c r="W102" s="5">
        <f>SUM(Table2[[#This Row],[Premissa 1]:[Premissa 8]])</f>
        <v>50</v>
      </c>
      <c r="X102" s="5" t="s">
        <v>13</v>
      </c>
      <c r="Y102" t="s">
        <v>559</v>
      </c>
    </row>
    <row r="103" spans="1:25" ht="15" customHeight="1" x14ac:dyDescent="0.25">
      <c r="A103" s="4">
        <v>7937102148</v>
      </c>
      <c r="B103" s="4" t="e">
        <f>_xlfn.XLOOKUP(Table2[[#This Row],[Ativo]],Joao!B:B,Joao!Z:Z)</f>
        <v>#N/A</v>
      </c>
      <c r="C103" s="5" t="str">
        <f>MID(Table2[[#This Row],[Ativo]],1,2)</f>
        <v>79</v>
      </c>
      <c r="D103" s="5" t="s">
        <v>301</v>
      </c>
      <c r="E103" s="5" t="s">
        <v>224</v>
      </c>
      <c r="F103" s="5" t="s">
        <v>42</v>
      </c>
      <c r="G103" s="4" t="str">
        <f>IFERROR(_xlfn.XLOOKUP(Table2[[#This Row],[Ativo]],Pendentes[COD_RELIGADOR],Pendentes[SS_ORIGINAL]),"CONCLUÍDA")</f>
        <v>ETO-COEP 00129/2026</v>
      </c>
      <c r="H103" s="4" t="s">
        <v>472</v>
      </c>
      <c r="K103" s="4" t="s">
        <v>474</v>
      </c>
      <c r="L103" s="29" t="s">
        <v>508</v>
      </c>
      <c r="M103" s="31">
        <v>1</v>
      </c>
      <c r="N103" t="str">
        <f>IFERROR(_xlfn.XLOOKUP(Table2[[#This Row],[Ativo]],Pendentes[COD_RELIGADOR],Pendentes[DESCRICAO]),"")</f>
        <v>PARECER COEP: REAVALIAR DISPONIBILIDADE DO EQUIPAMENTO NO SCADA ASSIM COMO , FORNECER MODELO DO EQUIPAMENTO E FAIXA DE TENSÃO PARA COMPRA / AQUISIÇÃOTanque com defeito, realizar substituição do tanque.</v>
      </c>
      <c r="O103" s="5">
        <v>5</v>
      </c>
      <c r="P103" s="5">
        <v>5</v>
      </c>
      <c r="Q103" s="5">
        <v>5</v>
      </c>
      <c r="R103" s="5">
        <v>0</v>
      </c>
      <c r="S103" s="5">
        <v>15</v>
      </c>
      <c r="T103" s="5">
        <v>10</v>
      </c>
      <c r="U103" s="5">
        <v>0</v>
      </c>
      <c r="V103" s="5">
        <v>0</v>
      </c>
      <c r="W103" s="5">
        <f>SUM(Table2[[#This Row],[Premissa 1]:[Premissa 8]])</f>
        <v>40</v>
      </c>
      <c r="X103" s="5" t="s">
        <v>14</v>
      </c>
      <c r="Y103" t="s">
        <v>304</v>
      </c>
    </row>
    <row r="104" spans="1:25" s="46" customFormat="1" ht="15" customHeight="1" x14ac:dyDescent="0.25">
      <c r="A104" s="4">
        <v>7938137007</v>
      </c>
      <c r="B104" s="4" t="str">
        <f>_xlfn.XLOOKUP(Table2[[#This Row],[Ativo]],Joao!B:B,Joao!Z:Z)</f>
        <v>Não Houve entrega do Material</v>
      </c>
      <c r="C104" s="5" t="str">
        <f>MID(Table2[[#This Row],[Ativo]],1,2)</f>
        <v>79</v>
      </c>
      <c r="D104" s="5" t="s">
        <v>100</v>
      </c>
      <c r="E104" s="5" t="s">
        <v>100</v>
      </c>
      <c r="F104" s="5" t="s">
        <v>51</v>
      </c>
      <c r="G104" s="4" t="str">
        <f>IFERROR(_xlfn.XLOOKUP(Table2[[#This Row],[Ativo]],Pendentes[COD_RELIGADOR],Pendentes[SS_ORIGINAL]),"CONCLUÍDA")</f>
        <v>ETO-COEP 00144/2026</v>
      </c>
      <c r="H104" s="5" t="s">
        <v>472</v>
      </c>
      <c r="I104" s="4"/>
      <c r="J104" s="4"/>
      <c r="K104" s="4" t="s">
        <v>474</v>
      </c>
      <c r="L104" s="29" t="s">
        <v>604</v>
      </c>
      <c r="M104" s="31">
        <v>1</v>
      </c>
      <c r="N104" t="str">
        <f>IFERROR(_xlfn.XLOOKUP(Table2[[#This Row],[Ativo]],Pendentes[COD_RELIGADOR],Pendentes[DESCRICAO]),"")</f>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v>
      </c>
      <c r="O104" s="5">
        <v>5</v>
      </c>
      <c r="P104" s="5">
        <v>5</v>
      </c>
      <c r="Q104" s="5">
        <v>5</v>
      </c>
      <c r="R104" s="5">
        <v>0</v>
      </c>
      <c r="S104" s="5">
        <v>0</v>
      </c>
      <c r="T104" s="5">
        <v>0</v>
      </c>
      <c r="U104" s="5">
        <v>0</v>
      </c>
      <c r="V104" s="5">
        <v>0</v>
      </c>
      <c r="W104" s="5">
        <f>SUM(Table2[[#This Row],[Premissa 1]:[Premissa 8]])</f>
        <v>15</v>
      </c>
      <c r="X104" s="5" t="s">
        <v>15</v>
      </c>
      <c r="Y104" t="s">
        <v>345</v>
      </c>
    </row>
    <row r="105" spans="1:25" ht="15" customHeight="1" x14ac:dyDescent="0.25">
      <c r="A105" s="4">
        <v>7942485096</v>
      </c>
      <c r="B105" s="4" t="e">
        <f>_xlfn.XLOOKUP(Table2[[#This Row],[Ativo]],Joao!B:B,Joao!Z:Z)</f>
        <v>#N/A</v>
      </c>
      <c r="C105" s="5" t="str">
        <f>MID(Table2[[#This Row],[Ativo]],1,2)</f>
        <v>79</v>
      </c>
      <c r="D105" s="5" t="s">
        <v>310</v>
      </c>
      <c r="E105" s="5" t="s">
        <v>135</v>
      </c>
      <c r="F105" s="5" t="s">
        <v>51</v>
      </c>
      <c r="G105" s="4" t="str">
        <f>IFERROR(_xlfn.XLOOKUP(Table2[[#This Row],[Ativo]],Pendentes[COD_RELIGADOR],Pendentes[SS_ORIGINAL]),"CONCLUÍDA")</f>
        <v>ETO-COEP 00158/2025</v>
      </c>
      <c r="H105" s="5" t="s">
        <v>472</v>
      </c>
      <c r="K105" s="4" t="s">
        <v>474</v>
      </c>
      <c r="L105" s="29" t="s">
        <v>508</v>
      </c>
      <c r="M105" s="31">
        <v>1</v>
      </c>
      <c r="N105" t="str">
        <f>IFERROR(_xlfn.XLOOKUP(Table2[[#This Row],[Ativo]],Pendentes[COD_RELIGADOR],Pendentes[DESCRICAO]),"")</f>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v>
      </c>
      <c r="O105" s="5">
        <v>5</v>
      </c>
      <c r="P105" s="5">
        <v>5</v>
      </c>
      <c r="Q105" s="5">
        <v>5</v>
      </c>
      <c r="R105" s="5">
        <v>0</v>
      </c>
      <c r="S105" s="5">
        <v>0</v>
      </c>
      <c r="T105" s="5">
        <v>10</v>
      </c>
      <c r="U105" s="5">
        <v>0</v>
      </c>
      <c r="V105" s="5">
        <v>0</v>
      </c>
      <c r="W105" s="5">
        <f>SUM(Table2[[#This Row],[Premissa 1]:[Premissa 8]])</f>
        <v>25</v>
      </c>
      <c r="X105" s="5" t="s">
        <v>15</v>
      </c>
      <c r="Y105" t="s">
        <v>312</v>
      </c>
    </row>
    <row r="106" spans="1:25" ht="15" customHeight="1" x14ac:dyDescent="0.25">
      <c r="A106" s="12">
        <v>7942572059</v>
      </c>
      <c r="B106" s="12" t="e">
        <f>_xlfn.XLOOKUP(Table2[[#This Row],[Ativo]],Joao!B:B,Joao!Z:Z)</f>
        <v>#N/A</v>
      </c>
      <c r="C106" s="5" t="str">
        <f>MID(Table2[[#This Row],[Ativo]],1,2)</f>
        <v>79</v>
      </c>
      <c r="D106" s="5" t="s">
        <v>74</v>
      </c>
      <c r="E106" s="5" t="s">
        <v>74</v>
      </c>
      <c r="F106" s="5" t="s">
        <v>51</v>
      </c>
      <c r="G106" s="4" t="str">
        <f>IFERROR(_xlfn.XLOOKUP(Table2[[#This Row],[Ativo]],Pendentes[COD_RELIGADOR],Pendentes[SS_ORIGINAL]),"CONCLUÍDA")</f>
        <v>ETO-PROT 00155/2026</v>
      </c>
      <c r="H106" s="4" t="s">
        <v>464</v>
      </c>
      <c r="K106" s="4" t="s">
        <v>572</v>
      </c>
      <c r="L106" s="29"/>
      <c r="M106" s="31"/>
      <c r="N106" t="str">
        <f>IFERROR(_xlfn.XLOOKUP(Table2[[#This Row],[Ativo]],Pendentes[COD_RELIGADOR],Pendentes[DESCRICAO]),"")</f>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v>
      </c>
      <c r="O106" s="5">
        <v>5</v>
      </c>
      <c r="P106" s="5">
        <v>5</v>
      </c>
      <c r="Q106" s="5">
        <v>15</v>
      </c>
      <c r="R106" s="5">
        <v>0</v>
      </c>
      <c r="S106" s="5">
        <v>0</v>
      </c>
      <c r="T106" s="5">
        <v>0</v>
      </c>
      <c r="U106" s="5">
        <v>10</v>
      </c>
      <c r="V106" s="5">
        <v>0</v>
      </c>
      <c r="W106" s="5">
        <f>SUM(Table2[[#This Row],[Premissa 1]:[Premissa 8]])</f>
        <v>35</v>
      </c>
      <c r="X106" s="5" t="s">
        <v>14</v>
      </c>
      <c r="Y106" t="s">
        <v>319</v>
      </c>
    </row>
    <row r="107" spans="1:25" ht="15" customHeight="1" x14ac:dyDescent="0.25">
      <c r="A107" s="4">
        <v>7943790134</v>
      </c>
      <c r="B107" s="4" t="str">
        <f>_xlfn.XLOOKUP(Table2[[#This Row],[Ativo]],Joao!B:B,Joao!Z:Z)</f>
        <v>Ainda no nosso posto , mas de acordo com o Luanderson vai disponibilizar a equipe na terça-feira 03/06</v>
      </c>
      <c r="C107" s="5" t="str">
        <f>MID(Table2[[#This Row],[Ativo]],1,2)</f>
        <v>79</v>
      </c>
      <c r="D107" s="5" t="s">
        <v>177</v>
      </c>
      <c r="E107" s="5" t="s">
        <v>58</v>
      </c>
      <c r="F107" s="5" t="s">
        <v>59</v>
      </c>
      <c r="G107" s="4" t="str">
        <f>IFERROR(_xlfn.XLOOKUP(Table2[[#This Row],[Ativo]],Pendentes[COD_RELIGADOR],Pendentes[SS_ORIGINAL]),"CONCLUÍDA")</f>
        <v>ETO-TELE 00896/2026</v>
      </c>
      <c r="H107" s="4" t="s">
        <v>464</v>
      </c>
      <c r="K107" s="4" t="s">
        <v>459</v>
      </c>
      <c r="L107" s="29" t="s">
        <v>508</v>
      </c>
      <c r="M107" s="31">
        <v>1</v>
      </c>
      <c r="N107" t="str">
        <f>IFERROR(_xlfn.XLOOKUP(Table2[[#This Row],[Ativo]],Pendentes[COD_RELIGADOR],Pendentes[DESCRICAO]),"")</f>
        <v>PARECER DCMD:Serviço realizado , substituição da parte ativa  do RELIGADOR 7943790134 - Favor realizar comissionamento</v>
      </c>
      <c r="O107" s="5">
        <v>15</v>
      </c>
      <c r="P107" s="5">
        <v>10</v>
      </c>
      <c r="Q107" s="5">
        <v>5</v>
      </c>
      <c r="R107" s="5">
        <v>15</v>
      </c>
      <c r="S107" s="5">
        <v>15</v>
      </c>
      <c r="T107" s="5">
        <v>10</v>
      </c>
      <c r="U107" s="5">
        <v>0</v>
      </c>
      <c r="V107" s="5">
        <v>15</v>
      </c>
      <c r="W107" s="5">
        <f>SUM(Table2[[#This Row],[Premissa 1]:[Premissa 8]])</f>
        <v>85</v>
      </c>
      <c r="X107" s="5" t="s">
        <v>9</v>
      </c>
      <c r="Y107" t="s">
        <v>179</v>
      </c>
    </row>
    <row r="108" spans="1:25" ht="15" customHeight="1" x14ac:dyDescent="0.25">
      <c r="A108" s="4">
        <v>7944319149</v>
      </c>
      <c r="B108" s="4" t="e">
        <f>_xlfn.XLOOKUP(Table2[[#This Row],[Ativo]],Joao!B:B,Joao!Z:Z)</f>
        <v>#N/A</v>
      </c>
      <c r="C108" s="5" t="str">
        <f>MID(Table2[[#This Row],[Ativo]],1,2)</f>
        <v>79</v>
      </c>
      <c r="D108" s="5" t="s">
        <v>195</v>
      </c>
      <c r="E108" s="5" t="s">
        <v>152</v>
      </c>
      <c r="F108" s="5" t="s">
        <v>51</v>
      </c>
      <c r="G108" s="4" t="str">
        <f>IFERROR(_xlfn.XLOOKUP(Table2[[#This Row],[Ativo]],Pendentes[COD_RELIGADOR],Pendentes[SS_ORIGINAL]),"CONCLUÍDA")</f>
        <v>CONCLUÍDA</v>
      </c>
      <c r="H108" s="4" t="s">
        <v>721</v>
      </c>
      <c r="K108" s="4" t="s">
        <v>453</v>
      </c>
      <c r="L108" s="29"/>
      <c r="M108" s="31"/>
      <c r="N108" t="str">
        <f>IFERROR(_xlfn.XLOOKUP(Table2[[#This Row],[Ativo]],Pendentes[COD_RELIGADOR],Pendentes[DESCRICAO]),"")</f>
        <v/>
      </c>
      <c r="O108" s="5">
        <v>5</v>
      </c>
      <c r="P108" s="5">
        <v>5</v>
      </c>
      <c r="Q108" s="5">
        <v>15</v>
      </c>
      <c r="R108" s="5">
        <v>0</v>
      </c>
      <c r="S108" s="5">
        <v>0</v>
      </c>
      <c r="T108" s="5">
        <v>0</v>
      </c>
      <c r="U108" s="5">
        <v>10</v>
      </c>
      <c r="V108" s="5">
        <v>0</v>
      </c>
      <c r="W108" s="5">
        <f>SUM(Table2[[#This Row],[Premissa 1]:[Premissa 8]])</f>
        <v>35</v>
      </c>
      <c r="X108" s="5" t="s">
        <v>14</v>
      </c>
      <c r="Y108" t="s">
        <v>576</v>
      </c>
    </row>
    <row r="109" spans="1:25" ht="15" customHeight="1" x14ac:dyDescent="0.25">
      <c r="A109" s="4">
        <v>7944559149</v>
      </c>
      <c r="B109" s="4" t="e">
        <f>_xlfn.XLOOKUP(Table2[[#This Row],[Ativo]],Joao!B:B,Joao!Z:Z)</f>
        <v>#N/A</v>
      </c>
      <c r="C109" s="5" t="str">
        <f>MID(Table2[[#This Row],[Ativo]],1,2)</f>
        <v>79</v>
      </c>
      <c r="D109" s="5" t="s">
        <v>195</v>
      </c>
      <c r="E109" s="5" t="s">
        <v>152</v>
      </c>
      <c r="F109" s="5" t="s">
        <v>51</v>
      </c>
      <c r="G109" s="4" t="str">
        <f>IFERROR(_xlfn.XLOOKUP(Table2[[#This Row],[Ativo]],Pendentes[COD_RELIGADOR],Pendentes[SS_ORIGINAL]),"CONCLUÍDA")</f>
        <v>ETO-COEP 00063/2026</v>
      </c>
      <c r="H109" s="4" t="s">
        <v>472</v>
      </c>
      <c r="K109" s="4" t="s">
        <v>474</v>
      </c>
      <c r="L109" s="29" t="s">
        <v>484</v>
      </c>
      <c r="M109" s="31">
        <v>1</v>
      </c>
      <c r="N109" t="str">
        <f>IFERROR(_xlfn.XLOOKUP(Table2[[#This Row],[Ativo]],Pendentes[COD_RELIGADOR],Pendentes[DESCRICAO]),"")</f>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v>
      </c>
      <c r="O109" s="5">
        <v>5</v>
      </c>
      <c r="P109" s="5">
        <v>10</v>
      </c>
      <c r="Q109" s="5">
        <v>0</v>
      </c>
      <c r="R109" s="5">
        <v>0</v>
      </c>
      <c r="S109" s="5">
        <v>15</v>
      </c>
      <c r="T109" s="5">
        <v>10</v>
      </c>
      <c r="U109" s="5">
        <v>0</v>
      </c>
      <c r="V109" s="5">
        <v>0</v>
      </c>
      <c r="W109" s="5">
        <f>SUM(Table2[[#This Row],[Premissa 1]:[Premissa 8]])</f>
        <v>40</v>
      </c>
      <c r="X109" s="5" t="s">
        <v>14</v>
      </c>
      <c r="Y109" t="s">
        <v>198</v>
      </c>
    </row>
    <row r="110" spans="1:25" ht="15" customHeight="1" x14ac:dyDescent="0.25">
      <c r="A110" s="4">
        <v>7947203070</v>
      </c>
      <c r="B110" s="4" t="e">
        <f>_xlfn.XLOOKUP(Table2[[#This Row],[Ativo]],Joao!B:B,Joao!Z:Z)</f>
        <v>#N/A</v>
      </c>
      <c r="C110" s="5" t="str">
        <f>MID(Table2[[#This Row],[Ativo]],1,2)</f>
        <v>79</v>
      </c>
      <c r="D110" s="5" t="s">
        <v>87</v>
      </c>
      <c r="E110" s="5" t="s">
        <v>74</v>
      </c>
      <c r="F110" s="5" t="s">
        <v>51</v>
      </c>
      <c r="G110" s="4" t="str">
        <f>IFERROR(_xlfn.XLOOKUP(Table2[[#This Row],[Ativo]],Pendentes[COD_RELIGADOR],Pendentes[SS_ORIGINAL]),"CONCLUÍDA")</f>
        <v>ETO-COEP 00131/2026</v>
      </c>
      <c r="H110" s="4" t="s">
        <v>472</v>
      </c>
      <c r="K110" s="4" t="s">
        <v>474</v>
      </c>
      <c r="L110" s="29" t="s">
        <v>484</v>
      </c>
      <c r="M110" s="31">
        <v>1</v>
      </c>
      <c r="N110" t="str">
        <f>IFERROR(_xlfn.XLOOKUP(Table2[[#This Row],[Ativo]],Pendentes[COD_RELIGADOR],Pendentes[DESCRICAO]),"")</f>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v>
      </c>
      <c r="O110" s="5">
        <v>10</v>
      </c>
      <c r="P110" s="5">
        <v>20</v>
      </c>
      <c r="Q110" s="5">
        <v>15</v>
      </c>
      <c r="R110" s="5">
        <v>15</v>
      </c>
      <c r="S110" s="5">
        <v>15</v>
      </c>
      <c r="T110" s="5">
        <v>10</v>
      </c>
      <c r="U110" s="5">
        <v>0</v>
      </c>
      <c r="V110" s="5">
        <v>15</v>
      </c>
      <c r="W110" s="5">
        <f>SUM(Table2[[#This Row],[Premissa 1]:[Premissa 8]])</f>
        <v>100</v>
      </c>
      <c r="X110" s="5" t="s">
        <v>9</v>
      </c>
      <c r="Y110" t="s">
        <v>90</v>
      </c>
    </row>
    <row r="111" spans="1:25" ht="15" customHeight="1" x14ac:dyDescent="0.25">
      <c r="A111" s="4">
        <v>7948412064</v>
      </c>
      <c r="B111" s="4" t="e">
        <f>_xlfn.XLOOKUP(Table2[[#This Row],[Ativo]],Joao!B:B,Joao!Z:Z)</f>
        <v>#N/A</v>
      </c>
      <c r="C111" s="5" t="str">
        <f>MID(Table2[[#This Row],[Ativo]],1,2)</f>
        <v>79</v>
      </c>
      <c r="D111" s="5" t="s">
        <v>389</v>
      </c>
      <c r="E111" s="5" t="s">
        <v>106</v>
      </c>
      <c r="F111" s="5" t="s">
        <v>59</v>
      </c>
      <c r="G111" s="4" t="str">
        <f>IFERROR(_xlfn.XLOOKUP(Table2[[#This Row],[Ativo]],Pendentes[COD_RELIGADOR],Pendentes[SS_ORIGINAL]),"CONCLUÍDA")</f>
        <v>CONCLUÍDA</v>
      </c>
      <c r="H111" s="4" t="s">
        <v>742</v>
      </c>
      <c r="L111" s="29"/>
      <c r="M111" s="31"/>
      <c r="N111" t="str">
        <f>IFERROR(_xlfn.XLOOKUP(Table2[[#This Row],[Ativo]],Pendentes[COD_RELIGADOR],Pendentes[DESCRICAO]),"")</f>
        <v/>
      </c>
      <c r="O111" s="5" t="s">
        <v>730</v>
      </c>
      <c r="P111" s="5"/>
      <c r="Q111" s="5"/>
      <c r="R111" s="5"/>
      <c r="S111" s="5"/>
      <c r="T111" s="5"/>
      <c r="U111" s="5"/>
      <c r="V111" s="5"/>
      <c r="W111" s="5">
        <f>SUM(Table2[[#This Row],[Premissa 1]:[Premissa 8]])</f>
        <v>0</v>
      </c>
      <c r="X111" s="5"/>
    </row>
    <row r="112" spans="1:25" ht="15" customHeight="1" x14ac:dyDescent="0.25">
      <c r="A112" s="4">
        <v>7949648145</v>
      </c>
      <c r="B112" s="4" t="e">
        <f>_xlfn.XLOOKUP(Table2[[#This Row],[Ativo]],Joao!B:B,Joao!Z:Z)</f>
        <v>#N/A</v>
      </c>
      <c r="C112" s="5" t="str">
        <f>MID(Table2[[#This Row],[Ativo]],1,2)</f>
        <v>79</v>
      </c>
      <c r="D112" s="5" t="s">
        <v>363</v>
      </c>
      <c r="E112" s="5" t="s">
        <v>58</v>
      </c>
      <c r="F112" s="5" t="s">
        <v>59</v>
      </c>
      <c r="G112" s="4" t="str">
        <f>IFERROR(_xlfn.XLOOKUP(Table2[[#This Row],[Ativo]],Pendentes[COD_RELIGADOR],Pendentes[SS_ORIGINAL]),"CONCLUÍDA")</f>
        <v>ETO-TELE 00929/2026</v>
      </c>
      <c r="H112" s="4" t="s">
        <v>526</v>
      </c>
      <c r="L112" s="29"/>
      <c r="M112" s="31"/>
      <c r="N112" t="str">
        <f>IFERROR(_xlfn.XLOOKUP(Table2[[#This Row],[Ativo]],Pendentes[COD_RELIGADOR],Pendentes[DESCRICAO]),"")</f>
        <v>FEITO PRIMEIRO ATAQUE COM A EQUIPE LOCAL E NÃO VOLTOU A COMUNICAR. PROVIDENCIAR MANUTENÇÃO PARA O MESMO.</v>
      </c>
      <c r="O112" s="5" t="s">
        <v>730</v>
      </c>
      <c r="P112" s="5"/>
      <c r="Q112" s="5"/>
      <c r="R112" s="5"/>
      <c r="S112" s="5"/>
      <c r="T112" s="5"/>
      <c r="U112" s="5"/>
      <c r="V112" s="5"/>
      <c r="W112" s="5">
        <f>SUM(Table2[[#This Row],[Premissa 1]:[Premissa 8]])</f>
        <v>0</v>
      </c>
      <c r="X112" s="5"/>
    </row>
    <row r="113" spans="1:25" ht="15" customHeight="1" x14ac:dyDescent="0.25">
      <c r="A113" s="4">
        <v>7953211079</v>
      </c>
      <c r="B113" s="4" t="e">
        <f>_xlfn.XLOOKUP(Table2[[#This Row],[Ativo]],Joao!B:B,Joao!Z:Z)</f>
        <v>#N/A</v>
      </c>
      <c r="C113" s="5" t="str">
        <f>MID(Table2[[#This Row],[Ativo]],1,2)</f>
        <v>79</v>
      </c>
      <c r="D113" s="5" t="s">
        <v>359</v>
      </c>
      <c r="E113" s="5" t="s">
        <v>106</v>
      </c>
      <c r="F113" s="5" t="s">
        <v>59</v>
      </c>
      <c r="G113" s="4" t="str">
        <f>IFERROR(_xlfn.XLOOKUP(Table2[[#This Row],[Ativo]],Pendentes[COD_RELIGADOR],Pendentes[SS_ORIGINAL]),"CONCLUÍDA")</f>
        <v>ETO-COEP 00147/2026</v>
      </c>
      <c r="H113" s="4" t="s">
        <v>742</v>
      </c>
      <c r="L113" s="29"/>
      <c r="M113" s="31"/>
      <c r="N113" t="str">
        <f>IFERROR(_xlfn.XLOOKUP(Table2[[#This Row],[Ativo]],Pendentes[COD_RELIGADOR],Pendentes[DESCRICAO]),"")</f>
        <v>20/07 PARECER COEP: EQUIPAMENTO SELECIONADO PARA COMPRASegue nota para substituir relé religador avariado marca noja , equipamento N: 7953211079 - Itapiratins .Obs: informação repassado pelo técnico DMSL Bruno .</v>
      </c>
      <c r="O113" s="5" t="s">
        <v>730</v>
      </c>
      <c r="P113" s="5"/>
      <c r="Q113" s="5"/>
      <c r="R113" s="5"/>
      <c r="S113" s="5"/>
      <c r="T113" s="5"/>
      <c r="U113" s="5"/>
      <c r="V113" s="5"/>
      <c r="W113" s="5">
        <f>SUM(Table2[[#This Row],[Premissa 1]:[Premissa 8]])</f>
        <v>0</v>
      </c>
      <c r="X113" s="5"/>
    </row>
    <row r="114" spans="1:25" ht="15" customHeight="1" x14ac:dyDescent="0.25">
      <c r="A114" s="4">
        <v>7953570026</v>
      </c>
      <c r="B114" s="4" t="e">
        <f>_xlfn.XLOOKUP(Table2[[#This Row],[Ativo]],Joao!B:B,Joao!Z:Z)</f>
        <v>#N/A</v>
      </c>
      <c r="C114" s="5" t="str">
        <f>MID(Table2[[#This Row],[Ativo]],1,2)</f>
        <v>79</v>
      </c>
      <c r="D114" s="5" t="s">
        <v>135</v>
      </c>
      <c r="E114" s="5" t="s">
        <v>135</v>
      </c>
      <c r="F114" s="5" t="s">
        <v>51</v>
      </c>
      <c r="G114" s="4" t="str">
        <f>IFERROR(_xlfn.XLOOKUP(Table2[[#This Row],[Ativo]],Pendentes[COD_RELIGADOR],Pendentes[SS_ORIGINAL]),"CONCLUÍDA")</f>
        <v>CONCLUÍDA</v>
      </c>
      <c r="H114" s="4" t="s">
        <v>742</v>
      </c>
      <c r="L114" s="29"/>
      <c r="M114" s="31"/>
      <c r="N114" t="str">
        <f>IFERROR(_xlfn.XLOOKUP(Table2[[#This Row],[Ativo]],Pendentes[COD_RELIGADOR],Pendentes[DESCRICAO]),"")</f>
        <v/>
      </c>
      <c r="O114" s="5" t="s">
        <v>730</v>
      </c>
      <c r="P114" s="5"/>
      <c r="Q114" s="5"/>
      <c r="R114" s="5"/>
      <c r="S114" s="5"/>
      <c r="T114" s="5"/>
      <c r="U114" s="5"/>
      <c r="V114" s="5"/>
      <c r="W114" s="5">
        <f>SUM(Table2[[#This Row],[Premissa 1]:[Premissa 8]])</f>
        <v>0</v>
      </c>
      <c r="X114" s="5"/>
    </row>
    <row r="115" spans="1:25" ht="15" customHeight="1" x14ac:dyDescent="0.25">
      <c r="A115" s="4">
        <v>7953610256</v>
      </c>
      <c r="B115" s="4" t="str">
        <f>_xlfn.XLOOKUP(Table2[[#This Row],[Ativo]],Joao!B:B,Joao!Z:Z)</f>
        <v>Utilizaremos o que foi direcionado para o Polo Paraíso que já estava em operação e enviar para esse caso</v>
      </c>
      <c r="C115" s="5" t="str">
        <f>MID(Table2[[#This Row],[Ativo]],1,2)</f>
        <v>79</v>
      </c>
      <c r="D115" s="5" t="s">
        <v>134</v>
      </c>
      <c r="E115" s="5" t="s">
        <v>135</v>
      </c>
      <c r="F115" s="5" t="s">
        <v>51</v>
      </c>
      <c r="G115" s="4" t="str">
        <f>IFERROR(_xlfn.XLOOKUP(Table2[[#This Row],[Ativo]],Pendentes[COD_RELIGADOR],Pendentes[SS_ORIGINAL]),"CONCLUÍDA")</f>
        <v>ETO-PROT 00157/2026</v>
      </c>
      <c r="H115" s="5" t="s">
        <v>506</v>
      </c>
      <c r="I115" s="4" t="s">
        <v>744</v>
      </c>
      <c r="L115" s="29" t="s">
        <v>489</v>
      </c>
      <c r="M115" s="31">
        <v>1</v>
      </c>
      <c r="N115" t="str">
        <f>IFERROR(_xlfn.XLOOKUP(Table2[[#This Row],[Ativo]],Pendentes[COD_RELIGADOR],Pendentes[DESCRICAO]),"")</f>
        <v>24/07/2026 - PARECE COCM: EQUIPAMENTO SUBSTIUIDO NA OS:ETO-RD-PO 2020/202614/07/2026 -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v>
      </c>
      <c r="O115" s="5">
        <v>5</v>
      </c>
      <c r="P115" s="5">
        <v>5</v>
      </c>
      <c r="Q115" s="5">
        <v>15</v>
      </c>
      <c r="R115" s="5">
        <v>15</v>
      </c>
      <c r="S115" s="5">
        <v>0</v>
      </c>
      <c r="T115" s="5">
        <v>0</v>
      </c>
      <c r="U115" s="5">
        <v>10</v>
      </c>
      <c r="V115" s="5">
        <v>15</v>
      </c>
      <c r="W115" s="5">
        <f>SUM(Table2[[#This Row],[Premissa 1]:[Premissa 8]])</f>
        <v>65</v>
      </c>
      <c r="X115" s="5" t="s">
        <v>13</v>
      </c>
      <c r="Y115" t="s">
        <v>244</v>
      </c>
    </row>
    <row r="116" spans="1:25" ht="15" customHeight="1" x14ac:dyDescent="0.25">
      <c r="A116" s="4">
        <v>7954668084</v>
      </c>
      <c r="B116" s="4" t="e">
        <f>_xlfn.XLOOKUP(Table2[[#This Row],[Ativo]],Joao!B:B,Joao!Z:Z)</f>
        <v>#N/A</v>
      </c>
      <c r="C116" s="5" t="str">
        <f>MID(Table2[[#This Row],[Ativo]],1,2)</f>
        <v>79</v>
      </c>
      <c r="D116" s="5" t="s">
        <v>152</v>
      </c>
      <c r="E116" s="5" t="s">
        <v>152</v>
      </c>
      <c r="F116" s="5" t="s">
        <v>51</v>
      </c>
      <c r="G116" s="4" t="str">
        <f>IFERROR(_xlfn.XLOOKUP(Table2[[#This Row],[Ativo]],Pendentes[COD_RELIGADOR],Pendentes[SS_ORIGINAL]),"CONCLUÍDA")</f>
        <v>CONCLUÍDA</v>
      </c>
      <c r="H116" s="4" t="s">
        <v>721</v>
      </c>
      <c r="K116" s="4" t="s">
        <v>453</v>
      </c>
      <c r="L116" s="29"/>
      <c r="M116" s="31"/>
      <c r="N116" t="str">
        <f>IFERROR(_xlfn.XLOOKUP(Table2[[#This Row],[Ativo]],Pendentes[COD_RELIGADOR],Pendentes[DESCRICAO]),"")</f>
        <v/>
      </c>
      <c r="O116" s="5">
        <v>5</v>
      </c>
      <c r="P116" s="5">
        <v>5</v>
      </c>
      <c r="Q116" s="5">
        <v>0</v>
      </c>
      <c r="R116" s="5">
        <v>0</v>
      </c>
      <c r="S116" s="5">
        <v>0</v>
      </c>
      <c r="T116" s="5">
        <v>0</v>
      </c>
      <c r="U116" s="5">
        <v>10</v>
      </c>
      <c r="V116" s="5">
        <v>0</v>
      </c>
      <c r="W116" s="5">
        <f>SUM(Table2[[#This Row],[Premissa 1]:[Premissa 8]])</f>
        <v>20</v>
      </c>
      <c r="X116" s="5" t="s">
        <v>15</v>
      </c>
      <c r="Y116" t="s">
        <v>603</v>
      </c>
    </row>
    <row r="117" spans="1:25" ht="15" customHeight="1" x14ac:dyDescent="0.25">
      <c r="A117" s="4">
        <v>7955430075</v>
      </c>
      <c r="B117" s="4" t="e">
        <f>_xlfn.XLOOKUP(Table2[[#This Row],[Ativo]],Joao!B:B,Joao!Z:Z)</f>
        <v>#N/A</v>
      </c>
      <c r="C117" s="5" t="str">
        <f>MID(Table2[[#This Row],[Ativo]],1,2)</f>
        <v>79</v>
      </c>
      <c r="D117" s="5" t="s">
        <v>590</v>
      </c>
      <c r="E117" s="5" t="s">
        <v>152</v>
      </c>
      <c r="F117" s="5" t="s">
        <v>51</v>
      </c>
      <c r="G117" s="4" t="str">
        <f>IFERROR(_xlfn.XLOOKUP(Table2[[#This Row],[Ativo]],Pendentes[COD_RELIGADOR],Pendentes[SS_ORIGINAL]),"CONCLUÍDA")</f>
        <v>CONCLUÍDA</v>
      </c>
      <c r="H117" s="4" t="s">
        <v>721</v>
      </c>
      <c r="K117" s="4" t="s">
        <v>453</v>
      </c>
      <c r="L117" s="29"/>
      <c r="M117" s="31"/>
      <c r="N117" t="str">
        <f>IFERROR(_xlfn.XLOOKUP(Table2[[#This Row],[Ativo]],Pendentes[COD_RELIGADOR],Pendentes[DESCRICAO]),"")</f>
        <v/>
      </c>
      <c r="O117" s="5">
        <v>5</v>
      </c>
      <c r="P117" s="5">
        <v>5</v>
      </c>
      <c r="Q117" s="5">
        <v>5</v>
      </c>
      <c r="R117" s="5">
        <v>0</v>
      </c>
      <c r="S117" s="5">
        <v>0</v>
      </c>
      <c r="T117" s="5">
        <v>0</v>
      </c>
      <c r="U117" s="5">
        <v>10</v>
      </c>
      <c r="V117" s="5">
        <v>0</v>
      </c>
      <c r="W117" s="5">
        <f>SUM(Table2[[#This Row],[Premissa 1]:[Premissa 8]])</f>
        <v>25</v>
      </c>
      <c r="X117" s="5" t="s">
        <v>15</v>
      </c>
      <c r="Y117" t="s">
        <v>591</v>
      </c>
    </row>
    <row r="118" spans="1:25" ht="15" customHeight="1" x14ac:dyDescent="0.25">
      <c r="A118" s="12">
        <v>7955520116</v>
      </c>
      <c r="B118" s="12">
        <f>_xlfn.XLOOKUP(Table2[[#This Row],[Ativo]],Joao!B:B,Joao!Z:Z)</f>
        <v>0</v>
      </c>
      <c r="C118" s="5" t="str">
        <f>MID(Table2[[#This Row],[Ativo]],1,2)</f>
        <v>79</v>
      </c>
      <c r="D118" s="5" t="s">
        <v>215</v>
      </c>
      <c r="E118" s="5" t="s">
        <v>41</v>
      </c>
      <c r="F118" s="5" t="s">
        <v>42</v>
      </c>
      <c r="G118" s="4" t="str">
        <f>IFERROR(_xlfn.XLOOKUP(Table2[[#This Row],[Ativo]],Pendentes[COD_RELIGADOR],Pendentes[SS_ORIGINAL]),"CONCLUÍDA")</f>
        <v>CONCLUÍDA</v>
      </c>
      <c r="H118" s="11" t="s">
        <v>472</v>
      </c>
      <c r="I118" s="4" t="s">
        <v>558</v>
      </c>
      <c r="K118" s="4" t="s">
        <v>474</v>
      </c>
      <c r="L118" s="29" t="s">
        <v>508</v>
      </c>
      <c r="M118" s="31">
        <v>1</v>
      </c>
      <c r="N118" t="str">
        <f>IFERROR(_xlfn.XLOOKUP(Table2[[#This Row],[Ativo]],Pendentes[COD_RELIGADOR],Pendentes[DESCRICAO]),"")</f>
        <v/>
      </c>
      <c r="O118" s="5">
        <v>5</v>
      </c>
      <c r="P118" s="5">
        <v>5</v>
      </c>
      <c r="Q118" s="5">
        <v>15</v>
      </c>
      <c r="R118" s="5">
        <v>0</v>
      </c>
      <c r="S118" s="5">
        <v>0</v>
      </c>
      <c r="T118" s="5">
        <v>10</v>
      </c>
      <c r="U118" s="5">
        <v>0</v>
      </c>
      <c r="V118" s="5">
        <v>15</v>
      </c>
      <c r="W118" s="5">
        <f>SUM(Table2[[#This Row],[Premissa 1]:[Premissa 8]])</f>
        <v>50</v>
      </c>
      <c r="X118" s="5" t="s">
        <v>13</v>
      </c>
      <c r="Y118" t="s">
        <v>560</v>
      </c>
    </row>
    <row r="119" spans="1:25" ht="15" customHeight="1" x14ac:dyDescent="0.25">
      <c r="A119" s="4">
        <v>7955523028</v>
      </c>
      <c r="B119" s="4" t="e">
        <f>_xlfn.XLOOKUP(Table2[[#This Row],[Ativo]],Joao!B:B,Joao!Z:Z)</f>
        <v>#N/A</v>
      </c>
      <c r="C119" s="5" t="str">
        <f>MID(Table2[[#This Row],[Ativo]],1,2)</f>
        <v>79</v>
      </c>
      <c r="D119" s="5" t="s">
        <v>403</v>
      </c>
      <c r="E119" s="5" t="s">
        <v>41</v>
      </c>
      <c r="F119" s="5" t="s">
        <v>42</v>
      </c>
      <c r="G119" s="4" t="str">
        <f>IFERROR(_xlfn.XLOOKUP(Table2[[#This Row],[Ativo]],Pendentes[COD_RELIGADOR],Pendentes[SS_ORIGINAL]),"CONCLUÍDA")</f>
        <v>CONCLUÍDA</v>
      </c>
      <c r="H119" s="4" t="s">
        <v>721</v>
      </c>
      <c r="K119" s="4" t="s">
        <v>453</v>
      </c>
      <c r="L119" s="29"/>
      <c r="M119" s="31"/>
      <c r="N119" t="str">
        <f>IFERROR(_xlfn.XLOOKUP(Table2[[#This Row],[Ativo]],Pendentes[COD_RELIGADOR],Pendentes[DESCRICAO]),"")</f>
        <v/>
      </c>
      <c r="O119" s="5">
        <v>15</v>
      </c>
      <c r="P119" s="5">
        <v>10</v>
      </c>
      <c r="Q119" s="5">
        <v>5</v>
      </c>
      <c r="R119" s="5">
        <v>15</v>
      </c>
      <c r="S119" s="5">
        <v>15</v>
      </c>
      <c r="T119" s="5">
        <v>10</v>
      </c>
      <c r="U119" s="5">
        <v>0</v>
      </c>
      <c r="V119" s="5">
        <v>0</v>
      </c>
      <c r="W119" s="5">
        <f>SUM(Table2[[#This Row],[Premissa 1]:[Premissa 8]])</f>
        <v>70</v>
      </c>
      <c r="X119" s="5" t="s">
        <v>13</v>
      </c>
      <c r="Y119" t="s">
        <v>539</v>
      </c>
    </row>
    <row r="120" spans="1:25" ht="15" customHeight="1" x14ac:dyDescent="0.25">
      <c r="A120" s="4">
        <v>7955686076</v>
      </c>
      <c r="B120" s="4" t="e">
        <f>_xlfn.XLOOKUP(Table2[[#This Row],[Ativo]],Joao!B:B,Joao!Z:Z)</f>
        <v>#N/A</v>
      </c>
      <c r="C120" s="5" t="str">
        <f>MID(Table2[[#This Row],[Ativo]],1,2)</f>
        <v>79</v>
      </c>
      <c r="D120" s="5" t="s">
        <v>209</v>
      </c>
      <c r="E120" s="5" t="s">
        <v>210</v>
      </c>
      <c r="F120" s="5" t="s">
        <v>42</v>
      </c>
      <c r="G120" s="4" t="str">
        <f>IFERROR(_xlfn.XLOOKUP(Table2[[#This Row],[Ativo]],Pendentes[COD_RELIGADOR],Pendentes[SS_ORIGINAL]),"CONCLUÍDA")</f>
        <v>CONCLUÍDA</v>
      </c>
      <c r="H120" s="4" t="s">
        <v>721</v>
      </c>
      <c r="K120" s="4" t="s">
        <v>453</v>
      </c>
      <c r="L120" s="29"/>
      <c r="M120" s="31"/>
      <c r="N120" t="str">
        <f>IFERROR(_xlfn.XLOOKUP(Table2[[#This Row],[Ativo]],Pendentes[COD_RELIGADOR],Pendentes[DESCRICAO]),"")</f>
        <v/>
      </c>
      <c r="O120" s="5">
        <v>5</v>
      </c>
      <c r="P120" s="5">
        <v>5</v>
      </c>
      <c r="Q120" s="5">
        <v>0</v>
      </c>
      <c r="R120" s="5">
        <v>0</v>
      </c>
      <c r="S120" s="5">
        <v>15</v>
      </c>
      <c r="T120" s="5">
        <v>0</v>
      </c>
      <c r="U120" s="5">
        <v>0</v>
      </c>
      <c r="V120" s="5">
        <v>0</v>
      </c>
      <c r="W120" s="5">
        <f>SUM(Table2[[#This Row],[Premissa 1]:[Premissa 8]])</f>
        <v>25</v>
      </c>
      <c r="X120" s="5" t="s">
        <v>15</v>
      </c>
      <c r="Y120" t="s">
        <v>592</v>
      </c>
    </row>
    <row r="121" spans="1:25" ht="15" customHeight="1" x14ac:dyDescent="0.25">
      <c r="A121" s="4">
        <v>7955792076</v>
      </c>
      <c r="B121" s="4" t="e">
        <f>_xlfn.XLOOKUP(Table2[[#This Row],[Ativo]],Joao!B:B,Joao!Z:Z)</f>
        <v>#N/A</v>
      </c>
      <c r="C121" s="5" t="str">
        <f>MID(Table2[[#This Row],[Ativo]],1,2)</f>
        <v>79</v>
      </c>
      <c r="G121" s="4" t="str">
        <f>IFERROR(_xlfn.XLOOKUP(Table2[[#This Row],[Ativo]],Pendentes[COD_RELIGADOR],Pendentes[SS_ORIGINAL]),"CONCLUÍDA")</f>
        <v>CONCLUÍDA</v>
      </c>
      <c r="H121" s="4" t="s">
        <v>526</v>
      </c>
      <c r="L121" s="29"/>
      <c r="M121" s="31"/>
      <c r="N121" t="str">
        <f>IFERROR(_xlfn.XLOOKUP(Table2[[#This Row],[Ativo]],Pendentes[COD_RELIGADOR],Pendentes[DESCRICAO]),"")</f>
        <v/>
      </c>
      <c r="O121" s="5"/>
      <c r="P121" s="5"/>
      <c r="Q121" s="5"/>
      <c r="R121" s="5"/>
      <c r="S121" s="5"/>
      <c r="T121" s="5"/>
      <c r="U121" s="5"/>
      <c r="V121" s="5"/>
      <c r="W121" s="5">
        <f>SUM(Table2[[#This Row],[Premissa 1]:[Premissa 8]])</f>
        <v>0</v>
      </c>
      <c r="X121" s="5"/>
    </row>
    <row r="122" spans="1:25" ht="15" customHeight="1" x14ac:dyDescent="0.25">
      <c r="A122" s="39">
        <v>7955832052</v>
      </c>
      <c r="B122" s="39" t="e">
        <f>_xlfn.XLOOKUP(Table2[[#This Row],[Ativo]],Joao!B:B,Joao!Z:Z)</f>
        <v>#N/A</v>
      </c>
      <c r="C122" s="5" t="str">
        <f>MID(Table2[[#This Row],[Ativo]],1,2)</f>
        <v>79</v>
      </c>
      <c r="D122" s="5" t="s">
        <v>112</v>
      </c>
      <c r="E122" s="5" t="s">
        <v>112</v>
      </c>
      <c r="F122" s="5" t="s">
        <v>42</v>
      </c>
      <c r="G122" s="4" t="str">
        <f>IFERROR(_xlfn.XLOOKUP(Table2[[#This Row],[Ativo]],Pendentes[COD_RELIGADOR],Pendentes[SS_ORIGINAL]),"CONCLUÍDA")</f>
        <v>CONCLUÍDA</v>
      </c>
      <c r="H122" s="4" t="s">
        <v>526</v>
      </c>
      <c r="L122" s="29"/>
      <c r="M122" s="31"/>
      <c r="N122" t="str">
        <f>IFERROR(_xlfn.XLOOKUP(Table2[[#This Row],[Ativo]],Pendentes[COD_RELIGADOR],Pendentes[DESCRICAO]),"")</f>
        <v/>
      </c>
      <c r="O122" s="5" t="s">
        <v>730</v>
      </c>
      <c r="P122" s="5"/>
      <c r="Q122" s="5"/>
      <c r="R122" s="5"/>
      <c r="S122" s="5"/>
      <c r="T122" s="5"/>
      <c r="U122" s="5"/>
      <c r="V122" s="5"/>
      <c r="W122" s="5">
        <f>SUM(Table2[[#This Row],[Premissa 1]:[Premissa 8]])</f>
        <v>0</v>
      </c>
      <c r="X122" s="5"/>
    </row>
    <row r="123" spans="1:25" ht="15" customHeight="1" x14ac:dyDescent="0.25">
      <c r="A123" s="4">
        <v>7955946007</v>
      </c>
      <c r="B123" s="4" t="e">
        <f>_xlfn.XLOOKUP(Table2[[#This Row],[Ativo]],Joao!B:B,Joao!Z:Z)</f>
        <v>#N/A</v>
      </c>
      <c r="C123" s="5" t="str">
        <f>MID(Table2[[#This Row],[Ativo]],1,2)</f>
        <v>79</v>
      </c>
      <c r="D123" s="5" t="s">
        <v>100</v>
      </c>
      <c r="E123" s="5" t="s">
        <v>100</v>
      </c>
      <c r="F123" s="5" t="s">
        <v>51</v>
      </c>
      <c r="G123" s="4" t="str">
        <f>IFERROR(_xlfn.XLOOKUP(Table2[[#This Row],[Ativo]],Pendentes[COD_RELIGADOR],Pendentes[SS_ORIGINAL]),"CONCLUÍDA")</f>
        <v>ETO-COEP 00134/2026</v>
      </c>
      <c r="H123" s="4" t="s">
        <v>472</v>
      </c>
      <c r="K123" s="4" t="s">
        <v>474</v>
      </c>
      <c r="L123" s="29" t="s">
        <v>466</v>
      </c>
      <c r="M123" s="31">
        <v>1</v>
      </c>
      <c r="N123" t="str">
        <f>IFERROR(_xlfn.XLOOKUP(Table2[[#This Row],[Ativo]],Pendentes[COD_RELIGADOR],Pendentes[DESCRICAO]),"")</f>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v>
      </c>
      <c r="O123" s="5">
        <v>5</v>
      </c>
      <c r="P123" s="5">
        <v>5</v>
      </c>
      <c r="Q123" s="5">
        <v>5</v>
      </c>
      <c r="R123" s="5">
        <v>0</v>
      </c>
      <c r="S123" s="5">
        <v>0</v>
      </c>
      <c r="T123" s="5">
        <v>0</v>
      </c>
      <c r="U123" s="5">
        <v>10</v>
      </c>
      <c r="V123" s="5">
        <v>0</v>
      </c>
      <c r="W123" s="5">
        <f>SUM(Table2[[#This Row],[Premissa 1]:[Premissa 8]])</f>
        <v>25</v>
      </c>
      <c r="X123" s="5" t="s">
        <v>15</v>
      </c>
      <c r="Y123" t="s">
        <v>247</v>
      </c>
    </row>
    <row r="124" spans="1:25" ht="15" customHeight="1" x14ac:dyDescent="0.25">
      <c r="A124" s="4">
        <v>7955986084</v>
      </c>
      <c r="B124" s="4" t="e">
        <f>_xlfn.XLOOKUP(Table2[[#This Row],[Ativo]],Joao!B:B,Joao!Z:Z)</f>
        <v>#N/A</v>
      </c>
      <c r="C124" s="5" t="str">
        <f>MID(Table2[[#This Row],[Ativo]],1,2)</f>
        <v>79</v>
      </c>
      <c r="D124" s="5" t="s">
        <v>152</v>
      </c>
      <c r="E124" s="5" t="s">
        <v>152</v>
      </c>
      <c r="F124" s="5" t="s">
        <v>51</v>
      </c>
      <c r="G124" s="4" t="str">
        <f>IFERROR(_xlfn.XLOOKUP(Table2[[#This Row],[Ativo]],Pendentes[COD_RELIGADOR],Pendentes[SS_ORIGINAL]),"CONCLUÍDA")</f>
        <v>ETO-COEP 00133/2026</v>
      </c>
      <c r="H124" s="4" t="s">
        <v>472</v>
      </c>
      <c r="K124" s="4" t="s">
        <v>474</v>
      </c>
      <c r="L124" s="29"/>
      <c r="M124" s="31"/>
      <c r="N124" t="str">
        <f>IFERROR(_xlfn.XLOOKUP(Table2[[#This Row],[Ativo]],Pendentes[COD_RELIGADOR],Pendentes[DESCRICAO]),"")</f>
        <v>14/07/2026 PARECER COEP : SUBSTIUIR CONTROLE COMPLETOPARECER DMSL: Equipamento com a placa de alimentação ca em curto, será necessário substituir a placa do equipamento. (Antiga nota era pra ter sido repassada porém foi baixada indevidamente pela equipe)</v>
      </c>
      <c r="O124" s="5">
        <v>5</v>
      </c>
      <c r="P124" s="5">
        <v>5</v>
      </c>
      <c r="Q124" s="5">
        <v>0</v>
      </c>
      <c r="R124" s="5">
        <v>0</v>
      </c>
      <c r="S124" s="5">
        <v>15</v>
      </c>
      <c r="T124" s="5">
        <v>10</v>
      </c>
      <c r="U124" s="5">
        <v>0</v>
      </c>
      <c r="V124" s="5">
        <v>0</v>
      </c>
      <c r="W124" s="5">
        <f>SUM(Table2[[#This Row],[Premissa 1]:[Premissa 8]])</f>
        <v>35</v>
      </c>
      <c r="X124" s="5" t="s">
        <v>14</v>
      </c>
      <c r="Y124" t="s">
        <v>158</v>
      </c>
    </row>
    <row r="125" spans="1:25" ht="15" customHeight="1" x14ac:dyDescent="0.25">
      <c r="A125" s="39">
        <v>7957021094</v>
      </c>
      <c r="B125" s="39" t="e">
        <f>_xlfn.XLOOKUP(Table2[[#This Row],[Ativo]],Joao!B:B,Joao!Z:Z)</f>
        <v>#N/A</v>
      </c>
      <c r="C125" s="5" t="str">
        <f>MID(Table2[[#This Row],[Ativo]],1,2)</f>
        <v>79</v>
      </c>
      <c r="D125" s="5" t="s">
        <v>224</v>
      </c>
      <c r="E125" s="5" t="s">
        <v>224</v>
      </c>
      <c r="F125" s="5" t="s">
        <v>42</v>
      </c>
      <c r="G125" s="4" t="str">
        <f>IFERROR(_xlfn.XLOOKUP(Table2[[#This Row],[Ativo]],Pendentes[COD_RELIGADOR],Pendentes[SS_ORIGINAL]),"CONCLUÍDA")</f>
        <v>CONCLUÍDA</v>
      </c>
      <c r="H125" s="4" t="s">
        <v>526</v>
      </c>
      <c r="L125" s="29"/>
      <c r="M125" s="31"/>
      <c r="N125" t="str">
        <f>IFERROR(_xlfn.XLOOKUP(Table2[[#This Row],[Ativo]],Pendentes[COD_RELIGADOR],Pendentes[DESCRICAO]),"")</f>
        <v/>
      </c>
      <c r="O125" s="5" t="s">
        <v>730</v>
      </c>
      <c r="P125" s="5"/>
      <c r="Q125" s="5"/>
      <c r="R125" s="5"/>
      <c r="S125" s="5"/>
      <c r="T125" s="5"/>
      <c r="U125" s="5"/>
      <c r="V125" s="5"/>
      <c r="W125" s="5">
        <f>SUM(Table2[[#This Row],[Premissa 1]:[Premissa 8]])</f>
        <v>0</v>
      </c>
      <c r="X125" s="5"/>
    </row>
    <row r="126" spans="1:25" ht="15" customHeight="1" x14ac:dyDescent="0.25">
      <c r="A126" s="4">
        <v>7957126085</v>
      </c>
      <c r="B126" s="4" t="s">
        <v>745</v>
      </c>
      <c r="C126" s="5" t="str">
        <f>MID(Table2[[#This Row],[Ativo]],1,2)</f>
        <v>79</v>
      </c>
      <c r="D126" s="5" t="s">
        <v>579</v>
      </c>
      <c r="E126" s="5" t="s">
        <v>117</v>
      </c>
      <c r="F126" s="5" t="s">
        <v>51</v>
      </c>
      <c r="G126" s="4" t="str">
        <f>IFERROR(_xlfn.XLOOKUP(Table2[[#This Row],[Ativo]],Pendentes[COD_RELIGADOR],Pendentes[SS_ORIGINAL]),"CONCLUÍDA")</f>
        <v>CONCLUÍDA</v>
      </c>
      <c r="H126" s="4" t="s">
        <v>721</v>
      </c>
      <c r="K126" s="4" t="s">
        <v>453</v>
      </c>
      <c r="L126" s="29"/>
      <c r="M126" s="31"/>
      <c r="N126" t="str">
        <f>IFERROR(_xlfn.XLOOKUP(Table2[[#This Row],[Ativo]],Pendentes[COD_RELIGADOR],Pendentes[DESCRICAO]),"")</f>
        <v/>
      </c>
      <c r="O126" s="5">
        <v>5</v>
      </c>
      <c r="P126" s="5">
        <v>10</v>
      </c>
      <c r="Q126" s="5">
        <v>5</v>
      </c>
      <c r="R126" s="5">
        <v>0</v>
      </c>
      <c r="S126" s="5">
        <v>0</v>
      </c>
      <c r="T126" s="5">
        <v>10</v>
      </c>
      <c r="U126" s="5">
        <v>0</v>
      </c>
      <c r="V126" s="5">
        <v>0</v>
      </c>
      <c r="W126" s="5">
        <f>SUM(Table2[[#This Row],[Premissa 1]:[Premissa 8]])</f>
        <v>30</v>
      </c>
      <c r="X126" s="5" t="s">
        <v>14</v>
      </c>
      <c r="Y126" t="s">
        <v>580</v>
      </c>
    </row>
    <row r="127" spans="1:25" ht="15" customHeight="1" x14ac:dyDescent="0.25">
      <c r="A127" s="4">
        <v>7957620015</v>
      </c>
      <c r="B127" s="4" t="str">
        <f>_xlfn.XLOOKUP(Table2[[#This Row],[Ativo]],Joao!B:B,Joao!Z:Z)</f>
        <v>Concluido</v>
      </c>
      <c r="C127" s="5" t="str">
        <f>MID(Table2[[#This Row],[Ativo]],1,2)</f>
        <v>79</v>
      </c>
      <c r="D127" s="5" t="s">
        <v>288</v>
      </c>
      <c r="E127" s="5" t="s">
        <v>106</v>
      </c>
      <c r="F127" s="5" t="s">
        <v>59</v>
      </c>
      <c r="G127" s="4" t="str">
        <f>IFERROR(_xlfn.XLOOKUP(Table2[[#This Row],[Ativo]],Pendentes[COD_RELIGADOR],Pendentes[SS_ORIGINAL]),"CONCLUÍDA")</f>
        <v>CONCLUÍDA</v>
      </c>
      <c r="H127" s="4" t="s">
        <v>746</v>
      </c>
      <c r="K127" s="4" t="s">
        <v>453</v>
      </c>
      <c r="L127" s="29"/>
      <c r="M127" s="31"/>
      <c r="N127" t="str">
        <f>IFERROR(_xlfn.XLOOKUP(Table2[[#This Row],[Ativo]],Pendentes[COD_RELIGADOR],Pendentes[DESCRICAO]),"")</f>
        <v/>
      </c>
      <c r="O127" s="5">
        <v>15</v>
      </c>
      <c r="P127" s="5">
        <v>20</v>
      </c>
      <c r="Q127" s="5">
        <v>15</v>
      </c>
      <c r="R127" s="5">
        <v>15</v>
      </c>
      <c r="S127" s="5">
        <v>15</v>
      </c>
      <c r="T127" s="5">
        <v>0</v>
      </c>
      <c r="U127" s="5">
        <v>0</v>
      </c>
      <c r="V127" s="5">
        <v>15</v>
      </c>
      <c r="W127" s="5">
        <f>SUM(Table2[[#This Row],[Premissa 1]:[Premissa 8]])</f>
        <v>95</v>
      </c>
      <c r="X127" s="5" t="s">
        <v>9</v>
      </c>
      <c r="Y127" t="s">
        <v>504</v>
      </c>
    </row>
    <row r="128" spans="1:25" ht="15" customHeight="1" x14ac:dyDescent="0.25">
      <c r="A128" s="4">
        <v>7961368005</v>
      </c>
      <c r="B128" s="4" t="e">
        <f>_xlfn.XLOOKUP(Table2[[#This Row],[Ativo]],Joao!B:B,Joao!Z:Z)</f>
        <v>#N/A</v>
      </c>
      <c r="C128" s="5" t="str">
        <f>MID(Table2[[#This Row],[Ativo]],1,2)</f>
        <v>79</v>
      </c>
      <c r="G128" s="4" t="str">
        <f>IFERROR(_xlfn.XLOOKUP(Table2[[#This Row],[Ativo]],Pendentes[COD_RELIGADOR],Pendentes[SS_ORIGINAL]),"CONCLUÍDA")</f>
        <v>CONCLUÍDA</v>
      </c>
      <c r="H128" s="4" t="s">
        <v>526</v>
      </c>
      <c r="L128" s="29"/>
      <c r="M128" s="31"/>
      <c r="N128" t="str">
        <f>IFERROR(_xlfn.XLOOKUP(Table2[[#This Row],[Ativo]],Pendentes[COD_RELIGADOR],Pendentes[DESCRICAO]),"")</f>
        <v/>
      </c>
      <c r="O128" s="5"/>
      <c r="P128" s="5"/>
      <c r="Q128" s="5"/>
      <c r="R128" s="5"/>
      <c r="S128" s="5"/>
      <c r="T128" s="5"/>
      <c r="U128" s="5"/>
      <c r="V128" s="5"/>
      <c r="W128" s="5">
        <f>SUM(Table2[[#This Row],[Premissa 1]:[Premissa 8]])</f>
        <v>0</v>
      </c>
      <c r="X128" s="5"/>
    </row>
    <row r="129" spans="1:25" ht="15" customHeight="1" x14ac:dyDescent="0.25">
      <c r="A129" s="4">
        <v>7962734119</v>
      </c>
      <c r="B129" s="4" t="e">
        <f>_xlfn.XLOOKUP(Table2[[#This Row],[Ativo]],Joao!B:B,Joao!Z:Z)</f>
        <v>#N/A</v>
      </c>
      <c r="C129" s="5" t="str">
        <f>MID(Table2[[#This Row],[Ativo]],1,2)</f>
        <v>79</v>
      </c>
      <c r="G129" s="4" t="str">
        <f>IFERROR(_xlfn.XLOOKUP(Table2[[#This Row],[Ativo]],Pendentes[COD_RELIGADOR],Pendentes[SS_ORIGINAL]),"CONCLUÍDA")</f>
        <v>CONCLUÍDA</v>
      </c>
      <c r="H129" s="4" t="s">
        <v>526</v>
      </c>
      <c r="L129" s="29"/>
      <c r="M129" s="31"/>
      <c r="N129" t="str">
        <f>IFERROR(_xlfn.XLOOKUP(Table2[[#This Row],[Ativo]],Pendentes[COD_RELIGADOR],Pendentes[DESCRICAO]),"")</f>
        <v/>
      </c>
      <c r="O129" s="5"/>
      <c r="P129" s="5"/>
      <c r="Q129" s="5"/>
      <c r="R129" s="5"/>
      <c r="S129" s="5"/>
      <c r="T129" s="5"/>
      <c r="U129" s="5"/>
      <c r="V129" s="5"/>
      <c r="W129" s="5">
        <f>SUM(Table2[[#This Row],[Premissa 1]:[Premissa 8]])</f>
        <v>0</v>
      </c>
      <c r="X129" s="5"/>
    </row>
    <row r="130" spans="1:25" ht="15" customHeight="1" x14ac:dyDescent="0.25">
      <c r="A130" s="12">
        <v>7967181127</v>
      </c>
      <c r="B130" s="12" t="e">
        <f>_xlfn.XLOOKUP(Table2[[#This Row],[Ativo]],Joao!B:B,Joao!Z:Z)</f>
        <v>#N/A</v>
      </c>
      <c r="C130" s="5" t="str">
        <f>MID(Table2[[#This Row],[Ativo]],1,2)</f>
        <v>79</v>
      </c>
      <c r="D130" s="5" t="s">
        <v>258</v>
      </c>
      <c r="E130" s="5" t="s">
        <v>259</v>
      </c>
      <c r="F130" s="5" t="s">
        <v>59</v>
      </c>
      <c r="G130" s="4" t="str">
        <f>IFERROR(_xlfn.XLOOKUP(Table2[[#This Row],[Ativo]],Pendentes[COD_RELIGADOR],Pendentes[SS_ORIGINAL]),"CONCLUÍDA")</f>
        <v>CONCLUÍDA</v>
      </c>
      <c r="H130" s="4" t="s">
        <v>577</v>
      </c>
      <c r="L130" s="29"/>
      <c r="M130" s="31"/>
      <c r="N130" t="str">
        <f>IFERROR(_xlfn.XLOOKUP(Table2[[#This Row],[Ativo]],Pendentes[COD_RELIGADOR],Pendentes[DESCRICAO]),"")</f>
        <v/>
      </c>
      <c r="O130" s="5">
        <v>5</v>
      </c>
      <c r="P130" s="5">
        <v>5</v>
      </c>
      <c r="Q130" s="5">
        <v>0</v>
      </c>
      <c r="R130" s="5">
        <v>0</v>
      </c>
      <c r="S130" s="5">
        <v>15</v>
      </c>
      <c r="T130" s="5">
        <v>10</v>
      </c>
      <c r="U130" s="5">
        <v>0</v>
      </c>
      <c r="V130" s="5">
        <v>0</v>
      </c>
      <c r="W130" s="5">
        <f>SUM(Table2[[#This Row],[Premissa 1]:[Premissa 8]])</f>
        <v>35</v>
      </c>
      <c r="X130" s="5" t="s">
        <v>14</v>
      </c>
      <c r="Y130" t="s">
        <v>578</v>
      </c>
    </row>
    <row r="134" spans="1:25" ht="15" customHeight="1" x14ac:dyDescent="0.25">
      <c r="C134" s="47"/>
    </row>
  </sheetData>
  <mergeCells count="1">
    <mergeCell ref="AA1:AB1"/>
  </mergeCells>
  <conditionalFormatting sqref="A1:B61 A63:B1048576">
    <cfRule type="duplicateValues" dxfId="5" priority="2"/>
  </conditionalFormatting>
  <conditionalFormatting sqref="A62:B62">
    <cfRule type="duplicateValues" dxfId="4" priority="1"/>
  </conditionalFormatting>
  <conditionalFormatting sqref="G1:M2 H3:H4 J3:M4 G3:G117 H5:M7 H8 J8:M8 H9:M52 I53:M53 H54:M114 I115:M115 H116:M117 G118:M118 N119:Q123 G119:H130 I124:M130 G131:M1048576">
    <cfRule type="cellIs" dxfId="3" priority="3" operator="equal">
      <formula>"CONCLUÍDA"</formula>
    </cfRule>
  </conditionalFormatting>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16CD-9DB4-4BEB-8AC6-BD3A7067DA98}">
  <dimension ref="A1:AC38"/>
  <sheetViews>
    <sheetView workbookViewId="0"/>
  </sheetViews>
  <sheetFormatPr defaultRowHeight="15" x14ac:dyDescent="0.25"/>
  <sheetData>
    <row r="1" spans="1:29" x14ac:dyDescent="0.25">
      <c r="A1" s="135" t="s">
        <v>747</v>
      </c>
      <c r="B1" s="135"/>
      <c r="C1" s="135"/>
      <c r="D1" s="135"/>
      <c r="E1" s="135"/>
      <c r="F1" s="135"/>
      <c r="G1" s="135"/>
      <c r="H1" s="135"/>
      <c r="I1" s="135"/>
      <c r="J1" s="135"/>
      <c r="K1" s="135"/>
      <c r="L1" s="135"/>
      <c r="M1" s="135"/>
      <c r="N1" s="135"/>
      <c r="O1" s="136" t="s">
        <v>748</v>
      </c>
      <c r="P1" s="136"/>
      <c r="Q1" s="136"/>
      <c r="R1" s="136"/>
      <c r="S1" s="137"/>
      <c r="T1" s="137"/>
      <c r="U1" s="136"/>
      <c r="V1" s="135" t="s">
        <v>747</v>
      </c>
      <c r="W1" s="135"/>
      <c r="X1" s="135"/>
      <c r="Y1" s="135"/>
      <c r="Z1" s="135"/>
      <c r="AA1" s="135"/>
      <c r="AB1" s="135"/>
      <c r="AC1" s="135"/>
    </row>
    <row r="2" spans="1:29" ht="75" x14ac:dyDescent="0.25">
      <c r="A2" s="52" t="s">
        <v>749</v>
      </c>
      <c r="B2" s="52" t="s">
        <v>431</v>
      </c>
      <c r="C2" s="52" t="s">
        <v>750</v>
      </c>
      <c r="D2" s="52" t="s">
        <v>751</v>
      </c>
      <c r="E2" s="52" t="s">
        <v>752</v>
      </c>
      <c r="F2" s="52" t="s">
        <v>433</v>
      </c>
      <c r="G2" s="52" t="s">
        <v>24</v>
      </c>
      <c r="H2" s="52" t="s">
        <v>436</v>
      </c>
      <c r="I2" s="52" t="s">
        <v>753</v>
      </c>
      <c r="J2" s="52" t="s">
        <v>431</v>
      </c>
      <c r="K2" s="52" t="s">
        <v>450</v>
      </c>
      <c r="L2" s="52" t="s">
        <v>754</v>
      </c>
      <c r="M2" s="52" t="s">
        <v>755</v>
      </c>
      <c r="N2" s="52" t="s">
        <v>756</v>
      </c>
      <c r="O2" s="53" t="s">
        <v>757</v>
      </c>
      <c r="P2" s="53" t="s">
        <v>758</v>
      </c>
      <c r="Q2" s="53" t="s">
        <v>759</v>
      </c>
      <c r="R2" s="53" t="s">
        <v>760</v>
      </c>
      <c r="S2" s="54" t="s">
        <v>761</v>
      </c>
      <c r="T2" s="54" t="s">
        <v>762</v>
      </c>
      <c r="U2" s="53" t="s">
        <v>763</v>
      </c>
      <c r="V2" s="52" t="s">
        <v>764</v>
      </c>
      <c r="W2" s="52" t="s">
        <v>765</v>
      </c>
      <c r="X2" s="52" t="s">
        <v>766</v>
      </c>
      <c r="Y2" s="52" t="s">
        <v>767</v>
      </c>
      <c r="Z2" s="51" t="s">
        <v>448</v>
      </c>
      <c r="AA2" s="51" t="s">
        <v>2</v>
      </c>
      <c r="AB2" s="51" t="s">
        <v>768</v>
      </c>
      <c r="AC2" s="51" t="s">
        <v>769</v>
      </c>
    </row>
    <row r="3" spans="1:29" ht="60" x14ac:dyDescent="0.25">
      <c r="A3" s="55" t="s">
        <v>770</v>
      </c>
      <c r="B3" s="55">
        <v>7957620015</v>
      </c>
      <c r="C3" s="55" t="s">
        <v>771</v>
      </c>
      <c r="D3" s="55">
        <v>13.8</v>
      </c>
      <c r="E3" s="55"/>
      <c r="F3" s="55" t="s">
        <v>288</v>
      </c>
      <c r="G3" s="55" t="s">
        <v>106</v>
      </c>
      <c r="H3" s="55" t="s">
        <v>772</v>
      </c>
      <c r="I3" s="55" t="s">
        <v>773</v>
      </c>
      <c r="J3" s="55">
        <v>7957620015</v>
      </c>
      <c r="K3" s="55" t="s">
        <v>774</v>
      </c>
      <c r="L3" s="55" t="s">
        <v>775</v>
      </c>
      <c r="M3" s="55">
        <v>651638</v>
      </c>
      <c r="N3" s="56" t="s">
        <v>776</v>
      </c>
      <c r="O3" s="57">
        <v>46170</v>
      </c>
      <c r="P3" s="57" t="s">
        <v>777</v>
      </c>
      <c r="Q3" s="57" t="s">
        <v>775</v>
      </c>
      <c r="R3" s="57"/>
      <c r="S3" s="58" t="s">
        <v>778</v>
      </c>
      <c r="T3" s="58">
        <v>8495</v>
      </c>
      <c r="U3" s="59" t="s">
        <v>779</v>
      </c>
      <c r="V3" s="56">
        <v>508897</v>
      </c>
      <c r="W3" s="60" t="s">
        <v>777</v>
      </c>
      <c r="X3" s="57">
        <v>46164</v>
      </c>
      <c r="Y3" s="57">
        <v>46164</v>
      </c>
      <c r="Z3" s="56" t="s">
        <v>780</v>
      </c>
      <c r="AA3" s="56"/>
      <c r="AB3" s="61"/>
      <c r="AC3" s="61"/>
    </row>
    <row r="4" spans="1:29" ht="60" x14ac:dyDescent="0.25">
      <c r="A4" s="55" t="s">
        <v>770</v>
      </c>
      <c r="B4" s="55">
        <v>7955520116</v>
      </c>
      <c r="C4" s="55" t="s">
        <v>771</v>
      </c>
      <c r="D4" s="55">
        <v>34.5</v>
      </c>
      <c r="E4" s="55"/>
      <c r="F4" s="55" t="s">
        <v>215</v>
      </c>
      <c r="G4" s="62" t="s">
        <v>781</v>
      </c>
      <c r="H4" s="55" t="s">
        <v>146</v>
      </c>
      <c r="I4" s="55" t="s">
        <v>782</v>
      </c>
      <c r="J4" s="55" t="s">
        <v>783</v>
      </c>
      <c r="K4" s="55" t="s">
        <v>784</v>
      </c>
      <c r="L4" s="55" t="s">
        <v>785</v>
      </c>
      <c r="M4" s="55"/>
      <c r="N4" s="56" t="s">
        <v>786</v>
      </c>
      <c r="O4" s="56"/>
      <c r="P4" s="57" t="s">
        <v>787</v>
      </c>
      <c r="Q4" s="57" t="s">
        <v>787</v>
      </c>
      <c r="R4" s="57" t="s">
        <v>787</v>
      </c>
      <c r="S4" s="37" t="s">
        <v>788</v>
      </c>
      <c r="T4" s="58" t="s">
        <v>789</v>
      </c>
      <c r="U4" s="56"/>
      <c r="V4" s="56"/>
      <c r="W4" s="63" t="s">
        <v>474</v>
      </c>
      <c r="X4" s="56"/>
      <c r="Y4" s="56"/>
      <c r="Z4" s="56"/>
      <c r="AA4" s="56"/>
      <c r="AB4" s="56" t="s">
        <v>790</v>
      </c>
      <c r="AC4" s="56"/>
    </row>
    <row r="5" spans="1:29" ht="60" x14ac:dyDescent="0.25">
      <c r="A5" s="55" t="s">
        <v>770</v>
      </c>
      <c r="B5" s="55">
        <v>7900594026</v>
      </c>
      <c r="C5" s="55" t="s">
        <v>791</v>
      </c>
      <c r="D5" s="55">
        <v>34.5</v>
      </c>
      <c r="E5" s="55"/>
      <c r="F5" s="55" t="s">
        <v>792</v>
      </c>
      <c r="G5" s="55" t="s">
        <v>50</v>
      </c>
      <c r="H5" s="55" t="s">
        <v>793</v>
      </c>
      <c r="I5" s="55" t="s">
        <v>794</v>
      </c>
      <c r="J5" s="55">
        <v>7900594026</v>
      </c>
      <c r="K5" s="55" t="s">
        <v>795</v>
      </c>
      <c r="L5" s="55" t="s">
        <v>785</v>
      </c>
      <c r="M5" s="55"/>
      <c r="N5" s="56" t="s">
        <v>796</v>
      </c>
      <c r="O5" s="57">
        <v>46213</v>
      </c>
      <c r="P5" s="57">
        <v>46209</v>
      </c>
      <c r="Q5" s="57" t="s">
        <v>775</v>
      </c>
      <c r="R5" s="57">
        <v>46213</v>
      </c>
      <c r="S5" s="37" t="s">
        <v>797</v>
      </c>
      <c r="T5" s="37" t="s">
        <v>798</v>
      </c>
      <c r="U5" s="56"/>
      <c r="V5" s="56"/>
      <c r="W5" s="60" t="s">
        <v>777</v>
      </c>
      <c r="X5" s="57">
        <v>46209</v>
      </c>
      <c r="Y5" s="57">
        <v>46209</v>
      </c>
      <c r="Z5" s="56" t="s">
        <v>799</v>
      </c>
      <c r="AA5" s="56" t="s">
        <v>9</v>
      </c>
      <c r="AB5" s="56" t="s">
        <v>800</v>
      </c>
      <c r="AC5" s="56"/>
    </row>
    <row r="6" spans="1:29" ht="30" x14ac:dyDescent="0.25">
      <c r="A6" s="56" t="s">
        <v>770</v>
      </c>
      <c r="B6" s="56">
        <v>7953610256</v>
      </c>
      <c r="C6" s="55" t="s">
        <v>771</v>
      </c>
      <c r="D6" s="56">
        <v>34.5</v>
      </c>
      <c r="E6" s="56"/>
      <c r="F6" s="56" t="s">
        <v>134</v>
      </c>
      <c r="G6" s="56" t="s">
        <v>135</v>
      </c>
      <c r="H6" s="56" t="s">
        <v>801</v>
      </c>
      <c r="I6" s="56" t="s">
        <v>802</v>
      </c>
      <c r="J6" s="56">
        <v>7953610256</v>
      </c>
      <c r="K6" s="56" t="s">
        <v>508</v>
      </c>
      <c r="L6" s="56" t="s">
        <v>785</v>
      </c>
      <c r="M6" s="56"/>
      <c r="N6" s="56" t="s">
        <v>796</v>
      </c>
      <c r="O6" s="56"/>
      <c r="P6" s="57"/>
      <c r="Q6" s="57" t="s">
        <v>775</v>
      </c>
      <c r="R6" s="57">
        <v>46226</v>
      </c>
      <c r="S6" s="59"/>
      <c r="T6" s="59"/>
      <c r="U6" s="56"/>
      <c r="V6" s="56"/>
      <c r="W6" s="60" t="s">
        <v>777</v>
      </c>
      <c r="X6" s="56"/>
      <c r="Y6" s="56"/>
      <c r="Z6" s="56" t="s">
        <v>803</v>
      </c>
      <c r="AA6" s="56"/>
      <c r="AB6" s="56" t="s">
        <v>804</v>
      </c>
      <c r="AC6" s="56"/>
    </row>
    <row r="7" spans="1:29" ht="60" x14ac:dyDescent="0.25">
      <c r="A7" s="55" t="s">
        <v>770</v>
      </c>
      <c r="B7" s="55">
        <v>7943790134</v>
      </c>
      <c r="C7" s="55" t="s">
        <v>771</v>
      </c>
      <c r="D7" s="55">
        <v>34.5</v>
      </c>
      <c r="E7" s="55"/>
      <c r="F7" s="55" t="s">
        <v>177</v>
      </c>
      <c r="G7" s="55" t="s">
        <v>58</v>
      </c>
      <c r="H7" s="55" t="s">
        <v>805</v>
      </c>
      <c r="I7" s="55" t="s">
        <v>806</v>
      </c>
      <c r="J7" s="55">
        <v>7943790134</v>
      </c>
      <c r="K7" s="55" t="s">
        <v>508</v>
      </c>
      <c r="L7" s="55" t="s">
        <v>775</v>
      </c>
      <c r="M7" s="55"/>
      <c r="N7" s="56" t="s">
        <v>807</v>
      </c>
      <c r="O7" s="57">
        <v>46175</v>
      </c>
      <c r="P7" s="64" t="s">
        <v>777</v>
      </c>
      <c r="Q7" s="57" t="s">
        <v>775</v>
      </c>
      <c r="R7" s="57">
        <v>46179</v>
      </c>
      <c r="S7" s="58" t="s">
        <v>808</v>
      </c>
      <c r="T7" s="58" t="s">
        <v>789</v>
      </c>
      <c r="U7" s="59" t="s">
        <v>809</v>
      </c>
      <c r="V7" s="56">
        <v>508887</v>
      </c>
      <c r="W7" s="60" t="s">
        <v>777</v>
      </c>
      <c r="X7" s="57">
        <v>46164</v>
      </c>
      <c r="Y7" s="57">
        <v>46164</v>
      </c>
      <c r="Z7" s="56" t="s">
        <v>810</v>
      </c>
      <c r="AA7" s="56" t="s">
        <v>9</v>
      </c>
      <c r="AB7" s="56" t="s">
        <v>811</v>
      </c>
      <c r="AC7" s="56"/>
    </row>
    <row r="8" spans="1:29" ht="60" x14ac:dyDescent="0.25">
      <c r="A8" s="65" t="s">
        <v>770</v>
      </c>
      <c r="B8" s="65">
        <v>7938137007</v>
      </c>
      <c r="C8" s="65" t="s">
        <v>812</v>
      </c>
      <c r="D8" s="65">
        <v>13.8</v>
      </c>
      <c r="E8" s="65"/>
      <c r="F8" s="65" t="s">
        <v>100</v>
      </c>
      <c r="G8" s="65" t="s">
        <v>100</v>
      </c>
      <c r="H8" s="65" t="s">
        <v>813</v>
      </c>
      <c r="I8" s="65" t="s">
        <v>814</v>
      </c>
      <c r="J8" s="65">
        <v>7938137007</v>
      </c>
      <c r="K8" s="65" t="s">
        <v>815</v>
      </c>
      <c r="L8" s="65" t="s">
        <v>775</v>
      </c>
      <c r="M8" s="65"/>
      <c r="N8" s="66" t="s">
        <v>816</v>
      </c>
      <c r="O8" s="66" t="s">
        <v>817</v>
      </c>
      <c r="P8" s="67" t="s">
        <v>787</v>
      </c>
      <c r="Q8" s="67" t="s">
        <v>785</v>
      </c>
      <c r="R8" s="67"/>
      <c r="S8" s="68" t="s">
        <v>818</v>
      </c>
      <c r="T8" s="68" t="s">
        <v>789</v>
      </c>
      <c r="U8" s="69"/>
      <c r="V8" s="70"/>
      <c r="W8" s="71" t="s">
        <v>474</v>
      </c>
      <c r="X8" s="70"/>
      <c r="Y8" s="56"/>
      <c r="Z8" s="56" t="s">
        <v>819</v>
      </c>
      <c r="AA8" s="56" t="s">
        <v>15</v>
      </c>
      <c r="AB8" s="56"/>
      <c r="AC8" s="56"/>
    </row>
    <row r="9" spans="1:29" ht="60" x14ac:dyDescent="0.25">
      <c r="A9" s="55" t="s">
        <v>770</v>
      </c>
      <c r="B9" s="55">
        <v>7934698002</v>
      </c>
      <c r="C9" s="55" t="s">
        <v>771</v>
      </c>
      <c r="D9" s="55">
        <v>13.8</v>
      </c>
      <c r="E9" s="55"/>
      <c r="F9" s="55" t="s">
        <v>259</v>
      </c>
      <c r="G9" s="55" t="s">
        <v>259</v>
      </c>
      <c r="H9" s="55" t="s">
        <v>820</v>
      </c>
      <c r="I9" s="55" t="s">
        <v>821</v>
      </c>
      <c r="J9" s="55">
        <v>7934698002</v>
      </c>
      <c r="K9" s="55" t="s">
        <v>614</v>
      </c>
      <c r="L9" s="55" t="s">
        <v>775</v>
      </c>
      <c r="M9" s="55"/>
      <c r="N9" s="56" t="s">
        <v>807</v>
      </c>
      <c r="O9" s="57">
        <v>46176</v>
      </c>
      <c r="P9" s="72" t="s">
        <v>777</v>
      </c>
      <c r="Q9" s="57" t="s">
        <v>775</v>
      </c>
      <c r="R9" s="57">
        <v>46172</v>
      </c>
      <c r="S9" s="73" t="s">
        <v>822</v>
      </c>
      <c r="T9" s="73" t="s">
        <v>789</v>
      </c>
      <c r="U9" s="59" t="s">
        <v>809</v>
      </c>
      <c r="V9" s="56">
        <v>508891</v>
      </c>
      <c r="W9" s="60" t="s">
        <v>777</v>
      </c>
      <c r="X9" s="57">
        <v>46164</v>
      </c>
      <c r="Y9" s="57">
        <v>46164</v>
      </c>
      <c r="Z9" s="56" t="s">
        <v>780</v>
      </c>
      <c r="AA9" s="74" t="s">
        <v>13</v>
      </c>
      <c r="AB9" s="74" t="s">
        <v>823</v>
      </c>
      <c r="AC9" s="70"/>
    </row>
    <row r="10" spans="1:29" ht="60" x14ac:dyDescent="0.25">
      <c r="A10" s="55" t="s">
        <v>770</v>
      </c>
      <c r="B10" s="55">
        <v>7933766059</v>
      </c>
      <c r="C10" s="55" t="s">
        <v>771</v>
      </c>
      <c r="D10" s="55">
        <v>13.8</v>
      </c>
      <c r="E10" s="55"/>
      <c r="F10" s="55" t="s">
        <v>74</v>
      </c>
      <c r="G10" s="55" t="s">
        <v>74</v>
      </c>
      <c r="H10" s="55" t="s">
        <v>824</v>
      </c>
      <c r="I10" s="55" t="s">
        <v>825</v>
      </c>
      <c r="J10" s="55">
        <v>7933766059</v>
      </c>
      <c r="K10" s="55" t="s">
        <v>508</v>
      </c>
      <c r="L10" s="55" t="s">
        <v>775</v>
      </c>
      <c r="M10" s="55"/>
      <c r="N10" s="56" t="s">
        <v>826</v>
      </c>
      <c r="O10" s="57">
        <v>46218</v>
      </c>
      <c r="P10" s="72" t="s">
        <v>777</v>
      </c>
      <c r="Q10" s="57" t="s">
        <v>775</v>
      </c>
      <c r="R10" s="57">
        <v>46219</v>
      </c>
      <c r="S10" s="58" t="s">
        <v>827</v>
      </c>
      <c r="T10" s="58" t="s">
        <v>789</v>
      </c>
      <c r="U10" s="59" t="s">
        <v>828</v>
      </c>
      <c r="V10" s="56">
        <v>510199</v>
      </c>
      <c r="W10" s="60" t="s">
        <v>777</v>
      </c>
      <c r="X10" s="57">
        <v>46204</v>
      </c>
      <c r="Y10" s="57">
        <v>46218</v>
      </c>
      <c r="Z10" s="56" t="s">
        <v>459</v>
      </c>
      <c r="AA10" s="56" t="s">
        <v>9</v>
      </c>
      <c r="AB10" s="56" t="s">
        <v>829</v>
      </c>
      <c r="AC10" s="56"/>
    </row>
    <row r="11" spans="1:29" ht="60" x14ac:dyDescent="0.25">
      <c r="A11" s="56" t="s">
        <v>770</v>
      </c>
      <c r="B11" s="56">
        <v>7933726256</v>
      </c>
      <c r="C11" s="55" t="s">
        <v>771</v>
      </c>
      <c r="D11" s="56">
        <v>34.5</v>
      </c>
      <c r="E11" s="56"/>
      <c r="F11" s="56" t="s">
        <v>134</v>
      </c>
      <c r="G11" s="55" t="s">
        <v>135</v>
      </c>
      <c r="H11" s="56" t="s">
        <v>830</v>
      </c>
      <c r="I11" s="56" t="s">
        <v>831</v>
      </c>
      <c r="J11" s="56">
        <v>7933726256</v>
      </c>
      <c r="K11" s="56" t="s">
        <v>508</v>
      </c>
      <c r="L11" s="56" t="s">
        <v>775</v>
      </c>
      <c r="M11" s="56"/>
      <c r="N11" s="56" t="s">
        <v>796</v>
      </c>
      <c r="O11" s="57">
        <v>46210</v>
      </c>
      <c r="P11" s="72" t="s">
        <v>777</v>
      </c>
      <c r="Q11" s="57" t="s">
        <v>775</v>
      </c>
      <c r="R11" s="57">
        <v>46210</v>
      </c>
      <c r="S11" s="58" t="s">
        <v>832</v>
      </c>
      <c r="T11" s="58" t="s">
        <v>789</v>
      </c>
      <c r="U11" s="56"/>
      <c r="V11" s="56"/>
      <c r="W11" s="60" t="s">
        <v>777</v>
      </c>
      <c r="X11" s="57"/>
      <c r="Y11" s="56"/>
      <c r="Z11" s="56" t="s">
        <v>833</v>
      </c>
      <c r="AA11" s="56" t="s">
        <v>9</v>
      </c>
      <c r="AB11" s="56" t="s">
        <v>834</v>
      </c>
      <c r="AC11" s="56"/>
    </row>
    <row r="12" spans="1:29" ht="60" x14ac:dyDescent="0.25">
      <c r="A12" s="55" t="s">
        <v>770</v>
      </c>
      <c r="B12" s="55">
        <v>7931610122</v>
      </c>
      <c r="C12" s="55" t="s">
        <v>771</v>
      </c>
      <c r="D12" s="55">
        <v>13.8</v>
      </c>
      <c r="E12" s="55"/>
      <c r="F12" s="55" t="s">
        <v>264</v>
      </c>
      <c r="G12" s="55" t="s">
        <v>264</v>
      </c>
      <c r="H12" s="55" t="s">
        <v>835</v>
      </c>
      <c r="I12" s="55" t="s">
        <v>836</v>
      </c>
      <c r="J12" s="55">
        <v>7931610122</v>
      </c>
      <c r="K12" s="55" t="s">
        <v>837</v>
      </c>
      <c r="L12" s="55" t="s">
        <v>775</v>
      </c>
      <c r="M12" s="55"/>
      <c r="N12" s="56" t="s">
        <v>826</v>
      </c>
      <c r="O12" s="57">
        <v>46218</v>
      </c>
      <c r="P12" s="72" t="s">
        <v>777</v>
      </c>
      <c r="Q12" s="57" t="s">
        <v>775</v>
      </c>
      <c r="R12" s="57">
        <v>46219</v>
      </c>
      <c r="S12" s="58" t="s">
        <v>838</v>
      </c>
      <c r="T12" s="58" t="s">
        <v>789</v>
      </c>
      <c r="U12" s="59" t="s">
        <v>828</v>
      </c>
      <c r="V12" s="56">
        <v>510192</v>
      </c>
      <c r="W12" s="60" t="s">
        <v>777</v>
      </c>
      <c r="X12" s="57">
        <v>46204</v>
      </c>
      <c r="Y12" s="57">
        <v>46202</v>
      </c>
      <c r="Z12" s="56" t="s">
        <v>459</v>
      </c>
      <c r="AA12" s="56" t="s">
        <v>9</v>
      </c>
      <c r="AB12" s="56" t="s">
        <v>839</v>
      </c>
      <c r="AC12" s="56"/>
    </row>
    <row r="13" spans="1:29" ht="60" x14ac:dyDescent="0.25">
      <c r="A13" s="55" t="s">
        <v>770</v>
      </c>
      <c r="B13" s="55">
        <v>7929376022</v>
      </c>
      <c r="C13" s="55" t="s">
        <v>771</v>
      </c>
      <c r="D13" s="55">
        <v>34.5</v>
      </c>
      <c r="E13" s="55"/>
      <c r="F13" s="55" t="s">
        <v>125</v>
      </c>
      <c r="G13" s="55" t="s">
        <v>259</v>
      </c>
      <c r="H13" s="55" t="s">
        <v>490</v>
      </c>
      <c r="I13" s="55"/>
      <c r="J13" s="55">
        <v>7929376022</v>
      </c>
      <c r="K13" s="55" t="s">
        <v>840</v>
      </c>
      <c r="L13" s="55" t="s">
        <v>775</v>
      </c>
      <c r="M13" s="55"/>
      <c r="N13" s="56" t="s">
        <v>841</v>
      </c>
      <c r="O13" s="56" t="s">
        <v>842</v>
      </c>
      <c r="P13" s="75" t="s">
        <v>474</v>
      </c>
      <c r="Q13" s="57" t="s">
        <v>775</v>
      </c>
      <c r="R13" s="57"/>
      <c r="S13" s="76" t="s">
        <v>843</v>
      </c>
      <c r="T13" s="76" t="s">
        <v>789</v>
      </c>
      <c r="U13" s="59" t="s">
        <v>844</v>
      </c>
      <c r="V13" s="56" t="s">
        <v>845</v>
      </c>
      <c r="W13" s="77" t="s">
        <v>474</v>
      </c>
      <c r="X13" s="57">
        <v>46244</v>
      </c>
      <c r="Y13" s="57"/>
      <c r="Z13" s="56" t="s">
        <v>846</v>
      </c>
      <c r="AA13" s="56" t="s">
        <v>9</v>
      </c>
      <c r="AB13" s="56"/>
      <c r="AC13" s="56"/>
    </row>
    <row r="14" spans="1:29" ht="60" x14ac:dyDescent="0.25">
      <c r="A14" s="55" t="s">
        <v>770</v>
      </c>
      <c r="B14" s="55">
        <v>7927169001</v>
      </c>
      <c r="C14" s="55" t="s">
        <v>771</v>
      </c>
      <c r="D14" s="55">
        <v>13.8</v>
      </c>
      <c r="E14" s="55"/>
      <c r="F14" s="55" t="s">
        <v>264</v>
      </c>
      <c r="G14" s="55" t="s">
        <v>264</v>
      </c>
      <c r="H14" s="55" t="s">
        <v>847</v>
      </c>
      <c r="I14" s="55" t="s">
        <v>847</v>
      </c>
      <c r="J14" s="55">
        <v>7927169001</v>
      </c>
      <c r="K14" s="55" t="s">
        <v>614</v>
      </c>
      <c r="L14" s="55" t="s">
        <v>775</v>
      </c>
      <c r="M14" s="55"/>
      <c r="N14" s="56" t="s">
        <v>826</v>
      </c>
      <c r="O14" s="57">
        <v>46219</v>
      </c>
      <c r="P14" s="72" t="s">
        <v>777</v>
      </c>
      <c r="Q14" s="57" t="s">
        <v>775</v>
      </c>
      <c r="R14" s="57">
        <v>46223</v>
      </c>
      <c r="S14" s="73" t="s">
        <v>848</v>
      </c>
      <c r="T14" s="73" t="s">
        <v>789</v>
      </c>
      <c r="U14" s="59" t="s">
        <v>828</v>
      </c>
      <c r="V14" s="56">
        <v>510209</v>
      </c>
      <c r="W14" s="60" t="s">
        <v>777</v>
      </c>
      <c r="X14" s="57">
        <v>46210</v>
      </c>
      <c r="Y14" s="57">
        <v>46202</v>
      </c>
      <c r="Z14" s="56"/>
      <c r="AA14" s="56" t="s">
        <v>13</v>
      </c>
      <c r="AB14" s="56" t="s">
        <v>849</v>
      </c>
      <c r="AC14" s="56"/>
    </row>
    <row r="15" spans="1:29" ht="180" x14ac:dyDescent="0.25">
      <c r="A15" s="55" t="s">
        <v>770</v>
      </c>
      <c r="B15" s="55">
        <v>7925087021</v>
      </c>
      <c r="C15" s="55" t="s">
        <v>771</v>
      </c>
      <c r="D15" s="55">
        <v>34.5</v>
      </c>
      <c r="E15" s="55"/>
      <c r="F15" s="55" t="s">
        <v>223</v>
      </c>
      <c r="G15" s="55" t="s">
        <v>224</v>
      </c>
      <c r="H15" s="55" t="s">
        <v>850</v>
      </c>
      <c r="I15" s="55"/>
      <c r="J15" s="55">
        <v>7925087021</v>
      </c>
      <c r="K15" s="55" t="s">
        <v>508</v>
      </c>
      <c r="L15" s="55" t="s">
        <v>775</v>
      </c>
      <c r="M15" s="55"/>
      <c r="N15" s="56" t="s">
        <v>851</v>
      </c>
      <c r="O15" s="56" t="s">
        <v>842</v>
      </c>
      <c r="P15" s="75" t="s">
        <v>474</v>
      </c>
      <c r="Q15" s="57" t="s">
        <v>785</v>
      </c>
      <c r="R15" s="57" t="s">
        <v>474</v>
      </c>
      <c r="S15" s="103" t="s">
        <v>852</v>
      </c>
      <c r="T15" s="103" t="s">
        <v>789</v>
      </c>
      <c r="U15" s="104" t="s">
        <v>853</v>
      </c>
      <c r="V15" s="56">
        <v>511540</v>
      </c>
      <c r="W15" s="60" t="s">
        <v>777</v>
      </c>
      <c r="X15" s="57">
        <v>46213</v>
      </c>
      <c r="Y15" s="57">
        <v>46213</v>
      </c>
      <c r="Z15" s="55" t="s">
        <v>854</v>
      </c>
      <c r="AA15" s="56" t="s">
        <v>13</v>
      </c>
      <c r="AB15" s="56" t="s">
        <v>855</v>
      </c>
      <c r="AC15" s="56"/>
    </row>
    <row r="16" spans="1:29" ht="60" x14ac:dyDescent="0.25">
      <c r="A16" s="55" t="s">
        <v>770</v>
      </c>
      <c r="B16" s="55">
        <v>7908705049</v>
      </c>
      <c r="C16" s="55" t="s">
        <v>791</v>
      </c>
      <c r="D16" s="55">
        <v>13.8</v>
      </c>
      <c r="E16" s="55"/>
      <c r="F16" s="55" t="s">
        <v>64</v>
      </c>
      <c r="G16" s="62" t="s">
        <v>781</v>
      </c>
      <c r="H16" s="55" t="s">
        <v>856</v>
      </c>
      <c r="I16" s="55" t="s">
        <v>857</v>
      </c>
      <c r="J16" s="55">
        <v>7908705049</v>
      </c>
      <c r="K16" s="55" t="s">
        <v>614</v>
      </c>
      <c r="L16" s="55" t="s">
        <v>775</v>
      </c>
      <c r="M16" s="55"/>
      <c r="N16" s="56" t="s">
        <v>786</v>
      </c>
      <c r="O16" s="56" t="s">
        <v>842</v>
      </c>
      <c r="P16" s="75" t="s">
        <v>474</v>
      </c>
      <c r="Q16" s="57" t="s">
        <v>785</v>
      </c>
      <c r="R16" s="57" t="s">
        <v>474</v>
      </c>
      <c r="S16" s="76" t="s">
        <v>858</v>
      </c>
      <c r="T16" s="76" t="s">
        <v>789</v>
      </c>
      <c r="U16" s="59" t="s">
        <v>859</v>
      </c>
      <c r="V16" s="56">
        <v>511536</v>
      </c>
      <c r="W16" s="60" t="s">
        <v>777</v>
      </c>
      <c r="X16" s="57">
        <v>46223</v>
      </c>
      <c r="Y16" s="57"/>
      <c r="Z16" s="56"/>
      <c r="AA16" s="56" t="s">
        <v>9</v>
      </c>
      <c r="AB16" s="56" t="s">
        <v>860</v>
      </c>
      <c r="AC16" s="56"/>
    </row>
    <row r="17" spans="1:29" ht="60" x14ac:dyDescent="0.25">
      <c r="A17" s="55" t="s">
        <v>770</v>
      </c>
      <c r="B17" s="78">
        <v>7908686014</v>
      </c>
      <c r="C17" s="55" t="s">
        <v>771</v>
      </c>
      <c r="D17" s="55">
        <v>34.5</v>
      </c>
      <c r="E17" s="55"/>
      <c r="F17" s="55" t="s">
        <v>164</v>
      </c>
      <c r="G17" s="55" t="s">
        <v>117</v>
      </c>
      <c r="H17" s="55" t="s">
        <v>861</v>
      </c>
      <c r="I17" s="55" t="s">
        <v>862</v>
      </c>
      <c r="J17" s="55">
        <v>7908686014</v>
      </c>
      <c r="K17" s="55" t="s">
        <v>508</v>
      </c>
      <c r="L17" s="55" t="s">
        <v>775</v>
      </c>
      <c r="M17" s="55"/>
      <c r="N17" s="56" t="s">
        <v>863</v>
      </c>
      <c r="O17" s="56"/>
      <c r="P17" s="75" t="s">
        <v>474</v>
      </c>
      <c r="Q17" s="57" t="s">
        <v>785</v>
      </c>
      <c r="R17" s="57"/>
      <c r="S17" s="76" t="s">
        <v>864</v>
      </c>
      <c r="T17" s="76" t="s">
        <v>789</v>
      </c>
      <c r="U17" s="59" t="s">
        <v>865</v>
      </c>
      <c r="V17" s="56">
        <v>510214</v>
      </c>
      <c r="W17" s="60" t="s">
        <v>777</v>
      </c>
      <c r="X17" s="57">
        <v>46213</v>
      </c>
      <c r="Y17" s="57">
        <v>46218</v>
      </c>
      <c r="Z17" s="56" t="s">
        <v>866</v>
      </c>
      <c r="AA17" s="56" t="s">
        <v>9</v>
      </c>
      <c r="AB17" s="56" t="s">
        <v>867</v>
      </c>
      <c r="AC17" s="56"/>
    </row>
    <row r="18" spans="1:29" ht="90" x14ac:dyDescent="0.25">
      <c r="A18" s="55" t="s">
        <v>770</v>
      </c>
      <c r="B18" s="55">
        <v>7903112004</v>
      </c>
      <c r="C18" s="55" t="s">
        <v>791</v>
      </c>
      <c r="D18" s="55">
        <v>34.5</v>
      </c>
      <c r="E18" s="55"/>
      <c r="F18" s="55" t="s">
        <v>69</v>
      </c>
      <c r="G18" s="55"/>
      <c r="H18" s="55" t="s">
        <v>78</v>
      </c>
      <c r="I18" s="55"/>
      <c r="J18" s="79">
        <v>7903112004</v>
      </c>
      <c r="K18" s="79" t="s">
        <v>868</v>
      </c>
      <c r="L18" s="79" t="s">
        <v>785</v>
      </c>
      <c r="M18" s="79"/>
      <c r="N18" s="56" t="s">
        <v>841</v>
      </c>
      <c r="O18" s="56" t="s">
        <v>842</v>
      </c>
      <c r="P18" s="57" t="s">
        <v>474</v>
      </c>
      <c r="Q18" s="57" t="s">
        <v>785</v>
      </c>
      <c r="R18" s="57" t="s">
        <v>474</v>
      </c>
      <c r="S18" s="59"/>
      <c r="T18" s="59"/>
      <c r="U18" s="59"/>
      <c r="V18" s="56"/>
      <c r="W18" s="77" t="s">
        <v>474</v>
      </c>
      <c r="X18" s="56"/>
      <c r="Y18" s="56"/>
      <c r="Z18" s="56" t="s">
        <v>869</v>
      </c>
      <c r="AA18" s="56" t="s">
        <v>13</v>
      </c>
      <c r="AB18" s="56"/>
      <c r="AC18" s="56"/>
    </row>
    <row r="19" spans="1:29" ht="60" x14ac:dyDescent="0.25">
      <c r="A19" s="55" t="s">
        <v>770</v>
      </c>
      <c r="B19" s="55">
        <v>7900453110</v>
      </c>
      <c r="C19" s="55" t="s">
        <v>791</v>
      </c>
      <c r="D19" s="55">
        <v>34.5</v>
      </c>
      <c r="E19" s="55"/>
      <c r="F19" s="55" t="s">
        <v>185</v>
      </c>
      <c r="G19" s="55" t="s">
        <v>50</v>
      </c>
      <c r="H19" s="55" t="s">
        <v>870</v>
      </c>
      <c r="I19" s="55" t="s">
        <v>871</v>
      </c>
      <c r="J19" s="55">
        <v>7900453110</v>
      </c>
      <c r="K19" s="55" t="s">
        <v>508</v>
      </c>
      <c r="L19" s="55" t="s">
        <v>775</v>
      </c>
      <c r="M19" s="55"/>
      <c r="N19" s="56" t="s">
        <v>796</v>
      </c>
      <c r="O19" s="57">
        <v>46213</v>
      </c>
      <c r="P19" s="57"/>
      <c r="Q19" s="57" t="s">
        <v>775</v>
      </c>
      <c r="R19" s="57" t="s">
        <v>474</v>
      </c>
      <c r="S19" s="37" t="s">
        <v>872</v>
      </c>
      <c r="T19" s="37" t="s">
        <v>798</v>
      </c>
      <c r="U19" s="59" t="s">
        <v>873</v>
      </c>
      <c r="V19" s="56">
        <v>510215</v>
      </c>
      <c r="W19" s="60" t="s">
        <v>777</v>
      </c>
      <c r="X19" s="57">
        <v>46204</v>
      </c>
      <c r="Y19" s="57">
        <v>46202</v>
      </c>
      <c r="Z19" s="56" t="s">
        <v>737</v>
      </c>
      <c r="AA19" s="56" t="s">
        <v>9</v>
      </c>
      <c r="AB19" s="56"/>
      <c r="AC19" s="56"/>
    </row>
    <row r="20" spans="1:29" ht="45" x14ac:dyDescent="0.25">
      <c r="A20" s="56" t="s">
        <v>874</v>
      </c>
      <c r="B20" s="56">
        <v>5854566043</v>
      </c>
      <c r="C20" s="55" t="e">
        <v>#N/A</v>
      </c>
      <c r="D20" s="56">
        <v>34.5</v>
      </c>
      <c r="E20" s="56">
        <v>400</v>
      </c>
      <c r="F20" s="56" t="s">
        <v>49</v>
      </c>
      <c r="G20" s="55" t="s">
        <v>50</v>
      </c>
      <c r="H20" s="56" t="s">
        <v>875</v>
      </c>
      <c r="I20" s="56" t="s">
        <v>876</v>
      </c>
      <c r="J20" s="56">
        <v>5854566043</v>
      </c>
      <c r="K20" s="56" t="s">
        <v>877</v>
      </c>
      <c r="L20" s="56" t="s">
        <v>775</v>
      </c>
      <c r="M20" s="56">
        <v>690241</v>
      </c>
      <c r="N20" s="56" t="s">
        <v>796</v>
      </c>
      <c r="O20" s="56" t="s">
        <v>842</v>
      </c>
      <c r="P20" s="80" t="s">
        <v>474</v>
      </c>
      <c r="Q20" s="56" t="s">
        <v>775</v>
      </c>
      <c r="R20" s="57">
        <v>46227</v>
      </c>
      <c r="S20" s="76" t="s">
        <v>878</v>
      </c>
      <c r="T20" s="37" t="s">
        <v>789</v>
      </c>
      <c r="U20" s="56">
        <v>3905</v>
      </c>
      <c r="V20" s="56">
        <v>513847</v>
      </c>
      <c r="W20" s="77" t="s">
        <v>474</v>
      </c>
      <c r="X20" s="57">
        <v>46223</v>
      </c>
      <c r="Y20" s="56"/>
      <c r="Z20" s="56" t="s">
        <v>879</v>
      </c>
      <c r="AA20" s="56" t="s">
        <v>9</v>
      </c>
      <c r="AB20" s="56"/>
      <c r="AC20" s="56"/>
    </row>
    <row r="21" spans="1:29" ht="75" x14ac:dyDescent="0.25">
      <c r="A21" s="55" t="s">
        <v>770</v>
      </c>
      <c r="B21" s="55">
        <v>7957126085</v>
      </c>
      <c r="C21" s="55" t="s">
        <v>771</v>
      </c>
      <c r="D21" s="55">
        <v>34.5</v>
      </c>
      <c r="E21" s="55"/>
      <c r="F21" s="55" t="s">
        <v>579</v>
      </c>
      <c r="G21" s="55" t="s">
        <v>117</v>
      </c>
      <c r="H21" s="55" t="s">
        <v>880</v>
      </c>
      <c r="I21" s="55" t="s">
        <v>881</v>
      </c>
      <c r="J21" s="55">
        <v>7957126085</v>
      </c>
      <c r="K21" s="55" t="s">
        <v>882</v>
      </c>
      <c r="L21" s="55" t="s">
        <v>775</v>
      </c>
      <c r="M21" s="55"/>
      <c r="N21" s="56" t="s">
        <v>863</v>
      </c>
      <c r="O21" s="56" t="s">
        <v>787</v>
      </c>
      <c r="P21" s="57" t="s">
        <v>787</v>
      </c>
      <c r="Q21" s="57" t="s">
        <v>785</v>
      </c>
      <c r="R21" s="57" t="s">
        <v>787</v>
      </c>
      <c r="S21" s="37" t="s">
        <v>883</v>
      </c>
      <c r="T21" s="37" t="s">
        <v>798</v>
      </c>
      <c r="U21" s="59" t="s">
        <v>865</v>
      </c>
      <c r="V21" s="59" t="s">
        <v>884</v>
      </c>
      <c r="W21" s="60" t="s">
        <v>777</v>
      </c>
      <c r="X21" s="57">
        <v>46213</v>
      </c>
      <c r="Y21" s="57">
        <v>46213</v>
      </c>
      <c r="Z21" s="56" t="s">
        <v>745</v>
      </c>
      <c r="AA21" s="56" t="s">
        <v>14</v>
      </c>
      <c r="AB21" s="56" t="s">
        <v>885</v>
      </c>
      <c r="AC21" s="56"/>
    </row>
    <row r="22" spans="1:29" ht="60" x14ac:dyDescent="0.25">
      <c r="A22" s="81" t="s">
        <v>770</v>
      </c>
      <c r="B22" s="55">
        <v>7900117013</v>
      </c>
      <c r="C22" s="55" t="s">
        <v>791</v>
      </c>
      <c r="D22" s="55">
        <v>13.8</v>
      </c>
      <c r="E22" s="55"/>
      <c r="F22" s="55" t="s">
        <v>117</v>
      </c>
      <c r="G22" s="55" t="s">
        <v>117</v>
      </c>
      <c r="H22" s="55" t="s">
        <v>886</v>
      </c>
      <c r="I22" s="55" t="s">
        <v>887</v>
      </c>
      <c r="J22" s="55">
        <v>7900117013</v>
      </c>
      <c r="K22" s="55" t="s">
        <v>888</v>
      </c>
      <c r="L22" s="55" t="s">
        <v>775</v>
      </c>
      <c r="M22" s="55"/>
      <c r="N22" s="56" t="s">
        <v>863</v>
      </c>
      <c r="O22" s="57" t="s">
        <v>889</v>
      </c>
      <c r="P22" s="57"/>
      <c r="Q22" s="57" t="s">
        <v>785</v>
      </c>
      <c r="R22" s="57">
        <v>46218</v>
      </c>
      <c r="S22" s="82" t="s">
        <v>890</v>
      </c>
      <c r="T22" s="82" t="s">
        <v>789</v>
      </c>
      <c r="U22" s="59" t="s">
        <v>865</v>
      </c>
      <c r="V22" s="56">
        <v>510217</v>
      </c>
      <c r="W22" s="60" t="s">
        <v>777</v>
      </c>
      <c r="X22" s="57">
        <v>46213</v>
      </c>
      <c r="Y22" s="57">
        <v>46218</v>
      </c>
      <c r="Z22" s="56" t="s">
        <v>891</v>
      </c>
      <c r="AA22" s="56" t="s">
        <v>9</v>
      </c>
      <c r="AB22" s="56" t="s">
        <v>892</v>
      </c>
      <c r="AC22" s="56"/>
    </row>
    <row r="23" spans="1:29" ht="60" x14ac:dyDescent="0.25">
      <c r="A23" s="55" t="s">
        <v>874</v>
      </c>
      <c r="B23" s="81">
        <v>5855411017</v>
      </c>
      <c r="C23" s="55" t="e">
        <v>#N/A</v>
      </c>
      <c r="D23" s="55">
        <v>13.8</v>
      </c>
      <c r="E23" s="55">
        <v>239</v>
      </c>
      <c r="F23" s="55" t="s">
        <v>99</v>
      </c>
      <c r="G23" s="55" t="s">
        <v>100</v>
      </c>
      <c r="H23" s="55" t="s">
        <v>893</v>
      </c>
      <c r="I23" s="55"/>
      <c r="J23" s="55" t="s">
        <v>894</v>
      </c>
      <c r="K23" s="55" t="s">
        <v>895</v>
      </c>
      <c r="L23" s="55" t="s">
        <v>775</v>
      </c>
      <c r="M23" s="55">
        <v>651638</v>
      </c>
      <c r="N23" s="56" t="s">
        <v>863</v>
      </c>
      <c r="O23" s="56" t="s">
        <v>889</v>
      </c>
      <c r="P23" s="75" t="s">
        <v>474</v>
      </c>
      <c r="Q23" s="57" t="s">
        <v>785</v>
      </c>
      <c r="R23" s="57" t="s">
        <v>474</v>
      </c>
      <c r="S23" s="76" t="s">
        <v>896</v>
      </c>
      <c r="T23" s="37" t="s">
        <v>897</v>
      </c>
      <c r="U23" s="59" t="s">
        <v>865</v>
      </c>
      <c r="V23" s="56">
        <v>514628</v>
      </c>
      <c r="W23" s="60" t="s">
        <v>777</v>
      </c>
      <c r="X23" s="57">
        <v>46213</v>
      </c>
      <c r="Y23" s="57">
        <v>46213</v>
      </c>
      <c r="Z23" s="56" t="s">
        <v>879</v>
      </c>
      <c r="AA23" s="56" t="s">
        <v>15</v>
      </c>
      <c r="AB23" s="56" t="s">
        <v>898</v>
      </c>
      <c r="AC23" s="83"/>
    </row>
    <row r="24" spans="1:29" ht="75" x14ac:dyDescent="0.25">
      <c r="A24" s="55" t="s">
        <v>770</v>
      </c>
      <c r="B24" s="55">
        <v>7900018004</v>
      </c>
      <c r="C24" s="55" t="s">
        <v>771</v>
      </c>
      <c r="D24" s="55">
        <v>34.5</v>
      </c>
      <c r="E24" s="55"/>
      <c r="F24" s="55" t="s">
        <v>69</v>
      </c>
      <c r="G24" s="55" t="s">
        <v>69</v>
      </c>
      <c r="H24" s="55" t="s">
        <v>899</v>
      </c>
      <c r="I24" s="55"/>
      <c r="J24" s="55">
        <v>7900018004</v>
      </c>
      <c r="K24" s="55" t="s">
        <v>900</v>
      </c>
      <c r="L24" s="55" t="s">
        <v>775</v>
      </c>
      <c r="M24" s="79"/>
      <c r="N24" s="56" t="s">
        <v>841</v>
      </c>
      <c r="O24" s="57">
        <v>46169</v>
      </c>
      <c r="P24" s="64" t="s">
        <v>777</v>
      </c>
      <c r="Q24" s="57" t="s">
        <v>775</v>
      </c>
      <c r="R24" s="57">
        <v>46169</v>
      </c>
      <c r="S24" s="58" t="s">
        <v>901</v>
      </c>
      <c r="T24" s="58"/>
      <c r="U24" s="59" t="s">
        <v>844</v>
      </c>
      <c r="V24" s="56">
        <v>508886</v>
      </c>
      <c r="W24" s="60" t="s">
        <v>777</v>
      </c>
      <c r="X24" s="57">
        <v>46167</v>
      </c>
      <c r="Y24" s="57">
        <v>46167</v>
      </c>
      <c r="Z24" s="56" t="s">
        <v>780</v>
      </c>
      <c r="AA24" s="56" t="s">
        <v>13</v>
      </c>
      <c r="AB24" s="56"/>
      <c r="AC24" s="56"/>
    </row>
    <row r="25" spans="1:29" ht="30" x14ac:dyDescent="0.25">
      <c r="A25" s="56" t="s">
        <v>874</v>
      </c>
      <c r="B25" s="56">
        <v>5856070091</v>
      </c>
      <c r="C25" s="55" t="e">
        <v>#N/A</v>
      </c>
      <c r="D25" s="56">
        <v>34.5</v>
      </c>
      <c r="E25" s="56">
        <v>400</v>
      </c>
      <c r="F25" s="56" t="s">
        <v>40</v>
      </c>
      <c r="G25" s="62" t="s">
        <v>781</v>
      </c>
      <c r="H25" s="56" t="s">
        <v>902</v>
      </c>
      <c r="I25" s="56"/>
      <c r="J25" s="56">
        <v>5862236091</v>
      </c>
      <c r="K25" s="56" t="s">
        <v>903</v>
      </c>
      <c r="L25" s="56" t="s">
        <v>775</v>
      </c>
      <c r="M25" s="56">
        <v>690241</v>
      </c>
      <c r="N25" s="56" t="s">
        <v>786</v>
      </c>
      <c r="O25" s="56" t="s">
        <v>904</v>
      </c>
      <c r="P25" s="56"/>
      <c r="Q25" s="56"/>
      <c r="R25" s="56"/>
      <c r="S25" s="84" t="s">
        <v>905</v>
      </c>
      <c r="T25" s="85" t="s">
        <v>906</v>
      </c>
      <c r="U25" s="56">
        <v>5908</v>
      </c>
      <c r="V25" s="56">
        <v>514814</v>
      </c>
      <c r="W25" s="60" t="s">
        <v>777</v>
      </c>
      <c r="X25" s="57">
        <v>46223</v>
      </c>
      <c r="Y25" s="57">
        <v>46223</v>
      </c>
      <c r="Z25" s="56" t="s">
        <v>907</v>
      </c>
      <c r="AA25" s="56" t="s">
        <v>9</v>
      </c>
      <c r="AB25" s="56" t="s">
        <v>908</v>
      </c>
      <c r="AC25" s="56"/>
    </row>
    <row r="26" spans="1:29" ht="240" x14ac:dyDescent="0.25">
      <c r="A26" s="81" t="s">
        <v>874</v>
      </c>
      <c r="B26" s="81">
        <v>5858783119</v>
      </c>
      <c r="C26" s="81" t="e">
        <v>#N/A</v>
      </c>
      <c r="D26" s="81">
        <v>34.5</v>
      </c>
      <c r="E26" s="81">
        <v>400</v>
      </c>
      <c r="F26" s="81" t="s">
        <v>350</v>
      </c>
      <c r="G26" s="81" t="s">
        <v>259</v>
      </c>
      <c r="H26" s="81" t="s">
        <v>909</v>
      </c>
      <c r="I26" s="81"/>
      <c r="J26" s="81">
        <v>5858783119</v>
      </c>
      <c r="K26" s="81" t="s">
        <v>910</v>
      </c>
      <c r="L26" s="81" t="s">
        <v>775</v>
      </c>
      <c r="M26" s="81">
        <v>690241</v>
      </c>
      <c r="N26" s="86" t="s">
        <v>911</v>
      </c>
      <c r="O26" s="86" t="s">
        <v>912</v>
      </c>
      <c r="P26" s="75" t="s">
        <v>474</v>
      </c>
      <c r="Q26" s="87" t="s">
        <v>775</v>
      </c>
      <c r="R26" s="88" t="s">
        <v>474</v>
      </c>
      <c r="S26" s="89" t="s">
        <v>913</v>
      </c>
      <c r="T26" s="90" t="s">
        <v>906</v>
      </c>
      <c r="U26" s="91">
        <v>6905</v>
      </c>
      <c r="V26" s="81" t="s">
        <v>914</v>
      </c>
      <c r="W26" s="77" t="s">
        <v>474</v>
      </c>
      <c r="X26" s="81"/>
      <c r="Y26" s="81"/>
      <c r="Z26" s="81" t="s">
        <v>915</v>
      </c>
      <c r="AA26" s="81" t="s">
        <v>15</v>
      </c>
      <c r="AB26" s="81" t="s">
        <v>916</v>
      </c>
      <c r="AC26" s="81"/>
    </row>
    <row r="27" spans="1:29" ht="345" x14ac:dyDescent="0.25">
      <c r="A27" s="55" t="s">
        <v>874</v>
      </c>
      <c r="B27" s="81">
        <v>5827102054</v>
      </c>
      <c r="C27" s="55" t="e">
        <v>#N/A</v>
      </c>
      <c r="D27" s="55">
        <v>34.5</v>
      </c>
      <c r="E27" s="55">
        <v>200</v>
      </c>
      <c r="F27" s="55" t="s">
        <v>278</v>
      </c>
      <c r="G27" s="55" t="s">
        <v>117</v>
      </c>
      <c r="H27" s="55" t="s">
        <v>917</v>
      </c>
      <c r="I27" s="55" t="s">
        <v>918</v>
      </c>
      <c r="J27" s="55" t="s">
        <v>919</v>
      </c>
      <c r="K27" s="55" t="s">
        <v>920</v>
      </c>
      <c r="L27" s="55" t="s">
        <v>785</v>
      </c>
      <c r="M27" s="55"/>
      <c r="N27" s="56" t="s">
        <v>863</v>
      </c>
      <c r="O27" s="56"/>
      <c r="P27" s="75" t="s">
        <v>474</v>
      </c>
      <c r="Q27" s="57" t="s">
        <v>775</v>
      </c>
      <c r="R27" s="57" t="s">
        <v>474</v>
      </c>
      <c r="S27" s="92" t="s">
        <v>921</v>
      </c>
      <c r="T27" s="93" t="s">
        <v>897</v>
      </c>
      <c r="U27" s="59" t="s">
        <v>865</v>
      </c>
      <c r="V27" s="56" t="s">
        <v>922</v>
      </c>
      <c r="W27" s="60" t="s">
        <v>777</v>
      </c>
      <c r="X27" s="56"/>
      <c r="Y27" s="57"/>
      <c r="Z27" s="56" t="s">
        <v>923</v>
      </c>
      <c r="AA27" s="56" t="s">
        <v>924</v>
      </c>
      <c r="AB27" s="56"/>
      <c r="AC27" s="56"/>
    </row>
    <row r="28" spans="1:29" ht="60" x14ac:dyDescent="0.25">
      <c r="A28" s="55" t="s">
        <v>874</v>
      </c>
      <c r="B28" s="81">
        <v>5801866013</v>
      </c>
      <c r="C28" s="55" t="e">
        <v>#N/A</v>
      </c>
      <c r="D28" s="55">
        <v>13.8</v>
      </c>
      <c r="E28" s="55">
        <v>167</v>
      </c>
      <c r="F28" s="55" t="s">
        <v>117</v>
      </c>
      <c r="G28" s="55" t="s">
        <v>117</v>
      </c>
      <c r="H28" s="55" t="s">
        <v>925</v>
      </c>
      <c r="I28" s="55" t="s">
        <v>926</v>
      </c>
      <c r="J28" s="55" t="s">
        <v>927</v>
      </c>
      <c r="K28" s="55" t="s">
        <v>928</v>
      </c>
      <c r="L28" s="55" t="s">
        <v>775</v>
      </c>
      <c r="M28" s="55">
        <v>690669</v>
      </c>
      <c r="N28" s="56" t="s">
        <v>863</v>
      </c>
      <c r="O28" s="56" t="s">
        <v>929</v>
      </c>
      <c r="P28" s="75" t="s">
        <v>474</v>
      </c>
      <c r="Q28" s="57" t="s">
        <v>775</v>
      </c>
      <c r="R28" s="57" t="s">
        <v>474</v>
      </c>
      <c r="S28" s="76" t="s">
        <v>930</v>
      </c>
      <c r="T28" s="37" t="s">
        <v>897</v>
      </c>
      <c r="U28" s="59" t="s">
        <v>865</v>
      </c>
      <c r="V28" s="56">
        <v>514627</v>
      </c>
      <c r="W28" s="60" t="s">
        <v>777</v>
      </c>
      <c r="X28" s="57">
        <v>46213</v>
      </c>
      <c r="Y28" s="57">
        <v>46213</v>
      </c>
      <c r="Z28" s="56" t="s">
        <v>879</v>
      </c>
      <c r="AA28" s="56"/>
      <c r="AB28" s="56" t="s">
        <v>931</v>
      </c>
      <c r="AC28" s="56"/>
    </row>
    <row r="29" spans="1:29" ht="60" x14ac:dyDescent="0.25">
      <c r="A29" s="55" t="s">
        <v>770</v>
      </c>
      <c r="B29" s="55">
        <v>7900573047</v>
      </c>
      <c r="C29" s="55" t="s">
        <v>791</v>
      </c>
      <c r="D29" s="55">
        <v>13.8</v>
      </c>
      <c r="E29" s="55"/>
      <c r="F29" s="55" t="s">
        <v>111</v>
      </c>
      <c r="G29" s="55" t="s">
        <v>470</v>
      </c>
      <c r="H29" s="55" t="s">
        <v>932</v>
      </c>
      <c r="I29" s="55" t="s">
        <v>933</v>
      </c>
      <c r="J29" s="55">
        <v>7900573047</v>
      </c>
      <c r="K29" s="55" t="s">
        <v>614</v>
      </c>
      <c r="L29" s="55" t="s">
        <v>775</v>
      </c>
      <c r="M29" s="55"/>
      <c r="N29" s="56" t="s">
        <v>851</v>
      </c>
      <c r="O29" s="56" t="s">
        <v>842</v>
      </c>
      <c r="P29" s="57" t="s">
        <v>777</v>
      </c>
      <c r="Q29" s="57" t="s">
        <v>785</v>
      </c>
      <c r="R29" s="57">
        <v>46223</v>
      </c>
      <c r="S29" s="105" t="s">
        <v>934</v>
      </c>
      <c r="T29" s="105" t="s">
        <v>789</v>
      </c>
      <c r="U29" s="104" t="s">
        <v>853</v>
      </c>
      <c r="V29" s="106" t="s">
        <v>935</v>
      </c>
      <c r="W29" s="60" t="s">
        <v>777</v>
      </c>
      <c r="X29" s="38">
        <v>46213</v>
      </c>
      <c r="Y29" s="57">
        <v>46213</v>
      </c>
      <c r="Z29" s="56" t="s">
        <v>936</v>
      </c>
      <c r="AA29" s="56" t="s">
        <v>13</v>
      </c>
      <c r="AB29" s="56" t="s">
        <v>937</v>
      </c>
      <c r="AC29" s="56"/>
    </row>
    <row r="30" spans="1:29" ht="60" x14ac:dyDescent="0.25">
      <c r="A30" s="55" t="s">
        <v>874</v>
      </c>
      <c r="B30" s="81">
        <v>5844630060</v>
      </c>
      <c r="C30" s="55" t="e">
        <v>#N/A</v>
      </c>
      <c r="D30" s="55">
        <v>13.8</v>
      </c>
      <c r="E30" s="55">
        <v>239</v>
      </c>
      <c r="F30" s="55" t="s">
        <v>253</v>
      </c>
      <c r="G30" s="55" t="s">
        <v>94</v>
      </c>
      <c r="H30" s="55" t="s">
        <v>938</v>
      </c>
      <c r="I30" s="55"/>
      <c r="J30" s="55">
        <v>5844630060</v>
      </c>
      <c r="K30" s="55" t="s">
        <v>939</v>
      </c>
      <c r="L30" s="55" t="s">
        <v>775</v>
      </c>
      <c r="M30" s="55">
        <v>690236</v>
      </c>
      <c r="N30" s="56" t="s">
        <v>940</v>
      </c>
      <c r="O30" s="56" t="s">
        <v>904</v>
      </c>
      <c r="P30" s="64" t="s">
        <v>777</v>
      </c>
      <c r="Q30" s="57" t="s">
        <v>785</v>
      </c>
      <c r="R30" s="57">
        <v>46227</v>
      </c>
      <c r="S30" s="94" t="s">
        <v>941</v>
      </c>
      <c r="T30" s="95" t="s">
        <v>906</v>
      </c>
      <c r="U30" s="56">
        <v>6903</v>
      </c>
      <c r="V30" s="56">
        <v>512848</v>
      </c>
      <c r="W30" s="60" t="s">
        <v>777</v>
      </c>
      <c r="X30" s="57">
        <v>46219</v>
      </c>
      <c r="Y30" s="57">
        <v>46223</v>
      </c>
      <c r="Z30" s="56" t="s">
        <v>942</v>
      </c>
      <c r="AA30" s="56"/>
      <c r="AB30" s="56" t="s">
        <v>943</v>
      </c>
      <c r="AC30" s="56"/>
    </row>
    <row r="31" spans="1:29" ht="60" x14ac:dyDescent="0.25">
      <c r="A31" s="55" t="s">
        <v>770</v>
      </c>
      <c r="B31" s="55">
        <v>7900230155</v>
      </c>
      <c r="C31" s="55" t="s">
        <v>791</v>
      </c>
      <c r="D31" s="55">
        <v>34.5</v>
      </c>
      <c r="E31" s="55"/>
      <c r="F31" s="55" t="s">
        <v>204</v>
      </c>
      <c r="G31" s="55" t="s">
        <v>94</v>
      </c>
      <c r="H31" s="55" t="s">
        <v>944</v>
      </c>
      <c r="I31" s="55"/>
      <c r="J31" s="55">
        <v>7900230155</v>
      </c>
      <c r="K31" s="55" t="s">
        <v>517</v>
      </c>
      <c r="L31" s="55" t="s">
        <v>775</v>
      </c>
      <c r="M31" s="55"/>
      <c r="N31" s="56" t="s">
        <v>776</v>
      </c>
      <c r="O31" s="56" t="s">
        <v>889</v>
      </c>
      <c r="P31" s="64" t="s">
        <v>777</v>
      </c>
      <c r="Q31" s="57" t="s">
        <v>775</v>
      </c>
      <c r="R31" s="57">
        <v>46210</v>
      </c>
      <c r="S31" s="37" t="s">
        <v>945</v>
      </c>
      <c r="T31" s="37"/>
      <c r="U31" s="59"/>
      <c r="V31" s="56"/>
      <c r="W31" s="60" t="s">
        <v>777</v>
      </c>
      <c r="X31" s="57">
        <v>46164</v>
      </c>
      <c r="Y31" s="57">
        <v>46164</v>
      </c>
      <c r="Z31" s="56" t="s">
        <v>780</v>
      </c>
      <c r="AA31" s="56" t="s">
        <v>9</v>
      </c>
      <c r="AB31" s="56"/>
      <c r="AC31" s="56"/>
    </row>
    <row r="32" spans="1:29" ht="375" x14ac:dyDescent="0.25">
      <c r="A32" s="55" t="s">
        <v>874</v>
      </c>
      <c r="B32" s="81">
        <v>5850308009</v>
      </c>
      <c r="C32" s="55"/>
      <c r="D32" s="55">
        <v>13.8</v>
      </c>
      <c r="E32" s="55">
        <v>239</v>
      </c>
      <c r="F32" s="55" t="s">
        <v>106</v>
      </c>
      <c r="G32" s="55" t="s">
        <v>106</v>
      </c>
      <c r="H32" s="55" t="s">
        <v>946</v>
      </c>
      <c r="I32" s="55"/>
      <c r="J32" s="55" t="s">
        <v>947</v>
      </c>
      <c r="K32" s="55" t="s">
        <v>484</v>
      </c>
      <c r="L32" s="55" t="s">
        <v>775</v>
      </c>
      <c r="M32" s="55">
        <v>651638</v>
      </c>
      <c r="N32" s="56" t="s">
        <v>776</v>
      </c>
      <c r="O32" s="56" t="s">
        <v>948</v>
      </c>
      <c r="P32" s="96" t="s">
        <v>474</v>
      </c>
      <c r="Q32" s="57" t="s">
        <v>785</v>
      </c>
      <c r="R32" s="57" t="s">
        <v>474</v>
      </c>
      <c r="S32" s="37" t="s">
        <v>949</v>
      </c>
      <c r="T32" s="37" t="s">
        <v>897</v>
      </c>
      <c r="U32" s="59" t="s">
        <v>779</v>
      </c>
      <c r="V32" s="56"/>
      <c r="W32" s="77" t="s">
        <v>474</v>
      </c>
      <c r="X32" s="56"/>
      <c r="Y32" s="56"/>
      <c r="Z32" s="55" t="s">
        <v>950</v>
      </c>
      <c r="AA32" s="56"/>
      <c r="AB32" s="56"/>
      <c r="AC32" s="56"/>
    </row>
    <row r="33" spans="1:29" ht="60" x14ac:dyDescent="0.25">
      <c r="A33" s="56" t="s">
        <v>874</v>
      </c>
      <c r="B33" s="56">
        <v>5800859011</v>
      </c>
      <c r="C33" s="55"/>
      <c r="D33" s="56">
        <v>13.8</v>
      </c>
      <c r="E33" s="56">
        <v>219</v>
      </c>
      <c r="F33" s="56" t="s">
        <v>462</v>
      </c>
      <c r="G33" s="55" t="s">
        <v>106</v>
      </c>
      <c r="H33" s="55" t="s">
        <v>951</v>
      </c>
      <c r="I33" s="55"/>
      <c r="J33" s="55">
        <v>5800859011</v>
      </c>
      <c r="K33" s="55" t="s">
        <v>484</v>
      </c>
      <c r="L33" s="55" t="s">
        <v>775</v>
      </c>
      <c r="M33" s="55">
        <v>651638</v>
      </c>
      <c r="N33" s="56" t="s">
        <v>776</v>
      </c>
      <c r="O33" s="56" t="s">
        <v>948</v>
      </c>
      <c r="P33" s="75" t="s">
        <v>474</v>
      </c>
      <c r="Q33" s="57" t="s">
        <v>785</v>
      </c>
      <c r="R33" s="56" t="s">
        <v>474</v>
      </c>
      <c r="S33" s="76" t="s">
        <v>952</v>
      </c>
      <c r="T33" s="37" t="s">
        <v>897</v>
      </c>
      <c r="U33" s="56">
        <v>7902</v>
      </c>
      <c r="V33" s="56" t="s">
        <v>953</v>
      </c>
      <c r="W33" s="60" t="s">
        <v>777</v>
      </c>
      <c r="X33" s="57">
        <v>46219</v>
      </c>
      <c r="Y33" s="56"/>
      <c r="Z33" s="56"/>
      <c r="AA33" s="70"/>
      <c r="AB33" s="70"/>
      <c r="AC33" s="70"/>
    </row>
    <row r="34" spans="1:29" ht="60" x14ac:dyDescent="0.25">
      <c r="A34" s="55" t="s">
        <v>874</v>
      </c>
      <c r="B34" s="97">
        <v>5800438116</v>
      </c>
      <c r="C34" s="55" t="e">
        <v>#N/A</v>
      </c>
      <c r="D34" s="62">
        <v>34.5</v>
      </c>
      <c r="E34" s="62">
        <v>200</v>
      </c>
      <c r="F34" s="62" t="s">
        <v>215</v>
      </c>
      <c r="G34" s="62" t="s">
        <v>781</v>
      </c>
      <c r="H34" s="62" t="s">
        <v>954</v>
      </c>
      <c r="I34" s="62" t="s">
        <v>955</v>
      </c>
      <c r="J34" s="62" t="s">
        <v>956</v>
      </c>
      <c r="K34" s="62" t="s">
        <v>957</v>
      </c>
      <c r="L34" s="55" t="s">
        <v>775</v>
      </c>
      <c r="M34" s="55">
        <v>690240</v>
      </c>
      <c r="N34" s="56" t="s">
        <v>786</v>
      </c>
      <c r="O34" s="56" t="s">
        <v>958</v>
      </c>
      <c r="P34" s="75" t="s">
        <v>474</v>
      </c>
      <c r="Q34" s="57" t="s">
        <v>785</v>
      </c>
      <c r="R34" s="57" t="s">
        <v>474</v>
      </c>
      <c r="S34" s="76" t="s">
        <v>959</v>
      </c>
      <c r="T34" s="58" t="s">
        <v>906</v>
      </c>
      <c r="U34" s="56"/>
      <c r="V34" s="56" t="s">
        <v>960</v>
      </c>
      <c r="W34" s="60" t="s">
        <v>777</v>
      </c>
      <c r="X34" s="57">
        <v>46219</v>
      </c>
      <c r="Y34" s="57">
        <v>46223</v>
      </c>
      <c r="Z34" s="56" t="s">
        <v>961</v>
      </c>
      <c r="AA34" s="56"/>
      <c r="AB34" s="56"/>
      <c r="AC34" s="56"/>
    </row>
    <row r="35" spans="1:29" ht="60" x14ac:dyDescent="0.25">
      <c r="A35" s="98" t="s">
        <v>874</v>
      </c>
      <c r="B35" s="98">
        <v>5800371025</v>
      </c>
      <c r="C35" s="98" t="s">
        <v>962</v>
      </c>
      <c r="D35" s="99">
        <v>34.5</v>
      </c>
      <c r="E35" s="100"/>
      <c r="F35" s="98" t="s">
        <v>94</v>
      </c>
      <c r="G35" s="55" t="s">
        <v>94</v>
      </c>
      <c r="H35" s="55" t="s">
        <v>963</v>
      </c>
      <c r="I35" s="99"/>
      <c r="J35" s="98">
        <v>5800371025</v>
      </c>
      <c r="K35" s="98" t="s">
        <v>484</v>
      </c>
      <c r="L35" s="55" t="s">
        <v>964</v>
      </c>
      <c r="M35" s="55">
        <v>651638</v>
      </c>
      <c r="N35" s="56" t="s">
        <v>841</v>
      </c>
      <c r="O35" s="98"/>
      <c r="P35" s="58" t="s">
        <v>777</v>
      </c>
      <c r="Q35" s="98" t="s">
        <v>775</v>
      </c>
      <c r="R35" s="101">
        <v>46233</v>
      </c>
      <c r="S35" s="76" t="s">
        <v>965</v>
      </c>
      <c r="T35" s="37" t="s">
        <v>789</v>
      </c>
      <c r="U35" s="56">
        <v>7902</v>
      </c>
      <c r="V35" s="56">
        <v>514635</v>
      </c>
      <c r="W35" s="60" t="s">
        <v>777</v>
      </c>
      <c r="X35" s="57">
        <v>46219</v>
      </c>
      <c r="Y35" s="98" t="s">
        <v>966</v>
      </c>
      <c r="Z35" s="99"/>
      <c r="AA35" s="99" t="s">
        <v>9</v>
      </c>
      <c r="AB35" s="99"/>
      <c r="AC35" s="99"/>
    </row>
    <row r="36" spans="1:29" x14ac:dyDescent="0.25">
      <c r="A36" s="98" t="s">
        <v>874</v>
      </c>
      <c r="B36" s="98">
        <v>5836786094</v>
      </c>
      <c r="C36" s="98" t="s">
        <v>967</v>
      </c>
      <c r="D36" s="98">
        <v>34.5</v>
      </c>
      <c r="E36" s="98">
        <v>200</v>
      </c>
      <c r="F36" s="98" t="s">
        <v>968</v>
      </c>
      <c r="G36" s="98" t="s">
        <v>210</v>
      </c>
      <c r="H36" s="98"/>
      <c r="I36" s="98" t="s">
        <v>969</v>
      </c>
      <c r="J36" s="98">
        <v>5836786094</v>
      </c>
      <c r="K36" s="98" t="s">
        <v>970</v>
      </c>
      <c r="L36" s="98" t="s">
        <v>775</v>
      </c>
      <c r="M36" s="55" t="s">
        <v>971</v>
      </c>
      <c r="N36" s="98" t="s">
        <v>972</v>
      </c>
      <c r="O36" s="98"/>
      <c r="P36" s="98" t="s">
        <v>474</v>
      </c>
      <c r="Q36" s="98" t="s">
        <v>785</v>
      </c>
      <c r="R36" s="98" t="s">
        <v>474</v>
      </c>
      <c r="S36" s="107" t="s">
        <v>973</v>
      </c>
      <c r="T36" s="102">
        <v>8481</v>
      </c>
      <c r="U36" s="98"/>
      <c r="V36" s="98">
        <v>517520</v>
      </c>
      <c r="W36" s="77" t="s">
        <v>474</v>
      </c>
      <c r="X36" s="98"/>
      <c r="Y36" s="98"/>
      <c r="Z36" s="98" t="s">
        <v>974</v>
      </c>
      <c r="AA36" s="98"/>
      <c r="AB36" s="98"/>
      <c r="AC36" s="98"/>
    </row>
    <row r="37" spans="1:29" ht="60" x14ac:dyDescent="0.25">
      <c r="A37" s="55" t="s">
        <v>874</v>
      </c>
      <c r="B37" s="55">
        <v>5853360007</v>
      </c>
      <c r="C37" s="55" t="s">
        <v>967</v>
      </c>
      <c r="D37" s="55">
        <v>34.5</v>
      </c>
      <c r="E37" s="55">
        <v>200</v>
      </c>
      <c r="F37" s="55" t="s">
        <v>100</v>
      </c>
      <c r="G37" s="55" t="s">
        <v>100</v>
      </c>
      <c r="H37" s="55" t="s">
        <v>975</v>
      </c>
      <c r="I37" s="55"/>
      <c r="J37" s="55">
        <v>5853360007</v>
      </c>
      <c r="K37" s="55" t="s">
        <v>976</v>
      </c>
      <c r="L37" s="55" t="s">
        <v>785</v>
      </c>
      <c r="M37" s="55"/>
      <c r="N37" s="55" t="s">
        <v>977</v>
      </c>
      <c r="O37" s="55"/>
      <c r="P37" s="75" t="s">
        <v>474</v>
      </c>
      <c r="Q37" s="55" t="s">
        <v>775</v>
      </c>
      <c r="R37" s="55" t="s">
        <v>474</v>
      </c>
      <c r="S37" s="76"/>
      <c r="T37" s="58" t="s">
        <v>906</v>
      </c>
      <c r="U37" s="55"/>
      <c r="V37" s="55"/>
      <c r="W37" s="77" t="s">
        <v>474</v>
      </c>
      <c r="X37" s="55"/>
      <c r="Y37" s="55"/>
      <c r="Z37" s="55" t="s">
        <v>533</v>
      </c>
      <c r="AA37" s="55" t="s">
        <v>14</v>
      </c>
      <c r="AB37" s="55"/>
      <c r="AC37" s="55"/>
    </row>
    <row r="38" spans="1:29" x14ac:dyDescent="0.25">
      <c r="A38" s="56" t="s">
        <v>874</v>
      </c>
      <c r="B38" s="56" t="s">
        <v>978</v>
      </c>
      <c r="C38" s="56" t="s">
        <v>962</v>
      </c>
      <c r="D38" s="56">
        <v>13.8</v>
      </c>
      <c r="E38" s="56">
        <v>167</v>
      </c>
      <c r="F38" s="56" t="s">
        <v>979</v>
      </c>
      <c r="G38" s="56" t="s">
        <v>264</v>
      </c>
      <c r="H38" s="56" t="s">
        <v>199</v>
      </c>
      <c r="I38" s="56"/>
      <c r="J38" s="56">
        <v>5803327001</v>
      </c>
      <c r="K38" s="56" t="s">
        <v>980</v>
      </c>
      <c r="L38" s="56" t="s">
        <v>775</v>
      </c>
      <c r="M38" s="56">
        <v>651638</v>
      </c>
      <c r="N38" s="56" t="s">
        <v>826</v>
      </c>
      <c r="O38" s="56"/>
      <c r="P38" s="56"/>
      <c r="Q38" s="56"/>
      <c r="R38" s="56"/>
      <c r="S38" s="56"/>
      <c r="T38" s="56"/>
      <c r="U38" s="56"/>
      <c r="V38" s="56"/>
      <c r="W38" s="60" t="s">
        <v>777</v>
      </c>
      <c r="X38" s="56"/>
      <c r="Y38" s="56"/>
      <c r="Z38" s="56" t="s">
        <v>981</v>
      </c>
      <c r="AA38" s="56"/>
      <c r="AB38" s="56"/>
      <c r="AC38" s="56"/>
    </row>
  </sheetData>
  <mergeCells count="3">
    <mergeCell ref="A1:N1"/>
    <mergeCell ref="O1:U1"/>
    <mergeCell ref="V1:AC1"/>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3E57-83F9-433A-8E20-FF9303444787}">
  <dimension ref="A1:AJ116"/>
  <sheetViews>
    <sheetView tabSelected="1" topLeftCell="A68" zoomScale="70" zoomScaleNormal="115" workbookViewId="0">
      <selection activeCell="G107" sqref="G107"/>
    </sheetView>
  </sheetViews>
  <sheetFormatPr defaultColWidth="9.140625" defaultRowHeight="15" customHeight="1" x14ac:dyDescent="0.25"/>
  <cols>
    <col min="1" max="1" width="16.85546875" style="4" customWidth="1"/>
    <col min="2" max="2" width="8.7109375" style="5" customWidth="1"/>
    <col min="3" max="3" width="34" style="5" bestFit="1" customWidth="1"/>
    <col min="4" max="4" width="28.140625" style="5" bestFit="1" customWidth="1"/>
    <col min="5" max="5" width="18.28515625" style="5" bestFit="1" customWidth="1"/>
    <col min="6" max="6" width="33.85546875" style="4" bestFit="1" customWidth="1"/>
    <col min="7" max="7" width="55.5703125" style="4" customWidth="1"/>
    <col min="8" max="8" width="13.5703125" style="4" customWidth="1"/>
    <col min="9" max="13" width="17.5703125" style="4" customWidth="1"/>
    <col min="14" max="14" width="13" style="4" bestFit="1" customWidth="1"/>
    <col min="15" max="16" width="17.7109375" style="4" customWidth="1"/>
    <col min="17" max="17" width="17.5703125" style="4" customWidth="1"/>
    <col min="18" max="18" width="64" style="4" customWidth="1"/>
    <col min="19" max="19" width="29.140625" style="4" customWidth="1"/>
    <col min="20" max="20" width="52.140625" bestFit="1" customWidth="1"/>
    <col min="21" max="21" width="18.28515625" style="30" customWidth="1"/>
    <col min="22" max="22" width="39" customWidth="1"/>
    <col min="23" max="32" width="12.7109375" customWidth="1"/>
    <col min="33" max="33" width="144.5703125" bestFit="1" customWidth="1"/>
    <col min="34" max="37" width="17.28515625" customWidth="1"/>
  </cols>
  <sheetData>
    <row r="1" spans="1:36" ht="15" customHeight="1" x14ac:dyDescent="0.25">
      <c r="A1" s="4" t="s">
        <v>431</v>
      </c>
      <c r="B1" s="5" t="s">
        <v>432</v>
      </c>
      <c r="C1" s="5" t="s">
        <v>433</v>
      </c>
      <c r="D1" s="5" t="s">
        <v>434</v>
      </c>
      <c r="E1" s="5" t="s">
        <v>435</v>
      </c>
      <c r="F1" s="108" t="s">
        <v>436</v>
      </c>
      <c r="G1" s="4" t="s">
        <v>437</v>
      </c>
      <c r="H1" s="4" t="s">
        <v>438</v>
      </c>
      <c r="I1" s="4" t="s">
        <v>439</v>
      </c>
      <c r="J1" s="4" t="s">
        <v>440</v>
      </c>
      <c r="K1" s="4" t="s">
        <v>441</v>
      </c>
      <c r="L1" s="4" t="s">
        <v>442</v>
      </c>
      <c r="M1" s="4" t="s">
        <v>443</v>
      </c>
      <c r="N1" s="4" t="s">
        <v>444</v>
      </c>
      <c r="O1" s="4" t="s">
        <v>445</v>
      </c>
      <c r="P1" s="4" t="s">
        <v>446</v>
      </c>
      <c r="Q1" s="4" t="s">
        <v>447</v>
      </c>
      <c r="R1" s="4" t="s">
        <v>448</v>
      </c>
      <c r="S1" s="108" t="s">
        <v>449</v>
      </c>
      <c r="T1" t="s">
        <v>450</v>
      </c>
      <c r="U1" s="10" t="s">
        <v>3</v>
      </c>
      <c r="V1" t="s">
        <v>451</v>
      </c>
      <c r="W1" t="s">
        <v>28</v>
      </c>
      <c r="X1" t="s">
        <v>29</v>
      </c>
      <c r="Y1" t="s">
        <v>30</v>
      </c>
      <c r="Z1" t="s">
        <v>31</v>
      </c>
      <c r="AA1" t="s">
        <v>32</v>
      </c>
      <c r="AB1" t="s">
        <v>33</v>
      </c>
      <c r="AC1" t="s">
        <v>34</v>
      </c>
      <c r="AD1" t="s">
        <v>35</v>
      </c>
      <c r="AE1" t="s">
        <v>36</v>
      </c>
      <c r="AF1" t="s">
        <v>2</v>
      </c>
      <c r="AG1" t="s">
        <v>37</v>
      </c>
      <c r="AI1" s="128" t="s">
        <v>720</v>
      </c>
      <c r="AJ1" s="129"/>
    </row>
    <row r="2" spans="1:36" ht="15" customHeight="1" x14ac:dyDescent="0.25">
      <c r="A2" s="4">
        <v>5800291077</v>
      </c>
      <c r="B2" s="5" t="str">
        <f>MID(Table[[#This Row],[Ativo]],1,2)</f>
        <v>58</v>
      </c>
      <c r="C2" s="5" t="s">
        <v>190</v>
      </c>
      <c r="D2" s="5" t="s">
        <v>69</v>
      </c>
      <c r="E2" s="5" t="s">
        <v>59</v>
      </c>
      <c r="F2" s="4" t="str">
        <f>IFERROR(_xlfn.XLOOKUP(Table[[#This Row],[Ativo]],Pendentes[COD_RELIGADOR],Pendentes[SS_ORIGINAL]),"CONCLUÍDA")</f>
        <v>CONCLUÍDA</v>
      </c>
      <c r="O2" s="4" t="e">
        <f>VLOOKUP(Table[[#This Row],[SS aberta]],SGM!A:M,13,FALSE)</f>
        <v>#N/A</v>
      </c>
      <c r="S2" s="4" t="s">
        <v>453</v>
      </c>
      <c r="T2" s="29"/>
      <c r="U2" s="31"/>
      <c r="V2" t="str">
        <f>IFERROR(_xlfn.XLOOKUP(Table[[#This Row],[Ativo]],Pendentes[COD_RELIGADOR],Pendentes[DESCRICAO]),"")</f>
        <v/>
      </c>
      <c r="W2" s="5">
        <v>40</v>
      </c>
      <c r="X2" s="5">
        <v>20</v>
      </c>
      <c r="Y2" s="5">
        <v>20</v>
      </c>
      <c r="Z2" s="5">
        <v>20</v>
      </c>
      <c r="AA2" s="5">
        <v>20</v>
      </c>
      <c r="AB2" s="5" t="s">
        <v>45</v>
      </c>
      <c r="AC2" s="5" t="s">
        <v>45</v>
      </c>
      <c r="AD2" s="5" t="s">
        <v>45</v>
      </c>
      <c r="AE2" s="5">
        <f>SUM(Table[[#This Row],[Premissa 1]:[Premissa 8]])</f>
        <v>120</v>
      </c>
      <c r="AF2" s="5" t="s">
        <v>9</v>
      </c>
      <c r="AG2" t="s">
        <v>455</v>
      </c>
      <c r="AI2" s="8" t="s">
        <v>722</v>
      </c>
      <c r="AJ2" s="8" t="s">
        <v>723</v>
      </c>
    </row>
    <row r="3" spans="1:36" ht="15" customHeight="1" x14ac:dyDescent="0.25">
      <c r="A3" s="12">
        <v>5854566043</v>
      </c>
      <c r="B3" s="5" t="str">
        <f>MID(Table[[#This Row],[Ativo]],1,2)</f>
        <v>58</v>
      </c>
      <c r="C3" s="5" t="s">
        <v>49</v>
      </c>
      <c r="D3" s="5" t="s">
        <v>50</v>
      </c>
      <c r="E3" s="5" t="s">
        <v>51</v>
      </c>
      <c r="F3" s="4" t="str">
        <f>IFERROR(_xlfn.XLOOKUP(Table[[#This Row],[Ativo]],Pendentes[COD_RELIGADOR],Pendentes[SS_ORIGINAL]),"CONCLUÍDA")</f>
        <v>ETO-PROT 00158/2026</v>
      </c>
      <c r="G3" s="5" t="s">
        <v>457</v>
      </c>
      <c r="H3" s="5"/>
      <c r="I3" s="5" t="s">
        <v>654</v>
      </c>
      <c r="J3" s="5"/>
      <c r="K3" s="5"/>
      <c r="L3" s="5"/>
      <c r="M3" s="5"/>
      <c r="N3" s="5"/>
      <c r="O3" s="4" t="e">
        <f>VLOOKUP(Table[[#This Row],[SS aberta]],SGM!A:M,13,FALSE)</f>
        <v>#N/A</v>
      </c>
      <c r="P3" s="5"/>
      <c r="Q3" s="5"/>
      <c r="R3" s="4" t="s">
        <v>458</v>
      </c>
      <c r="S3" s="4" t="s">
        <v>459</v>
      </c>
      <c r="T3" s="29" t="s">
        <v>460</v>
      </c>
      <c r="U3" s="31">
        <v>1</v>
      </c>
      <c r="V3" t="str">
        <f>IFERROR(_xlfn.XLOOKUP(Table[[#This Row],[Ativo]],Pendentes[COD_RELIGADOR],Pendentes[DESCRICAO]),"")</f>
        <v>24/07/2026 - PARECE COCM: EQUIPAMENTO SUBSTITUIDO NA OBRA 0312600352 OS: ETO-RD-PO 1873/202622/07/2026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v>
      </c>
      <c r="W3" s="5">
        <v>40</v>
      </c>
      <c r="X3" s="5">
        <v>20</v>
      </c>
      <c r="Y3" s="5">
        <v>20</v>
      </c>
      <c r="Z3" s="5">
        <v>10</v>
      </c>
      <c r="AA3" s="5">
        <v>20</v>
      </c>
      <c r="AB3" s="5" t="s">
        <v>45</v>
      </c>
      <c r="AC3" s="5" t="s">
        <v>45</v>
      </c>
      <c r="AD3" s="5" t="s">
        <v>45</v>
      </c>
      <c r="AE3" s="5">
        <f>SUM(Table[[#This Row],[Premissa 1]:[Premissa 8]])</f>
        <v>110</v>
      </c>
      <c r="AF3" s="5" t="s">
        <v>9</v>
      </c>
      <c r="AG3" t="s">
        <v>54</v>
      </c>
    </row>
    <row r="4" spans="1:36" ht="15" customHeight="1" x14ac:dyDescent="0.25">
      <c r="A4" s="12">
        <v>5800859011</v>
      </c>
      <c r="B4" s="5" t="str">
        <f>MID(Table[[#This Row],[Ativo]],1,2)</f>
        <v>58</v>
      </c>
      <c r="C4" s="5" t="s">
        <v>462</v>
      </c>
      <c r="D4" s="5" t="s">
        <v>106</v>
      </c>
      <c r="E4" s="5" t="s">
        <v>59</v>
      </c>
      <c r="F4" s="4" t="str">
        <f>IFERROR(_xlfn.XLOOKUP(Table[[#This Row],[Ativo]],Pendentes[COD_RELIGADOR],Pendentes[SS_ORIGINAL]),"CONCLUÍDA")</f>
        <v>CONCLUÍDA</v>
      </c>
      <c r="O4" s="4" t="e">
        <f>VLOOKUP(Table[[#This Row],[SS aberta]],SGM!A:M,13,FALSE)</f>
        <v>#N/A</v>
      </c>
      <c r="R4" s="4" t="s">
        <v>465</v>
      </c>
      <c r="S4" s="4" t="s">
        <v>459</v>
      </c>
      <c r="T4" s="29" t="s">
        <v>466</v>
      </c>
      <c r="U4" s="31">
        <v>1</v>
      </c>
      <c r="V4" t="str">
        <f>IFERROR(_xlfn.XLOOKUP(Table[[#This Row],[Ativo]],Pendentes[COD_RELIGADOR],Pendentes[DESCRICAO]),"")</f>
        <v/>
      </c>
      <c r="W4" s="5">
        <v>40</v>
      </c>
      <c r="X4" s="5">
        <v>20</v>
      </c>
      <c r="Y4" s="5">
        <v>20</v>
      </c>
      <c r="Z4" s="5">
        <v>10</v>
      </c>
      <c r="AA4" s="5">
        <v>20</v>
      </c>
      <c r="AB4" s="5" t="s">
        <v>45</v>
      </c>
      <c r="AC4" s="5" t="s">
        <v>45</v>
      </c>
      <c r="AD4" s="5" t="s">
        <v>45</v>
      </c>
      <c r="AE4" s="5">
        <f>SUM(Table[[#This Row],[Premissa 1]:[Premissa 8]])</f>
        <v>110</v>
      </c>
      <c r="AF4" s="5" t="s">
        <v>9</v>
      </c>
      <c r="AG4" t="s">
        <v>468</v>
      </c>
    </row>
    <row r="5" spans="1:36" ht="15" customHeight="1" x14ac:dyDescent="0.25">
      <c r="A5" s="4">
        <v>5836764032</v>
      </c>
      <c r="B5" s="5" t="str">
        <f>MID(Table[[#This Row],[Ativo]],1,2)</f>
        <v>58</v>
      </c>
      <c r="C5" s="5" t="s">
        <v>469</v>
      </c>
      <c r="D5" s="5" t="s">
        <v>470</v>
      </c>
      <c r="E5" s="5" t="s">
        <v>42</v>
      </c>
      <c r="F5" s="4" t="str">
        <f>IFERROR(_xlfn.XLOOKUP(Table[[#This Row],[Ativo]],Pendentes[COD_RELIGADOR],Pendentes[SS_ORIGINAL]),"CONCLUÍDA")</f>
        <v>CONCLUÍDA</v>
      </c>
      <c r="O5" s="4" t="e">
        <f>VLOOKUP(Table[[#This Row],[SS aberta]],SGM!A:M,13,FALSE)</f>
        <v>#N/A</v>
      </c>
      <c r="S5" s="4" t="s">
        <v>453</v>
      </c>
      <c r="T5" s="29"/>
      <c r="U5" s="31"/>
      <c r="V5" t="str">
        <f>IFERROR(_xlfn.XLOOKUP(Table[[#This Row],[Ativo]],Pendentes[COD_RELIGADOR],Pendentes[DESCRICAO]),"")</f>
        <v/>
      </c>
      <c r="W5" s="5">
        <v>40</v>
      </c>
      <c r="X5" s="5">
        <v>20</v>
      </c>
      <c r="Y5" s="5">
        <v>20</v>
      </c>
      <c r="Z5" s="5">
        <v>10</v>
      </c>
      <c r="AA5" s="5">
        <v>20</v>
      </c>
      <c r="AB5" s="5" t="s">
        <v>45</v>
      </c>
      <c r="AC5" s="5" t="s">
        <v>45</v>
      </c>
      <c r="AD5" s="5" t="s">
        <v>45</v>
      </c>
      <c r="AE5" s="5">
        <f>SUM(Table[[#This Row],[Premissa 1]:[Premissa 8]])</f>
        <v>110</v>
      </c>
      <c r="AF5" s="5" t="s">
        <v>9</v>
      </c>
      <c r="AG5" t="s">
        <v>471</v>
      </c>
    </row>
    <row r="6" spans="1:36" ht="15" customHeight="1" x14ac:dyDescent="0.25">
      <c r="A6" s="4">
        <v>7923673004</v>
      </c>
      <c r="B6" s="5" t="str">
        <f>MID(Table[[#This Row],[Ativo]],1,2)</f>
        <v>79</v>
      </c>
      <c r="C6" s="5" t="s">
        <v>69</v>
      </c>
      <c r="D6" s="5" t="s">
        <v>69</v>
      </c>
      <c r="E6" s="5" t="s">
        <v>59</v>
      </c>
      <c r="F6" s="4" t="str">
        <f>IFERROR(_xlfn.XLOOKUP(Table[[#This Row],[Ativo]],Pendentes[COD_RELIGADOR],Pendentes[SS_ORIGINAL]),"CONCLUÍDA")</f>
        <v>ETO-COEP 00124/2026</v>
      </c>
      <c r="G6" s="4" t="s">
        <v>472</v>
      </c>
      <c r="O6" s="4" t="e">
        <f>VLOOKUP(Table[[#This Row],[SS aberta]],SGM!A:M,13,FALSE)</f>
        <v>#N/A</v>
      </c>
      <c r="R6" s="4" t="s">
        <v>473</v>
      </c>
      <c r="S6" s="4" t="s">
        <v>474</v>
      </c>
      <c r="T6" s="29" t="s">
        <v>475</v>
      </c>
      <c r="U6" s="31">
        <v>1</v>
      </c>
      <c r="V6" t="str">
        <f>IFERROR(_xlfn.XLOOKUP(Table[[#This Row],[Ativo]],Pendentes[COD_RELIGADOR],Pendentes[DESCRICAO]),"")</f>
        <v>PARECER COEP: Verificar Disponibilidade de equipamento no Scada e enviar modelo e tensão para a compra.RELIGADOR COM RELÉ DANIFICADO, REALIZAR SUBSTITUIÇÃO</v>
      </c>
      <c r="W6" s="5">
        <v>15</v>
      </c>
      <c r="X6" s="5">
        <v>20</v>
      </c>
      <c r="Y6" s="5">
        <v>15</v>
      </c>
      <c r="Z6" s="5">
        <v>15</v>
      </c>
      <c r="AA6" s="5">
        <v>15</v>
      </c>
      <c r="AB6" s="5">
        <v>10</v>
      </c>
      <c r="AC6" s="5">
        <v>0</v>
      </c>
      <c r="AD6" s="5">
        <v>15</v>
      </c>
      <c r="AE6" s="5">
        <f>SUM(Table[[#This Row],[Premissa 1]:[Premissa 8]])</f>
        <v>105</v>
      </c>
      <c r="AF6" s="5" t="s">
        <v>9</v>
      </c>
      <c r="AG6" t="s">
        <v>72</v>
      </c>
    </row>
    <row r="7" spans="1:36" ht="15" customHeight="1" x14ac:dyDescent="0.25">
      <c r="A7" s="4">
        <v>7931608059</v>
      </c>
      <c r="B7" s="5" t="str">
        <f>MID(Table[[#This Row],[Ativo]],1,2)</f>
        <v>79</v>
      </c>
      <c r="C7" s="5" t="s">
        <v>74</v>
      </c>
      <c r="D7" s="5" t="s">
        <v>74</v>
      </c>
      <c r="E7" s="5" t="s">
        <v>51</v>
      </c>
      <c r="F7" s="4" t="str">
        <f>IFERROR(_xlfn.XLOOKUP(Table[[#This Row],[Ativo]],Pendentes[COD_RELIGADOR],Pendentes[SS_ORIGINAL]),"CONCLUÍDA")</f>
        <v>ETO-COEP 00040/2026</v>
      </c>
      <c r="G7" s="4" t="s">
        <v>472</v>
      </c>
      <c r="O7" s="4" t="e">
        <f>VLOOKUP(Table[[#This Row],[SS aberta]],SGM!A:M,13,FALSE)</f>
        <v>#N/A</v>
      </c>
      <c r="S7" s="4" t="s">
        <v>474</v>
      </c>
      <c r="T7" s="29" t="s">
        <v>476</v>
      </c>
      <c r="U7" s="31">
        <v>1</v>
      </c>
      <c r="V7" t="str">
        <f>IFERROR(_xlfn.XLOOKUP(Table[[#This Row],[Ativo]],Pendentes[COD_RELIGADOR],Pendentes[DESCRICAO]),"")</f>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v>
      </c>
      <c r="W7" s="5">
        <v>15</v>
      </c>
      <c r="X7" s="5">
        <v>20</v>
      </c>
      <c r="Y7" s="5">
        <v>15</v>
      </c>
      <c r="Z7" s="5">
        <v>15</v>
      </c>
      <c r="AA7" s="5">
        <v>15</v>
      </c>
      <c r="AB7" s="5">
        <v>10</v>
      </c>
      <c r="AC7" s="5">
        <v>0</v>
      </c>
      <c r="AD7" s="5">
        <v>15</v>
      </c>
      <c r="AE7" s="5">
        <f>SUM(Table[[#This Row],[Premissa 1]:[Premissa 8]])</f>
        <v>105</v>
      </c>
      <c r="AF7" s="5" t="s">
        <v>9</v>
      </c>
      <c r="AG7" t="s">
        <v>77</v>
      </c>
    </row>
    <row r="8" spans="1:36" ht="15" customHeight="1" x14ac:dyDescent="0.25">
      <c r="A8" s="4">
        <v>7931610122</v>
      </c>
      <c r="B8" s="5" t="str">
        <f>MID(Table[[#This Row],[Ativo]],1,2)</f>
        <v>79</v>
      </c>
      <c r="C8" s="5" t="s">
        <v>264</v>
      </c>
      <c r="D8" s="5" t="s">
        <v>264</v>
      </c>
      <c r="E8" s="5" t="s">
        <v>51</v>
      </c>
      <c r="F8" s="4" t="str">
        <f>IFERROR(_xlfn.XLOOKUP(Table[[#This Row],[Ativo]],Pendentes[COD_RELIGADOR],Pendentes[SS_ORIGINAL]),"CONCLUÍDA")</f>
        <v>CONCLUÍDA</v>
      </c>
      <c r="O8" s="4" t="e">
        <f>VLOOKUP(Table[[#This Row],[SS aberta]],SGM!A:M,13,FALSE)</f>
        <v>#N/A</v>
      </c>
      <c r="S8" s="4" t="s">
        <v>459</v>
      </c>
      <c r="T8" s="29" t="s">
        <v>479</v>
      </c>
      <c r="U8" s="31">
        <v>1</v>
      </c>
      <c r="V8" t="str">
        <f>IFERROR(_xlfn.XLOOKUP(Table[[#This Row],[Ativo]],Pendentes[COD_RELIGADOR],Pendentes[DESCRICAO]),"")</f>
        <v/>
      </c>
      <c r="W8" s="5">
        <v>15</v>
      </c>
      <c r="X8" s="5">
        <v>20</v>
      </c>
      <c r="Y8" s="5">
        <v>15</v>
      </c>
      <c r="Z8" s="5">
        <v>15</v>
      </c>
      <c r="AA8" s="5">
        <v>15</v>
      </c>
      <c r="AB8" s="5">
        <v>10</v>
      </c>
      <c r="AC8" s="5">
        <v>0</v>
      </c>
      <c r="AD8" s="5">
        <v>15</v>
      </c>
      <c r="AE8" s="5">
        <f>SUM(Table[[#This Row],[Premissa 1]:[Premissa 8]])</f>
        <v>105</v>
      </c>
      <c r="AF8" s="5" t="s">
        <v>9</v>
      </c>
      <c r="AG8" t="s">
        <v>481</v>
      </c>
    </row>
    <row r="9" spans="1:36" ht="15" customHeight="1" x14ac:dyDescent="0.25">
      <c r="A9" s="4">
        <v>7900648055</v>
      </c>
      <c r="B9" s="5" t="str">
        <f>MID(Table[[#This Row],[Ativo]],1,2)</f>
        <v>79</v>
      </c>
      <c r="C9" s="5" t="s">
        <v>482</v>
      </c>
      <c r="D9" s="5" t="s">
        <v>152</v>
      </c>
      <c r="E9" s="5" t="s">
        <v>51</v>
      </c>
      <c r="F9" s="4" t="str">
        <f>IFERROR(_xlfn.XLOOKUP(Table[[#This Row],[Ativo]],Pendentes[COD_RELIGADOR],Pendentes[SS_ORIGINAL]),"CONCLUÍDA")</f>
        <v>CONCLUÍDA</v>
      </c>
      <c r="O9" s="4" t="e">
        <f>VLOOKUP(Table[[#This Row],[SS aberta]],SGM!A:M,13,FALSE)</f>
        <v>#N/A</v>
      </c>
      <c r="S9" s="4" t="s">
        <v>453</v>
      </c>
      <c r="T9" s="29"/>
      <c r="U9" s="31"/>
      <c r="V9" t="str">
        <f>IFERROR(_xlfn.XLOOKUP(Table[[#This Row],[Ativo]],Pendentes[COD_RELIGADOR],Pendentes[DESCRICAO]),"")</f>
        <v/>
      </c>
      <c r="W9" s="5">
        <v>15</v>
      </c>
      <c r="X9" s="5">
        <v>20</v>
      </c>
      <c r="Y9" s="5">
        <v>15</v>
      </c>
      <c r="Z9" s="5">
        <v>15</v>
      </c>
      <c r="AA9" s="5">
        <v>15</v>
      </c>
      <c r="AB9" s="5">
        <v>10</v>
      </c>
      <c r="AC9" s="5">
        <v>0</v>
      </c>
      <c r="AD9" s="5">
        <v>15</v>
      </c>
      <c r="AE9" s="5">
        <f>SUM(Table[[#This Row],[Premissa 1]:[Premissa 8]])</f>
        <v>105</v>
      </c>
      <c r="AF9" s="5" t="s">
        <v>9</v>
      </c>
      <c r="AG9" t="s">
        <v>483</v>
      </c>
    </row>
    <row r="10" spans="1:36" ht="15" customHeight="1" x14ac:dyDescent="0.25">
      <c r="A10" s="4">
        <v>7947203070</v>
      </c>
      <c r="B10" s="5" t="str">
        <f>MID(Table[[#This Row],[Ativo]],1,2)</f>
        <v>79</v>
      </c>
      <c r="C10" s="5" t="s">
        <v>87</v>
      </c>
      <c r="D10" s="5" t="s">
        <v>74</v>
      </c>
      <c r="E10" s="5" t="s">
        <v>51</v>
      </c>
      <c r="F10" s="4" t="str">
        <f>IFERROR(_xlfn.XLOOKUP(Table[[#This Row],[Ativo]],Pendentes[COD_RELIGADOR],Pendentes[SS_ORIGINAL]),"CONCLUÍDA")</f>
        <v>ETO-COEP 00131/2026</v>
      </c>
      <c r="G10" s="4" t="s">
        <v>472</v>
      </c>
      <c r="O10" s="4" t="e">
        <f>VLOOKUP(Table[[#This Row],[SS aberta]],SGM!A:M,13,FALSE)</f>
        <v>#N/A</v>
      </c>
      <c r="S10" s="4" t="s">
        <v>474</v>
      </c>
      <c r="T10" s="29" t="s">
        <v>484</v>
      </c>
      <c r="U10" s="31">
        <v>1</v>
      </c>
      <c r="V10" t="str">
        <f>IFERROR(_xlfn.XLOOKUP(Table[[#This Row],[Ativo]],Pendentes[COD_RELIGADOR],Pendentes[DESCRICAO]),"")</f>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v>
      </c>
      <c r="W10" s="5">
        <v>10</v>
      </c>
      <c r="X10" s="5">
        <v>20</v>
      </c>
      <c r="Y10" s="5">
        <v>15</v>
      </c>
      <c r="Z10" s="5">
        <v>15</v>
      </c>
      <c r="AA10" s="5">
        <v>15</v>
      </c>
      <c r="AB10" s="5">
        <v>10</v>
      </c>
      <c r="AC10" s="5">
        <v>0</v>
      </c>
      <c r="AD10" s="5">
        <v>15</v>
      </c>
      <c r="AE10" s="5">
        <f>SUM(Table[[#This Row],[Premissa 1]:[Premissa 8]])</f>
        <v>100</v>
      </c>
      <c r="AF10" s="5" t="s">
        <v>9</v>
      </c>
      <c r="AG10" t="s">
        <v>90</v>
      </c>
    </row>
    <row r="11" spans="1:36" ht="15" customHeight="1" x14ac:dyDescent="0.25">
      <c r="A11" s="4">
        <v>5856070091</v>
      </c>
      <c r="B11" s="5" t="str">
        <f>MID(Table[[#This Row],[Ativo]],1,2)</f>
        <v>58</v>
      </c>
      <c r="C11" s="5" t="s">
        <v>40</v>
      </c>
      <c r="D11" s="5" t="s">
        <v>41</v>
      </c>
      <c r="E11" s="5" t="s">
        <v>42</v>
      </c>
      <c r="F11" s="4" t="str">
        <f>IFERROR(_xlfn.XLOOKUP(Table[[#This Row],[Ativo]],Pendentes[COD_RELIGADOR],Pendentes[SS_ORIGINAL]),"CONCLUÍDA")</f>
        <v>ETO-RD-DP 00479/2026</v>
      </c>
      <c r="G11" s="4" t="s">
        <v>485</v>
      </c>
      <c r="O11" s="4" t="e">
        <f>VLOOKUP(Table[[#This Row],[SS aberta]],SGM!A:M,13,FALSE)</f>
        <v>#N/A</v>
      </c>
      <c r="R11" s="4" t="s">
        <v>486</v>
      </c>
      <c r="S11" s="4" t="s">
        <v>459</v>
      </c>
      <c r="T11" s="29" t="s">
        <v>487</v>
      </c>
      <c r="U11" s="31">
        <v>3</v>
      </c>
      <c r="V11" t="str">
        <f>IFERROR(_xlfn.XLOOKUP(Table[[#This Row],[Ativo]],Pendentes[COD_RELIGADOR],Pendentes[DESCRICAO]),"")</f>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v>
      </c>
      <c r="W11" s="5">
        <v>40</v>
      </c>
      <c r="X11" s="5">
        <v>20</v>
      </c>
      <c r="Y11" s="5">
        <v>20</v>
      </c>
      <c r="Z11" s="5">
        <v>20</v>
      </c>
      <c r="AA11" s="5">
        <v>0</v>
      </c>
      <c r="AB11" s="5" t="s">
        <v>45</v>
      </c>
      <c r="AC11" s="5" t="s">
        <v>45</v>
      </c>
      <c r="AD11" s="5" t="s">
        <v>45</v>
      </c>
      <c r="AE11" s="5">
        <f>SUM(Table[[#This Row],[Premissa 1]:[Premissa 8]])</f>
        <v>100</v>
      </c>
      <c r="AF11" s="5" t="s">
        <v>9</v>
      </c>
      <c r="AG11" t="s">
        <v>46</v>
      </c>
    </row>
    <row r="12" spans="1:36" ht="15" customHeight="1" x14ac:dyDescent="0.25">
      <c r="A12" s="12">
        <v>7903569004</v>
      </c>
      <c r="B12" s="5" t="str">
        <f>MID(Table[[#This Row],[Ativo]],1,2)</f>
        <v>79</v>
      </c>
      <c r="C12" s="5" t="s">
        <v>69</v>
      </c>
      <c r="D12" s="5" t="s">
        <v>69</v>
      </c>
      <c r="E12" s="5" t="s">
        <v>59</v>
      </c>
      <c r="F12" s="4" t="str">
        <f>IFERROR(_xlfn.XLOOKUP(Table[[#This Row],[Ativo]],Pendentes[COD_RELIGADOR],Pendentes[SS_ORIGINAL]),"CONCLUÍDA")</f>
        <v>ETO-COEP 00152/2026</v>
      </c>
      <c r="G12" s="4" t="s">
        <v>472</v>
      </c>
      <c r="O12" s="4" t="e">
        <f>VLOOKUP(Table[[#This Row],[SS aberta]],SGM!A:M,13,FALSE)</f>
        <v>#N/A</v>
      </c>
      <c r="T12" s="29"/>
      <c r="U12" s="31"/>
      <c r="V12" t="str">
        <f>IFERROR(_xlfn.XLOOKUP(Table[[#This Row],[Ativo]],Pendentes[COD_RELIGADOR],Pendentes[DESCRICAO]),"")</f>
        <v>PARECER COEP 28/07/2026 : EQUIPAMENTO SELECIONADO PARA COMPRAEquipamento baypassado PARECER DMSL em 12/03: Realizar substituição do equipamento todo e parte ativa.</v>
      </c>
      <c r="W12" s="5">
        <v>15</v>
      </c>
      <c r="X12" s="5">
        <v>20</v>
      </c>
      <c r="Y12" s="5">
        <v>5</v>
      </c>
      <c r="Z12" s="5">
        <v>15</v>
      </c>
      <c r="AA12" s="5">
        <v>15</v>
      </c>
      <c r="AB12" s="5">
        <v>10</v>
      </c>
      <c r="AC12" s="5">
        <v>0</v>
      </c>
      <c r="AD12" s="5">
        <v>15</v>
      </c>
      <c r="AE12" s="5">
        <f>SUM(Table[[#This Row],[Premissa 1]:[Premissa 8]])</f>
        <v>95</v>
      </c>
      <c r="AF12" s="5" t="s">
        <v>9</v>
      </c>
      <c r="AG12" t="s">
        <v>85</v>
      </c>
    </row>
    <row r="13" spans="1:36" ht="15" customHeight="1" x14ac:dyDescent="0.25">
      <c r="A13" s="4">
        <v>7925744087</v>
      </c>
      <c r="B13" s="5" t="str">
        <f>MID(Table[[#This Row],[Ativo]],1,2)</f>
        <v>79</v>
      </c>
      <c r="C13" s="5" t="s">
        <v>105</v>
      </c>
      <c r="D13" s="5" t="s">
        <v>106</v>
      </c>
      <c r="E13" s="5" t="s">
        <v>59</v>
      </c>
      <c r="F13" s="4" t="str">
        <f>IFERROR(_xlfn.XLOOKUP(Table[[#This Row],[Ativo]],Pendentes[COD_RELIGADOR],Pendentes[SS_ORIGINAL]),"CONCLUÍDA")</f>
        <v>ETO-COEP 00059/2026</v>
      </c>
      <c r="G13" s="4" t="s">
        <v>472</v>
      </c>
      <c r="O13" s="4" t="e">
        <f>VLOOKUP(Table[[#This Row],[SS aberta]],SGM!A:M,13,FALSE)</f>
        <v>#N/A</v>
      </c>
      <c r="R13" s="4" t="s">
        <v>488</v>
      </c>
      <c r="S13" s="4" t="s">
        <v>474</v>
      </c>
      <c r="T13" s="29" t="s">
        <v>489</v>
      </c>
      <c r="U13" s="31">
        <v>1</v>
      </c>
      <c r="V13" t="str">
        <f>IFERROR(_xlfn.XLOOKUP(Table[[#This Row],[Ativo]],Pendentes[COD_RELIGADOR],Pendentes[DESCRICAO]),"")</f>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v>
      </c>
      <c r="W13" s="5">
        <v>15</v>
      </c>
      <c r="X13" s="5">
        <v>20</v>
      </c>
      <c r="Y13" s="5">
        <v>5</v>
      </c>
      <c r="Z13" s="5">
        <v>15</v>
      </c>
      <c r="AA13" s="5">
        <v>15</v>
      </c>
      <c r="AB13" s="5">
        <v>10</v>
      </c>
      <c r="AC13" s="5">
        <v>0</v>
      </c>
      <c r="AD13" s="5">
        <v>15</v>
      </c>
      <c r="AE13" s="5">
        <f>SUM(Table[[#This Row],[Premissa 1]:[Premissa 8]])</f>
        <v>95</v>
      </c>
      <c r="AF13" s="5" t="s">
        <v>9</v>
      </c>
      <c r="AG13" t="s">
        <v>109</v>
      </c>
    </row>
    <row r="14" spans="1:36" ht="15" customHeight="1" x14ac:dyDescent="0.25">
      <c r="A14" s="4">
        <v>7900117013</v>
      </c>
      <c r="B14" s="5" t="str">
        <f>MID(Table[[#This Row],[Ativo]],1,2)</f>
        <v>79</v>
      </c>
      <c r="C14" s="5" t="s">
        <v>117</v>
      </c>
      <c r="D14" s="5" t="s">
        <v>117</v>
      </c>
      <c r="E14" s="5" t="s">
        <v>51</v>
      </c>
      <c r="F14" s="4" t="str">
        <f>IFERROR(_xlfn.XLOOKUP(Table[[#This Row],[Ativo]],Pendentes[COD_RELIGADOR],Pendentes[SS_ORIGINAL]),"CONCLUÍDA")</f>
        <v>ETO-PROT 00154/2026</v>
      </c>
      <c r="G14" s="4" t="s">
        <v>457</v>
      </c>
      <c r="I14" s="5" t="s">
        <v>654</v>
      </c>
      <c r="O14" s="4" t="e">
        <f>VLOOKUP(Table[[#This Row],[SS aberta]],SGM!A:M,13,FALSE)</f>
        <v>#N/A</v>
      </c>
      <c r="S14" s="4" t="s">
        <v>459</v>
      </c>
      <c r="T14" s="29" t="s">
        <v>484</v>
      </c>
      <c r="U14" s="31">
        <v>1</v>
      </c>
      <c r="V14" t="str">
        <f>IFERROR(_xlfn.XLOOKUP(Table[[#This Row],[Ativo]],Pendentes[COD_RELIGADOR],Pendentes[DESCRICAO]),"")</f>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v>
      </c>
      <c r="W14" s="5">
        <v>15</v>
      </c>
      <c r="X14" s="5">
        <v>20</v>
      </c>
      <c r="Y14" s="5">
        <v>15</v>
      </c>
      <c r="Z14" s="5">
        <v>15</v>
      </c>
      <c r="AA14" s="5">
        <v>15</v>
      </c>
      <c r="AB14" s="5">
        <v>0</v>
      </c>
      <c r="AC14" s="5">
        <v>0</v>
      </c>
      <c r="AD14" s="5">
        <v>15</v>
      </c>
      <c r="AE14" s="5">
        <f>SUM(Table[[#This Row],[Premissa 1]:[Premissa 8]])</f>
        <v>95</v>
      </c>
      <c r="AF14" s="5" t="s">
        <v>9</v>
      </c>
      <c r="AG14" t="s">
        <v>120</v>
      </c>
    </row>
    <row r="15" spans="1:36" ht="15" customHeight="1" x14ac:dyDescent="0.25">
      <c r="A15" s="4">
        <v>7929376022</v>
      </c>
      <c r="B15" s="5" t="str">
        <f>MID(Table[[#This Row],[Ativo]],1,2)</f>
        <v>79</v>
      </c>
      <c r="C15" s="5" t="s">
        <v>125</v>
      </c>
      <c r="D15" s="5" t="s">
        <v>69</v>
      </c>
      <c r="E15" s="5" t="s">
        <v>59</v>
      </c>
      <c r="F15" s="4" t="str">
        <f>IFERROR(_xlfn.XLOOKUP(Table[[#This Row],[Ativo]],Pendentes[COD_RELIGADOR],Pendentes[SS_ORIGINAL]),"CONCLUÍDA")</f>
        <v>ETO-TELE 01107/2026</v>
      </c>
      <c r="G15" s="4" t="s">
        <v>464</v>
      </c>
      <c r="I15" s="4" t="s">
        <v>654</v>
      </c>
      <c r="O15" s="4" t="str">
        <f>VLOOKUP(Table[[#This Row],[SS aberta]],SGM!A:M,13,FALSE)</f>
        <v>SS PENDENTE</v>
      </c>
      <c r="R15" s="4" t="s">
        <v>492</v>
      </c>
      <c r="S15" s="4" t="s">
        <v>459</v>
      </c>
      <c r="T15" s="29" t="s">
        <v>475</v>
      </c>
      <c r="U15" s="31">
        <v>1</v>
      </c>
      <c r="V15" t="str">
        <f>IFERROR(_xlfn.XLOOKUP(Table[[#This Row],[Ativo]],Pendentes[COD_RELIGADOR],Pendentes[DESCRICAO]),"")</f>
        <v>13/08/2026 PARECER COEP: EQUIPAMENTO FOI TROCADO A PEÇA , CONFIRMAMOS COM O LEONARDO DE ARAGUAÍNA , LAUDO EM ANEXO , FAVOR REALIZAR COMISSIONAMENTOPARECER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v>
      </c>
      <c r="W15" s="5">
        <v>15</v>
      </c>
      <c r="X15" s="5">
        <v>20</v>
      </c>
      <c r="Y15" s="5">
        <v>5</v>
      </c>
      <c r="Z15" s="5">
        <v>15</v>
      </c>
      <c r="AA15" s="5">
        <v>15</v>
      </c>
      <c r="AB15" s="5">
        <v>10</v>
      </c>
      <c r="AC15" s="5">
        <v>0</v>
      </c>
      <c r="AD15" s="5">
        <v>15</v>
      </c>
      <c r="AE15" s="5">
        <f>SUM(Table[[#This Row],[Premissa 1]:[Premissa 8]])</f>
        <v>95</v>
      </c>
      <c r="AF15" s="5" t="s">
        <v>9</v>
      </c>
      <c r="AG15" t="s">
        <v>127</v>
      </c>
    </row>
    <row r="16" spans="1:36" ht="15" customHeight="1" x14ac:dyDescent="0.25">
      <c r="A16" s="40">
        <v>7908705049</v>
      </c>
      <c r="B16" s="5" t="str">
        <f>MID(Table[[#This Row],[Ativo]],1,2)</f>
        <v>79</v>
      </c>
      <c r="C16" s="5" t="s">
        <v>64</v>
      </c>
      <c r="D16" s="5" t="s">
        <v>41</v>
      </c>
      <c r="E16" s="5" t="s">
        <v>42</v>
      </c>
      <c r="F16" s="4" t="str">
        <f>IFERROR(_xlfn.XLOOKUP(Table[[#This Row],[Ativo]],Pendentes[COD_RELIGADOR],Pendentes[SS_ORIGINAL]),"CONCLUÍDA")</f>
        <v>ETO-RD-DP 00409/2026</v>
      </c>
      <c r="G16" s="4" t="s">
        <v>485</v>
      </c>
      <c r="O16" s="4" t="e">
        <f>VLOOKUP(Table[[#This Row],[SS aberta]],SGM!A:M,13,FALSE)</f>
        <v>#N/A</v>
      </c>
      <c r="R16" s="4" t="s">
        <v>494</v>
      </c>
      <c r="S16" s="4" t="s">
        <v>459</v>
      </c>
      <c r="T16" s="29" t="s">
        <v>475</v>
      </c>
      <c r="U16" s="31">
        <v>1</v>
      </c>
      <c r="V16" t="str">
        <f>IFERROR(_xlfn.XLOOKUP(Table[[#This Row],[Ativo]],Pendentes[COD_RELIGADOR],Pendentes[DESCRICAO]),"")</f>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v>
      </c>
      <c r="W16" s="5">
        <v>15</v>
      </c>
      <c r="X16" s="5">
        <v>20</v>
      </c>
      <c r="Y16" s="5">
        <v>5</v>
      </c>
      <c r="Z16" s="5">
        <v>15</v>
      </c>
      <c r="AA16" s="5">
        <v>15</v>
      </c>
      <c r="AB16" s="5">
        <v>0</v>
      </c>
      <c r="AC16" s="5">
        <v>10</v>
      </c>
      <c r="AD16" s="5">
        <v>15</v>
      </c>
      <c r="AE16" s="5">
        <f>SUM(Table[[#This Row],[Premissa 1]:[Premissa 8]])</f>
        <v>95</v>
      </c>
      <c r="AF16" s="5" t="s">
        <v>9</v>
      </c>
      <c r="AG16" t="s">
        <v>67</v>
      </c>
    </row>
    <row r="17" spans="1:33" ht="15" customHeight="1" x14ac:dyDescent="0.25">
      <c r="A17" s="4">
        <v>7933726256</v>
      </c>
      <c r="B17" s="5" t="str">
        <f>MID(Table[[#This Row],[Ativo]],1,2)</f>
        <v>79</v>
      </c>
      <c r="C17" s="5" t="s">
        <v>134</v>
      </c>
      <c r="D17" s="5" t="s">
        <v>135</v>
      </c>
      <c r="E17" s="5" t="s">
        <v>51</v>
      </c>
      <c r="F17" s="4" t="str">
        <f>IFERROR(_xlfn.XLOOKUP(Table[[#This Row],[Ativo]],Pendentes[COD_RELIGADOR],Pendentes[SS_ORIGINAL]),"CONCLUÍDA")</f>
        <v>ETO-SE-PCM 00092/2026</v>
      </c>
      <c r="G17" s="4" t="s">
        <v>464</v>
      </c>
      <c r="I17" s="4" t="s">
        <v>654</v>
      </c>
      <c r="O17" s="4" t="e">
        <f>VLOOKUP(Table[[#This Row],[SS aberta]],SGM!A:M,13,FALSE)</f>
        <v>#N/A</v>
      </c>
      <c r="R17" s="4" t="s">
        <v>496</v>
      </c>
      <c r="S17" s="4" t="s">
        <v>459</v>
      </c>
      <c r="T17" s="29" t="s">
        <v>497</v>
      </c>
      <c r="U17" s="31">
        <v>1</v>
      </c>
      <c r="V17" t="str">
        <f>IFERROR(_xlfn.XLOOKUP(Table[[#This Row],[Ativo]],Pendentes[COD_RELIGADOR],Pendentes[DESCRICAO]),"")</f>
        <v>17/08/2026 PARECER DA PROTEÇÃO:NOTA REPASSADA PARA DMSL COMISSIONARENG° IRLLEY CASTELO BRANCO07/07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v>
      </c>
      <c r="W17" s="5">
        <v>15</v>
      </c>
      <c r="X17" s="5">
        <v>10</v>
      </c>
      <c r="Y17" s="5">
        <v>15</v>
      </c>
      <c r="Z17" s="5">
        <v>15</v>
      </c>
      <c r="AA17" s="5">
        <v>15</v>
      </c>
      <c r="AB17" s="5">
        <v>10</v>
      </c>
      <c r="AC17" s="5">
        <v>0</v>
      </c>
      <c r="AD17" s="5">
        <v>15</v>
      </c>
      <c r="AE17" s="5">
        <f>SUM(Table[[#This Row],[Premissa 1]:[Premissa 8]])</f>
        <v>95</v>
      </c>
      <c r="AF17" s="5" t="s">
        <v>9</v>
      </c>
      <c r="AG17" t="s">
        <v>138</v>
      </c>
    </row>
    <row r="18" spans="1:33" ht="15" customHeight="1" x14ac:dyDescent="0.25">
      <c r="A18" s="4">
        <v>7933766059</v>
      </c>
      <c r="B18" s="5" t="str">
        <f>MID(Table[[#This Row],[Ativo]],1,2)</f>
        <v>79</v>
      </c>
      <c r="C18" s="5" t="s">
        <v>74</v>
      </c>
      <c r="D18" s="5" t="s">
        <v>74</v>
      </c>
      <c r="E18" s="5" t="s">
        <v>51</v>
      </c>
      <c r="F18" s="4" t="str">
        <f>IFERROR(_xlfn.XLOOKUP(Table[[#This Row],[Ativo]],Pendentes[COD_RELIGADOR],Pendentes[SS_ORIGINAL]),"CONCLUÍDA")</f>
        <v>CONCLUÍDA</v>
      </c>
      <c r="O18" s="4" t="e">
        <f>VLOOKUP(Table[[#This Row],[SS aberta]],SGM!A:M,13,FALSE)</f>
        <v>#N/A</v>
      </c>
      <c r="R18" s="9"/>
      <c r="S18" s="4" t="s">
        <v>459</v>
      </c>
      <c r="T18" s="29" t="s">
        <v>497</v>
      </c>
      <c r="U18" s="31">
        <v>1</v>
      </c>
      <c r="V18" t="str">
        <f>IFERROR(_xlfn.XLOOKUP(Table[[#This Row],[Ativo]],Pendentes[COD_RELIGADOR],Pendentes[DESCRICAO]),"")</f>
        <v/>
      </c>
      <c r="W18" s="5">
        <v>15</v>
      </c>
      <c r="X18" s="5">
        <v>20</v>
      </c>
      <c r="Y18" s="5">
        <v>5</v>
      </c>
      <c r="Z18" s="5">
        <v>15</v>
      </c>
      <c r="AA18" s="5">
        <v>15</v>
      </c>
      <c r="AB18" s="5">
        <v>0</v>
      </c>
      <c r="AC18" s="5">
        <v>10</v>
      </c>
      <c r="AD18" s="5">
        <v>15</v>
      </c>
      <c r="AE18" s="5">
        <f>SUM(Table[[#This Row],[Premissa 1]:[Premissa 8]])</f>
        <v>95</v>
      </c>
      <c r="AF18" s="5" t="s">
        <v>9</v>
      </c>
      <c r="AG18" t="s">
        <v>501</v>
      </c>
    </row>
    <row r="19" spans="1:33" ht="15" customHeight="1" x14ac:dyDescent="0.25">
      <c r="A19" s="4">
        <v>7900594026</v>
      </c>
      <c r="B19" s="5" t="str">
        <f>MID(Table[[#This Row],[Ativo]],1,2)</f>
        <v>79</v>
      </c>
      <c r="C19" s="5" t="s">
        <v>135</v>
      </c>
      <c r="D19" s="5" t="s">
        <v>135</v>
      </c>
      <c r="E19" s="5" t="s">
        <v>51</v>
      </c>
      <c r="F19" s="4" t="str">
        <f>IFERROR(_xlfn.XLOOKUP(Table[[#This Row],[Ativo]],Pendentes[COD_RELIGADOR],Pendentes[SS_ORIGINAL]),"CONCLUÍDA")</f>
        <v>ETO-SE-PA 00107/2026</v>
      </c>
      <c r="G19" s="4" t="s">
        <v>464</v>
      </c>
      <c r="I19" s="4" t="s">
        <v>654</v>
      </c>
      <c r="O19" s="4" t="e">
        <f>VLOOKUP(Table[[#This Row],[SS aberta]],SGM!A:M,13,FALSE)</f>
        <v>#N/A</v>
      </c>
      <c r="S19" s="4" t="s">
        <v>459</v>
      </c>
      <c r="T19" s="29" t="s">
        <v>475</v>
      </c>
      <c r="U19" s="31">
        <v>1</v>
      </c>
      <c r="V19" t="str">
        <f>IFERROR(_xlfn.XLOOKUP(Table[[#This Row],[Ativo]],Pendentes[COD_RELIGADOR],Pendentes[DESCRICAO]),"")</f>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v>
      </c>
      <c r="W19" s="5">
        <v>15</v>
      </c>
      <c r="X19" s="5">
        <v>20</v>
      </c>
      <c r="Y19" s="5">
        <v>15</v>
      </c>
      <c r="Z19" s="5">
        <v>15</v>
      </c>
      <c r="AA19" s="5">
        <v>15</v>
      </c>
      <c r="AB19" s="5">
        <v>0</v>
      </c>
      <c r="AC19" s="5">
        <v>0</v>
      </c>
      <c r="AD19" s="5">
        <v>15</v>
      </c>
      <c r="AE19" s="5">
        <f>SUM(Table[[#This Row],[Premissa 1]:[Premissa 8]])</f>
        <v>95</v>
      </c>
      <c r="AF19" s="5" t="s">
        <v>9</v>
      </c>
      <c r="AG19" t="s">
        <v>145</v>
      </c>
    </row>
    <row r="20" spans="1:33" ht="15" customHeight="1" x14ac:dyDescent="0.25">
      <c r="A20" s="4">
        <v>7921040031</v>
      </c>
      <c r="B20" s="5" t="str">
        <f>MID(Table[[#This Row],[Ativo]],1,2)</f>
        <v>79</v>
      </c>
      <c r="C20" s="5" t="s">
        <v>502</v>
      </c>
      <c r="D20" s="5" t="s">
        <v>100</v>
      </c>
      <c r="E20" s="5" t="s">
        <v>51</v>
      </c>
      <c r="F20" s="4" t="str">
        <f>IFERROR(_xlfn.XLOOKUP(Table[[#This Row],[Ativo]],Pendentes[COD_RELIGADOR],Pendentes[SS_ORIGINAL]),"CONCLUÍDA")</f>
        <v>CONCLUÍDA</v>
      </c>
      <c r="O20" s="4" t="e">
        <f>VLOOKUP(Table[[#This Row],[SS aberta]],SGM!A:M,13,FALSE)</f>
        <v>#N/A</v>
      </c>
      <c r="S20" s="4" t="s">
        <v>453</v>
      </c>
      <c r="T20" s="29"/>
      <c r="U20" s="31"/>
      <c r="V20" t="str">
        <f>IFERROR(_xlfn.XLOOKUP(Table[[#This Row],[Ativo]],Pendentes[COD_RELIGADOR],Pendentes[DESCRICAO]),"")</f>
        <v/>
      </c>
      <c r="W20" s="5">
        <v>15</v>
      </c>
      <c r="X20" s="5">
        <v>20</v>
      </c>
      <c r="Y20" s="5">
        <v>5</v>
      </c>
      <c r="Z20" s="5">
        <v>15</v>
      </c>
      <c r="AA20" s="5">
        <v>15</v>
      </c>
      <c r="AB20" s="5">
        <v>10</v>
      </c>
      <c r="AC20" s="5">
        <v>0</v>
      </c>
      <c r="AD20" s="5">
        <v>15</v>
      </c>
      <c r="AE20" s="5">
        <f>SUM(Table[[#This Row],[Premissa 1]:[Premissa 8]])</f>
        <v>95</v>
      </c>
      <c r="AF20" s="5" t="s">
        <v>9</v>
      </c>
      <c r="AG20" t="s">
        <v>503</v>
      </c>
    </row>
    <row r="21" spans="1:33" ht="15" customHeight="1" x14ac:dyDescent="0.25">
      <c r="A21" s="4">
        <v>7957620015</v>
      </c>
      <c r="B21" s="5" t="str">
        <f>MID(Table[[#This Row],[Ativo]],1,2)</f>
        <v>79</v>
      </c>
      <c r="C21" s="5" t="s">
        <v>288</v>
      </c>
      <c r="D21" s="5" t="s">
        <v>106</v>
      </c>
      <c r="E21" s="5" t="s">
        <v>59</v>
      </c>
      <c r="F21" s="4" t="str">
        <f>IFERROR(_xlfn.XLOOKUP(Table[[#This Row],[Ativo]],Pendentes[COD_RELIGADOR],Pendentes[SS_ORIGINAL]),"CONCLUÍDA")</f>
        <v>CONCLUÍDA</v>
      </c>
      <c r="O21" s="4" t="e">
        <f>VLOOKUP(Table[[#This Row],[SS aberta]],SGM!A:M,13,FALSE)</f>
        <v>#N/A</v>
      </c>
      <c r="S21" s="4" t="s">
        <v>453</v>
      </c>
      <c r="T21" s="29"/>
      <c r="U21" s="31"/>
      <c r="V21" t="str">
        <f>IFERROR(_xlfn.XLOOKUP(Table[[#This Row],[Ativo]],Pendentes[COD_RELIGADOR],Pendentes[DESCRICAO]),"")</f>
        <v/>
      </c>
      <c r="W21" s="5">
        <v>15</v>
      </c>
      <c r="X21" s="5">
        <v>20</v>
      </c>
      <c r="Y21" s="5">
        <v>15</v>
      </c>
      <c r="Z21" s="5">
        <v>15</v>
      </c>
      <c r="AA21" s="5">
        <v>15</v>
      </c>
      <c r="AB21" s="5">
        <v>0</v>
      </c>
      <c r="AC21" s="5">
        <v>0</v>
      </c>
      <c r="AD21" s="5">
        <v>15</v>
      </c>
      <c r="AE21" s="5">
        <f>SUM(Table[[#This Row],[Premissa 1]:[Premissa 8]])</f>
        <v>95</v>
      </c>
      <c r="AF21" s="5" t="s">
        <v>9</v>
      </c>
      <c r="AG21" t="s">
        <v>504</v>
      </c>
    </row>
    <row r="22" spans="1:33" ht="15" customHeight="1" x14ac:dyDescent="0.25">
      <c r="A22" s="4">
        <v>7927413001</v>
      </c>
      <c r="B22" s="5" t="str">
        <f>MID(Table[[#This Row],[Ativo]],1,2)</f>
        <v>79</v>
      </c>
      <c r="C22" s="5" t="s">
        <v>50</v>
      </c>
      <c r="D22" s="5" t="s">
        <v>50</v>
      </c>
      <c r="E22" s="5" t="s">
        <v>51</v>
      </c>
      <c r="F22" s="4" t="str">
        <f>IFERROR(_xlfn.XLOOKUP(Table[[#This Row],[Ativo]],Pendentes[COD_RELIGADOR],Pendentes[SS_ORIGINAL]),"CONCLUÍDA")</f>
        <v>ETO-COEP 00141/2026</v>
      </c>
      <c r="G22" s="4" t="s">
        <v>472</v>
      </c>
      <c r="O22" s="4" t="e">
        <f>VLOOKUP(Table[[#This Row],[SS aberta]],SGM!A:M,13,FALSE)</f>
        <v>#N/A</v>
      </c>
      <c r="S22" s="4" t="s">
        <v>474</v>
      </c>
      <c r="T22" s="29" t="s">
        <v>475</v>
      </c>
      <c r="U22" s="31">
        <v>1</v>
      </c>
      <c r="V22" t="str">
        <f>IFERROR(_xlfn.XLOOKUP(Table[[#This Row],[Ativo]],Pendentes[COD_RELIGADOR],Pendentes[DESCRICAO]),"")</f>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v>
      </c>
      <c r="W22" s="5">
        <v>15</v>
      </c>
      <c r="X22" s="5">
        <v>5</v>
      </c>
      <c r="Y22" s="5">
        <v>15</v>
      </c>
      <c r="Z22" s="5">
        <v>15</v>
      </c>
      <c r="AA22" s="5">
        <v>15</v>
      </c>
      <c r="AB22" s="5">
        <v>10</v>
      </c>
      <c r="AC22" s="5">
        <v>0</v>
      </c>
      <c r="AD22" s="5">
        <v>15</v>
      </c>
      <c r="AE22" s="5">
        <f>SUM(Table[[#This Row],[Premissa 1]:[Premissa 8]])</f>
        <v>90</v>
      </c>
      <c r="AF22" s="5" t="s">
        <v>9</v>
      </c>
      <c r="AG22" t="s">
        <v>162</v>
      </c>
    </row>
    <row r="23" spans="1:33" ht="15" customHeight="1" x14ac:dyDescent="0.25">
      <c r="A23" s="4">
        <v>7908686014</v>
      </c>
      <c r="B23" s="5" t="str">
        <f>MID(Table[[#This Row],[Ativo]],1,2)</f>
        <v>79</v>
      </c>
      <c r="C23" s="5" t="s">
        <v>164</v>
      </c>
      <c r="D23" s="5" t="s">
        <v>117</v>
      </c>
      <c r="E23" s="5" t="s">
        <v>51</v>
      </c>
      <c r="F23" s="4" t="str">
        <f>IFERROR(_xlfn.XLOOKUP(Table[[#This Row],[Ativo]],Pendentes[COD_RELIGADOR],Pendentes[SS_ORIGINAL]),"CONCLUÍDA")</f>
        <v>ETO-PROT 00159/2026</v>
      </c>
      <c r="G23" s="5" t="s">
        <v>457</v>
      </c>
      <c r="H23" s="5"/>
      <c r="I23" s="5" t="s">
        <v>654</v>
      </c>
      <c r="J23" s="5"/>
      <c r="K23" s="5"/>
      <c r="L23" s="5"/>
      <c r="M23" s="5"/>
      <c r="N23" s="5"/>
      <c r="O23" s="4" t="e">
        <f>VLOOKUP(Table[[#This Row],[SS aberta]],SGM!A:M,13,FALSE)</f>
        <v>#N/A</v>
      </c>
      <c r="P23" s="5"/>
      <c r="Q23" s="5"/>
      <c r="R23" s="4" t="s">
        <v>507</v>
      </c>
      <c r="S23" s="4" t="s">
        <v>459</v>
      </c>
      <c r="T23" s="29" t="s">
        <v>508</v>
      </c>
      <c r="U23" s="31">
        <v>1</v>
      </c>
      <c r="V23" t="str">
        <f>IFERROR(_xlfn.XLOOKUP(Table[[#This Row],[Ativo]],Pendentes[COD_RELIGADOR],Pendentes[DESCRICAO]),"")</f>
        <v>24/07 PARECER COCM: EQUIPAMENTO FOI SUBSTITUIDO OBRA 021260042510/07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v>
      </c>
      <c r="W23" s="5">
        <v>15</v>
      </c>
      <c r="X23" s="5">
        <v>20</v>
      </c>
      <c r="Y23" s="5">
        <v>0</v>
      </c>
      <c r="Z23" s="5">
        <v>15</v>
      </c>
      <c r="AA23" s="5">
        <v>15</v>
      </c>
      <c r="AB23" s="5">
        <v>10</v>
      </c>
      <c r="AC23" s="5">
        <v>0</v>
      </c>
      <c r="AD23" s="5">
        <v>15</v>
      </c>
      <c r="AE23" s="5">
        <f>SUM(Table[[#This Row],[Premissa 1]:[Premissa 8]])</f>
        <v>90</v>
      </c>
      <c r="AF23" s="5" t="s">
        <v>9</v>
      </c>
      <c r="AG23" t="s">
        <v>167</v>
      </c>
    </row>
    <row r="24" spans="1:33" ht="15" customHeight="1" x14ac:dyDescent="0.25">
      <c r="A24" s="4">
        <v>5800440256</v>
      </c>
      <c r="B24" s="5" t="str">
        <f>MID(Table[[#This Row],[Ativo]],1,2)</f>
        <v>58</v>
      </c>
      <c r="C24" s="5" t="s">
        <v>134</v>
      </c>
      <c r="D24" s="5" t="s">
        <v>135</v>
      </c>
      <c r="E24" s="5" t="s">
        <v>51</v>
      </c>
      <c r="F24" s="4" t="str">
        <f>IFERROR(_xlfn.XLOOKUP(Table[[#This Row],[Ativo]],Pendentes[COD_RELIGADOR],Pendentes[SS_ORIGINAL]),"CONCLUÍDA")</f>
        <v>ETO-COEP 00169/2026</v>
      </c>
      <c r="G24" s="11" t="s">
        <v>472</v>
      </c>
      <c r="H24" s="11"/>
      <c r="I24" s="11"/>
      <c r="J24" s="11"/>
      <c r="K24" s="11"/>
      <c r="L24" s="11"/>
      <c r="M24" s="11"/>
      <c r="N24" s="11"/>
      <c r="O24" s="4" t="e">
        <f>VLOOKUP(Table[[#This Row],[SS aberta]],SGM!A:M,13,FALSE)</f>
        <v>#N/A</v>
      </c>
      <c r="P24" s="11"/>
      <c r="Q24" s="11"/>
      <c r="S24" s="4" t="s">
        <v>453</v>
      </c>
      <c r="T24" s="29"/>
      <c r="U24" s="31"/>
      <c r="V24" t="str">
        <f>IFERROR(_xlfn.XLOOKUP(Table[[#This Row],[Ativo]],Pendentes[COD_RELIGADOR],Pendentes[DESCRICAO]),"")</f>
        <v>PARECER DMSL 06/08: Substituir célula da Fase B do banco de Regulador de tensão e realizar melhorias na malha de aterramento do ReguladorBoa noite,Segue SS para as devidas tratativas, verificar flutuação de tensão do regulador 5800440256 pois a tensão está oscilando de 16kv a 23kv    favor verificar esta anomalia pois cliente BRK está abrindo reclamação todas as noites.</v>
      </c>
      <c r="W24" s="5">
        <v>20</v>
      </c>
      <c r="X24" s="5">
        <v>20</v>
      </c>
      <c r="Y24" s="5">
        <v>20</v>
      </c>
      <c r="Z24" s="5">
        <v>10</v>
      </c>
      <c r="AA24" s="5">
        <v>20</v>
      </c>
      <c r="AB24" s="5" t="s">
        <v>45</v>
      </c>
      <c r="AC24" s="5" t="s">
        <v>45</v>
      </c>
      <c r="AD24" s="5" t="s">
        <v>45</v>
      </c>
      <c r="AE24" s="5">
        <f>SUM(Table[[#This Row],[Premissa 1]:[Premissa 8]])</f>
        <v>90</v>
      </c>
      <c r="AF24" s="5" t="s">
        <v>9</v>
      </c>
      <c r="AG24" t="s">
        <v>175</v>
      </c>
    </row>
    <row r="25" spans="1:33" ht="15" customHeight="1" x14ac:dyDescent="0.25">
      <c r="A25" s="4">
        <v>7943790134</v>
      </c>
      <c r="B25" s="5" t="str">
        <f>MID(Table[[#This Row],[Ativo]],1,2)</f>
        <v>79</v>
      </c>
      <c r="C25" s="5" t="s">
        <v>177</v>
      </c>
      <c r="D25" s="5" t="s">
        <v>58</v>
      </c>
      <c r="E25" s="5" t="s">
        <v>59</v>
      </c>
      <c r="F25" s="4" t="str">
        <f>IFERROR(_xlfn.XLOOKUP(Table[[#This Row],[Ativo]],Pendentes[COD_RELIGADOR],Pendentes[SS_ORIGINAL]),"CONCLUÍDA")</f>
        <v>ETO-TELE 00896/2026</v>
      </c>
      <c r="G25" s="4" t="s">
        <v>464</v>
      </c>
      <c r="I25" s="4" t="s">
        <v>654</v>
      </c>
      <c r="O25" s="4" t="str">
        <f>VLOOKUP(Table[[#This Row],[SS aberta]],SGM!A:M,13,FALSE)</f>
        <v>SS PENDENTE</v>
      </c>
      <c r="P25" s="9">
        <v>46261</v>
      </c>
      <c r="S25" s="4" t="s">
        <v>459</v>
      </c>
      <c r="T25" s="29" t="s">
        <v>508</v>
      </c>
      <c r="U25" s="31">
        <v>1</v>
      </c>
      <c r="V25" t="str">
        <f>IFERROR(_xlfn.XLOOKUP(Table[[#This Row],[Ativo]],Pendentes[COD_RELIGADOR],Pendentes[DESCRICAO]),"")</f>
        <v>PARECER DCMD:Serviço realizado , substituição da parte ativa  do RELIGADOR 7943790134 - Favor realizar comissionamento</v>
      </c>
      <c r="W25" s="5">
        <v>15</v>
      </c>
      <c r="X25" s="5">
        <v>10</v>
      </c>
      <c r="Y25" s="5">
        <v>5</v>
      </c>
      <c r="Z25" s="5">
        <v>15</v>
      </c>
      <c r="AA25" s="5">
        <v>15</v>
      </c>
      <c r="AB25" s="5">
        <v>10</v>
      </c>
      <c r="AC25" s="5">
        <v>0</v>
      </c>
      <c r="AD25" s="5">
        <v>15</v>
      </c>
      <c r="AE25" s="5">
        <f>SUM(Table[[#This Row],[Premissa 1]:[Premissa 8]])</f>
        <v>85</v>
      </c>
      <c r="AF25" s="5" t="s">
        <v>9</v>
      </c>
      <c r="AG25" t="s">
        <v>179</v>
      </c>
    </row>
    <row r="26" spans="1:33" ht="15" customHeight="1" x14ac:dyDescent="0.25">
      <c r="A26" s="12">
        <v>7900453110</v>
      </c>
      <c r="B26" s="5" t="str">
        <f>MID(Table[[#This Row],[Ativo]],1,2)</f>
        <v>79</v>
      </c>
      <c r="C26" s="5" t="s">
        <v>185</v>
      </c>
      <c r="D26" s="5" t="s">
        <v>50</v>
      </c>
      <c r="E26" s="5" t="s">
        <v>51</v>
      </c>
      <c r="F26" s="4" t="str">
        <f>IFERROR(_xlfn.XLOOKUP(Table[[#This Row],[Ativo]],Pendentes[COD_RELIGADOR],Pendentes[SS_ORIGINAL]),"CONCLUÍDA")</f>
        <v>ETO-COEP 00087/2026</v>
      </c>
      <c r="G26" s="4" t="s">
        <v>472</v>
      </c>
      <c r="O26" s="4" t="e">
        <f>VLOOKUP(Table[[#This Row],[SS aberta]],SGM!A:M,13,FALSE)</f>
        <v>#N/A</v>
      </c>
      <c r="R26" s="4" t="s">
        <v>511</v>
      </c>
      <c r="S26" s="4" t="s">
        <v>474</v>
      </c>
      <c r="T26" s="29" t="s">
        <v>508</v>
      </c>
      <c r="U26" s="31">
        <v>1</v>
      </c>
      <c r="V26" t="str">
        <f>IFERROR(_xlfn.XLOOKUP(Table[[#This Row],[Ativo]],Pendentes[COD_RELIGADOR],Pendentes[DESCRICAO]),"")</f>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v>
      </c>
      <c r="W26" s="5">
        <v>15</v>
      </c>
      <c r="X26" s="5">
        <v>10</v>
      </c>
      <c r="Y26" s="5">
        <v>5</v>
      </c>
      <c r="Z26" s="5">
        <v>15</v>
      </c>
      <c r="AA26" s="5">
        <v>15</v>
      </c>
      <c r="AB26" s="5">
        <v>10</v>
      </c>
      <c r="AC26" s="5">
        <v>0</v>
      </c>
      <c r="AD26" s="5">
        <v>15</v>
      </c>
      <c r="AE26" s="5">
        <f>SUM(Table[[#This Row],[Premissa 1]:[Premissa 8]])</f>
        <v>85</v>
      </c>
      <c r="AF26" s="5" t="s">
        <v>9</v>
      </c>
      <c r="AG26" t="s">
        <v>188</v>
      </c>
    </row>
    <row r="27" spans="1:33" ht="15" customHeight="1" x14ac:dyDescent="0.25">
      <c r="A27" s="4">
        <v>7925871077</v>
      </c>
      <c r="B27" s="5" t="str">
        <f>MID(Table[[#This Row],[Ativo]],1,2)</f>
        <v>79</v>
      </c>
      <c r="C27" s="5" t="s">
        <v>190</v>
      </c>
      <c r="D27" s="5" t="s">
        <v>69</v>
      </c>
      <c r="E27" s="5" t="s">
        <v>59</v>
      </c>
      <c r="F27" s="4" t="str">
        <f>IFERROR(_xlfn.XLOOKUP(Table[[#This Row],[Ativo]],Pendentes[COD_RELIGADOR],Pendentes[SS_ORIGINAL]),"CONCLUÍDA")</f>
        <v>ETO-COEP 00048/2026</v>
      </c>
      <c r="G27" s="4" t="s">
        <v>472</v>
      </c>
      <c r="O27" s="4" t="e">
        <f>VLOOKUP(Table[[#This Row],[SS aberta]],SGM!A:M,13,FALSE)</f>
        <v>#N/A</v>
      </c>
      <c r="R27" s="4" t="s">
        <v>511</v>
      </c>
      <c r="S27" s="4" t="s">
        <v>474</v>
      </c>
      <c r="T27" s="29" t="s">
        <v>508</v>
      </c>
      <c r="U27" s="31">
        <v>1</v>
      </c>
      <c r="V27" t="str">
        <f>IFERROR(_xlfn.XLOOKUP(Table[[#This Row],[Ativo]],Pendentes[COD_RELIGADOR],Pendentes[DESCRICAO]),"")</f>
        <v>27/07 PARECER COEP: EM PROCESSO DE AQUISIÇÃOPARECER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v>
      </c>
      <c r="W27" s="5">
        <v>15</v>
      </c>
      <c r="X27" s="5">
        <v>10</v>
      </c>
      <c r="Y27" s="5">
        <v>15</v>
      </c>
      <c r="Z27" s="5">
        <v>15</v>
      </c>
      <c r="AA27" s="5">
        <v>15</v>
      </c>
      <c r="AB27" s="5">
        <v>10</v>
      </c>
      <c r="AC27" s="5">
        <v>0</v>
      </c>
      <c r="AD27" s="5">
        <v>0</v>
      </c>
      <c r="AE27" s="5">
        <f>SUM(Table[[#This Row],[Premissa 1]:[Premissa 8]])</f>
        <v>80</v>
      </c>
      <c r="AF27" s="5" t="s">
        <v>9</v>
      </c>
      <c r="AG27" t="s">
        <v>193</v>
      </c>
    </row>
    <row r="28" spans="1:33" ht="15" customHeight="1" x14ac:dyDescent="0.25">
      <c r="A28" s="4">
        <v>5803327001</v>
      </c>
      <c r="B28" s="5" t="str">
        <f>MID(Table[[#This Row],[Ativo]],1,2)</f>
        <v>58</v>
      </c>
      <c r="C28" s="5" t="s">
        <v>50</v>
      </c>
      <c r="D28" s="5" t="s">
        <v>50</v>
      </c>
      <c r="E28" s="5" t="s">
        <v>51</v>
      </c>
      <c r="F28" s="4" t="str">
        <f>IFERROR(_xlfn.XLOOKUP(Table[[#This Row],[Ativo]],Pendentes[COD_RELIGADOR],Pendentes[SS_ORIGINAL]),"CONCLUÍDA")</f>
        <v>ETO-COEP 00149/2026</v>
      </c>
      <c r="G28" s="11" t="s">
        <v>5431</v>
      </c>
      <c r="H28" s="11"/>
      <c r="I28" s="11"/>
      <c r="J28" s="11"/>
      <c r="K28" s="11"/>
      <c r="L28" s="11"/>
      <c r="M28" s="11"/>
      <c r="N28" s="11"/>
      <c r="O28" s="4" t="e">
        <f>VLOOKUP(Table[[#This Row],[SS aberta]],SGM!A:M,13,FALSE)</f>
        <v>#N/A</v>
      </c>
      <c r="P28" s="11"/>
      <c r="Q28" s="11"/>
      <c r="R28" s="4" t="s">
        <v>514</v>
      </c>
      <c r="S28" s="4" t="s">
        <v>459</v>
      </c>
      <c r="T28" s="29" t="s">
        <v>515</v>
      </c>
      <c r="U28" s="31">
        <v>1</v>
      </c>
      <c r="V28" t="str">
        <f>IFERROR(_xlfn.XLOOKUP(Table[[#This Row],[Ativo]],Pendentes[COD_RELIGADOR],Pendentes[DESCRICAO]),"")</f>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v>
      </c>
      <c r="W28" s="5">
        <v>40</v>
      </c>
      <c r="X28" s="5">
        <v>0</v>
      </c>
      <c r="Y28" s="5">
        <v>0</v>
      </c>
      <c r="Z28" s="5">
        <v>20</v>
      </c>
      <c r="AA28" s="5">
        <v>20</v>
      </c>
      <c r="AB28" s="5" t="s">
        <v>45</v>
      </c>
      <c r="AC28" s="5" t="s">
        <v>45</v>
      </c>
      <c r="AD28" s="5" t="s">
        <v>45</v>
      </c>
      <c r="AE28" s="5">
        <f>SUM(Table[[#This Row],[Premissa 1]:[Premissa 8]])</f>
        <v>80</v>
      </c>
      <c r="AF28" s="5" t="s">
        <v>13</v>
      </c>
      <c r="AG28" t="s">
        <v>202</v>
      </c>
    </row>
    <row r="29" spans="1:33" ht="15" customHeight="1" x14ac:dyDescent="0.25">
      <c r="A29" s="4">
        <v>7900230155</v>
      </c>
      <c r="B29" s="5" t="str">
        <f>MID(Table[[#This Row],[Ativo]],1,2)</f>
        <v>79</v>
      </c>
      <c r="C29" s="5" t="s">
        <v>204</v>
      </c>
      <c r="D29" s="5" t="s">
        <v>94</v>
      </c>
      <c r="E29" s="5" t="s">
        <v>59</v>
      </c>
      <c r="F29" s="4" t="str">
        <f>IFERROR(_xlfn.XLOOKUP(Table[[#This Row],[Ativo]],Pendentes[COD_RELIGADOR],Pendentes[SS_ORIGINAL]),"CONCLUÍDA")</f>
        <v>ETO-SE-PCM 00090/2026</v>
      </c>
      <c r="G29" s="4" t="s">
        <v>457</v>
      </c>
      <c r="O29" s="4" t="e">
        <f>VLOOKUP(Table[[#This Row],[SS aberta]],SGM!A:M,13,FALSE)</f>
        <v>#N/A</v>
      </c>
      <c r="S29" s="4" t="s">
        <v>459</v>
      </c>
      <c r="T29" s="29" t="s">
        <v>517</v>
      </c>
      <c r="U29" s="31">
        <v>1</v>
      </c>
      <c r="V29" t="str">
        <f>IFERROR(_xlfn.XLOOKUP(Table[[#This Row],[Ativo]],Pendentes[COD_RELIGADOR],Pendentes[DESCRICAO]),"")</f>
        <v>PARECER DA PROTEÇÃO - 17/08/2026:SEGUE NOTA PARA COMISSIONAMENTO JUNTO COM TIME SCADA, EQUIPAMENTO JA NO DESENHO ADMS.ENG° IRLLEY CASTELO BRANCO07/07/2026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v>
      </c>
      <c r="W29" s="5">
        <v>15</v>
      </c>
      <c r="X29" s="5">
        <v>20</v>
      </c>
      <c r="Y29" s="5">
        <v>5</v>
      </c>
      <c r="Z29" s="5">
        <v>15</v>
      </c>
      <c r="AA29" s="5">
        <v>0</v>
      </c>
      <c r="AB29" s="5">
        <v>10</v>
      </c>
      <c r="AC29" s="5">
        <v>0</v>
      </c>
      <c r="AD29" s="5">
        <v>15</v>
      </c>
      <c r="AE29" s="5">
        <f>SUM(Table[[#This Row],[Premissa 1]:[Premissa 8]])</f>
        <v>80</v>
      </c>
      <c r="AF29" s="5" t="s">
        <v>9</v>
      </c>
      <c r="AG29" t="s">
        <v>207</v>
      </c>
    </row>
    <row r="30" spans="1:33" ht="15" customHeight="1" x14ac:dyDescent="0.25">
      <c r="A30" s="4">
        <v>7900543083</v>
      </c>
      <c r="B30" s="5" t="str">
        <f>MID(Table[[#This Row],[Ativo]],1,2)</f>
        <v>79</v>
      </c>
      <c r="C30" s="5" t="s">
        <v>519</v>
      </c>
      <c r="D30" s="5" t="s">
        <v>74</v>
      </c>
      <c r="E30" s="5" t="s">
        <v>51</v>
      </c>
      <c r="F30" s="4" t="str">
        <f>IFERROR(_xlfn.XLOOKUP(Table[[#This Row],[Ativo]],Pendentes[COD_RELIGADOR],Pendentes[SS_ORIGINAL]),"CONCLUÍDA")</f>
        <v>CONCLUÍDA</v>
      </c>
      <c r="O30" s="4" t="e">
        <f>VLOOKUP(Table[[#This Row],[SS aberta]],SGM!A:M,13,FALSE)</f>
        <v>#N/A</v>
      </c>
      <c r="S30" s="4" t="s">
        <v>453</v>
      </c>
      <c r="T30" s="29"/>
      <c r="U30" s="31"/>
      <c r="V30" t="str">
        <f>IFERROR(_xlfn.XLOOKUP(Table[[#This Row],[Ativo]],Pendentes[COD_RELIGADOR],Pendentes[DESCRICAO]),"")</f>
        <v/>
      </c>
      <c r="W30" s="5">
        <v>15</v>
      </c>
      <c r="X30" s="5">
        <v>20</v>
      </c>
      <c r="Y30" s="5">
        <v>5</v>
      </c>
      <c r="Z30" s="5">
        <v>15</v>
      </c>
      <c r="AA30" s="5">
        <v>0</v>
      </c>
      <c r="AB30" s="5">
        <v>0</v>
      </c>
      <c r="AC30" s="5">
        <v>10</v>
      </c>
      <c r="AD30" s="5">
        <v>15</v>
      </c>
      <c r="AE30" s="5">
        <f>SUM(Table[[#This Row],[Premissa 1]:[Premissa 8]])</f>
        <v>80</v>
      </c>
      <c r="AF30" s="5" t="s">
        <v>9</v>
      </c>
      <c r="AG30" t="s">
        <v>520</v>
      </c>
    </row>
    <row r="31" spans="1:33" ht="15" customHeight="1" x14ac:dyDescent="0.25">
      <c r="A31" s="4">
        <v>7900930040</v>
      </c>
      <c r="B31" s="5" t="str">
        <f>MID(Table[[#This Row],[Ativo]],1,2)</f>
        <v>79</v>
      </c>
      <c r="C31" s="5" t="s">
        <v>521</v>
      </c>
      <c r="D31" s="5" t="s">
        <v>69</v>
      </c>
      <c r="E31" s="5" t="s">
        <v>59</v>
      </c>
      <c r="F31" s="4" t="str">
        <f>IFERROR(_xlfn.XLOOKUP(Table[[#This Row],[Ativo]],Pendentes[COD_RELIGADOR],Pendentes[SS_ORIGINAL]),"CONCLUÍDA")</f>
        <v>CONCLUÍDA</v>
      </c>
      <c r="O31" s="4" t="e">
        <f>VLOOKUP(Table[[#This Row],[SS aberta]],SGM!A:M,13,FALSE)</f>
        <v>#N/A</v>
      </c>
      <c r="S31" s="4" t="s">
        <v>453</v>
      </c>
      <c r="T31" s="29"/>
      <c r="U31" s="31"/>
      <c r="V31" t="str">
        <f>IFERROR(_xlfn.XLOOKUP(Table[[#This Row],[Ativo]],Pendentes[COD_RELIGADOR],Pendentes[DESCRICAO]),"")</f>
        <v/>
      </c>
      <c r="W31" s="5">
        <v>15</v>
      </c>
      <c r="X31" s="5">
        <v>20</v>
      </c>
      <c r="Y31" s="5">
        <v>5</v>
      </c>
      <c r="Z31" s="5">
        <v>15</v>
      </c>
      <c r="AA31" s="5">
        <v>0</v>
      </c>
      <c r="AB31" s="5">
        <v>0</v>
      </c>
      <c r="AC31" s="5">
        <v>10</v>
      </c>
      <c r="AD31" s="5">
        <v>15</v>
      </c>
      <c r="AE31" s="5">
        <f>SUM(Table[[#This Row],[Premissa 1]:[Premissa 8]])</f>
        <v>80</v>
      </c>
      <c r="AF31" s="5" t="s">
        <v>9</v>
      </c>
      <c r="AG31" t="s">
        <v>522</v>
      </c>
    </row>
    <row r="32" spans="1:33" ht="15" customHeight="1" x14ac:dyDescent="0.25">
      <c r="A32" s="4">
        <v>7931383086</v>
      </c>
      <c r="B32" s="5" t="str">
        <f>MID(Table[[#This Row],[Ativo]],1,2)</f>
        <v>79</v>
      </c>
      <c r="C32" s="5" t="s">
        <v>523</v>
      </c>
      <c r="D32" s="5" t="s">
        <v>152</v>
      </c>
      <c r="E32" s="5" t="s">
        <v>51</v>
      </c>
      <c r="F32" s="4" t="str">
        <f>IFERROR(_xlfn.XLOOKUP(Table[[#This Row],[Ativo]],Pendentes[COD_RELIGADOR],Pendentes[SS_ORIGINAL]),"CONCLUÍDA")</f>
        <v>CONCLUÍDA</v>
      </c>
      <c r="O32" s="4" t="e">
        <f>VLOOKUP(Table[[#This Row],[SS aberta]],SGM!A:M,13,FALSE)</f>
        <v>#N/A</v>
      </c>
      <c r="S32" s="4" t="s">
        <v>453</v>
      </c>
      <c r="T32" s="29"/>
      <c r="U32" s="31"/>
      <c r="V32" t="str">
        <f>IFERROR(_xlfn.XLOOKUP(Table[[#This Row],[Ativo]],Pendentes[COD_RELIGADOR],Pendentes[DESCRICAO]),"")</f>
        <v/>
      </c>
      <c r="W32" s="5">
        <v>15</v>
      </c>
      <c r="X32" s="5">
        <v>20</v>
      </c>
      <c r="Y32" s="5">
        <v>5</v>
      </c>
      <c r="Z32" s="5">
        <v>15</v>
      </c>
      <c r="AA32" s="5">
        <v>0</v>
      </c>
      <c r="AB32" s="5">
        <v>10</v>
      </c>
      <c r="AC32" s="5">
        <v>0</v>
      </c>
      <c r="AD32" s="5">
        <v>15</v>
      </c>
      <c r="AE32" s="5">
        <f>SUM(Table[[#This Row],[Premissa 1]:[Premissa 8]])</f>
        <v>80</v>
      </c>
      <c r="AF32" s="5" t="s">
        <v>9</v>
      </c>
      <c r="AG32" t="s">
        <v>524</v>
      </c>
    </row>
    <row r="33" spans="1:33" ht="15" customHeight="1" x14ac:dyDescent="0.25">
      <c r="A33" s="5">
        <v>7908302256</v>
      </c>
      <c r="B33" s="5" t="str">
        <f>MID(Table[[#This Row],[Ativo]],1,2)</f>
        <v>79</v>
      </c>
      <c r="C33" s="5" t="s">
        <v>134</v>
      </c>
      <c r="D33" s="5" t="s">
        <v>135</v>
      </c>
      <c r="E33" s="5" t="s">
        <v>51</v>
      </c>
      <c r="F33" s="4" t="str">
        <f>IFERROR(_xlfn.XLOOKUP(Table[[#This Row],[Ativo]],Pendentes[COD_RELIGADOR],Pendentes[SS_ORIGINAL]),"CONCLUÍDA")</f>
        <v>CONCLUÍDA</v>
      </c>
      <c r="G33" s="5"/>
      <c r="H33" s="5"/>
      <c r="I33" s="5"/>
      <c r="J33" s="5"/>
      <c r="K33" s="5"/>
      <c r="L33" s="5"/>
      <c r="M33" s="5"/>
      <c r="N33" s="5"/>
      <c r="O33" s="4" t="e">
        <f>VLOOKUP(Table[[#This Row],[SS aberta]],SGM!A:M,13,FALSE)</f>
        <v>#N/A</v>
      </c>
      <c r="P33" s="5"/>
      <c r="Q33" s="5"/>
      <c r="T33" s="29"/>
      <c r="U33" s="31"/>
      <c r="V33" t="str">
        <f>IFERROR(_xlfn.XLOOKUP(Table[[#This Row],[Ativo]],Pendentes[COD_RELIGADOR],Pendentes[DESCRICAO]),"")</f>
        <v/>
      </c>
      <c r="W33" s="5">
        <v>5</v>
      </c>
      <c r="X33" s="5">
        <v>10</v>
      </c>
      <c r="Y33" s="5">
        <v>5</v>
      </c>
      <c r="Z33" s="5">
        <v>15</v>
      </c>
      <c r="AA33" s="5">
        <v>15</v>
      </c>
      <c r="AB33" s="5">
        <v>10</v>
      </c>
      <c r="AC33" s="5">
        <v>0</v>
      </c>
      <c r="AD33" s="5">
        <v>15</v>
      </c>
      <c r="AE33" s="5">
        <f>SUM(Table[[#This Row],[Premissa 1]:[Premissa 8]])</f>
        <v>75</v>
      </c>
      <c r="AF33" s="5" t="s">
        <v>13</v>
      </c>
      <c r="AG33" t="s">
        <v>528</v>
      </c>
    </row>
    <row r="34" spans="1:33" ht="15" customHeight="1" x14ac:dyDescent="0.25">
      <c r="A34" s="12">
        <v>5800371025</v>
      </c>
      <c r="B34" s="5" t="str">
        <f>MID(Table[[#This Row],[Ativo]],1,2)</f>
        <v>58</v>
      </c>
      <c r="C34" s="5" t="s">
        <v>93</v>
      </c>
      <c r="D34" s="5" t="s">
        <v>94</v>
      </c>
      <c r="E34" s="5" t="s">
        <v>59</v>
      </c>
      <c r="F34" s="4" t="str">
        <f>IFERROR(_xlfn.XLOOKUP(Table[[#This Row],[Ativo]],Pendentes[COD_RELIGADOR],Pendentes[SS_ORIGINAL]),"CONCLUÍDA")</f>
        <v>ETO-TELE 01040/2026</v>
      </c>
      <c r="G34" s="4" t="s">
        <v>464</v>
      </c>
      <c r="I34" s="4" t="s">
        <v>654</v>
      </c>
      <c r="O34" s="4" t="str">
        <f>VLOOKUP(Table[[#This Row],[SS aberta]],SGM!A:M,13,FALSE)</f>
        <v>SS PENDENTE</v>
      </c>
      <c r="R34" s="5" t="s">
        <v>530</v>
      </c>
      <c r="S34" s="4" t="s">
        <v>459</v>
      </c>
      <c r="T34" s="29" t="s">
        <v>484</v>
      </c>
      <c r="U34" s="31">
        <v>1</v>
      </c>
      <c r="V34" t="str">
        <f>IFERROR(_xlfn.XLOOKUP(Table[[#This Row],[Ativo]],Pendentes[COD_RELIGADOR],Pendentes[DESCRICAO]),"")</f>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.Parecer DCMD: foi substituido célula 30/07/2026. o mesmo está liberado para ser colocado em operação</v>
      </c>
      <c r="W34" s="5">
        <v>0</v>
      </c>
      <c r="X34" s="5">
        <v>20</v>
      </c>
      <c r="Y34" s="5">
        <v>20</v>
      </c>
      <c r="Z34" s="5">
        <v>10</v>
      </c>
      <c r="AA34" s="5">
        <v>20</v>
      </c>
      <c r="AB34" s="5" t="s">
        <v>45</v>
      </c>
      <c r="AC34" s="5" t="s">
        <v>45</v>
      </c>
      <c r="AD34" s="5" t="s">
        <v>45</v>
      </c>
      <c r="AE34" s="5">
        <f>SUM(Table[[#This Row],[Premissa 1]:[Premissa 8]])</f>
        <v>70</v>
      </c>
      <c r="AF34" s="5" t="s">
        <v>13</v>
      </c>
      <c r="AG34" t="s">
        <v>97</v>
      </c>
    </row>
    <row r="35" spans="1:33" ht="15" customHeight="1" x14ac:dyDescent="0.25">
      <c r="A35" s="4">
        <v>7926089013</v>
      </c>
      <c r="B35" s="5" t="str">
        <f>MID(Table[[#This Row],[Ativo]],1,2)</f>
        <v>79</v>
      </c>
      <c r="C35" s="5" t="s">
        <v>117</v>
      </c>
      <c r="D35" s="5" t="s">
        <v>117</v>
      </c>
      <c r="E35" s="5" t="s">
        <v>51</v>
      </c>
      <c r="F35" s="4" t="str">
        <f>IFERROR(_xlfn.XLOOKUP(Table[[#This Row],[Ativo]],Pendentes[COD_RELIGADOR],Pendentes[SS_ORIGINAL]),"CONCLUÍDA")</f>
        <v>ETO-COEP 00078/2026</v>
      </c>
      <c r="G35" s="4" t="s">
        <v>472</v>
      </c>
      <c r="O35" s="4" t="e">
        <f>VLOOKUP(Table[[#This Row],[SS aberta]],SGM!A:M,13,FALSE)</f>
        <v>#N/A</v>
      </c>
      <c r="R35" s="4" t="s">
        <v>511</v>
      </c>
      <c r="S35" s="4" t="s">
        <v>474</v>
      </c>
      <c r="T35" s="29" t="s">
        <v>508</v>
      </c>
      <c r="U35" s="31">
        <v>1</v>
      </c>
      <c r="V35" t="str">
        <f>IFERROR(_xlfn.XLOOKUP(Table[[#This Row],[Ativo]],Pendentes[COD_RELIGADOR],Pendentes[DESCRICAO]),"")</f>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v>
      </c>
      <c r="W35" s="5">
        <v>15</v>
      </c>
      <c r="X35" s="5">
        <v>10</v>
      </c>
      <c r="Y35" s="5">
        <v>5</v>
      </c>
      <c r="Z35" s="5">
        <v>15</v>
      </c>
      <c r="AA35" s="5">
        <v>15</v>
      </c>
      <c r="AB35" s="5">
        <v>10</v>
      </c>
      <c r="AC35" s="5">
        <v>0</v>
      </c>
      <c r="AD35" s="5">
        <v>0</v>
      </c>
      <c r="AE35" s="5">
        <f>SUM(Table[[#This Row],[Premissa 1]:[Premissa 8]])</f>
        <v>70</v>
      </c>
      <c r="AF35" s="5" t="s">
        <v>13</v>
      </c>
      <c r="AG35" t="s">
        <v>221</v>
      </c>
    </row>
    <row r="36" spans="1:33" ht="15" customHeight="1" x14ac:dyDescent="0.25">
      <c r="A36" s="4">
        <v>7925087021</v>
      </c>
      <c r="B36" s="5" t="str">
        <f>MID(Table[[#This Row],[Ativo]],1,2)</f>
        <v>79</v>
      </c>
      <c r="C36" s="5" t="s">
        <v>223</v>
      </c>
      <c r="D36" s="5" t="s">
        <v>224</v>
      </c>
      <c r="E36" s="5" t="s">
        <v>42</v>
      </c>
      <c r="F36" s="4" t="str">
        <f>IFERROR(_xlfn.XLOOKUP(Table[[#This Row],[Ativo]],Pendentes[COD_RELIGADOR],Pendentes[SS_ORIGINAL]),"CONCLUÍDA")</f>
        <v>ETO-PROT 00152/2026</v>
      </c>
      <c r="G36" s="4" t="s">
        <v>457</v>
      </c>
      <c r="I36" s="5" t="s">
        <v>654</v>
      </c>
      <c r="O36" s="4" t="e">
        <f>VLOOKUP(Table[[#This Row],[SS aberta]],SGM!A:M,13,FALSE)</f>
        <v>#N/A</v>
      </c>
      <c r="R36" s="38"/>
      <c r="S36" s="4" t="s">
        <v>459</v>
      </c>
      <c r="T36" s="29" t="s">
        <v>508</v>
      </c>
      <c r="U36" s="31">
        <v>1</v>
      </c>
      <c r="V36" t="str">
        <f>IFERROR(_xlfn.XLOOKUP(Table[[#This Row],[Ativo]],Pendentes[COD_RELIGADOR],Pendentes[DESCRICAO]),"")</f>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v>
      </c>
      <c r="W36" s="5">
        <v>15</v>
      </c>
      <c r="X36" s="5">
        <v>10</v>
      </c>
      <c r="Y36" s="5">
        <v>5</v>
      </c>
      <c r="Z36" s="5">
        <v>0</v>
      </c>
      <c r="AA36" s="5">
        <v>15</v>
      </c>
      <c r="AB36" s="5">
        <v>10</v>
      </c>
      <c r="AC36" s="5">
        <v>0</v>
      </c>
      <c r="AD36" s="5">
        <v>15</v>
      </c>
      <c r="AE36" s="5">
        <f>SUM(Table[[#This Row],[Premissa 1]:[Premissa 8]])</f>
        <v>70</v>
      </c>
      <c r="AF36" s="5" t="s">
        <v>13</v>
      </c>
      <c r="AG36" t="s">
        <v>227</v>
      </c>
    </row>
    <row r="37" spans="1:33" ht="15" customHeight="1" x14ac:dyDescent="0.25">
      <c r="A37" s="4">
        <v>5801866013</v>
      </c>
      <c r="B37" s="5" t="str">
        <f>MID(Table[[#This Row],[Ativo]],1,2)</f>
        <v>58</v>
      </c>
      <c r="C37" s="5" t="s">
        <v>117</v>
      </c>
      <c r="D37" s="5" t="s">
        <v>117</v>
      </c>
      <c r="E37" s="5" t="s">
        <v>51</v>
      </c>
      <c r="F37" s="4" t="str">
        <f>IFERROR(_xlfn.XLOOKUP(Table[[#This Row],[Ativo]],Pendentes[COD_RELIGADOR],Pendentes[SS_ORIGINAL]),"CONCLUÍDA")</f>
        <v>ETO-PROT 00151/2026</v>
      </c>
      <c r="G37" s="4" t="s">
        <v>457</v>
      </c>
      <c r="I37" s="5" t="s">
        <v>654</v>
      </c>
      <c r="O37" s="4" t="e">
        <f>VLOOKUP(Table[[#This Row],[SS aberta]],SGM!A:M,13,FALSE)</f>
        <v>#N/A</v>
      </c>
      <c r="R37" s="38"/>
      <c r="S37" s="4" t="s">
        <v>459</v>
      </c>
      <c r="T37" s="29" t="s">
        <v>460</v>
      </c>
      <c r="U37" s="31">
        <v>1</v>
      </c>
      <c r="V37" t="str">
        <f>IFERROR(_xlfn.XLOOKUP(Table[[#This Row],[Ativo]],Pendentes[COD_RELIGADOR],Pendentes[DESCRICAO]),"")</f>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v>
      </c>
      <c r="W37" s="5">
        <v>0</v>
      </c>
      <c r="X37" s="5">
        <v>20</v>
      </c>
      <c r="Y37" s="5">
        <v>20</v>
      </c>
      <c r="Z37" s="5">
        <v>20</v>
      </c>
      <c r="AA37" s="5">
        <v>10</v>
      </c>
      <c r="AB37" s="5" t="s">
        <v>45</v>
      </c>
      <c r="AC37" s="5" t="s">
        <v>45</v>
      </c>
      <c r="AD37" s="5" t="s">
        <v>45</v>
      </c>
      <c r="AE37" s="5">
        <f>SUM(Table[[#This Row],[Premissa 1]:[Premissa 8]])</f>
        <v>70</v>
      </c>
      <c r="AF37" s="5" t="s">
        <v>13</v>
      </c>
      <c r="AG37" t="s">
        <v>231</v>
      </c>
    </row>
    <row r="38" spans="1:33" ht="15" customHeight="1" x14ac:dyDescent="0.25">
      <c r="A38" s="4">
        <v>5865120195</v>
      </c>
      <c r="B38" s="5" t="str">
        <f>MID(Table[[#This Row],[Ativo]],1,2)</f>
        <v>58</v>
      </c>
      <c r="C38" s="5" t="s">
        <v>169</v>
      </c>
      <c r="D38" s="5" t="s">
        <v>106</v>
      </c>
      <c r="E38" s="5" t="s">
        <v>59</v>
      </c>
      <c r="F38" s="4" t="str">
        <f>IFERROR(_xlfn.XLOOKUP(Table[[#This Row],[Ativo]],Pendentes[COD_RELIGADOR],Pendentes[SS_ORIGINAL]),"CONCLUÍDA")</f>
        <v>ETO-SE-PCM 00091/2026</v>
      </c>
      <c r="G38" s="4" t="s">
        <v>457</v>
      </c>
      <c r="O38" s="4" t="e">
        <f>VLOOKUP(Table[[#This Row],[SS aberta]],SGM!A:M,13,FALSE)</f>
        <v>#N/A</v>
      </c>
      <c r="S38" s="4" t="s">
        <v>459</v>
      </c>
      <c r="T38" s="29" t="s">
        <v>533</v>
      </c>
      <c r="U38" s="31">
        <v>1</v>
      </c>
      <c r="V38" t="str">
        <f>IFERROR(_xlfn.XLOOKUP(Table[[#This Row],[Ativo]],Pendentes[COD_RELIGADOR],Pendentes[DESCRICAO]),"")</f>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 - 17/08/2026:FAVOR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v>
      </c>
      <c r="W38" s="5">
        <v>20</v>
      </c>
      <c r="X38" s="5">
        <v>20</v>
      </c>
      <c r="Y38" s="5">
        <v>20</v>
      </c>
      <c r="Z38" s="5">
        <v>10</v>
      </c>
      <c r="AA38" s="5">
        <v>0</v>
      </c>
      <c r="AB38" s="5" t="s">
        <v>45</v>
      </c>
      <c r="AC38" s="5" t="s">
        <v>45</v>
      </c>
      <c r="AD38" s="5" t="s">
        <v>45</v>
      </c>
      <c r="AE38" s="5">
        <f>SUM(Table[[#This Row],[Premissa 1]:[Premissa 8]])</f>
        <v>70</v>
      </c>
      <c r="AF38" s="5" t="s">
        <v>13</v>
      </c>
      <c r="AG38" t="s">
        <v>172</v>
      </c>
    </row>
    <row r="39" spans="1:33" ht="15" customHeight="1" x14ac:dyDescent="0.25">
      <c r="A39" s="12">
        <v>5853360007</v>
      </c>
      <c r="B39" s="5" t="str">
        <f>MID(Table[[#This Row],[Ativo]],1,2)</f>
        <v>58</v>
      </c>
      <c r="C39" s="5" t="s">
        <v>100</v>
      </c>
      <c r="D39" s="5" t="s">
        <v>100</v>
      </c>
      <c r="E39" s="5" t="s">
        <v>51</v>
      </c>
      <c r="F39" s="4" t="str">
        <f>IFERROR(_xlfn.XLOOKUP(Table[[#This Row],[Ativo]],Pendentes[COD_RELIGADOR],Pendentes[SS_ORIGINAL]),"CONCLUÍDA")</f>
        <v>ETO-RD-PS 00323/2025</v>
      </c>
      <c r="G39" s="28" t="s">
        <v>535</v>
      </c>
      <c r="H39" s="28"/>
      <c r="I39" s="28"/>
      <c r="J39" s="28"/>
      <c r="K39" s="28"/>
      <c r="L39" s="28"/>
      <c r="M39" s="28"/>
      <c r="N39" s="28"/>
      <c r="O39" s="4" t="e">
        <f>VLOOKUP(Table[[#This Row],[SS aberta]],SGM!A:M,13,FALSE)</f>
        <v>#N/A</v>
      </c>
      <c r="P39" s="28"/>
      <c r="Q39" s="28"/>
      <c r="R39" s="4" t="s">
        <v>536</v>
      </c>
      <c r="T39" s="29" t="s">
        <v>533</v>
      </c>
      <c r="U39" s="31">
        <v>1</v>
      </c>
      <c r="V39" t="str">
        <f>IFERROR(_xlfn.XLOOKUP(Table[[#This Row],[Ativo]],Pendentes[COD_RELIGADOR],Pendentes[DESCRICAO]),"")</f>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v>
      </c>
      <c r="W39" s="5">
        <v>0</v>
      </c>
      <c r="X39" s="5">
        <v>20</v>
      </c>
      <c r="Y39" s="5">
        <v>20</v>
      </c>
      <c r="Z39" s="5">
        <v>10</v>
      </c>
      <c r="AA39" s="5">
        <v>20</v>
      </c>
      <c r="AB39" s="5" t="s">
        <v>45</v>
      </c>
      <c r="AC39" s="5" t="s">
        <v>45</v>
      </c>
      <c r="AD39" s="5" t="s">
        <v>45</v>
      </c>
      <c r="AE39" s="5">
        <f>SUM(Table[[#This Row],[Premissa 1]:[Premissa 8]])</f>
        <v>70</v>
      </c>
      <c r="AF39" s="5" t="s">
        <v>13</v>
      </c>
      <c r="AG39" t="s">
        <v>241</v>
      </c>
    </row>
    <row r="40" spans="1:33" ht="15" customHeight="1" x14ac:dyDescent="0.25">
      <c r="A40" s="4">
        <v>5800366016</v>
      </c>
      <c r="B40" s="5" t="str">
        <f>MID(Table[[#This Row],[Ativo]],1,2)</f>
        <v>58</v>
      </c>
      <c r="C40" s="5" t="s">
        <v>537</v>
      </c>
      <c r="D40" s="5" t="s">
        <v>259</v>
      </c>
      <c r="E40" s="5" t="s">
        <v>59</v>
      </c>
      <c r="F40" s="4" t="str">
        <f>IFERROR(_xlfn.XLOOKUP(Table[[#This Row],[Ativo]],Pendentes[COD_RELIGADOR],Pendentes[SS_ORIGINAL]),"CONCLUÍDA")</f>
        <v>CONCLUÍDA</v>
      </c>
      <c r="O40" s="4" t="e">
        <f>VLOOKUP(Table[[#This Row],[SS aberta]],SGM!A:M,13,FALSE)</f>
        <v>#N/A</v>
      </c>
      <c r="S40" s="4" t="s">
        <v>453</v>
      </c>
      <c r="T40" s="29"/>
      <c r="U40" s="31"/>
      <c r="V40" t="str">
        <f>IFERROR(_xlfn.XLOOKUP(Table[[#This Row],[Ativo]],Pendentes[COD_RELIGADOR],Pendentes[DESCRICAO]),"")</f>
        <v/>
      </c>
      <c r="W40" s="5">
        <v>0</v>
      </c>
      <c r="X40" s="5">
        <v>20</v>
      </c>
      <c r="Y40" s="5">
        <v>20</v>
      </c>
      <c r="Z40" s="5">
        <v>20</v>
      </c>
      <c r="AA40" s="5">
        <v>10</v>
      </c>
      <c r="AB40" s="5" t="s">
        <v>45</v>
      </c>
      <c r="AC40" s="5" t="s">
        <v>45</v>
      </c>
      <c r="AD40" s="5" t="s">
        <v>45</v>
      </c>
      <c r="AE40" s="5">
        <f>SUM(Table[[#This Row],[Premissa 1]:[Premissa 8]])</f>
        <v>70</v>
      </c>
      <c r="AF40" s="5" t="s">
        <v>13</v>
      </c>
      <c r="AG40" t="s">
        <v>538</v>
      </c>
    </row>
    <row r="41" spans="1:33" ht="15" customHeight="1" x14ac:dyDescent="0.25">
      <c r="A41" s="4">
        <v>7955523028</v>
      </c>
      <c r="B41" s="5" t="str">
        <f>MID(Table[[#This Row],[Ativo]],1,2)</f>
        <v>79</v>
      </c>
      <c r="C41" s="5" t="s">
        <v>403</v>
      </c>
      <c r="D41" s="5" t="s">
        <v>41</v>
      </c>
      <c r="E41" s="5" t="s">
        <v>42</v>
      </c>
      <c r="F41" s="4" t="str">
        <f>IFERROR(_xlfn.XLOOKUP(Table[[#This Row],[Ativo]],Pendentes[COD_RELIGADOR],Pendentes[SS_ORIGINAL]),"CONCLUÍDA")</f>
        <v>CONCLUÍDA</v>
      </c>
      <c r="O41" s="4" t="e">
        <f>VLOOKUP(Table[[#This Row],[SS aberta]],SGM!A:M,13,FALSE)</f>
        <v>#N/A</v>
      </c>
      <c r="S41" s="4" t="s">
        <v>453</v>
      </c>
      <c r="T41" s="29"/>
      <c r="U41" s="31"/>
      <c r="V41" t="str">
        <f>IFERROR(_xlfn.XLOOKUP(Table[[#This Row],[Ativo]],Pendentes[COD_RELIGADOR],Pendentes[DESCRICAO]),"")</f>
        <v/>
      </c>
      <c r="W41" s="5">
        <v>15</v>
      </c>
      <c r="X41" s="5">
        <v>10</v>
      </c>
      <c r="Y41" s="5">
        <v>5</v>
      </c>
      <c r="Z41" s="5">
        <v>15</v>
      </c>
      <c r="AA41" s="5">
        <v>15</v>
      </c>
      <c r="AB41" s="5">
        <v>10</v>
      </c>
      <c r="AC41" s="5">
        <v>0</v>
      </c>
      <c r="AD41" s="5">
        <v>0</v>
      </c>
      <c r="AE41" s="5">
        <f>SUM(Table[[#This Row],[Premissa 1]:[Premissa 8]])</f>
        <v>70</v>
      </c>
      <c r="AF41" s="5" t="s">
        <v>13</v>
      </c>
      <c r="AG41" t="s">
        <v>539</v>
      </c>
    </row>
    <row r="42" spans="1:33" ht="15" customHeight="1" x14ac:dyDescent="0.25">
      <c r="A42" s="4">
        <v>7900573047</v>
      </c>
      <c r="B42" s="5" t="str">
        <f>MID(Table[[#This Row],[Ativo]],1,2)</f>
        <v>79</v>
      </c>
      <c r="C42" s="5" t="s">
        <v>111</v>
      </c>
      <c r="D42" s="5" t="s">
        <v>470</v>
      </c>
      <c r="E42" s="5" t="s">
        <v>42</v>
      </c>
      <c r="F42" s="4" t="str">
        <f>IFERROR(_xlfn.XLOOKUP(Table[[#This Row],[Ativo]],Pendentes[COD_RELIGADOR],Pendentes[SS_ORIGINAL]),"CONCLUÍDA")</f>
        <v>ETO-PROT 00153/2026</v>
      </c>
      <c r="G42" s="4" t="s">
        <v>457</v>
      </c>
      <c r="I42" s="5" t="s">
        <v>654</v>
      </c>
      <c r="O42" s="4" t="e">
        <f>VLOOKUP(Table[[#This Row],[SS aberta]],SGM!A:M,13,FALSE)</f>
        <v>#N/A</v>
      </c>
      <c r="R42" s="38"/>
      <c r="S42" s="4" t="s">
        <v>459</v>
      </c>
      <c r="T42" s="29" t="s">
        <v>475</v>
      </c>
      <c r="U42" s="31">
        <v>1</v>
      </c>
      <c r="V42" t="str">
        <f>IFERROR(_xlfn.XLOOKUP(Table[[#This Row],[Ativo]],Pendentes[COD_RELIGADOR],Pendentes[DESCRICAO]),"")</f>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v>
      </c>
      <c r="W42" s="5">
        <v>5</v>
      </c>
      <c r="X42" s="5">
        <v>5</v>
      </c>
      <c r="Y42" s="5">
        <v>15</v>
      </c>
      <c r="Z42" s="5">
        <v>0</v>
      </c>
      <c r="AA42" s="5">
        <v>15</v>
      </c>
      <c r="AB42" s="5">
        <v>10</v>
      </c>
      <c r="AC42" s="5">
        <v>0</v>
      </c>
      <c r="AD42" s="5">
        <v>15</v>
      </c>
      <c r="AE42" s="5">
        <f>SUM(Table[[#This Row],[Premissa 1]:[Premissa 8]])</f>
        <v>65</v>
      </c>
      <c r="AF42" s="5" t="s">
        <v>13</v>
      </c>
      <c r="AG42" t="s">
        <v>123</v>
      </c>
    </row>
    <row r="43" spans="1:33" ht="15" customHeight="1" x14ac:dyDescent="0.25">
      <c r="A43" s="4">
        <v>7953610256</v>
      </c>
      <c r="B43" s="5" t="str">
        <f>MID(Table[[#This Row],[Ativo]],1,2)</f>
        <v>79</v>
      </c>
      <c r="C43" s="5" t="s">
        <v>134</v>
      </c>
      <c r="D43" s="5" t="s">
        <v>135</v>
      </c>
      <c r="E43" s="5" t="s">
        <v>51</v>
      </c>
      <c r="F43" s="4" t="str">
        <f>IFERROR(_xlfn.XLOOKUP(Table[[#This Row],[Ativo]],Pendentes[COD_RELIGADOR],Pendentes[SS_ORIGINAL]),"CONCLUÍDA")</f>
        <v>ETO-PROT 00157/2026</v>
      </c>
      <c r="G43" s="5" t="s">
        <v>457</v>
      </c>
      <c r="H43" s="5"/>
      <c r="I43" s="5" t="s">
        <v>654</v>
      </c>
      <c r="J43" s="5"/>
      <c r="K43" s="5"/>
      <c r="L43" s="5"/>
      <c r="M43" s="5"/>
      <c r="N43" s="5"/>
      <c r="O43" s="4" t="e">
        <f>VLOOKUP(Table[[#This Row],[SS aberta]],SGM!A:M,13,FALSE)</f>
        <v>#N/A</v>
      </c>
      <c r="P43" s="5"/>
      <c r="Q43" s="5"/>
      <c r="R43" s="4" t="s">
        <v>458</v>
      </c>
      <c r="T43" s="29" t="s">
        <v>489</v>
      </c>
      <c r="U43" s="31">
        <v>1</v>
      </c>
      <c r="V43" t="str">
        <f>IFERROR(_xlfn.XLOOKUP(Table[[#This Row],[Ativo]],Pendentes[COD_RELIGADOR],Pendentes[DESCRICAO]),"")</f>
        <v>24/07/2026 - PARECE COCM: EQUIPAMENTO SUBSTIUIDO NA OS:ETO-RD-PO 2020/202614/07/2026 -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v>
      </c>
      <c r="W43" s="5">
        <v>5</v>
      </c>
      <c r="X43" s="5">
        <v>5</v>
      </c>
      <c r="Y43" s="5">
        <v>15</v>
      </c>
      <c r="Z43" s="5">
        <v>15</v>
      </c>
      <c r="AA43" s="5">
        <v>0</v>
      </c>
      <c r="AB43" s="5">
        <v>0</v>
      </c>
      <c r="AC43" s="5">
        <v>10</v>
      </c>
      <c r="AD43" s="5">
        <v>15</v>
      </c>
      <c r="AE43" s="5">
        <f>SUM(Table[[#This Row],[Premissa 1]:[Premissa 8]])</f>
        <v>65</v>
      </c>
      <c r="AF43" s="5" t="s">
        <v>13</v>
      </c>
      <c r="AG43" t="s">
        <v>244</v>
      </c>
    </row>
    <row r="44" spans="1:33" ht="15" customHeight="1" x14ac:dyDescent="0.25">
      <c r="A44" s="4">
        <v>5800438116</v>
      </c>
      <c r="B44" s="5" t="str">
        <f>MID(Table[[#This Row],[Ativo]],1,2)</f>
        <v>58</v>
      </c>
      <c r="C44" s="5" t="s">
        <v>215</v>
      </c>
      <c r="D44" s="5" t="s">
        <v>41</v>
      </c>
      <c r="E44" s="5" t="s">
        <v>42</v>
      </c>
      <c r="F44" s="4" t="str">
        <f>IFERROR(_xlfn.XLOOKUP(Table[[#This Row],[Ativo]],Pendentes[COD_RELIGADOR],Pendentes[SS_ORIGINAL]),"CONCLUÍDA")</f>
        <v>CONCLUÍDA</v>
      </c>
      <c r="O44" s="4" t="e">
        <f>VLOOKUP(Table[[#This Row],[SS aberta]],SGM!A:M,13,FALSE)</f>
        <v>#N/A</v>
      </c>
      <c r="R44" s="4" t="s">
        <v>544</v>
      </c>
      <c r="S44" s="4" t="s">
        <v>459</v>
      </c>
      <c r="T44" s="29" t="s">
        <v>460</v>
      </c>
      <c r="U44" s="31">
        <v>2</v>
      </c>
      <c r="V44" t="str">
        <f>IFERROR(_xlfn.XLOOKUP(Table[[#This Row],[Ativo]],Pendentes[COD_RELIGADOR],Pendentes[DESCRICAO]),"")</f>
        <v/>
      </c>
      <c r="W44" s="5">
        <v>0</v>
      </c>
      <c r="X44" s="5">
        <v>20</v>
      </c>
      <c r="Y44" s="5">
        <v>20</v>
      </c>
      <c r="Z44" s="5">
        <v>20</v>
      </c>
      <c r="AA44" s="5">
        <v>0</v>
      </c>
      <c r="AB44" s="5" t="s">
        <v>45</v>
      </c>
      <c r="AC44" s="5" t="s">
        <v>45</v>
      </c>
      <c r="AD44" s="5" t="s">
        <v>45</v>
      </c>
      <c r="AE44" s="5">
        <f>SUM(Table[[#This Row],[Premissa 1]:[Premissa 8]])</f>
        <v>60</v>
      </c>
      <c r="AF44" s="5" t="s">
        <v>14</v>
      </c>
      <c r="AG44" t="s">
        <v>546</v>
      </c>
    </row>
    <row r="45" spans="1:33" ht="15" customHeight="1" x14ac:dyDescent="0.25">
      <c r="A45" s="4">
        <v>5800090147</v>
      </c>
      <c r="B45" s="5" t="str">
        <f>MID(Table[[#This Row],[Ativo]],1,2)</f>
        <v>58</v>
      </c>
      <c r="C45" s="5" t="s">
        <v>547</v>
      </c>
      <c r="D45" s="5" t="s">
        <v>41</v>
      </c>
      <c r="E45" s="5" t="s">
        <v>42</v>
      </c>
      <c r="F45" s="4" t="str">
        <f>IFERROR(_xlfn.XLOOKUP(Table[[#This Row],[Ativo]],Pendentes[COD_RELIGADOR],Pendentes[SS_ORIGINAL]),"CONCLUÍDA")</f>
        <v>CONCLUÍDA</v>
      </c>
      <c r="O45" s="4" t="e">
        <f>VLOOKUP(Table[[#This Row],[SS aberta]],SGM!A:M,13,FALSE)</f>
        <v>#N/A</v>
      </c>
      <c r="S45" s="4" t="s">
        <v>453</v>
      </c>
      <c r="T45" s="29"/>
      <c r="U45" s="31"/>
      <c r="V45" t="str">
        <f>IFERROR(_xlfn.XLOOKUP(Table[[#This Row],[Ativo]],Pendentes[COD_RELIGADOR],Pendentes[DESCRICAO]),"")</f>
        <v/>
      </c>
      <c r="W45" s="5">
        <v>0</v>
      </c>
      <c r="X45" s="5">
        <v>20</v>
      </c>
      <c r="Y45" s="5">
        <v>20</v>
      </c>
      <c r="Z45" s="5">
        <v>10</v>
      </c>
      <c r="AA45" s="5">
        <v>10</v>
      </c>
      <c r="AB45" s="5" t="s">
        <v>45</v>
      </c>
      <c r="AC45" s="5" t="s">
        <v>45</v>
      </c>
      <c r="AD45" s="5" t="s">
        <v>45</v>
      </c>
      <c r="AE45" s="5">
        <f>SUM(Table[[#This Row],[Premissa 1]:[Premissa 8]])</f>
        <v>60</v>
      </c>
      <c r="AF45" s="5" t="s">
        <v>14</v>
      </c>
      <c r="AG45" t="s">
        <v>548</v>
      </c>
    </row>
    <row r="46" spans="1:33" ht="15" customHeight="1" x14ac:dyDescent="0.25">
      <c r="A46" s="4">
        <v>5840227063</v>
      </c>
      <c r="B46" s="5" t="str">
        <f>MID(Table[[#This Row],[Ativo]],1,2)</f>
        <v>58</v>
      </c>
      <c r="C46" s="5" t="s">
        <v>147</v>
      </c>
      <c r="D46" s="5" t="s">
        <v>94</v>
      </c>
      <c r="E46" s="5" t="s">
        <v>59</v>
      </c>
      <c r="F46" s="4" t="str">
        <f>IFERROR(_xlfn.XLOOKUP(Table[[#This Row],[Ativo]],Pendentes[COD_RELIGADOR],Pendentes[SS_ORIGINAL]),"CONCLUÍDA")</f>
        <v>ETO-COEP 00151/2026</v>
      </c>
      <c r="G46" s="4" t="s">
        <v>472</v>
      </c>
      <c r="O46" s="4" t="e">
        <f>VLOOKUP(Table[[#This Row],[SS aberta]],SGM!A:M,13,FALSE)</f>
        <v>#N/A</v>
      </c>
      <c r="S46" s="4" t="s">
        <v>474</v>
      </c>
      <c r="T46" s="29" t="s">
        <v>460</v>
      </c>
      <c r="U46" s="31">
        <v>1</v>
      </c>
      <c r="V46" t="str">
        <f>IFERROR(_xlfn.XLOOKUP(Table[[#This Row],[Ativo]],Pendentes[COD_RELIGADOR],Pendentes[DESCRICAO]),"")</f>
        <v>PARECER COEP 27/07/2026 : EM PROCESSO DE AQUISIÇÃOPARECER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v>
      </c>
      <c r="W46" s="5">
        <v>0</v>
      </c>
      <c r="X46" s="5">
        <v>20</v>
      </c>
      <c r="Y46" s="5">
        <v>20</v>
      </c>
      <c r="Z46" s="5">
        <v>10</v>
      </c>
      <c r="AA46" s="5">
        <v>10</v>
      </c>
      <c r="AB46" s="5" t="s">
        <v>45</v>
      </c>
      <c r="AC46" s="5" t="s">
        <v>45</v>
      </c>
      <c r="AD46" s="5" t="s">
        <v>45</v>
      </c>
      <c r="AE46" s="5">
        <f>SUM(Table[[#This Row],[Premissa 1]:[Premissa 8]])</f>
        <v>60</v>
      </c>
      <c r="AF46" s="5" t="s">
        <v>14</v>
      </c>
      <c r="AG46" t="s">
        <v>150</v>
      </c>
    </row>
    <row r="47" spans="1:33" ht="15" customHeight="1" x14ac:dyDescent="0.25">
      <c r="A47" s="4">
        <v>5846328094</v>
      </c>
      <c r="B47" s="5" t="str">
        <f>MID(Table[[#This Row],[Ativo]],1,2)</f>
        <v>58</v>
      </c>
      <c r="C47" s="5" t="s">
        <v>224</v>
      </c>
      <c r="D47" s="5" t="s">
        <v>224</v>
      </c>
      <c r="E47" s="5" t="s">
        <v>42</v>
      </c>
      <c r="F47" s="4" t="str">
        <f>IFERROR(_xlfn.XLOOKUP(Table[[#This Row],[Ativo]],Pendentes[COD_RELIGADOR],Pendentes[SS_ORIGINAL]),"CONCLUÍDA")</f>
        <v>ETO-TELE 00986/2026</v>
      </c>
      <c r="G47" s="4" t="s">
        <v>464</v>
      </c>
      <c r="I47" s="4" t="s">
        <v>654</v>
      </c>
      <c r="O47" s="4" t="str">
        <f>VLOOKUP(Table[[#This Row],[SS aberta]],SGM!A:M,13,FALSE)</f>
        <v>SS PENDENTE</v>
      </c>
      <c r="P47" s="9">
        <v>46258</v>
      </c>
      <c r="S47" s="4" t="s">
        <v>459</v>
      </c>
      <c r="T47" s="29" t="s">
        <v>533</v>
      </c>
      <c r="U47" s="31">
        <v>1</v>
      </c>
      <c r="V47" t="str">
        <f>IFERROR(_xlfn.XLOOKUP(Table[[#This Row],[Ativo]],Pendentes[COD_RELIGADOR],Pendentes[DESCRICAO]),"")</f>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v>
      </c>
      <c r="W47" s="5">
        <v>0</v>
      </c>
      <c r="X47" s="5">
        <v>20</v>
      </c>
      <c r="Y47" s="5">
        <v>20</v>
      </c>
      <c r="Z47" s="5">
        <v>10</v>
      </c>
      <c r="AA47" s="5">
        <v>10</v>
      </c>
      <c r="AB47" s="5" t="s">
        <v>45</v>
      </c>
      <c r="AC47" s="5" t="s">
        <v>45</v>
      </c>
      <c r="AD47" s="5" t="s">
        <v>45</v>
      </c>
      <c r="AE47" s="5">
        <f>SUM(Table[[#This Row],[Premissa 1]:[Premissa 8]])</f>
        <v>60</v>
      </c>
      <c r="AF47" s="5" t="s">
        <v>14</v>
      </c>
      <c r="AG47" t="s">
        <v>251</v>
      </c>
    </row>
    <row r="48" spans="1:33" ht="15" customHeight="1" x14ac:dyDescent="0.25">
      <c r="A48" s="4">
        <v>5851753086</v>
      </c>
      <c r="B48" s="5" t="str">
        <f>MID(Table[[#This Row],[Ativo]],1,2)</f>
        <v>58</v>
      </c>
      <c r="C48" s="5" t="s">
        <v>523</v>
      </c>
      <c r="D48" s="5" t="s">
        <v>152</v>
      </c>
      <c r="E48" s="5" t="s">
        <v>51</v>
      </c>
      <c r="F48" s="4" t="str">
        <f>IFERROR(_xlfn.XLOOKUP(Table[[#This Row],[Ativo]],Pendentes[COD_RELIGADOR],Pendentes[SS_ORIGINAL]),"CONCLUÍDA")</f>
        <v>CONCLUÍDA</v>
      </c>
      <c r="O48" s="4" t="e">
        <f>VLOOKUP(Table[[#This Row],[SS aberta]],SGM!A:M,13,FALSE)</f>
        <v>#N/A</v>
      </c>
      <c r="S48" s="4" t="s">
        <v>459</v>
      </c>
      <c r="T48" s="29" t="s">
        <v>533</v>
      </c>
      <c r="U48" s="31">
        <v>1</v>
      </c>
      <c r="V48" t="str">
        <f>IFERROR(_xlfn.XLOOKUP(Table[[#This Row],[Ativo]],Pendentes[COD_RELIGADOR],Pendentes[DESCRICAO]),"")</f>
        <v/>
      </c>
      <c r="W48" s="5">
        <v>0</v>
      </c>
      <c r="X48" s="5">
        <v>20</v>
      </c>
      <c r="Y48" s="5">
        <v>20</v>
      </c>
      <c r="Z48" s="5">
        <v>10</v>
      </c>
      <c r="AA48" s="5">
        <v>10</v>
      </c>
      <c r="AB48" s="5" t="s">
        <v>45</v>
      </c>
      <c r="AC48" s="5" t="s">
        <v>45</v>
      </c>
      <c r="AD48" s="5" t="s">
        <v>45</v>
      </c>
      <c r="AE48" s="5">
        <f>SUM(Table[[#This Row],[Premissa 1]:[Premissa 8]])</f>
        <v>60</v>
      </c>
      <c r="AF48" s="5" t="s">
        <v>14</v>
      </c>
      <c r="AG48" t="s">
        <v>553</v>
      </c>
    </row>
    <row r="49" spans="1:33" ht="15" customHeight="1" x14ac:dyDescent="0.25">
      <c r="A49" s="4">
        <v>7903112004</v>
      </c>
      <c r="B49" s="5" t="str">
        <f>MID(Table[[#This Row],[Ativo]],1,2)</f>
        <v>79</v>
      </c>
      <c r="C49" s="5" t="s">
        <v>69</v>
      </c>
      <c r="D49" s="5" t="s">
        <v>69</v>
      </c>
      <c r="E49" s="5" t="s">
        <v>59</v>
      </c>
      <c r="F49" s="4" t="str">
        <f>IFERROR(_xlfn.XLOOKUP(Table[[#This Row],[Ativo]],Pendentes[COD_RELIGADOR],Pendentes[SS_ORIGINAL]),"CONCLUÍDA")</f>
        <v>ETO-COEP 00184/2025</v>
      </c>
      <c r="G49" s="4" t="s">
        <v>472</v>
      </c>
      <c r="O49" s="4" t="e">
        <f>VLOOKUP(Table[[#This Row],[SS aberta]],SGM!A:M,13,FALSE)</f>
        <v>#N/A</v>
      </c>
      <c r="R49" s="4" t="s">
        <v>507</v>
      </c>
      <c r="S49" s="4" t="s">
        <v>459</v>
      </c>
      <c r="T49" s="29" t="s">
        <v>508</v>
      </c>
      <c r="U49" s="31">
        <v>1</v>
      </c>
      <c r="V49" t="str">
        <f>IFERROR(_xlfn.XLOOKUP(Table[[#This Row],[Ativo]],Pendentes[COD_RELIGADOR],Pendentes[DESCRICAO]),"")</f>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v>
      </c>
      <c r="W49" s="5">
        <v>15</v>
      </c>
      <c r="X49" s="5">
        <v>10</v>
      </c>
      <c r="Y49" s="5">
        <v>5</v>
      </c>
      <c r="Z49" s="5">
        <v>15</v>
      </c>
      <c r="AA49" s="5">
        <v>0</v>
      </c>
      <c r="AB49" s="5">
        <v>10</v>
      </c>
      <c r="AC49" s="5">
        <v>0</v>
      </c>
      <c r="AD49" s="5">
        <v>0</v>
      </c>
      <c r="AE49" s="5">
        <f>SUM(Table[[#This Row],[Premissa 1]:[Premissa 8]])</f>
        <v>55</v>
      </c>
      <c r="AF49" s="5" t="s">
        <v>13</v>
      </c>
      <c r="AG49" t="s">
        <v>81</v>
      </c>
    </row>
    <row r="50" spans="1:33" ht="15" customHeight="1" x14ac:dyDescent="0.25">
      <c r="A50" s="4">
        <v>7920024127</v>
      </c>
      <c r="B50" s="5" t="str">
        <f>MID(Table[[#This Row],[Ativo]],1,2)</f>
        <v>79</v>
      </c>
      <c r="C50" s="5" t="s">
        <v>258</v>
      </c>
      <c r="D50" s="5" t="s">
        <v>259</v>
      </c>
      <c r="E50" s="5" t="s">
        <v>59</v>
      </c>
      <c r="F50" s="4" t="str">
        <f>IFERROR(_xlfn.XLOOKUP(Table[[#This Row],[Ativo]],Pendentes[COD_RELIGADOR],Pendentes[SS_ORIGINAL]),"CONCLUÍDA")</f>
        <v>ETO-COEP 00120/2025</v>
      </c>
      <c r="G50" s="4" t="s">
        <v>472</v>
      </c>
      <c r="O50" s="4" t="e">
        <f>VLOOKUP(Table[[#This Row],[SS aberta]],SGM!A:M,13,FALSE)</f>
        <v>#N/A</v>
      </c>
      <c r="S50" s="4" t="s">
        <v>474</v>
      </c>
      <c r="T50" s="29" t="s">
        <v>555</v>
      </c>
      <c r="U50" s="31">
        <v>1</v>
      </c>
      <c r="V50" t="str">
        <f>IFERROR(_xlfn.XLOOKUP(Table[[#This Row],[Ativo]],Pendentes[COD_RELIGADOR],Pendentes[DESCRICAO]),"")</f>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v>
      </c>
      <c r="W50" s="5">
        <v>15</v>
      </c>
      <c r="X50" s="5">
        <v>10</v>
      </c>
      <c r="Y50" s="5">
        <v>5</v>
      </c>
      <c r="Z50" s="5">
        <v>15</v>
      </c>
      <c r="AA50" s="5">
        <v>0</v>
      </c>
      <c r="AB50" s="5">
        <v>10</v>
      </c>
      <c r="AC50" s="5">
        <v>0</v>
      </c>
      <c r="AD50" s="5">
        <v>0</v>
      </c>
      <c r="AE50" s="5">
        <f>SUM(Table[[#This Row],[Premissa 1]:[Premissa 8]])</f>
        <v>55</v>
      </c>
      <c r="AF50" s="5" t="s">
        <v>13</v>
      </c>
      <c r="AG50" t="s">
        <v>262</v>
      </c>
    </row>
    <row r="51" spans="1:33" ht="15" customHeight="1" x14ac:dyDescent="0.25">
      <c r="A51" s="4">
        <v>7927646026</v>
      </c>
      <c r="B51" s="5" t="str">
        <f>MID(Table[[#This Row],[Ativo]],1,2)</f>
        <v>79</v>
      </c>
      <c r="C51" s="5" t="s">
        <v>135</v>
      </c>
      <c r="D51" s="5" t="s">
        <v>135</v>
      </c>
      <c r="E51" s="5" t="s">
        <v>51</v>
      </c>
      <c r="F51" s="4" t="str">
        <f>IFERROR(_xlfn.XLOOKUP(Table[[#This Row],[Ativo]],Pendentes[COD_RELIGADOR],Pendentes[SS_ORIGINAL]),"CONCLUÍDA")</f>
        <v>ETO-COEP 00029/2026</v>
      </c>
      <c r="G51" s="4" t="s">
        <v>472</v>
      </c>
      <c r="O51" s="4" t="e">
        <f>VLOOKUP(Table[[#This Row],[SS aberta]],SGM!A:M,13,FALSE)</f>
        <v>#N/A</v>
      </c>
      <c r="S51" s="4" t="s">
        <v>474</v>
      </c>
      <c r="T51" s="29" t="s">
        <v>508</v>
      </c>
      <c r="U51" s="31">
        <v>1</v>
      </c>
      <c r="V51" t="str">
        <f>IFERROR(_xlfn.XLOOKUP(Table[[#This Row],[Ativo]],Pendentes[COD_RELIGADOR],Pendentes[DESCRICAO]),"")</f>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v>
      </c>
      <c r="W51" s="5">
        <v>15</v>
      </c>
      <c r="X51" s="5">
        <v>10</v>
      </c>
      <c r="Y51" s="5">
        <v>5</v>
      </c>
      <c r="Z51" s="5">
        <v>0</v>
      </c>
      <c r="AA51" s="5">
        <v>15</v>
      </c>
      <c r="AB51" s="5">
        <v>0</v>
      </c>
      <c r="AC51" s="5">
        <v>10</v>
      </c>
      <c r="AD51" s="5">
        <v>0</v>
      </c>
      <c r="AE51" s="5">
        <f>SUM(Table[[#This Row],[Premissa 1]:[Premissa 8]])</f>
        <v>55</v>
      </c>
      <c r="AF51" s="5" t="s">
        <v>13</v>
      </c>
      <c r="AG51" t="s">
        <v>269</v>
      </c>
    </row>
    <row r="52" spans="1:33" ht="15" customHeight="1" x14ac:dyDescent="0.25">
      <c r="A52" s="4">
        <v>7927169001</v>
      </c>
      <c r="B52" s="5" t="str">
        <f>MID(Table[[#This Row],[Ativo]],1,2)</f>
        <v>79</v>
      </c>
      <c r="C52" s="5" t="s">
        <v>50</v>
      </c>
      <c r="D52" s="5" t="s">
        <v>50</v>
      </c>
      <c r="E52" s="5" t="s">
        <v>51</v>
      </c>
      <c r="F52" s="4" t="str">
        <f>IFERROR(_xlfn.XLOOKUP(Table[[#This Row],[Ativo]],Pendentes[COD_RELIGADOR],Pendentes[SS_ORIGINAL]),"CONCLUÍDA")</f>
        <v>ETO-PROT 00156/2026</v>
      </c>
      <c r="G52" s="4" t="s">
        <v>457</v>
      </c>
      <c r="I52" s="5" t="s">
        <v>654</v>
      </c>
      <c r="O52" s="4" t="e">
        <f>VLOOKUP(Table[[#This Row],[SS aberta]],SGM!A:M,13,FALSE)</f>
        <v>#N/A</v>
      </c>
      <c r="R52" s="38"/>
      <c r="S52" s="4" t="s">
        <v>459</v>
      </c>
      <c r="T52" s="29" t="s">
        <v>508</v>
      </c>
      <c r="U52" s="31"/>
      <c r="V52" t="str">
        <f>IFERROR(_xlfn.XLOOKUP(Table[[#This Row],[Ativo]],Pendentes[COD_RELIGADOR],Pendentes[DESCRICAO]),"")</f>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v>
      </c>
      <c r="W52" s="5">
        <v>5</v>
      </c>
      <c r="X52" s="5">
        <v>5</v>
      </c>
      <c r="Y52" s="5">
        <v>15</v>
      </c>
      <c r="Z52" s="5">
        <v>0</v>
      </c>
      <c r="AA52" s="5">
        <v>15</v>
      </c>
      <c r="AB52" s="5">
        <v>0</v>
      </c>
      <c r="AC52" s="5">
        <v>0</v>
      </c>
      <c r="AD52" s="5">
        <v>15</v>
      </c>
      <c r="AE52" s="5">
        <f>SUM(Table[[#This Row],[Premissa 1]:[Premissa 8]])</f>
        <v>55</v>
      </c>
      <c r="AF52" s="5" t="s">
        <v>13</v>
      </c>
      <c r="AG52" t="s">
        <v>272</v>
      </c>
    </row>
    <row r="53" spans="1:33" ht="15" customHeight="1" x14ac:dyDescent="0.25">
      <c r="A53" s="4">
        <v>7900018004</v>
      </c>
      <c r="B53" s="5" t="str">
        <f>MID(Table[[#This Row],[Ativo]],1,2)</f>
        <v>79</v>
      </c>
      <c r="C53" s="5" t="s">
        <v>69</v>
      </c>
      <c r="D53" s="5" t="s">
        <v>69</v>
      </c>
      <c r="E53" s="5" t="s">
        <v>59</v>
      </c>
      <c r="F53" s="4" t="str">
        <f>IFERROR(_xlfn.XLOOKUP(Table[[#This Row],[Ativo]],Pendentes[COD_RELIGADOR],Pendentes[SS_ORIGINAL]),"CONCLUÍDA")</f>
        <v>CONCLUÍDA</v>
      </c>
      <c r="O53" s="4" t="e">
        <f>VLOOKUP(Table[[#This Row],[SS aberta]],SGM!A:M,13,FALSE)</f>
        <v>#N/A</v>
      </c>
      <c r="S53" s="4" t="s">
        <v>453</v>
      </c>
      <c r="T53" s="29"/>
      <c r="U53" s="31"/>
      <c r="V53" t="str">
        <f>IFERROR(_xlfn.XLOOKUP(Table[[#This Row],[Ativo]],Pendentes[COD_RELIGADOR],Pendentes[DESCRICAO]),"")</f>
        <v/>
      </c>
      <c r="W53" s="5">
        <v>15</v>
      </c>
      <c r="X53" s="5">
        <v>10</v>
      </c>
      <c r="Y53" s="5">
        <v>5</v>
      </c>
      <c r="Z53" s="5">
        <v>15</v>
      </c>
      <c r="AA53" s="5">
        <v>0</v>
      </c>
      <c r="AB53" s="5">
        <v>10</v>
      </c>
      <c r="AC53" s="5">
        <v>0</v>
      </c>
      <c r="AD53" s="5">
        <v>0</v>
      </c>
      <c r="AE53" s="5">
        <f>SUM(Table[[#This Row],[Premissa 1]:[Premissa 8]])</f>
        <v>55</v>
      </c>
      <c r="AF53" s="5" t="s">
        <v>13</v>
      </c>
      <c r="AG53" t="s">
        <v>556</v>
      </c>
    </row>
    <row r="54" spans="1:33" ht="15" customHeight="1" x14ac:dyDescent="0.25">
      <c r="A54" s="4">
        <v>7934698002</v>
      </c>
      <c r="B54" s="5" t="str">
        <f>MID(Table[[#This Row],[Ativo]],1,2)</f>
        <v>79</v>
      </c>
      <c r="C54" s="5" t="s">
        <v>259</v>
      </c>
      <c r="D54" s="5" t="s">
        <v>259</v>
      </c>
      <c r="E54" s="5" t="s">
        <v>59</v>
      </c>
      <c r="F54" s="4" t="str">
        <f>IFERROR(_xlfn.XLOOKUP(Table[[#This Row],[Ativo]],Pendentes[COD_RELIGADOR],Pendentes[SS_ORIGINAL]),"CONCLUÍDA")</f>
        <v>CONCLUÍDA</v>
      </c>
      <c r="O54" s="4" t="e">
        <f>VLOOKUP(Table[[#This Row],[SS aberta]],SGM!A:M,13,FALSE)</f>
        <v>#N/A</v>
      </c>
      <c r="S54" s="4" t="s">
        <v>453</v>
      </c>
      <c r="T54" s="29"/>
      <c r="U54" s="31"/>
      <c r="V54" t="str">
        <f>IFERROR(_xlfn.XLOOKUP(Table[[#This Row],[Ativo]],Pendentes[COD_RELIGADOR],Pendentes[DESCRICAO]),"")</f>
        <v/>
      </c>
      <c r="W54" s="5">
        <v>5</v>
      </c>
      <c r="X54" s="5">
        <v>5</v>
      </c>
      <c r="Y54" s="5">
        <v>5</v>
      </c>
      <c r="Z54" s="5">
        <v>0</v>
      </c>
      <c r="AA54" s="5">
        <v>15</v>
      </c>
      <c r="AB54" s="5">
        <v>0</v>
      </c>
      <c r="AC54" s="5">
        <v>10</v>
      </c>
      <c r="AD54" s="5">
        <v>15</v>
      </c>
      <c r="AE54" s="5">
        <f>SUM(Table[[#This Row],[Premissa 1]:[Premissa 8]])</f>
        <v>55</v>
      </c>
      <c r="AF54" s="5" t="s">
        <v>13</v>
      </c>
      <c r="AG54" t="s">
        <v>557</v>
      </c>
    </row>
    <row r="55" spans="1:33" ht="15" customHeight="1" x14ac:dyDescent="0.25">
      <c r="A55" s="4">
        <v>7930428001</v>
      </c>
      <c r="B55" s="5" t="str">
        <f>MID(Table[[#This Row],[Ativo]],1,2)</f>
        <v>79</v>
      </c>
      <c r="C55" s="5" t="s">
        <v>50</v>
      </c>
      <c r="D55" s="5" t="s">
        <v>50</v>
      </c>
      <c r="E55" s="5" t="s">
        <v>51</v>
      </c>
      <c r="F55" s="4" t="str">
        <f>IFERROR(_xlfn.XLOOKUP(Table[[#This Row],[Ativo]],Pendentes[COD_RELIGADOR],Pendentes[SS_ORIGINAL]),"CONCLUÍDA")</f>
        <v>ETO-COEP 00150/2026</v>
      </c>
      <c r="G55" s="4" t="s">
        <v>472</v>
      </c>
      <c r="O55" s="4" t="e">
        <f>VLOOKUP(Table[[#This Row],[SS aberta]],SGM!A:M,13,FALSE)</f>
        <v>#N/A</v>
      </c>
      <c r="S55" s="4" t="s">
        <v>474</v>
      </c>
      <c r="T55" s="29" t="s">
        <v>508</v>
      </c>
      <c r="U55" s="31">
        <v>1</v>
      </c>
      <c r="V55" t="str">
        <f>IFERROR(_xlfn.XLOOKUP(Table[[#This Row],[Ativo]],Pendentes[COD_RELIGADOR],Pendentes[DESCRICAO]),"")</f>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v>
      </c>
      <c r="W55" s="5">
        <v>5</v>
      </c>
      <c r="X55" s="5">
        <v>5</v>
      </c>
      <c r="Y55" s="5">
        <v>15</v>
      </c>
      <c r="Z55" s="5">
        <v>0</v>
      </c>
      <c r="AA55" s="5">
        <v>15</v>
      </c>
      <c r="AB55" s="5">
        <v>10</v>
      </c>
      <c r="AC55" s="5">
        <v>0</v>
      </c>
      <c r="AD55" s="5">
        <v>0</v>
      </c>
      <c r="AE55" s="5">
        <f>SUM(Table[[#This Row],[Premissa 1]:[Premissa 8]])</f>
        <v>50</v>
      </c>
      <c r="AF55" s="5" t="s">
        <v>13</v>
      </c>
      <c r="AG55" t="s">
        <v>276</v>
      </c>
    </row>
    <row r="56" spans="1:33" ht="15" customHeight="1" x14ac:dyDescent="0.25">
      <c r="A56" s="43">
        <v>7936038076</v>
      </c>
      <c r="B56" s="5" t="str">
        <f>MID(Table[[#This Row],[Ativo]],1,2)</f>
        <v>79</v>
      </c>
      <c r="C56" s="5" t="s">
        <v>209</v>
      </c>
      <c r="D56" s="5" t="s">
        <v>210</v>
      </c>
      <c r="E56" s="5" t="s">
        <v>42</v>
      </c>
      <c r="F56" s="4" t="str">
        <f>IFERROR(_xlfn.XLOOKUP(Table[[#This Row],[Ativo]],Pendentes[COD_RELIGADOR],Pendentes[SS_ORIGINAL]),"CONCLUÍDA")</f>
        <v>CONCLUÍDA</v>
      </c>
      <c r="G56" s="11"/>
      <c r="H56" s="11"/>
      <c r="I56" s="11"/>
      <c r="J56" s="11"/>
      <c r="K56" s="11"/>
      <c r="L56" s="11"/>
      <c r="M56" s="11"/>
      <c r="N56" s="11"/>
      <c r="O56" s="4" t="e">
        <f>VLOOKUP(Table[[#This Row],[SS aberta]],SGM!A:M,13,FALSE)</f>
        <v>#N/A</v>
      </c>
      <c r="P56" s="11"/>
      <c r="Q56" s="11"/>
      <c r="R56" s="4" t="s">
        <v>558</v>
      </c>
      <c r="S56" s="4" t="s">
        <v>474</v>
      </c>
      <c r="T56" s="29"/>
      <c r="U56" s="31"/>
      <c r="V56" t="str">
        <f>IFERROR(_xlfn.XLOOKUP(Table[[#This Row],[Ativo]],Pendentes[COD_RELIGADOR],Pendentes[DESCRICAO]),"")</f>
        <v/>
      </c>
      <c r="W56" s="5">
        <v>5</v>
      </c>
      <c r="X56" s="5">
        <v>5</v>
      </c>
      <c r="Y56" s="5">
        <v>15</v>
      </c>
      <c r="Z56" s="5">
        <v>0</v>
      </c>
      <c r="AA56" s="5">
        <v>15</v>
      </c>
      <c r="AB56" s="5">
        <v>10</v>
      </c>
      <c r="AC56" s="5">
        <v>0</v>
      </c>
      <c r="AD56" s="5">
        <v>0</v>
      </c>
      <c r="AE56" s="5">
        <f>SUM(Table[[#This Row],[Premissa 1]:[Premissa 8]])</f>
        <v>50</v>
      </c>
      <c r="AF56" s="5" t="s">
        <v>13</v>
      </c>
      <c r="AG56" t="s">
        <v>559</v>
      </c>
    </row>
    <row r="57" spans="1:33" ht="15" customHeight="1" x14ac:dyDescent="0.25">
      <c r="A57" s="12">
        <v>7955520116</v>
      </c>
      <c r="B57" s="5" t="str">
        <f>MID(Table[[#This Row],[Ativo]],1,2)</f>
        <v>79</v>
      </c>
      <c r="C57" s="5" t="s">
        <v>215</v>
      </c>
      <c r="D57" s="5" t="s">
        <v>41</v>
      </c>
      <c r="E57" s="5" t="s">
        <v>42</v>
      </c>
      <c r="F57" s="4" t="str">
        <f>IFERROR(_xlfn.XLOOKUP(Table[[#This Row],[Ativo]],Pendentes[COD_RELIGADOR],Pendentes[SS_ORIGINAL]),"CONCLUÍDA")</f>
        <v>CONCLUÍDA</v>
      </c>
      <c r="G57" s="11"/>
      <c r="H57" s="11"/>
      <c r="I57" s="11"/>
      <c r="J57" s="11"/>
      <c r="K57" s="11"/>
      <c r="L57" s="11"/>
      <c r="M57" s="11"/>
      <c r="N57" s="11"/>
      <c r="O57" s="4" t="e">
        <f>VLOOKUP(Table[[#This Row],[SS aberta]],SGM!A:M,13,FALSE)</f>
        <v>#N/A</v>
      </c>
      <c r="P57" s="11"/>
      <c r="Q57" s="11"/>
      <c r="R57" s="4" t="s">
        <v>558</v>
      </c>
      <c r="S57" s="4" t="s">
        <v>474</v>
      </c>
      <c r="T57" s="29" t="s">
        <v>508</v>
      </c>
      <c r="U57" s="31">
        <v>1</v>
      </c>
      <c r="V57" t="str">
        <f>IFERROR(_xlfn.XLOOKUP(Table[[#This Row],[Ativo]],Pendentes[COD_RELIGADOR],Pendentes[DESCRICAO]),"")</f>
        <v/>
      </c>
      <c r="W57" s="5">
        <v>5</v>
      </c>
      <c r="X57" s="5">
        <v>5</v>
      </c>
      <c r="Y57" s="5">
        <v>15</v>
      </c>
      <c r="Z57" s="5">
        <v>0</v>
      </c>
      <c r="AA57" s="5">
        <v>0</v>
      </c>
      <c r="AB57" s="5">
        <v>10</v>
      </c>
      <c r="AC57" s="5">
        <v>0</v>
      </c>
      <c r="AD57" s="5">
        <v>15</v>
      </c>
      <c r="AE57" s="5">
        <f>SUM(Table[[#This Row],[Premissa 1]:[Premissa 8]])</f>
        <v>50</v>
      </c>
      <c r="AF57" s="5" t="s">
        <v>13</v>
      </c>
      <c r="AG57" t="s">
        <v>560</v>
      </c>
    </row>
    <row r="58" spans="1:33" ht="15" customHeight="1" x14ac:dyDescent="0.25">
      <c r="A58" s="4">
        <v>5800291035</v>
      </c>
      <c r="B58" s="5" t="str">
        <f>MID(Table[[#This Row],[Ativo]],1,2)</f>
        <v>58</v>
      </c>
      <c r="C58" s="5" t="s">
        <v>339</v>
      </c>
      <c r="D58" s="5" t="s">
        <v>135</v>
      </c>
      <c r="E58" s="5" t="s">
        <v>51</v>
      </c>
      <c r="F58" s="4" t="str">
        <f>IFERROR(_xlfn.XLOOKUP(Table[[#This Row],[Ativo]],Pendentes[COD_RELIGADOR],Pendentes[SS_ORIGINAL]),"CONCLUÍDA")</f>
        <v>CONCLUÍDA</v>
      </c>
      <c r="G58" s="11"/>
      <c r="H58" s="11"/>
      <c r="I58" s="11"/>
      <c r="J58" s="11"/>
      <c r="K58" s="11"/>
      <c r="L58" s="11"/>
      <c r="M58" s="11"/>
      <c r="N58" s="11"/>
      <c r="O58" s="4" t="e">
        <f>VLOOKUP(Table[[#This Row],[SS aberta]],SGM!A:M,13,FALSE)</f>
        <v>#N/A</v>
      </c>
      <c r="P58" s="11"/>
      <c r="Q58" s="11"/>
      <c r="R58" s="9"/>
      <c r="S58" s="4" t="s">
        <v>459</v>
      </c>
      <c r="T58" s="29" t="s">
        <v>533</v>
      </c>
      <c r="U58" s="31">
        <v>1</v>
      </c>
      <c r="V58" t="s">
        <v>562</v>
      </c>
      <c r="W58" s="5">
        <v>0</v>
      </c>
      <c r="X58" s="5">
        <v>20</v>
      </c>
      <c r="Y58" s="5">
        <v>20</v>
      </c>
      <c r="Z58" s="5">
        <v>10</v>
      </c>
      <c r="AA58" s="5">
        <v>0</v>
      </c>
      <c r="AB58" s="5" t="s">
        <v>45</v>
      </c>
      <c r="AC58" s="5" t="s">
        <v>45</v>
      </c>
      <c r="AD58" s="5" t="s">
        <v>45</v>
      </c>
      <c r="AE58" s="5">
        <f>SUM(Table[[#This Row],[Premissa 1]:[Premissa 8]])</f>
        <v>50</v>
      </c>
      <c r="AF58" s="5" t="s">
        <v>14</v>
      </c>
      <c r="AG58" t="s">
        <v>563</v>
      </c>
    </row>
    <row r="59" spans="1:33" ht="15" customHeight="1" x14ac:dyDescent="0.25">
      <c r="A59" s="4">
        <v>5827102054</v>
      </c>
      <c r="B59" s="5" t="str">
        <f>MID(Table[[#This Row],[Ativo]],1,2)</f>
        <v>58</v>
      </c>
      <c r="C59" s="5" t="s">
        <v>278</v>
      </c>
      <c r="D59" s="5" t="s">
        <v>117</v>
      </c>
      <c r="E59" s="5" t="s">
        <v>51</v>
      </c>
      <c r="F59" s="4" t="str">
        <f>IFERROR(_xlfn.XLOOKUP(Table[[#This Row],[Ativo]],Pendentes[COD_RELIGADOR],Pendentes[SS_ORIGINAL]),"CONCLUÍDA")</f>
        <v>ETO-PROT 00164/2026</v>
      </c>
      <c r="G59" s="11" t="s">
        <v>457</v>
      </c>
      <c r="H59" s="11"/>
      <c r="I59" s="5" t="s">
        <v>654</v>
      </c>
      <c r="J59" s="11"/>
      <c r="K59" s="11"/>
      <c r="L59" s="11"/>
      <c r="M59" s="11"/>
      <c r="N59" s="11"/>
      <c r="O59" s="4" t="e">
        <f>VLOOKUP(Table[[#This Row],[SS aberta]],SGM!A:M,13,FALSE)</f>
        <v>#N/A</v>
      </c>
      <c r="P59" s="11"/>
      <c r="Q59" s="11"/>
      <c r="R59" s="9" t="s">
        <v>565</v>
      </c>
      <c r="T59" s="29" t="s">
        <v>533</v>
      </c>
      <c r="U59" s="31">
        <v>1</v>
      </c>
      <c r="V59" t="str">
        <f>IFERROR(_xlfn.XLOOKUP(Table[[#This Row],[Ativo]],Pendentes[COD_RELIGADOR],Pendentes[DESCRICAO]),"")</f>
        <v>PARECER COCM: FOI SUBSTITUÍDO OS EQUIPAMENTO FEITO A MELHORIA DO ATERRAMENTO ATENDIDO PELA OBRA N-0212600609PARECER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v>
      </c>
      <c r="W59" s="5">
        <v>0</v>
      </c>
      <c r="X59" s="5">
        <v>20</v>
      </c>
      <c r="Y59" s="5">
        <v>20</v>
      </c>
      <c r="Z59" s="5">
        <v>10</v>
      </c>
      <c r="AA59" s="5">
        <v>0</v>
      </c>
      <c r="AB59" s="5" t="s">
        <v>45</v>
      </c>
      <c r="AC59" s="5" t="s">
        <v>45</v>
      </c>
      <c r="AD59" s="5" t="s">
        <v>45</v>
      </c>
      <c r="AE59" s="5">
        <f>SUM(Table[[#This Row],[Premissa 1]:[Premissa 8]])</f>
        <v>50</v>
      </c>
      <c r="AF59" s="5" t="s">
        <v>14</v>
      </c>
      <c r="AG59" t="s">
        <v>281</v>
      </c>
    </row>
    <row r="60" spans="1:33" ht="15" customHeight="1" x14ac:dyDescent="0.25">
      <c r="A60" s="4">
        <v>5850308009</v>
      </c>
      <c r="B60" s="5" t="str">
        <f>MID(Table[[#This Row],[Ativo]],1,2)</f>
        <v>58</v>
      </c>
      <c r="C60" s="5" t="s">
        <v>106</v>
      </c>
      <c r="D60" s="5" t="s">
        <v>106</v>
      </c>
      <c r="E60" s="5" t="s">
        <v>59</v>
      </c>
      <c r="F60" s="4" t="str">
        <f>IFERROR(_xlfn.XLOOKUP(Table[[#This Row],[Ativo]],Pendentes[COD_RELIGADOR],Pendentes[SS_ORIGINAL]),"CONCLUÍDA")</f>
        <v>CONCLUÍDA</v>
      </c>
      <c r="G60" s="11"/>
      <c r="H60" s="11"/>
      <c r="I60" s="11"/>
      <c r="J60" s="11"/>
      <c r="K60" s="11"/>
      <c r="L60" s="11"/>
      <c r="M60" s="11"/>
      <c r="N60" s="11"/>
      <c r="O60" s="4" t="e">
        <f>VLOOKUP(Table[[#This Row],[SS aberta]],SGM!A:M,13,FALSE)</f>
        <v>#N/A</v>
      </c>
      <c r="P60" s="11"/>
      <c r="Q60" s="11"/>
      <c r="R60" s="9"/>
      <c r="S60" s="4" t="s">
        <v>453</v>
      </c>
      <c r="T60" s="29"/>
      <c r="U60" s="31"/>
      <c r="V60" t="str">
        <f>IFERROR(_xlfn.XLOOKUP(Table[[#This Row],[Ativo]],Pendentes[COD_RELIGADOR],Pendentes[DESCRICAO]),"")</f>
        <v/>
      </c>
      <c r="W60" s="5">
        <v>0</v>
      </c>
      <c r="X60" s="5">
        <v>20</v>
      </c>
      <c r="Y60" s="5">
        <v>20</v>
      </c>
      <c r="Z60" s="5">
        <v>0</v>
      </c>
      <c r="AA60" s="5">
        <v>10</v>
      </c>
      <c r="AB60" s="5" t="s">
        <v>45</v>
      </c>
      <c r="AC60" s="5" t="s">
        <v>45</v>
      </c>
      <c r="AD60" s="5" t="s">
        <v>45</v>
      </c>
      <c r="AE60" s="5">
        <f>SUM(Table[[#This Row],[Premissa 1]:[Premissa 8]])</f>
        <v>50</v>
      </c>
      <c r="AF60" s="5" t="s">
        <v>14</v>
      </c>
      <c r="AG60" t="s">
        <v>567</v>
      </c>
    </row>
    <row r="61" spans="1:33" ht="15" customHeight="1" x14ac:dyDescent="0.25">
      <c r="A61" s="4">
        <v>7900535058</v>
      </c>
      <c r="B61" s="5" t="str">
        <f>MID(Table[[#This Row],[Ativo]],1,2)</f>
        <v>79</v>
      </c>
      <c r="C61" s="5" t="s">
        <v>283</v>
      </c>
      <c r="D61" s="5" t="s">
        <v>69</v>
      </c>
      <c r="E61" s="5" t="s">
        <v>59</v>
      </c>
      <c r="F61" s="4" t="str">
        <f>IFERROR(_xlfn.XLOOKUP(Table[[#This Row],[Ativo]],Pendentes[COD_RELIGADOR],Pendentes[SS_ORIGINAL]),"CONCLUÍDA")</f>
        <v>ETO-COEP 00173/2025</v>
      </c>
      <c r="G61" s="11" t="s">
        <v>472</v>
      </c>
      <c r="H61" s="11"/>
      <c r="I61" s="11"/>
      <c r="J61" s="11"/>
      <c r="K61" s="11"/>
      <c r="L61" s="11"/>
      <c r="M61" s="11"/>
      <c r="N61" s="11"/>
      <c r="O61" s="4" t="e">
        <f>VLOOKUP(Table[[#This Row],[SS aberta]],SGM!A:M,13,FALSE)</f>
        <v>#N/A</v>
      </c>
      <c r="P61" s="11"/>
      <c r="Q61" s="11"/>
      <c r="R61" s="9"/>
      <c r="S61" s="4" t="s">
        <v>474</v>
      </c>
      <c r="T61" s="29" t="s">
        <v>484</v>
      </c>
      <c r="U61" s="31">
        <v>1</v>
      </c>
      <c r="V61" t="str">
        <f>IFERROR(_xlfn.XLOOKUP(Table[[#This Row],[Ativo]],Pendentes[COD_RELIGADOR],Pendentes[DESCRICAO]),"")</f>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v>
      </c>
      <c r="W61" s="5">
        <v>5</v>
      </c>
      <c r="X61" s="5">
        <v>10</v>
      </c>
      <c r="Y61" s="5">
        <v>5</v>
      </c>
      <c r="Z61" s="5">
        <v>0</v>
      </c>
      <c r="AA61" s="5">
        <v>15</v>
      </c>
      <c r="AB61" s="5">
        <v>10</v>
      </c>
      <c r="AC61" s="5">
        <v>0</v>
      </c>
      <c r="AD61" s="5">
        <v>0</v>
      </c>
      <c r="AE61" s="5">
        <f>SUM(Table[[#This Row],[Premissa 1]:[Premissa 8]])</f>
        <v>45</v>
      </c>
      <c r="AF61" s="5" t="s">
        <v>14</v>
      </c>
      <c r="AG61" t="s">
        <v>286</v>
      </c>
    </row>
    <row r="62" spans="1:33" ht="15" customHeight="1" x14ac:dyDescent="0.25">
      <c r="A62" s="4">
        <v>7927713200</v>
      </c>
      <c r="B62" s="5" t="str">
        <f>MID(Table[[#This Row],[Ativo]],1,2)</f>
        <v>79</v>
      </c>
      <c r="C62" s="5" t="s">
        <v>293</v>
      </c>
      <c r="D62" s="5" t="s">
        <v>224</v>
      </c>
      <c r="E62" s="5" t="s">
        <v>42</v>
      </c>
      <c r="F62" s="4" t="str">
        <f>IFERROR(_xlfn.XLOOKUP(Table[[#This Row],[Ativo]],Pendentes[COD_RELIGADOR],Pendentes[SS_ORIGINAL]),"CONCLUÍDA")</f>
        <v>ETO-COEP 00157/2026</v>
      </c>
      <c r="G62" s="11" t="s">
        <v>472</v>
      </c>
      <c r="H62" s="11"/>
      <c r="I62" s="11"/>
      <c r="J62" s="11"/>
      <c r="K62" s="11"/>
      <c r="L62" s="11"/>
      <c r="M62" s="11"/>
      <c r="N62" s="11"/>
      <c r="O62" s="4" t="e">
        <f>VLOOKUP(Table[[#This Row],[SS aberta]],SGM!A:M,13,FALSE)</f>
        <v>#N/A</v>
      </c>
      <c r="P62" s="11"/>
      <c r="Q62" s="11"/>
      <c r="R62" s="4" t="s">
        <v>558</v>
      </c>
      <c r="S62" s="4" t="s">
        <v>474</v>
      </c>
      <c r="T62" s="29" t="s">
        <v>508</v>
      </c>
      <c r="U62" s="31">
        <v>1</v>
      </c>
      <c r="V62" t="str">
        <f>IFERROR(_xlfn.XLOOKUP(Table[[#This Row],[Ativo]],Pendentes[COD_RELIGADOR],Pendentes[DESCRICAO]),"")</f>
        <v>segue SS para REALIZAR SUBSTITUIÇÃO DO TANQUE do RL 7927713200 danificado , com equipe de manutencao tensao 34,5kv mesmo atende Povoado retiro na rural de sao salvador  .</v>
      </c>
      <c r="W62" s="5">
        <v>5</v>
      </c>
      <c r="X62" s="5">
        <v>5</v>
      </c>
      <c r="Y62" s="5">
        <v>5</v>
      </c>
      <c r="Z62" s="5">
        <v>0</v>
      </c>
      <c r="AA62" s="5">
        <v>15</v>
      </c>
      <c r="AB62" s="5">
        <v>10</v>
      </c>
      <c r="AC62" s="5">
        <v>0</v>
      </c>
      <c r="AD62" s="5">
        <v>0</v>
      </c>
      <c r="AE62" s="5">
        <f>SUM(Table[[#This Row],[Premissa 1]:[Premissa 8]])</f>
        <v>40</v>
      </c>
      <c r="AF62" s="5" t="s">
        <v>14</v>
      </c>
      <c r="AG62" t="s">
        <v>296</v>
      </c>
    </row>
    <row r="63" spans="1:33" ht="15" customHeight="1" x14ac:dyDescent="0.25">
      <c r="A63" s="4">
        <v>7937102148</v>
      </c>
      <c r="B63" s="5" t="str">
        <f>MID(Table[[#This Row],[Ativo]],1,2)</f>
        <v>79</v>
      </c>
      <c r="C63" s="5" t="s">
        <v>301</v>
      </c>
      <c r="D63" s="5" t="s">
        <v>224</v>
      </c>
      <c r="E63" s="5" t="s">
        <v>42</v>
      </c>
      <c r="F63" s="4" t="str">
        <f>IFERROR(_xlfn.XLOOKUP(Table[[#This Row],[Ativo]],Pendentes[COD_RELIGADOR],Pendentes[SS_ORIGINAL]),"CONCLUÍDA")</f>
        <v>ETO-COEP 00129/2026</v>
      </c>
      <c r="G63" s="4" t="s">
        <v>472</v>
      </c>
      <c r="O63" s="4" t="e">
        <f>VLOOKUP(Table[[#This Row],[SS aberta]],SGM!A:M,13,FALSE)</f>
        <v>#N/A</v>
      </c>
      <c r="S63" s="4" t="s">
        <v>474</v>
      </c>
      <c r="T63" s="29" t="s">
        <v>508</v>
      </c>
      <c r="U63" s="31">
        <v>1</v>
      </c>
      <c r="V63" t="str">
        <f>IFERROR(_xlfn.XLOOKUP(Table[[#This Row],[Ativo]],Pendentes[COD_RELIGADOR],Pendentes[DESCRICAO]),"")</f>
        <v>PARECER COEP: REAVALIAR DISPONIBILIDADE DO EQUIPAMENTO NO SCADA ASSIM COMO , FORNECER MODELO DO EQUIPAMENTO E FAIXA DE TENSÃO PARA COMPRA / AQUISIÇÃOTanque com defeito, realizar substituição do tanque.</v>
      </c>
      <c r="W63" s="5">
        <v>5</v>
      </c>
      <c r="X63" s="5">
        <v>5</v>
      </c>
      <c r="Y63" s="5">
        <v>5</v>
      </c>
      <c r="Z63" s="5">
        <v>0</v>
      </c>
      <c r="AA63" s="5">
        <v>15</v>
      </c>
      <c r="AB63" s="5">
        <v>10</v>
      </c>
      <c r="AC63" s="5">
        <v>0</v>
      </c>
      <c r="AD63" s="5">
        <v>0</v>
      </c>
      <c r="AE63" s="5">
        <f>SUM(Table[[#This Row],[Premissa 1]:[Premissa 8]])</f>
        <v>40</v>
      </c>
      <c r="AF63" s="5" t="s">
        <v>14</v>
      </c>
      <c r="AG63" t="s">
        <v>304</v>
      </c>
    </row>
    <row r="64" spans="1:33" ht="15" customHeight="1" x14ac:dyDescent="0.25">
      <c r="A64" s="4">
        <v>7944559149</v>
      </c>
      <c r="B64" s="5" t="str">
        <f>MID(Table[[#This Row],[Ativo]],1,2)</f>
        <v>79</v>
      </c>
      <c r="C64" s="5" t="s">
        <v>195</v>
      </c>
      <c r="D64" s="5" t="s">
        <v>152</v>
      </c>
      <c r="E64" s="5" t="s">
        <v>51</v>
      </c>
      <c r="F64" s="4" t="str">
        <f>IFERROR(_xlfn.XLOOKUP(Table[[#This Row],[Ativo]],Pendentes[COD_RELIGADOR],Pendentes[SS_ORIGINAL]),"CONCLUÍDA")</f>
        <v>ETO-COEP 00063/2026</v>
      </c>
      <c r="G64" s="4" t="s">
        <v>472</v>
      </c>
      <c r="O64" s="4" t="e">
        <f>VLOOKUP(Table[[#This Row],[SS aberta]],SGM!A:M,13,FALSE)</f>
        <v>#N/A</v>
      </c>
      <c r="S64" s="4" t="s">
        <v>474</v>
      </c>
      <c r="T64" s="29" t="s">
        <v>484</v>
      </c>
      <c r="U64" s="31">
        <v>1</v>
      </c>
      <c r="V64" t="str">
        <f>IFERROR(_xlfn.XLOOKUP(Table[[#This Row],[Ativo]],Pendentes[COD_RELIGADOR],Pendentes[DESCRICAO]),"")</f>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v>
      </c>
      <c r="W64" s="5">
        <v>5</v>
      </c>
      <c r="X64" s="5">
        <v>10</v>
      </c>
      <c r="Y64" s="5">
        <v>0</v>
      </c>
      <c r="Z64" s="5">
        <v>0</v>
      </c>
      <c r="AA64" s="5">
        <v>15</v>
      </c>
      <c r="AB64" s="5">
        <v>10</v>
      </c>
      <c r="AC64" s="5">
        <v>0</v>
      </c>
      <c r="AD64" s="5">
        <v>0</v>
      </c>
      <c r="AE64" s="5">
        <f>SUM(Table[[#This Row],[Premissa 1]:[Premissa 8]])</f>
        <v>40</v>
      </c>
      <c r="AF64" s="5" t="s">
        <v>14</v>
      </c>
      <c r="AG64" t="s">
        <v>198</v>
      </c>
    </row>
    <row r="65" spans="1:33" ht="34.5" customHeight="1" x14ac:dyDescent="0.25">
      <c r="A65" s="4">
        <v>5800961074</v>
      </c>
      <c r="B65" s="5" t="str">
        <f>MID(Table[[#This Row],[Ativo]],1,2)</f>
        <v>58</v>
      </c>
      <c r="C65" s="5" t="s">
        <v>41</v>
      </c>
      <c r="D65" s="5" t="s">
        <v>41</v>
      </c>
      <c r="E65" s="5" t="s">
        <v>42</v>
      </c>
      <c r="F65" s="4" t="str">
        <f>IFERROR(_xlfn.XLOOKUP(Table[[#This Row],[Ativo]],Pendentes[COD_RELIGADOR],Pendentes[SS_ORIGINAL]),"CONCLUÍDA")</f>
        <v>ETO-COEP 00221/2025</v>
      </c>
      <c r="G65" s="4" t="s">
        <v>472</v>
      </c>
      <c r="O65" s="4" t="e">
        <f>VLOOKUP(Table[[#This Row],[SS aberta]],SGM!A:M,13,FALSE)</f>
        <v>#N/A</v>
      </c>
      <c r="R65" s="49" t="s">
        <v>569</v>
      </c>
      <c r="S65" s="4" t="s">
        <v>474</v>
      </c>
      <c r="T65" s="29" t="s">
        <v>570</v>
      </c>
      <c r="U65" s="31">
        <v>3</v>
      </c>
      <c r="V65" t="str">
        <f>IFERROR(_xlfn.XLOOKUP(Table[[#This Row],[Ativo]],Pendentes[COD_RELIGADOR],Pendentes[DESCRICAO]),"")</f>
        <v>PARECER COEP: EQUIPAMENTO SELECIONADO PARA COMPRASubstituir as 3 células- Melhoria na malha de aterramento - Melhoria no circuito de aterramento qua aterra as células.- Substituir conectores paralelos</v>
      </c>
      <c r="W65" s="5">
        <v>20</v>
      </c>
      <c r="X65" s="5">
        <v>0</v>
      </c>
      <c r="Y65" s="5">
        <v>0</v>
      </c>
      <c r="Z65" s="5">
        <v>20</v>
      </c>
      <c r="AA65" s="5">
        <v>0</v>
      </c>
      <c r="AB65" s="5" t="s">
        <v>45</v>
      </c>
      <c r="AC65" s="5" t="s">
        <v>45</v>
      </c>
      <c r="AD65" s="5" t="s">
        <v>45</v>
      </c>
      <c r="AE65" s="5">
        <f>SUM(Table[[#This Row],[Premissa 1]:[Premissa 8]])</f>
        <v>40</v>
      </c>
      <c r="AF65" s="5" t="s">
        <v>14</v>
      </c>
      <c r="AG65" t="s">
        <v>131</v>
      </c>
    </row>
    <row r="66" spans="1:33" ht="15" customHeight="1" x14ac:dyDescent="0.25">
      <c r="A66" s="4">
        <v>7908249152</v>
      </c>
      <c r="B66" s="5" t="str">
        <f>MID(Table[[#This Row],[Ativo]],1,2)</f>
        <v>79</v>
      </c>
      <c r="C66" s="5" t="s">
        <v>306</v>
      </c>
      <c r="D66" s="5" t="s">
        <v>50</v>
      </c>
      <c r="E66" s="5" t="s">
        <v>51</v>
      </c>
      <c r="F66" s="4" t="str">
        <f>IFERROR(_xlfn.XLOOKUP(Table[[#This Row],[Ativo]],Pendentes[COD_RELIGADOR],Pendentes[SS_ORIGINAL]),"CONCLUÍDA")</f>
        <v>ETO-COEP 00038/2026</v>
      </c>
      <c r="G66" s="4" t="s">
        <v>472</v>
      </c>
      <c r="O66" s="4" t="e">
        <f>VLOOKUP(Table[[#This Row],[SS aberta]],SGM!A:M,13,FALSE)</f>
        <v>#N/A</v>
      </c>
      <c r="S66" s="4" t="s">
        <v>474</v>
      </c>
      <c r="T66" s="29" t="s">
        <v>475</v>
      </c>
      <c r="U66" s="31">
        <v>1</v>
      </c>
      <c r="V66" t="str">
        <f>IFERROR(_xlfn.XLOOKUP(Table[[#This Row],[Ativo]],Pendentes[COD_RELIGADOR],Pendentes[DESCRICAO]),"")</f>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v>
      </c>
      <c r="W66" s="5">
        <v>5</v>
      </c>
      <c r="X66" s="5">
        <v>5</v>
      </c>
      <c r="Y66" s="5">
        <v>0</v>
      </c>
      <c r="Z66" s="5">
        <v>0</v>
      </c>
      <c r="AA66" s="5">
        <v>15</v>
      </c>
      <c r="AB66" s="5">
        <v>10</v>
      </c>
      <c r="AC66" s="5">
        <v>0</v>
      </c>
      <c r="AD66" s="5">
        <v>0</v>
      </c>
      <c r="AE66" s="5">
        <f>SUM(Table[[#This Row],[Premissa 1]:[Premissa 8]])</f>
        <v>35</v>
      </c>
      <c r="AF66" s="5" t="s">
        <v>14</v>
      </c>
      <c r="AG66" t="s">
        <v>308</v>
      </c>
    </row>
    <row r="67" spans="1:33" ht="15" customHeight="1" x14ac:dyDescent="0.25">
      <c r="A67" s="12">
        <v>7922995039</v>
      </c>
      <c r="B67" s="5" t="str">
        <f>MID(Table[[#This Row],[Ativo]],1,2)</f>
        <v>79</v>
      </c>
      <c r="C67" s="5" t="s">
        <v>57</v>
      </c>
      <c r="D67" s="5" t="s">
        <v>58</v>
      </c>
      <c r="E67" s="5" t="s">
        <v>59</v>
      </c>
      <c r="F67" s="4" t="str">
        <f>IFERROR(_xlfn.XLOOKUP(Table[[#This Row],[Ativo]],Pendentes[COD_RELIGADOR],Pendentes[SS_ORIGINAL]),"CONCLUÍDA")</f>
        <v>CONCLUÍDA</v>
      </c>
      <c r="O67" s="4" t="e">
        <f>VLOOKUP(Table[[#This Row],[SS aberta]],SGM!A:M,13,FALSE)</f>
        <v>#N/A</v>
      </c>
      <c r="S67" s="4" t="s">
        <v>572</v>
      </c>
      <c r="T67" s="29"/>
      <c r="U67" s="31"/>
      <c r="V67" t="str">
        <f>IFERROR(_xlfn.XLOOKUP(Table[[#This Row],[Ativo]],Pendentes[COD_RELIGADOR],Pendentes[DESCRICAO]),"")</f>
        <v/>
      </c>
      <c r="W67" s="5">
        <v>5</v>
      </c>
      <c r="X67" s="5">
        <v>5</v>
      </c>
      <c r="Y67" s="5">
        <v>0</v>
      </c>
      <c r="Z67" s="5">
        <v>0</v>
      </c>
      <c r="AA67" s="5">
        <v>15</v>
      </c>
      <c r="AB67" s="5">
        <v>10</v>
      </c>
      <c r="AC67" s="5">
        <v>0</v>
      </c>
      <c r="AD67" s="5">
        <v>0</v>
      </c>
      <c r="AE67" s="5">
        <f>SUM(Table[[#This Row],[Premissa 1]:[Premissa 8]])</f>
        <v>35</v>
      </c>
      <c r="AF67" s="5" t="s">
        <v>14</v>
      </c>
      <c r="AG67" t="s">
        <v>574</v>
      </c>
    </row>
    <row r="68" spans="1:33" ht="15" customHeight="1" x14ac:dyDescent="0.25">
      <c r="A68" s="4">
        <v>7925733015</v>
      </c>
      <c r="B68" s="5" t="str">
        <f>MID(Table[[#This Row],[Ativo]],1,2)</f>
        <v>79</v>
      </c>
      <c r="C68" s="5" t="s">
        <v>288</v>
      </c>
      <c r="D68" s="5" t="s">
        <v>106</v>
      </c>
      <c r="E68" s="5" t="s">
        <v>59</v>
      </c>
      <c r="F68" s="4" t="str">
        <f>IFERROR(_xlfn.XLOOKUP(Table[[#This Row],[Ativo]],Pendentes[COD_RELIGADOR],Pendentes[SS_ORIGINAL]),"CONCLUÍDA")</f>
        <v>ETO-COEP 00058/2026</v>
      </c>
      <c r="G68" s="4" t="s">
        <v>472</v>
      </c>
      <c r="O68" s="4" t="s">
        <v>575</v>
      </c>
      <c r="S68" s="4" t="s">
        <v>474</v>
      </c>
      <c r="T68" s="29" t="s">
        <v>508</v>
      </c>
      <c r="U68" s="31">
        <v>1</v>
      </c>
      <c r="V68" t="str">
        <f>IFERROR(_xlfn.XLOOKUP(Table[[#This Row],[Ativo]],Pendentes[COD_RELIGADOR],Pendentes[DESCRICAO]),"")</f>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v>
      </c>
      <c r="W68" s="5">
        <v>5</v>
      </c>
      <c r="X68" s="5">
        <v>5</v>
      </c>
      <c r="Y68" s="5">
        <v>0</v>
      </c>
      <c r="Z68" s="5">
        <v>0</v>
      </c>
      <c r="AA68" s="5">
        <v>15</v>
      </c>
      <c r="AB68" s="5">
        <v>10</v>
      </c>
      <c r="AC68" s="5">
        <v>0</v>
      </c>
      <c r="AD68" s="5">
        <v>0</v>
      </c>
      <c r="AE68" s="5">
        <f>SUM(Table[[#This Row],[Premissa 1]:[Premissa 8]])</f>
        <v>35</v>
      </c>
      <c r="AF68" s="5" t="s">
        <v>14</v>
      </c>
      <c r="AG68" t="s">
        <v>291</v>
      </c>
    </row>
    <row r="69" spans="1:33" ht="15" customHeight="1" x14ac:dyDescent="0.25">
      <c r="A69" s="4">
        <v>7927396052</v>
      </c>
      <c r="B69" s="5" t="str">
        <f>MID(Table[[#This Row],[Ativo]],1,2)</f>
        <v>79</v>
      </c>
      <c r="C69" s="5" t="s">
        <v>112</v>
      </c>
      <c r="D69" s="5" t="s">
        <v>112</v>
      </c>
      <c r="E69" s="5" t="s">
        <v>42</v>
      </c>
      <c r="F69" s="4" t="str">
        <f>IFERROR(_xlfn.XLOOKUP(Table[[#This Row],[Ativo]],Pendentes[COD_RELIGADOR],Pendentes[SS_ORIGINAL]),"CONCLUÍDA")</f>
        <v>ETO-COEP 00045/2026</v>
      </c>
      <c r="G69" s="4" t="s">
        <v>472</v>
      </c>
      <c r="O69" s="4" t="e">
        <f>VLOOKUP(Table[[#This Row],[SS aberta]],SGM!A:M,13,FALSE)</f>
        <v>#N/A</v>
      </c>
      <c r="S69" s="4" t="s">
        <v>474</v>
      </c>
      <c r="T69" s="29" t="s">
        <v>508</v>
      </c>
      <c r="U69" s="31">
        <v>1</v>
      </c>
      <c r="V69" t="str">
        <f>IFERROR(_xlfn.XLOOKUP(Table[[#This Row],[Ativo]],Pendentes[COD_RELIGADOR],Pendentes[DESCRICAO]),"")</f>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v>
      </c>
      <c r="W69" s="5">
        <v>5</v>
      </c>
      <c r="X69" s="5">
        <v>5</v>
      </c>
      <c r="Y69" s="5">
        <v>0</v>
      </c>
      <c r="Z69" s="5">
        <v>0</v>
      </c>
      <c r="AA69" s="5">
        <v>15</v>
      </c>
      <c r="AB69" s="5">
        <v>10</v>
      </c>
      <c r="AC69" s="5">
        <v>0</v>
      </c>
      <c r="AD69" s="5">
        <v>0</v>
      </c>
      <c r="AE69" s="5">
        <f>SUM(Table[[#This Row],[Premissa 1]:[Premissa 8]])</f>
        <v>35</v>
      </c>
      <c r="AF69" s="5" t="s">
        <v>14</v>
      </c>
      <c r="AG69" t="s">
        <v>183</v>
      </c>
    </row>
    <row r="70" spans="1:33" ht="15" customHeight="1" x14ac:dyDescent="0.25">
      <c r="A70" s="4">
        <v>7933585074</v>
      </c>
      <c r="B70" s="5" t="str">
        <f>MID(Table[[#This Row],[Ativo]],1,2)</f>
        <v>79</v>
      </c>
      <c r="C70" s="5" t="s">
        <v>41</v>
      </c>
      <c r="D70" s="5" t="s">
        <v>41</v>
      </c>
      <c r="E70" s="5" t="s">
        <v>42</v>
      </c>
      <c r="F70" s="4" t="str">
        <f>IFERROR(_xlfn.XLOOKUP(Table[[#This Row],[Ativo]],Pendentes[COD_RELIGADOR],Pendentes[SS_ORIGINAL]),"CONCLUÍDA")</f>
        <v>ETO-COEP 00024/2026</v>
      </c>
      <c r="G70" s="5" t="s">
        <v>472</v>
      </c>
      <c r="H70" s="5"/>
      <c r="I70" s="5"/>
      <c r="J70" s="5"/>
      <c r="K70" s="5"/>
      <c r="L70" s="5"/>
      <c r="M70" s="5"/>
      <c r="N70" s="5"/>
      <c r="O70" s="4" t="e">
        <f>VLOOKUP(Table[[#This Row],[SS aberta]],SGM!A:M,13,FALSE)</f>
        <v>#N/A</v>
      </c>
      <c r="P70" s="5"/>
      <c r="Q70" s="5"/>
      <c r="R70" s="4" t="s">
        <v>473</v>
      </c>
      <c r="S70" s="4" t="s">
        <v>474</v>
      </c>
      <c r="T70" s="29" t="s">
        <v>508</v>
      </c>
      <c r="U70" s="31">
        <v>1</v>
      </c>
      <c r="V70" t="str">
        <f>IFERROR(_xlfn.XLOOKUP(Table[[#This Row],[Ativo]],Pendentes[COD_RELIGADOR],Pendentes[DESCRICAO]),"")</f>
        <v>30/06 PARECER COEP: EQUIPAMENTO SELECIONADO PARA COMPRAREALIZAR SUBSTITUIÇÃO DO TANQUE, O MESMO ESTÁ COM DEFEITO.</v>
      </c>
      <c r="W70" s="5">
        <v>5</v>
      </c>
      <c r="X70" s="5">
        <v>5</v>
      </c>
      <c r="Y70" s="5">
        <v>15</v>
      </c>
      <c r="Z70" s="5">
        <v>0</v>
      </c>
      <c r="AA70" s="5">
        <v>0</v>
      </c>
      <c r="AB70" s="5">
        <v>0</v>
      </c>
      <c r="AC70" s="5">
        <v>10</v>
      </c>
      <c r="AD70" s="5">
        <v>0</v>
      </c>
      <c r="AE70" s="5">
        <f>SUM(Table[[#This Row],[Premissa 1]:[Premissa 8]])</f>
        <v>35</v>
      </c>
      <c r="AF70" s="5" t="s">
        <v>14</v>
      </c>
      <c r="AG70" t="s">
        <v>141</v>
      </c>
    </row>
    <row r="71" spans="1:33" ht="15" customHeight="1" x14ac:dyDescent="0.25">
      <c r="A71" s="12">
        <v>7942572059</v>
      </c>
      <c r="B71" s="5" t="str">
        <f>MID(Table[[#This Row],[Ativo]],1,2)</f>
        <v>79</v>
      </c>
      <c r="C71" s="5" t="s">
        <v>74</v>
      </c>
      <c r="D71" s="5" t="s">
        <v>74</v>
      </c>
      <c r="E71" s="5" t="s">
        <v>51</v>
      </c>
      <c r="F71" s="4" t="str">
        <f>IFERROR(_xlfn.XLOOKUP(Table[[#This Row],[Ativo]],Pendentes[COD_RELIGADOR],Pendentes[SS_ORIGINAL]),"CONCLUÍDA")</f>
        <v>ETO-PROT 00155/2026</v>
      </c>
      <c r="G71" s="11" t="s">
        <v>457</v>
      </c>
      <c r="I71" s="5" t="s">
        <v>654</v>
      </c>
      <c r="O71" s="4" t="e">
        <f>VLOOKUP(Table[[#This Row],[SS aberta]],SGM!A:M,13,FALSE)</f>
        <v>#N/A</v>
      </c>
      <c r="S71" s="4" t="s">
        <v>572</v>
      </c>
      <c r="T71" s="29"/>
      <c r="U71" s="31"/>
      <c r="V71" t="str">
        <f>IFERROR(_xlfn.XLOOKUP(Table[[#This Row],[Ativo]],Pendentes[COD_RELIGADOR],Pendentes[DESCRICAO]),"")</f>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v>
      </c>
      <c r="W71" s="5">
        <v>5</v>
      </c>
      <c r="X71" s="5">
        <v>5</v>
      </c>
      <c r="Y71" s="5">
        <v>15</v>
      </c>
      <c r="Z71" s="5">
        <v>0</v>
      </c>
      <c r="AA71" s="5">
        <v>0</v>
      </c>
      <c r="AB71" s="5">
        <v>0</v>
      </c>
      <c r="AC71" s="5">
        <v>10</v>
      </c>
      <c r="AD71" s="5">
        <v>0</v>
      </c>
      <c r="AE71" s="5">
        <f>SUM(Table[[#This Row],[Premissa 1]:[Premissa 8]])</f>
        <v>35</v>
      </c>
      <c r="AF71" s="5" t="s">
        <v>14</v>
      </c>
      <c r="AG71" t="s">
        <v>319</v>
      </c>
    </row>
    <row r="72" spans="1:33" ht="15" customHeight="1" x14ac:dyDescent="0.25">
      <c r="A72" s="4">
        <v>7944319149</v>
      </c>
      <c r="B72" s="5" t="str">
        <f>MID(Table[[#This Row],[Ativo]],1,2)</f>
        <v>79</v>
      </c>
      <c r="C72" s="5" t="s">
        <v>195</v>
      </c>
      <c r="D72" s="5" t="s">
        <v>152</v>
      </c>
      <c r="E72" s="5" t="s">
        <v>51</v>
      </c>
      <c r="F72" s="4" t="str">
        <f>IFERROR(_xlfn.XLOOKUP(Table[[#This Row],[Ativo]],Pendentes[COD_RELIGADOR],Pendentes[SS_ORIGINAL]),"CONCLUÍDA")</f>
        <v>CONCLUÍDA</v>
      </c>
      <c r="O72" s="4" t="e">
        <f>VLOOKUP(Table[[#This Row],[SS aberta]],SGM!A:M,13,FALSE)</f>
        <v>#N/A</v>
      </c>
      <c r="S72" s="4" t="s">
        <v>453</v>
      </c>
      <c r="T72" s="29"/>
      <c r="U72" s="31"/>
      <c r="V72" t="str">
        <f>IFERROR(_xlfn.XLOOKUP(Table[[#This Row],[Ativo]],Pendentes[COD_RELIGADOR],Pendentes[DESCRICAO]),"")</f>
        <v/>
      </c>
      <c r="W72" s="5">
        <v>5</v>
      </c>
      <c r="X72" s="5">
        <v>5</v>
      </c>
      <c r="Y72" s="5">
        <v>15</v>
      </c>
      <c r="Z72" s="5">
        <v>0</v>
      </c>
      <c r="AA72" s="5">
        <v>0</v>
      </c>
      <c r="AB72" s="5">
        <v>0</v>
      </c>
      <c r="AC72" s="5">
        <v>10</v>
      </c>
      <c r="AD72" s="5">
        <v>0</v>
      </c>
      <c r="AE72" s="5">
        <f>SUM(Table[[#This Row],[Premissa 1]:[Premissa 8]])</f>
        <v>35</v>
      </c>
      <c r="AF72" s="5" t="s">
        <v>14</v>
      </c>
      <c r="AG72" t="s">
        <v>576</v>
      </c>
    </row>
    <row r="73" spans="1:33" ht="15" customHeight="1" x14ac:dyDescent="0.25">
      <c r="A73" s="4">
        <v>7955986084</v>
      </c>
      <c r="B73" s="5" t="str">
        <f>MID(Table[[#This Row],[Ativo]],1,2)</f>
        <v>79</v>
      </c>
      <c r="C73" s="5" t="s">
        <v>152</v>
      </c>
      <c r="D73" s="5" t="s">
        <v>152</v>
      </c>
      <c r="E73" s="5" t="s">
        <v>51</v>
      </c>
      <c r="F73" s="4" t="str">
        <f>IFERROR(_xlfn.XLOOKUP(Table[[#This Row],[Ativo]],Pendentes[COD_RELIGADOR],Pendentes[SS_ORIGINAL]),"CONCLUÍDA")</f>
        <v>ETO-COEP 00133/2026</v>
      </c>
      <c r="G73" s="4" t="s">
        <v>472</v>
      </c>
      <c r="O73" s="4" t="e">
        <f>VLOOKUP(Table[[#This Row],[SS aberta]],SGM!A:M,13,FALSE)</f>
        <v>#N/A</v>
      </c>
      <c r="S73" s="4" t="s">
        <v>474</v>
      </c>
      <c r="T73" s="29"/>
      <c r="U73" s="31"/>
      <c r="V73" t="str">
        <f>IFERROR(_xlfn.XLOOKUP(Table[[#This Row],[Ativo]],Pendentes[COD_RELIGADOR],Pendentes[DESCRICAO]),"")</f>
        <v>14/07/2026 PARECER COEP : SUBSTIUIR CONTROLE COMPLETOPARECER DMSL: Equipamento com a placa de alimentação ca em curto, será necessário substituir a placa do equipamento. (Antiga nota era pra ter sido repassada porém foi baixada indevidamente pela equipe)</v>
      </c>
      <c r="W73" s="5">
        <v>5</v>
      </c>
      <c r="X73" s="5">
        <v>5</v>
      </c>
      <c r="Y73" s="5">
        <v>0</v>
      </c>
      <c r="Z73" s="5">
        <v>0</v>
      </c>
      <c r="AA73" s="5">
        <v>15</v>
      </c>
      <c r="AB73" s="5">
        <v>10</v>
      </c>
      <c r="AC73" s="5">
        <v>0</v>
      </c>
      <c r="AD73" s="5">
        <v>0</v>
      </c>
      <c r="AE73" s="5">
        <f>SUM(Table[[#This Row],[Premissa 1]:[Premissa 8]])</f>
        <v>35</v>
      </c>
      <c r="AF73" s="5" t="s">
        <v>14</v>
      </c>
      <c r="AG73" t="s">
        <v>158</v>
      </c>
    </row>
    <row r="74" spans="1:33" ht="15" customHeight="1" x14ac:dyDescent="0.25">
      <c r="A74" s="12">
        <v>7967181127</v>
      </c>
      <c r="B74" s="5" t="str">
        <f>MID(Table[[#This Row],[Ativo]],1,2)</f>
        <v>79</v>
      </c>
      <c r="C74" s="5" t="s">
        <v>258</v>
      </c>
      <c r="D74" s="5" t="s">
        <v>259</v>
      </c>
      <c r="E74" s="5" t="s">
        <v>59</v>
      </c>
      <c r="F74" s="4" t="str">
        <f>IFERROR(_xlfn.XLOOKUP(Table[[#This Row],[Ativo]],Pendentes[COD_RELIGADOR],Pendentes[SS_ORIGINAL]),"CONCLUÍDA")</f>
        <v>CONCLUÍDA</v>
      </c>
      <c r="O74" s="4" t="e">
        <f>VLOOKUP(Table[[#This Row],[SS aberta]],SGM!A:M,13,FALSE)</f>
        <v>#N/A</v>
      </c>
      <c r="T74" s="29"/>
      <c r="U74" s="31"/>
      <c r="V74" t="str">
        <f>IFERROR(_xlfn.XLOOKUP(Table[[#This Row],[Ativo]],Pendentes[COD_RELIGADOR],Pendentes[DESCRICAO]),"")</f>
        <v/>
      </c>
      <c r="W74" s="5">
        <v>5</v>
      </c>
      <c r="X74" s="5">
        <v>5</v>
      </c>
      <c r="Y74" s="5">
        <v>0</v>
      </c>
      <c r="Z74" s="5">
        <v>0</v>
      </c>
      <c r="AA74" s="5">
        <v>15</v>
      </c>
      <c r="AB74" s="5">
        <v>10</v>
      </c>
      <c r="AC74" s="5">
        <v>0</v>
      </c>
      <c r="AD74" s="5">
        <v>0</v>
      </c>
      <c r="AE74" s="5">
        <f>SUM(Table[[#This Row],[Premissa 1]:[Premissa 8]])</f>
        <v>35</v>
      </c>
      <c r="AF74" s="5" t="s">
        <v>14</v>
      </c>
      <c r="AG74" t="s">
        <v>578</v>
      </c>
    </row>
    <row r="75" spans="1:33" ht="15" customHeight="1" x14ac:dyDescent="0.25">
      <c r="A75" s="4">
        <v>7900525015</v>
      </c>
      <c r="B75" s="5" t="str">
        <f>MID(Table[[#This Row],[Ativo]],1,2)</f>
        <v>79</v>
      </c>
      <c r="C75" s="5" t="s">
        <v>288</v>
      </c>
      <c r="D75" s="5" t="s">
        <v>106</v>
      </c>
      <c r="E75" s="5" t="s">
        <v>59</v>
      </c>
      <c r="F75" s="4" t="str">
        <f>IFERROR(_xlfn.XLOOKUP(Table[[#This Row],[Ativo]],Pendentes[COD_RELIGADOR],Pendentes[SS_ORIGINAL]),"CONCLUÍDA")</f>
        <v>ETO-COEP 00125/2026</v>
      </c>
      <c r="G75" s="4" t="s">
        <v>472</v>
      </c>
      <c r="O75" s="4" t="e">
        <f>VLOOKUP(Table[[#This Row],[SS aberta]],SGM!A:M,13,FALSE)</f>
        <v>#N/A</v>
      </c>
      <c r="S75" s="4" t="s">
        <v>474</v>
      </c>
      <c r="T75" s="29" t="s">
        <v>508</v>
      </c>
      <c r="U75" s="31">
        <v>1</v>
      </c>
      <c r="V75" t="str">
        <f>IFERROR(_xlfn.XLOOKUP(Table[[#This Row],[Ativo]],Pendentes[COD_RELIGADOR],Pendentes[DESCRICAO]),"")</f>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v>
      </c>
      <c r="W75" s="5">
        <v>5</v>
      </c>
      <c r="X75" s="5">
        <v>5</v>
      </c>
      <c r="Y75" s="5">
        <v>0</v>
      </c>
      <c r="Z75" s="5">
        <v>0</v>
      </c>
      <c r="AA75" s="5">
        <v>15</v>
      </c>
      <c r="AB75" s="5">
        <v>10</v>
      </c>
      <c r="AC75" s="5">
        <v>0</v>
      </c>
      <c r="AD75" s="5">
        <v>0</v>
      </c>
      <c r="AE75" s="5">
        <f>SUM(Table[[#This Row],[Premissa 1]:[Premissa 8]])</f>
        <v>35</v>
      </c>
      <c r="AF75" s="5" t="s">
        <v>14</v>
      </c>
      <c r="AG75" t="s">
        <v>299</v>
      </c>
    </row>
    <row r="76" spans="1:33" ht="15" customHeight="1" x14ac:dyDescent="0.25">
      <c r="A76" s="4">
        <v>7928564039</v>
      </c>
      <c r="B76" s="5" t="str">
        <f>MID(Table[[#This Row],[Ativo]],1,2)</f>
        <v>79</v>
      </c>
      <c r="C76" s="5" t="s">
        <v>57</v>
      </c>
      <c r="D76" s="5" t="s">
        <v>58</v>
      </c>
      <c r="E76" s="5" t="s">
        <v>59</v>
      </c>
      <c r="F76" s="4" t="str">
        <f>IFERROR(_xlfn.XLOOKUP(Table[[#This Row],[Ativo]],Pendentes[COD_RELIGADOR],Pendentes[SS_ORIGINAL]),"CONCLUÍDA")</f>
        <v>ETO-COEP 00123/2026</v>
      </c>
      <c r="G76" s="4" t="s">
        <v>472</v>
      </c>
      <c r="O76" s="4" t="e">
        <f>VLOOKUP(Table[[#This Row],[SS aberta]],SGM!A:M,13,FALSE)</f>
        <v>#N/A</v>
      </c>
      <c r="S76" s="4" t="s">
        <v>474</v>
      </c>
      <c r="T76" s="29" t="s">
        <v>475</v>
      </c>
      <c r="U76" s="31">
        <v>1</v>
      </c>
      <c r="V76" t="str">
        <f>IFERROR(_xlfn.XLOOKUP(Table[[#This Row],[Ativo]],Pendentes[COD_RELIGADOR],Pendentes[DESCRICAO]),"")</f>
        <v>PARECER COEP: EQUIPAMENTO SELECIONADO PARA COMPRATroca do sistema de comunicação do equipamentoDMSL 28/07/2025: Equipamento com tanque, modulo e rele com defeito, solicitar troca do equipamento ao DCMD.Fotos vão ser enviadas por e-mail</v>
      </c>
      <c r="W76" s="5">
        <v>5</v>
      </c>
      <c r="X76" s="5">
        <v>10</v>
      </c>
      <c r="Y76" s="5">
        <v>5</v>
      </c>
      <c r="Z76" s="5">
        <v>0</v>
      </c>
      <c r="AA76" s="5">
        <v>0</v>
      </c>
      <c r="AB76" s="5">
        <v>10</v>
      </c>
      <c r="AC76" s="5">
        <v>0</v>
      </c>
      <c r="AD76" s="5">
        <v>0</v>
      </c>
      <c r="AE76" s="5">
        <f>SUM(Table[[#This Row],[Premissa 1]:[Premissa 8]])</f>
        <v>30</v>
      </c>
      <c r="AF76" s="5" t="s">
        <v>14</v>
      </c>
      <c r="AG76" t="s">
        <v>62</v>
      </c>
    </row>
    <row r="77" spans="1:33" ht="15" customHeight="1" x14ac:dyDescent="0.25">
      <c r="A77" s="4">
        <v>7957126085</v>
      </c>
      <c r="B77" s="5" t="str">
        <f>MID(Table[[#This Row],[Ativo]],1,2)</f>
        <v>79</v>
      </c>
      <c r="C77" s="5" t="s">
        <v>579</v>
      </c>
      <c r="D77" s="5" t="s">
        <v>117</v>
      </c>
      <c r="E77" s="5" t="s">
        <v>51</v>
      </c>
      <c r="F77" s="4" t="str">
        <f>IFERROR(_xlfn.XLOOKUP(Table[[#This Row],[Ativo]],Pendentes[COD_RELIGADOR],Pendentes[SS_ORIGINAL]),"CONCLUÍDA")</f>
        <v>CONCLUÍDA</v>
      </c>
      <c r="O77" s="4" t="e">
        <f>VLOOKUP(Table[[#This Row],[SS aberta]],SGM!A:M,13,FALSE)</f>
        <v>#N/A</v>
      </c>
      <c r="S77" s="4" t="s">
        <v>453</v>
      </c>
      <c r="T77" s="29"/>
      <c r="U77" s="31"/>
      <c r="V77" t="str">
        <f>IFERROR(_xlfn.XLOOKUP(Table[[#This Row],[Ativo]],Pendentes[COD_RELIGADOR],Pendentes[DESCRICAO]),"")</f>
        <v/>
      </c>
      <c r="W77" s="5">
        <v>5</v>
      </c>
      <c r="X77" s="5">
        <v>10</v>
      </c>
      <c r="Y77" s="5">
        <v>5</v>
      </c>
      <c r="Z77" s="5">
        <v>0</v>
      </c>
      <c r="AA77" s="5">
        <v>0</v>
      </c>
      <c r="AB77" s="5">
        <v>10</v>
      </c>
      <c r="AC77" s="5">
        <v>0</v>
      </c>
      <c r="AD77" s="5">
        <v>0</v>
      </c>
      <c r="AE77" s="5">
        <f>SUM(Table[[#This Row],[Premissa 1]:[Premissa 8]])</f>
        <v>30</v>
      </c>
      <c r="AF77" s="5" t="s">
        <v>14</v>
      </c>
      <c r="AG77" t="s">
        <v>580</v>
      </c>
    </row>
    <row r="78" spans="1:33" ht="15" customHeight="1" x14ac:dyDescent="0.25">
      <c r="A78" s="4">
        <v>5841308190</v>
      </c>
      <c r="B78" s="5" t="str">
        <f>MID(Table[[#This Row],[Ativo]],1,2)</f>
        <v>58</v>
      </c>
      <c r="C78" s="5" t="s">
        <v>581</v>
      </c>
      <c r="D78" s="5" t="s">
        <v>41</v>
      </c>
      <c r="E78" s="5" t="s">
        <v>42</v>
      </c>
      <c r="F78" s="4" t="str">
        <f>IFERROR(_xlfn.XLOOKUP(Table[[#This Row],[Ativo]],Pendentes[COD_RELIGADOR],Pendentes[SS_ORIGINAL]),"CONCLUÍDA")</f>
        <v>CONCLUÍDA</v>
      </c>
      <c r="O78" s="4" t="e">
        <f>VLOOKUP(Table[[#This Row],[SS aberta]],SGM!A:M,13,FALSE)</f>
        <v>#N/A</v>
      </c>
      <c r="S78" s="4" t="s">
        <v>582</v>
      </c>
      <c r="T78" s="29" t="s">
        <v>45</v>
      </c>
      <c r="U78" s="31"/>
      <c r="V78" t="str">
        <f>IFERROR(_xlfn.XLOOKUP(Table[[#This Row],[Ativo]],Pendentes[COD_RELIGADOR],Pendentes[DESCRICAO]),"")</f>
        <v/>
      </c>
      <c r="W78" s="5">
        <v>0</v>
      </c>
      <c r="X78" s="5">
        <v>20</v>
      </c>
      <c r="Y78" s="5">
        <v>0</v>
      </c>
      <c r="Z78" s="5">
        <v>10</v>
      </c>
      <c r="AA78" s="5">
        <v>0</v>
      </c>
      <c r="AB78" s="5" t="s">
        <v>45</v>
      </c>
      <c r="AC78" s="5" t="s">
        <v>45</v>
      </c>
      <c r="AD78" s="5" t="s">
        <v>45</v>
      </c>
      <c r="AE78" s="5">
        <f>SUM(Table[[#This Row],[Premissa 1]:[Premissa 8]])</f>
        <v>30</v>
      </c>
      <c r="AF78" s="5" t="s">
        <v>15</v>
      </c>
      <c r="AG78" t="s">
        <v>583</v>
      </c>
    </row>
    <row r="79" spans="1:33" ht="15" customHeight="1" x14ac:dyDescent="0.25">
      <c r="A79" s="12">
        <v>5844630060</v>
      </c>
      <c r="B79" s="5" t="str">
        <f>MID(Table[[#This Row],[Ativo]],1,2)</f>
        <v>58</v>
      </c>
      <c r="C79" s="5" t="s">
        <v>253</v>
      </c>
      <c r="D79" s="5" t="s">
        <v>94</v>
      </c>
      <c r="E79" s="5" t="s">
        <v>59</v>
      </c>
      <c r="F79" s="4" t="str">
        <f>IFERROR(_xlfn.XLOOKUP(Table[[#This Row],[Ativo]],Pendentes[COD_RELIGADOR],Pendentes[SS_ORIGINAL]),"CONCLUÍDA")</f>
        <v>ETO-TELE 01102/2026</v>
      </c>
      <c r="G79" s="4" t="s">
        <v>464</v>
      </c>
      <c r="I79" s="4" t="s">
        <v>654</v>
      </c>
      <c r="O79" s="4" t="str">
        <f>VLOOKUP(Table[[#This Row],[SS aberta]],SGM!A:M,13,FALSE)</f>
        <v>SS PENDENTE</v>
      </c>
      <c r="R79" s="4" t="s">
        <v>585</v>
      </c>
      <c r="S79" s="4" t="s">
        <v>459</v>
      </c>
      <c r="T79" s="29" t="s">
        <v>460</v>
      </c>
      <c r="U79" s="31">
        <v>1</v>
      </c>
      <c r="V79" t="str">
        <f>IFERROR(_xlfn.XLOOKUP(Table[[#This Row],[Ativo]],Pendentes[COD_RELIGADOR],Pendentes[DESCRICAO]),"")</f>
        <v>Segue nota para verificar falha em comandos via supervisório e constantes travamento no regulador de tensão 5844630060 - rural- Nova Olinda .Foi executado comandos no relé via supervisório, porém sem sucesso , em campo o equipamento está com a fase B travada no -16 .Obs: equipamento ficou fora de operação bay passado , favor agilizar atendimento !</v>
      </c>
      <c r="W79" s="5">
        <v>20</v>
      </c>
      <c r="X79" s="5">
        <v>0</v>
      </c>
      <c r="Y79" s="5">
        <v>0</v>
      </c>
      <c r="Z79" s="5">
        <v>10</v>
      </c>
      <c r="AA79" s="5">
        <v>0</v>
      </c>
      <c r="AB79" s="5" t="s">
        <v>45</v>
      </c>
      <c r="AC79" s="5" t="s">
        <v>45</v>
      </c>
      <c r="AD79" s="5" t="s">
        <v>45</v>
      </c>
      <c r="AE79" s="5">
        <f>SUM(Table[[#This Row],[Premissa 1]:[Premissa 8]])</f>
        <v>30</v>
      </c>
      <c r="AF79" s="5" t="s">
        <v>15</v>
      </c>
      <c r="AG79" t="s">
        <v>256</v>
      </c>
    </row>
    <row r="80" spans="1:33" ht="15" customHeight="1" x14ac:dyDescent="0.25">
      <c r="A80" s="4">
        <v>5855411017</v>
      </c>
      <c r="B80" s="5" t="str">
        <f>MID(Table[[#This Row],[Ativo]],1,2)</f>
        <v>58</v>
      </c>
      <c r="C80" s="5" t="s">
        <v>99</v>
      </c>
      <c r="D80" s="5" t="s">
        <v>100</v>
      </c>
      <c r="E80" s="5" t="s">
        <v>51</v>
      </c>
      <c r="F80" s="4" t="str">
        <f>IFERROR(_xlfn.XLOOKUP(Table[[#This Row],[Ativo]],Pendentes[COD_RELIGADOR],Pendentes[SS_ORIGINAL]),"CONCLUÍDA")</f>
        <v>ETO-COEP 00156/2026</v>
      </c>
      <c r="G80" s="4" t="s">
        <v>472</v>
      </c>
      <c r="O80" s="4" t="e">
        <f>VLOOKUP(Table[[#This Row],[SS aberta]],SGM!A:M,13,FALSE)</f>
        <v>#N/A</v>
      </c>
      <c r="S80" s="4" t="s">
        <v>474</v>
      </c>
      <c r="T80" s="29" t="s">
        <v>484</v>
      </c>
      <c r="U80" s="31">
        <v>1</v>
      </c>
      <c r="V80" t="str">
        <f>IFERROR(_xlfn.XLOOKUP(Table[[#This Row],[Ativo]],Pendentes[COD_RELIGADOR],Pendentes[DESCRICAO]),"")</f>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v>
      </c>
      <c r="W80" s="5">
        <v>0</v>
      </c>
      <c r="X80" s="5">
        <v>0</v>
      </c>
      <c r="Y80" s="5">
        <v>0</v>
      </c>
      <c r="Z80" s="5">
        <v>10</v>
      </c>
      <c r="AA80" s="5">
        <v>20</v>
      </c>
      <c r="AB80" s="5" t="s">
        <v>45</v>
      </c>
      <c r="AC80" s="5" t="s">
        <v>45</v>
      </c>
      <c r="AD80" s="5" t="s">
        <v>45</v>
      </c>
      <c r="AE80" s="5">
        <f>SUM(Table[[#This Row],[Premissa 1]:[Premissa 8]])</f>
        <v>30</v>
      </c>
      <c r="AF80" s="5" t="s">
        <v>15</v>
      </c>
      <c r="AG80" t="s">
        <v>103</v>
      </c>
    </row>
    <row r="81" spans="1:33" ht="15" customHeight="1" x14ac:dyDescent="0.25">
      <c r="A81" s="4">
        <v>7900505026</v>
      </c>
      <c r="B81" s="5" t="str">
        <f>MID(Table[[#This Row],[Ativo]],1,2)</f>
        <v>79</v>
      </c>
      <c r="C81" s="5" t="s">
        <v>135</v>
      </c>
      <c r="D81" s="5" t="s">
        <v>135</v>
      </c>
      <c r="E81" s="5" t="s">
        <v>51</v>
      </c>
      <c r="F81" s="4" t="str">
        <f>IFERROR(_xlfn.XLOOKUP(Table[[#This Row],[Ativo]],Pendentes[COD_RELIGADOR],Pendentes[SS_ORIGINAL]),"CONCLUÍDA")</f>
        <v>CONCLUÍDA</v>
      </c>
      <c r="O81" s="4" t="e">
        <f>VLOOKUP(Table[[#This Row],[SS aberta]],SGM!A:M,13,FALSE)</f>
        <v>#N/A</v>
      </c>
      <c r="S81" s="4" t="s">
        <v>453</v>
      </c>
      <c r="T81" s="29"/>
      <c r="U81" s="31"/>
      <c r="V81" t="str">
        <f>IFERROR(_xlfn.XLOOKUP(Table[[#This Row],[Ativo]],Pendentes[COD_RELIGADOR],Pendentes[DESCRICAO]),"")</f>
        <v/>
      </c>
      <c r="W81" s="5">
        <v>5</v>
      </c>
      <c r="X81" s="5">
        <v>5</v>
      </c>
      <c r="Y81" s="5">
        <v>5</v>
      </c>
      <c r="Z81" s="5">
        <v>0</v>
      </c>
      <c r="AA81" s="5">
        <v>0</v>
      </c>
      <c r="AB81" s="5">
        <v>0</v>
      </c>
      <c r="AC81" s="5">
        <v>10</v>
      </c>
      <c r="AD81" s="5">
        <v>0</v>
      </c>
      <c r="AE81" s="5">
        <f>SUM(Table[[#This Row],[Premissa 1]:[Premissa 8]])</f>
        <v>25</v>
      </c>
      <c r="AF81" s="5" t="s">
        <v>15</v>
      </c>
      <c r="AG81" t="s">
        <v>586</v>
      </c>
    </row>
    <row r="82" spans="1:33" ht="15" customHeight="1" x14ac:dyDescent="0.25">
      <c r="A82" s="12">
        <v>7908196047</v>
      </c>
      <c r="B82" s="5" t="str">
        <f>MID(Table[[#This Row],[Ativo]],1,2)</f>
        <v>79</v>
      </c>
      <c r="C82" s="5" t="s">
        <v>111</v>
      </c>
      <c r="D82" s="5" t="s">
        <v>470</v>
      </c>
      <c r="E82" s="5" t="s">
        <v>42</v>
      </c>
      <c r="F82" s="4" t="str">
        <f>IFERROR(_xlfn.XLOOKUP(Table[[#This Row],[Ativo]],Pendentes[COD_RELIGADOR],Pendentes[SS_ORIGINAL]),"CONCLUÍDA")</f>
        <v>ETO-COEP 00168/2026</v>
      </c>
      <c r="G82" s="4" t="s">
        <v>472</v>
      </c>
      <c r="O82" s="4" t="e">
        <f>VLOOKUP(Table[[#This Row],[SS aberta]],SGM!A:M,13,FALSE)</f>
        <v>#N/A</v>
      </c>
      <c r="S82" s="4" t="s">
        <v>474</v>
      </c>
      <c r="T82" s="29" t="s">
        <v>475</v>
      </c>
      <c r="U82" s="31">
        <v>1</v>
      </c>
      <c r="V82" t="str">
        <f>IFERROR(_xlfn.XLOOKUP(Table[[#This Row],[Ativo]],Pendentes[COD_RELIGADOR],Pendentes[DESCRICAO]),"")</f>
        <v>03/08/2026 PARECER DMSL: FOI CONFIRMADO PELO VONES DO DCMD QUE O EQUIPAMENTO AINDA NÃO FOI SUBSTITUÍDO. FAVOR, APÓS SUBSTITUIÇÃO, REPASSAR A NOTA PARA A PROTEÇÃO PARA REVISAR OS AJUSTES, POIS TRATA-SE DE ALTERAÇÃO DO MODELO DO EQUIPAMENTO.13/07/2026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v>
      </c>
      <c r="W82" s="5">
        <v>5</v>
      </c>
      <c r="X82" s="5">
        <v>5</v>
      </c>
      <c r="Y82" s="5">
        <v>5</v>
      </c>
      <c r="Z82" s="5">
        <v>0</v>
      </c>
      <c r="AA82" s="5">
        <v>0</v>
      </c>
      <c r="AB82" s="5">
        <v>0</v>
      </c>
      <c r="AC82" s="5">
        <v>10</v>
      </c>
      <c r="AD82" s="5">
        <v>0</v>
      </c>
      <c r="AE82" s="5">
        <f>SUM(Table[[#This Row],[Premissa 1]:[Premissa 8]])</f>
        <v>25</v>
      </c>
      <c r="AF82" s="5" t="s">
        <v>15</v>
      </c>
      <c r="AG82" t="s">
        <v>115</v>
      </c>
    </row>
    <row r="83" spans="1:33" ht="15" customHeight="1" x14ac:dyDescent="0.25">
      <c r="A83" s="4">
        <v>7921202014</v>
      </c>
      <c r="B83" s="5" t="str">
        <f>MID(Table[[#This Row],[Ativo]],1,2)</f>
        <v>79</v>
      </c>
      <c r="C83" s="5" t="s">
        <v>164</v>
      </c>
      <c r="D83" s="5" t="s">
        <v>117</v>
      </c>
      <c r="E83" s="5" t="s">
        <v>51</v>
      </c>
      <c r="F83" s="4" t="str">
        <f>IFERROR(_xlfn.XLOOKUP(Table[[#This Row],[Ativo]],Pendentes[COD_RELIGADOR],Pendentes[SS_ORIGINAL]),"CONCLUÍDA")</f>
        <v>ETO-COEP 00132/2026</v>
      </c>
      <c r="G83" s="4" t="s">
        <v>472</v>
      </c>
      <c r="O83" s="4" t="e">
        <f>VLOOKUP(Table[[#This Row],[SS aberta]],SGM!A:M,13,FALSE)</f>
        <v>#N/A</v>
      </c>
      <c r="S83" s="4" t="s">
        <v>474</v>
      </c>
      <c r="T83" s="29" t="s">
        <v>508</v>
      </c>
      <c r="U83" s="31">
        <v>1</v>
      </c>
      <c r="V83" t="str">
        <f>IFERROR(_xlfn.XLOOKUP(Table[[#This Row],[Ativo]],Pendentes[COD_RELIGADOR],Pendentes[DESCRICAO]),"")</f>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v>
      </c>
      <c r="W83" s="5">
        <v>5</v>
      </c>
      <c r="X83" s="5">
        <v>5</v>
      </c>
      <c r="Y83" s="5">
        <v>5</v>
      </c>
      <c r="Z83" s="5">
        <v>0</v>
      </c>
      <c r="AA83" s="5">
        <v>0</v>
      </c>
      <c r="AB83" s="5">
        <v>10</v>
      </c>
      <c r="AC83" s="5">
        <v>0</v>
      </c>
      <c r="AD83" s="5">
        <v>0</v>
      </c>
      <c r="AE83" s="5">
        <f>SUM(Table[[#This Row],[Premissa 1]:[Premissa 8]])</f>
        <v>25</v>
      </c>
      <c r="AF83" s="5" t="s">
        <v>15</v>
      </c>
      <c r="AG83" t="s">
        <v>316</v>
      </c>
    </row>
    <row r="84" spans="1:33" ht="15" customHeight="1" x14ac:dyDescent="0.25">
      <c r="A84" s="4">
        <v>7923927122</v>
      </c>
      <c r="B84" s="5" t="str">
        <f>MID(Table[[#This Row],[Ativo]],1,2)</f>
        <v>79</v>
      </c>
      <c r="C84" s="5" t="s">
        <v>264</v>
      </c>
      <c r="D84" s="5" t="s">
        <v>264</v>
      </c>
      <c r="E84" s="5" t="s">
        <v>51</v>
      </c>
      <c r="F84" s="4" t="str">
        <f>IFERROR(_xlfn.XLOOKUP(Table[[#This Row],[Ativo]],Pendentes[COD_RELIGADOR],Pendentes[SS_ORIGINAL]),"CONCLUÍDA")</f>
        <v>ETO-COEP 00148/2026</v>
      </c>
      <c r="G84" s="4" t="s">
        <v>472</v>
      </c>
      <c r="O84" s="4" t="e">
        <f>VLOOKUP(Table[[#This Row],[SS aberta]],SGM!A:M,13,FALSE)</f>
        <v>#N/A</v>
      </c>
      <c r="S84" s="4" t="s">
        <v>474</v>
      </c>
      <c r="T84" s="29" t="s">
        <v>508</v>
      </c>
      <c r="U84" s="31">
        <v>1</v>
      </c>
      <c r="V84" t="str">
        <f>IFERROR(_xlfn.XLOOKUP(Table[[#This Row],[Ativo]],Pendentes[COD_RELIGADOR],Pendentes[DESCRICAO]),"")</f>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v>
      </c>
      <c r="W84" s="5">
        <v>15</v>
      </c>
      <c r="X84" s="5">
        <v>0</v>
      </c>
      <c r="Y84" s="5">
        <v>0</v>
      </c>
      <c r="Z84" s="5">
        <v>0</v>
      </c>
      <c r="AA84" s="5">
        <v>0</v>
      </c>
      <c r="AB84" s="5">
        <v>10</v>
      </c>
      <c r="AC84" s="5">
        <v>0</v>
      </c>
      <c r="AD84" s="5">
        <v>0</v>
      </c>
      <c r="AE84" s="5">
        <f>SUM(Table[[#This Row],[Premissa 1]:[Premissa 8]])</f>
        <v>25</v>
      </c>
      <c r="AF84" s="5" t="s">
        <v>15</v>
      </c>
      <c r="AG84" t="s">
        <v>266</v>
      </c>
    </row>
    <row r="85" spans="1:33" ht="15" customHeight="1" x14ac:dyDescent="0.25">
      <c r="A85" s="4">
        <v>7927446001</v>
      </c>
      <c r="B85" s="5" t="str">
        <f>MID(Table[[#This Row],[Ativo]],1,2)</f>
        <v>79</v>
      </c>
      <c r="C85" s="5" t="s">
        <v>50</v>
      </c>
      <c r="D85" s="5" t="s">
        <v>50</v>
      </c>
      <c r="E85" s="5" t="s">
        <v>51</v>
      </c>
      <c r="F85" s="4" t="str">
        <f>IFERROR(_xlfn.XLOOKUP(Table[[#This Row],[Ativo]],Pendentes[COD_RELIGADOR],Pendentes[SS_ORIGINAL]),"CONCLUÍDA")</f>
        <v>ETO-COEP 00143/2025</v>
      </c>
      <c r="G85" s="4" t="s">
        <v>472</v>
      </c>
      <c r="O85" s="4" t="e">
        <f>VLOOKUP(Table[[#This Row],[SS aberta]],SGM!A:M,13,FALSE)</f>
        <v>#N/A</v>
      </c>
      <c r="S85" s="4" t="s">
        <v>474</v>
      </c>
      <c r="T85" s="29" t="s">
        <v>475</v>
      </c>
      <c r="U85" s="31">
        <v>1</v>
      </c>
      <c r="V85" t="str">
        <f>IFERROR(_xlfn.XLOOKUP(Table[[#This Row],[Ativo]],Pendentes[COD_RELIGADOR],Pendentes[DESCRICAO]),"")</f>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v>
      </c>
      <c r="W85" s="5">
        <v>5</v>
      </c>
      <c r="X85" s="5">
        <v>5</v>
      </c>
      <c r="Y85" s="5">
        <v>5</v>
      </c>
      <c r="Z85" s="5">
        <v>0</v>
      </c>
      <c r="AA85" s="5">
        <v>0</v>
      </c>
      <c r="AB85" s="5">
        <v>10</v>
      </c>
      <c r="AC85" s="5">
        <v>0</v>
      </c>
      <c r="AD85" s="5">
        <v>0</v>
      </c>
      <c r="AE85" s="5">
        <f>SUM(Table[[#This Row],[Premissa 1]:[Premissa 8]])</f>
        <v>25</v>
      </c>
      <c r="AF85" s="5" t="s">
        <v>15</v>
      </c>
      <c r="AG85" t="s">
        <v>322</v>
      </c>
    </row>
    <row r="86" spans="1:33" ht="15" customHeight="1" x14ac:dyDescent="0.25">
      <c r="A86" s="4">
        <v>7928241200</v>
      </c>
      <c r="B86" s="5" t="str">
        <f>MID(Table[[#This Row],[Ativo]],1,2)</f>
        <v>79</v>
      </c>
      <c r="C86" s="5" t="s">
        <v>293</v>
      </c>
      <c r="D86" s="5" t="s">
        <v>224</v>
      </c>
      <c r="E86" s="5" t="s">
        <v>42</v>
      </c>
      <c r="F86" s="4" t="str">
        <f>IFERROR(_xlfn.XLOOKUP(Table[[#This Row],[Ativo]],Pendentes[COD_RELIGADOR],Pendentes[SS_ORIGINAL]),"CONCLUÍDA")</f>
        <v>ETO-COEP 00128/2026</v>
      </c>
      <c r="G86" s="4" t="s">
        <v>472</v>
      </c>
      <c r="O86" s="4" t="e">
        <f>VLOOKUP(Table[[#This Row],[SS aberta]],SGM!A:M,13,FALSE)</f>
        <v>#N/A</v>
      </c>
      <c r="S86" s="4" t="s">
        <v>474</v>
      </c>
      <c r="T86" s="29" t="s">
        <v>508</v>
      </c>
      <c r="U86" s="31">
        <v>1</v>
      </c>
      <c r="V86" t="str">
        <f>IFERROR(_xlfn.XLOOKUP(Table[[#This Row],[Ativo]],Pendentes[COD_RELIGADOR],Pendentes[DESCRICAO]),"")</f>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v>
      </c>
      <c r="W86" s="5">
        <v>5</v>
      </c>
      <c r="X86" s="5">
        <v>5</v>
      </c>
      <c r="Y86" s="5">
        <v>5</v>
      </c>
      <c r="Z86" s="5">
        <v>0</v>
      </c>
      <c r="AA86" s="5">
        <v>0</v>
      </c>
      <c r="AB86" s="5">
        <v>10</v>
      </c>
      <c r="AC86" s="5">
        <v>0</v>
      </c>
      <c r="AD86" s="5">
        <v>0</v>
      </c>
      <c r="AE86" s="5">
        <f>SUM(Table[[#This Row],[Premissa 1]:[Premissa 8]])</f>
        <v>25</v>
      </c>
      <c r="AF86" s="5" t="s">
        <v>15</v>
      </c>
      <c r="AG86" t="s">
        <v>326</v>
      </c>
    </row>
    <row r="87" spans="1:33" ht="15" customHeight="1" x14ac:dyDescent="0.25">
      <c r="A87" s="4">
        <v>7942485096</v>
      </c>
      <c r="B87" s="5" t="str">
        <f>MID(Table[[#This Row],[Ativo]],1,2)</f>
        <v>79</v>
      </c>
      <c r="C87" s="5" t="s">
        <v>310</v>
      </c>
      <c r="D87" s="5" t="s">
        <v>135</v>
      </c>
      <c r="E87" s="5" t="s">
        <v>51</v>
      </c>
      <c r="F87" s="4" t="str">
        <f>IFERROR(_xlfn.XLOOKUP(Table[[#This Row],[Ativo]],Pendentes[COD_RELIGADOR],Pendentes[SS_ORIGINAL]),"CONCLUÍDA")</f>
        <v>ETO-COEP 00158/2025</v>
      </c>
      <c r="G87" s="5" t="s">
        <v>472</v>
      </c>
      <c r="H87" s="5"/>
      <c r="I87" s="5"/>
      <c r="J87" s="5"/>
      <c r="K87" s="5"/>
      <c r="L87" s="5"/>
      <c r="M87" s="5"/>
      <c r="N87" s="5"/>
      <c r="O87" s="4" t="e">
        <f>VLOOKUP(Table[[#This Row],[SS aberta]],SGM!A:M,13,FALSE)</f>
        <v>#N/A</v>
      </c>
      <c r="P87" s="5"/>
      <c r="Q87" s="5"/>
      <c r="S87" s="4" t="s">
        <v>474</v>
      </c>
      <c r="T87" s="29" t="s">
        <v>508</v>
      </c>
      <c r="U87" s="31">
        <v>1</v>
      </c>
      <c r="V87" t="str">
        <f>IFERROR(_xlfn.XLOOKUP(Table[[#This Row],[Ativo]],Pendentes[COD_RELIGADOR],Pendentes[DESCRICAO]),"")</f>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v>
      </c>
      <c r="W87" s="5">
        <v>5</v>
      </c>
      <c r="X87" s="5">
        <v>5</v>
      </c>
      <c r="Y87" s="5">
        <v>5</v>
      </c>
      <c r="Z87" s="5">
        <v>0</v>
      </c>
      <c r="AA87" s="5">
        <v>0</v>
      </c>
      <c r="AB87" s="5">
        <v>10</v>
      </c>
      <c r="AC87" s="5">
        <v>0</v>
      </c>
      <c r="AD87" s="5">
        <v>0</v>
      </c>
      <c r="AE87" s="5">
        <f>SUM(Table[[#This Row],[Premissa 1]:[Premissa 8]])</f>
        <v>25</v>
      </c>
      <c r="AF87" s="5" t="s">
        <v>15</v>
      </c>
      <c r="AG87" t="s">
        <v>312</v>
      </c>
    </row>
    <row r="88" spans="1:33" ht="15" customHeight="1" x14ac:dyDescent="0.25">
      <c r="A88" s="4">
        <v>7955430075</v>
      </c>
      <c r="B88" s="5" t="str">
        <f>MID(Table[[#This Row],[Ativo]],1,2)</f>
        <v>79</v>
      </c>
      <c r="C88" s="5" t="s">
        <v>590</v>
      </c>
      <c r="D88" s="5" t="s">
        <v>152</v>
      </c>
      <c r="E88" s="5" t="s">
        <v>51</v>
      </c>
      <c r="F88" s="4" t="str">
        <f>IFERROR(_xlfn.XLOOKUP(Table[[#This Row],[Ativo]],Pendentes[COD_RELIGADOR],Pendentes[SS_ORIGINAL]),"CONCLUÍDA")</f>
        <v>CONCLUÍDA</v>
      </c>
      <c r="O88" s="4" t="e">
        <f>VLOOKUP(Table[[#This Row],[SS aberta]],SGM!A:M,13,FALSE)</f>
        <v>#N/A</v>
      </c>
      <c r="S88" s="4" t="s">
        <v>453</v>
      </c>
      <c r="T88" s="29"/>
      <c r="U88" s="31"/>
      <c r="V88" t="str">
        <f>IFERROR(_xlfn.XLOOKUP(Table[[#This Row],[Ativo]],Pendentes[COD_RELIGADOR],Pendentes[DESCRICAO]),"")</f>
        <v/>
      </c>
      <c r="W88" s="5">
        <v>5</v>
      </c>
      <c r="X88" s="5">
        <v>5</v>
      </c>
      <c r="Y88" s="5">
        <v>5</v>
      </c>
      <c r="Z88" s="5">
        <v>0</v>
      </c>
      <c r="AA88" s="5">
        <v>0</v>
      </c>
      <c r="AB88" s="5">
        <v>0</v>
      </c>
      <c r="AC88" s="5">
        <v>10</v>
      </c>
      <c r="AD88" s="5">
        <v>0</v>
      </c>
      <c r="AE88" s="5">
        <f>SUM(Table[[#This Row],[Premissa 1]:[Premissa 8]])</f>
        <v>25</v>
      </c>
      <c r="AF88" s="5" t="s">
        <v>15</v>
      </c>
      <c r="AG88" t="s">
        <v>591</v>
      </c>
    </row>
    <row r="89" spans="1:33" ht="15" customHeight="1" x14ac:dyDescent="0.25">
      <c r="A89" s="4">
        <v>7955686076</v>
      </c>
      <c r="B89" s="5" t="str">
        <f>MID(Table[[#This Row],[Ativo]],1,2)</f>
        <v>79</v>
      </c>
      <c r="C89" s="5" t="s">
        <v>209</v>
      </c>
      <c r="D89" s="5" t="s">
        <v>210</v>
      </c>
      <c r="E89" s="5" t="s">
        <v>42</v>
      </c>
      <c r="F89" s="4" t="str">
        <f>IFERROR(_xlfn.XLOOKUP(Table[[#This Row],[Ativo]],Pendentes[COD_RELIGADOR],Pendentes[SS_ORIGINAL]),"CONCLUÍDA")</f>
        <v>CONCLUÍDA</v>
      </c>
      <c r="O89" s="4" t="e">
        <f>VLOOKUP(Table[[#This Row],[SS aberta]],SGM!A:M,13,FALSE)</f>
        <v>#N/A</v>
      </c>
      <c r="S89" s="4" t="s">
        <v>453</v>
      </c>
      <c r="T89" s="29"/>
      <c r="U89" s="31"/>
      <c r="V89" t="str">
        <f>IFERROR(_xlfn.XLOOKUP(Table[[#This Row],[Ativo]],Pendentes[COD_RELIGADOR],Pendentes[DESCRICAO]),"")</f>
        <v/>
      </c>
      <c r="W89" s="5">
        <v>5</v>
      </c>
      <c r="X89" s="5">
        <v>5</v>
      </c>
      <c r="Y89" s="5">
        <v>0</v>
      </c>
      <c r="Z89" s="5">
        <v>0</v>
      </c>
      <c r="AA89" s="5">
        <v>15</v>
      </c>
      <c r="AB89" s="5">
        <v>0</v>
      </c>
      <c r="AC89" s="5">
        <v>0</v>
      </c>
      <c r="AD89" s="5">
        <v>0</v>
      </c>
      <c r="AE89" s="5">
        <f>SUM(Table[[#This Row],[Premissa 1]:[Premissa 8]])</f>
        <v>25</v>
      </c>
      <c r="AF89" s="5" t="s">
        <v>15</v>
      </c>
      <c r="AG89" t="s">
        <v>592</v>
      </c>
    </row>
    <row r="90" spans="1:33" ht="15" customHeight="1" x14ac:dyDescent="0.25">
      <c r="A90" s="4">
        <v>7955946007</v>
      </c>
      <c r="B90" s="5" t="str">
        <f>MID(Table[[#This Row],[Ativo]],1,2)</f>
        <v>79</v>
      </c>
      <c r="C90" s="5" t="s">
        <v>100</v>
      </c>
      <c r="D90" s="5" t="s">
        <v>100</v>
      </c>
      <c r="E90" s="5" t="s">
        <v>51</v>
      </c>
      <c r="F90" s="4" t="str">
        <f>IFERROR(_xlfn.XLOOKUP(Table[[#This Row],[Ativo]],Pendentes[COD_RELIGADOR],Pendentes[SS_ORIGINAL]),"CONCLUÍDA")</f>
        <v>ETO-COEP 00134/2026</v>
      </c>
      <c r="G90" s="4" t="s">
        <v>472</v>
      </c>
      <c r="O90" s="4" t="e">
        <f>VLOOKUP(Table[[#This Row],[SS aberta]],SGM!A:M,13,FALSE)</f>
        <v>#N/A</v>
      </c>
      <c r="S90" s="4" t="s">
        <v>474</v>
      </c>
      <c r="T90" s="29" t="s">
        <v>466</v>
      </c>
      <c r="U90" s="31">
        <v>1</v>
      </c>
      <c r="V90" t="str">
        <f>IFERROR(_xlfn.XLOOKUP(Table[[#This Row],[Ativo]],Pendentes[COD_RELIGADOR],Pendentes[DESCRICAO]),"")</f>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v>
      </c>
      <c r="W90" s="5">
        <v>5</v>
      </c>
      <c r="X90" s="5">
        <v>5</v>
      </c>
      <c r="Y90" s="5">
        <v>5</v>
      </c>
      <c r="Z90" s="5">
        <v>0</v>
      </c>
      <c r="AA90" s="5">
        <v>0</v>
      </c>
      <c r="AB90" s="5">
        <v>0</v>
      </c>
      <c r="AC90" s="5">
        <v>10</v>
      </c>
      <c r="AD90" s="5">
        <v>0</v>
      </c>
      <c r="AE90" s="5">
        <f>SUM(Table[[#This Row],[Premissa 1]:[Premissa 8]])</f>
        <v>25</v>
      </c>
      <c r="AF90" s="5" t="s">
        <v>15</v>
      </c>
      <c r="AG90" t="s">
        <v>247</v>
      </c>
    </row>
    <row r="91" spans="1:33" ht="15" customHeight="1" x14ac:dyDescent="0.25">
      <c r="A91" s="4">
        <v>7901110084</v>
      </c>
      <c r="B91" s="5" t="str">
        <f>MID(Table[[#This Row],[Ativo]],1,2)</f>
        <v>79</v>
      </c>
      <c r="C91" s="5" t="s">
        <v>152</v>
      </c>
      <c r="D91" s="5" t="s">
        <v>152</v>
      </c>
      <c r="E91" s="5" t="s">
        <v>51</v>
      </c>
      <c r="F91" s="4" t="str">
        <f>IFERROR(_xlfn.XLOOKUP(Table[[#This Row],[Ativo]],Pendentes[COD_RELIGADOR],Pendentes[SS_ORIGINAL]),"CONCLUÍDA")</f>
        <v>ETO-COEP 00061/2026</v>
      </c>
      <c r="G91" s="4" t="s">
        <v>472</v>
      </c>
      <c r="O91" s="4" t="e">
        <f>VLOOKUP(Table[[#This Row],[SS aberta]],SGM!A:M,13,FALSE)</f>
        <v>#N/A</v>
      </c>
      <c r="S91" s="4" t="s">
        <v>474</v>
      </c>
      <c r="T91" s="29" t="s">
        <v>508</v>
      </c>
      <c r="U91" s="31">
        <v>1</v>
      </c>
      <c r="V91" t="str">
        <f>IFERROR(_xlfn.XLOOKUP(Table[[#This Row],[Ativo]],Pendentes[COD_RELIGADOR],Pendentes[DESCRICAO]),"")</f>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v>
      </c>
      <c r="W91" s="5">
        <v>5</v>
      </c>
      <c r="X91" s="5">
        <v>5</v>
      </c>
      <c r="Y91" s="5">
        <v>0</v>
      </c>
      <c r="Z91" s="5">
        <v>0</v>
      </c>
      <c r="AA91" s="5">
        <v>0</v>
      </c>
      <c r="AB91" s="5">
        <v>0</v>
      </c>
      <c r="AC91" s="5">
        <v>10</v>
      </c>
      <c r="AD91" s="5">
        <v>0</v>
      </c>
      <c r="AE91" s="5">
        <f>SUM(Table[[#This Row],[Premissa 1]:[Premissa 8]])</f>
        <v>20</v>
      </c>
      <c r="AF91" s="5" t="s">
        <v>15</v>
      </c>
      <c r="AG91" t="s">
        <v>155</v>
      </c>
    </row>
    <row r="92" spans="1:33" ht="15" customHeight="1" x14ac:dyDescent="0.25">
      <c r="A92" s="4">
        <v>7908206074</v>
      </c>
      <c r="B92" s="5" t="str">
        <f>MID(Table[[#This Row],[Ativo]],1,2)</f>
        <v>79</v>
      </c>
      <c r="C92" s="5" t="s">
        <v>41</v>
      </c>
      <c r="D92" s="5" t="s">
        <v>41</v>
      </c>
      <c r="E92" s="5" t="s">
        <v>42</v>
      </c>
      <c r="F92" s="4" t="str">
        <f>IFERROR(_xlfn.XLOOKUP(Table[[#This Row],[Ativo]],Pendentes[COD_RELIGADOR],Pendentes[SS_ORIGINAL]),"CONCLUÍDA")</f>
        <v>CONCLUÍDA</v>
      </c>
      <c r="O92" s="4" t="e">
        <f>VLOOKUP(Table[[#This Row],[SS aberta]],SGM!A:M,13,FALSE)</f>
        <v>#N/A</v>
      </c>
      <c r="S92" s="4" t="s">
        <v>453</v>
      </c>
      <c r="T92" s="29"/>
      <c r="U92" s="31"/>
      <c r="V92" t="str">
        <f>IFERROR(_xlfn.XLOOKUP(Table[[#This Row],[Ativo]],Pendentes[COD_RELIGADOR],Pendentes[DESCRICAO]),"")</f>
        <v/>
      </c>
      <c r="W92" s="5">
        <v>5</v>
      </c>
      <c r="X92" s="5">
        <v>5</v>
      </c>
      <c r="Y92" s="5">
        <v>0</v>
      </c>
      <c r="Z92" s="5">
        <v>0</v>
      </c>
      <c r="AA92" s="5">
        <v>0</v>
      </c>
      <c r="AB92" s="5">
        <v>0</v>
      </c>
      <c r="AC92" s="5">
        <v>10</v>
      </c>
      <c r="AD92" s="5">
        <v>0</v>
      </c>
      <c r="AE92" s="5">
        <f>SUM(Table[[#This Row],[Premissa 1]:[Premissa 8]])</f>
        <v>20</v>
      </c>
      <c r="AF92" s="5" t="s">
        <v>15</v>
      </c>
      <c r="AG92" t="s">
        <v>593</v>
      </c>
    </row>
    <row r="93" spans="1:33" ht="15" customHeight="1" x14ac:dyDescent="0.25">
      <c r="A93" s="12">
        <v>7908708116</v>
      </c>
      <c r="B93" s="5" t="str">
        <f>MID(Table[[#This Row],[Ativo]],1,2)</f>
        <v>79</v>
      </c>
      <c r="C93" s="5" t="s">
        <v>215</v>
      </c>
      <c r="D93" s="5" t="s">
        <v>41</v>
      </c>
      <c r="E93" s="5" t="s">
        <v>42</v>
      </c>
      <c r="F93" s="4" t="str">
        <f>IFERROR(_xlfn.XLOOKUP(Table[[#This Row],[Ativo]],Pendentes[COD_RELIGADOR],Pendentes[SS_ORIGINAL]),"CONCLUÍDA")</f>
        <v>ETO-PROT 00165/2026</v>
      </c>
      <c r="G93" s="4" t="s">
        <v>457</v>
      </c>
      <c r="I93" s="5" t="s">
        <v>654</v>
      </c>
      <c r="O93" s="4" t="e">
        <f>VLOOKUP(Table[[#This Row],[SS aberta]],SGM!A:M,13,FALSE)</f>
        <v>#N/A</v>
      </c>
      <c r="R93" s="4" t="s">
        <v>558</v>
      </c>
      <c r="S93" s="4" t="s">
        <v>474</v>
      </c>
      <c r="T93" s="29" t="s">
        <v>475</v>
      </c>
      <c r="U93" s="31"/>
      <c r="V93" t="str">
        <f>IFERROR(_xlfn.XLOOKUP(Table[[#This Row],[Ativo]],Pendentes[COD_RELIGADOR],Pendentes[DESCRICAO]),"")</f>
        <v>COCMS: 12/08/2026PART ATIVA DO RELIGADOR FOI SUBSTITUIDA.GENTILEZA COMISSIONAR EQUIPAMENTO. SUBSTITUIR PARTE ATIVA DO RELIGADOR 7908708116. LV. ABRIR JUNTE DE ENTRADA E SAIDA DO RELIGADOR PARA POSSIBILITAR SUBSTITUIÇÃO DO MESMO.</v>
      </c>
      <c r="W93" s="5">
        <v>5</v>
      </c>
      <c r="X93" s="5">
        <v>5</v>
      </c>
      <c r="Y93" s="5">
        <v>0</v>
      </c>
      <c r="Z93" s="5">
        <v>0</v>
      </c>
      <c r="AA93" s="5">
        <v>0</v>
      </c>
      <c r="AB93" s="5">
        <v>0</v>
      </c>
      <c r="AC93" s="5">
        <v>10</v>
      </c>
      <c r="AD93" s="5">
        <v>0</v>
      </c>
      <c r="AE93" s="5">
        <f>SUM(Table[[#This Row],[Premissa 1]:[Premissa 8]])</f>
        <v>20</v>
      </c>
      <c r="AF93" s="5" t="s">
        <v>15</v>
      </c>
      <c r="AG93" t="s">
        <v>217</v>
      </c>
    </row>
    <row r="94" spans="1:33" ht="15" customHeight="1" x14ac:dyDescent="0.25">
      <c r="A94" s="4">
        <v>7910027196</v>
      </c>
      <c r="B94" s="5" t="str">
        <f>MID(Table[[#This Row],[Ativo]],1,2)</f>
        <v>79</v>
      </c>
      <c r="C94" s="5" t="s">
        <v>233</v>
      </c>
      <c r="D94" s="5" t="s">
        <v>74</v>
      </c>
      <c r="E94" s="5" t="s">
        <v>51</v>
      </c>
      <c r="F94" s="4" t="str">
        <f>IFERROR(_xlfn.XLOOKUP(Table[[#This Row],[Ativo]],Pendentes[COD_RELIGADOR],Pendentes[SS_ORIGINAL]),"CONCLUÍDA")</f>
        <v>ETO-COEP 00154/2026</v>
      </c>
      <c r="G94" s="4" t="s">
        <v>472</v>
      </c>
      <c r="O94" s="4" t="e">
        <f>VLOOKUP(Table[[#This Row],[SS aberta]],SGM!A:M,13,FALSE)</f>
        <v>#N/A</v>
      </c>
      <c r="S94" s="4" t="s">
        <v>474</v>
      </c>
      <c r="T94" s="29" t="s">
        <v>475</v>
      </c>
      <c r="U94" s="31">
        <v>1</v>
      </c>
      <c r="V94" t="str">
        <f>IFERROR(_xlfn.XLOOKUP(Table[[#This Row],[Ativo]],Pendentes[COD_RELIGADOR],Pendentes[DESCRICAO]),"")</f>
        <v>13/07/2026 PARECER COEP: NÃO FAZ SENTIDO FAZER A TROCA DE EQUIPAMENTO COMPLETO APENAS POR CAUSA DA FASE B , QUE PARECE SER UM ERRO DE CALIBRAÇÃO.PARECER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equipe)PARECER DMSL(22/07/26): O religador está fora de operação desde 11/2025. Necessitando substituição completa em função do defeito de leitura de corrente da fase B. Preservar apenas o radio e antena.</v>
      </c>
      <c r="W94" s="5">
        <v>5</v>
      </c>
      <c r="X94" s="5">
        <v>5</v>
      </c>
      <c r="Y94" s="5">
        <v>0</v>
      </c>
      <c r="Z94" s="5">
        <v>0</v>
      </c>
      <c r="AA94" s="5">
        <v>0</v>
      </c>
      <c r="AB94" s="5">
        <v>0</v>
      </c>
      <c r="AC94" s="5">
        <v>10</v>
      </c>
      <c r="AD94" s="5">
        <v>0</v>
      </c>
      <c r="AE94" s="5">
        <f>SUM(Table[[#This Row],[Premissa 1]:[Premissa 8]])</f>
        <v>20</v>
      </c>
      <c r="AF94" s="5" t="s">
        <v>15</v>
      </c>
      <c r="AG94" t="s">
        <v>236</v>
      </c>
    </row>
    <row r="95" spans="1:33" ht="15" customHeight="1" x14ac:dyDescent="0.25">
      <c r="A95" s="4">
        <v>7913662076</v>
      </c>
      <c r="B95" s="5" t="str">
        <f>MID(Table[[#This Row],[Ativo]],1,2)</f>
        <v>79</v>
      </c>
      <c r="C95" s="5" t="s">
        <v>209</v>
      </c>
      <c r="D95" s="5" t="s">
        <v>210</v>
      </c>
      <c r="E95" s="5" t="s">
        <v>42</v>
      </c>
      <c r="F95" s="4" t="str">
        <f>IFERROR(_xlfn.XLOOKUP(Table[[#This Row],[Ativo]],Pendentes[COD_RELIGADOR],Pendentes[SS_ORIGINAL]),"CONCLUÍDA")</f>
        <v>ETO-COEP 00114/2026</v>
      </c>
      <c r="G95" s="4" t="s">
        <v>472</v>
      </c>
      <c r="O95" s="4" t="e">
        <f>VLOOKUP(Table[[#This Row],[SS aberta]],SGM!A:M,13,FALSE)</f>
        <v>#N/A</v>
      </c>
      <c r="R95" s="4" t="s">
        <v>595</v>
      </c>
      <c r="S95" s="4" t="s">
        <v>474</v>
      </c>
      <c r="T95" s="29" t="s">
        <v>508</v>
      </c>
      <c r="U95" s="31">
        <v>1</v>
      </c>
      <c r="V95" t="str">
        <f>IFERROR(_xlfn.XLOOKUP(Table[[#This Row],[Ativo]],Pendentes[COD_RELIGADOR],Pendentes[DESCRICAO]),"")</f>
        <v>27/07 PARECER COEP: TANQUE DANIFICADO DA 13,5Aberto nota para substituir tanque danificado e chave de entrada fase B danificadaPARECER DMSL: Foi confirmado pela equipe DMSL o defeito do tanque, favor seguir com a substituição e correção da chave de entrada fase B danificada.</v>
      </c>
      <c r="W95" s="5">
        <v>5</v>
      </c>
      <c r="X95" s="5">
        <v>5</v>
      </c>
      <c r="Y95" s="5">
        <v>0</v>
      </c>
      <c r="Z95" s="5">
        <v>0</v>
      </c>
      <c r="AA95" s="5">
        <v>0</v>
      </c>
      <c r="AB95" s="5">
        <v>10</v>
      </c>
      <c r="AC95" s="5">
        <v>0</v>
      </c>
      <c r="AD95" s="5">
        <v>0</v>
      </c>
      <c r="AE95" s="5">
        <f>SUM(Table[[#This Row],[Premissa 1]:[Premissa 8]])</f>
        <v>20</v>
      </c>
      <c r="AF95" s="5" t="s">
        <v>15</v>
      </c>
      <c r="AG95" t="s">
        <v>213</v>
      </c>
    </row>
    <row r="96" spans="1:33" ht="15" customHeight="1" x14ac:dyDescent="0.25">
      <c r="A96" s="4">
        <v>5862236091</v>
      </c>
      <c r="B96" s="5" t="str">
        <f>MID(Table[[#This Row],[Ativo]],1,2)</f>
        <v>58</v>
      </c>
      <c r="C96" s="5" t="s">
        <v>40</v>
      </c>
      <c r="D96" s="5" t="s">
        <v>41</v>
      </c>
      <c r="E96" s="5" t="s">
        <v>42</v>
      </c>
      <c r="F96" s="4" t="str">
        <f>IFERROR(_xlfn.XLOOKUP(Table[[#This Row],[Ativo]],Pendentes[COD_RELIGADOR],Pendentes[SS_ORIGINAL]),"CONCLUÍDA")</f>
        <v>ETO-COEP 00158/2026</v>
      </c>
      <c r="G96" s="5" t="s">
        <v>472</v>
      </c>
      <c r="H96" s="5"/>
      <c r="I96" s="5"/>
      <c r="J96" s="5"/>
      <c r="K96" s="5"/>
      <c r="L96" s="5"/>
      <c r="M96" s="5"/>
      <c r="N96" s="5"/>
      <c r="O96" s="4" t="e">
        <f>VLOOKUP(Table[[#This Row],[SS aberta]],SGM!A:M,13,FALSE)</f>
        <v>#N/A</v>
      </c>
      <c r="P96" s="5"/>
      <c r="Q96" s="5"/>
      <c r="R96" s="41"/>
      <c r="S96" s="4" t="s">
        <v>474</v>
      </c>
      <c r="T96" s="29" t="s">
        <v>460</v>
      </c>
      <c r="U96" s="31">
        <v>1</v>
      </c>
      <c r="V96" t="str">
        <f>IFERROR(_xlfn.XLOOKUP(Table[[#This Row],[Ativo]],Pendentes[COD_RELIGADOR],Pendentes[DESCRICAO]),"")</f>
        <v>27/07 PARECER COEP: PEÇAS REDIRECIONADAS 5856070091 PRIORIDADE MAIOR20/07 PARECER COEP: EQUIPAMENTO ENTREGUE , FAVOR EDITAR A SS COM A DATA PREVISTA DE SUBSTITUIÇÃO NO PARECER DOS COCM´S Realizar substituição da FASE B.Célula da fase B estava com a tampa do contador de tape aberta, pegou chuva e molhou os contatos danificando a peça toda.</v>
      </c>
      <c r="W96" s="5">
        <v>0</v>
      </c>
      <c r="X96" s="5">
        <v>0</v>
      </c>
      <c r="Y96" s="5">
        <v>0</v>
      </c>
      <c r="Z96" s="5">
        <v>20</v>
      </c>
      <c r="AA96" s="5">
        <v>0</v>
      </c>
      <c r="AB96" s="5" t="s">
        <v>45</v>
      </c>
      <c r="AC96" s="5" t="s">
        <v>45</v>
      </c>
      <c r="AD96" s="5" t="s">
        <v>45</v>
      </c>
      <c r="AE96" s="5">
        <f>SUM(Table[[#This Row],[Premissa 1]:[Premissa 8]])</f>
        <v>20</v>
      </c>
      <c r="AF96" s="5" t="s">
        <v>15</v>
      </c>
      <c r="AG96" t="s">
        <v>330</v>
      </c>
    </row>
    <row r="97" spans="1:33" ht="15" customHeight="1" x14ac:dyDescent="0.25">
      <c r="A97" s="12">
        <v>5836786094</v>
      </c>
      <c r="B97" s="5" t="str">
        <f>MID(Table[[#This Row],[Ativo]],1,2)</f>
        <v>58</v>
      </c>
      <c r="C97" s="5" t="s">
        <v>224</v>
      </c>
      <c r="D97" s="5" t="s">
        <v>224</v>
      </c>
      <c r="E97" s="5" t="s">
        <v>42</v>
      </c>
      <c r="F97" s="4" t="str">
        <f>IFERROR(_xlfn.XLOOKUP(Table[[#This Row],[Ativo]],Pendentes[COD_RELIGADOR],Pendentes[SS_ORIGINAL]),"CONCLUÍDA")</f>
        <v>ETO-COEP 00095/2026</v>
      </c>
      <c r="G97" s="4" t="s">
        <v>472</v>
      </c>
      <c r="O97" s="4" t="e">
        <f>VLOOKUP(Table[[#This Row],[SS aberta]],SGM!A:M,13,FALSE)</f>
        <v>#N/A</v>
      </c>
      <c r="R97" s="4" t="s">
        <v>599</v>
      </c>
      <c r="S97" s="4" t="s">
        <v>459</v>
      </c>
      <c r="T97" s="29" t="s">
        <v>460</v>
      </c>
      <c r="U97" s="31">
        <v>1</v>
      </c>
      <c r="V97" t="str">
        <f>IFERROR(_xlfn.XLOOKUP(Table[[#This Row],[Ativo]],Pendentes[COD_RELIGADOR],Pendentes[DESCRICAO]),"")</f>
        <v>24/07 PARECER COEP:EQUIPAMENTO EM LOGISTICA DE ENTREGA Favor levar outro regulador de tensão, pois o mesmo foi furtado em campo.</v>
      </c>
      <c r="W97" s="5">
        <v>0</v>
      </c>
      <c r="X97" s="5">
        <v>0</v>
      </c>
      <c r="Y97" s="5">
        <v>0</v>
      </c>
      <c r="Z97" s="5">
        <v>10</v>
      </c>
      <c r="AA97" s="5">
        <v>10</v>
      </c>
      <c r="AB97" s="5" t="s">
        <v>45</v>
      </c>
      <c r="AC97" s="5" t="s">
        <v>45</v>
      </c>
      <c r="AD97" s="5" t="s">
        <v>45</v>
      </c>
      <c r="AE97" s="5">
        <f>SUM(Table[[#This Row],[Premissa 1]:[Premissa 8]])</f>
        <v>20</v>
      </c>
      <c r="AF97" s="5" t="s">
        <v>15</v>
      </c>
      <c r="AG97" t="s">
        <v>333</v>
      </c>
    </row>
    <row r="98" spans="1:33" ht="15" customHeight="1" x14ac:dyDescent="0.25">
      <c r="A98" s="4">
        <v>7919270014</v>
      </c>
      <c r="B98" s="5" t="str">
        <f>MID(Table[[#This Row],[Ativo]],1,2)</f>
        <v>79</v>
      </c>
      <c r="C98" s="5" t="s">
        <v>164</v>
      </c>
      <c r="D98" s="5" t="s">
        <v>117</v>
      </c>
      <c r="E98" s="5" t="s">
        <v>51</v>
      </c>
      <c r="F98" s="4" t="str">
        <f>IFERROR(_xlfn.XLOOKUP(Table[[#This Row],[Ativo]],Pendentes[COD_RELIGADOR],Pendentes[SS_ORIGINAL]),"CONCLUÍDA")</f>
        <v>ETO-COEP 00159/2026</v>
      </c>
      <c r="G98" s="4" t="s">
        <v>472</v>
      </c>
      <c r="O98" s="4" t="e">
        <f>VLOOKUP(Table[[#This Row],[SS aberta]],SGM!A:M,13,FALSE)</f>
        <v>#N/A</v>
      </c>
      <c r="S98" s="4" t="s">
        <v>474</v>
      </c>
      <c r="T98" s="29"/>
      <c r="U98" s="31"/>
      <c r="V98" t="str">
        <f>IFERROR(_xlfn.XLOOKUP(Table[[#This Row],[Ativo]],Pendentes[COD_RELIGADOR],Pendentes[DESCRICAO]),"")</f>
        <v>27/07/2026 PARECER COEP: EM PROCESSO DE AQUISIÇÃO , COMPLETOPARECER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v>
      </c>
      <c r="W98" s="5">
        <v>5</v>
      </c>
      <c r="X98" s="5">
        <v>5</v>
      </c>
      <c r="Y98" s="5">
        <v>0</v>
      </c>
      <c r="Z98" s="5">
        <v>0</v>
      </c>
      <c r="AA98" s="5">
        <v>0</v>
      </c>
      <c r="AB98" s="5">
        <v>10</v>
      </c>
      <c r="AC98" s="5">
        <v>0</v>
      </c>
      <c r="AD98" s="5">
        <v>0</v>
      </c>
      <c r="AE98" s="5">
        <f>SUM(Table[[#This Row],[Premissa 1]:[Premissa 8]])</f>
        <v>20</v>
      </c>
      <c r="AF98" s="5" t="s">
        <v>15</v>
      </c>
      <c r="AG98" t="s">
        <v>337</v>
      </c>
    </row>
    <row r="99" spans="1:33" ht="15" customHeight="1" x14ac:dyDescent="0.25">
      <c r="A99" s="4">
        <v>7926442035</v>
      </c>
      <c r="B99" s="5" t="str">
        <f>MID(Table[[#This Row],[Ativo]],1,2)</f>
        <v>79</v>
      </c>
      <c r="C99" s="5" t="s">
        <v>339</v>
      </c>
      <c r="D99" s="5" t="s">
        <v>135</v>
      </c>
      <c r="E99" s="5" t="s">
        <v>51</v>
      </c>
      <c r="F99" s="4" t="str">
        <f>IFERROR(_xlfn.XLOOKUP(Table[[#This Row],[Ativo]],Pendentes[COD_RELIGADOR],Pendentes[SS_ORIGINAL]),"CONCLUÍDA")</f>
        <v>ETO-COEP 00051/2026</v>
      </c>
      <c r="G99" s="4" t="s">
        <v>472</v>
      </c>
      <c r="O99" s="4" t="e">
        <f>VLOOKUP(Table[[#This Row],[SS aberta]],SGM!A:M,13,FALSE)</f>
        <v>#N/A</v>
      </c>
      <c r="R99" s="4" t="s">
        <v>595</v>
      </c>
      <c r="S99" s="4" t="s">
        <v>474</v>
      </c>
      <c r="T99" s="29" t="s">
        <v>602</v>
      </c>
      <c r="U99" s="31">
        <v>1</v>
      </c>
      <c r="V99" t="str">
        <f>IFERROR(_xlfn.XLOOKUP(Table[[#This Row],[Ativo]],Pendentes[COD_RELIGADOR],Pendentes[DESCRICAO]),"")</f>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v>
      </c>
      <c r="W99" s="5">
        <v>5</v>
      </c>
      <c r="X99" s="5">
        <v>5</v>
      </c>
      <c r="Y99" s="5">
        <v>0</v>
      </c>
      <c r="Z99" s="5">
        <v>0</v>
      </c>
      <c r="AA99" s="5">
        <v>0</v>
      </c>
      <c r="AB99" s="5">
        <v>0</v>
      </c>
      <c r="AC99" s="5">
        <v>10</v>
      </c>
      <c r="AD99" s="5">
        <v>0</v>
      </c>
      <c r="AE99" s="5">
        <f>SUM(Table[[#This Row],[Premissa 1]:[Premissa 8]])</f>
        <v>20</v>
      </c>
      <c r="AF99" s="5" t="s">
        <v>15</v>
      </c>
      <c r="AG99" t="s">
        <v>342</v>
      </c>
    </row>
    <row r="100" spans="1:33" ht="15" customHeight="1" x14ac:dyDescent="0.25">
      <c r="A100" s="4">
        <v>7954668084</v>
      </c>
      <c r="B100" s="5" t="str">
        <f>MID(Table[[#This Row],[Ativo]],1,2)</f>
        <v>79</v>
      </c>
      <c r="C100" s="5" t="s">
        <v>152</v>
      </c>
      <c r="D100" s="5" t="s">
        <v>152</v>
      </c>
      <c r="E100" s="5" t="s">
        <v>51</v>
      </c>
      <c r="F100" s="4" t="str">
        <f>IFERROR(_xlfn.XLOOKUP(Table[[#This Row],[Ativo]],Pendentes[COD_RELIGADOR],Pendentes[SS_ORIGINAL]),"CONCLUÍDA")</f>
        <v>CONCLUÍDA</v>
      </c>
      <c r="O100" s="4" t="e">
        <f>VLOOKUP(Table[[#This Row],[SS aberta]],SGM!A:M,13,FALSE)</f>
        <v>#N/A</v>
      </c>
      <c r="S100" s="4" t="s">
        <v>453</v>
      </c>
      <c r="T100" s="29"/>
      <c r="U100" s="31"/>
      <c r="V100" t="str">
        <f>IFERROR(_xlfn.XLOOKUP(Table[[#This Row],[Ativo]],Pendentes[COD_RELIGADOR],Pendentes[DESCRICAO]),"")</f>
        <v/>
      </c>
      <c r="W100" s="5">
        <v>5</v>
      </c>
      <c r="X100" s="5">
        <v>5</v>
      </c>
      <c r="Y100" s="5">
        <v>0</v>
      </c>
      <c r="Z100" s="5">
        <v>0</v>
      </c>
      <c r="AA100" s="5">
        <v>0</v>
      </c>
      <c r="AB100" s="5">
        <v>0</v>
      </c>
      <c r="AC100" s="5">
        <v>10</v>
      </c>
      <c r="AD100" s="5">
        <v>0</v>
      </c>
      <c r="AE100" s="5">
        <f>SUM(Table[[#This Row],[Premissa 1]:[Premissa 8]])</f>
        <v>20</v>
      </c>
      <c r="AF100" s="5" t="s">
        <v>15</v>
      </c>
      <c r="AG100" t="s">
        <v>603</v>
      </c>
    </row>
    <row r="101" spans="1:33" ht="15" customHeight="1" x14ac:dyDescent="0.25">
      <c r="A101" s="4">
        <v>7938137007</v>
      </c>
      <c r="B101" s="5" t="str">
        <f>MID(Table[[#This Row],[Ativo]],1,2)</f>
        <v>79</v>
      </c>
      <c r="C101" s="5" t="s">
        <v>100</v>
      </c>
      <c r="D101" s="5" t="s">
        <v>100</v>
      </c>
      <c r="E101" s="5" t="s">
        <v>51</v>
      </c>
      <c r="F101" s="4" t="str">
        <f>IFERROR(_xlfn.XLOOKUP(Table[[#This Row],[Ativo]],Pendentes[COD_RELIGADOR],Pendentes[SS_ORIGINAL]),"CONCLUÍDA")</f>
        <v>ETO-COEP 00144/2026</v>
      </c>
      <c r="G101" s="5" t="s">
        <v>472</v>
      </c>
      <c r="H101" s="5"/>
      <c r="I101" s="5"/>
      <c r="J101" s="5"/>
      <c r="K101" s="5"/>
      <c r="L101" s="5"/>
      <c r="M101" s="5"/>
      <c r="N101" s="5"/>
      <c r="O101" s="4" t="e">
        <f>VLOOKUP(Table[[#This Row],[SS aberta]],SGM!A:M,13,FALSE)</f>
        <v>#N/A</v>
      </c>
      <c r="P101" s="5"/>
      <c r="Q101" s="5"/>
      <c r="S101" s="4" t="s">
        <v>474</v>
      </c>
      <c r="T101" s="29" t="s">
        <v>604</v>
      </c>
      <c r="U101" s="31">
        <v>1</v>
      </c>
      <c r="V101" t="str">
        <f>IFERROR(_xlfn.XLOOKUP(Table[[#This Row],[Ativo]],Pendentes[COD_RELIGADOR],Pendentes[DESCRICAO]),"")</f>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v>
      </c>
      <c r="W101" s="5">
        <v>5</v>
      </c>
      <c r="X101" s="5">
        <v>5</v>
      </c>
      <c r="Y101" s="5">
        <v>5</v>
      </c>
      <c r="Z101" s="5">
        <v>0</v>
      </c>
      <c r="AA101" s="5">
        <v>0</v>
      </c>
      <c r="AB101" s="5">
        <v>0</v>
      </c>
      <c r="AC101" s="5">
        <v>0</v>
      </c>
      <c r="AD101" s="5">
        <v>0</v>
      </c>
      <c r="AE101" s="5">
        <f>SUM(Table[[#This Row],[Premissa 1]:[Premissa 8]])</f>
        <v>15</v>
      </c>
      <c r="AF101" s="5" t="s">
        <v>15</v>
      </c>
      <c r="AG101" t="s">
        <v>345</v>
      </c>
    </row>
    <row r="102" spans="1:33" ht="15" customHeight="1" x14ac:dyDescent="0.25">
      <c r="A102" s="12">
        <v>5856156091</v>
      </c>
      <c r="B102" s="5" t="str">
        <f>MID(Table[[#This Row],[Ativo]],1,2)</f>
        <v>58</v>
      </c>
      <c r="C102" s="5" t="s">
        <v>40</v>
      </c>
      <c r="D102" s="5" t="s">
        <v>41</v>
      </c>
      <c r="E102" s="5" t="s">
        <v>42</v>
      </c>
      <c r="F102" s="4" t="str">
        <f>IFERROR(_xlfn.XLOOKUP(Table[[#This Row],[Ativo]],Pendentes[COD_RELIGADOR],Pendentes[SS_ORIGINAL]),"CONCLUÍDA")</f>
        <v>ETO-COEP 00160/2026</v>
      </c>
      <c r="G102" s="5" t="s">
        <v>472</v>
      </c>
      <c r="H102" s="5"/>
      <c r="I102" s="5"/>
      <c r="J102" s="5"/>
      <c r="K102" s="5"/>
      <c r="L102" s="5"/>
      <c r="M102" s="5"/>
      <c r="N102" s="5"/>
      <c r="O102" s="4" t="e">
        <f>VLOOKUP(Table[[#This Row],[SS aberta]],SGM!A:M,13,FALSE)</f>
        <v>#N/A</v>
      </c>
      <c r="P102" s="5"/>
      <c r="Q102" s="5"/>
      <c r="R102" s="4" t="s">
        <v>606</v>
      </c>
      <c r="S102" s="4" t="s">
        <v>474</v>
      </c>
      <c r="T102" s="29" t="s">
        <v>487</v>
      </c>
      <c r="U102" s="31">
        <v>3</v>
      </c>
      <c r="V102" t="str">
        <f>IFERROR(_xlfn.XLOOKUP(Table[[#This Row],[Ativo]],Pendentes[COD_RELIGADOR],Pendentes[DESCRICAO]),"")</f>
        <v>27/07/2026 PARECER COEP: EQUIPAMENTO SELECIONADO PARA COMPRA, PORÉM PODEMOS DESATIVAR DE ACORDO COM A ASPODCMD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v>
      </c>
      <c r="W102" s="5">
        <v>0</v>
      </c>
      <c r="X102" s="5">
        <v>0</v>
      </c>
      <c r="Y102" s="5">
        <v>0</v>
      </c>
      <c r="Z102" s="5">
        <v>0</v>
      </c>
      <c r="AA102" s="5">
        <v>0</v>
      </c>
      <c r="AB102" s="5" t="s">
        <v>45</v>
      </c>
      <c r="AC102" s="5" t="s">
        <v>45</v>
      </c>
      <c r="AD102" s="5" t="s">
        <v>45</v>
      </c>
      <c r="AE102" s="5">
        <f>SUM(Table[[#This Row],[Premissa 1]:[Premissa 8]])</f>
        <v>0</v>
      </c>
      <c r="AF102" s="5" t="s">
        <v>15</v>
      </c>
      <c r="AG102" t="s">
        <v>348</v>
      </c>
    </row>
    <row r="103" spans="1:33" ht="15" customHeight="1" x14ac:dyDescent="0.25">
      <c r="A103" s="12">
        <v>5858783119</v>
      </c>
      <c r="B103" s="5" t="str">
        <f>MID(Table[[#This Row],[Ativo]],1,2)</f>
        <v>58</v>
      </c>
      <c r="C103" s="5" t="s">
        <v>350</v>
      </c>
      <c r="D103" s="5" t="s">
        <v>259</v>
      </c>
      <c r="E103" s="5" t="s">
        <v>59</v>
      </c>
      <c r="F103" s="4" t="str">
        <f>IFERROR(_xlfn.XLOOKUP(Table[[#This Row],[Ativo]],Pendentes[COD_RELIGADOR],Pendentes[SS_ORIGINAL]),"CONCLUÍDA")</f>
        <v>ETO-COEP 00164/2026</v>
      </c>
      <c r="G103" s="4" t="s">
        <v>472</v>
      </c>
      <c r="O103" s="4" t="e">
        <f>VLOOKUP(Table[[#This Row],[SS aberta]],SGM!A:M,13,FALSE)</f>
        <v>#N/A</v>
      </c>
      <c r="R103" s="4" t="s">
        <v>982</v>
      </c>
      <c r="S103" s="4" t="s">
        <v>474</v>
      </c>
      <c r="T103" s="29"/>
      <c r="U103" s="31"/>
      <c r="V103" t="str">
        <f>IFERROR(_xlfn.XLOOKUP(Table[[#This Row],[Ativo]],Pendentes[COD_RELIGADOR],Pendentes[DESCRICAO]),"")</f>
        <v>PARECER DMSL 31/07/2026: RT 5858783119 SE ECONTRA NA MESMA SITUAÇÃO INFORMADA NO DIA 16/06/2026. FAVOR, REGULARIZAR A SITUAÇÃO DO EQUIPAMENTO, SUBSTITUINDO OS 3 TANQUES E  INSTALAR NOVOS PARA-RAIOS.27/07/2026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v>
      </c>
      <c r="W103" s="5">
        <v>0</v>
      </c>
      <c r="X103" s="5">
        <v>0</v>
      </c>
      <c r="Y103" s="5">
        <v>0</v>
      </c>
      <c r="Z103" s="5">
        <v>0</v>
      </c>
      <c r="AA103" s="5">
        <v>0</v>
      </c>
      <c r="AB103" s="5" t="s">
        <v>45</v>
      </c>
      <c r="AC103" s="5" t="s">
        <v>45</v>
      </c>
      <c r="AD103" s="5" t="s">
        <v>45</v>
      </c>
      <c r="AE103" s="5">
        <f>SUM(Table[[#This Row],[Premissa 1]:[Premissa 8]])</f>
        <v>0</v>
      </c>
      <c r="AF103" s="5" t="s">
        <v>15</v>
      </c>
      <c r="AG103" t="s">
        <v>353</v>
      </c>
    </row>
    <row r="104" spans="1:33" s="46" customFormat="1" ht="15" customHeight="1" x14ac:dyDescent="0.25">
      <c r="A104" s="12">
        <v>7900532053</v>
      </c>
      <c r="B104" s="43" t="str">
        <f>MID(Table[[#This Row],[Ativo]],1,2)</f>
        <v>79</v>
      </c>
      <c r="C104" s="43" t="s">
        <v>612</v>
      </c>
      <c r="D104" s="43" t="s">
        <v>259</v>
      </c>
      <c r="E104" s="43" t="s">
        <v>59</v>
      </c>
      <c r="F104" s="12" t="str">
        <f>IFERROR(_xlfn.XLOOKUP(Table[[#This Row],[Ativo]],Pendentes[COD_RELIGADOR],Pendentes[SS_ORIGINAL]),"CONCLUÍDA")</f>
        <v>CONCLUÍDA</v>
      </c>
      <c r="G104" s="12" t="s">
        <v>613</v>
      </c>
      <c r="H104" s="12"/>
      <c r="I104" s="12"/>
      <c r="J104" s="12"/>
      <c r="K104" s="12"/>
      <c r="L104" s="12"/>
      <c r="M104" s="12"/>
      <c r="N104" s="12"/>
      <c r="O104" s="4" t="e">
        <f>VLOOKUP(Table[[#This Row],[SS aberta]],SGM!A:M,13,FALSE)</f>
        <v>#N/A</v>
      </c>
      <c r="P104" s="12"/>
      <c r="Q104" s="12"/>
      <c r="R104" s="12"/>
      <c r="S104" s="12"/>
      <c r="T104" s="44" t="s">
        <v>614</v>
      </c>
      <c r="U104" s="45"/>
      <c r="V104" s="46" t="str">
        <f>IFERROR(_xlfn.XLOOKUP(Table[[#This Row],[Ativo]],Pendentes[COD_RELIGADOR],Pendentes[DESCRICAO]),"")</f>
        <v/>
      </c>
      <c r="W104" s="43">
        <v>0</v>
      </c>
      <c r="X104" s="43">
        <v>0</v>
      </c>
      <c r="Y104" s="43">
        <v>0</v>
      </c>
      <c r="Z104" s="43">
        <v>0</v>
      </c>
      <c r="AA104" s="43">
        <v>0</v>
      </c>
      <c r="AB104" s="43">
        <v>0</v>
      </c>
      <c r="AC104" s="43">
        <v>0</v>
      </c>
      <c r="AD104" s="43">
        <v>0</v>
      </c>
      <c r="AE104" s="43">
        <f>SUM(Table[[#This Row],[Premissa 1]:[Premissa 8]])</f>
        <v>0</v>
      </c>
      <c r="AF104" s="43" t="s">
        <v>15</v>
      </c>
      <c r="AG104" s="46" t="s">
        <v>615</v>
      </c>
    </row>
    <row r="105" spans="1:33" ht="15" customHeight="1" x14ac:dyDescent="0.25">
      <c r="A105" s="4">
        <v>7930359149</v>
      </c>
      <c r="B105" s="5" t="str">
        <f>MID(Table[[#This Row],[Ativo]],1,2)</f>
        <v>79</v>
      </c>
      <c r="C105" s="5" t="s">
        <v>195</v>
      </c>
      <c r="D105" s="5" t="s">
        <v>152</v>
      </c>
      <c r="E105" s="5" t="s">
        <v>51</v>
      </c>
      <c r="F105" s="4" t="str">
        <f>IFERROR(_xlfn.XLOOKUP(Table[[#This Row],[Ativo]],Pendentes[COD_RELIGADOR],Pendentes[SS_ORIGINAL]),"CONCLUÍDA")</f>
        <v>ETO-COEP 00138/2026</v>
      </c>
      <c r="G105" s="4" t="s">
        <v>472</v>
      </c>
      <c r="O105" s="4" t="e">
        <f>VLOOKUP(Table[[#This Row],[SS aberta]],SGM!A:M,13,FALSE)</f>
        <v>#N/A</v>
      </c>
      <c r="T105" s="29"/>
      <c r="U105" s="31"/>
      <c r="V105" t="str">
        <f>IFERROR(_xlfn.XLOOKUP(Table[[#This Row],[Ativo]],Pendentes[COD_RELIGADOR],Pendentes[DESCRICAO]),"")</f>
        <v>PARECER DMSL 07/07/2026: equipamento tem que ser subistuido pois não faz comando, parte ativa com defeito FEITO O PRIMEIRO ATAQUE NO RELIGADOR 7930359149 E MESMO NÃO ACEITA COMANDO NEM LOCAL E NEM REMOTO SEGUNDO EQUIPE 149OP02 E PLACA DO RL ESTA CARBONIZADA COM SINAL DE CURTO.</v>
      </c>
      <c r="W105" s="5" t="s">
        <v>730</v>
      </c>
      <c r="X105" s="5"/>
      <c r="Y105" s="5"/>
      <c r="Z105" s="5"/>
      <c r="AA105" s="5"/>
      <c r="AB105" s="5"/>
      <c r="AC105" s="5"/>
      <c r="AD105" s="5"/>
      <c r="AE105" s="5">
        <f>SUM(Table[[#This Row],[Premissa 1]:[Premissa 8]])</f>
        <v>0</v>
      </c>
      <c r="AF105" s="5"/>
    </row>
    <row r="106" spans="1:33" ht="15" customHeight="1" x14ac:dyDescent="0.25">
      <c r="A106" s="4">
        <v>7953211079</v>
      </c>
      <c r="B106" s="5" t="str">
        <f>MID(Table[[#This Row],[Ativo]],1,2)</f>
        <v>79</v>
      </c>
      <c r="C106" s="5" t="s">
        <v>359</v>
      </c>
      <c r="D106" s="5" t="s">
        <v>106</v>
      </c>
      <c r="E106" s="5" t="s">
        <v>59</v>
      </c>
      <c r="F106" s="4" t="str">
        <f>IFERROR(_xlfn.XLOOKUP(Table[[#This Row],[Ativo]],Pendentes[COD_RELIGADOR],Pendentes[SS_ORIGINAL]),"CONCLUÍDA")</f>
        <v>ETO-COEP 00147/2026</v>
      </c>
      <c r="G106" s="4" t="s">
        <v>472</v>
      </c>
      <c r="O106" s="4" t="e">
        <f>VLOOKUP(Table[[#This Row],[SS aberta]],SGM!A:M,13,FALSE)</f>
        <v>#N/A</v>
      </c>
      <c r="T106" s="29"/>
      <c r="U106" s="31"/>
      <c r="V106" t="s">
        <v>361</v>
      </c>
      <c r="W106" s="5" t="s">
        <v>730</v>
      </c>
      <c r="X106" s="5"/>
      <c r="Y106" s="5"/>
      <c r="Z106" s="5"/>
      <c r="AA106" s="5"/>
      <c r="AB106" s="5"/>
      <c r="AC106" s="5"/>
      <c r="AD106" s="5"/>
      <c r="AE106" s="5">
        <f>SUM(Table[[#This Row],[Premissa 1]:[Premissa 8]])</f>
        <v>0</v>
      </c>
      <c r="AF106" s="5"/>
    </row>
    <row r="107" spans="1:33" ht="15" customHeight="1" x14ac:dyDescent="0.25">
      <c r="A107" s="4">
        <v>7949648145</v>
      </c>
      <c r="B107" s="5" t="str">
        <f>MID(Table[[#This Row],[Ativo]],1,2)</f>
        <v>79</v>
      </c>
      <c r="C107" s="5" t="s">
        <v>363</v>
      </c>
      <c r="D107" s="5" t="s">
        <v>58</v>
      </c>
      <c r="E107" s="5" t="s">
        <v>59</v>
      </c>
      <c r="F107" s="4" t="str">
        <f>IFERROR(_xlfn.XLOOKUP(Table[[#This Row],[Ativo]],Pendentes[COD_RELIGADOR],Pendentes[SS_ORIGINAL]),"CONCLUÍDA")</f>
        <v>ETO-TELE 00929/2026</v>
      </c>
      <c r="O107" s="4" t="str">
        <f>VLOOKUP(Table[[#This Row],[SS aberta]],SGM!A:M,13,FALSE)</f>
        <v>SS PENDENTE</v>
      </c>
      <c r="P107" s="9">
        <v>46260</v>
      </c>
      <c r="R107" s="49" t="s">
        <v>620</v>
      </c>
      <c r="T107" s="29"/>
      <c r="U107" s="31"/>
      <c r="V107" t="str">
        <f>IFERROR(_xlfn.XLOOKUP(Table[[#This Row],[Ativo]],Pendentes[COD_RELIGADOR],Pendentes[DESCRICAO]),"")</f>
        <v>FEITO PRIMEIRO ATAQUE COM A EQUIPE LOCAL E NÃO VOLTOU A COMUNICAR. PROVIDENCIAR MANUTENÇÃO PARA O MESMO.</v>
      </c>
      <c r="W107" s="5" t="s">
        <v>730</v>
      </c>
      <c r="X107" s="5"/>
      <c r="Y107" s="5"/>
      <c r="Z107" s="5"/>
      <c r="AA107" s="5"/>
      <c r="AB107" s="5"/>
      <c r="AC107" s="5"/>
      <c r="AD107" s="5"/>
      <c r="AE107" s="5">
        <f>SUM(Table[[#This Row],[Premissa 1]:[Premissa 8]])</f>
        <v>0</v>
      </c>
      <c r="AF107" s="5"/>
    </row>
    <row r="108" spans="1:33" ht="15" customHeight="1" x14ac:dyDescent="0.25">
      <c r="A108" s="4">
        <v>7908300096</v>
      </c>
      <c r="B108" s="5" t="str">
        <f>MID(Table[[#This Row],[Ativo]],1,2)</f>
        <v>79</v>
      </c>
      <c r="C108" s="5" t="s">
        <v>310</v>
      </c>
      <c r="D108" s="5" t="s">
        <v>135</v>
      </c>
      <c r="E108" s="5" t="s">
        <v>51</v>
      </c>
      <c r="F108" s="4" t="str">
        <f>IFERROR(_xlfn.XLOOKUP(Table[[#This Row],[Ativo]],Pendentes[COD_RELIGADOR],Pendentes[SS_ORIGINAL]),"CONCLUÍDA")</f>
        <v>ETO-TELE 00938/2026</v>
      </c>
      <c r="O108" s="4" t="str">
        <f>VLOOKUP(Table[[#This Row],[SS aberta]],SGM!A:M,13,FALSE)</f>
        <v>SS PENDENTE</v>
      </c>
      <c r="P108" s="4" t="s">
        <v>621</v>
      </c>
      <c r="T108" s="29"/>
      <c r="U108" s="31"/>
      <c r="V108" t="str">
        <f>IFERROR(_xlfn.XLOOKUP(Table[[#This Row],[Ativo]],Pendentes[COD_RELIGADOR],Pendentes[DESCRICAO]),"")</f>
        <v>Segue nota para verificar falha intermitência na comunicação RL 7908300096 RDU- Pindorama .</v>
      </c>
      <c r="W108" s="5" t="s">
        <v>730</v>
      </c>
      <c r="X108" s="5"/>
      <c r="Y108" s="5"/>
      <c r="Z108" s="5"/>
      <c r="AA108" s="5"/>
      <c r="AB108" s="5"/>
      <c r="AC108" s="5"/>
      <c r="AD108" s="5"/>
      <c r="AE108" s="5">
        <f>SUM(Table[[#This Row],[Premissa 1]:[Premissa 8]])</f>
        <v>0</v>
      </c>
      <c r="AF108" s="5"/>
    </row>
    <row r="109" spans="1:33" ht="15" customHeight="1" x14ac:dyDescent="0.25">
      <c r="A109" s="4">
        <v>7911120026</v>
      </c>
      <c r="B109" s="5" t="str">
        <f>MID(Table[[#This Row],[Ativo]],1,2)</f>
        <v>79</v>
      </c>
      <c r="C109" s="5" t="s">
        <v>135</v>
      </c>
      <c r="D109" s="5" t="s">
        <v>135</v>
      </c>
      <c r="E109" s="5" t="s">
        <v>51</v>
      </c>
      <c r="F109" s="4" t="str">
        <f>IFERROR(_xlfn.XLOOKUP(Table[[#This Row],[Ativo]],Pendentes[COD_RELIGADOR],Pendentes[SS_ORIGINAL]),"CONCLUÍDA")</f>
        <v>CONCLUÍDA</v>
      </c>
      <c r="O109" s="4" t="e">
        <f>VLOOKUP(Table[[#This Row],[SS aberta]],SGM!A:M,13,FALSE)</f>
        <v>#N/A</v>
      </c>
      <c r="R109" s="4" t="s">
        <v>533</v>
      </c>
      <c r="T109" s="29"/>
      <c r="U109" s="31"/>
      <c r="V109" t="str">
        <f>IFERROR(_xlfn.XLOOKUP(Table[[#This Row],[Ativo]],Pendentes[COD_RELIGADOR],Pendentes[DESCRICAO]),"")</f>
        <v/>
      </c>
      <c r="W109" s="5" t="s">
        <v>730</v>
      </c>
      <c r="X109" s="5"/>
      <c r="Y109" s="5"/>
      <c r="Z109" s="5"/>
      <c r="AA109" s="5"/>
      <c r="AB109" s="5"/>
      <c r="AC109" s="5"/>
      <c r="AD109" s="5"/>
      <c r="AE109" s="5">
        <f>SUM(Table[[#This Row],[Premissa 1]:[Premissa 8]])</f>
        <v>0</v>
      </c>
      <c r="AF109" s="5"/>
    </row>
    <row r="110" spans="1:33" ht="15" customHeight="1" x14ac:dyDescent="0.25">
      <c r="A110" s="4">
        <v>7900722193</v>
      </c>
      <c r="B110" s="5" t="str">
        <f>MID(Table[[#This Row],[Ativo]],1,2)</f>
        <v>79</v>
      </c>
      <c r="F110" s="4" t="str">
        <f>IFERROR(_xlfn.XLOOKUP(Table[[#This Row],[Ativo]],Pendentes[COD_RELIGADOR],Pendentes[SS_ORIGINAL]),"CONCLUÍDA")</f>
        <v>ETO-TELE 01029/2026</v>
      </c>
      <c r="O110" s="4" t="str">
        <f>VLOOKUP(Table[[#This Row],[SS aberta]],SGM!A:M,13,FALSE)</f>
        <v>SS PENDENTE</v>
      </c>
      <c r="P110" s="4" t="s">
        <v>637</v>
      </c>
      <c r="R110" s="49" t="s">
        <v>638</v>
      </c>
      <c r="T110" s="29"/>
      <c r="U110" s="31"/>
      <c r="V110" t="str">
        <f>IFERROR(_xlfn.XLOOKUP(Table[[#This Row],[Ativo]],Pendentes[COD_RELIGADOR],Pendentes[DESCRICAO]),"")</f>
        <v>Religador sem comunicação, apos primeiro ataque não retornou a comunicação.</v>
      </c>
      <c r="W110" s="5"/>
      <c r="X110" s="5"/>
      <c r="Y110" s="5"/>
      <c r="Z110" s="5"/>
      <c r="AA110" s="5"/>
      <c r="AB110" s="5"/>
      <c r="AC110" s="5"/>
      <c r="AD110" s="5"/>
      <c r="AE110" s="5">
        <f>SUM(Table[[#This Row],[Premissa 1]:[Premissa 8]])</f>
        <v>0</v>
      </c>
      <c r="AF110" s="5"/>
    </row>
    <row r="111" spans="1:33" ht="15" customHeight="1" x14ac:dyDescent="0.25">
      <c r="A111" s="4">
        <v>5839141113</v>
      </c>
      <c r="B111" s="5" t="str">
        <f>MID(Table[[#This Row],[Ativo]],1,2)</f>
        <v>58</v>
      </c>
      <c r="F111" s="4" t="str">
        <f>IFERROR(_xlfn.XLOOKUP(Table[[#This Row],[Ativo]],Pendentes[COD_RELIGADOR],Pendentes[SS_ORIGINAL]),"CONCLUÍDA")</f>
        <v>ETO-TELE 00985/2026</v>
      </c>
      <c r="O111" s="4" t="str">
        <f>VLOOKUP(Table[[#This Row],[SS aberta]],SGM!A:M,13,FALSE)</f>
        <v>SS PENDENTE</v>
      </c>
      <c r="R111" s="4" t="s">
        <v>641</v>
      </c>
      <c r="T111" s="29"/>
      <c r="U111" s="31"/>
      <c r="V111" t="str">
        <f>IFERROR(_xlfn.XLOOKUP(Table[[#This Row],[Ativo]],Pendentes[COD_RELIGADOR],Pendentes[DESCRICAO]),"")</f>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v>
      </c>
      <c r="W111" s="5"/>
      <c r="X111" s="5"/>
      <c r="Y111" s="5"/>
      <c r="Z111" s="5"/>
      <c r="AA111" s="5"/>
      <c r="AB111" s="5"/>
      <c r="AC111" s="5"/>
      <c r="AD111" s="5"/>
      <c r="AE111" s="5">
        <f>SUM(Table[[#This Row],[Premissa 1]:[Premissa 8]])</f>
        <v>0</v>
      </c>
      <c r="AF111" s="5"/>
    </row>
    <row r="112" spans="1:33" ht="15" customHeight="1" x14ac:dyDescent="0.25">
      <c r="A112" s="4">
        <v>7923110021</v>
      </c>
      <c r="B112" s="5" t="str">
        <f>MID(Table[[#This Row],[Ativo]],1,2)</f>
        <v>79</v>
      </c>
      <c r="F112" s="4" t="str">
        <f>IFERROR(_xlfn.XLOOKUP(Table[[#This Row],[Ativo]],Pendentes[COD_RELIGADOR],Pendentes[SS_ORIGINAL]),"CONCLUÍDA")</f>
        <v>ETO-TELE 01027/2026</v>
      </c>
      <c r="O112" s="4" t="str">
        <f>VLOOKUP(Table[[#This Row],[SS aberta]],SGM!A:M,13,FALSE)</f>
        <v>SS PENDENTE</v>
      </c>
      <c r="P112" s="9">
        <v>46262</v>
      </c>
      <c r="T112" s="29"/>
      <c r="U112" s="31"/>
      <c r="V112" t="str">
        <f>IFERROR(_xlfn.XLOOKUP(Table[[#This Row],[Ativo]],Pendentes[COD_RELIGADOR],Pendentes[DESCRICAO]),"")</f>
        <v>Segue SS para verificar falha de comunicação no religador 7923110021. Equipe foi no local realizar primeiro ataque e informou que o radio de comunicação encontra-se com defeito</v>
      </c>
      <c r="W112" s="5"/>
      <c r="X112" s="5"/>
      <c r="Y112" s="5"/>
      <c r="Z112" s="5"/>
      <c r="AA112" s="5"/>
      <c r="AB112" s="5"/>
      <c r="AC112" s="5"/>
      <c r="AD112" s="5"/>
      <c r="AE112" s="5">
        <f>SUM(Table[[#This Row],[Premissa 1]:[Premissa 8]])</f>
        <v>0</v>
      </c>
      <c r="AF112" s="5"/>
    </row>
    <row r="116" spans="2:2" ht="15" customHeight="1" x14ac:dyDescent="0.25">
      <c r="B116" s="47"/>
    </row>
  </sheetData>
  <mergeCells count="1">
    <mergeCell ref="AI1:AJ1"/>
  </mergeCells>
  <conditionalFormatting sqref="A1:A61 A63:A1048576">
    <cfRule type="duplicateValues" dxfId="2" priority="2"/>
  </conditionalFormatting>
  <conditionalFormatting sqref="A62">
    <cfRule type="duplicateValues" dxfId="1" priority="1"/>
  </conditionalFormatting>
  <conditionalFormatting sqref="F1:U2 P3:U52 O3:O67 R53:U53 P54:U67 G68:U69 P70:U108 O70:O109 R109:U109 V110:Y110 F110:Q112 R111:U112 F113:U1048576 F3:F109 G54:N67 G109 G3:N52 G70:N108">
    <cfRule type="cellIs" dxfId="0" priority="3" operator="equal">
      <formula>"CONCLUÍDA"</formula>
    </cfRule>
  </conditionalFormatting>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000F1-A446-49D1-A101-18454822D61D}">
  <dimension ref="A1:J33"/>
  <sheetViews>
    <sheetView showGridLines="0" zoomScale="85" zoomScaleNormal="85" workbookViewId="0">
      <selection activeCell="B5" sqref="B5:C5"/>
    </sheetView>
  </sheetViews>
  <sheetFormatPr defaultRowHeight="15" x14ac:dyDescent="0.25"/>
  <cols>
    <col min="1" max="1" width="10.85546875" bestFit="1" customWidth="1"/>
    <col min="2" max="5" width="13.7109375" customWidth="1"/>
    <col min="7" max="7" width="10.85546875" bestFit="1" customWidth="1"/>
    <col min="8" max="8" width="13.7109375" customWidth="1"/>
    <col min="9" max="9" width="17.28515625" bestFit="1" customWidth="1"/>
    <col min="10" max="10" width="13.7109375" customWidth="1"/>
  </cols>
  <sheetData>
    <row r="1" spans="1:10" x14ac:dyDescent="0.25">
      <c r="A1" s="138" t="s">
        <v>983</v>
      </c>
      <c r="B1" s="138"/>
      <c r="C1" s="138"/>
      <c r="D1" s="138"/>
      <c r="E1" s="138"/>
      <c r="G1" s="138" t="s">
        <v>984</v>
      </c>
      <c r="H1" s="138"/>
      <c r="I1" s="138"/>
      <c r="J1" s="138"/>
    </row>
    <row r="3" spans="1:10" x14ac:dyDescent="0.25">
      <c r="A3" s="1" t="s">
        <v>985</v>
      </c>
      <c r="B3" s="27" t="s">
        <v>986</v>
      </c>
      <c r="G3" s="1" t="s">
        <v>985</v>
      </c>
      <c r="H3" s="2" t="s">
        <v>987</v>
      </c>
    </row>
    <row r="4" spans="1:10" x14ac:dyDescent="0.25">
      <c r="A4" s="3" t="s">
        <v>988</v>
      </c>
      <c r="B4" s="4" t="s">
        <v>989</v>
      </c>
      <c r="C4" s="4" t="s">
        <v>990</v>
      </c>
      <c r="G4" s="3" t="s">
        <v>988</v>
      </c>
      <c r="H4" s="4" t="s">
        <v>991</v>
      </c>
      <c r="I4" s="4" t="s">
        <v>775</v>
      </c>
      <c r="J4" s="4" t="s">
        <v>992</v>
      </c>
    </row>
    <row r="5" spans="1:10" x14ac:dyDescent="0.25">
      <c r="A5" s="3" t="s">
        <v>993</v>
      </c>
      <c r="B5" s="4">
        <v>15</v>
      </c>
      <c r="C5" s="4">
        <v>5</v>
      </c>
      <c r="G5" s="3" t="s">
        <v>993</v>
      </c>
      <c r="H5" s="4">
        <v>40</v>
      </c>
      <c r="I5" s="4">
        <v>0</v>
      </c>
      <c r="J5" s="4">
        <v>20</v>
      </c>
    </row>
    <row r="7" spans="1:10" x14ac:dyDescent="0.25">
      <c r="A7" s="1" t="s">
        <v>994</v>
      </c>
      <c r="B7" s="27" t="s">
        <v>995</v>
      </c>
      <c r="G7" s="1" t="s">
        <v>994</v>
      </c>
      <c r="H7" s="2" t="s">
        <v>996</v>
      </c>
    </row>
    <row r="8" spans="1:10" x14ac:dyDescent="0.25">
      <c r="A8" s="3" t="s">
        <v>988</v>
      </c>
      <c r="B8" s="4" t="s">
        <v>997</v>
      </c>
      <c r="C8" s="4" t="s">
        <v>998</v>
      </c>
      <c r="D8" s="4" t="s">
        <v>999</v>
      </c>
      <c r="E8" s="4" t="s">
        <v>1000</v>
      </c>
      <c r="G8" s="3" t="s">
        <v>988</v>
      </c>
      <c r="H8" s="4" t="s">
        <v>775</v>
      </c>
      <c r="I8" s="4" t="s">
        <v>785</v>
      </c>
      <c r="J8" s="4"/>
    </row>
    <row r="9" spans="1:10" x14ac:dyDescent="0.25">
      <c r="A9" s="3" t="s">
        <v>993</v>
      </c>
      <c r="B9" s="4">
        <v>20</v>
      </c>
      <c r="C9" s="4">
        <v>10</v>
      </c>
      <c r="D9" s="4">
        <v>10</v>
      </c>
      <c r="E9" s="4">
        <v>5</v>
      </c>
      <c r="G9" s="3" t="s">
        <v>993</v>
      </c>
      <c r="H9" s="4">
        <v>20</v>
      </c>
      <c r="I9" s="4">
        <v>0</v>
      </c>
      <c r="J9" s="4"/>
    </row>
    <row r="11" spans="1:10" x14ac:dyDescent="0.25">
      <c r="A11" s="1" t="s">
        <v>1001</v>
      </c>
      <c r="B11" s="27" t="s">
        <v>1002</v>
      </c>
      <c r="G11" s="1" t="s">
        <v>1001</v>
      </c>
      <c r="H11" s="2" t="s">
        <v>1003</v>
      </c>
    </row>
    <row r="12" spans="1:10" x14ac:dyDescent="0.25">
      <c r="A12" s="3" t="s">
        <v>988</v>
      </c>
      <c r="B12" t="s">
        <v>1004</v>
      </c>
      <c r="C12" s="4" t="s">
        <v>1005</v>
      </c>
      <c r="D12" s="4" t="s">
        <v>1006</v>
      </c>
      <c r="G12" s="3" t="s">
        <v>988</v>
      </c>
      <c r="H12" s="4" t="s">
        <v>775</v>
      </c>
      <c r="I12" s="4" t="s">
        <v>785</v>
      </c>
    </row>
    <row r="13" spans="1:10" x14ac:dyDescent="0.25">
      <c r="A13" s="3" t="s">
        <v>993</v>
      </c>
      <c r="B13" s="4">
        <v>15</v>
      </c>
      <c r="C13" s="4">
        <v>5</v>
      </c>
      <c r="D13" s="4">
        <v>0</v>
      </c>
      <c r="G13" s="3" t="s">
        <v>993</v>
      </c>
      <c r="H13" s="4">
        <v>20</v>
      </c>
      <c r="I13" s="4">
        <v>0</v>
      </c>
    </row>
    <row r="15" spans="1:10" x14ac:dyDescent="0.25">
      <c r="A15" s="1" t="s">
        <v>1007</v>
      </c>
      <c r="B15" s="2" t="s">
        <v>1008</v>
      </c>
      <c r="G15" s="1" t="s">
        <v>1007</v>
      </c>
      <c r="H15" s="2" t="s">
        <v>1002</v>
      </c>
    </row>
    <row r="16" spans="1:10" x14ac:dyDescent="0.25">
      <c r="A16" s="3" t="s">
        <v>988</v>
      </c>
      <c r="B16" s="4" t="s">
        <v>775</v>
      </c>
      <c r="C16" s="4" t="s">
        <v>785</v>
      </c>
      <c r="D16" s="4"/>
      <c r="G16" s="3" t="s">
        <v>988</v>
      </c>
      <c r="H16" s="4" t="s">
        <v>1004</v>
      </c>
      <c r="I16" s="4" t="s">
        <v>1005</v>
      </c>
      <c r="J16" s="4" t="s">
        <v>1006</v>
      </c>
    </row>
    <row r="17" spans="1:10" x14ac:dyDescent="0.25">
      <c r="A17" s="3" t="s">
        <v>993</v>
      </c>
      <c r="B17" s="4">
        <v>15</v>
      </c>
      <c r="C17" s="4">
        <v>0</v>
      </c>
      <c r="D17" s="4"/>
      <c r="G17" s="3" t="s">
        <v>993</v>
      </c>
      <c r="H17" s="4">
        <v>20</v>
      </c>
      <c r="I17" s="4">
        <v>10</v>
      </c>
      <c r="J17" s="4">
        <v>0</v>
      </c>
    </row>
    <row r="19" spans="1:10" x14ac:dyDescent="0.25">
      <c r="A19" s="1" t="s">
        <v>1009</v>
      </c>
      <c r="B19" s="2" t="s">
        <v>1010</v>
      </c>
      <c r="G19" s="1" t="s">
        <v>1009</v>
      </c>
      <c r="H19" s="2" t="s">
        <v>1011</v>
      </c>
    </row>
    <row r="20" spans="1:10" x14ac:dyDescent="0.25">
      <c r="A20" s="3" t="s">
        <v>988</v>
      </c>
      <c r="B20" s="4" t="s">
        <v>775</v>
      </c>
      <c r="C20" s="4" t="s">
        <v>785</v>
      </c>
      <c r="G20" s="3" t="s">
        <v>988</v>
      </c>
      <c r="H20" s="4" t="s">
        <v>13</v>
      </c>
      <c r="I20" s="4" t="s">
        <v>1012</v>
      </c>
      <c r="J20" s="4" t="s">
        <v>15</v>
      </c>
    </row>
    <row r="21" spans="1:10" x14ac:dyDescent="0.25">
      <c r="A21" s="3" t="s">
        <v>993</v>
      </c>
      <c r="B21" s="4">
        <v>15</v>
      </c>
      <c r="C21" s="4">
        <v>0</v>
      </c>
      <c r="G21" s="3" t="s">
        <v>993</v>
      </c>
      <c r="H21" s="4">
        <v>20</v>
      </c>
      <c r="I21" s="4">
        <v>10</v>
      </c>
      <c r="J21" s="4">
        <v>0</v>
      </c>
    </row>
    <row r="23" spans="1:10" x14ac:dyDescent="0.25">
      <c r="A23" s="1" t="s">
        <v>1013</v>
      </c>
      <c r="B23" s="2" t="s">
        <v>1014</v>
      </c>
    </row>
    <row r="24" spans="1:10" x14ac:dyDescent="0.25">
      <c r="A24" s="3" t="s">
        <v>988</v>
      </c>
      <c r="B24" s="4" t="s">
        <v>775</v>
      </c>
      <c r="C24" s="4" t="s">
        <v>785</v>
      </c>
      <c r="D24" s="4"/>
      <c r="J24" s="4"/>
    </row>
    <row r="25" spans="1:10" x14ac:dyDescent="0.25">
      <c r="A25" s="3" t="s">
        <v>993</v>
      </c>
      <c r="B25" s="4">
        <v>10</v>
      </c>
      <c r="C25" s="4">
        <v>0</v>
      </c>
      <c r="D25" s="4"/>
      <c r="J25" s="4"/>
    </row>
    <row r="27" spans="1:10" x14ac:dyDescent="0.25">
      <c r="A27" s="1" t="s">
        <v>1015</v>
      </c>
      <c r="B27" s="2" t="s">
        <v>1016</v>
      </c>
    </row>
    <row r="28" spans="1:10" x14ac:dyDescent="0.25">
      <c r="A28" s="3" t="s">
        <v>988</v>
      </c>
      <c r="B28" s="4" t="s">
        <v>775</v>
      </c>
      <c r="C28" s="4" t="s">
        <v>785</v>
      </c>
    </row>
    <row r="29" spans="1:10" x14ac:dyDescent="0.25">
      <c r="A29" s="3" t="s">
        <v>993</v>
      </c>
      <c r="B29" s="4">
        <v>10</v>
      </c>
      <c r="C29" s="4">
        <v>0</v>
      </c>
    </row>
    <row r="31" spans="1:10" x14ac:dyDescent="0.25">
      <c r="A31" s="1" t="s">
        <v>1017</v>
      </c>
      <c r="B31" s="2" t="s">
        <v>1011</v>
      </c>
    </row>
    <row r="32" spans="1:10" x14ac:dyDescent="0.25">
      <c r="A32" s="3" t="s">
        <v>988</v>
      </c>
      <c r="B32" s="4" t="s">
        <v>13</v>
      </c>
      <c r="C32" s="4" t="s">
        <v>15</v>
      </c>
    </row>
    <row r="33" spans="1:3" x14ac:dyDescent="0.25">
      <c r="A33" s="3" t="s">
        <v>993</v>
      </c>
      <c r="B33" s="4">
        <v>15</v>
      </c>
      <c r="C33" s="4">
        <v>0</v>
      </c>
    </row>
  </sheetData>
  <mergeCells count="2">
    <mergeCell ref="G1:J1"/>
    <mergeCell ref="A1:E1"/>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0531-F18F-488F-93A9-A4795BF32804}">
  <dimension ref="A1:AN1127"/>
  <sheetViews>
    <sheetView workbookViewId="0"/>
  </sheetViews>
  <sheetFormatPr defaultRowHeight="55.5" customHeight="1" x14ac:dyDescent="0.25"/>
  <cols>
    <col min="2" max="2" width="9.42578125" bestFit="1" customWidth="1"/>
    <col min="4" max="4" width="15.7109375" bestFit="1" customWidth="1"/>
    <col min="5" max="5" width="11.140625" bestFit="1" customWidth="1"/>
    <col min="7" max="7" width="9.42578125" bestFit="1" customWidth="1"/>
    <col min="8" max="8" width="16.42578125" customWidth="1"/>
    <col min="14" max="14" width="15.7109375" bestFit="1" customWidth="1"/>
    <col min="15" max="15" width="13.85546875" bestFit="1" customWidth="1"/>
    <col min="16" max="16" width="9.42578125" bestFit="1" customWidth="1"/>
    <col min="19" max="19" width="15.7109375" bestFit="1" customWidth="1"/>
    <col min="36" max="36" width="9.42578125" bestFit="1" customWidth="1"/>
    <col min="38" max="38" width="9.42578125" bestFit="1" customWidth="1"/>
  </cols>
  <sheetData>
    <row r="1" spans="1:40" ht="55.5" customHeight="1" x14ac:dyDescent="0.25">
      <c r="A1" s="109" t="s">
        <v>1018</v>
      </c>
      <c r="B1" s="110" t="s">
        <v>1019</v>
      </c>
      <c r="C1" s="110" t="s">
        <v>1020</v>
      </c>
      <c r="D1" s="110" t="s">
        <v>1021</v>
      </c>
      <c r="E1" s="110" t="s">
        <v>1022</v>
      </c>
      <c r="F1" s="110" t="s">
        <v>1023</v>
      </c>
      <c r="G1" s="110" t="s">
        <v>1024</v>
      </c>
      <c r="H1" s="110" t="s">
        <v>986</v>
      </c>
      <c r="I1" s="110" t="s">
        <v>1025</v>
      </c>
      <c r="J1" s="110" t="s">
        <v>1026</v>
      </c>
      <c r="K1" s="110" t="s">
        <v>1027</v>
      </c>
      <c r="L1" s="110" t="s">
        <v>1028</v>
      </c>
      <c r="M1" s="110" t="s">
        <v>1029</v>
      </c>
      <c r="N1" s="110" t="s">
        <v>1030</v>
      </c>
      <c r="O1" s="110" t="s">
        <v>1031</v>
      </c>
      <c r="P1" s="110" t="s">
        <v>1032</v>
      </c>
      <c r="Q1" s="110" t="s">
        <v>1033</v>
      </c>
      <c r="R1" s="110" t="s">
        <v>1034</v>
      </c>
      <c r="S1" s="110" t="s">
        <v>1035</v>
      </c>
      <c r="T1" s="110" t="s">
        <v>1036</v>
      </c>
      <c r="U1" s="110" t="s">
        <v>1037</v>
      </c>
      <c r="V1" s="110" t="s">
        <v>1038</v>
      </c>
      <c r="W1" s="110" t="s">
        <v>1039</v>
      </c>
      <c r="X1" s="110" t="s">
        <v>1040</v>
      </c>
      <c r="Y1" s="110" t="s">
        <v>1041</v>
      </c>
      <c r="Z1" s="110" t="s">
        <v>1042</v>
      </c>
      <c r="AA1" s="110" t="s">
        <v>1043</v>
      </c>
      <c r="AB1" s="110" t="s">
        <v>1044</v>
      </c>
      <c r="AC1" s="110" t="s">
        <v>1045</v>
      </c>
      <c r="AD1" s="110" t="s">
        <v>1046</v>
      </c>
      <c r="AE1" s="110" t="s">
        <v>1047</v>
      </c>
      <c r="AF1" s="110" t="s">
        <v>1048</v>
      </c>
      <c r="AG1" s="110" t="s">
        <v>1049</v>
      </c>
      <c r="AH1" s="110" t="s">
        <v>1050</v>
      </c>
      <c r="AI1" s="110" t="s">
        <v>1051</v>
      </c>
      <c r="AJ1" s="110" t="s">
        <v>1052</v>
      </c>
      <c r="AK1" s="110" t="s">
        <v>23</v>
      </c>
      <c r="AL1" s="110" t="s">
        <v>1053</v>
      </c>
      <c r="AM1" s="110" t="s">
        <v>1054</v>
      </c>
      <c r="AN1" s="110" t="s">
        <v>1055</v>
      </c>
    </row>
    <row r="2" spans="1:40" ht="55.5" customHeight="1" x14ac:dyDescent="0.25">
      <c r="A2" s="111" t="s">
        <v>1056</v>
      </c>
      <c r="B2" s="112">
        <v>2026</v>
      </c>
      <c r="C2" s="112" t="s">
        <v>1057</v>
      </c>
      <c r="D2" s="113">
        <v>46122.378541666665</v>
      </c>
      <c r="E2" s="112">
        <v>7928457040</v>
      </c>
      <c r="F2" s="112" t="s">
        <v>284</v>
      </c>
      <c r="G2" s="112">
        <v>2</v>
      </c>
      <c r="H2" s="112">
        <v>7928457040</v>
      </c>
      <c r="I2" s="112" t="s">
        <v>1058</v>
      </c>
      <c r="J2" s="112" t="s">
        <v>1059</v>
      </c>
      <c r="K2" s="112" t="s">
        <v>1060</v>
      </c>
      <c r="L2" s="112" t="s">
        <v>1061</v>
      </c>
      <c r="M2" s="112" t="s">
        <v>478</v>
      </c>
      <c r="N2" s="113">
        <v>46522.378541666665</v>
      </c>
      <c r="O2" s="114">
        <v>19002225715</v>
      </c>
      <c r="P2" s="112">
        <v>0</v>
      </c>
      <c r="Q2" s="112" t="s">
        <v>1062</v>
      </c>
      <c r="R2" s="112" t="s">
        <v>1063</v>
      </c>
      <c r="S2" s="113">
        <v>46154.729166666664</v>
      </c>
      <c r="T2" s="112" t="s">
        <v>1064</v>
      </c>
      <c r="U2" s="112" t="s">
        <v>1065</v>
      </c>
      <c r="V2" s="112" t="s">
        <v>1066</v>
      </c>
      <c r="W2" s="112" t="s">
        <v>1066</v>
      </c>
      <c r="X2" s="112" t="s">
        <v>1066</v>
      </c>
      <c r="Y2" s="112" t="s">
        <v>1066</v>
      </c>
      <c r="Z2" s="112" t="s">
        <v>1066</v>
      </c>
      <c r="AA2" s="112" t="s">
        <v>1067</v>
      </c>
      <c r="AB2" s="112" t="s">
        <v>1066</v>
      </c>
      <c r="AC2" s="112" t="s">
        <v>92</v>
      </c>
      <c r="AD2" s="112" t="s">
        <v>1066</v>
      </c>
      <c r="AE2" s="112" t="s">
        <v>1066</v>
      </c>
      <c r="AF2" s="112" t="s">
        <v>1066</v>
      </c>
      <c r="AG2" s="112" t="s">
        <v>1066</v>
      </c>
      <c r="AH2" s="112" t="s">
        <v>1066</v>
      </c>
      <c r="AI2" s="112" t="s">
        <v>785</v>
      </c>
      <c r="AJ2" s="112">
        <v>9206946</v>
      </c>
      <c r="AK2" s="112" t="s">
        <v>521</v>
      </c>
      <c r="AL2" s="112">
        <v>773396</v>
      </c>
      <c r="AM2" s="112" t="s">
        <v>1066</v>
      </c>
      <c r="AN2" s="112" t="s">
        <v>1066</v>
      </c>
    </row>
    <row r="3" spans="1:40" ht="55.5" customHeight="1" x14ac:dyDescent="0.25">
      <c r="A3" s="111" t="s">
        <v>1068</v>
      </c>
      <c r="B3" s="112">
        <v>2026</v>
      </c>
      <c r="C3" s="112" t="s">
        <v>1069</v>
      </c>
      <c r="D3" s="113">
        <v>46150.668981481482</v>
      </c>
      <c r="E3" s="112">
        <v>9000602028</v>
      </c>
      <c r="F3" s="112" t="s">
        <v>43</v>
      </c>
      <c r="G3" s="112">
        <v>2</v>
      </c>
      <c r="H3" s="112">
        <v>5833578028</v>
      </c>
      <c r="I3" s="112" t="s">
        <v>1070</v>
      </c>
      <c r="J3" s="112" t="s">
        <v>1071</v>
      </c>
      <c r="K3" s="112" t="s">
        <v>1072</v>
      </c>
      <c r="L3" s="112" t="s">
        <v>1073</v>
      </c>
      <c r="M3" s="112" t="s">
        <v>478</v>
      </c>
      <c r="N3" s="113">
        <v>46153.668981481482</v>
      </c>
      <c r="O3" s="114">
        <v>19002693568</v>
      </c>
      <c r="P3" s="112">
        <v>1.425</v>
      </c>
      <c r="Q3" s="112" t="s">
        <v>1074</v>
      </c>
      <c r="R3" s="112" t="s">
        <v>1075</v>
      </c>
      <c r="S3" s="113">
        <v>46174.65457175926</v>
      </c>
      <c r="T3" s="112" t="s">
        <v>1076</v>
      </c>
      <c r="U3" s="112" t="s">
        <v>1065</v>
      </c>
      <c r="V3" s="112" t="s">
        <v>1066</v>
      </c>
      <c r="W3" s="112" t="s">
        <v>1066</v>
      </c>
      <c r="X3" s="112" t="s">
        <v>1077</v>
      </c>
      <c r="Y3" s="112" t="s">
        <v>1066</v>
      </c>
      <c r="Z3" s="112" t="s">
        <v>1078</v>
      </c>
      <c r="AA3" s="112" t="s">
        <v>1067</v>
      </c>
      <c r="AB3" s="112" t="s">
        <v>1066</v>
      </c>
      <c r="AC3" s="112" t="s">
        <v>92</v>
      </c>
      <c r="AD3" s="112" t="s">
        <v>1066</v>
      </c>
      <c r="AE3" s="112" t="s">
        <v>1066</v>
      </c>
      <c r="AF3" s="112" t="s">
        <v>1066</v>
      </c>
      <c r="AG3" s="112" t="s">
        <v>1066</v>
      </c>
      <c r="AH3" s="112" t="s">
        <v>1066</v>
      </c>
      <c r="AI3" s="112" t="s">
        <v>785</v>
      </c>
      <c r="AJ3" s="112">
        <v>8703299</v>
      </c>
      <c r="AK3" s="112" t="s">
        <v>403</v>
      </c>
      <c r="AL3" s="112">
        <v>881823</v>
      </c>
      <c r="AM3" s="112" t="s">
        <v>1066</v>
      </c>
      <c r="AN3" s="112" t="s">
        <v>1066</v>
      </c>
    </row>
    <row r="4" spans="1:40" ht="55.5" customHeight="1" x14ac:dyDescent="0.25">
      <c r="A4" s="111" t="s">
        <v>1079</v>
      </c>
      <c r="B4" s="112">
        <v>2026</v>
      </c>
      <c r="C4" s="112" t="s">
        <v>1080</v>
      </c>
      <c r="D4" s="113">
        <v>46154.726712962962</v>
      </c>
      <c r="E4" s="112">
        <v>7910231015</v>
      </c>
      <c r="F4" s="112" t="s">
        <v>88</v>
      </c>
      <c r="G4" s="112">
        <v>3</v>
      </c>
      <c r="H4" s="112">
        <v>7910231015</v>
      </c>
      <c r="I4" s="112" t="s">
        <v>1081</v>
      </c>
      <c r="J4" s="112" t="s">
        <v>1082</v>
      </c>
      <c r="K4" s="112" t="s">
        <v>1083</v>
      </c>
      <c r="L4" s="112" t="s">
        <v>1084</v>
      </c>
      <c r="M4" s="112" t="s">
        <v>478</v>
      </c>
      <c r="N4" s="113">
        <v>46214.729895833334</v>
      </c>
      <c r="O4" s="114">
        <v>19002223896</v>
      </c>
      <c r="P4" s="112">
        <v>147</v>
      </c>
      <c r="Q4" s="112" t="s">
        <v>1062</v>
      </c>
      <c r="R4" s="112" t="s">
        <v>1085</v>
      </c>
      <c r="S4" s="113">
        <v>46183.729166666664</v>
      </c>
      <c r="T4" s="112" t="s">
        <v>1086</v>
      </c>
      <c r="U4" s="112" t="s">
        <v>1065</v>
      </c>
      <c r="V4" s="112" t="s">
        <v>1066</v>
      </c>
      <c r="W4" s="112" t="s">
        <v>1066</v>
      </c>
      <c r="X4" s="112" t="s">
        <v>1066</v>
      </c>
      <c r="Y4" s="112" t="s">
        <v>1066</v>
      </c>
      <c r="Z4" s="112" t="s">
        <v>1066</v>
      </c>
      <c r="AA4" s="112" t="s">
        <v>1067</v>
      </c>
      <c r="AB4" s="112" t="s">
        <v>1066</v>
      </c>
      <c r="AC4" s="112" t="s">
        <v>92</v>
      </c>
      <c r="AD4" s="112" t="s">
        <v>1066</v>
      </c>
      <c r="AE4" s="112" t="s">
        <v>1066</v>
      </c>
      <c r="AF4" s="112" t="s">
        <v>1066</v>
      </c>
      <c r="AG4" s="112" t="s">
        <v>1066</v>
      </c>
      <c r="AH4" s="112" t="s">
        <v>1087</v>
      </c>
      <c r="AI4" s="112" t="s">
        <v>785</v>
      </c>
      <c r="AJ4" s="112">
        <v>8971616</v>
      </c>
      <c r="AK4" s="112" t="s">
        <v>288</v>
      </c>
      <c r="AL4" s="112">
        <v>826695</v>
      </c>
      <c r="AM4" s="112" t="s">
        <v>1066</v>
      </c>
      <c r="AN4" s="112" t="s">
        <v>1066</v>
      </c>
    </row>
    <row r="5" spans="1:40" ht="55.5" customHeight="1" x14ac:dyDescent="0.25">
      <c r="A5" s="111" t="s">
        <v>1088</v>
      </c>
      <c r="B5" s="112">
        <v>2026</v>
      </c>
      <c r="C5" s="112" t="s">
        <v>1089</v>
      </c>
      <c r="D5" s="113">
        <v>46028.41065972222</v>
      </c>
      <c r="E5" s="112">
        <v>7909577092</v>
      </c>
      <c r="F5" s="112" t="s">
        <v>1090</v>
      </c>
      <c r="G5" s="112">
        <v>2</v>
      </c>
      <c r="H5" s="112">
        <v>7909577092</v>
      </c>
      <c r="I5" s="112" t="s">
        <v>1091</v>
      </c>
      <c r="J5" s="112" t="s">
        <v>1092</v>
      </c>
      <c r="K5" s="112" t="s">
        <v>1093</v>
      </c>
      <c r="L5" s="112" t="s">
        <v>1061</v>
      </c>
      <c r="M5" s="112" t="s">
        <v>478</v>
      </c>
      <c r="N5" s="113">
        <v>46428.41065972222</v>
      </c>
      <c r="O5" s="114">
        <v>19002295963</v>
      </c>
      <c r="P5" s="112">
        <v>2.0070000000000001</v>
      </c>
      <c r="Q5" s="112" t="s">
        <v>1062</v>
      </c>
      <c r="R5" s="112" t="s">
        <v>1063</v>
      </c>
      <c r="S5" s="113">
        <v>46086.484120370369</v>
      </c>
      <c r="T5" s="112" t="s">
        <v>1094</v>
      </c>
      <c r="U5" s="112" t="s">
        <v>1065</v>
      </c>
      <c r="V5" s="112" t="s">
        <v>1066</v>
      </c>
      <c r="W5" s="112" t="s">
        <v>1066</v>
      </c>
      <c r="X5" s="112" t="s">
        <v>1066</v>
      </c>
      <c r="Y5" s="112" t="s">
        <v>1066</v>
      </c>
      <c r="Z5" s="112" t="s">
        <v>1066</v>
      </c>
      <c r="AA5" s="112" t="s">
        <v>1067</v>
      </c>
      <c r="AB5" s="112" t="s">
        <v>1066</v>
      </c>
      <c r="AC5" s="112" t="s">
        <v>92</v>
      </c>
      <c r="AD5" s="112" t="s">
        <v>1066</v>
      </c>
      <c r="AE5" s="112" t="s">
        <v>1066</v>
      </c>
      <c r="AF5" s="112" t="s">
        <v>1066</v>
      </c>
      <c r="AG5" s="112" t="s">
        <v>1066</v>
      </c>
      <c r="AH5" s="112" t="s">
        <v>1066</v>
      </c>
      <c r="AI5" s="112" t="s">
        <v>785</v>
      </c>
      <c r="AJ5" s="112">
        <v>8896369</v>
      </c>
      <c r="AK5" s="112" t="s">
        <v>1095</v>
      </c>
      <c r="AL5" s="112">
        <v>863365</v>
      </c>
      <c r="AM5" s="112" t="s">
        <v>1066</v>
      </c>
      <c r="AN5" s="112" t="s">
        <v>1066</v>
      </c>
    </row>
    <row r="6" spans="1:40" ht="55.5" customHeight="1" x14ac:dyDescent="0.25">
      <c r="A6" s="115" t="s">
        <v>1096</v>
      </c>
      <c r="B6" s="116">
        <v>2026</v>
      </c>
      <c r="C6" s="116" t="s">
        <v>1097</v>
      </c>
      <c r="D6" s="118">
        <v>46045.883368055554</v>
      </c>
      <c r="E6" s="116">
        <v>9040227063</v>
      </c>
      <c r="F6" s="116" t="s">
        <v>148</v>
      </c>
      <c r="G6" s="116">
        <v>1</v>
      </c>
      <c r="H6" s="116">
        <v>5840227063</v>
      </c>
      <c r="I6" s="116" t="s">
        <v>1098</v>
      </c>
      <c r="J6" s="116" t="s">
        <v>1071</v>
      </c>
      <c r="K6" s="116" t="s">
        <v>1099</v>
      </c>
      <c r="L6" s="116" t="s">
        <v>1073</v>
      </c>
      <c r="M6" s="116" t="s">
        <v>588</v>
      </c>
      <c r="N6" s="118">
        <v>46226.584999999999</v>
      </c>
      <c r="O6" s="119">
        <v>19002682666</v>
      </c>
      <c r="P6" s="116">
        <v>1.5840000000000001</v>
      </c>
      <c r="Q6" s="116" t="s">
        <v>1074</v>
      </c>
      <c r="R6" s="116" t="s">
        <v>1075</v>
      </c>
      <c r="S6" s="116" t="s">
        <v>1066</v>
      </c>
      <c r="T6" s="116" t="s">
        <v>1066</v>
      </c>
      <c r="U6" s="116" t="s">
        <v>1066</v>
      </c>
      <c r="V6" s="116" t="s">
        <v>1066</v>
      </c>
      <c r="W6" s="116" t="s">
        <v>1066</v>
      </c>
      <c r="X6" s="116" t="s">
        <v>1100</v>
      </c>
      <c r="Y6" s="116" t="s">
        <v>1066</v>
      </c>
      <c r="Z6" s="116" t="s">
        <v>1101</v>
      </c>
      <c r="AA6" s="116" t="s">
        <v>1067</v>
      </c>
      <c r="AB6" s="116" t="s">
        <v>1066</v>
      </c>
      <c r="AC6" s="116" t="s">
        <v>92</v>
      </c>
      <c r="AD6" s="116" t="s">
        <v>1066</v>
      </c>
      <c r="AE6" s="116" t="s">
        <v>1066</v>
      </c>
      <c r="AF6" s="116" t="s">
        <v>1066</v>
      </c>
      <c r="AG6" s="116" t="s">
        <v>1066</v>
      </c>
      <c r="AH6" s="116" t="s">
        <v>1102</v>
      </c>
      <c r="AI6" s="116" t="s">
        <v>785</v>
      </c>
      <c r="AJ6" s="116">
        <v>9138624</v>
      </c>
      <c r="AK6" s="116" t="s">
        <v>253</v>
      </c>
      <c r="AL6" s="116">
        <v>779435</v>
      </c>
      <c r="AM6" s="116" t="s">
        <v>1066</v>
      </c>
      <c r="AN6" s="116" t="s">
        <v>1066</v>
      </c>
    </row>
    <row r="7" spans="1:40" ht="55.5" customHeight="1" x14ac:dyDescent="0.25">
      <c r="A7" s="111" t="s">
        <v>1103</v>
      </c>
      <c r="B7" s="112">
        <v>2026</v>
      </c>
      <c r="C7" s="112" t="s">
        <v>1089</v>
      </c>
      <c r="D7" s="113">
        <v>46028.41065972222</v>
      </c>
      <c r="E7" s="112">
        <v>7932450001</v>
      </c>
      <c r="F7" s="112" t="s">
        <v>1104</v>
      </c>
      <c r="G7" s="112">
        <v>3</v>
      </c>
      <c r="H7" s="112">
        <v>7932450001</v>
      </c>
      <c r="I7" s="112" t="s">
        <v>1105</v>
      </c>
      <c r="J7" s="112" t="s">
        <v>1092</v>
      </c>
      <c r="K7" s="112" t="s">
        <v>1093</v>
      </c>
      <c r="L7" s="112" t="s">
        <v>1061</v>
      </c>
      <c r="M7" s="112" t="s">
        <v>478</v>
      </c>
      <c r="N7" s="113">
        <v>46428.41065972222</v>
      </c>
      <c r="O7" s="114">
        <v>19002210761</v>
      </c>
      <c r="P7" s="112">
        <v>269</v>
      </c>
      <c r="Q7" s="112" t="s">
        <v>1062</v>
      </c>
      <c r="R7" s="112" t="s">
        <v>1063</v>
      </c>
      <c r="S7" s="113">
        <v>46059.490428240744</v>
      </c>
      <c r="T7" s="112" t="s">
        <v>1106</v>
      </c>
      <c r="U7" s="112" t="s">
        <v>1065</v>
      </c>
      <c r="V7" s="112" t="s">
        <v>1066</v>
      </c>
      <c r="W7" s="112" t="s">
        <v>1066</v>
      </c>
      <c r="X7" s="112" t="s">
        <v>1066</v>
      </c>
      <c r="Y7" s="112" t="s">
        <v>1066</v>
      </c>
      <c r="Z7" s="112" t="s">
        <v>1066</v>
      </c>
      <c r="AA7" s="112" t="s">
        <v>1067</v>
      </c>
      <c r="AB7" s="112" t="s">
        <v>1066</v>
      </c>
      <c r="AC7" s="112" t="s">
        <v>92</v>
      </c>
      <c r="AD7" s="112" t="s">
        <v>1066</v>
      </c>
      <c r="AE7" s="112" t="s">
        <v>1066</v>
      </c>
      <c r="AF7" s="112" t="s">
        <v>1066</v>
      </c>
      <c r="AG7" s="112" t="s">
        <v>1066</v>
      </c>
      <c r="AH7" s="112" t="s">
        <v>1066</v>
      </c>
      <c r="AI7" s="112" t="s">
        <v>785</v>
      </c>
      <c r="AJ7" s="112">
        <v>8818525</v>
      </c>
      <c r="AK7" s="112" t="s">
        <v>50</v>
      </c>
      <c r="AL7" s="112">
        <v>803106</v>
      </c>
      <c r="AM7" s="112" t="s">
        <v>1066</v>
      </c>
      <c r="AN7" s="112" t="s">
        <v>1066</v>
      </c>
    </row>
    <row r="8" spans="1:40" ht="55.5" customHeight="1" x14ac:dyDescent="0.25">
      <c r="A8" s="111" t="s">
        <v>1107</v>
      </c>
      <c r="B8" s="112">
        <v>2026</v>
      </c>
      <c r="C8" s="112" t="s">
        <v>1108</v>
      </c>
      <c r="D8" s="113">
        <v>46128.911782407406</v>
      </c>
      <c r="E8" s="112">
        <v>7951356092</v>
      </c>
      <c r="F8" s="112" t="s">
        <v>1090</v>
      </c>
      <c r="G8" s="112">
        <v>3</v>
      </c>
      <c r="H8" s="112">
        <v>7951356092</v>
      </c>
      <c r="I8" s="112" t="s">
        <v>1109</v>
      </c>
      <c r="J8" s="112" t="s">
        <v>1071</v>
      </c>
      <c r="K8" s="112" t="s">
        <v>1110</v>
      </c>
      <c r="L8" s="112" t="s">
        <v>1073</v>
      </c>
      <c r="M8" s="112" t="s">
        <v>478</v>
      </c>
      <c r="N8" s="113">
        <v>46131.911782407406</v>
      </c>
      <c r="O8" s="114">
        <v>19002678727</v>
      </c>
      <c r="P8" s="112">
        <v>61</v>
      </c>
      <c r="Q8" s="112" t="s">
        <v>1062</v>
      </c>
      <c r="R8" s="112" t="s">
        <v>1075</v>
      </c>
      <c r="S8" s="113">
        <v>46140.659722222219</v>
      </c>
      <c r="T8" s="112" t="s">
        <v>1111</v>
      </c>
      <c r="U8" s="112" t="s">
        <v>1065</v>
      </c>
      <c r="V8" s="112" t="s">
        <v>1066</v>
      </c>
      <c r="W8" s="112" t="s">
        <v>1066</v>
      </c>
      <c r="X8" s="112" t="s">
        <v>1066</v>
      </c>
      <c r="Y8" s="112" t="s">
        <v>1066</v>
      </c>
      <c r="Z8" s="112" t="s">
        <v>1066</v>
      </c>
      <c r="AA8" s="112" t="s">
        <v>1067</v>
      </c>
      <c r="AB8" s="112" t="s">
        <v>1066</v>
      </c>
      <c r="AC8" s="112" t="s">
        <v>92</v>
      </c>
      <c r="AD8" s="112" t="s">
        <v>1066</v>
      </c>
      <c r="AE8" s="112" t="s">
        <v>1066</v>
      </c>
      <c r="AF8" s="112" t="s">
        <v>1066</v>
      </c>
      <c r="AG8" s="112" t="s">
        <v>1066</v>
      </c>
      <c r="AH8" s="112" t="s">
        <v>1066</v>
      </c>
      <c r="AI8" s="112" t="s">
        <v>785</v>
      </c>
      <c r="AJ8" s="112">
        <v>8901885</v>
      </c>
      <c r="AK8" s="112" t="s">
        <v>87</v>
      </c>
      <c r="AL8" s="112">
        <v>885750</v>
      </c>
      <c r="AM8" s="112" t="s">
        <v>1066</v>
      </c>
      <c r="AN8" s="112" t="s">
        <v>1066</v>
      </c>
    </row>
    <row r="9" spans="1:40" ht="55.5" customHeight="1" x14ac:dyDescent="0.25">
      <c r="A9" s="120" t="s">
        <v>1112</v>
      </c>
      <c r="B9" s="121">
        <v>2026</v>
      </c>
      <c r="C9" s="121" t="s">
        <v>1113</v>
      </c>
      <c r="D9" s="122">
        <v>46191.975995370369</v>
      </c>
      <c r="E9" s="121">
        <v>7953211079</v>
      </c>
      <c r="F9" s="121" t="s">
        <v>360</v>
      </c>
      <c r="G9" s="121">
        <v>3</v>
      </c>
      <c r="H9" s="121">
        <v>7953211079</v>
      </c>
      <c r="I9" s="121" t="s">
        <v>1114</v>
      </c>
      <c r="J9" s="121" t="s">
        <v>1071</v>
      </c>
      <c r="K9" s="121" t="s">
        <v>1115</v>
      </c>
      <c r="L9" s="121" t="s">
        <v>1073</v>
      </c>
      <c r="M9" s="121" t="s">
        <v>1116</v>
      </c>
      <c r="N9" s="122">
        <v>46194.975995370369</v>
      </c>
      <c r="O9" s="123">
        <v>19002678790</v>
      </c>
      <c r="P9" s="121">
        <v>1.59</v>
      </c>
      <c r="Q9" s="121" t="s">
        <v>1062</v>
      </c>
      <c r="R9" s="121" t="s">
        <v>1075</v>
      </c>
      <c r="S9" s="122">
        <v>46226.489166666666</v>
      </c>
      <c r="T9" s="121" t="s">
        <v>1066</v>
      </c>
      <c r="U9" s="121" t="s">
        <v>1066</v>
      </c>
      <c r="V9" s="121" t="s">
        <v>1066</v>
      </c>
      <c r="W9" s="121" t="s">
        <v>1066</v>
      </c>
      <c r="X9" s="121" t="s">
        <v>1117</v>
      </c>
      <c r="Y9" s="121" t="s">
        <v>1066</v>
      </c>
      <c r="Z9" s="121" t="s">
        <v>1118</v>
      </c>
      <c r="AA9" s="121" t="s">
        <v>1067</v>
      </c>
      <c r="AB9" s="121" t="s">
        <v>1066</v>
      </c>
      <c r="AC9" s="121" t="s">
        <v>92</v>
      </c>
      <c r="AD9" s="121" t="s">
        <v>1066</v>
      </c>
      <c r="AE9" s="121" t="s">
        <v>1066</v>
      </c>
      <c r="AF9" s="121" t="s">
        <v>1066</v>
      </c>
      <c r="AG9" s="121" t="s">
        <v>1066</v>
      </c>
      <c r="AH9" s="121" t="s">
        <v>1066</v>
      </c>
      <c r="AI9" s="121" t="s">
        <v>785</v>
      </c>
      <c r="AJ9" s="121">
        <v>9070549</v>
      </c>
      <c r="AK9" s="121" t="s">
        <v>359</v>
      </c>
      <c r="AL9" s="121">
        <v>819863</v>
      </c>
      <c r="AM9" s="121" t="s">
        <v>1066</v>
      </c>
      <c r="AN9" s="121" t="s">
        <v>1066</v>
      </c>
    </row>
    <row r="10" spans="1:40" ht="55.5" customHeight="1" x14ac:dyDescent="0.25">
      <c r="A10" s="111" t="s">
        <v>1119</v>
      </c>
      <c r="B10" s="112">
        <v>2026</v>
      </c>
      <c r="C10" s="112" t="s">
        <v>1089</v>
      </c>
      <c r="D10" s="113">
        <v>46028.41065972222</v>
      </c>
      <c r="E10" s="112">
        <v>7900236054</v>
      </c>
      <c r="F10" s="112" t="s">
        <v>279</v>
      </c>
      <c r="G10" s="112">
        <v>1</v>
      </c>
      <c r="H10" s="112">
        <v>7900236054</v>
      </c>
      <c r="I10" s="112" t="s">
        <v>1120</v>
      </c>
      <c r="J10" s="112" t="s">
        <v>1092</v>
      </c>
      <c r="K10" s="112" t="s">
        <v>1093</v>
      </c>
      <c r="L10" s="112" t="s">
        <v>1061</v>
      </c>
      <c r="M10" s="112" t="s">
        <v>478</v>
      </c>
      <c r="N10" s="113">
        <v>46428.41065972222</v>
      </c>
      <c r="O10" s="114">
        <v>19002295988</v>
      </c>
      <c r="P10" s="112">
        <v>957</v>
      </c>
      <c r="Q10" s="112" t="s">
        <v>1062</v>
      </c>
      <c r="R10" s="112" t="s">
        <v>1063</v>
      </c>
      <c r="S10" s="113">
        <v>46126.453645833331</v>
      </c>
      <c r="T10" s="112" t="s">
        <v>1121</v>
      </c>
      <c r="U10" s="112" t="s">
        <v>1065</v>
      </c>
      <c r="V10" s="112" t="s">
        <v>1066</v>
      </c>
      <c r="W10" s="112" t="s">
        <v>1066</v>
      </c>
      <c r="X10" s="112" t="s">
        <v>1066</v>
      </c>
      <c r="Y10" s="112" t="s">
        <v>1066</v>
      </c>
      <c r="Z10" s="112" t="s">
        <v>1066</v>
      </c>
      <c r="AA10" s="112" t="s">
        <v>1067</v>
      </c>
      <c r="AB10" s="112" t="s">
        <v>1066</v>
      </c>
      <c r="AC10" s="112" t="s">
        <v>92</v>
      </c>
      <c r="AD10" s="112" t="s">
        <v>1066</v>
      </c>
      <c r="AE10" s="112" t="s">
        <v>1066</v>
      </c>
      <c r="AF10" s="112" t="s">
        <v>1066</v>
      </c>
      <c r="AG10" s="112" t="s">
        <v>1066</v>
      </c>
      <c r="AH10" s="112" t="s">
        <v>1066</v>
      </c>
      <c r="AI10" s="112" t="s">
        <v>785</v>
      </c>
      <c r="AJ10" s="112">
        <v>8846917</v>
      </c>
      <c r="AK10" s="112" t="s">
        <v>278</v>
      </c>
      <c r="AL10" s="112">
        <v>729961</v>
      </c>
      <c r="AM10" s="112" t="s">
        <v>1066</v>
      </c>
      <c r="AN10" s="112" t="s">
        <v>1066</v>
      </c>
    </row>
    <row r="11" spans="1:40" ht="55.5" customHeight="1" x14ac:dyDescent="0.25">
      <c r="A11" s="111" t="s">
        <v>1122</v>
      </c>
      <c r="B11" s="112">
        <v>2026</v>
      </c>
      <c r="C11" s="112" t="s">
        <v>1057</v>
      </c>
      <c r="D11" s="113">
        <v>46125.584386574075</v>
      </c>
      <c r="E11" s="112">
        <v>7933951052</v>
      </c>
      <c r="F11" s="112" t="s">
        <v>1123</v>
      </c>
      <c r="G11" s="112">
        <v>2</v>
      </c>
      <c r="H11" s="112">
        <v>7933951052</v>
      </c>
      <c r="I11" s="112" t="s">
        <v>1124</v>
      </c>
      <c r="J11" s="112" t="s">
        <v>1066</v>
      </c>
      <c r="K11" s="112" t="s">
        <v>1125</v>
      </c>
      <c r="L11" s="112" t="s">
        <v>1061</v>
      </c>
      <c r="M11" s="112" t="s">
        <v>478</v>
      </c>
      <c r="N11" s="113">
        <v>46525.584386574075</v>
      </c>
      <c r="O11" s="114">
        <v>19002260432</v>
      </c>
      <c r="P11" s="112">
        <v>166</v>
      </c>
      <c r="Q11" s="112" t="s">
        <v>1062</v>
      </c>
      <c r="R11" s="112" t="s">
        <v>1063</v>
      </c>
      <c r="S11" s="113">
        <v>46204.416909722226</v>
      </c>
      <c r="T11" s="112" t="s">
        <v>1126</v>
      </c>
      <c r="U11" s="112" t="s">
        <v>1065</v>
      </c>
      <c r="V11" s="112" t="s">
        <v>1066</v>
      </c>
      <c r="W11" s="112" t="s">
        <v>1066</v>
      </c>
      <c r="X11" s="112" t="s">
        <v>1066</v>
      </c>
      <c r="Y11" s="112" t="s">
        <v>1066</v>
      </c>
      <c r="Z11" s="112" t="s">
        <v>1066</v>
      </c>
      <c r="AA11" s="112" t="s">
        <v>1067</v>
      </c>
      <c r="AB11" s="112" t="s">
        <v>1066</v>
      </c>
      <c r="AC11" s="112" t="s">
        <v>92</v>
      </c>
      <c r="AD11" s="112" t="s">
        <v>1066</v>
      </c>
      <c r="AE11" s="112" t="s">
        <v>1066</v>
      </c>
      <c r="AF11" s="112" t="s">
        <v>1066</v>
      </c>
      <c r="AG11" s="112" t="s">
        <v>1066</v>
      </c>
      <c r="AH11" s="112" t="s">
        <v>1066</v>
      </c>
      <c r="AI11" s="112" t="s">
        <v>785</v>
      </c>
      <c r="AJ11" s="112">
        <v>8674771</v>
      </c>
      <c r="AK11" s="112" t="s">
        <v>112</v>
      </c>
      <c r="AL11" s="112">
        <v>619714</v>
      </c>
      <c r="AM11" s="112" t="s">
        <v>1066</v>
      </c>
      <c r="AN11" s="112" t="s">
        <v>1066</v>
      </c>
    </row>
    <row r="12" spans="1:40" ht="55.5" customHeight="1" x14ac:dyDescent="0.25">
      <c r="A12" s="111" t="s">
        <v>1127</v>
      </c>
      <c r="B12" s="112">
        <v>2026</v>
      </c>
      <c r="C12" s="112" t="s">
        <v>1128</v>
      </c>
      <c r="D12" s="113">
        <v>46029.306041666663</v>
      </c>
      <c r="E12" s="112">
        <v>300437026</v>
      </c>
      <c r="F12" s="112" t="s">
        <v>136</v>
      </c>
      <c r="G12" s="112">
        <v>3</v>
      </c>
      <c r="H12" s="112">
        <v>7950387026</v>
      </c>
      <c r="I12" s="112" t="s">
        <v>1129</v>
      </c>
      <c r="J12" s="112" t="s">
        <v>1071</v>
      </c>
      <c r="K12" s="112" t="s">
        <v>1130</v>
      </c>
      <c r="L12" s="112" t="s">
        <v>1073</v>
      </c>
      <c r="M12" s="112" t="s">
        <v>478</v>
      </c>
      <c r="N12" s="113">
        <v>46032.306041666663</v>
      </c>
      <c r="O12" s="114">
        <v>19002671733</v>
      </c>
      <c r="P12" s="112">
        <v>43</v>
      </c>
      <c r="Q12" s="112" t="s">
        <v>1131</v>
      </c>
      <c r="R12" s="112" t="s">
        <v>1075</v>
      </c>
      <c r="S12" s="113">
        <v>46057.444039351853</v>
      </c>
      <c r="T12" s="112" t="s">
        <v>1132</v>
      </c>
      <c r="U12" s="112" t="s">
        <v>1065</v>
      </c>
      <c r="V12" s="112" t="s">
        <v>1066</v>
      </c>
      <c r="W12" s="112" t="s">
        <v>1066</v>
      </c>
      <c r="X12" s="112" t="s">
        <v>1117</v>
      </c>
      <c r="Y12" s="112" t="s">
        <v>1066</v>
      </c>
      <c r="Z12" s="112" t="s">
        <v>1133</v>
      </c>
      <c r="AA12" s="112" t="s">
        <v>1067</v>
      </c>
      <c r="AB12" s="112" t="s">
        <v>1066</v>
      </c>
      <c r="AC12" s="112" t="s">
        <v>92</v>
      </c>
      <c r="AD12" s="112" t="s">
        <v>1066</v>
      </c>
      <c r="AE12" s="112" t="s">
        <v>1066</v>
      </c>
      <c r="AF12" s="112" t="s">
        <v>1066</v>
      </c>
      <c r="AG12" s="112" t="s">
        <v>1066</v>
      </c>
      <c r="AH12" s="112" t="s">
        <v>1066</v>
      </c>
      <c r="AI12" s="112" t="s">
        <v>785</v>
      </c>
      <c r="AJ12" s="112">
        <v>8788886</v>
      </c>
      <c r="AK12" s="112" t="s">
        <v>792</v>
      </c>
      <c r="AL12" s="112">
        <v>858504</v>
      </c>
      <c r="AM12" s="112" t="s">
        <v>1066</v>
      </c>
      <c r="AN12" s="112" t="s">
        <v>1066</v>
      </c>
    </row>
    <row r="13" spans="1:40" ht="55.5" customHeight="1" x14ac:dyDescent="0.25">
      <c r="A13" s="111" t="s">
        <v>1134</v>
      </c>
      <c r="B13" s="112">
        <v>2026</v>
      </c>
      <c r="C13" s="112" t="s">
        <v>1057</v>
      </c>
      <c r="D13" s="113">
        <v>46125.614548611113</v>
      </c>
      <c r="E13" s="112">
        <v>7931682122</v>
      </c>
      <c r="F13" s="112" t="s">
        <v>1135</v>
      </c>
      <c r="G13" s="112">
        <v>3</v>
      </c>
      <c r="H13" s="112">
        <v>7931682122</v>
      </c>
      <c r="I13" s="112" t="s">
        <v>1136</v>
      </c>
      <c r="J13" s="112" t="s">
        <v>1066</v>
      </c>
      <c r="K13" s="112" t="s">
        <v>1125</v>
      </c>
      <c r="L13" s="112" t="s">
        <v>1061</v>
      </c>
      <c r="M13" s="112" t="s">
        <v>478</v>
      </c>
      <c r="N13" s="113">
        <v>46525.614548611113</v>
      </c>
      <c r="O13" s="114">
        <v>19002203544</v>
      </c>
      <c r="P13" s="112">
        <v>0</v>
      </c>
      <c r="Q13" s="112" t="s">
        <v>1062</v>
      </c>
      <c r="R13" s="112" t="s">
        <v>1063</v>
      </c>
      <c r="S13" s="113">
        <v>46192.683819444443</v>
      </c>
      <c r="T13" s="112" t="s">
        <v>1137</v>
      </c>
      <c r="U13" s="112" t="s">
        <v>1065</v>
      </c>
      <c r="V13" s="112" t="s">
        <v>1066</v>
      </c>
      <c r="W13" s="112" t="s">
        <v>1066</v>
      </c>
      <c r="X13" s="112" t="s">
        <v>1066</v>
      </c>
      <c r="Y13" s="112" t="s">
        <v>1066</v>
      </c>
      <c r="Z13" s="112" t="s">
        <v>1066</v>
      </c>
      <c r="AA13" s="112" t="s">
        <v>1067</v>
      </c>
      <c r="AB13" s="112" t="s">
        <v>1066</v>
      </c>
      <c r="AC13" s="112" t="s">
        <v>92</v>
      </c>
      <c r="AD13" s="112" t="s">
        <v>1066</v>
      </c>
      <c r="AE13" s="112" t="s">
        <v>1066</v>
      </c>
      <c r="AF13" s="112" t="s">
        <v>1066</v>
      </c>
      <c r="AG13" s="112" t="s">
        <v>1066</v>
      </c>
      <c r="AH13" s="112" t="s">
        <v>1066</v>
      </c>
      <c r="AI13" s="112" t="s">
        <v>785</v>
      </c>
      <c r="AJ13" s="112">
        <v>8869655</v>
      </c>
      <c r="AK13" s="112" t="s">
        <v>264</v>
      </c>
      <c r="AL13" s="112">
        <v>790354</v>
      </c>
      <c r="AM13" s="112" t="s">
        <v>1066</v>
      </c>
      <c r="AN13" s="112" t="s">
        <v>1066</v>
      </c>
    </row>
    <row r="14" spans="1:40" ht="55.5" customHeight="1" x14ac:dyDescent="0.25">
      <c r="A14" s="111" t="s">
        <v>1138</v>
      </c>
      <c r="B14" s="112">
        <v>2026</v>
      </c>
      <c r="C14" s="112" t="s">
        <v>1139</v>
      </c>
      <c r="D14" s="113">
        <v>46108.437372685185</v>
      </c>
      <c r="E14" s="112">
        <v>9000725086</v>
      </c>
      <c r="F14" s="112" t="s">
        <v>682</v>
      </c>
      <c r="G14" s="112">
        <v>2</v>
      </c>
      <c r="H14" s="112">
        <v>7931383086</v>
      </c>
      <c r="I14" s="112" t="s">
        <v>1140</v>
      </c>
      <c r="J14" s="112" t="s">
        <v>1082</v>
      </c>
      <c r="K14" s="112" t="s">
        <v>1083</v>
      </c>
      <c r="L14" s="112" t="s">
        <v>1084</v>
      </c>
      <c r="M14" s="112" t="s">
        <v>478</v>
      </c>
      <c r="N14" s="113">
        <v>46168.437372685185</v>
      </c>
      <c r="O14" s="114">
        <v>19001273811</v>
      </c>
      <c r="P14" s="112">
        <v>1.31</v>
      </c>
      <c r="Q14" s="112" t="s">
        <v>1131</v>
      </c>
      <c r="R14" s="112" t="s">
        <v>1085</v>
      </c>
      <c r="S14" s="113">
        <v>46182.730532407404</v>
      </c>
      <c r="T14" s="112" t="s">
        <v>1141</v>
      </c>
      <c r="U14" s="112" t="s">
        <v>1065</v>
      </c>
      <c r="V14" s="112" t="s">
        <v>1066</v>
      </c>
      <c r="W14" s="112" t="s">
        <v>1066</v>
      </c>
      <c r="X14" s="112" t="s">
        <v>983</v>
      </c>
      <c r="Y14" s="112" t="s">
        <v>1066</v>
      </c>
      <c r="Z14" s="112" t="s">
        <v>1066</v>
      </c>
      <c r="AA14" s="112" t="s">
        <v>1067</v>
      </c>
      <c r="AB14" s="112" t="s">
        <v>1066</v>
      </c>
      <c r="AC14" s="112" t="s">
        <v>92</v>
      </c>
      <c r="AD14" s="112" t="s">
        <v>1142</v>
      </c>
      <c r="AE14" s="112" t="s">
        <v>1066</v>
      </c>
      <c r="AF14" s="112" t="s">
        <v>1066</v>
      </c>
      <c r="AG14" s="112" t="s">
        <v>1066</v>
      </c>
      <c r="AH14" s="112" t="s">
        <v>1066</v>
      </c>
      <c r="AI14" s="112" t="s">
        <v>785</v>
      </c>
      <c r="AJ14" s="112">
        <v>8916641</v>
      </c>
      <c r="AK14" s="112" t="s">
        <v>1143</v>
      </c>
      <c r="AL14" s="112">
        <v>648297</v>
      </c>
      <c r="AM14" s="112" t="s">
        <v>1066</v>
      </c>
      <c r="AN14" s="112" t="s">
        <v>1066</v>
      </c>
    </row>
    <row r="15" spans="1:40" ht="55.5" customHeight="1" x14ac:dyDescent="0.25">
      <c r="A15" s="124" t="s">
        <v>385</v>
      </c>
      <c r="B15" s="125">
        <v>2026</v>
      </c>
      <c r="C15" s="125" t="s">
        <v>387</v>
      </c>
      <c r="D15" s="126">
        <v>46239.812002314815</v>
      </c>
      <c r="E15" s="125">
        <v>8800022047</v>
      </c>
      <c r="F15" s="125" t="s">
        <v>386</v>
      </c>
      <c r="G15" s="125">
        <v>3</v>
      </c>
      <c r="H15" s="125">
        <v>7961515047</v>
      </c>
      <c r="I15" s="125" t="s">
        <v>1144</v>
      </c>
      <c r="J15" s="125" t="s">
        <v>1071</v>
      </c>
      <c r="K15" s="125" t="s">
        <v>1145</v>
      </c>
      <c r="L15" s="125" t="s">
        <v>1073</v>
      </c>
      <c r="M15" s="125" t="s">
        <v>510</v>
      </c>
      <c r="N15" s="126">
        <v>46242.812002314815</v>
      </c>
      <c r="O15" s="127">
        <v>19002788158</v>
      </c>
      <c r="P15" s="125">
        <v>917</v>
      </c>
      <c r="Q15" s="125" t="s">
        <v>1131</v>
      </c>
      <c r="R15" s="125" t="s">
        <v>1075</v>
      </c>
      <c r="S15" s="125" t="s">
        <v>1066</v>
      </c>
      <c r="T15" s="125" t="s">
        <v>1146</v>
      </c>
      <c r="U15" s="125" t="s">
        <v>1147</v>
      </c>
      <c r="V15" s="125" t="s">
        <v>1066</v>
      </c>
      <c r="W15" s="125" t="s">
        <v>1066</v>
      </c>
      <c r="X15" s="125" t="s">
        <v>983</v>
      </c>
      <c r="Y15" s="125" t="s">
        <v>1066</v>
      </c>
      <c r="Z15" s="125" t="s">
        <v>1148</v>
      </c>
      <c r="AA15" s="125" t="s">
        <v>1067</v>
      </c>
      <c r="AB15" s="125" t="s">
        <v>1066</v>
      </c>
      <c r="AC15" s="125" t="s">
        <v>92</v>
      </c>
      <c r="AD15" s="125" t="s">
        <v>1066</v>
      </c>
      <c r="AE15" s="125" t="s">
        <v>1066</v>
      </c>
      <c r="AF15" s="125" t="s">
        <v>1066</v>
      </c>
      <c r="AG15" s="125" t="s">
        <v>1066</v>
      </c>
      <c r="AH15" s="125" t="s">
        <v>1066</v>
      </c>
      <c r="AI15" s="125" t="s">
        <v>785</v>
      </c>
      <c r="AJ15" s="125">
        <v>8657994</v>
      </c>
      <c r="AK15" s="125" t="s">
        <v>111</v>
      </c>
      <c r="AL15" s="125">
        <v>698996</v>
      </c>
      <c r="AM15" s="125" t="s">
        <v>1066</v>
      </c>
      <c r="AN15" s="125" t="s">
        <v>1066</v>
      </c>
    </row>
    <row r="16" spans="1:40" ht="55.5" customHeight="1" x14ac:dyDescent="0.25">
      <c r="A16" s="111" t="s">
        <v>1149</v>
      </c>
      <c r="B16" s="112">
        <v>2026</v>
      </c>
      <c r="C16" s="112" t="s">
        <v>1089</v>
      </c>
      <c r="D16" s="113">
        <v>46028.453888888886</v>
      </c>
      <c r="E16" s="112">
        <v>7936789029</v>
      </c>
      <c r="F16" s="112" t="s">
        <v>1150</v>
      </c>
      <c r="G16" s="112">
        <v>3</v>
      </c>
      <c r="H16" s="112">
        <v>7936789029</v>
      </c>
      <c r="I16" s="112" t="s">
        <v>1151</v>
      </c>
      <c r="J16" s="112" t="s">
        <v>1092</v>
      </c>
      <c r="K16" s="112" t="s">
        <v>1093</v>
      </c>
      <c r="L16" s="112" t="s">
        <v>1061</v>
      </c>
      <c r="M16" s="112" t="s">
        <v>478</v>
      </c>
      <c r="N16" s="113">
        <v>46428.453888888886</v>
      </c>
      <c r="O16" s="114">
        <v>19002208126</v>
      </c>
      <c r="P16" s="112">
        <v>417</v>
      </c>
      <c r="Q16" s="112" t="s">
        <v>1062</v>
      </c>
      <c r="R16" s="112" t="s">
        <v>1063</v>
      </c>
      <c r="S16" s="113">
        <v>46034.431250000001</v>
      </c>
      <c r="T16" s="112" t="s">
        <v>1152</v>
      </c>
      <c r="U16" s="112" t="s">
        <v>1065</v>
      </c>
      <c r="V16" s="112" t="s">
        <v>1066</v>
      </c>
      <c r="W16" s="112" t="s">
        <v>1066</v>
      </c>
      <c r="X16" s="112" t="s">
        <v>1066</v>
      </c>
      <c r="Y16" s="112" t="s">
        <v>1066</v>
      </c>
      <c r="Z16" s="112" t="s">
        <v>1066</v>
      </c>
      <c r="AA16" s="112" t="s">
        <v>1067</v>
      </c>
      <c r="AB16" s="112" t="s">
        <v>1066</v>
      </c>
      <c r="AC16" s="112" t="s">
        <v>92</v>
      </c>
      <c r="AD16" s="112" t="s">
        <v>1066</v>
      </c>
      <c r="AE16" s="112" t="s">
        <v>1066</v>
      </c>
      <c r="AF16" s="112" t="s">
        <v>1066</v>
      </c>
      <c r="AG16" s="112" t="s">
        <v>1066</v>
      </c>
      <c r="AH16" s="112" t="s">
        <v>1066</v>
      </c>
      <c r="AI16" s="112" t="s">
        <v>785</v>
      </c>
      <c r="AJ16" s="112">
        <v>8556619</v>
      </c>
      <c r="AK16" s="112" t="s">
        <v>415</v>
      </c>
      <c r="AL16" s="112">
        <v>782254</v>
      </c>
      <c r="AM16" s="112" t="s">
        <v>1066</v>
      </c>
      <c r="AN16" s="112" t="s">
        <v>1066</v>
      </c>
    </row>
    <row r="17" spans="1:40" ht="55.5" customHeight="1" x14ac:dyDescent="0.25">
      <c r="A17" s="111" t="s">
        <v>1153</v>
      </c>
      <c r="B17" s="112">
        <v>2026</v>
      </c>
      <c r="C17" s="112" t="s">
        <v>1154</v>
      </c>
      <c r="D17" s="113">
        <v>46058.734131944446</v>
      </c>
      <c r="E17" s="112">
        <v>9000552037</v>
      </c>
      <c r="F17" s="112" t="s">
        <v>1155</v>
      </c>
      <c r="G17" s="112">
        <v>2</v>
      </c>
      <c r="H17" s="112">
        <v>7933639037</v>
      </c>
      <c r="I17" s="112" t="s">
        <v>1156</v>
      </c>
      <c r="J17" s="112" t="s">
        <v>1157</v>
      </c>
      <c r="K17" s="112" t="s">
        <v>1158</v>
      </c>
      <c r="L17" s="112" t="s">
        <v>1084</v>
      </c>
      <c r="M17" s="112" t="s">
        <v>478</v>
      </c>
      <c r="N17" s="113">
        <v>46118.734131944446</v>
      </c>
      <c r="O17" s="114">
        <v>19001315834</v>
      </c>
      <c r="P17" s="112">
        <v>860</v>
      </c>
      <c r="Q17" s="112" t="s">
        <v>1131</v>
      </c>
      <c r="R17" s="112" t="s">
        <v>1085</v>
      </c>
      <c r="S17" s="113">
        <v>46156.596828703703</v>
      </c>
      <c r="T17" s="112" t="s">
        <v>1159</v>
      </c>
      <c r="U17" s="112" t="s">
        <v>1065</v>
      </c>
      <c r="V17" s="112" t="s">
        <v>1066</v>
      </c>
      <c r="W17" s="112" t="s">
        <v>1066</v>
      </c>
      <c r="X17" s="112" t="s">
        <v>1117</v>
      </c>
      <c r="Y17" s="112" t="s">
        <v>1066</v>
      </c>
      <c r="Z17" s="112" t="s">
        <v>1148</v>
      </c>
      <c r="AA17" s="112" t="s">
        <v>1067</v>
      </c>
      <c r="AB17" s="112" t="s">
        <v>1066</v>
      </c>
      <c r="AC17" s="112" t="s">
        <v>92</v>
      </c>
      <c r="AD17" s="112" t="s">
        <v>1142</v>
      </c>
      <c r="AE17" s="112" t="s">
        <v>1066</v>
      </c>
      <c r="AF17" s="112" t="s">
        <v>1066</v>
      </c>
      <c r="AG17" s="112" t="s">
        <v>1066</v>
      </c>
      <c r="AH17" s="112" t="s">
        <v>1066</v>
      </c>
      <c r="AI17" s="112" t="s">
        <v>785</v>
      </c>
      <c r="AJ17" s="112">
        <v>8749523</v>
      </c>
      <c r="AK17" s="112" t="s">
        <v>1160</v>
      </c>
      <c r="AL17" s="112">
        <v>724678</v>
      </c>
      <c r="AM17" s="112" t="s">
        <v>1066</v>
      </c>
      <c r="AN17" s="112" t="s">
        <v>1066</v>
      </c>
    </row>
    <row r="18" spans="1:40" ht="55.5" customHeight="1" x14ac:dyDescent="0.25">
      <c r="A18" s="111" t="s">
        <v>1161</v>
      </c>
      <c r="B18" s="112">
        <v>2026</v>
      </c>
      <c r="C18" s="112" t="s">
        <v>1162</v>
      </c>
      <c r="D18" s="113">
        <v>46048.629479166666</v>
      </c>
      <c r="E18" s="112">
        <v>3161040073</v>
      </c>
      <c r="F18" s="112" t="s">
        <v>1163</v>
      </c>
      <c r="G18" s="112">
        <v>3</v>
      </c>
      <c r="H18" s="112">
        <v>7961041073</v>
      </c>
      <c r="I18" s="112" t="s">
        <v>1164</v>
      </c>
      <c r="J18" s="112" t="s">
        <v>1157</v>
      </c>
      <c r="K18" s="112" t="s">
        <v>1158</v>
      </c>
      <c r="L18" s="112" t="s">
        <v>1084</v>
      </c>
      <c r="M18" s="112" t="s">
        <v>478</v>
      </c>
      <c r="N18" s="113">
        <v>46108.629479166666</v>
      </c>
      <c r="O18" s="114">
        <v>19002804877</v>
      </c>
      <c r="P18" s="112">
        <v>5</v>
      </c>
      <c r="Q18" s="112" t="s">
        <v>1131</v>
      </c>
      <c r="R18" s="112" t="s">
        <v>1085</v>
      </c>
      <c r="S18" s="113">
        <v>46121.722222222219</v>
      </c>
      <c r="T18" s="112" t="s">
        <v>1165</v>
      </c>
      <c r="U18" s="112" t="s">
        <v>1065</v>
      </c>
      <c r="V18" s="112" t="s">
        <v>1066</v>
      </c>
      <c r="W18" s="112" t="s">
        <v>1066</v>
      </c>
      <c r="X18" s="112" t="s">
        <v>1117</v>
      </c>
      <c r="Y18" s="112" t="s">
        <v>1066</v>
      </c>
      <c r="Z18" s="112" t="s">
        <v>1148</v>
      </c>
      <c r="AA18" s="112" t="s">
        <v>1067</v>
      </c>
      <c r="AB18" s="112" t="s">
        <v>1066</v>
      </c>
      <c r="AC18" s="112" t="s">
        <v>92</v>
      </c>
      <c r="AD18" s="112" t="s">
        <v>1066</v>
      </c>
      <c r="AE18" s="112" t="s">
        <v>1066</v>
      </c>
      <c r="AF18" s="112" t="s">
        <v>1066</v>
      </c>
      <c r="AG18" s="112" t="s">
        <v>1066</v>
      </c>
      <c r="AH18" s="112" t="s">
        <v>1066</v>
      </c>
      <c r="AI18" s="112" t="s">
        <v>785</v>
      </c>
      <c r="AJ18" s="112">
        <v>8808417</v>
      </c>
      <c r="AK18" s="112" t="s">
        <v>1166</v>
      </c>
      <c r="AL18" s="112">
        <v>653456</v>
      </c>
      <c r="AM18" s="112" t="s">
        <v>1066</v>
      </c>
      <c r="AN18" s="112" t="s">
        <v>1066</v>
      </c>
    </row>
    <row r="19" spans="1:40" ht="55.5" customHeight="1" x14ac:dyDescent="0.25">
      <c r="A19" s="111" t="s">
        <v>1167</v>
      </c>
      <c r="B19" s="112">
        <v>2026</v>
      </c>
      <c r="C19" s="112" t="s">
        <v>1168</v>
      </c>
      <c r="D19" s="113">
        <v>46138.462835648148</v>
      </c>
      <c r="E19" s="112">
        <v>8842088004</v>
      </c>
      <c r="F19" s="112" t="s">
        <v>1169</v>
      </c>
      <c r="G19" s="112">
        <v>2</v>
      </c>
      <c r="H19" s="112">
        <v>7934678004</v>
      </c>
      <c r="I19" s="112" t="s">
        <v>1170</v>
      </c>
      <c r="J19" s="112" t="s">
        <v>1071</v>
      </c>
      <c r="K19" s="112" t="s">
        <v>1171</v>
      </c>
      <c r="L19" s="112" t="s">
        <v>1073</v>
      </c>
      <c r="M19" s="112" t="s">
        <v>478</v>
      </c>
      <c r="N19" s="113">
        <v>46141.462835648148</v>
      </c>
      <c r="O19" s="114">
        <v>19001303783</v>
      </c>
      <c r="P19" s="112">
        <v>84</v>
      </c>
      <c r="Q19" s="112" t="s">
        <v>1131</v>
      </c>
      <c r="R19" s="112" t="s">
        <v>1075</v>
      </c>
      <c r="S19" s="113">
        <v>46146.729166666664</v>
      </c>
      <c r="T19" s="112" t="s">
        <v>1172</v>
      </c>
      <c r="U19" s="112" t="s">
        <v>1065</v>
      </c>
      <c r="V19" s="112" t="s">
        <v>1066</v>
      </c>
      <c r="W19" s="112" t="s">
        <v>1066</v>
      </c>
      <c r="X19" s="112" t="s">
        <v>1173</v>
      </c>
      <c r="Y19" s="112" t="s">
        <v>1066</v>
      </c>
      <c r="Z19" s="112" t="s">
        <v>1174</v>
      </c>
      <c r="AA19" s="112" t="s">
        <v>1067</v>
      </c>
      <c r="AB19" s="112" t="s">
        <v>1066</v>
      </c>
      <c r="AC19" s="112" t="s">
        <v>92</v>
      </c>
      <c r="AD19" s="112" t="s">
        <v>1142</v>
      </c>
      <c r="AE19" s="112" t="s">
        <v>1066</v>
      </c>
      <c r="AF19" s="112" t="s">
        <v>1066</v>
      </c>
      <c r="AG19" s="112" t="s">
        <v>1066</v>
      </c>
      <c r="AH19" s="112" t="s">
        <v>1066</v>
      </c>
      <c r="AI19" s="112" t="s">
        <v>785</v>
      </c>
      <c r="AJ19" s="112">
        <v>9204205</v>
      </c>
      <c r="AK19" s="112" t="s">
        <v>69</v>
      </c>
      <c r="AL19" s="112">
        <v>807119</v>
      </c>
      <c r="AM19" s="112" t="s">
        <v>1066</v>
      </c>
      <c r="AN19" s="112" t="s">
        <v>1066</v>
      </c>
    </row>
    <row r="20" spans="1:40" ht="55.5" customHeight="1" x14ac:dyDescent="0.25">
      <c r="A20" s="111" t="s">
        <v>1175</v>
      </c>
      <c r="B20" s="112">
        <v>2026</v>
      </c>
      <c r="C20" s="112" t="s">
        <v>1176</v>
      </c>
      <c r="D20" s="113">
        <v>46083.587129629632</v>
      </c>
      <c r="E20" s="112">
        <v>7927765019</v>
      </c>
      <c r="F20" s="112" t="s">
        <v>1177</v>
      </c>
      <c r="G20" s="112">
        <v>2</v>
      </c>
      <c r="H20" s="112">
        <v>7927765019</v>
      </c>
      <c r="I20" s="112" t="s">
        <v>1178</v>
      </c>
      <c r="J20" s="112" t="s">
        <v>1092</v>
      </c>
      <c r="K20" s="112" t="s">
        <v>1179</v>
      </c>
      <c r="L20" s="112" t="s">
        <v>1061</v>
      </c>
      <c r="M20" s="112" t="s">
        <v>478</v>
      </c>
      <c r="N20" s="113">
        <v>46483.587129629632</v>
      </c>
      <c r="O20" s="114">
        <v>19002204537</v>
      </c>
      <c r="P20" s="112">
        <v>512</v>
      </c>
      <c r="Q20" s="112" t="s">
        <v>1062</v>
      </c>
      <c r="R20" s="112" t="s">
        <v>1063</v>
      </c>
      <c r="S20" s="113">
        <v>46090.629780092589</v>
      </c>
      <c r="T20" s="112" t="s">
        <v>1180</v>
      </c>
      <c r="U20" s="112" t="s">
        <v>1065</v>
      </c>
      <c r="V20" s="112" t="s">
        <v>1066</v>
      </c>
      <c r="W20" s="112" t="s">
        <v>1066</v>
      </c>
      <c r="X20" s="112" t="s">
        <v>1066</v>
      </c>
      <c r="Y20" s="112" t="s">
        <v>1066</v>
      </c>
      <c r="Z20" s="112" t="s">
        <v>1066</v>
      </c>
      <c r="AA20" s="112" t="s">
        <v>1067</v>
      </c>
      <c r="AB20" s="112" t="s">
        <v>1066</v>
      </c>
      <c r="AC20" s="112" t="s">
        <v>92</v>
      </c>
      <c r="AD20" s="112" t="s">
        <v>1066</v>
      </c>
      <c r="AE20" s="112" t="s">
        <v>1066</v>
      </c>
      <c r="AF20" s="112" t="s">
        <v>1066</v>
      </c>
      <c r="AG20" s="112" t="s">
        <v>1066</v>
      </c>
      <c r="AH20" s="112" t="s">
        <v>1066</v>
      </c>
      <c r="AI20" s="112" t="s">
        <v>785</v>
      </c>
      <c r="AJ20" s="112">
        <v>9185284</v>
      </c>
      <c r="AK20" s="112" t="s">
        <v>1181</v>
      </c>
      <c r="AL20" s="112">
        <v>877925</v>
      </c>
      <c r="AM20" s="112" t="s">
        <v>1066</v>
      </c>
      <c r="AN20" s="112" t="s">
        <v>1066</v>
      </c>
    </row>
    <row r="21" spans="1:40" ht="55.5" customHeight="1" x14ac:dyDescent="0.25">
      <c r="A21" s="124" t="s">
        <v>1182</v>
      </c>
      <c r="B21" s="125">
        <v>2026</v>
      </c>
      <c r="C21" s="125" t="s">
        <v>1183</v>
      </c>
      <c r="D21" s="126">
        <v>45694.677997685183</v>
      </c>
      <c r="E21" s="125">
        <v>9000138171</v>
      </c>
      <c r="F21" s="125" t="s">
        <v>351</v>
      </c>
      <c r="G21" s="125">
        <v>2</v>
      </c>
      <c r="H21" s="125">
        <v>7930271171</v>
      </c>
      <c r="I21" s="125" t="s">
        <v>1184</v>
      </c>
      <c r="J21" s="125" t="s">
        <v>1071</v>
      </c>
      <c r="K21" s="125" t="s">
        <v>1130</v>
      </c>
      <c r="L21" s="125" t="s">
        <v>1073</v>
      </c>
      <c r="M21" s="125" t="s">
        <v>510</v>
      </c>
      <c r="N21" s="126">
        <v>46166.635694444441</v>
      </c>
      <c r="O21" s="127">
        <v>19001279277</v>
      </c>
      <c r="P21" s="125">
        <v>3.883</v>
      </c>
      <c r="Q21" s="125" t="s">
        <v>1131</v>
      </c>
      <c r="R21" s="125" t="s">
        <v>1063</v>
      </c>
      <c r="S21" s="125" t="s">
        <v>1066</v>
      </c>
      <c r="T21" s="125" t="s">
        <v>1066</v>
      </c>
      <c r="U21" s="125" t="s">
        <v>1066</v>
      </c>
      <c r="V21" s="125" t="s">
        <v>1066</v>
      </c>
      <c r="W21" s="125" t="s">
        <v>1066</v>
      </c>
      <c r="X21" s="125" t="s">
        <v>1117</v>
      </c>
      <c r="Y21" s="125" t="s">
        <v>1066</v>
      </c>
      <c r="Z21" s="125" t="s">
        <v>1133</v>
      </c>
      <c r="AA21" s="125" t="s">
        <v>1067</v>
      </c>
      <c r="AB21" s="125" t="s">
        <v>1066</v>
      </c>
      <c r="AC21" s="125" t="s">
        <v>92</v>
      </c>
      <c r="AD21" s="125" t="s">
        <v>1142</v>
      </c>
      <c r="AE21" s="125" t="s">
        <v>1066</v>
      </c>
      <c r="AF21" s="125" t="s">
        <v>1066</v>
      </c>
      <c r="AG21" s="125" t="s">
        <v>1066</v>
      </c>
      <c r="AH21" s="125" t="s">
        <v>1185</v>
      </c>
      <c r="AI21" s="125" t="s">
        <v>785</v>
      </c>
      <c r="AJ21" s="125">
        <v>9316626</v>
      </c>
      <c r="AK21" s="125" t="s">
        <v>1186</v>
      </c>
      <c r="AL21" s="125">
        <v>847475</v>
      </c>
      <c r="AM21" s="125" t="s">
        <v>1066</v>
      </c>
      <c r="AN21" s="125" t="s">
        <v>1066</v>
      </c>
    </row>
    <row r="22" spans="1:40" ht="55.5" customHeight="1" x14ac:dyDescent="0.25">
      <c r="A22" s="111" t="s">
        <v>1187</v>
      </c>
      <c r="B22" s="112">
        <v>2026</v>
      </c>
      <c r="C22" s="112" t="s">
        <v>1188</v>
      </c>
      <c r="D22" s="113">
        <v>46223.45820601852</v>
      </c>
      <c r="E22" s="112">
        <v>7956784003</v>
      </c>
      <c r="F22" s="112" t="s">
        <v>1189</v>
      </c>
      <c r="G22" s="112">
        <v>3</v>
      </c>
      <c r="H22" s="112">
        <v>7956784003</v>
      </c>
      <c r="I22" s="112" t="s">
        <v>1190</v>
      </c>
      <c r="J22" s="112" t="s">
        <v>1092</v>
      </c>
      <c r="K22" s="112" t="s">
        <v>1191</v>
      </c>
      <c r="L22" s="112" t="s">
        <v>1061</v>
      </c>
      <c r="M22" s="112" t="s">
        <v>478</v>
      </c>
      <c r="N22" s="113">
        <v>46623.45820601852</v>
      </c>
      <c r="O22" s="114">
        <v>19002606403</v>
      </c>
      <c r="P22" s="112">
        <v>1.4379999999999999</v>
      </c>
      <c r="Q22" s="112" t="s">
        <v>1062</v>
      </c>
      <c r="R22" s="112" t="s">
        <v>1063</v>
      </c>
      <c r="S22" s="113">
        <v>46233.396886574075</v>
      </c>
      <c r="T22" s="112" t="s">
        <v>1192</v>
      </c>
      <c r="U22" s="112" t="s">
        <v>1065</v>
      </c>
      <c r="V22" s="112" t="s">
        <v>1066</v>
      </c>
      <c r="W22" s="112" t="s">
        <v>1066</v>
      </c>
      <c r="X22" s="112" t="s">
        <v>1066</v>
      </c>
      <c r="Y22" s="112" t="s">
        <v>1066</v>
      </c>
      <c r="Z22" s="112" t="s">
        <v>1066</v>
      </c>
      <c r="AA22" s="112" t="s">
        <v>1067</v>
      </c>
      <c r="AB22" s="112" t="s">
        <v>1066</v>
      </c>
      <c r="AC22" s="112" t="s">
        <v>92</v>
      </c>
      <c r="AD22" s="112" t="s">
        <v>1066</v>
      </c>
      <c r="AE22" s="112" t="s">
        <v>1066</v>
      </c>
      <c r="AF22" s="112" t="s">
        <v>1066</v>
      </c>
      <c r="AG22" s="112" t="s">
        <v>1066</v>
      </c>
      <c r="AH22" s="112" t="s">
        <v>1066</v>
      </c>
      <c r="AI22" s="112" t="s">
        <v>785</v>
      </c>
      <c r="AJ22" s="112">
        <v>8703259</v>
      </c>
      <c r="AK22" s="112" t="s">
        <v>210</v>
      </c>
      <c r="AL22" s="112">
        <v>710240</v>
      </c>
      <c r="AM22" s="112" t="s">
        <v>1066</v>
      </c>
      <c r="AN22" s="112" t="s">
        <v>1066</v>
      </c>
    </row>
    <row r="23" spans="1:40" ht="55.5" customHeight="1" x14ac:dyDescent="0.25">
      <c r="A23" s="111" t="s">
        <v>1193</v>
      </c>
      <c r="B23" s="112">
        <v>2026</v>
      </c>
      <c r="C23" s="112" t="s">
        <v>1194</v>
      </c>
      <c r="D23" s="113">
        <v>45804.48673611111</v>
      </c>
      <c r="E23" s="112">
        <v>300013016</v>
      </c>
      <c r="F23" s="112" t="s">
        <v>1195</v>
      </c>
      <c r="G23" s="112">
        <v>3</v>
      </c>
      <c r="H23" s="112">
        <v>7955223016</v>
      </c>
      <c r="I23" s="112" t="s">
        <v>1196</v>
      </c>
      <c r="J23" s="112" t="s">
        <v>1071</v>
      </c>
      <c r="K23" s="112" t="s">
        <v>1197</v>
      </c>
      <c r="L23" s="112" t="s">
        <v>1073</v>
      </c>
      <c r="M23" s="112" t="s">
        <v>478</v>
      </c>
      <c r="N23" s="113">
        <v>46031.436180555553</v>
      </c>
      <c r="O23" s="114">
        <v>19002731183</v>
      </c>
      <c r="P23" s="112">
        <v>167</v>
      </c>
      <c r="Q23" s="112" t="s">
        <v>1131</v>
      </c>
      <c r="R23" s="112" t="s">
        <v>1198</v>
      </c>
      <c r="S23" s="113">
        <v>46036.572187500002</v>
      </c>
      <c r="T23" s="112" t="s">
        <v>1199</v>
      </c>
      <c r="U23" s="112" t="s">
        <v>1065</v>
      </c>
      <c r="V23" s="112" t="s">
        <v>1066</v>
      </c>
      <c r="W23" s="112" t="s">
        <v>1066</v>
      </c>
      <c r="X23" s="112" t="s">
        <v>1066</v>
      </c>
      <c r="Y23" s="112" t="s">
        <v>1066</v>
      </c>
      <c r="Z23" s="112" t="s">
        <v>1066</v>
      </c>
      <c r="AA23" s="112" t="s">
        <v>1067</v>
      </c>
      <c r="AB23" s="112" t="s">
        <v>1066</v>
      </c>
      <c r="AC23" s="112" t="s">
        <v>92</v>
      </c>
      <c r="AD23" s="112" t="s">
        <v>1066</v>
      </c>
      <c r="AE23" s="112" t="s">
        <v>1066</v>
      </c>
      <c r="AF23" s="112" t="s">
        <v>1066</v>
      </c>
      <c r="AG23" s="112" t="s">
        <v>1066</v>
      </c>
      <c r="AH23" s="112" t="s">
        <v>1200</v>
      </c>
      <c r="AI23" s="112" t="s">
        <v>785</v>
      </c>
      <c r="AJ23" s="112">
        <v>9240947</v>
      </c>
      <c r="AK23" s="112" t="s">
        <v>537</v>
      </c>
      <c r="AL23" s="112">
        <v>836090</v>
      </c>
      <c r="AM23" s="112" t="s">
        <v>1066</v>
      </c>
      <c r="AN23" s="112" t="s">
        <v>1066</v>
      </c>
    </row>
    <row r="24" spans="1:40" ht="55.5" customHeight="1" x14ac:dyDescent="0.25">
      <c r="A24" s="111" t="s">
        <v>1201</v>
      </c>
      <c r="B24" s="112">
        <v>2026</v>
      </c>
      <c r="C24" s="112" t="s">
        <v>1202</v>
      </c>
      <c r="D24" s="113">
        <v>46093.692858796298</v>
      </c>
      <c r="E24" s="112">
        <v>3302028004</v>
      </c>
      <c r="F24" s="112" t="s">
        <v>1203</v>
      </c>
      <c r="G24" s="112">
        <v>3</v>
      </c>
      <c r="H24" s="112">
        <v>7965032004</v>
      </c>
      <c r="I24" s="112" t="s">
        <v>1204</v>
      </c>
      <c r="J24" s="112" t="s">
        <v>1205</v>
      </c>
      <c r="K24" s="112" t="s">
        <v>940</v>
      </c>
      <c r="L24" s="112" t="s">
        <v>1084</v>
      </c>
      <c r="M24" s="112" t="s">
        <v>478</v>
      </c>
      <c r="N24" s="113">
        <v>46153.692858796298</v>
      </c>
      <c r="O24" s="114">
        <v>19002810978</v>
      </c>
      <c r="P24" s="112">
        <v>245</v>
      </c>
      <c r="Q24" s="112" t="s">
        <v>1131</v>
      </c>
      <c r="R24" s="112" t="s">
        <v>1206</v>
      </c>
      <c r="S24" s="113">
        <v>46104.730821759258</v>
      </c>
      <c r="T24" s="112" t="s">
        <v>1207</v>
      </c>
      <c r="U24" s="112" t="s">
        <v>1065</v>
      </c>
      <c r="V24" s="112" t="s">
        <v>1066</v>
      </c>
      <c r="W24" s="112" t="s">
        <v>1066</v>
      </c>
      <c r="X24" s="112" t="s">
        <v>1066</v>
      </c>
      <c r="Y24" s="112" t="s">
        <v>1066</v>
      </c>
      <c r="Z24" s="112" t="s">
        <v>1066</v>
      </c>
      <c r="AA24" s="112" t="s">
        <v>1208</v>
      </c>
      <c r="AB24" s="112" t="s">
        <v>1066</v>
      </c>
      <c r="AC24" s="112" t="s">
        <v>92</v>
      </c>
      <c r="AD24" s="112" t="s">
        <v>1066</v>
      </c>
      <c r="AE24" s="112" t="s">
        <v>1066</v>
      </c>
      <c r="AF24" s="112" t="s">
        <v>1066</v>
      </c>
      <c r="AG24" s="112" t="s">
        <v>1066</v>
      </c>
      <c r="AH24" s="112" t="s">
        <v>1066</v>
      </c>
      <c r="AI24" s="112" t="s">
        <v>785</v>
      </c>
      <c r="AJ24" s="112">
        <v>9180797</v>
      </c>
      <c r="AK24" s="112" t="s">
        <v>69</v>
      </c>
      <c r="AL24" s="112">
        <v>807124</v>
      </c>
      <c r="AM24" s="112" t="s">
        <v>1066</v>
      </c>
      <c r="AN24" s="112" t="s">
        <v>1066</v>
      </c>
    </row>
    <row r="25" spans="1:40" ht="55.5" customHeight="1" x14ac:dyDescent="0.25">
      <c r="A25" s="124" t="s">
        <v>1209</v>
      </c>
      <c r="B25" s="125">
        <v>2026</v>
      </c>
      <c r="C25" s="125" t="s">
        <v>1210</v>
      </c>
      <c r="D25" s="126">
        <v>46114.608900462961</v>
      </c>
      <c r="E25" s="125">
        <v>7955886193</v>
      </c>
      <c r="F25" s="125" t="s">
        <v>370</v>
      </c>
      <c r="G25" s="125">
        <v>3</v>
      </c>
      <c r="H25" s="125">
        <v>7955886193</v>
      </c>
      <c r="I25" s="125" t="s">
        <v>1211</v>
      </c>
      <c r="J25" s="125" t="s">
        <v>1066</v>
      </c>
      <c r="K25" s="125" t="s">
        <v>1125</v>
      </c>
      <c r="L25" s="125" t="s">
        <v>1061</v>
      </c>
      <c r="M25" s="125" t="s">
        <v>510</v>
      </c>
      <c r="N25" s="126">
        <v>46514.608900462961</v>
      </c>
      <c r="O25" s="127">
        <v>19002730859</v>
      </c>
      <c r="P25" s="125">
        <v>77</v>
      </c>
      <c r="Q25" s="125" t="s">
        <v>1062</v>
      </c>
      <c r="R25" s="125" t="s">
        <v>1063</v>
      </c>
      <c r="S25" s="125" t="s">
        <v>1066</v>
      </c>
      <c r="T25" s="125" t="s">
        <v>1066</v>
      </c>
      <c r="U25" s="125" t="s">
        <v>1066</v>
      </c>
      <c r="V25" s="125" t="s">
        <v>1066</v>
      </c>
      <c r="W25" s="125" t="s">
        <v>1066</v>
      </c>
      <c r="X25" s="125" t="s">
        <v>1066</v>
      </c>
      <c r="Y25" s="125" t="s">
        <v>1066</v>
      </c>
      <c r="Z25" s="125" t="s">
        <v>1066</v>
      </c>
      <c r="AA25" s="125" t="s">
        <v>1067</v>
      </c>
      <c r="AB25" s="125" t="s">
        <v>1066</v>
      </c>
      <c r="AC25" s="125" t="s">
        <v>92</v>
      </c>
      <c r="AD25" s="125" t="s">
        <v>1066</v>
      </c>
      <c r="AE25" s="125" t="s">
        <v>1066</v>
      </c>
      <c r="AF25" s="125" t="s">
        <v>1066</v>
      </c>
      <c r="AG25" s="125" t="s">
        <v>1066</v>
      </c>
      <c r="AH25" s="125" t="s">
        <v>1066</v>
      </c>
      <c r="AI25" s="125" t="s">
        <v>785</v>
      </c>
      <c r="AJ25" s="125">
        <v>9082195</v>
      </c>
      <c r="AK25" s="125" t="s">
        <v>369</v>
      </c>
      <c r="AL25" s="125">
        <v>978301</v>
      </c>
      <c r="AM25" s="125" t="s">
        <v>1066</v>
      </c>
      <c r="AN25" s="125" t="s">
        <v>1066</v>
      </c>
    </row>
    <row r="26" spans="1:40" ht="55.5" customHeight="1" x14ac:dyDescent="0.25">
      <c r="A26" s="111" t="s">
        <v>1212</v>
      </c>
      <c r="B26" s="112">
        <v>2026</v>
      </c>
      <c r="C26" s="112" t="s">
        <v>1213</v>
      </c>
      <c r="D26" s="113">
        <v>46122.549942129626</v>
      </c>
      <c r="E26" s="112">
        <v>7949650109</v>
      </c>
      <c r="F26" s="112" t="s">
        <v>351</v>
      </c>
      <c r="G26" s="112">
        <v>1</v>
      </c>
      <c r="H26" s="112">
        <v>7949650109</v>
      </c>
      <c r="I26" s="112" t="s">
        <v>1214</v>
      </c>
      <c r="J26" s="112" t="s">
        <v>1066</v>
      </c>
      <c r="K26" s="112" t="s">
        <v>1125</v>
      </c>
      <c r="L26" s="112" t="s">
        <v>1061</v>
      </c>
      <c r="M26" s="112" t="s">
        <v>478</v>
      </c>
      <c r="N26" s="113">
        <v>46522.549942129626</v>
      </c>
      <c r="O26" s="114">
        <v>19002640463</v>
      </c>
      <c r="P26" s="112">
        <v>6.5519999999999996</v>
      </c>
      <c r="Q26" s="112" t="s">
        <v>1062</v>
      </c>
      <c r="R26" s="112" t="s">
        <v>1063</v>
      </c>
      <c r="S26" s="113">
        <v>46128.490277777775</v>
      </c>
      <c r="T26" s="112" t="s">
        <v>1215</v>
      </c>
      <c r="U26" s="112" t="s">
        <v>1065</v>
      </c>
      <c r="V26" s="112" t="s">
        <v>1066</v>
      </c>
      <c r="W26" s="112" t="s">
        <v>1066</v>
      </c>
      <c r="X26" s="112" t="s">
        <v>1066</v>
      </c>
      <c r="Y26" s="112" t="s">
        <v>1066</v>
      </c>
      <c r="Z26" s="112" t="s">
        <v>1066</v>
      </c>
      <c r="AA26" s="112" t="s">
        <v>1067</v>
      </c>
      <c r="AB26" s="112" t="s">
        <v>1066</v>
      </c>
      <c r="AC26" s="112" t="s">
        <v>92</v>
      </c>
      <c r="AD26" s="112" t="s">
        <v>1066</v>
      </c>
      <c r="AE26" s="112" t="s">
        <v>1066</v>
      </c>
      <c r="AF26" s="112" t="s">
        <v>1066</v>
      </c>
      <c r="AG26" s="112" t="s">
        <v>1066</v>
      </c>
      <c r="AH26" s="112" t="s">
        <v>1066</v>
      </c>
      <c r="AI26" s="112" t="s">
        <v>785</v>
      </c>
      <c r="AJ26" s="112">
        <v>9292950</v>
      </c>
      <c r="AK26" s="112" t="s">
        <v>1216</v>
      </c>
      <c r="AL26" s="112">
        <v>846292</v>
      </c>
      <c r="AM26" s="112" t="s">
        <v>1066</v>
      </c>
      <c r="AN26" s="112" t="s">
        <v>1066</v>
      </c>
    </row>
    <row r="27" spans="1:40" ht="55.5" customHeight="1" x14ac:dyDescent="0.25">
      <c r="A27" s="115" t="s">
        <v>1217</v>
      </c>
      <c r="B27" s="116">
        <v>2026</v>
      </c>
      <c r="C27" s="116" t="s">
        <v>1218</v>
      </c>
      <c r="D27" s="118">
        <v>46114.608900462961</v>
      </c>
      <c r="E27" s="116">
        <v>7926078046</v>
      </c>
      <c r="F27" s="116" t="s">
        <v>1219</v>
      </c>
      <c r="G27" s="116">
        <v>3</v>
      </c>
      <c r="H27" s="116">
        <v>7926078046</v>
      </c>
      <c r="I27" s="116" t="s">
        <v>1220</v>
      </c>
      <c r="J27" s="116" t="s">
        <v>1066</v>
      </c>
      <c r="K27" s="116" t="s">
        <v>1125</v>
      </c>
      <c r="L27" s="116" t="s">
        <v>1061</v>
      </c>
      <c r="M27" s="116" t="s">
        <v>588</v>
      </c>
      <c r="N27" s="118">
        <v>46535.361192129632</v>
      </c>
      <c r="O27" s="119">
        <v>19002206318</v>
      </c>
      <c r="P27" s="116">
        <v>219</v>
      </c>
      <c r="Q27" s="116" t="s">
        <v>1062</v>
      </c>
      <c r="R27" s="116" t="s">
        <v>1063</v>
      </c>
      <c r="S27" s="116" t="s">
        <v>1066</v>
      </c>
      <c r="T27" s="116" t="s">
        <v>1066</v>
      </c>
      <c r="U27" s="116" t="s">
        <v>1066</v>
      </c>
      <c r="V27" s="116" t="s">
        <v>1066</v>
      </c>
      <c r="W27" s="116" t="s">
        <v>1066</v>
      </c>
      <c r="X27" s="116" t="s">
        <v>1066</v>
      </c>
      <c r="Y27" s="116" t="s">
        <v>1066</v>
      </c>
      <c r="Z27" s="116" t="s">
        <v>1066</v>
      </c>
      <c r="AA27" s="116" t="s">
        <v>1067</v>
      </c>
      <c r="AB27" s="116" t="s">
        <v>1066</v>
      </c>
      <c r="AC27" s="116" t="s">
        <v>92</v>
      </c>
      <c r="AD27" s="116" t="s">
        <v>1066</v>
      </c>
      <c r="AE27" s="116" t="s">
        <v>1066</v>
      </c>
      <c r="AF27" s="116" t="s">
        <v>1066</v>
      </c>
      <c r="AG27" s="116" t="s">
        <v>1066</v>
      </c>
      <c r="AH27" s="116" t="s">
        <v>1066</v>
      </c>
      <c r="AI27" s="116" t="s">
        <v>785</v>
      </c>
      <c r="AJ27" s="116">
        <v>8822512</v>
      </c>
      <c r="AK27" s="116" t="s">
        <v>1221</v>
      </c>
      <c r="AL27" s="116">
        <v>728423</v>
      </c>
      <c r="AM27" s="116" t="s">
        <v>1066</v>
      </c>
      <c r="AN27" s="116" t="s">
        <v>1066</v>
      </c>
    </row>
    <row r="28" spans="1:40" ht="55.5" customHeight="1" x14ac:dyDescent="0.25">
      <c r="A28" s="111" t="s">
        <v>1222</v>
      </c>
      <c r="B28" s="112">
        <v>2026</v>
      </c>
      <c r="C28" s="112" t="s">
        <v>1223</v>
      </c>
      <c r="D28" s="113">
        <v>46127.468923611108</v>
      </c>
      <c r="E28" s="112">
        <v>9000309034</v>
      </c>
      <c r="F28" s="112" t="s">
        <v>360</v>
      </c>
      <c r="G28" s="112">
        <v>3</v>
      </c>
      <c r="H28" s="112">
        <v>7924823034</v>
      </c>
      <c r="I28" s="112" t="s">
        <v>1224</v>
      </c>
      <c r="J28" s="112" t="s">
        <v>1071</v>
      </c>
      <c r="K28" s="112" t="s">
        <v>1171</v>
      </c>
      <c r="L28" s="112" t="s">
        <v>1073</v>
      </c>
      <c r="M28" s="112" t="s">
        <v>478</v>
      </c>
      <c r="N28" s="113">
        <v>46130.468923611108</v>
      </c>
      <c r="O28" s="114">
        <v>19001236642</v>
      </c>
      <c r="P28" s="112">
        <v>3.3220000000000001</v>
      </c>
      <c r="Q28" s="112" t="s">
        <v>1131</v>
      </c>
      <c r="R28" s="112" t="s">
        <v>1075</v>
      </c>
      <c r="S28" s="113">
        <v>46139.729166666664</v>
      </c>
      <c r="T28" s="112" t="s">
        <v>1225</v>
      </c>
      <c r="U28" s="112" t="s">
        <v>1065</v>
      </c>
      <c r="V28" s="112" t="s">
        <v>1066</v>
      </c>
      <c r="W28" s="112" t="s">
        <v>1066</v>
      </c>
      <c r="X28" s="112" t="s">
        <v>1117</v>
      </c>
      <c r="Y28" s="112" t="s">
        <v>1066</v>
      </c>
      <c r="Z28" s="112" t="s">
        <v>1174</v>
      </c>
      <c r="AA28" s="112" t="s">
        <v>1067</v>
      </c>
      <c r="AB28" s="112" t="s">
        <v>1066</v>
      </c>
      <c r="AC28" s="112" t="s">
        <v>92</v>
      </c>
      <c r="AD28" s="112" t="s">
        <v>1142</v>
      </c>
      <c r="AE28" s="112" t="s">
        <v>1066</v>
      </c>
      <c r="AF28" s="112" t="s">
        <v>1066</v>
      </c>
      <c r="AG28" s="112" t="s">
        <v>1066</v>
      </c>
      <c r="AH28" s="112" t="s">
        <v>1066</v>
      </c>
      <c r="AI28" s="112" t="s">
        <v>785</v>
      </c>
      <c r="AJ28" s="112">
        <v>9056480</v>
      </c>
      <c r="AK28" s="112" t="s">
        <v>1226</v>
      </c>
      <c r="AL28" s="112">
        <v>774151</v>
      </c>
      <c r="AM28" s="112" t="s">
        <v>1066</v>
      </c>
      <c r="AN28" s="112" t="s">
        <v>1066</v>
      </c>
    </row>
    <row r="29" spans="1:40" ht="55.5" customHeight="1" x14ac:dyDescent="0.25">
      <c r="A29" s="124" t="s">
        <v>1227</v>
      </c>
      <c r="B29" s="125">
        <v>2026</v>
      </c>
      <c r="C29" s="125" t="s">
        <v>1228</v>
      </c>
      <c r="D29" s="126">
        <v>46042.584004629629</v>
      </c>
      <c r="E29" s="125">
        <v>8800266124</v>
      </c>
      <c r="F29" s="125" t="s">
        <v>1229</v>
      </c>
      <c r="G29" s="125">
        <v>1</v>
      </c>
      <c r="H29" s="125">
        <v>7967182124</v>
      </c>
      <c r="I29" s="125" t="s">
        <v>1230</v>
      </c>
      <c r="J29" s="125" t="s">
        <v>1231</v>
      </c>
      <c r="K29" s="125" t="s">
        <v>1232</v>
      </c>
      <c r="L29" s="125" t="s">
        <v>1084</v>
      </c>
      <c r="M29" s="125" t="s">
        <v>510</v>
      </c>
      <c r="N29" s="126">
        <v>46241.616064814814</v>
      </c>
      <c r="O29" s="127">
        <v>19002821952</v>
      </c>
      <c r="P29" s="125">
        <v>0</v>
      </c>
      <c r="Q29" s="125" t="s">
        <v>1131</v>
      </c>
      <c r="R29" s="125" t="s">
        <v>1206</v>
      </c>
      <c r="S29" s="125" t="s">
        <v>1066</v>
      </c>
      <c r="T29" s="125" t="s">
        <v>1066</v>
      </c>
      <c r="U29" s="125" t="s">
        <v>1066</v>
      </c>
      <c r="V29" s="125" t="s">
        <v>1066</v>
      </c>
      <c r="W29" s="125" t="s">
        <v>1066</v>
      </c>
      <c r="X29" s="125" t="s">
        <v>983</v>
      </c>
      <c r="Y29" s="125" t="s">
        <v>1066</v>
      </c>
      <c r="Z29" s="125" t="s">
        <v>1066</v>
      </c>
      <c r="AA29" s="125" t="s">
        <v>1067</v>
      </c>
      <c r="AB29" s="125" t="s">
        <v>1066</v>
      </c>
      <c r="AC29" s="125" t="s">
        <v>92</v>
      </c>
      <c r="AD29" s="125" t="s">
        <v>1066</v>
      </c>
      <c r="AE29" s="125" t="s">
        <v>1066</v>
      </c>
      <c r="AF29" s="125" t="s">
        <v>1066</v>
      </c>
      <c r="AG29" s="125" t="s">
        <v>1066</v>
      </c>
      <c r="AH29" s="125" t="s">
        <v>1233</v>
      </c>
      <c r="AI29" s="125" t="s">
        <v>785</v>
      </c>
      <c r="AJ29" s="125">
        <v>9287029</v>
      </c>
      <c r="AK29" s="125" t="s">
        <v>1234</v>
      </c>
      <c r="AL29" s="125">
        <v>817445</v>
      </c>
      <c r="AM29" s="125" t="s">
        <v>1066</v>
      </c>
      <c r="AN29" s="125" t="s">
        <v>1066</v>
      </c>
    </row>
    <row r="30" spans="1:40" ht="55.5" customHeight="1" x14ac:dyDescent="0.25">
      <c r="A30" s="111" t="s">
        <v>1235</v>
      </c>
      <c r="B30" s="112">
        <v>2026</v>
      </c>
      <c r="C30" s="112" t="s">
        <v>1057</v>
      </c>
      <c r="D30" s="113">
        <v>46125.584386574075</v>
      </c>
      <c r="E30" s="112">
        <v>7933960094</v>
      </c>
      <c r="F30" s="112" t="s">
        <v>1236</v>
      </c>
      <c r="G30" s="112">
        <v>3</v>
      </c>
      <c r="H30" s="112">
        <v>7933960094</v>
      </c>
      <c r="I30" s="112" t="s">
        <v>1237</v>
      </c>
      <c r="J30" s="112" t="s">
        <v>1066</v>
      </c>
      <c r="K30" s="112" t="s">
        <v>1125</v>
      </c>
      <c r="L30" s="112" t="s">
        <v>1061</v>
      </c>
      <c r="M30" s="112" t="s">
        <v>478</v>
      </c>
      <c r="N30" s="113">
        <v>46525.584386574075</v>
      </c>
      <c r="O30" s="114">
        <v>19002207386</v>
      </c>
      <c r="P30" s="112">
        <v>135</v>
      </c>
      <c r="Q30" s="112" t="s">
        <v>1062</v>
      </c>
      <c r="R30" s="112" t="s">
        <v>1063</v>
      </c>
      <c r="S30" s="113">
        <v>46171.674016203702</v>
      </c>
      <c r="T30" s="112" t="s">
        <v>1238</v>
      </c>
      <c r="U30" s="112" t="s">
        <v>1065</v>
      </c>
      <c r="V30" s="112" t="s">
        <v>1066</v>
      </c>
      <c r="W30" s="112" t="s">
        <v>1066</v>
      </c>
      <c r="X30" s="112" t="s">
        <v>1066</v>
      </c>
      <c r="Y30" s="112" t="s">
        <v>1066</v>
      </c>
      <c r="Z30" s="112" t="s">
        <v>1066</v>
      </c>
      <c r="AA30" s="112" t="s">
        <v>1067</v>
      </c>
      <c r="AB30" s="112" t="s">
        <v>1066</v>
      </c>
      <c r="AC30" s="112" t="s">
        <v>92</v>
      </c>
      <c r="AD30" s="112" t="s">
        <v>1066</v>
      </c>
      <c r="AE30" s="112" t="s">
        <v>1066</v>
      </c>
      <c r="AF30" s="112" t="s">
        <v>1066</v>
      </c>
      <c r="AG30" s="112" t="s">
        <v>1066</v>
      </c>
      <c r="AH30" s="112" t="s">
        <v>1066</v>
      </c>
      <c r="AI30" s="112" t="s">
        <v>785</v>
      </c>
      <c r="AJ30" s="112">
        <v>8633996</v>
      </c>
      <c r="AK30" s="112" t="s">
        <v>224</v>
      </c>
      <c r="AL30" s="112">
        <v>756819</v>
      </c>
      <c r="AM30" s="112" t="s">
        <v>1066</v>
      </c>
      <c r="AN30" s="112" t="s">
        <v>1066</v>
      </c>
    </row>
    <row r="31" spans="1:40" ht="55.5" customHeight="1" x14ac:dyDescent="0.25">
      <c r="A31" s="111" t="s">
        <v>1239</v>
      </c>
      <c r="B31" s="112">
        <v>2026</v>
      </c>
      <c r="C31" s="112" t="s">
        <v>1240</v>
      </c>
      <c r="D31" s="113">
        <v>46183.597349537034</v>
      </c>
      <c r="E31" s="112">
        <v>7908308006</v>
      </c>
      <c r="F31" s="112" t="s">
        <v>239</v>
      </c>
      <c r="G31" s="112">
        <v>3</v>
      </c>
      <c r="H31" s="112">
        <v>7908308006</v>
      </c>
      <c r="I31" s="112" t="s">
        <v>1241</v>
      </c>
      <c r="J31" s="112" t="s">
        <v>1066</v>
      </c>
      <c r="K31" s="112" t="s">
        <v>1125</v>
      </c>
      <c r="L31" s="112" t="s">
        <v>1061</v>
      </c>
      <c r="M31" s="112" t="s">
        <v>478</v>
      </c>
      <c r="N31" s="113">
        <v>46583.597349537034</v>
      </c>
      <c r="O31" s="114">
        <v>19002260308</v>
      </c>
      <c r="P31" s="112">
        <v>141</v>
      </c>
      <c r="Q31" s="112" t="s">
        <v>1062</v>
      </c>
      <c r="R31" s="112" t="s">
        <v>1063</v>
      </c>
      <c r="S31" s="113">
        <v>46196.413518518515</v>
      </c>
      <c r="T31" s="112" t="s">
        <v>1242</v>
      </c>
      <c r="U31" s="112" t="s">
        <v>1065</v>
      </c>
      <c r="V31" s="112" t="s">
        <v>1066</v>
      </c>
      <c r="W31" s="112" t="s">
        <v>1066</v>
      </c>
      <c r="X31" s="112" t="s">
        <v>1066</v>
      </c>
      <c r="Y31" s="112" t="s">
        <v>1066</v>
      </c>
      <c r="Z31" s="112" t="s">
        <v>1066</v>
      </c>
      <c r="AA31" s="112" t="s">
        <v>1067</v>
      </c>
      <c r="AB31" s="112" t="s">
        <v>1066</v>
      </c>
      <c r="AC31" s="112" t="s">
        <v>92</v>
      </c>
      <c r="AD31" s="112" t="s">
        <v>1066</v>
      </c>
      <c r="AE31" s="112" t="s">
        <v>1066</v>
      </c>
      <c r="AF31" s="112" t="s">
        <v>1066</v>
      </c>
      <c r="AG31" s="112" t="s">
        <v>1066</v>
      </c>
      <c r="AH31" s="112" t="s">
        <v>1066</v>
      </c>
      <c r="AI31" s="112" t="s">
        <v>785</v>
      </c>
      <c r="AJ31" s="112">
        <v>8931122</v>
      </c>
      <c r="AK31" s="112" t="s">
        <v>1243</v>
      </c>
      <c r="AL31" s="112">
        <v>789367</v>
      </c>
      <c r="AM31" s="112" t="s">
        <v>1066</v>
      </c>
      <c r="AN31" s="112" t="s">
        <v>1066</v>
      </c>
    </row>
    <row r="32" spans="1:40" ht="55.5" customHeight="1" x14ac:dyDescent="0.25">
      <c r="A32" s="111" t="s">
        <v>1244</v>
      </c>
      <c r="B32" s="112">
        <v>2026</v>
      </c>
      <c r="C32" s="112" t="s">
        <v>1245</v>
      </c>
      <c r="D32" s="113">
        <v>45785.414780092593</v>
      </c>
      <c r="E32" s="112">
        <v>9000347196</v>
      </c>
      <c r="F32" s="112" t="s">
        <v>234</v>
      </c>
      <c r="G32" s="112">
        <v>3</v>
      </c>
      <c r="H32" s="112">
        <v>7910027196</v>
      </c>
      <c r="I32" s="112" t="s">
        <v>1246</v>
      </c>
      <c r="J32" s="112" t="s">
        <v>1071</v>
      </c>
      <c r="K32" s="112" t="s">
        <v>1247</v>
      </c>
      <c r="L32" s="112" t="s">
        <v>1073</v>
      </c>
      <c r="M32" s="112" t="s">
        <v>478</v>
      </c>
      <c r="N32" s="113">
        <v>46205.777939814812</v>
      </c>
      <c r="O32" s="114">
        <v>19000097289</v>
      </c>
      <c r="P32" s="112">
        <v>211</v>
      </c>
      <c r="Q32" s="112" t="s">
        <v>1131</v>
      </c>
      <c r="R32" s="112" t="s">
        <v>1075</v>
      </c>
      <c r="S32" s="113">
        <v>46190.627534722225</v>
      </c>
      <c r="T32" s="112" t="s">
        <v>1248</v>
      </c>
      <c r="U32" s="112" t="s">
        <v>1065</v>
      </c>
      <c r="V32" s="112" t="s">
        <v>1066</v>
      </c>
      <c r="W32" s="112" t="s">
        <v>1066</v>
      </c>
      <c r="X32" s="112" t="s">
        <v>983</v>
      </c>
      <c r="Y32" s="112" t="s">
        <v>1066</v>
      </c>
      <c r="Z32" s="112" t="s">
        <v>1133</v>
      </c>
      <c r="AA32" s="112" t="s">
        <v>1067</v>
      </c>
      <c r="AB32" s="112" t="s">
        <v>1066</v>
      </c>
      <c r="AC32" s="112" t="s">
        <v>92</v>
      </c>
      <c r="AD32" s="112" t="s">
        <v>1142</v>
      </c>
      <c r="AE32" s="112" t="s">
        <v>1066</v>
      </c>
      <c r="AF32" s="112" t="s">
        <v>1066</v>
      </c>
      <c r="AG32" s="112" t="s">
        <v>1066</v>
      </c>
      <c r="AH32" s="112" t="s">
        <v>1249</v>
      </c>
      <c r="AI32" s="112" t="s">
        <v>785</v>
      </c>
      <c r="AJ32" s="112">
        <v>8859703</v>
      </c>
      <c r="AK32" s="112" t="s">
        <v>233</v>
      </c>
      <c r="AL32" s="112">
        <v>876869</v>
      </c>
      <c r="AM32" s="112" t="s">
        <v>1066</v>
      </c>
      <c r="AN32" s="112" t="s">
        <v>1066</v>
      </c>
    </row>
    <row r="33" spans="1:40" ht="55.5" customHeight="1" x14ac:dyDescent="0.25">
      <c r="A33" s="111" t="s">
        <v>1250</v>
      </c>
      <c r="B33" s="112">
        <v>2026</v>
      </c>
      <c r="C33" s="112" t="s">
        <v>1251</v>
      </c>
      <c r="D33" s="113">
        <v>46031.603807870371</v>
      </c>
      <c r="E33" s="112">
        <v>7908714038</v>
      </c>
      <c r="F33" s="112" t="s">
        <v>674</v>
      </c>
      <c r="G33" s="112">
        <v>1</v>
      </c>
      <c r="H33" s="112">
        <v>7908714038</v>
      </c>
      <c r="I33" s="112" t="s">
        <v>1252</v>
      </c>
      <c r="J33" s="112" t="s">
        <v>1059</v>
      </c>
      <c r="K33" s="112" t="s">
        <v>1060</v>
      </c>
      <c r="L33" s="112" t="s">
        <v>1061</v>
      </c>
      <c r="M33" s="112" t="s">
        <v>478</v>
      </c>
      <c r="N33" s="113">
        <v>46431.603807870371</v>
      </c>
      <c r="O33" s="114">
        <v>19002259092</v>
      </c>
      <c r="P33" s="112">
        <v>34</v>
      </c>
      <c r="Q33" s="112" t="s">
        <v>1062</v>
      </c>
      <c r="R33" s="112" t="s">
        <v>1063</v>
      </c>
      <c r="S33" s="113">
        <v>46031.729166666664</v>
      </c>
      <c r="T33" s="112" t="s">
        <v>1253</v>
      </c>
      <c r="U33" s="112" t="s">
        <v>1065</v>
      </c>
      <c r="V33" s="112" t="s">
        <v>1066</v>
      </c>
      <c r="W33" s="112" t="s">
        <v>1066</v>
      </c>
      <c r="X33" s="112" t="s">
        <v>1066</v>
      </c>
      <c r="Y33" s="112" t="s">
        <v>1066</v>
      </c>
      <c r="Z33" s="112" t="s">
        <v>1066</v>
      </c>
      <c r="AA33" s="112" t="s">
        <v>1067</v>
      </c>
      <c r="AB33" s="112" t="s">
        <v>1066</v>
      </c>
      <c r="AC33" s="112" t="s">
        <v>92</v>
      </c>
      <c r="AD33" s="112" t="s">
        <v>1066</v>
      </c>
      <c r="AE33" s="112" t="s">
        <v>1066</v>
      </c>
      <c r="AF33" s="112" t="s">
        <v>1066</v>
      </c>
      <c r="AG33" s="112" t="s">
        <v>1066</v>
      </c>
      <c r="AH33" s="112" t="s">
        <v>1066</v>
      </c>
      <c r="AI33" s="112" t="s">
        <v>785</v>
      </c>
      <c r="AJ33" s="112">
        <v>8622182</v>
      </c>
      <c r="AK33" s="112" t="s">
        <v>627</v>
      </c>
      <c r="AL33" s="112">
        <v>997109</v>
      </c>
      <c r="AM33" s="112" t="s">
        <v>1066</v>
      </c>
      <c r="AN33" s="112" t="s">
        <v>1066</v>
      </c>
    </row>
    <row r="34" spans="1:40" ht="55.5" customHeight="1" x14ac:dyDescent="0.25">
      <c r="A34" s="111" t="s">
        <v>1254</v>
      </c>
      <c r="B34" s="112">
        <v>2026</v>
      </c>
      <c r="C34" s="112" t="s">
        <v>1057</v>
      </c>
      <c r="D34" s="113">
        <v>46125.614548611113</v>
      </c>
      <c r="E34" s="112">
        <v>7913655100</v>
      </c>
      <c r="F34" s="112" t="s">
        <v>1255</v>
      </c>
      <c r="G34" s="112">
        <v>1</v>
      </c>
      <c r="H34" s="112">
        <v>7913655100</v>
      </c>
      <c r="I34" s="112" t="s">
        <v>1256</v>
      </c>
      <c r="J34" s="112" t="s">
        <v>1066</v>
      </c>
      <c r="K34" s="112" t="s">
        <v>1125</v>
      </c>
      <c r="L34" s="112" t="s">
        <v>1061</v>
      </c>
      <c r="M34" s="112" t="s">
        <v>478</v>
      </c>
      <c r="N34" s="113">
        <v>46525.614548611113</v>
      </c>
      <c r="O34" s="114">
        <v>19002790561</v>
      </c>
      <c r="P34" s="112">
        <v>2.0190000000000001</v>
      </c>
      <c r="Q34" s="112" t="s">
        <v>1062</v>
      </c>
      <c r="R34" s="112" t="s">
        <v>1063</v>
      </c>
      <c r="S34" s="113">
        <v>46176.73065972222</v>
      </c>
      <c r="T34" s="112" t="s">
        <v>1257</v>
      </c>
      <c r="U34" s="112" t="s">
        <v>1065</v>
      </c>
      <c r="V34" s="112" t="s">
        <v>1066</v>
      </c>
      <c r="W34" s="112" t="s">
        <v>1066</v>
      </c>
      <c r="X34" s="112" t="s">
        <v>1066</v>
      </c>
      <c r="Y34" s="112" t="s">
        <v>1066</v>
      </c>
      <c r="Z34" s="112" t="s">
        <v>1066</v>
      </c>
      <c r="AA34" s="112" t="s">
        <v>1067</v>
      </c>
      <c r="AB34" s="112" t="s">
        <v>1066</v>
      </c>
      <c r="AC34" s="112" t="s">
        <v>92</v>
      </c>
      <c r="AD34" s="112" t="s">
        <v>1066</v>
      </c>
      <c r="AE34" s="112" t="s">
        <v>1066</v>
      </c>
      <c r="AF34" s="112" t="s">
        <v>1066</v>
      </c>
      <c r="AG34" s="112" t="s">
        <v>1066</v>
      </c>
      <c r="AH34" s="112" t="s">
        <v>1066</v>
      </c>
      <c r="AI34" s="112" t="s">
        <v>785</v>
      </c>
      <c r="AJ34" s="112">
        <v>8858812</v>
      </c>
      <c r="AK34" s="112" t="s">
        <v>264</v>
      </c>
      <c r="AL34" s="112">
        <v>810764</v>
      </c>
      <c r="AM34" s="112" t="s">
        <v>1066</v>
      </c>
      <c r="AN34" s="112" t="s">
        <v>1066</v>
      </c>
    </row>
    <row r="35" spans="1:40" ht="55.5" customHeight="1" x14ac:dyDescent="0.25">
      <c r="A35" s="111" t="s">
        <v>1258</v>
      </c>
      <c r="B35" s="112">
        <v>2026</v>
      </c>
      <c r="C35" s="112" t="s">
        <v>1259</v>
      </c>
      <c r="D35" s="113">
        <v>46146.659849537034</v>
      </c>
      <c r="E35" s="112">
        <v>8800671086</v>
      </c>
      <c r="F35" s="112" t="s">
        <v>682</v>
      </c>
      <c r="G35" s="112">
        <v>2</v>
      </c>
      <c r="H35" s="112">
        <v>8800671086</v>
      </c>
      <c r="I35" s="112" t="s">
        <v>1260</v>
      </c>
      <c r="J35" s="112" t="s">
        <v>1071</v>
      </c>
      <c r="K35" s="112" t="s">
        <v>1261</v>
      </c>
      <c r="L35" s="112" t="s">
        <v>1073</v>
      </c>
      <c r="M35" s="112" t="s">
        <v>478</v>
      </c>
      <c r="N35" s="113">
        <v>46152.308483796296</v>
      </c>
      <c r="O35" s="114">
        <v>19001292088</v>
      </c>
      <c r="P35" s="112">
        <v>157</v>
      </c>
      <c r="Q35" s="112" t="s">
        <v>1262</v>
      </c>
      <c r="R35" s="112" t="s">
        <v>1263</v>
      </c>
      <c r="S35" s="113">
        <v>46169.729166666664</v>
      </c>
      <c r="T35" s="112" t="s">
        <v>1264</v>
      </c>
      <c r="U35" s="112" t="s">
        <v>1065</v>
      </c>
      <c r="V35" s="112" t="s">
        <v>1066</v>
      </c>
      <c r="W35" s="112" t="s">
        <v>1066</v>
      </c>
      <c r="X35" s="112" t="s">
        <v>1265</v>
      </c>
      <c r="Y35" s="112" t="s">
        <v>1066</v>
      </c>
      <c r="Z35" s="112" t="s">
        <v>1266</v>
      </c>
      <c r="AA35" s="112" t="s">
        <v>1067</v>
      </c>
      <c r="AB35" s="112" t="s">
        <v>1066</v>
      </c>
      <c r="AC35" s="112" t="s">
        <v>92</v>
      </c>
      <c r="AD35" s="112" t="s">
        <v>1142</v>
      </c>
      <c r="AE35" s="112" t="s">
        <v>1066</v>
      </c>
      <c r="AF35" s="112" t="s">
        <v>1066</v>
      </c>
      <c r="AG35" s="112" t="s">
        <v>1066</v>
      </c>
      <c r="AH35" s="112" t="s">
        <v>1267</v>
      </c>
      <c r="AI35" s="112" t="s">
        <v>785</v>
      </c>
      <c r="AJ35" s="112">
        <v>8917893</v>
      </c>
      <c r="AK35" s="112" t="s">
        <v>1143</v>
      </c>
      <c r="AL35" s="112">
        <v>652279</v>
      </c>
      <c r="AM35" s="112" t="s">
        <v>1268</v>
      </c>
      <c r="AN35" s="112" t="s">
        <v>1269</v>
      </c>
    </row>
    <row r="36" spans="1:40" ht="55.5" customHeight="1" x14ac:dyDescent="0.25">
      <c r="A36" s="111" t="s">
        <v>1270</v>
      </c>
      <c r="B36" s="112">
        <v>2026</v>
      </c>
      <c r="C36" s="112" t="s">
        <v>1240</v>
      </c>
      <c r="D36" s="113">
        <v>46183.597349537034</v>
      </c>
      <c r="E36" s="112">
        <v>7938139013</v>
      </c>
      <c r="F36" s="112" t="s">
        <v>229</v>
      </c>
      <c r="G36" s="112">
        <v>2</v>
      </c>
      <c r="H36" s="112">
        <v>7938139013</v>
      </c>
      <c r="I36" s="112" t="s">
        <v>1271</v>
      </c>
      <c r="J36" s="112" t="s">
        <v>1066</v>
      </c>
      <c r="K36" s="112" t="s">
        <v>1125</v>
      </c>
      <c r="L36" s="112" t="s">
        <v>1061</v>
      </c>
      <c r="M36" s="112" t="s">
        <v>478</v>
      </c>
      <c r="N36" s="113">
        <v>46583.597349537034</v>
      </c>
      <c r="O36" s="114">
        <v>19002208007</v>
      </c>
      <c r="P36" s="112">
        <v>349</v>
      </c>
      <c r="Q36" s="112" t="s">
        <v>1062</v>
      </c>
      <c r="R36" s="112" t="s">
        <v>1063</v>
      </c>
      <c r="S36" s="113">
        <v>46129.58353009259</v>
      </c>
      <c r="T36" s="112" t="s">
        <v>1272</v>
      </c>
      <c r="U36" s="112" t="s">
        <v>1065</v>
      </c>
      <c r="V36" s="112" t="s">
        <v>1066</v>
      </c>
      <c r="W36" s="112" t="s">
        <v>1066</v>
      </c>
      <c r="X36" s="112" t="s">
        <v>1066</v>
      </c>
      <c r="Y36" s="112" t="s">
        <v>1066</v>
      </c>
      <c r="Z36" s="112" t="s">
        <v>1066</v>
      </c>
      <c r="AA36" s="112" t="s">
        <v>1067</v>
      </c>
      <c r="AB36" s="112" t="s">
        <v>1066</v>
      </c>
      <c r="AC36" s="112" t="s">
        <v>92</v>
      </c>
      <c r="AD36" s="112" t="s">
        <v>1066</v>
      </c>
      <c r="AE36" s="112" t="s">
        <v>1066</v>
      </c>
      <c r="AF36" s="112" t="s">
        <v>1066</v>
      </c>
      <c r="AG36" s="112" t="s">
        <v>1066</v>
      </c>
      <c r="AH36" s="112" t="s">
        <v>1066</v>
      </c>
      <c r="AI36" s="112" t="s">
        <v>785</v>
      </c>
      <c r="AJ36" s="112">
        <v>8856896</v>
      </c>
      <c r="AK36" s="112" t="s">
        <v>117</v>
      </c>
      <c r="AL36" s="112">
        <v>748790</v>
      </c>
      <c r="AM36" s="112" t="s">
        <v>1066</v>
      </c>
      <c r="AN36" s="112" t="s">
        <v>1066</v>
      </c>
    </row>
    <row r="37" spans="1:40" ht="55.5" customHeight="1" x14ac:dyDescent="0.25">
      <c r="A37" s="111" t="s">
        <v>1273</v>
      </c>
      <c r="B37" s="112">
        <v>2026</v>
      </c>
      <c r="C37" s="112" t="s">
        <v>1240</v>
      </c>
      <c r="D37" s="113">
        <v>46183.597349537034</v>
      </c>
      <c r="E37" s="112">
        <v>7921201014</v>
      </c>
      <c r="F37" s="112" t="s">
        <v>1274</v>
      </c>
      <c r="G37" s="112">
        <v>3</v>
      </c>
      <c r="H37" s="112">
        <v>7921201014</v>
      </c>
      <c r="I37" s="112" t="s">
        <v>1275</v>
      </c>
      <c r="J37" s="112" t="s">
        <v>1066</v>
      </c>
      <c r="K37" s="112" t="s">
        <v>1125</v>
      </c>
      <c r="L37" s="112" t="s">
        <v>1061</v>
      </c>
      <c r="M37" s="112" t="s">
        <v>478</v>
      </c>
      <c r="N37" s="113">
        <v>46583.597349537034</v>
      </c>
      <c r="O37" s="114">
        <v>19002682454</v>
      </c>
      <c r="P37" s="112">
        <v>0</v>
      </c>
      <c r="Q37" s="112" t="s">
        <v>1062</v>
      </c>
      <c r="R37" s="112" t="s">
        <v>1063</v>
      </c>
      <c r="S37" s="113">
        <v>46049.731365740743</v>
      </c>
      <c r="T37" s="112" t="s">
        <v>1276</v>
      </c>
      <c r="U37" s="112" t="s">
        <v>1065</v>
      </c>
      <c r="V37" s="112" t="s">
        <v>1066</v>
      </c>
      <c r="W37" s="112" t="s">
        <v>1066</v>
      </c>
      <c r="X37" s="112" t="s">
        <v>1066</v>
      </c>
      <c r="Y37" s="112" t="s">
        <v>1066</v>
      </c>
      <c r="Z37" s="112" t="s">
        <v>1066</v>
      </c>
      <c r="AA37" s="112" t="s">
        <v>1067</v>
      </c>
      <c r="AB37" s="112" t="s">
        <v>1066</v>
      </c>
      <c r="AC37" s="112" t="s">
        <v>92</v>
      </c>
      <c r="AD37" s="112" t="s">
        <v>1066</v>
      </c>
      <c r="AE37" s="112" t="s">
        <v>1066</v>
      </c>
      <c r="AF37" s="112" t="s">
        <v>1066</v>
      </c>
      <c r="AG37" s="112" t="s">
        <v>1066</v>
      </c>
      <c r="AH37" s="112" t="s">
        <v>1066</v>
      </c>
      <c r="AI37" s="112" t="s">
        <v>785</v>
      </c>
      <c r="AJ37" s="112">
        <v>8842507</v>
      </c>
      <c r="AK37" s="112" t="s">
        <v>164</v>
      </c>
      <c r="AL37" s="112">
        <v>655322</v>
      </c>
      <c r="AM37" s="112" t="s">
        <v>1066</v>
      </c>
      <c r="AN37" s="112" t="s">
        <v>1066</v>
      </c>
    </row>
    <row r="38" spans="1:40" ht="55.5" customHeight="1" x14ac:dyDescent="0.25">
      <c r="A38" s="111" t="s">
        <v>1277</v>
      </c>
      <c r="B38" s="112">
        <v>2026</v>
      </c>
      <c r="C38" s="112" t="s">
        <v>1251</v>
      </c>
      <c r="D38" s="113">
        <v>46031.603807870371</v>
      </c>
      <c r="E38" s="112">
        <v>7908716091</v>
      </c>
      <c r="F38" s="112" t="s">
        <v>136</v>
      </c>
      <c r="G38" s="112">
        <v>2</v>
      </c>
      <c r="H38" s="112">
        <v>7908716091</v>
      </c>
      <c r="I38" s="112" t="s">
        <v>1278</v>
      </c>
      <c r="J38" s="112" t="s">
        <v>1059</v>
      </c>
      <c r="K38" s="112" t="s">
        <v>1060</v>
      </c>
      <c r="L38" s="112" t="s">
        <v>1061</v>
      </c>
      <c r="M38" s="112" t="s">
        <v>478</v>
      </c>
      <c r="N38" s="113">
        <v>46431.603807870371</v>
      </c>
      <c r="O38" s="114">
        <v>19002758595</v>
      </c>
      <c r="P38" s="112">
        <v>0</v>
      </c>
      <c r="Q38" s="112" t="s">
        <v>1062</v>
      </c>
      <c r="R38" s="112" t="s">
        <v>1063</v>
      </c>
      <c r="S38" s="113">
        <v>46031.729166666664</v>
      </c>
      <c r="T38" s="112" t="s">
        <v>1253</v>
      </c>
      <c r="U38" s="112" t="s">
        <v>1065</v>
      </c>
      <c r="V38" s="112" t="s">
        <v>1066</v>
      </c>
      <c r="W38" s="112" t="s">
        <v>1066</v>
      </c>
      <c r="X38" s="112" t="s">
        <v>1066</v>
      </c>
      <c r="Y38" s="112" t="s">
        <v>1066</v>
      </c>
      <c r="Z38" s="112" t="s">
        <v>1066</v>
      </c>
      <c r="AA38" s="112" t="s">
        <v>1067</v>
      </c>
      <c r="AB38" s="112" t="s">
        <v>1066</v>
      </c>
      <c r="AC38" s="112" t="s">
        <v>92</v>
      </c>
      <c r="AD38" s="112" t="s">
        <v>1066</v>
      </c>
      <c r="AE38" s="112" t="s">
        <v>1066</v>
      </c>
      <c r="AF38" s="112" t="s">
        <v>1066</v>
      </c>
      <c r="AG38" s="112" t="s">
        <v>1066</v>
      </c>
      <c r="AH38" s="112" t="s">
        <v>1066</v>
      </c>
      <c r="AI38" s="112" t="s">
        <v>785</v>
      </c>
      <c r="AJ38" s="112">
        <v>8732927</v>
      </c>
      <c r="AK38" s="112" t="s">
        <v>40</v>
      </c>
      <c r="AL38" s="112">
        <v>907349</v>
      </c>
      <c r="AM38" s="112" t="s">
        <v>1066</v>
      </c>
      <c r="AN38" s="112" t="s">
        <v>1066</v>
      </c>
    </row>
    <row r="39" spans="1:40" ht="55.5" customHeight="1" x14ac:dyDescent="0.25">
      <c r="A39" s="111" t="s">
        <v>1279</v>
      </c>
      <c r="B39" s="112">
        <v>2026</v>
      </c>
      <c r="C39" s="112" t="s">
        <v>1280</v>
      </c>
      <c r="D39" s="113">
        <v>46109.124895833331</v>
      </c>
      <c r="E39" s="112">
        <v>9000352196</v>
      </c>
      <c r="F39" s="112" t="s">
        <v>234</v>
      </c>
      <c r="G39" s="112">
        <v>3</v>
      </c>
      <c r="H39" s="112">
        <v>7944239196</v>
      </c>
      <c r="I39" s="112" t="s">
        <v>1281</v>
      </c>
      <c r="J39" s="112" t="s">
        <v>1071</v>
      </c>
      <c r="K39" s="112" t="s">
        <v>1282</v>
      </c>
      <c r="L39" s="112" t="s">
        <v>1073</v>
      </c>
      <c r="M39" s="112" t="s">
        <v>478</v>
      </c>
      <c r="N39" s="113">
        <v>46112.124895833331</v>
      </c>
      <c r="O39" s="114">
        <v>19001361139</v>
      </c>
      <c r="P39" s="112">
        <v>113</v>
      </c>
      <c r="Q39" s="112" t="s">
        <v>1131</v>
      </c>
      <c r="R39" s="112" t="s">
        <v>1075</v>
      </c>
      <c r="S39" s="113">
        <v>46114.452777777777</v>
      </c>
      <c r="T39" s="112" t="s">
        <v>1283</v>
      </c>
      <c r="U39" s="112" t="s">
        <v>1065</v>
      </c>
      <c r="V39" s="112" t="s">
        <v>1066</v>
      </c>
      <c r="W39" s="112" t="s">
        <v>1066</v>
      </c>
      <c r="X39" s="112" t="s">
        <v>983</v>
      </c>
      <c r="Y39" s="112" t="s">
        <v>1066</v>
      </c>
      <c r="Z39" s="112" t="s">
        <v>1078</v>
      </c>
      <c r="AA39" s="112" t="s">
        <v>1067</v>
      </c>
      <c r="AB39" s="112" t="s">
        <v>1066</v>
      </c>
      <c r="AC39" s="112" t="s">
        <v>92</v>
      </c>
      <c r="AD39" s="112" t="s">
        <v>1142</v>
      </c>
      <c r="AE39" s="112" t="s">
        <v>1066</v>
      </c>
      <c r="AF39" s="112" t="s">
        <v>1066</v>
      </c>
      <c r="AG39" s="112" t="s">
        <v>1066</v>
      </c>
      <c r="AH39" s="112" t="s">
        <v>1066</v>
      </c>
      <c r="AI39" s="112" t="s">
        <v>785</v>
      </c>
      <c r="AJ39" s="112">
        <v>8859926</v>
      </c>
      <c r="AK39" s="112" t="s">
        <v>233</v>
      </c>
      <c r="AL39" s="112">
        <v>876051</v>
      </c>
      <c r="AM39" s="112" t="s">
        <v>1066</v>
      </c>
      <c r="AN39" s="112" t="s">
        <v>1066</v>
      </c>
    </row>
    <row r="40" spans="1:40" ht="55.5" customHeight="1" x14ac:dyDescent="0.25">
      <c r="A40" s="111" t="s">
        <v>1284</v>
      </c>
      <c r="B40" s="112">
        <v>2026</v>
      </c>
      <c r="C40" s="112" t="s">
        <v>1057</v>
      </c>
      <c r="D40" s="113">
        <v>46125.584386574075</v>
      </c>
      <c r="E40" s="112">
        <v>7932045003</v>
      </c>
      <c r="F40" s="112" t="s">
        <v>1285</v>
      </c>
      <c r="G40" s="112">
        <v>3</v>
      </c>
      <c r="H40" s="112">
        <v>7932045003</v>
      </c>
      <c r="I40" s="112" t="s">
        <v>1286</v>
      </c>
      <c r="J40" s="112" t="s">
        <v>1066</v>
      </c>
      <c r="K40" s="112" t="s">
        <v>1125</v>
      </c>
      <c r="L40" s="112" t="s">
        <v>1061</v>
      </c>
      <c r="M40" s="112" t="s">
        <v>478</v>
      </c>
      <c r="N40" s="113">
        <v>46525.584386574075</v>
      </c>
      <c r="O40" s="114">
        <v>19002210713</v>
      </c>
      <c r="P40" s="112">
        <v>0</v>
      </c>
      <c r="Q40" s="112" t="s">
        <v>1062</v>
      </c>
      <c r="R40" s="112" t="s">
        <v>1063</v>
      </c>
      <c r="S40" s="113">
        <v>46153.653287037036</v>
      </c>
      <c r="T40" s="112" t="s">
        <v>1287</v>
      </c>
      <c r="U40" s="112" t="s">
        <v>1065</v>
      </c>
      <c r="V40" s="112" t="s">
        <v>1066</v>
      </c>
      <c r="W40" s="112" t="s">
        <v>1066</v>
      </c>
      <c r="X40" s="112" t="s">
        <v>1066</v>
      </c>
      <c r="Y40" s="112" t="s">
        <v>1066</v>
      </c>
      <c r="Z40" s="112" t="s">
        <v>1066</v>
      </c>
      <c r="AA40" s="112" t="s">
        <v>1067</v>
      </c>
      <c r="AB40" s="112" t="s">
        <v>1066</v>
      </c>
      <c r="AC40" s="112" t="s">
        <v>92</v>
      </c>
      <c r="AD40" s="112" t="s">
        <v>1066</v>
      </c>
      <c r="AE40" s="112" t="s">
        <v>1066</v>
      </c>
      <c r="AF40" s="112" t="s">
        <v>1066</v>
      </c>
      <c r="AG40" s="112" t="s">
        <v>1066</v>
      </c>
      <c r="AH40" s="112" t="s">
        <v>1066</v>
      </c>
      <c r="AI40" s="112" t="s">
        <v>785</v>
      </c>
      <c r="AJ40" s="112">
        <v>8700593</v>
      </c>
      <c r="AK40" s="112" t="s">
        <v>210</v>
      </c>
      <c r="AL40" s="112">
        <v>709387</v>
      </c>
      <c r="AM40" s="112" t="s">
        <v>1066</v>
      </c>
      <c r="AN40" s="112" t="s">
        <v>1066</v>
      </c>
    </row>
    <row r="41" spans="1:40" ht="55.5" customHeight="1" x14ac:dyDescent="0.25">
      <c r="A41" s="111" t="s">
        <v>1288</v>
      </c>
      <c r="B41" s="112">
        <v>2026</v>
      </c>
      <c r="C41" s="112" t="s">
        <v>1089</v>
      </c>
      <c r="D41" s="113">
        <v>46028.41065972222</v>
      </c>
      <c r="E41" s="112">
        <v>7909593122</v>
      </c>
      <c r="F41" s="112" t="s">
        <v>1289</v>
      </c>
      <c r="G41" s="112">
        <v>1</v>
      </c>
      <c r="H41" s="112">
        <v>7909593122</v>
      </c>
      <c r="I41" s="112" t="s">
        <v>1290</v>
      </c>
      <c r="J41" s="112" t="s">
        <v>1092</v>
      </c>
      <c r="K41" s="112" t="s">
        <v>1093</v>
      </c>
      <c r="L41" s="112" t="s">
        <v>1061</v>
      </c>
      <c r="M41" s="112" t="s">
        <v>478</v>
      </c>
      <c r="N41" s="113">
        <v>46428.41065972222</v>
      </c>
      <c r="O41" s="114">
        <v>19002260195</v>
      </c>
      <c r="P41" s="112">
        <v>978</v>
      </c>
      <c r="Q41" s="112" t="s">
        <v>1062</v>
      </c>
      <c r="R41" s="112" t="s">
        <v>1063</v>
      </c>
      <c r="S41" s="113">
        <v>46035.623298611114</v>
      </c>
      <c r="T41" s="112" t="s">
        <v>1291</v>
      </c>
      <c r="U41" s="112" t="s">
        <v>1065</v>
      </c>
      <c r="V41" s="112" t="s">
        <v>1066</v>
      </c>
      <c r="W41" s="112" t="s">
        <v>1066</v>
      </c>
      <c r="X41" s="112" t="s">
        <v>1066</v>
      </c>
      <c r="Y41" s="112" t="s">
        <v>1066</v>
      </c>
      <c r="Z41" s="112" t="s">
        <v>1066</v>
      </c>
      <c r="AA41" s="112" t="s">
        <v>1067</v>
      </c>
      <c r="AB41" s="112" t="s">
        <v>1066</v>
      </c>
      <c r="AC41" s="112" t="s">
        <v>92</v>
      </c>
      <c r="AD41" s="112" t="s">
        <v>1066</v>
      </c>
      <c r="AE41" s="112" t="s">
        <v>1066</v>
      </c>
      <c r="AF41" s="112" t="s">
        <v>1066</v>
      </c>
      <c r="AG41" s="112" t="s">
        <v>1066</v>
      </c>
      <c r="AH41" s="112" t="s">
        <v>1066</v>
      </c>
      <c r="AI41" s="112" t="s">
        <v>785</v>
      </c>
      <c r="AJ41" s="112">
        <v>8862545</v>
      </c>
      <c r="AK41" s="112" t="s">
        <v>264</v>
      </c>
      <c r="AL41" s="112">
        <v>791795</v>
      </c>
      <c r="AM41" s="112" t="s">
        <v>1066</v>
      </c>
      <c r="AN41" s="112" t="s">
        <v>1066</v>
      </c>
    </row>
    <row r="42" spans="1:40" ht="55.5" customHeight="1" x14ac:dyDescent="0.25">
      <c r="A42" s="111" t="s">
        <v>1292</v>
      </c>
      <c r="B42" s="112">
        <v>2026</v>
      </c>
      <c r="C42" s="112" t="s">
        <v>1293</v>
      </c>
      <c r="D42" s="113">
        <v>46177.505254629628</v>
      </c>
      <c r="E42" s="112">
        <v>7942191013</v>
      </c>
      <c r="F42" s="112" t="s">
        <v>1294</v>
      </c>
      <c r="G42" s="112">
        <v>3</v>
      </c>
      <c r="H42" s="112">
        <v>7942191013</v>
      </c>
      <c r="I42" s="112" t="s">
        <v>1295</v>
      </c>
      <c r="J42" s="112" t="s">
        <v>1071</v>
      </c>
      <c r="K42" s="112" t="s">
        <v>1296</v>
      </c>
      <c r="L42" s="112" t="s">
        <v>1073</v>
      </c>
      <c r="M42" s="112" t="s">
        <v>478</v>
      </c>
      <c r="N42" s="113">
        <v>46180.505254629628</v>
      </c>
      <c r="O42" s="114">
        <v>19002211672</v>
      </c>
      <c r="P42" s="112">
        <v>0</v>
      </c>
      <c r="Q42" s="112" t="s">
        <v>1062</v>
      </c>
      <c r="R42" s="112" t="s">
        <v>1297</v>
      </c>
      <c r="S42" s="113">
        <v>46129.729166666664</v>
      </c>
      <c r="T42" s="112" t="s">
        <v>1298</v>
      </c>
      <c r="U42" s="112" t="s">
        <v>1065</v>
      </c>
      <c r="V42" s="112" t="s">
        <v>1066</v>
      </c>
      <c r="W42" s="112" t="s">
        <v>1066</v>
      </c>
      <c r="X42" s="112" t="s">
        <v>1173</v>
      </c>
      <c r="Y42" s="112" t="s">
        <v>1066</v>
      </c>
      <c r="Z42" s="112" t="s">
        <v>1299</v>
      </c>
      <c r="AA42" s="112" t="s">
        <v>1067</v>
      </c>
      <c r="AB42" s="112" t="s">
        <v>1066</v>
      </c>
      <c r="AC42" s="112" t="s">
        <v>92</v>
      </c>
      <c r="AD42" s="112" t="s">
        <v>1066</v>
      </c>
      <c r="AE42" s="112" t="s">
        <v>1066</v>
      </c>
      <c r="AF42" s="112" t="s">
        <v>1066</v>
      </c>
      <c r="AG42" s="112" t="s">
        <v>1066</v>
      </c>
      <c r="AH42" s="112" t="s">
        <v>1066</v>
      </c>
      <c r="AI42" s="112" t="s">
        <v>785</v>
      </c>
      <c r="AJ42" s="112">
        <v>8871914</v>
      </c>
      <c r="AK42" s="112" t="s">
        <v>117</v>
      </c>
      <c r="AL42" s="112">
        <v>730395</v>
      </c>
      <c r="AM42" s="112" t="s">
        <v>1066</v>
      </c>
      <c r="AN42" s="112" t="s">
        <v>1066</v>
      </c>
    </row>
    <row r="43" spans="1:40" ht="55.5" customHeight="1" x14ac:dyDescent="0.25">
      <c r="A43" s="115" t="s">
        <v>1300</v>
      </c>
      <c r="B43" s="116">
        <v>2026</v>
      </c>
      <c r="C43" s="116" t="s">
        <v>1301</v>
      </c>
      <c r="D43" s="118">
        <v>46088.635706018518</v>
      </c>
      <c r="E43" s="116">
        <v>7955686076</v>
      </c>
      <c r="F43" s="116" t="s">
        <v>211</v>
      </c>
      <c r="G43" s="116">
        <v>3</v>
      </c>
      <c r="H43" s="116">
        <v>7955686076</v>
      </c>
      <c r="I43" s="116" t="s">
        <v>1302</v>
      </c>
      <c r="J43" s="116" t="s">
        <v>1071</v>
      </c>
      <c r="K43" s="116" t="s">
        <v>1303</v>
      </c>
      <c r="L43" s="116" t="s">
        <v>1073</v>
      </c>
      <c r="M43" s="116" t="s">
        <v>588</v>
      </c>
      <c r="N43" s="118">
        <v>46093.672615740739</v>
      </c>
      <c r="O43" s="119">
        <v>19002753239</v>
      </c>
      <c r="P43" s="116">
        <v>52</v>
      </c>
      <c r="Q43" s="116" t="s">
        <v>1062</v>
      </c>
      <c r="R43" s="116" t="s">
        <v>1075</v>
      </c>
      <c r="S43" s="116" t="s">
        <v>1066</v>
      </c>
      <c r="T43" s="116" t="s">
        <v>1066</v>
      </c>
      <c r="U43" s="116" t="s">
        <v>1066</v>
      </c>
      <c r="V43" s="116" t="s">
        <v>1066</v>
      </c>
      <c r="W43" s="116" t="s">
        <v>1066</v>
      </c>
      <c r="X43" s="116" t="s">
        <v>983</v>
      </c>
      <c r="Y43" s="116" t="s">
        <v>1066</v>
      </c>
      <c r="Z43" s="116" t="s">
        <v>1304</v>
      </c>
      <c r="AA43" s="116" t="s">
        <v>1208</v>
      </c>
      <c r="AB43" s="116" t="s">
        <v>1066</v>
      </c>
      <c r="AC43" s="116" t="s">
        <v>92</v>
      </c>
      <c r="AD43" s="116" t="s">
        <v>1066</v>
      </c>
      <c r="AE43" s="116" t="s">
        <v>1066</v>
      </c>
      <c r="AF43" s="116" t="s">
        <v>1066</v>
      </c>
      <c r="AG43" s="116" t="s">
        <v>1066</v>
      </c>
      <c r="AH43" s="116" t="s">
        <v>1066</v>
      </c>
      <c r="AI43" s="116" t="s">
        <v>785</v>
      </c>
      <c r="AJ43" s="116">
        <v>8746912</v>
      </c>
      <c r="AK43" s="116" t="s">
        <v>209</v>
      </c>
      <c r="AL43" s="116">
        <v>689860</v>
      </c>
      <c r="AM43" s="116" t="s">
        <v>1066</v>
      </c>
      <c r="AN43" s="116" t="s">
        <v>1066</v>
      </c>
    </row>
    <row r="44" spans="1:40" ht="55.5" customHeight="1" x14ac:dyDescent="0.25">
      <c r="A44" s="111" t="s">
        <v>1305</v>
      </c>
      <c r="B44" s="112">
        <v>2026</v>
      </c>
      <c r="C44" s="112" t="s">
        <v>1057</v>
      </c>
      <c r="D44" s="113">
        <v>46125.614548611113</v>
      </c>
      <c r="E44" s="112">
        <v>7941990086</v>
      </c>
      <c r="F44" s="112" t="s">
        <v>682</v>
      </c>
      <c r="G44" s="112">
        <v>2</v>
      </c>
      <c r="H44" s="112">
        <v>7941990086</v>
      </c>
      <c r="I44" s="112" t="s">
        <v>1306</v>
      </c>
      <c r="J44" s="112" t="s">
        <v>1066</v>
      </c>
      <c r="K44" s="112" t="s">
        <v>1125</v>
      </c>
      <c r="L44" s="112" t="s">
        <v>1061</v>
      </c>
      <c r="M44" s="112" t="s">
        <v>478</v>
      </c>
      <c r="N44" s="113">
        <v>46525.614548611113</v>
      </c>
      <c r="O44" s="114">
        <v>19002211894</v>
      </c>
      <c r="P44" s="112">
        <v>172</v>
      </c>
      <c r="Q44" s="112" t="s">
        <v>1062</v>
      </c>
      <c r="R44" s="112" t="s">
        <v>1063</v>
      </c>
      <c r="S44" s="113">
        <v>46174.3125</v>
      </c>
      <c r="T44" s="112" t="s">
        <v>1307</v>
      </c>
      <c r="U44" s="112" t="s">
        <v>1065</v>
      </c>
      <c r="V44" s="112" t="s">
        <v>1066</v>
      </c>
      <c r="W44" s="112" t="s">
        <v>1066</v>
      </c>
      <c r="X44" s="112" t="s">
        <v>1066</v>
      </c>
      <c r="Y44" s="112" t="s">
        <v>1066</v>
      </c>
      <c r="Z44" s="112" t="s">
        <v>1066</v>
      </c>
      <c r="AA44" s="112" t="s">
        <v>1067</v>
      </c>
      <c r="AB44" s="112" t="s">
        <v>1066</v>
      </c>
      <c r="AC44" s="112" t="s">
        <v>92</v>
      </c>
      <c r="AD44" s="112" t="s">
        <v>1066</v>
      </c>
      <c r="AE44" s="112" t="s">
        <v>1066</v>
      </c>
      <c r="AF44" s="112" t="s">
        <v>1066</v>
      </c>
      <c r="AG44" s="112" t="s">
        <v>1066</v>
      </c>
      <c r="AH44" s="112" t="s">
        <v>1066</v>
      </c>
      <c r="AI44" s="112" t="s">
        <v>785</v>
      </c>
      <c r="AJ44" s="112">
        <v>8918983</v>
      </c>
      <c r="AK44" s="112" t="s">
        <v>1143</v>
      </c>
      <c r="AL44" s="112">
        <v>660447</v>
      </c>
      <c r="AM44" s="112" t="s">
        <v>1066</v>
      </c>
      <c r="AN44" s="112" t="s">
        <v>1066</v>
      </c>
    </row>
    <row r="45" spans="1:40" ht="55.5" customHeight="1" x14ac:dyDescent="0.25">
      <c r="A45" s="111" t="s">
        <v>1308</v>
      </c>
      <c r="B45" s="112">
        <v>2026</v>
      </c>
      <c r="C45" s="112" t="s">
        <v>1057</v>
      </c>
      <c r="D45" s="113">
        <v>46125.614548611113</v>
      </c>
      <c r="E45" s="112">
        <v>7944323084</v>
      </c>
      <c r="F45" s="112" t="s">
        <v>682</v>
      </c>
      <c r="G45" s="112">
        <v>1</v>
      </c>
      <c r="H45" s="112">
        <v>7944323084</v>
      </c>
      <c r="I45" s="112" t="s">
        <v>1309</v>
      </c>
      <c r="J45" s="112" t="s">
        <v>1066</v>
      </c>
      <c r="K45" s="112" t="s">
        <v>1125</v>
      </c>
      <c r="L45" s="112" t="s">
        <v>1061</v>
      </c>
      <c r="M45" s="112" t="s">
        <v>478</v>
      </c>
      <c r="N45" s="113">
        <v>46525.614548611113</v>
      </c>
      <c r="O45" s="114">
        <v>19002212113</v>
      </c>
      <c r="P45" s="112">
        <v>0</v>
      </c>
      <c r="Q45" s="112" t="s">
        <v>1062</v>
      </c>
      <c r="R45" s="112" t="s">
        <v>1063</v>
      </c>
      <c r="S45" s="113">
        <v>46206.598692129628</v>
      </c>
      <c r="T45" s="112" t="s">
        <v>1310</v>
      </c>
      <c r="U45" s="112" t="s">
        <v>1065</v>
      </c>
      <c r="V45" s="112" t="s">
        <v>1066</v>
      </c>
      <c r="W45" s="112" t="s">
        <v>1066</v>
      </c>
      <c r="X45" s="112" t="s">
        <v>1066</v>
      </c>
      <c r="Y45" s="112" t="s">
        <v>1066</v>
      </c>
      <c r="Z45" s="112" t="s">
        <v>1066</v>
      </c>
      <c r="AA45" s="112" t="s">
        <v>1067</v>
      </c>
      <c r="AB45" s="112" t="s">
        <v>1066</v>
      </c>
      <c r="AC45" s="112" t="s">
        <v>92</v>
      </c>
      <c r="AD45" s="112" t="s">
        <v>1066</v>
      </c>
      <c r="AE45" s="112" t="s">
        <v>1066</v>
      </c>
      <c r="AF45" s="112" t="s">
        <v>1066</v>
      </c>
      <c r="AG45" s="112" t="s">
        <v>1066</v>
      </c>
      <c r="AH45" s="112" t="s">
        <v>1066</v>
      </c>
      <c r="AI45" s="112" t="s">
        <v>785</v>
      </c>
      <c r="AJ45" s="112">
        <v>8916283</v>
      </c>
      <c r="AK45" s="112" t="s">
        <v>1311</v>
      </c>
      <c r="AL45" s="112">
        <v>695643</v>
      </c>
      <c r="AM45" s="112" t="s">
        <v>1066</v>
      </c>
      <c r="AN45" s="112" t="s">
        <v>1066</v>
      </c>
    </row>
    <row r="46" spans="1:40" ht="55.5" customHeight="1" x14ac:dyDescent="0.25">
      <c r="A46" s="111" t="s">
        <v>1312</v>
      </c>
      <c r="B46" s="112">
        <v>2026</v>
      </c>
      <c r="C46" s="112" t="s">
        <v>1089</v>
      </c>
      <c r="D46" s="113">
        <v>46028.453888888886</v>
      </c>
      <c r="E46" s="112">
        <v>7908709049</v>
      </c>
      <c r="F46" s="112" t="s">
        <v>380</v>
      </c>
      <c r="G46" s="112">
        <v>2</v>
      </c>
      <c r="H46" s="112">
        <v>7908709049</v>
      </c>
      <c r="I46" s="112" t="s">
        <v>1313</v>
      </c>
      <c r="J46" s="112" t="s">
        <v>1092</v>
      </c>
      <c r="K46" s="112" t="s">
        <v>1093</v>
      </c>
      <c r="L46" s="112" t="s">
        <v>1061</v>
      </c>
      <c r="M46" s="112" t="s">
        <v>478</v>
      </c>
      <c r="N46" s="113">
        <v>46428.453888888886</v>
      </c>
      <c r="O46" s="114">
        <v>19002295966</v>
      </c>
      <c r="P46" s="112">
        <v>357</v>
      </c>
      <c r="Q46" s="112" t="s">
        <v>1062</v>
      </c>
      <c r="R46" s="112" t="s">
        <v>1063</v>
      </c>
      <c r="S46" s="113">
        <v>46051.45208333333</v>
      </c>
      <c r="T46" s="112" t="s">
        <v>1314</v>
      </c>
      <c r="U46" s="112" t="s">
        <v>1065</v>
      </c>
      <c r="V46" s="112" t="s">
        <v>1066</v>
      </c>
      <c r="W46" s="112" t="s">
        <v>1066</v>
      </c>
      <c r="X46" s="112" t="s">
        <v>1066</v>
      </c>
      <c r="Y46" s="112" t="s">
        <v>1066</v>
      </c>
      <c r="Z46" s="112" t="s">
        <v>1066</v>
      </c>
      <c r="AA46" s="112" t="s">
        <v>1067</v>
      </c>
      <c r="AB46" s="112" t="s">
        <v>1066</v>
      </c>
      <c r="AC46" s="112" t="s">
        <v>92</v>
      </c>
      <c r="AD46" s="112" t="s">
        <v>1066</v>
      </c>
      <c r="AE46" s="112" t="s">
        <v>1066</v>
      </c>
      <c r="AF46" s="112" t="s">
        <v>1066</v>
      </c>
      <c r="AG46" s="112" t="s">
        <v>1066</v>
      </c>
      <c r="AH46" s="112" t="s">
        <v>1066</v>
      </c>
      <c r="AI46" s="112" t="s">
        <v>785</v>
      </c>
      <c r="AJ46" s="112">
        <v>8589631</v>
      </c>
      <c r="AK46" s="112" t="s">
        <v>64</v>
      </c>
      <c r="AL46" s="112">
        <v>998912</v>
      </c>
      <c r="AM46" s="112" t="s">
        <v>1066</v>
      </c>
      <c r="AN46" s="112" t="s">
        <v>1066</v>
      </c>
    </row>
    <row r="47" spans="1:40" ht="55.5" customHeight="1" x14ac:dyDescent="0.25">
      <c r="A47" s="115" t="s">
        <v>1315</v>
      </c>
      <c r="B47" s="116">
        <v>2026</v>
      </c>
      <c r="C47" s="116" t="s">
        <v>1316</v>
      </c>
      <c r="D47" s="118">
        <v>46103.910462962966</v>
      </c>
      <c r="E47" s="116">
        <v>7913348136</v>
      </c>
      <c r="F47" s="116" t="s">
        <v>95</v>
      </c>
      <c r="G47" s="116">
        <v>2</v>
      </c>
      <c r="H47" s="116">
        <v>7913348136</v>
      </c>
      <c r="I47" s="116" t="s">
        <v>1317</v>
      </c>
      <c r="J47" s="116" t="s">
        <v>1071</v>
      </c>
      <c r="K47" s="116" t="s">
        <v>1296</v>
      </c>
      <c r="L47" s="116" t="s">
        <v>1073</v>
      </c>
      <c r="M47" s="116" t="s">
        <v>588</v>
      </c>
      <c r="N47" s="118">
        <v>46128.426087962966</v>
      </c>
      <c r="O47" s="119">
        <v>19002205070</v>
      </c>
      <c r="P47" s="116">
        <v>183</v>
      </c>
      <c r="Q47" s="116" t="s">
        <v>1062</v>
      </c>
      <c r="R47" s="116" t="s">
        <v>1075</v>
      </c>
      <c r="S47" s="116" t="s">
        <v>1066</v>
      </c>
      <c r="T47" s="116" t="s">
        <v>1066</v>
      </c>
      <c r="U47" s="116" t="s">
        <v>1066</v>
      </c>
      <c r="V47" s="116" t="s">
        <v>1066</v>
      </c>
      <c r="W47" s="116" t="s">
        <v>1066</v>
      </c>
      <c r="X47" s="116" t="s">
        <v>983</v>
      </c>
      <c r="Y47" s="116" t="s">
        <v>1066</v>
      </c>
      <c r="Z47" s="116" t="s">
        <v>1318</v>
      </c>
      <c r="AA47" s="116" t="s">
        <v>1067</v>
      </c>
      <c r="AB47" s="116" t="s">
        <v>1066</v>
      </c>
      <c r="AC47" s="116" t="s">
        <v>92</v>
      </c>
      <c r="AD47" s="116" t="s">
        <v>1066</v>
      </c>
      <c r="AE47" s="116" t="s">
        <v>1066</v>
      </c>
      <c r="AF47" s="116" t="s">
        <v>1066</v>
      </c>
      <c r="AG47" s="116" t="s">
        <v>1066</v>
      </c>
      <c r="AH47" s="116" t="s">
        <v>1066</v>
      </c>
      <c r="AI47" s="116" t="s">
        <v>785</v>
      </c>
      <c r="AJ47" s="116">
        <v>9166611</v>
      </c>
      <c r="AK47" s="116" t="s">
        <v>1319</v>
      </c>
      <c r="AL47" s="116">
        <v>680682</v>
      </c>
      <c r="AM47" s="116" t="s">
        <v>1066</v>
      </c>
      <c r="AN47" s="116" t="s">
        <v>1066</v>
      </c>
    </row>
    <row r="48" spans="1:40" ht="55.5" customHeight="1" x14ac:dyDescent="0.25">
      <c r="A48" s="111" t="s">
        <v>1320</v>
      </c>
      <c r="B48" s="112">
        <v>2026</v>
      </c>
      <c r="C48" s="112" t="s">
        <v>1321</v>
      </c>
      <c r="D48" s="113">
        <v>46174.812731481485</v>
      </c>
      <c r="E48" s="112">
        <v>7900280041</v>
      </c>
      <c r="F48" s="112" t="s">
        <v>186</v>
      </c>
      <c r="G48" s="112">
        <v>2</v>
      </c>
      <c r="H48" s="112">
        <v>7900280041</v>
      </c>
      <c r="I48" s="112" t="s">
        <v>1322</v>
      </c>
      <c r="J48" s="112" t="s">
        <v>1071</v>
      </c>
      <c r="K48" s="112" t="s">
        <v>1323</v>
      </c>
      <c r="L48" s="112" t="s">
        <v>1073</v>
      </c>
      <c r="M48" s="112" t="s">
        <v>478</v>
      </c>
      <c r="N48" s="113">
        <v>46177.812731481485</v>
      </c>
      <c r="O48" s="114">
        <v>19002295933</v>
      </c>
      <c r="P48" s="112">
        <v>7</v>
      </c>
      <c r="Q48" s="112" t="s">
        <v>1062</v>
      </c>
      <c r="R48" s="112" t="s">
        <v>1324</v>
      </c>
      <c r="S48" s="113">
        <v>46190.608831018515</v>
      </c>
      <c r="T48" s="112" t="s">
        <v>1325</v>
      </c>
      <c r="U48" s="112" t="s">
        <v>1065</v>
      </c>
      <c r="V48" s="112" t="s">
        <v>1066</v>
      </c>
      <c r="W48" s="112" t="s">
        <v>1066</v>
      </c>
      <c r="X48" s="112" t="s">
        <v>1117</v>
      </c>
      <c r="Y48" s="112" t="s">
        <v>1066</v>
      </c>
      <c r="Z48" s="112" t="s">
        <v>1318</v>
      </c>
      <c r="AA48" s="112" t="s">
        <v>1067</v>
      </c>
      <c r="AB48" s="112" t="s">
        <v>1066</v>
      </c>
      <c r="AC48" s="112" t="s">
        <v>92</v>
      </c>
      <c r="AD48" s="112" t="s">
        <v>1066</v>
      </c>
      <c r="AE48" s="112" t="s">
        <v>1066</v>
      </c>
      <c r="AF48" s="112" t="s">
        <v>1066</v>
      </c>
      <c r="AG48" s="112" t="s">
        <v>1066</v>
      </c>
      <c r="AH48" s="112" t="s">
        <v>1066</v>
      </c>
      <c r="AI48" s="112" t="s">
        <v>785</v>
      </c>
      <c r="AJ48" s="112">
        <v>8771845</v>
      </c>
      <c r="AK48" s="112" t="s">
        <v>1326</v>
      </c>
      <c r="AL48" s="112">
        <v>727448</v>
      </c>
      <c r="AM48" s="112" t="s">
        <v>1066</v>
      </c>
      <c r="AN48" s="112" t="s">
        <v>1066</v>
      </c>
    </row>
    <row r="49" spans="1:40" ht="55.5" customHeight="1" x14ac:dyDescent="0.25">
      <c r="A49" s="111" t="s">
        <v>1327</v>
      </c>
      <c r="B49" s="112">
        <v>2026</v>
      </c>
      <c r="C49" s="112" t="s">
        <v>1328</v>
      </c>
      <c r="D49" s="113">
        <v>46212.670138888891</v>
      </c>
      <c r="E49" s="112">
        <v>9001857038</v>
      </c>
      <c r="F49" s="112" t="s">
        <v>674</v>
      </c>
      <c r="G49" s="112">
        <v>2</v>
      </c>
      <c r="H49" s="112">
        <v>5820790038</v>
      </c>
      <c r="I49" s="112" t="s">
        <v>1329</v>
      </c>
      <c r="J49" s="112" t="s">
        <v>1092</v>
      </c>
      <c r="K49" s="112" t="s">
        <v>1330</v>
      </c>
      <c r="L49" s="112" t="s">
        <v>1061</v>
      </c>
      <c r="M49" s="112" t="s">
        <v>478</v>
      </c>
      <c r="N49" s="113">
        <v>46612.670138888891</v>
      </c>
      <c r="O49" s="114">
        <v>19002759711</v>
      </c>
      <c r="P49" s="112">
        <v>34</v>
      </c>
      <c r="Q49" s="112" t="s">
        <v>1074</v>
      </c>
      <c r="R49" s="112" t="s">
        <v>1063</v>
      </c>
      <c r="S49" s="113">
        <v>46225.729178240741</v>
      </c>
      <c r="T49" s="112" t="s">
        <v>1331</v>
      </c>
      <c r="U49" s="112" t="s">
        <v>1065</v>
      </c>
      <c r="V49" s="112" t="s">
        <v>1066</v>
      </c>
      <c r="W49" s="112" t="s">
        <v>1066</v>
      </c>
      <c r="X49" s="112" t="s">
        <v>1332</v>
      </c>
      <c r="Y49" s="112" t="s">
        <v>1066</v>
      </c>
      <c r="Z49" s="112" t="s">
        <v>1066</v>
      </c>
      <c r="AA49" s="112" t="s">
        <v>1067</v>
      </c>
      <c r="AB49" s="112" t="s">
        <v>1066</v>
      </c>
      <c r="AC49" s="112" t="s">
        <v>92</v>
      </c>
      <c r="AD49" s="112" t="s">
        <v>1066</v>
      </c>
      <c r="AE49" s="112" t="s">
        <v>1066</v>
      </c>
      <c r="AF49" s="112" t="s">
        <v>1066</v>
      </c>
      <c r="AG49" s="112" t="s">
        <v>1066</v>
      </c>
      <c r="AH49" s="112" t="s">
        <v>1066</v>
      </c>
      <c r="AI49" s="112" t="s">
        <v>785</v>
      </c>
      <c r="AJ49" s="112">
        <v>8622227</v>
      </c>
      <c r="AK49" s="112" t="s">
        <v>627</v>
      </c>
      <c r="AL49" s="112">
        <v>996869</v>
      </c>
      <c r="AM49" s="112" t="s">
        <v>1066</v>
      </c>
      <c r="AN49" s="112" t="s">
        <v>1066</v>
      </c>
    </row>
    <row r="50" spans="1:40" ht="55.5" customHeight="1" x14ac:dyDescent="0.25">
      <c r="A50" s="120" t="s">
        <v>1333</v>
      </c>
      <c r="B50" s="121">
        <v>2026</v>
      </c>
      <c r="C50" s="121" t="s">
        <v>1334</v>
      </c>
      <c r="D50" s="122">
        <v>46037.716249999998</v>
      </c>
      <c r="E50" s="121">
        <v>7901151022</v>
      </c>
      <c r="F50" s="121" t="s">
        <v>79</v>
      </c>
      <c r="G50" s="121">
        <v>2</v>
      </c>
      <c r="H50" s="121">
        <v>7901151022</v>
      </c>
      <c r="I50" s="121" t="s">
        <v>1335</v>
      </c>
      <c r="J50" s="121" t="s">
        <v>1092</v>
      </c>
      <c r="K50" s="121" t="s">
        <v>1179</v>
      </c>
      <c r="L50" s="121" t="s">
        <v>1061</v>
      </c>
      <c r="M50" s="121" t="s">
        <v>1116</v>
      </c>
      <c r="N50" s="122">
        <v>46477.684351851851</v>
      </c>
      <c r="O50" s="123">
        <v>19002296001</v>
      </c>
      <c r="P50" s="121">
        <v>411</v>
      </c>
      <c r="Q50" s="121" t="s">
        <v>1062</v>
      </c>
      <c r="R50" s="121" t="s">
        <v>1063</v>
      </c>
      <c r="S50" s="122">
        <v>46077.68482638889</v>
      </c>
      <c r="T50" s="121" t="s">
        <v>1066</v>
      </c>
      <c r="U50" s="121" t="s">
        <v>1066</v>
      </c>
      <c r="V50" s="121" t="s">
        <v>1066</v>
      </c>
      <c r="W50" s="121" t="s">
        <v>1066</v>
      </c>
      <c r="X50" s="121" t="s">
        <v>1066</v>
      </c>
      <c r="Y50" s="121" t="s">
        <v>1066</v>
      </c>
      <c r="Z50" s="121" t="s">
        <v>1066</v>
      </c>
      <c r="AA50" s="121" t="s">
        <v>1067</v>
      </c>
      <c r="AB50" s="121" t="s">
        <v>1066</v>
      </c>
      <c r="AC50" s="121" t="s">
        <v>92</v>
      </c>
      <c r="AD50" s="121" t="s">
        <v>1066</v>
      </c>
      <c r="AE50" s="121" t="s">
        <v>1066</v>
      </c>
      <c r="AF50" s="121" t="s">
        <v>1066</v>
      </c>
      <c r="AG50" s="121" t="s">
        <v>1066</v>
      </c>
      <c r="AH50" s="121" t="s">
        <v>1336</v>
      </c>
      <c r="AI50" s="121" t="s">
        <v>785</v>
      </c>
      <c r="AJ50" s="121">
        <v>9194020</v>
      </c>
      <c r="AK50" s="121" t="s">
        <v>125</v>
      </c>
      <c r="AL50" s="121">
        <v>831996</v>
      </c>
      <c r="AM50" s="121" t="s">
        <v>1066</v>
      </c>
      <c r="AN50" s="121" t="s">
        <v>1066</v>
      </c>
    </row>
    <row r="51" spans="1:40" ht="55.5" customHeight="1" x14ac:dyDescent="0.25">
      <c r="A51" s="111" t="s">
        <v>1337</v>
      </c>
      <c r="B51" s="112">
        <v>2026</v>
      </c>
      <c r="C51" s="112" t="s">
        <v>1338</v>
      </c>
      <c r="D51" s="113">
        <v>46098.64434027778</v>
      </c>
      <c r="E51" s="112">
        <v>9000626055</v>
      </c>
      <c r="F51" s="112" t="s">
        <v>196</v>
      </c>
      <c r="G51" s="112">
        <v>3</v>
      </c>
      <c r="H51" s="112">
        <v>7900626055</v>
      </c>
      <c r="I51" s="112" t="s">
        <v>1339</v>
      </c>
      <c r="J51" s="112" t="s">
        <v>1082</v>
      </c>
      <c r="K51" s="112" t="s">
        <v>1083</v>
      </c>
      <c r="L51" s="112" t="s">
        <v>1084</v>
      </c>
      <c r="M51" s="112" t="s">
        <v>478</v>
      </c>
      <c r="N51" s="113">
        <v>46158.64434027778</v>
      </c>
      <c r="O51" s="114">
        <v>19000118125</v>
      </c>
      <c r="P51" s="112">
        <v>851</v>
      </c>
      <c r="Q51" s="112" t="s">
        <v>1131</v>
      </c>
      <c r="R51" s="112" t="s">
        <v>1085</v>
      </c>
      <c r="S51" s="113">
        <v>46106.706620370373</v>
      </c>
      <c r="T51" s="112" t="s">
        <v>1340</v>
      </c>
      <c r="U51" s="112" t="s">
        <v>1065</v>
      </c>
      <c r="V51" s="112" t="s">
        <v>1066</v>
      </c>
      <c r="W51" s="112" t="s">
        <v>1066</v>
      </c>
      <c r="X51" s="112" t="s">
        <v>983</v>
      </c>
      <c r="Y51" s="112" t="s">
        <v>1066</v>
      </c>
      <c r="Z51" s="112" t="s">
        <v>1066</v>
      </c>
      <c r="AA51" s="112" t="s">
        <v>1067</v>
      </c>
      <c r="AB51" s="112" t="s">
        <v>1066</v>
      </c>
      <c r="AC51" s="112" t="s">
        <v>92</v>
      </c>
      <c r="AD51" s="112" t="s">
        <v>1142</v>
      </c>
      <c r="AE51" s="112" t="s">
        <v>1066</v>
      </c>
      <c r="AF51" s="112" t="s">
        <v>1066</v>
      </c>
      <c r="AG51" s="112" t="s">
        <v>1066</v>
      </c>
      <c r="AH51" s="112" t="s">
        <v>1066</v>
      </c>
      <c r="AI51" s="112" t="s">
        <v>785</v>
      </c>
      <c r="AJ51" s="112">
        <v>9025395</v>
      </c>
      <c r="AK51" s="112" t="s">
        <v>482</v>
      </c>
      <c r="AL51" s="112">
        <v>659644</v>
      </c>
      <c r="AM51" s="112" t="s">
        <v>1066</v>
      </c>
      <c r="AN51" s="112" t="s">
        <v>1066</v>
      </c>
    </row>
    <row r="52" spans="1:40" ht="55.5" customHeight="1" x14ac:dyDescent="0.25">
      <c r="A52" s="111" t="s">
        <v>1341</v>
      </c>
      <c r="B52" s="112">
        <v>2026</v>
      </c>
      <c r="C52" s="112" t="s">
        <v>1057</v>
      </c>
      <c r="D52" s="113">
        <v>46125.584386574075</v>
      </c>
      <c r="E52" s="112">
        <v>7937104148</v>
      </c>
      <c r="F52" s="112" t="s">
        <v>52</v>
      </c>
      <c r="G52" s="112">
        <v>3</v>
      </c>
      <c r="H52" s="112">
        <v>7937104148</v>
      </c>
      <c r="I52" s="112" t="s">
        <v>1342</v>
      </c>
      <c r="J52" s="112" t="s">
        <v>1066</v>
      </c>
      <c r="K52" s="112" t="s">
        <v>1125</v>
      </c>
      <c r="L52" s="112" t="s">
        <v>1061</v>
      </c>
      <c r="M52" s="112" t="s">
        <v>478</v>
      </c>
      <c r="N52" s="113">
        <v>46525.584386574075</v>
      </c>
      <c r="O52" s="114">
        <v>19002204868</v>
      </c>
      <c r="P52" s="112">
        <v>44</v>
      </c>
      <c r="Q52" s="112" t="s">
        <v>1062</v>
      </c>
      <c r="R52" s="112" t="s">
        <v>1063</v>
      </c>
      <c r="S52" s="113">
        <v>46237.72934027778</v>
      </c>
      <c r="T52" s="112" t="s">
        <v>1343</v>
      </c>
      <c r="U52" s="112" t="s">
        <v>1065</v>
      </c>
      <c r="V52" s="112" t="s">
        <v>1066</v>
      </c>
      <c r="W52" s="112" t="s">
        <v>1066</v>
      </c>
      <c r="X52" s="112" t="s">
        <v>1066</v>
      </c>
      <c r="Y52" s="112" t="s">
        <v>1066</v>
      </c>
      <c r="Z52" s="112" t="s">
        <v>1066</v>
      </c>
      <c r="AA52" s="112" t="s">
        <v>1067</v>
      </c>
      <c r="AB52" s="112" t="s">
        <v>1066</v>
      </c>
      <c r="AC52" s="112" t="s">
        <v>92</v>
      </c>
      <c r="AD52" s="112" t="s">
        <v>1066</v>
      </c>
      <c r="AE52" s="112" t="s">
        <v>1066</v>
      </c>
      <c r="AF52" s="112" t="s">
        <v>1066</v>
      </c>
      <c r="AG52" s="112" t="s">
        <v>1066</v>
      </c>
      <c r="AH52" s="112" t="s">
        <v>1066</v>
      </c>
      <c r="AI52" s="112" t="s">
        <v>785</v>
      </c>
      <c r="AJ52" s="112">
        <v>8724438</v>
      </c>
      <c r="AK52" s="112" t="s">
        <v>1344</v>
      </c>
      <c r="AL52" s="112">
        <v>785615</v>
      </c>
      <c r="AM52" s="112" t="s">
        <v>1066</v>
      </c>
      <c r="AN52" s="112" t="s">
        <v>1066</v>
      </c>
    </row>
    <row r="53" spans="1:40" ht="55.5" customHeight="1" x14ac:dyDescent="0.25">
      <c r="A53" s="111" t="s">
        <v>1345</v>
      </c>
      <c r="B53" s="112">
        <v>2026</v>
      </c>
      <c r="C53" s="112" t="s">
        <v>1057</v>
      </c>
      <c r="D53" s="113">
        <v>46125.614548611113</v>
      </c>
      <c r="E53" s="112">
        <v>7921039031</v>
      </c>
      <c r="F53" s="112" t="s">
        <v>1346</v>
      </c>
      <c r="G53" s="112">
        <v>2</v>
      </c>
      <c r="H53" s="112">
        <v>7921039031</v>
      </c>
      <c r="I53" s="112" t="s">
        <v>1347</v>
      </c>
      <c r="J53" s="112" t="s">
        <v>1066</v>
      </c>
      <c r="K53" s="112" t="s">
        <v>1125</v>
      </c>
      <c r="L53" s="112" t="s">
        <v>1061</v>
      </c>
      <c r="M53" s="112" t="s">
        <v>478</v>
      </c>
      <c r="N53" s="113">
        <v>46525.614548611113</v>
      </c>
      <c r="O53" s="114">
        <v>19002774795</v>
      </c>
      <c r="P53" s="112">
        <v>628</v>
      </c>
      <c r="Q53" s="112" t="s">
        <v>1062</v>
      </c>
      <c r="R53" s="112" t="s">
        <v>1063</v>
      </c>
      <c r="S53" s="113">
        <v>46130.647222222222</v>
      </c>
      <c r="T53" s="112" t="s">
        <v>1348</v>
      </c>
      <c r="U53" s="112" t="s">
        <v>1065</v>
      </c>
      <c r="V53" s="112" t="s">
        <v>1066</v>
      </c>
      <c r="W53" s="112" t="s">
        <v>1066</v>
      </c>
      <c r="X53" s="112" t="s">
        <v>1066</v>
      </c>
      <c r="Y53" s="112" t="s">
        <v>1066</v>
      </c>
      <c r="Z53" s="112" t="s">
        <v>1066</v>
      </c>
      <c r="AA53" s="112" t="s">
        <v>1067</v>
      </c>
      <c r="AB53" s="112" t="s">
        <v>1066</v>
      </c>
      <c r="AC53" s="112" t="s">
        <v>92</v>
      </c>
      <c r="AD53" s="112" t="s">
        <v>1066</v>
      </c>
      <c r="AE53" s="112" t="s">
        <v>1066</v>
      </c>
      <c r="AF53" s="112" t="s">
        <v>1066</v>
      </c>
      <c r="AG53" s="112" t="s">
        <v>1066</v>
      </c>
      <c r="AH53" s="112" t="s">
        <v>1066</v>
      </c>
      <c r="AI53" s="112" t="s">
        <v>785</v>
      </c>
      <c r="AJ53" s="112">
        <v>8966876</v>
      </c>
      <c r="AK53" s="112" t="s">
        <v>502</v>
      </c>
      <c r="AL53" s="112">
        <v>770773</v>
      </c>
      <c r="AM53" s="112" t="s">
        <v>1066</v>
      </c>
      <c r="AN53" s="112" t="s">
        <v>1066</v>
      </c>
    </row>
    <row r="54" spans="1:40" ht="55.5" customHeight="1" x14ac:dyDescent="0.25">
      <c r="A54" s="111" t="s">
        <v>1349</v>
      </c>
      <c r="B54" s="112">
        <v>2026</v>
      </c>
      <c r="C54" s="112" t="s">
        <v>1350</v>
      </c>
      <c r="D54" s="113">
        <v>46098.506203703706</v>
      </c>
      <c r="E54" s="112">
        <v>9004997001</v>
      </c>
      <c r="F54" s="112" t="s">
        <v>1351</v>
      </c>
      <c r="G54" s="112">
        <v>1</v>
      </c>
      <c r="H54" s="112">
        <v>7931503001</v>
      </c>
      <c r="I54" s="112" t="s">
        <v>1352</v>
      </c>
      <c r="J54" s="112" t="s">
        <v>1071</v>
      </c>
      <c r="K54" s="112" t="s">
        <v>1353</v>
      </c>
      <c r="L54" s="112" t="s">
        <v>1073</v>
      </c>
      <c r="M54" s="112" t="s">
        <v>478</v>
      </c>
      <c r="N54" s="113">
        <v>46101.506203703706</v>
      </c>
      <c r="O54" s="114">
        <v>19001281589</v>
      </c>
      <c r="P54" s="112">
        <v>0</v>
      </c>
      <c r="Q54" s="112" t="s">
        <v>1131</v>
      </c>
      <c r="R54" s="112" t="s">
        <v>1075</v>
      </c>
      <c r="S54" s="113">
        <v>46108.612962962965</v>
      </c>
      <c r="T54" s="112" t="s">
        <v>1354</v>
      </c>
      <c r="U54" s="112" t="s">
        <v>1065</v>
      </c>
      <c r="V54" s="112" t="s">
        <v>1066</v>
      </c>
      <c r="W54" s="112" t="s">
        <v>1066</v>
      </c>
      <c r="X54" s="112" t="s">
        <v>983</v>
      </c>
      <c r="Y54" s="112" t="s">
        <v>1066</v>
      </c>
      <c r="Z54" s="112" t="s">
        <v>1101</v>
      </c>
      <c r="AA54" s="112" t="s">
        <v>1067</v>
      </c>
      <c r="AB54" s="112" t="s">
        <v>1066</v>
      </c>
      <c r="AC54" s="112" t="s">
        <v>92</v>
      </c>
      <c r="AD54" s="112" t="s">
        <v>1142</v>
      </c>
      <c r="AE54" s="112" t="s">
        <v>1066</v>
      </c>
      <c r="AF54" s="112" t="s">
        <v>1066</v>
      </c>
      <c r="AG54" s="112" t="s">
        <v>1066</v>
      </c>
      <c r="AH54" s="112" t="s">
        <v>1066</v>
      </c>
      <c r="AI54" s="112" t="s">
        <v>785</v>
      </c>
      <c r="AJ54" s="112">
        <v>8869468</v>
      </c>
      <c r="AK54" s="112" t="s">
        <v>50</v>
      </c>
      <c r="AL54" s="112">
        <v>777761</v>
      </c>
      <c r="AM54" s="112" t="s">
        <v>1066</v>
      </c>
      <c r="AN54" s="112" t="s">
        <v>1066</v>
      </c>
    </row>
    <row r="55" spans="1:40" ht="55.5" customHeight="1" x14ac:dyDescent="0.25">
      <c r="A55" s="115" t="s">
        <v>1355</v>
      </c>
      <c r="B55" s="116">
        <v>2026</v>
      </c>
      <c r="C55" s="116" t="s">
        <v>1356</v>
      </c>
      <c r="D55" s="118">
        <v>46078.447650462964</v>
      </c>
      <c r="E55" s="116">
        <v>8801059073</v>
      </c>
      <c r="F55" s="116" t="s">
        <v>335</v>
      </c>
      <c r="G55" s="116">
        <v>2</v>
      </c>
      <c r="H55" s="116">
        <v>7919270014</v>
      </c>
      <c r="I55" s="116" t="s">
        <v>1357</v>
      </c>
      <c r="J55" s="116" t="s">
        <v>1231</v>
      </c>
      <c r="K55" s="116" t="s">
        <v>1232</v>
      </c>
      <c r="L55" s="116" t="s">
        <v>1084</v>
      </c>
      <c r="M55" s="116" t="s">
        <v>588</v>
      </c>
      <c r="N55" s="118">
        <v>46189.383113425924</v>
      </c>
      <c r="O55" s="119">
        <v>19001184126</v>
      </c>
      <c r="P55" s="116">
        <v>52</v>
      </c>
      <c r="Q55" s="116" t="s">
        <v>1131</v>
      </c>
      <c r="R55" s="116" t="s">
        <v>1206</v>
      </c>
      <c r="S55" s="116" t="s">
        <v>1066</v>
      </c>
      <c r="T55" s="116" t="s">
        <v>1066</v>
      </c>
      <c r="U55" s="116" t="s">
        <v>1066</v>
      </c>
      <c r="V55" s="116" t="s">
        <v>1066</v>
      </c>
      <c r="W55" s="116" t="s">
        <v>1066</v>
      </c>
      <c r="X55" s="116" t="s">
        <v>983</v>
      </c>
      <c r="Y55" s="116" t="s">
        <v>1066</v>
      </c>
      <c r="Z55" s="116" t="s">
        <v>1066</v>
      </c>
      <c r="AA55" s="116" t="s">
        <v>1067</v>
      </c>
      <c r="AB55" s="116" t="s">
        <v>1066</v>
      </c>
      <c r="AC55" s="116" t="s">
        <v>92</v>
      </c>
      <c r="AD55" s="116" t="s">
        <v>1142</v>
      </c>
      <c r="AE55" s="116" t="s">
        <v>1066</v>
      </c>
      <c r="AF55" s="116" t="s">
        <v>1066</v>
      </c>
      <c r="AG55" s="116" t="s">
        <v>1066</v>
      </c>
      <c r="AH55" s="116" t="s">
        <v>1358</v>
      </c>
      <c r="AI55" s="116" t="s">
        <v>785</v>
      </c>
      <c r="AJ55" s="116">
        <v>8830790</v>
      </c>
      <c r="AK55" s="116" t="s">
        <v>1166</v>
      </c>
      <c r="AL55" s="116">
        <v>617420</v>
      </c>
      <c r="AM55" s="116" t="s">
        <v>1066</v>
      </c>
      <c r="AN55" s="116" t="s">
        <v>1066</v>
      </c>
    </row>
    <row r="56" spans="1:40" ht="55.5" customHeight="1" x14ac:dyDescent="0.25">
      <c r="A56" s="115" t="s">
        <v>1359</v>
      </c>
      <c r="B56" s="116">
        <v>2026</v>
      </c>
      <c r="C56" s="116" t="s">
        <v>1360</v>
      </c>
      <c r="D56" s="118">
        <v>46154.50576388889</v>
      </c>
      <c r="E56" s="116">
        <v>8851731028</v>
      </c>
      <c r="F56" s="116" t="s">
        <v>43</v>
      </c>
      <c r="G56" s="116">
        <v>2</v>
      </c>
      <c r="H56" s="116">
        <v>7955635116</v>
      </c>
      <c r="I56" s="116" t="s">
        <v>1361</v>
      </c>
      <c r="J56" s="116" t="s">
        <v>1071</v>
      </c>
      <c r="K56" s="116" t="s">
        <v>1145</v>
      </c>
      <c r="L56" s="116" t="s">
        <v>1073</v>
      </c>
      <c r="M56" s="116" t="s">
        <v>588</v>
      </c>
      <c r="N56" s="118">
        <v>46177.604756944442</v>
      </c>
      <c r="O56" s="119">
        <v>19002745794</v>
      </c>
      <c r="P56" s="116">
        <v>112</v>
      </c>
      <c r="Q56" s="116" t="s">
        <v>1131</v>
      </c>
      <c r="R56" s="116" t="s">
        <v>1075</v>
      </c>
      <c r="S56" s="116" t="s">
        <v>1066</v>
      </c>
      <c r="T56" s="116" t="s">
        <v>1066</v>
      </c>
      <c r="U56" s="116" t="s">
        <v>1066</v>
      </c>
      <c r="V56" s="116" t="s">
        <v>1066</v>
      </c>
      <c r="W56" s="116" t="s">
        <v>1066</v>
      </c>
      <c r="X56" s="116" t="s">
        <v>983</v>
      </c>
      <c r="Y56" s="116" t="s">
        <v>1066</v>
      </c>
      <c r="Z56" s="116" t="s">
        <v>1148</v>
      </c>
      <c r="AA56" s="116" t="s">
        <v>1067</v>
      </c>
      <c r="AB56" s="116" t="s">
        <v>1066</v>
      </c>
      <c r="AC56" s="116" t="s">
        <v>92</v>
      </c>
      <c r="AD56" s="116" t="s">
        <v>1066</v>
      </c>
      <c r="AE56" s="116" t="s">
        <v>1066</v>
      </c>
      <c r="AF56" s="116" t="s">
        <v>1066</v>
      </c>
      <c r="AG56" s="116" t="s">
        <v>1066</v>
      </c>
      <c r="AH56" s="116" t="s">
        <v>1066</v>
      </c>
      <c r="AI56" s="116" t="s">
        <v>785</v>
      </c>
      <c r="AJ56" s="116">
        <v>8710833</v>
      </c>
      <c r="AK56" s="116" t="s">
        <v>215</v>
      </c>
      <c r="AL56" s="116">
        <v>859258</v>
      </c>
      <c r="AM56" s="116" t="s">
        <v>1066</v>
      </c>
      <c r="AN56" s="116" t="s">
        <v>1066</v>
      </c>
    </row>
    <row r="57" spans="1:40" ht="55.5" customHeight="1" x14ac:dyDescent="0.25">
      <c r="A57" s="111" t="s">
        <v>1362</v>
      </c>
      <c r="B57" s="112">
        <v>2026</v>
      </c>
      <c r="C57" s="112" t="s">
        <v>1057</v>
      </c>
      <c r="D57" s="113">
        <v>46125.614548611113</v>
      </c>
      <c r="E57" s="112">
        <v>7900626055</v>
      </c>
      <c r="F57" s="112" t="s">
        <v>196</v>
      </c>
      <c r="G57" s="112">
        <v>3</v>
      </c>
      <c r="H57" s="112">
        <v>7900626055</v>
      </c>
      <c r="I57" s="112" t="s">
        <v>1363</v>
      </c>
      <c r="J57" s="112" t="s">
        <v>1066</v>
      </c>
      <c r="K57" s="112" t="s">
        <v>1125</v>
      </c>
      <c r="L57" s="112" t="s">
        <v>1061</v>
      </c>
      <c r="M57" s="112" t="s">
        <v>478</v>
      </c>
      <c r="N57" s="113">
        <v>46525.614548611113</v>
      </c>
      <c r="O57" s="114">
        <v>19002260076</v>
      </c>
      <c r="P57" s="112">
        <v>851</v>
      </c>
      <c r="Q57" s="112" t="s">
        <v>1062</v>
      </c>
      <c r="R57" s="112" t="s">
        <v>1063</v>
      </c>
      <c r="S57" s="113">
        <v>46174.3125</v>
      </c>
      <c r="T57" s="112" t="s">
        <v>1307</v>
      </c>
      <c r="U57" s="112" t="s">
        <v>1065</v>
      </c>
      <c r="V57" s="112" t="s">
        <v>1066</v>
      </c>
      <c r="W57" s="112" t="s">
        <v>1066</v>
      </c>
      <c r="X57" s="112" t="s">
        <v>1066</v>
      </c>
      <c r="Y57" s="112" t="s">
        <v>1066</v>
      </c>
      <c r="Z57" s="112" t="s">
        <v>1066</v>
      </c>
      <c r="AA57" s="112" t="s">
        <v>1067</v>
      </c>
      <c r="AB57" s="112" t="s">
        <v>1066</v>
      </c>
      <c r="AC57" s="112" t="s">
        <v>92</v>
      </c>
      <c r="AD57" s="112" t="s">
        <v>1066</v>
      </c>
      <c r="AE57" s="112" t="s">
        <v>1066</v>
      </c>
      <c r="AF57" s="112" t="s">
        <v>1066</v>
      </c>
      <c r="AG57" s="112" t="s">
        <v>1066</v>
      </c>
      <c r="AH57" s="112" t="s">
        <v>1066</v>
      </c>
      <c r="AI57" s="112" t="s">
        <v>785</v>
      </c>
      <c r="AJ57" s="112">
        <v>9025395</v>
      </c>
      <c r="AK57" s="112" t="s">
        <v>482</v>
      </c>
      <c r="AL57" s="112">
        <v>659644</v>
      </c>
      <c r="AM57" s="112" t="s">
        <v>1066</v>
      </c>
      <c r="AN57" s="112" t="s">
        <v>1066</v>
      </c>
    </row>
    <row r="58" spans="1:40" ht="55.5" customHeight="1" x14ac:dyDescent="0.25">
      <c r="A58" s="124" t="s">
        <v>1364</v>
      </c>
      <c r="B58" s="125">
        <v>2026</v>
      </c>
      <c r="C58" s="125" t="s">
        <v>1365</v>
      </c>
      <c r="D58" s="126">
        <v>46244.428043981483</v>
      </c>
      <c r="E58" s="125">
        <v>301432122</v>
      </c>
      <c r="F58" s="125" t="s">
        <v>412</v>
      </c>
      <c r="G58" s="125">
        <v>3</v>
      </c>
      <c r="H58" s="125">
        <v>307588122</v>
      </c>
      <c r="I58" s="125" t="s">
        <v>1366</v>
      </c>
      <c r="J58" s="125" t="s">
        <v>1157</v>
      </c>
      <c r="K58" s="125" t="s">
        <v>1158</v>
      </c>
      <c r="L58" s="125" t="s">
        <v>1084</v>
      </c>
      <c r="M58" s="125" t="s">
        <v>510</v>
      </c>
      <c r="N58" s="126">
        <v>46304.428043981483</v>
      </c>
      <c r="O58" s="127">
        <v>19000092438</v>
      </c>
      <c r="P58" s="125">
        <v>241</v>
      </c>
      <c r="Q58" s="125" t="s">
        <v>1367</v>
      </c>
      <c r="R58" s="125" t="s">
        <v>1368</v>
      </c>
      <c r="S58" s="125" t="s">
        <v>1066</v>
      </c>
      <c r="T58" s="125" t="s">
        <v>1066</v>
      </c>
      <c r="U58" s="125" t="s">
        <v>1066</v>
      </c>
      <c r="V58" s="125" t="s">
        <v>1066</v>
      </c>
      <c r="W58" s="125" t="s">
        <v>1066</v>
      </c>
      <c r="X58" s="125" t="s">
        <v>1369</v>
      </c>
      <c r="Y58" s="125" t="s">
        <v>1066</v>
      </c>
      <c r="Z58" s="125" t="s">
        <v>1370</v>
      </c>
      <c r="AA58" s="125" t="s">
        <v>1067</v>
      </c>
      <c r="AB58" s="125" t="s">
        <v>1066</v>
      </c>
      <c r="AC58" s="125" t="s">
        <v>92</v>
      </c>
      <c r="AD58" s="125" t="s">
        <v>1142</v>
      </c>
      <c r="AE58" s="125" t="s">
        <v>1066</v>
      </c>
      <c r="AF58" s="125" t="s">
        <v>1066</v>
      </c>
      <c r="AG58" s="125" t="s">
        <v>1066</v>
      </c>
      <c r="AH58" s="125" t="s">
        <v>1066</v>
      </c>
      <c r="AI58" s="125" t="s">
        <v>785</v>
      </c>
      <c r="AJ58" s="125">
        <v>8877091</v>
      </c>
      <c r="AK58" s="125" t="s">
        <v>264</v>
      </c>
      <c r="AL58" s="125">
        <v>793273</v>
      </c>
      <c r="AM58" s="125" t="s">
        <v>1066</v>
      </c>
      <c r="AN58" s="125" t="s">
        <v>1066</v>
      </c>
    </row>
    <row r="59" spans="1:40" ht="55.5" customHeight="1" x14ac:dyDescent="0.25">
      <c r="A59" s="111" t="s">
        <v>1371</v>
      </c>
      <c r="B59" s="112">
        <v>2026</v>
      </c>
      <c r="C59" s="112" t="s">
        <v>1089</v>
      </c>
      <c r="D59" s="113">
        <v>46028.41065972222</v>
      </c>
      <c r="E59" s="112">
        <v>7908683122</v>
      </c>
      <c r="F59" s="112" t="s">
        <v>1372</v>
      </c>
      <c r="G59" s="112">
        <v>1</v>
      </c>
      <c r="H59" s="112">
        <v>7908683122</v>
      </c>
      <c r="I59" s="112" t="s">
        <v>1373</v>
      </c>
      <c r="J59" s="112" t="s">
        <v>1092</v>
      </c>
      <c r="K59" s="112" t="s">
        <v>1093</v>
      </c>
      <c r="L59" s="112" t="s">
        <v>1061</v>
      </c>
      <c r="M59" s="112" t="s">
        <v>478</v>
      </c>
      <c r="N59" s="113">
        <v>46428.41065972222</v>
      </c>
      <c r="O59" s="114">
        <v>19002607560</v>
      </c>
      <c r="P59" s="112">
        <v>2.8130000000000002</v>
      </c>
      <c r="Q59" s="112" t="s">
        <v>1062</v>
      </c>
      <c r="R59" s="112" t="s">
        <v>1063</v>
      </c>
      <c r="S59" s="113">
        <v>46043.73096064815</v>
      </c>
      <c r="T59" s="112" t="s">
        <v>1374</v>
      </c>
      <c r="U59" s="112" t="s">
        <v>1065</v>
      </c>
      <c r="V59" s="112" t="s">
        <v>1066</v>
      </c>
      <c r="W59" s="112" t="s">
        <v>1066</v>
      </c>
      <c r="X59" s="112" t="s">
        <v>1066</v>
      </c>
      <c r="Y59" s="112" t="s">
        <v>1066</v>
      </c>
      <c r="Z59" s="112" t="s">
        <v>1066</v>
      </c>
      <c r="AA59" s="112" t="s">
        <v>1067</v>
      </c>
      <c r="AB59" s="112" t="s">
        <v>1066</v>
      </c>
      <c r="AC59" s="112" t="s">
        <v>92</v>
      </c>
      <c r="AD59" s="112" t="s">
        <v>1066</v>
      </c>
      <c r="AE59" s="112" t="s">
        <v>1066</v>
      </c>
      <c r="AF59" s="112" t="s">
        <v>1066</v>
      </c>
      <c r="AG59" s="112" t="s">
        <v>1066</v>
      </c>
      <c r="AH59" s="112" t="s">
        <v>1066</v>
      </c>
      <c r="AI59" s="112" t="s">
        <v>785</v>
      </c>
      <c r="AJ59" s="112">
        <v>8875807</v>
      </c>
      <c r="AK59" s="112" t="s">
        <v>264</v>
      </c>
      <c r="AL59" s="112">
        <v>795114</v>
      </c>
      <c r="AM59" s="112" t="s">
        <v>1066</v>
      </c>
      <c r="AN59" s="112" t="s">
        <v>1066</v>
      </c>
    </row>
    <row r="60" spans="1:40" ht="55.5" customHeight="1" x14ac:dyDescent="0.25">
      <c r="A60" s="111" t="s">
        <v>1375</v>
      </c>
      <c r="B60" s="112">
        <v>2026</v>
      </c>
      <c r="C60" s="112" t="s">
        <v>1376</v>
      </c>
      <c r="D60" s="113">
        <v>46030.621736111112</v>
      </c>
      <c r="E60" s="112">
        <v>7956040101</v>
      </c>
      <c r="F60" s="112" t="s">
        <v>1377</v>
      </c>
      <c r="G60" s="112">
        <v>2</v>
      </c>
      <c r="H60" s="112">
        <v>7956040101</v>
      </c>
      <c r="I60" s="112" t="s">
        <v>1378</v>
      </c>
      <c r="J60" s="112" t="s">
        <v>1071</v>
      </c>
      <c r="K60" s="112" t="s">
        <v>1379</v>
      </c>
      <c r="L60" s="112" t="s">
        <v>1073</v>
      </c>
      <c r="M60" s="112" t="s">
        <v>478</v>
      </c>
      <c r="N60" s="113">
        <v>46033.621736111112</v>
      </c>
      <c r="O60" s="114">
        <v>19002744446</v>
      </c>
      <c r="P60" s="112">
        <v>88</v>
      </c>
      <c r="Q60" s="112" t="s">
        <v>1062</v>
      </c>
      <c r="R60" s="112" t="s">
        <v>1075</v>
      </c>
      <c r="S60" s="113">
        <v>46059.361898148149</v>
      </c>
      <c r="T60" s="112" t="s">
        <v>1380</v>
      </c>
      <c r="U60" s="112" t="s">
        <v>1065</v>
      </c>
      <c r="V60" s="112" t="s">
        <v>1066</v>
      </c>
      <c r="W60" s="112" t="s">
        <v>1066</v>
      </c>
      <c r="X60" s="112" t="s">
        <v>1066</v>
      </c>
      <c r="Y60" s="112" t="s">
        <v>1066</v>
      </c>
      <c r="Z60" s="112" t="s">
        <v>1066</v>
      </c>
      <c r="AA60" s="112" t="s">
        <v>1067</v>
      </c>
      <c r="AB60" s="112" t="s">
        <v>1066</v>
      </c>
      <c r="AC60" s="112" t="s">
        <v>92</v>
      </c>
      <c r="AD60" s="112" t="s">
        <v>1066</v>
      </c>
      <c r="AE60" s="112" t="s">
        <v>1066</v>
      </c>
      <c r="AF60" s="112" t="s">
        <v>1066</v>
      </c>
      <c r="AG60" s="112" t="s">
        <v>1066</v>
      </c>
      <c r="AH60" s="112" t="s">
        <v>1066</v>
      </c>
      <c r="AI60" s="112" t="s">
        <v>785</v>
      </c>
      <c r="AJ60" s="112">
        <v>8732591</v>
      </c>
      <c r="AK60" s="112" t="s">
        <v>1381</v>
      </c>
      <c r="AL60" s="112">
        <v>929415</v>
      </c>
      <c r="AM60" s="112" t="s">
        <v>1066</v>
      </c>
      <c r="AN60" s="112" t="s">
        <v>1066</v>
      </c>
    </row>
    <row r="61" spans="1:40" ht="55.5" customHeight="1" x14ac:dyDescent="0.25">
      <c r="A61" s="111" t="s">
        <v>1382</v>
      </c>
      <c r="B61" s="112">
        <v>2026</v>
      </c>
      <c r="C61" s="112" t="s">
        <v>1057</v>
      </c>
      <c r="D61" s="113">
        <v>46125.614548611113</v>
      </c>
      <c r="E61" s="112">
        <v>7901104084</v>
      </c>
      <c r="F61" s="112" t="s">
        <v>153</v>
      </c>
      <c r="G61" s="112">
        <v>2</v>
      </c>
      <c r="H61" s="112">
        <v>7901104084</v>
      </c>
      <c r="I61" s="112" t="s">
        <v>1383</v>
      </c>
      <c r="J61" s="112" t="s">
        <v>1066</v>
      </c>
      <c r="K61" s="112" t="s">
        <v>1125</v>
      </c>
      <c r="L61" s="112" t="s">
        <v>1061</v>
      </c>
      <c r="M61" s="112" t="s">
        <v>478</v>
      </c>
      <c r="N61" s="113">
        <v>46525.614548611113</v>
      </c>
      <c r="O61" s="114">
        <v>19002259185</v>
      </c>
      <c r="P61" s="112">
        <v>445</v>
      </c>
      <c r="Q61" s="112" t="s">
        <v>1062</v>
      </c>
      <c r="R61" s="112" t="s">
        <v>1063</v>
      </c>
      <c r="S61" s="113">
        <v>46206.641793981478</v>
      </c>
      <c r="T61" s="112" t="s">
        <v>1384</v>
      </c>
      <c r="U61" s="112" t="s">
        <v>1065</v>
      </c>
      <c r="V61" s="112" t="s">
        <v>1066</v>
      </c>
      <c r="W61" s="112" t="s">
        <v>1066</v>
      </c>
      <c r="X61" s="112" t="s">
        <v>1066</v>
      </c>
      <c r="Y61" s="112" t="s">
        <v>1066</v>
      </c>
      <c r="Z61" s="112" t="s">
        <v>1066</v>
      </c>
      <c r="AA61" s="112" t="s">
        <v>1067</v>
      </c>
      <c r="AB61" s="112" t="s">
        <v>1066</v>
      </c>
      <c r="AC61" s="112" t="s">
        <v>92</v>
      </c>
      <c r="AD61" s="112" t="s">
        <v>1066</v>
      </c>
      <c r="AE61" s="112" t="s">
        <v>1066</v>
      </c>
      <c r="AF61" s="112" t="s">
        <v>1066</v>
      </c>
      <c r="AG61" s="112" t="s">
        <v>1066</v>
      </c>
      <c r="AH61" s="112" t="s">
        <v>1066</v>
      </c>
      <c r="AI61" s="112" t="s">
        <v>785</v>
      </c>
      <c r="AJ61" s="112">
        <v>8916960</v>
      </c>
      <c r="AK61" s="112" t="s">
        <v>1311</v>
      </c>
      <c r="AL61" s="112">
        <v>695654</v>
      </c>
      <c r="AM61" s="112" t="s">
        <v>1066</v>
      </c>
      <c r="AN61" s="112" t="s">
        <v>1066</v>
      </c>
    </row>
    <row r="62" spans="1:40" ht="55.5" customHeight="1" x14ac:dyDescent="0.25">
      <c r="A62" s="111" t="s">
        <v>622</v>
      </c>
      <c r="B62" s="112">
        <v>2026</v>
      </c>
      <c r="C62" s="112" t="s">
        <v>623</v>
      </c>
      <c r="D62" s="113">
        <v>46179.879733796297</v>
      </c>
      <c r="E62" s="112">
        <v>8800373026</v>
      </c>
      <c r="F62" s="112" t="s">
        <v>136</v>
      </c>
      <c r="G62" s="112">
        <v>2</v>
      </c>
      <c r="H62" s="112">
        <v>7953570026</v>
      </c>
      <c r="I62" s="112" t="s">
        <v>1385</v>
      </c>
      <c r="J62" s="112" t="s">
        <v>1071</v>
      </c>
      <c r="K62" s="112" t="s">
        <v>1296</v>
      </c>
      <c r="L62" s="112" t="s">
        <v>1073</v>
      </c>
      <c r="M62" s="112" t="s">
        <v>478</v>
      </c>
      <c r="N62" s="113">
        <v>46182.879733796297</v>
      </c>
      <c r="O62" s="114">
        <v>19002751392</v>
      </c>
      <c r="P62" s="112">
        <v>2.7280000000000002</v>
      </c>
      <c r="Q62" s="112" t="s">
        <v>1131</v>
      </c>
      <c r="R62" s="112" t="s">
        <v>1075</v>
      </c>
      <c r="S62" s="113">
        <v>46192.726469907408</v>
      </c>
      <c r="T62" s="112" t="s">
        <v>1386</v>
      </c>
      <c r="U62" s="112" t="s">
        <v>1065</v>
      </c>
      <c r="V62" s="112" t="s">
        <v>1066</v>
      </c>
      <c r="W62" s="112" t="s">
        <v>1066</v>
      </c>
      <c r="X62" s="112" t="s">
        <v>983</v>
      </c>
      <c r="Y62" s="112" t="s">
        <v>1066</v>
      </c>
      <c r="Z62" s="112" t="s">
        <v>1148</v>
      </c>
      <c r="AA62" s="112" t="s">
        <v>1067</v>
      </c>
      <c r="AB62" s="112" t="s">
        <v>1066</v>
      </c>
      <c r="AC62" s="112" t="s">
        <v>92</v>
      </c>
      <c r="AD62" s="112" t="s">
        <v>1066</v>
      </c>
      <c r="AE62" s="112" t="s">
        <v>1066</v>
      </c>
      <c r="AF62" s="112" t="s">
        <v>1066</v>
      </c>
      <c r="AG62" s="112" t="s">
        <v>1066</v>
      </c>
      <c r="AH62" s="112" t="s">
        <v>1066</v>
      </c>
      <c r="AI62" s="112" t="s">
        <v>785</v>
      </c>
      <c r="AJ62" s="112">
        <v>8809597</v>
      </c>
      <c r="AK62" s="112" t="s">
        <v>792</v>
      </c>
      <c r="AL62" s="112">
        <v>879338</v>
      </c>
      <c r="AM62" s="112" t="s">
        <v>1066</v>
      </c>
      <c r="AN62" s="112" t="s">
        <v>1066</v>
      </c>
    </row>
    <row r="63" spans="1:40" ht="55.5" customHeight="1" x14ac:dyDescent="0.25">
      <c r="A63" s="120" t="s">
        <v>1387</v>
      </c>
      <c r="B63" s="121">
        <v>2026</v>
      </c>
      <c r="C63" s="121" t="s">
        <v>1210</v>
      </c>
      <c r="D63" s="122">
        <v>46114.608900462961</v>
      </c>
      <c r="E63" s="121">
        <v>7949808058</v>
      </c>
      <c r="F63" s="121" t="s">
        <v>95</v>
      </c>
      <c r="G63" s="121">
        <v>3</v>
      </c>
      <c r="H63" s="121">
        <v>7949808058</v>
      </c>
      <c r="I63" s="121" t="s">
        <v>1388</v>
      </c>
      <c r="J63" s="121" t="s">
        <v>1066</v>
      </c>
      <c r="K63" s="121" t="s">
        <v>1125</v>
      </c>
      <c r="L63" s="121" t="s">
        <v>1061</v>
      </c>
      <c r="M63" s="121" t="s">
        <v>1116</v>
      </c>
      <c r="N63" s="122">
        <v>46514.608900462961</v>
      </c>
      <c r="O63" s="123">
        <v>19002619751</v>
      </c>
      <c r="P63" s="121">
        <v>0</v>
      </c>
      <c r="Q63" s="121" t="s">
        <v>1062</v>
      </c>
      <c r="R63" s="121" t="s">
        <v>1063</v>
      </c>
      <c r="S63" s="122">
        <v>46240.482199074075</v>
      </c>
      <c r="T63" s="121" t="s">
        <v>1066</v>
      </c>
      <c r="U63" s="121" t="s">
        <v>1066</v>
      </c>
      <c r="V63" s="121" t="s">
        <v>1066</v>
      </c>
      <c r="W63" s="121" t="s">
        <v>1066</v>
      </c>
      <c r="X63" s="121" t="s">
        <v>1066</v>
      </c>
      <c r="Y63" s="121" t="s">
        <v>1066</v>
      </c>
      <c r="Z63" s="121" t="s">
        <v>1066</v>
      </c>
      <c r="AA63" s="121" t="s">
        <v>1067</v>
      </c>
      <c r="AB63" s="121" t="s">
        <v>1066</v>
      </c>
      <c r="AC63" s="121" t="s">
        <v>92</v>
      </c>
      <c r="AD63" s="121" t="s">
        <v>1066</v>
      </c>
      <c r="AE63" s="121" t="s">
        <v>1066</v>
      </c>
      <c r="AF63" s="121" t="s">
        <v>1066</v>
      </c>
      <c r="AG63" s="121" t="s">
        <v>1066</v>
      </c>
      <c r="AH63" s="121" t="s">
        <v>1066</v>
      </c>
      <c r="AI63" s="121" t="s">
        <v>785</v>
      </c>
      <c r="AJ63" s="121">
        <v>9203805</v>
      </c>
      <c r="AK63" s="121" t="s">
        <v>283</v>
      </c>
      <c r="AL63" s="121">
        <v>717238</v>
      </c>
      <c r="AM63" s="121" t="s">
        <v>1066</v>
      </c>
      <c r="AN63" s="121" t="s">
        <v>1066</v>
      </c>
    </row>
    <row r="64" spans="1:40" ht="55.5" customHeight="1" x14ac:dyDescent="0.25">
      <c r="A64" s="111" t="s">
        <v>1389</v>
      </c>
      <c r="B64" s="112">
        <v>2026</v>
      </c>
      <c r="C64" s="112" t="s">
        <v>1390</v>
      </c>
      <c r="D64" s="113">
        <v>46175.582037037035</v>
      </c>
      <c r="E64" s="112">
        <v>9000629002</v>
      </c>
      <c r="F64" s="112" t="s">
        <v>429</v>
      </c>
      <c r="G64" s="112">
        <v>2</v>
      </c>
      <c r="H64" s="112">
        <v>7934698002</v>
      </c>
      <c r="I64" s="112" t="s">
        <v>1391</v>
      </c>
      <c r="J64" s="112" t="s">
        <v>1092</v>
      </c>
      <c r="K64" s="112" t="s">
        <v>1392</v>
      </c>
      <c r="L64" s="112" t="s">
        <v>1084</v>
      </c>
      <c r="M64" s="112" t="s">
        <v>478</v>
      </c>
      <c r="N64" s="113">
        <v>46235.582037037035</v>
      </c>
      <c r="O64" s="114">
        <v>19001303971</v>
      </c>
      <c r="P64" s="112">
        <v>124</v>
      </c>
      <c r="Q64" s="112" t="s">
        <v>1131</v>
      </c>
      <c r="R64" s="112" t="s">
        <v>1206</v>
      </c>
      <c r="S64" s="113">
        <v>46183.73096064815</v>
      </c>
      <c r="T64" s="112" t="s">
        <v>1393</v>
      </c>
      <c r="U64" s="112" t="s">
        <v>1065</v>
      </c>
      <c r="V64" s="112" t="s">
        <v>1066</v>
      </c>
      <c r="W64" s="112" t="s">
        <v>1066</v>
      </c>
      <c r="X64" s="112" t="s">
        <v>1394</v>
      </c>
      <c r="Y64" s="112" t="s">
        <v>1066</v>
      </c>
      <c r="Z64" s="112" t="s">
        <v>1066</v>
      </c>
      <c r="AA64" s="112" t="s">
        <v>1067</v>
      </c>
      <c r="AB64" s="112" t="s">
        <v>1066</v>
      </c>
      <c r="AC64" s="112" t="s">
        <v>92</v>
      </c>
      <c r="AD64" s="112" t="s">
        <v>1142</v>
      </c>
      <c r="AE64" s="112" t="s">
        <v>1066</v>
      </c>
      <c r="AF64" s="112" t="s">
        <v>1066</v>
      </c>
      <c r="AG64" s="112" t="s">
        <v>1066</v>
      </c>
      <c r="AH64" s="112" t="s">
        <v>1066</v>
      </c>
      <c r="AI64" s="112" t="s">
        <v>785</v>
      </c>
      <c r="AJ64" s="112">
        <v>9297006</v>
      </c>
      <c r="AK64" s="112" t="s">
        <v>259</v>
      </c>
      <c r="AL64" s="112">
        <v>895699</v>
      </c>
      <c r="AM64" s="112" t="s">
        <v>1066</v>
      </c>
      <c r="AN64" s="112" t="s">
        <v>1066</v>
      </c>
    </row>
    <row r="65" spans="1:40" ht="55.5" customHeight="1" x14ac:dyDescent="0.25">
      <c r="A65" s="111" t="s">
        <v>1395</v>
      </c>
      <c r="B65" s="112">
        <v>2026</v>
      </c>
      <c r="C65" s="112" t="s">
        <v>1396</v>
      </c>
      <c r="D65" s="113">
        <v>46134.492037037038</v>
      </c>
      <c r="E65" s="112">
        <v>7901279052</v>
      </c>
      <c r="F65" s="112" t="s">
        <v>1397</v>
      </c>
      <c r="G65" s="112">
        <v>3</v>
      </c>
      <c r="H65" s="112">
        <v>7901279052</v>
      </c>
      <c r="I65" s="112" t="s">
        <v>1398</v>
      </c>
      <c r="J65" s="112" t="s">
        <v>1071</v>
      </c>
      <c r="K65" s="112" t="s">
        <v>1399</v>
      </c>
      <c r="L65" s="112" t="s">
        <v>1073</v>
      </c>
      <c r="M65" s="112" t="s">
        <v>478</v>
      </c>
      <c r="N65" s="113">
        <v>46137.492037037038</v>
      </c>
      <c r="O65" s="114">
        <v>19002689455</v>
      </c>
      <c r="P65" s="112">
        <v>79</v>
      </c>
      <c r="Q65" s="112" t="s">
        <v>1062</v>
      </c>
      <c r="R65" s="112" t="s">
        <v>1075</v>
      </c>
      <c r="S65" s="113">
        <v>46139.47934027778</v>
      </c>
      <c r="T65" s="112" t="s">
        <v>1400</v>
      </c>
      <c r="U65" s="112" t="s">
        <v>1065</v>
      </c>
      <c r="V65" s="112" t="s">
        <v>1066</v>
      </c>
      <c r="W65" s="112" t="s">
        <v>1066</v>
      </c>
      <c r="X65" s="112" t="s">
        <v>983</v>
      </c>
      <c r="Y65" s="112" t="s">
        <v>1066</v>
      </c>
      <c r="Z65" s="112" t="s">
        <v>1066</v>
      </c>
      <c r="AA65" s="112" t="s">
        <v>1067</v>
      </c>
      <c r="AB65" s="112" t="s">
        <v>1066</v>
      </c>
      <c r="AC65" s="112" t="s">
        <v>92</v>
      </c>
      <c r="AD65" s="112" t="s">
        <v>1066</v>
      </c>
      <c r="AE65" s="112" t="s">
        <v>1066</v>
      </c>
      <c r="AF65" s="112" t="s">
        <v>1066</v>
      </c>
      <c r="AG65" s="112" t="s">
        <v>1066</v>
      </c>
      <c r="AH65" s="112" t="s">
        <v>1066</v>
      </c>
      <c r="AI65" s="112" t="s">
        <v>785</v>
      </c>
      <c r="AJ65" s="112">
        <v>8694291</v>
      </c>
      <c r="AK65" s="112" t="s">
        <v>112</v>
      </c>
      <c r="AL65" s="112">
        <v>659140</v>
      </c>
      <c r="AM65" s="112" t="s">
        <v>1066</v>
      </c>
      <c r="AN65" s="112" t="s">
        <v>1066</v>
      </c>
    </row>
    <row r="66" spans="1:40" ht="55.5" customHeight="1" x14ac:dyDescent="0.25">
      <c r="A66" s="115" t="s">
        <v>608</v>
      </c>
      <c r="B66" s="116">
        <v>2026</v>
      </c>
      <c r="C66" s="116" t="s">
        <v>1401</v>
      </c>
      <c r="D66" s="118">
        <v>45740.569675925923</v>
      </c>
      <c r="E66" s="116">
        <v>8800002119</v>
      </c>
      <c r="F66" s="116" t="s">
        <v>351</v>
      </c>
      <c r="G66" s="116">
        <v>2</v>
      </c>
      <c r="H66" s="116">
        <v>5858783119</v>
      </c>
      <c r="I66" s="116" t="s">
        <v>1402</v>
      </c>
      <c r="J66" s="116" t="s">
        <v>1231</v>
      </c>
      <c r="K66" s="116" t="s">
        <v>1403</v>
      </c>
      <c r="L66" s="116" t="s">
        <v>1084</v>
      </c>
      <c r="M66" s="116" t="s">
        <v>588</v>
      </c>
      <c r="N66" s="118">
        <v>46294.698171296295</v>
      </c>
      <c r="O66" s="119">
        <v>19002774397</v>
      </c>
      <c r="P66" s="116">
        <v>497</v>
      </c>
      <c r="Q66" s="116" t="s">
        <v>1074</v>
      </c>
      <c r="R66" s="116" t="s">
        <v>1075</v>
      </c>
      <c r="S66" s="116" t="s">
        <v>1066</v>
      </c>
      <c r="T66" s="116" t="s">
        <v>1066</v>
      </c>
      <c r="U66" s="116" t="s">
        <v>1066</v>
      </c>
      <c r="V66" s="116" t="s">
        <v>1066</v>
      </c>
      <c r="W66" s="116" t="s">
        <v>1066</v>
      </c>
      <c r="X66" s="116" t="s">
        <v>1077</v>
      </c>
      <c r="Y66" s="116" t="s">
        <v>1066</v>
      </c>
      <c r="Z66" s="116" t="s">
        <v>1066</v>
      </c>
      <c r="AA66" s="116" t="s">
        <v>1067</v>
      </c>
      <c r="AB66" s="116" t="s">
        <v>1066</v>
      </c>
      <c r="AC66" s="116" t="s">
        <v>92</v>
      </c>
      <c r="AD66" s="116" t="s">
        <v>1066</v>
      </c>
      <c r="AE66" s="116" t="s">
        <v>1066</v>
      </c>
      <c r="AF66" s="116" t="s">
        <v>1066</v>
      </c>
      <c r="AG66" s="116" t="s">
        <v>1066</v>
      </c>
      <c r="AH66" s="116" t="s">
        <v>1404</v>
      </c>
      <c r="AI66" s="116" t="s">
        <v>785</v>
      </c>
      <c r="AJ66" s="116">
        <v>9339297</v>
      </c>
      <c r="AK66" s="116" t="s">
        <v>350</v>
      </c>
      <c r="AL66" s="116">
        <v>845266</v>
      </c>
      <c r="AM66" s="116" t="s">
        <v>1066</v>
      </c>
      <c r="AN66" s="116" t="s">
        <v>1066</v>
      </c>
    </row>
    <row r="67" spans="1:40" ht="55.5" customHeight="1" x14ac:dyDescent="0.25">
      <c r="A67" s="120" t="s">
        <v>1405</v>
      </c>
      <c r="B67" s="121">
        <v>2026</v>
      </c>
      <c r="C67" s="121" t="s">
        <v>1406</v>
      </c>
      <c r="D67" s="122">
        <v>46101.768472222226</v>
      </c>
      <c r="E67" s="121">
        <v>9000399070</v>
      </c>
      <c r="F67" s="121" t="s">
        <v>1090</v>
      </c>
      <c r="G67" s="121">
        <v>3</v>
      </c>
      <c r="H67" s="121">
        <v>7932924070</v>
      </c>
      <c r="I67" s="121" t="s">
        <v>1407</v>
      </c>
      <c r="J67" s="121" t="s">
        <v>1071</v>
      </c>
      <c r="K67" s="121" t="s">
        <v>1408</v>
      </c>
      <c r="L67" s="121" t="s">
        <v>1073</v>
      </c>
      <c r="M67" s="121" t="s">
        <v>1116</v>
      </c>
      <c r="N67" s="122">
        <v>46104.768472222226</v>
      </c>
      <c r="O67" s="123">
        <v>19001318993</v>
      </c>
      <c r="P67" s="121">
        <v>204</v>
      </c>
      <c r="Q67" s="121" t="s">
        <v>1131</v>
      </c>
      <c r="R67" s="121" t="s">
        <v>1263</v>
      </c>
      <c r="S67" s="122">
        <v>46105.622974537036</v>
      </c>
      <c r="T67" s="121" t="s">
        <v>1066</v>
      </c>
      <c r="U67" s="121" t="s">
        <v>1066</v>
      </c>
      <c r="V67" s="121" t="s">
        <v>1066</v>
      </c>
      <c r="W67" s="121" t="s">
        <v>1066</v>
      </c>
      <c r="X67" s="121" t="s">
        <v>1173</v>
      </c>
      <c r="Y67" s="121" t="s">
        <v>1066</v>
      </c>
      <c r="Z67" s="121" t="s">
        <v>1409</v>
      </c>
      <c r="AA67" s="121" t="s">
        <v>1067</v>
      </c>
      <c r="AB67" s="121" t="s">
        <v>1066</v>
      </c>
      <c r="AC67" s="121" t="s">
        <v>92</v>
      </c>
      <c r="AD67" s="121" t="s">
        <v>1142</v>
      </c>
      <c r="AE67" s="121" t="s">
        <v>1066</v>
      </c>
      <c r="AF67" s="121" t="s">
        <v>1066</v>
      </c>
      <c r="AG67" s="121" t="s">
        <v>1066</v>
      </c>
      <c r="AH67" s="121" t="s">
        <v>1066</v>
      </c>
      <c r="AI67" s="121" t="s">
        <v>785</v>
      </c>
      <c r="AJ67" s="121">
        <v>8930097</v>
      </c>
      <c r="AK67" s="121" t="s">
        <v>87</v>
      </c>
      <c r="AL67" s="121">
        <v>864377</v>
      </c>
      <c r="AM67" s="121" t="s">
        <v>1066</v>
      </c>
      <c r="AN67" s="121" t="s">
        <v>1066</v>
      </c>
    </row>
    <row r="68" spans="1:40" ht="55.5" customHeight="1" x14ac:dyDescent="0.25">
      <c r="A68" s="111" t="s">
        <v>1410</v>
      </c>
      <c r="B68" s="112">
        <v>2026</v>
      </c>
      <c r="C68" s="112" t="s">
        <v>1240</v>
      </c>
      <c r="D68" s="113">
        <v>46183.597349537034</v>
      </c>
      <c r="E68" s="112">
        <v>7900302055</v>
      </c>
      <c r="F68" s="112" t="s">
        <v>196</v>
      </c>
      <c r="G68" s="112">
        <v>3</v>
      </c>
      <c r="H68" s="112">
        <v>7900302055</v>
      </c>
      <c r="I68" s="112" t="s">
        <v>1411</v>
      </c>
      <c r="J68" s="112" t="s">
        <v>1066</v>
      </c>
      <c r="K68" s="112" t="s">
        <v>1125</v>
      </c>
      <c r="L68" s="112" t="s">
        <v>1061</v>
      </c>
      <c r="M68" s="112" t="s">
        <v>478</v>
      </c>
      <c r="N68" s="113">
        <v>46583.597349537034</v>
      </c>
      <c r="O68" s="114">
        <v>19002260846</v>
      </c>
      <c r="P68" s="112">
        <v>555</v>
      </c>
      <c r="Q68" s="112" t="s">
        <v>1062</v>
      </c>
      <c r="R68" s="112" t="s">
        <v>1063</v>
      </c>
      <c r="S68" s="113">
        <v>46184.445833333331</v>
      </c>
      <c r="T68" s="112" t="s">
        <v>1412</v>
      </c>
      <c r="U68" s="112" t="s">
        <v>1065</v>
      </c>
      <c r="V68" s="112" t="s">
        <v>1066</v>
      </c>
      <c r="W68" s="112" t="s">
        <v>1066</v>
      </c>
      <c r="X68" s="112" t="s">
        <v>1066</v>
      </c>
      <c r="Y68" s="112" t="s">
        <v>1066</v>
      </c>
      <c r="Z68" s="112" t="s">
        <v>1066</v>
      </c>
      <c r="AA68" s="112" t="s">
        <v>1067</v>
      </c>
      <c r="AB68" s="112" t="s">
        <v>1066</v>
      </c>
      <c r="AC68" s="112" t="s">
        <v>92</v>
      </c>
      <c r="AD68" s="112" t="s">
        <v>1066</v>
      </c>
      <c r="AE68" s="112" t="s">
        <v>1066</v>
      </c>
      <c r="AF68" s="112" t="s">
        <v>1066</v>
      </c>
      <c r="AG68" s="112" t="s">
        <v>1066</v>
      </c>
      <c r="AH68" s="112" t="s">
        <v>1066</v>
      </c>
      <c r="AI68" s="112" t="s">
        <v>785</v>
      </c>
      <c r="AJ68" s="112">
        <v>9033370</v>
      </c>
      <c r="AK68" s="112" t="s">
        <v>482</v>
      </c>
      <c r="AL68" s="112">
        <v>678769</v>
      </c>
      <c r="AM68" s="112" t="s">
        <v>1066</v>
      </c>
      <c r="AN68" s="112" t="s">
        <v>1066</v>
      </c>
    </row>
    <row r="69" spans="1:40" ht="55.5" customHeight="1" x14ac:dyDescent="0.25">
      <c r="A69" s="111" t="s">
        <v>1413</v>
      </c>
      <c r="B69" s="112">
        <v>2026</v>
      </c>
      <c r="C69" s="112" t="s">
        <v>1414</v>
      </c>
      <c r="D69" s="113">
        <v>46049.557858796295</v>
      </c>
      <c r="E69" s="112">
        <v>9025586075</v>
      </c>
      <c r="F69" s="112" t="s">
        <v>1415</v>
      </c>
      <c r="G69" s="112">
        <v>3</v>
      </c>
      <c r="H69" s="112">
        <v>7925586075</v>
      </c>
      <c r="I69" s="112" t="s">
        <v>1416</v>
      </c>
      <c r="J69" s="112" t="s">
        <v>1157</v>
      </c>
      <c r="K69" s="112" t="s">
        <v>1417</v>
      </c>
      <c r="L69" s="112" t="s">
        <v>1084</v>
      </c>
      <c r="M69" s="112" t="s">
        <v>478</v>
      </c>
      <c r="N69" s="113">
        <v>46109.557858796295</v>
      </c>
      <c r="O69" s="114">
        <v>19001233807</v>
      </c>
      <c r="P69" s="112">
        <v>2.6480000000000001</v>
      </c>
      <c r="Q69" s="112" t="s">
        <v>1131</v>
      </c>
      <c r="R69" s="112" t="s">
        <v>1085</v>
      </c>
      <c r="S69" s="113">
        <v>46080.73060185185</v>
      </c>
      <c r="T69" s="112" t="s">
        <v>1418</v>
      </c>
      <c r="U69" s="112" t="s">
        <v>1065</v>
      </c>
      <c r="V69" s="112" t="s">
        <v>1066</v>
      </c>
      <c r="W69" s="112" t="s">
        <v>1066</v>
      </c>
      <c r="X69" s="112" t="s">
        <v>983</v>
      </c>
      <c r="Y69" s="112" t="s">
        <v>1066</v>
      </c>
      <c r="Z69" s="112" t="s">
        <v>1133</v>
      </c>
      <c r="AA69" s="112" t="s">
        <v>1067</v>
      </c>
      <c r="AB69" s="112" t="s">
        <v>1066</v>
      </c>
      <c r="AC69" s="112" t="s">
        <v>92</v>
      </c>
      <c r="AD69" s="112" t="s">
        <v>1142</v>
      </c>
      <c r="AE69" s="112" t="s">
        <v>1066</v>
      </c>
      <c r="AF69" s="112" t="s">
        <v>1066</v>
      </c>
      <c r="AG69" s="112" t="s">
        <v>1066</v>
      </c>
      <c r="AH69" s="112" t="s">
        <v>1066</v>
      </c>
      <c r="AI69" s="112" t="s">
        <v>785</v>
      </c>
      <c r="AJ69" s="112">
        <v>8975773</v>
      </c>
      <c r="AK69" s="112" t="s">
        <v>590</v>
      </c>
      <c r="AL69" s="112">
        <v>713365</v>
      </c>
      <c r="AM69" s="112" t="s">
        <v>1066</v>
      </c>
      <c r="AN69" s="112" t="s">
        <v>1066</v>
      </c>
    </row>
    <row r="70" spans="1:40" ht="55.5" customHeight="1" x14ac:dyDescent="0.25">
      <c r="A70" s="111" t="s">
        <v>1419</v>
      </c>
      <c r="B70" s="112">
        <v>2026</v>
      </c>
      <c r="C70" s="112" t="s">
        <v>1057</v>
      </c>
      <c r="D70" s="113">
        <v>46125.584386574075</v>
      </c>
      <c r="E70" s="112">
        <v>7901830094</v>
      </c>
      <c r="F70" s="112" t="s">
        <v>249</v>
      </c>
      <c r="G70" s="112">
        <v>3</v>
      </c>
      <c r="H70" s="112">
        <v>7901830094</v>
      </c>
      <c r="I70" s="112" t="s">
        <v>1420</v>
      </c>
      <c r="J70" s="112" t="s">
        <v>1066</v>
      </c>
      <c r="K70" s="112" t="s">
        <v>1125</v>
      </c>
      <c r="L70" s="112" t="s">
        <v>1061</v>
      </c>
      <c r="M70" s="112" t="s">
        <v>478</v>
      </c>
      <c r="N70" s="113">
        <v>46525.584386574075</v>
      </c>
      <c r="O70" s="114">
        <v>19002223724</v>
      </c>
      <c r="P70" s="112">
        <v>206</v>
      </c>
      <c r="Q70" s="112" t="s">
        <v>1062</v>
      </c>
      <c r="R70" s="112" t="s">
        <v>1063</v>
      </c>
      <c r="S70" s="113">
        <v>46237.478414351855</v>
      </c>
      <c r="T70" s="112" t="s">
        <v>1421</v>
      </c>
      <c r="U70" s="112" t="s">
        <v>1065</v>
      </c>
      <c r="V70" s="112" t="s">
        <v>1066</v>
      </c>
      <c r="W70" s="112" t="s">
        <v>1066</v>
      </c>
      <c r="X70" s="112" t="s">
        <v>1066</v>
      </c>
      <c r="Y70" s="112" t="s">
        <v>1066</v>
      </c>
      <c r="Z70" s="112" t="s">
        <v>1066</v>
      </c>
      <c r="AA70" s="112" t="s">
        <v>1067</v>
      </c>
      <c r="AB70" s="112" t="s">
        <v>1066</v>
      </c>
      <c r="AC70" s="112" t="s">
        <v>92</v>
      </c>
      <c r="AD70" s="112" t="s">
        <v>1066</v>
      </c>
      <c r="AE70" s="112" t="s">
        <v>1066</v>
      </c>
      <c r="AF70" s="112" t="s">
        <v>1066</v>
      </c>
      <c r="AG70" s="112" t="s">
        <v>1066</v>
      </c>
      <c r="AH70" s="112" t="s">
        <v>1066</v>
      </c>
      <c r="AI70" s="112" t="s">
        <v>785</v>
      </c>
      <c r="AJ70" s="112">
        <v>8675493</v>
      </c>
      <c r="AK70" s="112" t="s">
        <v>224</v>
      </c>
      <c r="AL70" s="112">
        <v>752295</v>
      </c>
      <c r="AM70" s="112" t="s">
        <v>1066</v>
      </c>
      <c r="AN70" s="112" t="s">
        <v>1066</v>
      </c>
    </row>
    <row r="71" spans="1:40" ht="55.5" customHeight="1" x14ac:dyDescent="0.25">
      <c r="A71" s="111" t="s">
        <v>1422</v>
      </c>
      <c r="B71" s="112">
        <v>2026</v>
      </c>
      <c r="C71" s="112" t="s">
        <v>1423</v>
      </c>
      <c r="D71" s="113">
        <v>46166.928182870368</v>
      </c>
      <c r="E71" s="112">
        <v>9030359149</v>
      </c>
      <c r="F71" s="112" t="s">
        <v>355</v>
      </c>
      <c r="G71" s="112">
        <v>3</v>
      </c>
      <c r="H71" s="112">
        <v>7930359149</v>
      </c>
      <c r="I71" s="112" t="s">
        <v>1424</v>
      </c>
      <c r="J71" s="112" t="s">
        <v>1071</v>
      </c>
      <c r="K71" s="112" t="s">
        <v>1130</v>
      </c>
      <c r="L71" s="112" t="s">
        <v>1073</v>
      </c>
      <c r="M71" s="112" t="s">
        <v>478</v>
      </c>
      <c r="N71" s="113">
        <v>46169.928182870368</v>
      </c>
      <c r="O71" s="114">
        <v>19001269795</v>
      </c>
      <c r="P71" s="112">
        <v>1.3420000000000001</v>
      </c>
      <c r="Q71" s="112" t="s">
        <v>1131</v>
      </c>
      <c r="R71" s="112" t="s">
        <v>1324</v>
      </c>
      <c r="S71" s="113">
        <v>46182.487812500003</v>
      </c>
      <c r="T71" s="112" t="s">
        <v>1425</v>
      </c>
      <c r="U71" s="112" t="s">
        <v>1065</v>
      </c>
      <c r="V71" s="112" t="s">
        <v>1066</v>
      </c>
      <c r="W71" s="112" t="s">
        <v>1066</v>
      </c>
      <c r="X71" s="112" t="s">
        <v>1117</v>
      </c>
      <c r="Y71" s="112" t="s">
        <v>1066</v>
      </c>
      <c r="Z71" s="112" t="s">
        <v>1133</v>
      </c>
      <c r="AA71" s="112" t="s">
        <v>1067</v>
      </c>
      <c r="AB71" s="112" t="s">
        <v>1066</v>
      </c>
      <c r="AC71" s="112" t="s">
        <v>92</v>
      </c>
      <c r="AD71" s="112" t="s">
        <v>1142</v>
      </c>
      <c r="AE71" s="112" t="s">
        <v>1066</v>
      </c>
      <c r="AF71" s="112" t="s">
        <v>1066</v>
      </c>
      <c r="AG71" s="112" t="s">
        <v>1066</v>
      </c>
      <c r="AH71" s="112" t="s">
        <v>1066</v>
      </c>
      <c r="AI71" s="112" t="s">
        <v>785</v>
      </c>
      <c r="AJ71" s="112">
        <v>8934104</v>
      </c>
      <c r="AK71" s="112" t="s">
        <v>195</v>
      </c>
      <c r="AL71" s="112">
        <v>623917</v>
      </c>
      <c r="AM71" s="112" t="s">
        <v>1066</v>
      </c>
      <c r="AN71" s="112" t="s">
        <v>1066</v>
      </c>
    </row>
    <row r="72" spans="1:40" ht="55.5" customHeight="1" x14ac:dyDescent="0.25">
      <c r="A72" s="111" t="s">
        <v>499</v>
      </c>
      <c r="B72" s="112">
        <v>2026</v>
      </c>
      <c r="C72" s="112" t="s">
        <v>1426</v>
      </c>
      <c r="D72" s="113">
        <v>45938.728171296294</v>
      </c>
      <c r="E72" s="112">
        <v>9007788059</v>
      </c>
      <c r="F72" s="112" t="s">
        <v>691</v>
      </c>
      <c r="G72" s="112">
        <v>2</v>
      </c>
      <c r="H72" s="112">
        <v>7933766059</v>
      </c>
      <c r="I72" s="112" t="s">
        <v>1427</v>
      </c>
      <c r="J72" s="112" t="s">
        <v>1071</v>
      </c>
      <c r="K72" s="112" t="s">
        <v>1428</v>
      </c>
      <c r="L72" s="112" t="s">
        <v>1073</v>
      </c>
      <c r="M72" s="112" t="s">
        <v>478</v>
      </c>
      <c r="N72" s="113">
        <v>46228.601469907408</v>
      </c>
      <c r="O72" s="114">
        <v>19001316099</v>
      </c>
      <c r="P72" s="112">
        <v>5.3920000000000003</v>
      </c>
      <c r="Q72" s="112" t="s">
        <v>1131</v>
      </c>
      <c r="R72" s="112" t="s">
        <v>1075</v>
      </c>
      <c r="S72" s="113">
        <v>46237.726527777777</v>
      </c>
      <c r="T72" s="112" t="s">
        <v>1429</v>
      </c>
      <c r="U72" s="112" t="s">
        <v>1065</v>
      </c>
      <c r="V72" s="112" t="s">
        <v>1066</v>
      </c>
      <c r="W72" s="112" t="s">
        <v>1066</v>
      </c>
      <c r="X72" s="112" t="s">
        <v>1100</v>
      </c>
      <c r="Y72" s="112" t="s">
        <v>1066</v>
      </c>
      <c r="Z72" s="112" t="s">
        <v>1148</v>
      </c>
      <c r="AA72" s="112" t="s">
        <v>1067</v>
      </c>
      <c r="AB72" s="112" t="s">
        <v>1066</v>
      </c>
      <c r="AC72" s="112" t="s">
        <v>92</v>
      </c>
      <c r="AD72" s="112" t="s">
        <v>1142</v>
      </c>
      <c r="AE72" s="112" t="s">
        <v>1066</v>
      </c>
      <c r="AF72" s="112" t="s">
        <v>1066</v>
      </c>
      <c r="AG72" s="112" t="s">
        <v>1066</v>
      </c>
      <c r="AH72" s="112" t="s">
        <v>1430</v>
      </c>
      <c r="AI72" s="112" t="s">
        <v>785</v>
      </c>
      <c r="AJ72" s="112">
        <v>8855224</v>
      </c>
      <c r="AK72" s="112" t="s">
        <v>264</v>
      </c>
      <c r="AL72" s="112">
        <v>792195</v>
      </c>
      <c r="AM72" s="112" t="s">
        <v>1066</v>
      </c>
      <c r="AN72" s="112" t="s">
        <v>1066</v>
      </c>
    </row>
    <row r="73" spans="1:40" ht="55.5" customHeight="1" x14ac:dyDescent="0.25">
      <c r="A73" s="111" t="s">
        <v>1431</v>
      </c>
      <c r="B73" s="112">
        <v>2026</v>
      </c>
      <c r="C73" s="112" t="s">
        <v>1057</v>
      </c>
      <c r="D73" s="113">
        <v>46122.378541666665</v>
      </c>
      <c r="E73" s="112">
        <v>7925898004</v>
      </c>
      <c r="F73" s="112" t="s">
        <v>1432</v>
      </c>
      <c r="G73" s="112">
        <v>1</v>
      </c>
      <c r="H73" s="112">
        <v>7925898004</v>
      </c>
      <c r="I73" s="112" t="s">
        <v>1433</v>
      </c>
      <c r="J73" s="112" t="s">
        <v>1059</v>
      </c>
      <c r="K73" s="112" t="s">
        <v>1060</v>
      </c>
      <c r="L73" s="112" t="s">
        <v>1061</v>
      </c>
      <c r="M73" s="112" t="s">
        <v>478</v>
      </c>
      <c r="N73" s="113">
        <v>46522.378541666665</v>
      </c>
      <c r="O73" s="114">
        <v>19002780551</v>
      </c>
      <c r="P73" s="112">
        <v>0</v>
      </c>
      <c r="Q73" s="112" t="s">
        <v>1062</v>
      </c>
      <c r="R73" s="112" t="s">
        <v>1063</v>
      </c>
      <c r="S73" s="113">
        <v>46132.648356481484</v>
      </c>
      <c r="T73" s="112" t="s">
        <v>1434</v>
      </c>
      <c r="U73" s="112" t="s">
        <v>1065</v>
      </c>
      <c r="V73" s="112" t="s">
        <v>1066</v>
      </c>
      <c r="W73" s="112" t="s">
        <v>1066</v>
      </c>
      <c r="X73" s="112" t="s">
        <v>1066</v>
      </c>
      <c r="Y73" s="112" t="s">
        <v>1066</v>
      </c>
      <c r="Z73" s="112" t="s">
        <v>1066</v>
      </c>
      <c r="AA73" s="112" t="s">
        <v>1067</v>
      </c>
      <c r="AB73" s="112" t="s">
        <v>1066</v>
      </c>
      <c r="AC73" s="112" t="s">
        <v>92</v>
      </c>
      <c r="AD73" s="112" t="s">
        <v>1066</v>
      </c>
      <c r="AE73" s="112" t="s">
        <v>1066</v>
      </c>
      <c r="AF73" s="112" t="s">
        <v>1066</v>
      </c>
      <c r="AG73" s="112" t="s">
        <v>1066</v>
      </c>
      <c r="AH73" s="112" t="s">
        <v>1066</v>
      </c>
      <c r="AI73" s="112" t="s">
        <v>785</v>
      </c>
      <c r="AJ73" s="112">
        <v>9189041</v>
      </c>
      <c r="AK73" s="112" t="s">
        <v>69</v>
      </c>
      <c r="AL73" s="112">
        <v>823628</v>
      </c>
      <c r="AM73" s="112" t="s">
        <v>1066</v>
      </c>
      <c r="AN73" s="112" t="s">
        <v>1066</v>
      </c>
    </row>
    <row r="74" spans="1:40" ht="55.5" customHeight="1" x14ac:dyDescent="0.25">
      <c r="A74" s="111" t="s">
        <v>1435</v>
      </c>
      <c r="B74" s="112">
        <v>2026</v>
      </c>
      <c r="C74" s="112" t="s">
        <v>1057</v>
      </c>
      <c r="D74" s="113">
        <v>46125.584386574075</v>
      </c>
      <c r="E74" s="112">
        <v>7924624186</v>
      </c>
      <c r="F74" s="112" t="s">
        <v>1236</v>
      </c>
      <c r="G74" s="112">
        <v>2</v>
      </c>
      <c r="H74" s="112">
        <v>7924624186</v>
      </c>
      <c r="I74" s="112" t="s">
        <v>1436</v>
      </c>
      <c r="J74" s="112" t="s">
        <v>1066</v>
      </c>
      <c r="K74" s="112" t="s">
        <v>1125</v>
      </c>
      <c r="L74" s="112" t="s">
        <v>1061</v>
      </c>
      <c r="M74" s="112" t="s">
        <v>478</v>
      </c>
      <c r="N74" s="113">
        <v>46525.584386574075</v>
      </c>
      <c r="O74" s="114">
        <v>19002223287</v>
      </c>
      <c r="P74" s="112">
        <v>1.65</v>
      </c>
      <c r="Q74" s="112" t="s">
        <v>1062</v>
      </c>
      <c r="R74" s="112" t="s">
        <v>1063</v>
      </c>
      <c r="S74" s="113">
        <v>46170.321655092594</v>
      </c>
      <c r="T74" s="112" t="s">
        <v>1437</v>
      </c>
      <c r="U74" s="112" t="s">
        <v>1065</v>
      </c>
      <c r="V74" s="112" t="s">
        <v>1066</v>
      </c>
      <c r="W74" s="112" t="s">
        <v>1066</v>
      </c>
      <c r="X74" s="112" t="s">
        <v>1066</v>
      </c>
      <c r="Y74" s="112" t="s">
        <v>1066</v>
      </c>
      <c r="Z74" s="112" t="s">
        <v>1066</v>
      </c>
      <c r="AA74" s="112" t="s">
        <v>1067</v>
      </c>
      <c r="AB74" s="112" t="s">
        <v>1066</v>
      </c>
      <c r="AC74" s="112" t="s">
        <v>92</v>
      </c>
      <c r="AD74" s="112" t="s">
        <v>1066</v>
      </c>
      <c r="AE74" s="112" t="s">
        <v>1066</v>
      </c>
      <c r="AF74" s="112" t="s">
        <v>1066</v>
      </c>
      <c r="AG74" s="112" t="s">
        <v>1066</v>
      </c>
      <c r="AH74" s="112" t="s">
        <v>1066</v>
      </c>
      <c r="AI74" s="112" t="s">
        <v>785</v>
      </c>
      <c r="AJ74" s="112">
        <v>8600371</v>
      </c>
      <c r="AK74" s="112" t="s">
        <v>1438</v>
      </c>
      <c r="AL74" s="112">
        <v>761132</v>
      </c>
      <c r="AM74" s="112" t="s">
        <v>1066</v>
      </c>
      <c r="AN74" s="112" t="s">
        <v>1066</v>
      </c>
    </row>
    <row r="75" spans="1:40" ht="55.5" customHeight="1" x14ac:dyDescent="0.25">
      <c r="A75" s="111" t="s">
        <v>1439</v>
      </c>
      <c r="B75" s="112">
        <v>2026</v>
      </c>
      <c r="C75" s="112" t="s">
        <v>1057</v>
      </c>
      <c r="D75" s="113">
        <v>46125.614548611113</v>
      </c>
      <c r="E75" s="112">
        <v>7900552010</v>
      </c>
      <c r="F75" s="112" t="s">
        <v>239</v>
      </c>
      <c r="G75" s="112">
        <v>3</v>
      </c>
      <c r="H75" s="112">
        <v>7900552010</v>
      </c>
      <c r="I75" s="112" t="s">
        <v>1440</v>
      </c>
      <c r="J75" s="112" t="s">
        <v>1066</v>
      </c>
      <c r="K75" s="112" t="s">
        <v>1125</v>
      </c>
      <c r="L75" s="112" t="s">
        <v>1061</v>
      </c>
      <c r="M75" s="112" t="s">
        <v>478</v>
      </c>
      <c r="N75" s="113">
        <v>46525.614548611113</v>
      </c>
      <c r="O75" s="114">
        <v>19002779404</v>
      </c>
      <c r="P75" s="112">
        <v>0</v>
      </c>
      <c r="Q75" s="112" t="s">
        <v>1062</v>
      </c>
      <c r="R75" s="112" t="s">
        <v>1063</v>
      </c>
      <c r="S75" s="113">
        <v>46218.729166666664</v>
      </c>
      <c r="T75" s="112" t="s">
        <v>1441</v>
      </c>
      <c r="U75" s="112" t="s">
        <v>1065</v>
      </c>
      <c r="V75" s="112" t="s">
        <v>1066</v>
      </c>
      <c r="W75" s="112" t="s">
        <v>1066</v>
      </c>
      <c r="X75" s="112" t="s">
        <v>1066</v>
      </c>
      <c r="Y75" s="112" t="s">
        <v>1066</v>
      </c>
      <c r="Z75" s="112" t="s">
        <v>1066</v>
      </c>
      <c r="AA75" s="112" t="s">
        <v>1067</v>
      </c>
      <c r="AB75" s="112" t="s">
        <v>1066</v>
      </c>
      <c r="AC75" s="112" t="s">
        <v>92</v>
      </c>
      <c r="AD75" s="112" t="s">
        <v>1066</v>
      </c>
      <c r="AE75" s="112" t="s">
        <v>1066</v>
      </c>
      <c r="AF75" s="112" t="s">
        <v>1066</v>
      </c>
      <c r="AG75" s="112" t="s">
        <v>1066</v>
      </c>
      <c r="AH75" s="112" t="s">
        <v>1066</v>
      </c>
      <c r="AI75" s="112" t="s">
        <v>785</v>
      </c>
      <c r="AJ75" s="112">
        <v>8920985</v>
      </c>
      <c r="AK75" s="112" t="s">
        <v>1442</v>
      </c>
      <c r="AL75" s="112">
        <v>789962</v>
      </c>
      <c r="AM75" s="112" t="s">
        <v>1066</v>
      </c>
      <c r="AN75" s="112" t="s">
        <v>1066</v>
      </c>
    </row>
    <row r="76" spans="1:40" ht="55.5" customHeight="1" x14ac:dyDescent="0.25">
      <c r="A76" s="111" t="s">
        <v>1443</v>
      </c>
      <c r="B76" s="112">
        <v>2026</v>
      </c>
      <c r="C76" s="112" t="s">
        <v>1444</v>
      </c>
      <c r="D76" s="113">
        <v>46124.378344907411</v>
      </c>
      <c r="E76" s="112">
        <v>9027000155</v>
      </c>
      <c r="F76" s="112" t="s">
        <v>205</v>
      </c>
      <c r="G76" s="112">
        <v>2</v>
      </c>
      <c r="H76" s="112">
        <v>7927000155</v>
      </c>
      <c r="I76" s="112" t="s">
        <v>1445</v>
      </c>
      <c r="J76" s="112" t="s">
        <v>1092</v>
      </c>
      <c r="K76" s="112" t="s">
        <v>1446</v>
      </c>
      <c r="L76" s="112" t="s">
        <v>1073</v>
      </c>
      <c r="M76" s="112" t="s">
        <v>478</v>
      </c>
      <c r="N76" s="113">
        <v>46127.378344907411</v>
      </c>
      <c r="O76" s="114">
        <v>19001244289</v>
      </c>
      <c r="P76" s="112">
        <v>1.399</v>
      </c>
      <c r="Q76" s="112" t="s">
        <v>1131</v>
      </c>
      <c r="R76" s="112" t="s">
        <v>1075</v>
      </c>
      <c r="S76" s="113">
        <v>46140.729166666664</v>
      </c>
      <c r="T76" s="112" t="s">
        <v>1447</v>
      </c>
      <c r="U76" s="112" t="s">
        <v>1065</v>
      </c>
      <c r="V76" s="112" t="s">
        <v>1066</v>
      </c>
      <c r="W76" s="112" t="s">
        <v>1066</v>
      </c>
      <c r="X76" s="112" t="s">
        <v>1173</v>
      </c>
      <c r="Y76" s="112" t="s">
        <v>1066</v>
      </c>
      <c r="Z76" s="112" t="s">
        <v>1133</v>
      </c>
      <c r="AA76" s="112" t="s">
        <v>1067</v>
      </c>
      <c r="AB76" s="112" t="s">
        <v>1066</v>
      </c>
      <c r="AC76" s="112" t="s">
        <v>92</v>
      </c>
      <c r="AD76" s="112" t="s">
        <v>1142</v>
      </c>
      <c r="AE76" s="112" t="s">
        <v>1066</v>
      </c>
      <c r="AF76" s="112" t="s">
        <v>1066</v>
      </c>
      <c r="AG76" s="112" t="s">
        <v>1066</v>
      </c>
      <c r="AH76" s="112" t="s">
        <v>1066</v>
      </c>
      <c r="AI76" s="112" t="s">
        <v>785</v>
      </c>
      <c r="AJ76" s="112">
        <v>9150692</v>
      </c>
      <c r="AK76" s="112" t="s">
        <v>204</v>
      </c>
      <c r="AL76" s="112">
        <v>835819</v>
      </c>
      <c r="AM76" s="112" t="s">
        <v>1066</v>
      </c>
      <c r="AN76" s="112" t="s">
        <v>1066</v>
      </c>
    </row>
    <row r="77" spans="1:40" ht="55.5" customHeight="1" x14ac:dyDescent="0.25">
      <c r="A77" s="124" t="s">
        <v>1448</v>
      </c>
      <c r="B77" s="125">
        <v>2026</v>
      </c>
      <c r="C77" s="125" t="s">
        <v>1449</v>
      </c>
      <c r="D77" s="126">
        <v>46244.660034722219</v>
      </c>
      <c r="E77" s="125">
        <v>7934850227</v>
      </c>
      <c r="F77" s="125" t="s">
        <v>170</v>
      </c>
      <c r="G77" s="125">
        <v>3</v>
      </c>
      <c r="H77" s="125">
        <v>7934850227</v>
      </c>
      <c r="I77" s="125" t="s">
        <v>1450</v>
      </c>
      <c r="J77" s="125" t="s">
        <v>1066</v>
      </c>
      <c r="K77" s="125" t="s">
        <v>1125</v>
      </c>
      <c r="L77" s="125" t="s">
        <v>1061</v>
      </c>
      <c r="M77" s="125" t="s">
        <v>510</v>
      </c>
      <c r="N77" s="126">
        <v>46644.660034722219</v>
      </c>
      <c r="O77" s="127">
        <v>19002204442</v>
      </c>
      <c r="P77" s="125">
        <v>1.5449999999999999</v>
      </c>
      <c r="Q77" s="125" t="s">
        <v>1062</v>
      </c>
      <c r="R77" s="125" t="s">
        <v>1063</v>
      </c>
      <c r="S77" s="125" t="s">
        <v>1066</v>
      </c>
      <c r="T77" s="125" t="s">
        <v>1066</v>
      </c>
      <c r="U77" s="125" t="s">
        <v>1066</v>
      </c>
      <c r="V77" s="125" t="s">
        <v>1066</v>
      </c>
      <c r="W77" s="125" t="s">
        <v>1066</v>
      </c>
      <c r="X77" s="125" t="s">
        <v>1066</v>
      </c>
      <c r="Y77" s="125" t="s">
        <v>1066</v>
      </c>
      <c r="Z77" s="125" t="s">
        <v>1066</v>
      </c>
      <c r="AA77" s="125" t="s">
        <v>1067</v>
      </c>
      <c r="AB77" s="125" t="s">
        <v>1066</v>
      </c>
      <c r="AC77" s="125" t="s">
        <v>92</v>
      </c>
      <c r="AD77" s="125" t="s">
        <v>1066</v>
      </c>
      <c r="AE77" s="125" t="s">
        <v>1066</v>
      </c>
      <c r="AF77" s="125" t="s">
        <v>1066</v>
      </c>
      <c r="AG77" s="125" t="s">
        <v>1066</v>
      </c>
      <c r="AH77" s="125" t="s">
        <v>1066</v>
      </c>
      <c r="AI77" s="125" t="s">
        <v>785</v>
      </c>
      <c r="AJ77" s="125">
        <v>9025741</v>
      </c>
      <c r="AK77" s="125" t="s">
        <v>1451</v>
      </c>
      <c r="AL77" s="125">
        <v>898262</v>
      </c>
      <c r="AM77" s="125" t="s">
        <v>1066</v>
      </c>
      <c r="AN77" s="125" t="s">
        <v>1066</v>
      </c>
    </row>
    <row r="78" spans="1:40" ht="55.5" customHeight="1" x14ac:dyDescent="0.25">
      <c r="A78" s="111" t="s">
        <v>1452</v>
      </c>
      <c r="B78" s="112">
        <v>2026</v>
      </c>
      <c r="C78" s="112" t="s">
        <v>1280</v>
      </c>
      <c r="D78" s="113">
        <v>46109.124895833331</v>
      </c>
      <c r="E78" s="112">
        <v>8800298151</v>
      </c>
      <c r="F78" s="112" t="s">
        <v>234</v>
      </c>
      <c r="G78" s="112">
        <v>3</v>
      </c>
      <c r="H78" s="112">
        <v>7952401151</v>
      </c>
      <c r="I78" s="112" t="s">
        <v>1453</v>
      </c>
      <c r="J78" s="112" t="s">
        <v>1071</v>
      </c>
      <c r="K78" s="112" t="s">
        <v>1282</v>
      </c>
      <c r="L78" s="112" t="s">
        <v>1073</v>
      </c>
      <c r="M78" s="112" t="s">
        <v>478</v>
      </c>
      <c r="N78" s="113">
        <v>46112.124895833331</v>
      </c>
      <c r="O78" s="114">
        <v>19002721787</v>
      </c>
      <c r="P78" s="112">
        <v>1.617</v>
      </c>
      <c r="Q78" s="112" t="s">
        <v>1131</v>
      </c>
      <c r="R78" s="112" t="s">
        <v>1075</v>
      </c>
      <c r="S78" s="113">
        <v>46119.747916666667</v>
      </c>
      <c r="T78" s="112" t="s">
        <v>1454</v>
      </c>
      <c r="U78" s="112" t="s">
        <v>1065</v>
      </c>
      <c r="V78" s="112" t="s">
        <v>1066</v>
      </c>
      <c r="W78" s="112" t="s">
        <v>1066</v>
      </c>
      <c r="X78" s="112" t="s">
        <v>983</v>
      </c>
      <c r="Y78" s="112" t="s">
        <v>1066</v>
      </c>
      <c r="Z78" s="112" t="s">
        <v>1078</v>
      </c>
      <c r="AA78" s="112" t="s">
        <v>1067</v>
      </c>
      <c r="AB78" s="112" t="s">
        <v>1066</v>
      </c>
      <c r="AC78" s="112" t="s">
        <v>92</v>
      </c>
      <c r="AD78" s="112" t="s">
        <v>1066</v>
      </c>
      <c r="AE78" s="112" t="s">
        <v>1066</v>
      </c>
      <c r="AF78" s="112" t="s">
        <v>1066</v>
      </c>
      <c r="AG78" s="112" t="s">
        <v>1066</v>
      </c>
      <c r="AH78" s="112" t="s">
        <v>1066</v>
      </c>
      <c r="AI78" s="112" t="s">
        <v>785</v>
      </c>
      <c r="AJ78" s="112">
        <v>8857562</v>
      </c>
      <c r="AK78" s="112" t="s">
        <v>1455</v>
      </c>
      <c r="AL78" s="112">
        <v>863734</v>
      </c>
      <c r="AM78" s="112" t="s">
        <v>1066</v>
      </c>
      <c r="AN78" s="112" t="s">
        <v>1066</v>
      </c>
    </row>
    <row r="79" spans="1:40" ht="55.5" customHeight="1" x14ac:dyDescent="0.25">
      <c r="A79" s="111" t="s">
        <v>639</v>
      </c>
      <c r="B79" s="112">
        <v>2026</v>
      </c>
      <c r="C79" s="112" t="s">
        <v>640</v>
      </c>
      <c r="D79" s="113">
        <v>46215.3828125</v>
      </c>
      <c r="E79" s="112">
        <v>7955792076</v>
      </c>
      <c r="F79" s="112" t="s">
        <v>663</v>
      </c>
      <c r="G79" s="112">
        <v>3</v>
      </c>
      <c r="H79" s="112">
        <v>7955792076</v>
      </c>
      <c r="I79" s="112" t="s">
        <v>1456</v>
      </c>
      <c r="J79" s="112" t="s">
        <v>1071</v>
      </c>
      <c r="K79" s="112" t="s">
        <v>1457</v>
      </c>
      <c r="L79" s="112" t="s">
        <v>1073</v>
      </c>
      <c r="M79" s="112" t="s">
        <v>478</v>
      </c>
      <c r="N79" s="113">
        <v>46218.3828125</v>
      </c>
      <c r="O79" s="114">
        <v>19002742898</v>
      </c>
      <c r="P79" s="112">
        <v>78</v>
      </c>
      <c r="Q79" s="112" t="s">
        <v>1062</v>
      </c>
      <c r="R79" s="112" t="s">
        <v>1075</v>
      </c>
      <c r="S79" s="113">
        <v>46232.581886574073</v>
      </c>
      <c r="T79" s="112" t="s">
        <v>1458</v>
      </c>
      <c r="U79" s="112" t="s">
        <v>1065</v>
      </c>
      <c r="V79" s="112" t="s">
        <v>1066</v>
      </c>
      <c r="W79" s="112" t="s">
        <v>1066</v>
      </c>
      <c r="X79" s="112" t="s">
        <v>1173</v>
      </c>
      <c r="Y79" s="112" t="s">
        <v>1066</v>
      </c>
      <c r="Z79" s="112" t="s">
        <v>1318</v>
      </c>
      <c r="AA79" s="112" t="s">
        <v>1067</v>
      </c>
      <c r="AB79" s="112" t="s">
        <v>1066</v>
      </c>
      <c r="AC79" s="112" t="s">
        <v>92</v>
      </c>
      <c r="AD79" s="112" t="s">
        <v>1142</v>
      </c>
      <c r="AE79" s="112" t="s">
        <v>1066</v>
      </c>
      <c r="AF79" s="112" t="s">
        <v>1066</v>
      </c>
      <c r="AG79" s="112" t="s">
        <v>1066</v>
      </c>
      <c r="AH79" s="112" t="s">
        <v>1066</v>
      </c>
      <c r="AI79" s="112" t="s">
        <v>785</v>
      </c>
      <c r="AJ79" s="112">
        <v>8717549</v>
      </c>
      <c r="AK79" s="112" t="s">
        <v>209</v>
      </c>
      <c r="AL79" s="112">
        <v>683558</v>
      </c>
      <c r="AM79" s="112" t="s">
        <v>1066</v>
      </c>
      <c r="AN79" s="112" t="s">
        <v>1066</v>
      </c>
    </row>
    <row r="80" spans="1:40" ht="55.5" customHeight="1" x14ac:dyDescent="0.25">
      <c r="A80" s="111" t="s">
        <v>1459</v>
      </c>
      <c r="B80" s="112">
        <v>2026</v>
      </c>
      <c r="C80" s="112" t="s">
        <v>1460</v>
      </c>
      <c r="D80" s="113">
        <v>46016.024062500001</v>
      </c>
      <c r="E80" s="112">
        <v>9021040031</v>
      </c>
      <c r="F80" s="112" t="s">
        <v>1346</v>
      </c>
      <c r="G80" s="112">
        <v>2</v>
      </c>
      <c r="H80" s="112">
        <v>7921040031</v>
      </c>
      <c r="I80" s="112" t="s">
        <v>1461</v>
      </c>
      <c r="J80" s="112" t="s">
        <v>1071</v>
      </c>
      <c r="K80" s="112" t="s">
        <v>1099</v>
      </c>
      <c r="L80" s="112" t="s">
        <v>1073</v>
      </c>
      <c r="M80" s="112" t="s">
        <v>478</v>
      </c>
      <c r="N80" s="113">
        <v>46082.592800925922</v>
      </c>
      <c r="O80" s="114">
        <v>19001233650</v>
      </c>
      <c r="P80" s="112">
        <v>1.3819999999999999</v>
      </c>
      <c r="Q80" s="112" t="s">
        <v>1131</v>
      </c>
      <c r="R80" s="112" t="s">
        <v>1075</v>
      </c>
      <c r="S80" s="113">
        <v>46065.409722222219</v>
      </c>
      <c r="T80" s="112" t="s">
        <v>1462</v>
      </c>
      <c r="U80" s="112" t="s">
        <v>1065</v>
      </c>
      <c r="V80" s="112" t="s">
        <v>1066</v>
      </c>
      <c r="W80" s="112" t="s">
        <v>1066</v>
      </c>
      <c r="X80" s="112" t="s">
        <v>983</v>
      </c>
      <c r="Y80" s="112" t="s">
        <v>1066</v>
      </c>
      <c r="Z80" s="112" t="s">
        <v>1174</v>
      </c>
      <c r="AA80" s="112" t="s">
        <v>1067</v>
      </c>
      <c r="AB80" s="112" t="s">
        <v>1066</v>
      </c>
      <c r="AC80" s="112" t="s">
        <v>92</v>
      </c>
      <c r="AD80" s="112" t="s">
        <v>1142</v>
      </c>
      <c r="AE80" s="112" t="s">
        <v>1066</v>
      </c>
      <c r="AF80" s="112" t="s">
        <v>1066</v>
      </c>
      <c r="AG80" s="112" t="s">
        <v>1066</v>
      </c>
      <c r="AH80" s="112" t="s">
        <v>1463</v>
      </c>
      <c r="AI80" s="112" t="s">
        <v>785</v>
      </c>
      <c r="AJ80" s="112">
        <v>8965141</v>
      </c>
      <c r="AK80" s="112" t="s">
        <v>502</v>
      </c>
      <c r="AL80" s="112">
        <v>770359</v>
      </c>
      <c r="AM80" s="112" t="s">
        <v>1066</v>
      </c>
      <c r="AN80" s="112" t="s">
        <v>1066</v>
      </c>
    </row>
    <row r="81" spans="1:40" ht="55.5" customHeight="1" x14ac:dyDescent="0.25">
      <c r="A81" s="111" t="s">
        <v>1464</v>
      </c>
      <c r="B81" s="112">
        <v>2026</v>
      </c>
      <c r="C81" s="112" t="s">
        <v>1057</v>
      </c>
      <c r="D81" s="113">
        <v>46122.378541666665</v>
      </c>
      <c r="E81" s="112">
        <v>7900485025</v>
      </c>
      <c r="F81" s="112" t="s">
        <v>95</v>
      </c>
      <c r="G81" s="112">
        <v>2</v>
      </c>
      <c r="H81" s="112">
        <v>7900485025</v>
      </c>
      <c r="I81" s="112" t="s">
        <v>1465</v>
      </c>
      <c r="J81" s="112" t="s">
        <v>1059</v>
      </c>
      <c r="K81" s="112" t="s">
        <v>1060</v>
      </c>
      <c r="L81" s="112" t="s">
        <v>1061</v>
      </c>
      <c r="M81" s="112" t="s">
        <v>478</v>
      </c>
      <c r="N81" s="113">
        <v>46522.378541666665</v>
      </c>
      <c r="O81" s="114">
        <v>19002295952</v>
      </c>
      <c r="P81" s="112">
        <v>627</v>
      </c>
      <c r="Q81" s="112" t="s">
        <v>1062</v>
      </c>
      <c r="R81" s="112" t="s">
        <v>1063</v>
      </c>
      <c r="S81" s="113">
        <v>46150.615277777775</v>
      </c>
      <c r="T81" s="112" t="s">
        <v>1466</v>
      </c>
      <c r="U81" s="112" t="s">
        <v>1065</v>
      </c>
      <c r="V81" s="112" t="s">
        <v>1066</v>
      </c>
      <c r="W81" s="112" t="s">
        <v>1066</v>
      </c>
      <c r="X81" s="112" t="s">
        <v>1066</v>
      </c>
      <c r="Y81" s="112" t="s">
        <v>1066</v>
      </c>
      <c r="Z81" s="112" t="s">
        <v>1066</v>
      </c>
      <c r="AA81" s="112" t="s">
        <v>1067</v>
      </c>
      <c r="AB81" s="112" t="s">
        <v>1066</v>
      </c>
      <c r="AC81" s="112" t="s">
        <v>92</v>
      </c>
      <c r="AD81" s="112" t="s">
        <v>1066</v>
      </c>
      <c r="AE81" s="112" t="s">
        <v>1066</v>
      </c>
      <c r="AF81" s="112" t="s">
        <v>1066</v>
      </c>
      <c r="AG81" s="112" t="s">
        <v>1066</v>
      </c>
      <c r="AH81" s="112" t="s">
        <v>1066</v>
      </c>
      <c r="AI81" s="112" t="s">
        <v>785</v>
      </c>
      <c r="AJ81" s="112">
        <v>9152929</v>
      </c>
      <c r="AK81" s="112" t="s">
        <v>93</v>
      </c>
      <c r="AL81" s="112">
        <v>714251</v>
      </c>
      <c r="AM81" s="112" t="s">
        <v>1066</v>
      </c>
      <c r="AN81" s="112" t="s">
        <v>1066</v>
      </c>
    </row>
    <row r="82" spans="1:40" ht="55.5" customHeight="1" x14ac:dyDescent="0.25">
      <c r="A82" s="111" t="s">
        <v>1467</v>
      </c>
      <c r="B82" s="112">
        <v>2026</v>
      </c>
      <c r="C82" s="112" t="s">
        <v>1089</v>
      </c>
      <c r="D82" s="113">
        <v>46028.41065972222</v>
      </c>
      <c r="E82" s="112">
        <v>7913667006</v>
      </c>
      <c r="F82" s="112" t="s">
        <v>1468</v>
      </c>
      <c r="G82" s="112">
        <v>3</v>
      </c>
      <c r="H82" s="112">
        <v>7913667006</v>
      </c>
      <c r="I82" s="112" t="s">
        <v>1469</v>
      </c>
      <c r="J82" s="112" t="s">
        <v>1092</v>
      </c>
      <c r="K82" s="112" t="s">
        <v>1093</v>
      </c>
      <c r="L82" s="112" t="s">
        <v>1061</v>
      </c>
      <c r="M82" s="112" t="s">
        <v>478</v>
      </c>
      <c r="N82" s="113">
        <v>46428.41065972222</v>
      </c>
      <c r="O82" s="114">
        <v>19002214174</v>
      </c>
      <c r="P82" s="112">
        <v>263</v>
      </c>
      <c r="Q82" s="112" t="s">
        <v>1062</v>
      </c>
      <c r="R82" s="112" t="s">
        <v>1063</v>
      </c>
      <c r="S82" s="113">
        <v>46149.72960648148</v>
      </c>
      <c r="T82" s="112" t="s">
        <v>1470</v>
      </c>
      <c r="U82" s="112" t="s">
        <v>1065</v>
      </c>
      <c r="V82" s="112" t="s">
        <v>1066</v>
      </c>
      <c r="W82" s="112" t="s">
        <v>1066</v>
      </c>
      <c r="X82" s="112" t="s">
        <v>1066</v>
      </c>
      <c r="Y82" s="112" t="s">
        <v>1066</v>
      </c>
      <c r="Z82" s="112" t="s">
        <v>1066</v>
      </c>
      <c r="AA82" s="112" t="s">
        <v>1067</v>
      </c>
      <c r="AB82" s="112" t="s">
        <v>1066</v>
      </c>
      <c r="AC82" s="112" t="s">
        <v>92</v>
      </c>
      <c r="AD82" s="112" t="s">
        <v>1066</v>
      </c>
      <c r="AE82" s="112" t="s">
        <v>1066</v>
      </c>
      <c r="AF82" s="112" t="s">
        <v>1066</v>
      </c>
      <c r="AG82" s="112" t="s">
        <v>1066</v>
      </c>
      <c r="AH82" s="112" t="s">
        <v>1066</v>
      </c>
      <c r="AI82" s="112" t="s">
        <v>785</v>
      </c>
      <c r="AJ82" s="112">
        <v>8941787</v>
      </c>
      <c r="AK82" s="112" t="s">
        <v>1243</v>
      </c>
      <c r="AL82" s="112">
        <v>788786</v>
      </c>
      <c r="AM82" s="112" t="s">
        <v>1066</v>
      </c>
      <c r="AN82" s="112" t="s">
        <v>1066</v>
      </c>
    </row>
    <row r="83" spans="1:40" ht="55.5" customHeight="1" x14ac:dyDescent="0.25">
      <c r="A83" s="111" t="s">
        <v>1471</v>
      </c>
      <c r="B83" s="112">
        <v>2026</v>
      </c>
      <c r="C83" s="112" t="s">
        <v>1472</v>
      </c>
      <c r="D83" s="113">
        <v>46031.634872685187</v>
      </c>
      <c r="E83" s="112">
        <v>8803956122</v>
      </c>
      <c r="F83" s="112" t="s">
        <v>412</v>
      </c>
      <c r="G83" s="112">
        <v>2</v>
      </c>
      <c r="H83" s="112">
        <v>7953298122</v>
      </c>
      <c r="I83" s="112" t="s">
        <v>1473</v>
      </c>
      <c r="J83" s="112" t="s">
        <v>1157</v>
      </c>
      <c r="K83" s="112" t="s">
        <v>1417</v>
      </c>
      <c r="L83" s="112" t="s">
        <v>1084</v>
      </c>
      <c r="M83" s="112" t="s">
        <v>478</v>
      </c>
      <c r="N83" s="113">
        <v>46091.634872685187</v>
      </c>
      <c r="O83" s="114">
        <v>19002744570</v>
      </c>
      <c r="P83" s="112">
        <v>1.0329999999999999</v>
      </c>
      <c r="Q83" s="112" t="s">
        <v>1131</v>
      </c>
      <c r="R83" s="112" t="s">
        <v>1063</v>
      </c>
      <c r="S83" s="113">
        <v>46051.663194444445</v>
      </c>
      <c r="T83" s="112" t="s">
        <v>1474</v>
      </c>
      <c r="U83" s="112" t="s">
        <v>1065</v>
      </c>
      <c r="V83" s="112" t="s">
        <v>1066</v>
      </c>
      <c r="W83" s="112" t="s">
        <v>1066</v>
      </c>
      <c r="X83" s="112" t="s">
        <v>983</v>
      </c>
      <c r="Y83" s="112" t="s">
        <v>1066</v>
      </c>
      <c r="Z83" s="112" t="s">
        <v>1133</v>
      </c>
      <c r="AA83" s="112" t="s">
        <v>1067</v>
      </c>
      <c r="AB83" s="112" t="s">
        <v>1066</v>
      </c>
      <c r="AC83" s="112" t="s">
        <v>92</v>
      </c>
      <c r="AD83" s="112" t="s">
        <v>1066</v>
      </c>
      <c r="AE83" s="112" t="s">
        <v>1066</v>
      </c>
      <c r="AF83" s="112" t="s">
        <v>1066</v>
      </c>
      <c r="AG83" s="112" t="s">
        <v>1066</v>
      </c>
      <c r="AH83" s="112" t="s">
        <v>1066</v>
      </c>
      <c r="AI83" s="112" t="s">
        <v>785</v>
      </c>
      <c r="AJ83" s="112">
        <v>8875975</v>
      </c>
      <c r="AK83" s="112" t="s">
        <v>264</v>
      </c>
      <c r="AL83" s="112">
        <v>790188</v>
      </c>
      <c r="AM83" s="112" t="s">
        <v>1066</v>
      </c>
      <c r="AN83" s="112" t="s">
        <v>1066</v>
      </c>
    </row>
    <row r="84" spans="1:40" ht="55.5" customHeight="1" x14ac:dyDescent="0.25">
      <c r="A84" s="111" t="s">
        <v>1475</v>
      </c>
      <c r="B84" s="112">
        <v>2026</v>
      </c>
      <c r="C84" s="112" t="s">
        <v>1476</v>
      </c>
      <c r="D84" s="113">
        <v>46051.434999999998</v>
      </c>
      <c r="E84" s="112">
        <v>8800592186</v>
      </c>
      <c r="F84" s="112" t="s">
        <v>1236</v>
      </c>
      <c r="G84" s="112">
        <v>2</v>
      </c>
      <c r="H84" s="112">
        <v>5844369186</v>
      </c>
      <c r="I84" s="112" t="s">
        <v>1477</v>
      </c>
      <c r="J84" s="112" t="s">
        <v>1071</v>
      </c>
      <c r="K84" s="112" t="s">
        <v>1399</v>
      </c>
      <c r="L84" s="112" t="s">
        <v>1073</v>
      </c>
      <c r="M84" s="112" t="s">
        <v>478</v>
      </c>
      <c r="N84" s="113">
        <v>46054.452673611115</v>
      </c>
      <c r="O84" s="114">
        <v>19002317752</v>
      </c>
      <c r="P84" s="112">
        <v>751</v>
      </c>
      <c r="Q84" s="112" t="s">
        <v>1074</v>
      </c>
      <c r="R84" s="112" t="s">
        <v>1263</v>
      </c>
      <c r="S84" s="113">
        <v>46072.610300925924</v>
      </c>
      <c r="T84" s="112" t="s">
        <v>1478</v>
      </c>
      <c r="U84" s="112" t="s">
        <v>1065</v>
      </c>
      <c r="V84" s="112" t="s">
        <v>1066</v>
      </c>
      <c r="W84" s="112" t="s">
        <v>1066</v>
      </c>
      <c r="X84" s="112" t="s">
        <v>1173</v>
      </c>
      <c r="Y84" s="112" t="s">
        <v>1066</v>
      </c>
      <c r="Z84" s="112" t="s">
        <v>1479</v>
      </c>
      <c r="AA84" s="112" t="s">
        <v>1067</v>
      </c>
      <c r="AB84" s="112" t="s">
        <v>1066</v>
      </c>
      <c r="AC84" s="112" t="s">
        <v>92</v>
      </c>
      <c r="AD84" s="112" t="s">
        <v>1066</v>
      </c>
      <c r="AE84" s="112" t="s">
        <v>1066</v>
      </c>
      <c r="AF84" s="112" t="s">
        <v>1066</v>
      </c>
      <c r="AG84" s="112" t="s">
        <v>1066</v>
      </c>
      <c r="AH84" s="112" t="s">
        <v>1480</v>
      </c>
      <c r="AI84" s="112" t="s">
        <v>785</v>
      </c>
      <c r="AJ84" s="112">
        <v>8584277</v>
      </c>
      <c r="AK84" s="112" t="s">
        <v>1438</v>
      </c>
      <c r="AL84" s="112">
        <v>761730</v>
      </c>
      <c r="AM84" s="112" t="s">
        <v>1066</v>
      </c>
      <c r="AN84" s="112" t="s">
        <v>1066</v>
      </c>
    </row>
    <row r="85" spans="1:40" ht="55.5" customHeight="1" x14ac:dyDescent="0.25">
      <c r="A85" s="111" t="s">
        <v>1481</v>
      </c>
      <c r="B85" s="112">
        <v>2026</v>
      </c>
      <c r="C85" s="112" t="s">
        <v>1482</v>
      </c>
      <c r="D85" s="113">
        <v>46182.684942129628</v>
      </c>
      <c r="E85" s="112">
        <v>9008203091</v>
      </c>
      <c r="F85" s="112" t="s">
        <v>1483</v>
      </c>
      <c r="G85" s="112">
        <v>3</v>
      </c>
      <c r="H85" s="112">
        <v>7908203091</v>
      </c>
      <c r="I85" s="112" t="s">
        <v>1484</v>
      </c>
      <c r="J85" s="112" t="s">
        <v>1071</v>
      </c>
      <c r="K85" s="112" t="s">
        <v>1485</v>
      </c>
      <c r="L85" s="112" t="s">
        <v>1073</v>
      </c>
      <c r="M85" s="112" t="s">
        <v>478</v>
      </c>
      <c r="N85" s="113">
        <v>46185.684942129628</v>
      </c>
      <c r="O85" s="114">
        <v>19000138438</v>
      </c>
      <c r="P85" s="112">
        <v>123</v>
      </c>
      <c r="Q85" s="112" t="s">
        <v>1131</v>
      </c>
      <c r="R85" s="112" t="s">
        <v>1075</v>
      </c>
      <c r="S85" s="113">
        <v>46196.49318287037</v>
      </c>
      <c r="T85" s="112" t="s">
        <v>1486</v>
      </c>
      <c r="U85" s="112" t="s">
        <v>1065</v>
      </c>
      <c r="V85" s="112" t="s">
        <v>1066</v>
      </c>
      <c r="W85" s="112" t="s">
        <v>1066</v>
      </c>
      <c r="X85" s="112" t="s">
        <v>983</v>
      </c>
      <c r="Y85" s="112" t="s">
        <v>1066</v>
      </c>
      <c r="Z85" s="112" t="s">
        <v>1148</v>
      </c>
      <c r="AA85" s="112" t="s">
        <v>1067</v>
      </c>
      <c r="AB85" s="112" t="s">
        <v>1066</v>
      </c>
      <c r="AC85" s="112" t="s">
        <v>92</v>
      </c>
      <c r="AD85" s="112" t="s">
        <v>1142</v>
      </c>
      <c r="AE85" s="112" t="s">
        <v>1066</v>
      </c>
      <c r="AF85" s="112" t="s">
        <v>1066</v>
      </c>
      <c r="AG85" s="112" t="s">
        <v>1066</v>
      </c>
      <c r="AH85" s="112" t="s">
        <v>1066</v>
      </c>
      <c r="AI85" s="112" t="s">
        <v>785</v>
      </c>
      <c r="AJ85" s="112">
        <v>8725519</v>
      </c>
      <c r="AK85" s="112" t="s">
        <v>40</v>
      </c>
      <c r="AL85" s="112">
        <v>914621</v>
      </c>
      <c r="AM85" s="112" t="s">
        <v>1066</v>
      </c>
      <c r="AN85" s="112" t="s">
        <v>1066</v>
      </c>
    </row>
    <row r="86" spans="1:40" ht="55.5" customHeight="1" x14ac:dyDescent="0.25">
      <c r="A86" s="111" t="s">
        <v>1487</v>
      </c>
      <c r="B86" s="112">
        <v>2026</v>
      </c>
      <c r="C86" s="112" t="s">
        <v>1240</v>
      </c>
      <c r="D86" s="113">
        <v>46183.597349537034</v>
      </c>
      <c r="E86" s="112">
        <v>7930420122</v>
      </c>
      <c r="F86" s="112" t="s">
        <v>1488</v>
      </c>
      <c r="G86" s="112">
        <v>2</v>
      </c>
      <c r="H86" s="112">
        <v>7930420122</v>
      </c>
      <c r="I86" s="112" t="s">
        <v>1489</v>
      </c>
      <c r="J86" s="112" t="s">
        <v>1066</v>
      </c>
      <c r="K86" s="112" t="s">
        <v>1125</v>
      </c>
      <c r="L86" s="112" t="s">
        <v>1061</v>
      </c>
      <c r="M86" s="112" t="s">
        <v>478</v>
      </c>
      <c r="N86" s="113">
        <v>46583.597349537034</v>
      </c>
      <c r="O86" s="114">
        <v>19002206966</v>
      </c>
      <c r="P86" s="112">
        <v>0</v>
      </c>
      <c r="Q86" s="112" t="s">
        <v>1062</v>
      </c>
      <c r="R86" s="112" t="s">
        <v>1063</v>
      </c>
      <c r="S86" s="113">
        <v>46199.402870370373</v>
      </c>
      <c r="T86" s="112" t="s">
        <v>1490</v>
      </c>
      <c r="U86" s="112" t="s">
        <v>1065</v>
      </c>
      <c r="V86" s="112" t="s">
        <v>1066</v>
      </c>
      <c r="W86" s="112" t="s">
        <v>1066</v>
      </c>
      <c r="X86" s="112" t="s">
        <v>1066</v>
      </c>
      <c r="Y86" s="112" t="s">
        <v>1066</v>
      </c>
      <c r="Z86" s="112" t="s">
        <v>1066</v>
      </c>
      <c r="AA86" s="112" t="s">
        <v>1067</v>
      </c>
      <c r="AB86" s="112" t="s">
        <v>1066</v>
      </c>
      <c r="AC86" s="112" t="s">
        <v>92</v>
      </c>
      <c r="AD86" s="112" t="s">
        <v>1066</v>
      </c>
      <c r="AE86" s="112" t="s">
        <v>1066</v>
      </c>
      <c r="AF86" s="112" t="s">
        <v>1066</v>
      </c>
      <c r="AG86" s="112" t="s">
        <v>1066</v>
      </c>
      <c r="AH86" s="112" t="s">
        <v>1066</v>
      </c>
      <c r="AI86" s="112" t="s">
        <v>785</v>
      </c>
      <c r="AJ86" s="112">
        <v>8873392</v>
      </c>
      <c r="AK86" s="112" t="s">
        <v>264</v>
      </c>
      <c r="AL86" s="112">
        <v>792403</v>
      </c>
      <c r="AM86" s="112" t="s">
        <v>1066</v>
      </c>
      <c r="AN86" s="112" t="s">
        <v>1066</v>
      </c>
    </row>
    <row r="87" spans="1:40" ht="55.5" customHeight="1" x14ac:dyDescent="0.25">
      <c r="A87" s="111" t="s">
        <v>1491</v>
      </c>
      <c r="B87" s="112">
        <v>2026</v>
      </c>
      <c r="C87" s="112" t="s">
        <v>1492</v>
      </c>
      <c r="D87" s="113">
        <v>46161.695787037039</v>
      </c>
      <c r="E87" s="112">
        <v>8801665009</v>
      </c>
      <c r="F87" s="112" t="s">
        <v>360</v>
      </c>
      <c r="G87" s="112">
        <v>3</v>
      </c>
      <c r="H87" s="112" t="s">
        <v>1066</v>
      </c>
      <c r="I87" s="112" t="s">
        <v>1493</v>
      </c>
      <c r="J87" s="112" t="s">
        <v>1231</v>
      </c>
      <c r="K87" s="112" t="s">
        <v>1494</v>
      </c>
      <c r="L87" s="112" t="s">
        <v>1084</v>
      </c>
      <c r="M87" s="112" t="s">
        <v>478</v>
      </c>
      <c r="N87" s="113">
        <v>46235.703715277778</v>
      </c>
      <c r="O87" s="114">
        <v>19002830159</v>
      </c>
      <c r="P87" s="112">
        <v>3.3780000000000001</v>
      </c>
      <c r="Q87" s="112" t="s">
        <v>1262</v>
      </c>
      <c r="R87" s="112" t="s">
        <v>1206</v>
      </c>
      <c r="S87" s="113">
        <v>46247.729432870372</v>
      </c>
      <c r="T87" s="112" t="s">
        <v>1495</v>
      </c>
      <c r="U87" s="112" t="s">
        <v>1065</v>
      </c>
      <c r="V87" s="112" t="s">
        <v>1066</v>
      </c>
      <c r="W87" s="112" t="s">
        <v>1066</v>
      </c>
      <c r="X87" s="112" t="s">
        <v>1066</v>
      </c>
      <c r="Y87" s="112" t="s">
        <v>1066</v>
      </c>
      <c r="Z87" s="112" t="s">
        <v>1066</v>
      </c>
      <c r="AA87" s="112" t="s">
        <v>1067</v>
      </c>
      <c r="AB87" s="112" t="s">
        <v>1066</v>
      </c>
      <c r="AC87" s="112" t="s">
        <v>92</v>
      </c>
      <c r="AD87" s="112" t="s">
        <v>1066</v>
      </c>
      <c r="AE87" s="112" t="s">
        <v>1066</v>
      </c>
      <c r="AF87" s="112" t="s">
        <v>1066</v>
      </c>
      <c r="AG87" s="112" t="s">
        <v>1066</v>
      </c>
      <c r="AH87" s="112" t="s">
        <v>1496</v>
      </c>
      <c r="AI87" s="112" t="s">
        <v>785</v>
      </c>
      <c r="AJ87" s="112">
        <v>9046586</v>
      </c>
      <c r="AK87" s="112" t="s">
        <v>106</v>
      </c>
      <c r="AL87" s="112">
        <v>776906</v>
      </c>
      <c r="AM87" s="112" t="s">
        <v>1497</v>
      </c>
      <c r="AN87" s="112" t="s">
        <v>1066</v>
      </c>
    </row>
    <row r="88" spans="1:40" ht="55.5" customHeight="1" x14ac:dyDescent="0.25">
      <c r="A88" s="111" t="s">
        <v>1498</v>
      </c>
      <c r="B88" s="112">
        <v>2026</v>
      </c>
      <c r="C88" s="112" t="s">
        <v>1213</v>
      </c>
      <c r="D88" s="113">
        <v>46122.549942129626</v>
      </c>
      <c r="E88" s="112">
        <v>7925853004</v>
      </c>
      <c r="F88" s="112" t="s">
        <v>1499</v>
      </c>
      <c r="G88" s="112">
        <v>3</v>
      </c>
      <c r="H88" s="112">
        <v>7925853004</v>
      </c>
      <c r="I88" s="112" t="s">
        <v>1500</v>
      </c>
      <c r="J88" s="112" t="s">
        <v>1066</v>
      </c>
      <c r="K88" s="112" t="s">
        <v>1125</v>
      </c>
      <c r="L88" s="112" t="s">
        <v>1061</v>
      </c>
      <c r="M88" s="112" t="s">
        <v>478</v>
      </c>
      <c r="N88" s="113">
        <v>46522.549942129626</v>
      </c>
      <c r="O88" s="114">
        <v>19002205666</v>
      </c>
      <c r="P88" s="112">
        <v>1.911</v>
      </c>
      <c r="Q88" s="112" t="s">
        <v>1062</v>
      </c>
      <c r="R88" s="112" t="s">
        <v>1063</v>
      </c>
      <c r="S88" s="113">
        <v>46129.470833333333</v>
      </c>
      <c r="T88" s="112" t="s">
        <v>1501</v>
      </c>
      <c r="U88" s="112" t="s">
        <v>1065</v>
      </c>
      <c r="V88" s="112" t="s">
        <v>1066</v>
      </c>
      <c r="W88" s="112" t="s">
        <v>1066</v>
      </c>
      <c r="X88" s="112" t="s">
        <v>1066</v>
      </c>
      <c r="Y88" s="112" t="s">
        <v>1066</v>
      </c>
      <c r="Z88" s="112" t="s">
        <v>1066</v>
      </c>
      <c r="AA88" s="112" t="s">
        <v>1067</v>
      </c>
      <c r="AB88" s="112" t="s">
        <v>1066</v>
      </c>
      <c r="AC88" s="112" t="s">
        <v>92</v>
      </c>
      <c r="AD88" s="112" t="s">
        <v>1066</v>
      </c>
      <c r="AE88" s="112" t="s">
        <v>1066</v>
      </c>
      <c r="AF88" s="112" t="s">
        <v>1066</v>
      </c>
      <c r="AG88" s="112" t="s">
        <v>1066</v>
      </c>
      <c r="AH88" s="112" t="s">
        <v>1066</v>
      </c>
      <c r="AI88" s="112" t="s">
        <v>785</v>
      </c>
      <c r="AJ88" s="112">
        <v>9199636</v>
      </c>
      <c r="AK88" s="112" t="s">
        <v>69</v>
      </c>
      <c r="AL88" s="112">
        <v>803546</v>
      </c>
      <c r="AM88" s="112" t="s">
        <v>1066</v>
      </c>
      <c r="AN88" s="112" t="s">
        <v>1066</v>
      </c>
    </row>
    <row r="89" spans="1:40" ht="55.5" customHeight="1" x14ac:dyDescent="0.25">
      <c r="A89" s="111" t="s">
        <v>1502</v>
      </c>
      <c r="B89" s="112">
        <v>2026</v>
      </c>
      <c r="C89" s="112" t="s">
        <v>1240</v>
      </c>
      <c r="D89" s="113">
        <v>46183.597349537034</v>
      </c>
      <c r="E89" s="112">
        <v>7919265012</v>
      </c>
      <c r="F89" s="112" t="s">
        <v>314</v>
      </c>
      <c r="G89" s="112">
        <v>2</v>
      </c>
      <c r="H89" s="112">
        <v>7919265012</v>
      </c>
      <c r="I89" s="112" t="s">
        <v>1503</v>
      </c>
      <c r="J89" s="112" t="s">
        <v>1066</v>
      </c>
      <c r="K89" s="112" t="s">
        <v>1125</v>
      </c>
      <c r="L89" s="112" t="s">
        <v>1061</v>
      </c>
      <c r="M89" s="112" t="s">
        <v>478</v>
      </c>
      <c r="N89" s="113">
        <v>46583.597349537034</v>
      </c>
      <c r="O89" s="114">
        <v>19002295991</v>
      </c>
      <c r="P89" s="112">
        <v>789</v>
      </c>
      <c r="Q89" s="112" t="s">
        <v>1062</v>
      </c>
      <c r="R89" s="112" t="s">
        <v>1063</v>
      </c>
      <c r="S89" s="113">
        <v>46239.730416666665</v>
      </c>
      <c r="T89" s="112" t="s">
        <v>1504</v>
      </c>
      <c r="U89" s="112" t="s">
        <v>1065</v>
      </c>
      <c r="V89" s="112" t="s">
        <v>1066</v>
      </c>
      <c r="W89" s="112" t="s">
        <v>1066</v>
      </c>
      <c r="X89" s="112" t="s">
        <v>1066</v>
      </c>
      <c r="Y89" s="112" t="s">
        <v>1066</v>
      </c>
      <c r="Z89" s="112" t="s">
        <v>1066</v>
      </c>
      <c r="AA89" s="112" t="s">
        <v>1067</v>
      </c>
      <c r="AB89" s="112" t="s">
        <v>1066</v>
      </c>
      <c r="AC89" s="112" t="s">
        <v>92</v>
      </c>
      <c r="AD89" s="112" t="s">
        <v>1066</v>
      </c>
      <c r="AE89" s="112" t="s">
        <v>1066</v>
      </c>
      <c r="AF89" s="112" t="s">
        <v>1066</v>
      </c>
      <c r="AG89" s="112" t="s">
        <v>1066</v>
      </c>
      <c r="AH89" s="112" t="s">
        <v>1066</v>
      </c>
      <c r="AI89" s="112" t="s">
        <v>785</v>
      </c>
      <c r="AJ89" s="112">
        <v>8833257</v>
      </c>
      <c r="AK89" s="112" t="s">
        <v>1505</v>
      </c>
      <c r="AL89" s="112">
        <v>680018</v>
      </c>
      <c r="AM89" s="112" t="s">
        <v>1066</v>
      </c>
      <c r="AN89" s="112" t="s">
        <v>1066</v>
      </c>
    </row>
    <row r="90" spans="1:40" ht="55.5" customHeight="1" x14ac:dyDescent="0.25">
      <c r="A90" s="111" t="s">
        <v>658</v>
      </c>
      <c r="B90" s="112">
        <v>2026</v>
      </c>
      <c r="C90" s="112" t="s">
        <v>1506</v>
      </c>
      <c r="D90" s="113">
        <v>46056.563356481478</v>
      </c>
      <c r="E90" s="112">
        <v>6820041084</v>
      </c>
      <c r="F90" s="112" t="s">
        <v>153</v>
      </c>
      <c r="G90" s="112">
        <v>3</v>
      </c>
      <c r="H90" s="112">
        <v>7954668084</v>
      </c>
      <c r="I90" s="112" t="s">
        <v>1507</v>
      </c>
      <c r="J90" s="112" t="s">
        <v>1071</v>
      </c>
      <c r="K90" s="112" t="s">
        <v>1508</v>
      </c>
      <c r="L90" s="112" t="s">
        <v>1073</v>
      </c>
      <c r="M90" s="112" t="s">
        <v>478</v>
      </c>
      <c r="N90" s="113">
        <v>46195.398854166669</v>
      </c>
      <c r="O90" s="114">
        <v>19002714137</v>
      </c>
      <c r="P90" s="112">
        <v>140</v>
      </c>
      <c r="Q90" s="112" t="s">
        <v>1131</v>
      </c>
      <c r="R90" s="112" t="s">
        <v>1075</v>
      </c>
      <c r="S90" s="113">
        <v>46210.479409722226</v>
      </c>
      <c r="T90" s="112" t="s">
        <v>1509</v>
      </c>
      <c r="U90" s="112" t="s">
        <v>1065</v>
      </c>
      <c r="V90" s="112" t="s">
        <v>1066</v>
      </c>
      <c r="W90" s="112" t="s">
        <v>1066</v>
      </c>
      <c r="X90" s="112" t="s">
        <v>1117</v>
      </c>
      <c r="Y90" s="112" t="s">
        <v>1066</v>
      </c>
      <c r="Z90" s="112" t="s">
        <v>1174</v>
      </c>
      <c r="AA90" s="112" t="s">
        <v>1067</v>
      </c>
      <c r="AB90" s="112" t="s">
        <v>1066</v>
      </c>
      <c r="AC90" s="112" t="s">
        <v>92</v>
      </c>
      <c r="AD90" s="112" t="s">
        <v>1066</v>
      </c>
      <c r="AE90" s="112" t="s">
        <v>1066</v>
      </c>
      <c r="AF90" s="112" t="s">
        <v>1066</v>
      </c>
      <c r="AG90" s="112" t="s">
        <v>1066</v>
      </c>
      <c r="AH90" s="112" t="s">
        <v>1510</v>
      </c>
      <c r="AI90" s="112" t="s">
        <v>785</v>
      </c>
      <c r="AJ90" s="112">
        <v>8908376</v>
      </c>
      <c r="AK90" s="112" t="s">
        <v>1311</v>
      </c>
      <c r="AL90" s="112">
        <v>700668</v>
      </c>
      <c r="AM90" s="112" t="s">
        <v>1066</v>
      </c>
      <c r="AN90" s="112" t="s">
        <v>1066</v>
      </c>
    </row>
    <row r="91" spans="1:40" ht="55.5" customHeight="1" x14ac:dyDescent="0.25">
      <c r="A91" s="111" t="s">
        <v>660</v>
      </c>
      <c r="B91" s="112">
        <v>2026</v>
      </c>
      <c r="C91" s="112" t="s">
        <v>1511</v>
      </c>
      <c r="D91" s="113">
        <v>46044.462106481478</v>
      </c>
      <c r="E91" s="112">
        <v>7908708116</v>
      </c>
      <c r="F91" s="112" t="s">
        <v>43</v>
      </c>
      <c r="G91" s="112">
        <v>2</v>
      </c>
      <c r="H91" s="112">
        <v>7908708116</v>
      </c>
      <c r="I91" s="112" t="s">
        <v>1512</v>
      </c>
      <c r="J91" s="112" t="s">
        <v>1059</v>
      </c>
      <c r="K91" s="112" t="s">
        <v>1060</v>
      </c>
      <c r="L91" s="112" t="s">
        <v>1061</v>
      </c>
      <c r="M91" s="112" t="s">
        <v>478</v>
      </c>
      <c r="N91" s="113">
        <v>46602.650173611109</v>
      </c>
      <c r="O91" s="114">
        <v>19002295982</v>
      </c>
      <c r="P91" s="112">
        <v>219</v>
      </c>
      <c r="Q91" s="112" t="s">
        <v>1062</v>
      </c>
      <c r="R91" s="112" t="s">
        <v>1075</v>
      </c>
      <c r="S91" s="113">
        <v>46211.330231481479</v>
      </c>
      <c r="T91" s="112" t="s">
        <v>1513</v>
      </c>
      <c r="U91" s="112" t="s">
        <v>1065</v>
      </c>
      <c r="V91" s="112" t="s">
        <v>1066</v>
      </c>
      <c r="W91" s="112" t="s">
        <v>1066</v>
      </c>
      <c r="X91" s="112" t="s">
        <v>1066</v>
      </c>
      <c r="Y91" s="112" t="s">
        <v>1066</v>
      </c>
      <c r="Z91" s="112" t="s">
        <v>1066</v>
      </c>
      <c r="AA91" s="112" t="s">
        <v>1067</v>
      </c>
      <c r="AB91" s="112" t="s">
        <v>1066</v>
      </c>
      <c r="AC91" s="112" t="s">
        <v>92</v>
      </c>
      <c r="AD91" s="112" t="s">
        <v>1066</v>
      </c>
      <c r="AE91" s="112" t="s">
        <v>1066</v>
      </c>
      <c r="AF91" s="112" t="s">
        <v>1066</v>
      </c>
      <c r="AG91" s="112" t="s">
        <v>1066</v>
      </c>
      <c r="AH91" s="112" t="s">
        <v>1514</v>
      </c>
      <c r="AI91" s="112" t="s">
        <v>785</v>
      </c>
      <c r="AJ91" s="112">
        <v>8722032</v>
      </c>
      <c r="AK91" s="112" t="s">
        <v>215</v>
      </c>
      <c r="AL91" s="112">
        <v>849089</v>
      </c>
      <c r="AM91" s="112" t="s">
        <v>1066</v>
      </c>
      <c r="AN91" s="112" t="s">
        <v>1066</v>
      </c>
    </row>
    <row r="92" spans="1:40" ht="55.5" customHeight="1" x14ac:dyDescent="0.25">
      <c r="A92" s="111" t="s">
        <v>644</v>
      </c>
      <c r="B92" s="112">
        <v>2026</v>
      </c>
      <c r="C92" s="112" t="s">
        <v>1515</v>
      </c>
      <c r="D92" s="113">
        <v>46223.87090277778</v>
      </c>
      <c r="E92" s="112">
        <v>7900001096</v>
      </c>
      <c r="F92" s="112" t="s">
        <v>136</v>
      </c>
      <c r="G92" s="112">
        <v>2</v>
      </c>
      <c r="H92" s="112">
        <v>7900001096</v>
      </c>
      <c r="I92" s="112" t="s">
        <v>1516</v>
      </c>
      <c r="J92" s="112" t="s">
        <v>1071</v>
      </c>
      <c r="K92" s="112" t="s">
        <v>1072</v>
      </c>
      <c r="L92" s="112" t="s">
        <v>1073</v>
      </c>
      <c r="M92" s="112" t="s">
        <v>478</v>
      </c>
      <c r="N92" s="113">
        <v>46226.87090277778</v>
      </c>
      <c r="O92" s="114">
        <v>19002223566</v>
      </c>
      <c r="P92" s="112">
        <v>275</v>
      </c>
      <c r="Q92" s="112" t="s">
        <v>1062</v>
      </c>
      <c r="R92" s="112" t="s">
        <v>1075</v>
      </c>
      <c r="S92" s="113">
        <v>46232.729895833334</v>
      </c>
      <c r="T92" s="112" t="s">
        <v>1517</v>
      </c>
      <c r="U92" s="112" t="s">
        <v>1065</v>
      </c>
      <c r="V92" s="112" t="s">
        <v>1066</v>
      </c>
      <c r="W92" s="112" t="s">
        <v>1066</v>
      </c>
      <c r="X92" s="112" t="s">
        <v>983</v>
      </c>
      <c r="Y92" s="112" t="s">
        <v>1066</v>
      </c>
      <c r="Z92" s="112" t="s">
        <v>1078</v>
      </c>
      <c r="AA92" s="112" t="s">
        <v>1067</v>
      </c>
      <c r="AB92" s="112" t="s">
        <v>1066</v>
      </c>
      <c r="AC92" s="112" t="s">
        <v>92</v>
      </c>
      <c r="AD92" s="112" t="s">
        <v>1066</v>
      </c>
      <c r="AE92" s="112" t="s">
        <v>1066</v>
      </c>
      <c r="AF92" s="112" t="s">
        <v>1066</v>
      </c>
      <c r="AG92" s="112" t="s">
        <v>1066</v>
      </c>
      <c r="AH92" s="112" t="s">
        <v>1066</v>
      </c>
      <c r="AI92" s="112" t="s">
        <v>785</v>
      </c>
      <c r="AJ92" s="112">
        <v>8767029</v>
      </c>
      <c r="AK92" s="112" t="s">
        <v>310</v>
      </c>
      <c r="AL92" s="112">
        <v>874594</v>
      </c>
      <c r="AM92" s="112" t="s">
        <v>1066</v>
      </c>
      <c r="AN92" s="112" t="s">
        <v>1066</v>
      </c>
    </row>
    <row r="93" spans="1:40" ht="55.5" customHeight="1" x14ac:dyDescent="0.25">
      <c r="A93" s="111" t="s">
        <v>1518</v>
      </c>
      <c r="B93" s="112">
        <v>2026</v>
      </c>
      <c r="C93" s="112" t="s">
        <v>1210</v>
      </c>
      <c r="D93" s="113">
        <v>46114.608900462961</v>
      </c>
      <c r="E93" s="112">
        <v>7954050193</v>
      </c>
      <c r="F93" s="112" t="s">
        <v>370</v>
      </c>
      <c r="G93" s="112">
        <v>2</v>
      </c>
      <c r="H93" s="112">
        <v>7954050193</v>
      </c>
      <c r="I93" s="112" t="s">
        <v>1519</v>
      </c>
      <c r="J93" s="112" t="s">
        <v>1066</v>
      </c>
      <c r="K93" s="112" t="s">
        <v>1125</v>
      </c>
      <c r="L93" s="112" t="s">
        <v>1061</v>
      </c>
      <c r="M93" s="112" t="s">
        <v>478</v>
      </c>
      <c r="N93" s="113">
        <v>46514.608900462961</v>
      </c>
      <c r="O93" s="114">
        <v>19002703459</v>
      </c>
      <c r="P93" s="112">
        <v>73</v>
      </c>
      <c r="Q93" s="112" t="s">
        <v>1062</v>
      </c>
      <c r="R93" s="112" t="s">
        <v>1063</v>
      </c>
      <c r="S93" s="113">
        <v>46149.734259259261</v>
      </c>
      <c r="T93" s="112" t="s">
        <v>1520</v>
      </c>
      <c r="U93" s="112" t="s">
        <v>1065</v>
      </c>
      <c r="V93" s="112" t="s">
        <v>1066</v>
      </c>
      <c r="W93" s="112" t="s">
        <v>1066</v>
      </c>
      <c r="X93" s="112" t="s">
        <v>1066</v>
      </c>
      <c r="Y93" s="112" t="s">
        <v>1066</v>
      </c>
      <c r="Z93" s="112" t="s">
        <v>1066</v>
      </c>
      <c r="AA93" s="112" t="s">
        <v>1067</v>
      </c>
      <c r="AB93" s="112" t="s">
        <v>1066</v>
      </c>
      <c r="AC93" s="112" t="s">
        <v>92</v>
      </c>
      <c r="AD93" s="112" t="s">
        <v>1066</v>
      </c>
      <c r="AE93" s="112" t="s">
        <v>1066</v>
      </c>
      <c r="AF93" s="112" t="s">
        <v>1066</v>
      </c>
      <c r="AG93" s="112" t="s">
        <v>1066</v>
      </c>
      <c r="AH93" s="112" t="s">
        <v>1066</v>
      </c>
      <c r="AI93" s="112" t="s">
        <v>785</v>
      </c>
      <c r="AJ93" s="112">
        <v>9108971</v>
      </c>
      <c r="AK93" s="112" t="s">
        <v>369</v>
      </c>
      <c r="AL93" s="112">
        <v>957468</v>
      </c>
      <c r="AM93" s="112" t="s">
        <v>1066</v>
      </c>
      <c r="AN93" s="112" t="s">
        <v>1066</v>
      </c>
    </row>
    <row r="94" spans="1:40" ht="55.5" customHeight="1" x14ac:dyDescent="0.25">
      <c r="A94" s="111" t="s">
        <v>1521</v>
      </c>
      <c r="B94" s="112">
        <v>2026</v>
      </c>
      <c r="C94" s="112" t="s">
        <v>1213</v>
      </c>
      <c r="D94" s="113">
        <v>46122.549942129626</v>
      </c>
      <c r="E94" s="112">
        <v>7928461040</v>
      </c>
      <c r="F94" s="112" t="s">
        <v>716</v>
      </c>
      <c r="G94" s="112">
        <v>2</v>
      </c>
      <c r="H94" s="112">
        <v>7928461040</v>
      </c>
      <c r="I94" s="112" t="s">
        <v>1522</v>
      </c>
      <c r="J94" s="112" t="s">
        <v>1066</v>
      </c>
      <c r="K94" s="112" t="s">
        <v>1125</v>
      </c>
      <c r="L94" s="112" t="s">
        <v>1061</v>
      </c>
      <c r="M94" s="112" t="s">
        <v>478</v>
      </c>
      <c r="N94" s="113">
        <v>46522.549942129626</v>
      </c>
      <c r="O94" s="114">
        <v>19002202895</v>
      </c>
      <c r="P94" s="112">
        <v>3.3359999999999999</v>
      </c>
      <c r="Q94" s="112" t="s">
        <v>1062</v>
      </c>
      <c r="R94" s="112" t="s">
        <v>1063</v>
      </c>
      <c r="S94" s="113">
        <v>46134.729166666664</v>
      </c>
      <c r="T94" s="112" t="s">
        <v>1523</v>
      </c>
      <c r="U94" s="112" t="s">
        <v>1065</v>
      </c>
      <c r="V94" s="112" t="s">
        <v>1066</v>
      </c>
      <c r="W94" s="112" t="s">
        <v>1066</v>
      </c>
      <c r="X94" s="112" t="s">
        <v>1066</v>
      </c>
      <c r="Y94" s="112" t="s">
        <v>1066</v>
      </c>
      <c r="Z94" s="112" t="s">
        <v>1066</v>
      </c>
      <c r="AA94" s="112" t="s">
        <v>1067</v>
      </c>
      <c r="AB94" s="112" t="s">
        <v>1066</v>
      </c>
      <c r="AC94" s="112" t="s">
        <v>92</v>
      </c>
      <c r="AD94" s="112" t="s">
        <v>1066</v>
      </c>
      <c r="AE94" s="112" t="s">
        <v>1066</v>
      </c>
      <c r="AF94" s="112" t="s">
        <v>1066</v>
      </c>
      <c r="AG94" s="112" t="s">
        <v>1066</v>
      </c>
      <c r="AH94" s="112" t="s">
        <v>1066</v>
      </c>
      <c r="AI94" s="112" t="s">
        <v>785</v>
      </c>
      <c r="AJ94" s="112">
        <v>9206935</v>
      </c>
      <c r="AK94" s="112" t="s">
        <v>521</v>
      </c>
      <c r="AL94" s="112">
        <v>773524</v>
      </c>
      <c r="AM94" s="112" t="s">
        <v>1066</v>
      </c>
      <c r="AN94" s="112" t="s">
        <v>1066</v>
      </c>
    </row>
    <row r="95" spans="1:40" ht="55.5" customHeight="1" x14ac:dyDescent="0.25">
      <c r="A95" s="111" t="s">
        <v>1524</v>
      </c>
      <c r="B95" s="112">
        <v>2026</v>
      </c>
      <c r="C95" s="112" t="s">
        <v>1057</v>
      </c>
      <c r="D95" s="113">
        <v>46125.614548611113</v>
      </c>
      <c r="E95" s="112">
        <v>7931612059</v>
      </c>
      <c r="F95" s="112" t="s">
        <v>75</v>
      </c>
      <c r="G95" s="112">
        <v>2</v>
      </c>
      <c r="H95" s="112">
        <v>7931612059</v>
      </c>
      <c r="I95" s="112" t="s">
        <v>1525</v>
      </c>
      <c r="J95" s="112" t="s">
        <v>1066</v>
      </c>
      <c r="K95" s="112" t="s">
        <v>1125</v>
      </c>
      <c r="L95" s="112" t="s">
        <v>1061</v>
      </c>
      <c r="M95" s="112" t="s">
        <v>478</v>
      </c>
      <c r="N95" s="113">
        <v>46525.614548611113</v>
      </c>
      <c r="O95" s="114">
        <v>19002210148</v>
      </c>
      <c r="P95" s="112">
        <v>0</v>
      </c>
      <c r="Q95" s="112" t="s">
        <v>1062</v>
      </c>
      <c r="R95" s="112" t="s">
        <v>1063</v>
      </c>
      <c r="S95" s="113">
        <v>46176.479745370372</v>
      </c>
      <c r="T95" s="112" t="s">
        <v>1526</v>
      </c>
      <c r="U95" s="112" t="s">
        <v>1065</v>
      </c>
      <c r="V95" s="112" t="s">
        <v>1066</v>
      </c>
      <c r="W95" s="112" t="s">
        <v>1066</v>
      </c>
      <c r="X95" s="112" t="s">
        <v>1066</v>
      </c>
      <c r="Y95" s="112" t="s">
        <v>1066</v>
      </c>
      <c r="Z95" s="112" t="s">
        <v>1066</v>
      </c>
      <c r="AA95" s="112" t="s">
        <v>1067</v>
      </c>
      <c r="AB95" s="112" t="s">
        <v>1066</v>
      </c>
      <c r="AC95" s="112" t="s">
        <v>92</v>
      </c>
      <c r="AD95" s="112" t="s">
        <v>1066</v>
      </c>
      <c r="AE95" s="112" t="s">
        <v>1066</v>
      </c>
      <c r="AF95" s="112" t="s">
        <v>1066</v>
      </c>
      <c r="AG95" s="112" t="s">
        <v>1066</v>
      </c>
      <c r="AH95" s="112" t="s">
        <v>1066</v>
      </c>
      <c r="AI95" s="112" t="s">
        <v>785</v>
      </c>
      <c r="AJ95" s="112">
        <v>8854675</v>
      </c>
      <c r="AK95" s="112" t="s">
        <v>264</v>
      </c>
      <c r="AL95" s="112">
        <v>795972</v>
      </c>
      <c r="AM95" s="112" t="s">
        <v>1066</v>
      </c>
      <c r="AN95" s="112" t="s">
        <v>1066</v>
      </c>
    </row>
    <row r="96" spans="1:40" ht="55.5" customHeight="1" x14ac:dyDescent="0.25">
      <c r="A96" s="120" t="s">
        <v>1527</v>
      </c>
      <c r="B96" s="121">
        <v>2026</v>
      </c>
      <c r="C96" s="121" t="s">
        <v>1528</v>
      </c>
      <c r="D96" s="122">
        <v>46021.488946759258</v>
      </c>
      <c r="E96" s="121">
        <v>7951946041</v>
      </c>
      <c r="F96" s="121" t="s">
        <v>1529</v>
      </c>
      <c r="G96" s="121">
        <v>3</v>
      </c>
      <c r="H96" s="121">
        <v>7951946041</v>
      </c>
      <c r="I96" s="121" t="s">
        <v>1530</v>
      </c>
      <c r="J96" s="121" t="s">
        <v>1071</v>
      </c>
      <c r="K96" s="121" t="s">
        <v>1072</v>
      </c>
      <c r="L96" s="121" t="s">
        <v>1073</v>
      </c>
      <c r="M96" s="121" t="s">
        <v>1116</v>
      </c>
      <c r="N96" s="122">
        <v>46031.61146990741</v>
      </c>
      <c r="O96" s="123">
        <v>19002702042</v>
      </c>
      <c r="P96" s="121">
        <v>76</v>
      </c>
      <c r="Q96" s="121" t="s">
        <v>1062</v>
      </c>
      <c r="R96" s="121" t="s">
        <v>1324</v>
      </c>
      <c r="S96" s="122">
        <v>46150.640011574076</v>
      </c>
      <c r="T96" s="121" t="s">
        <v>1531</v>
      </c>
      <c r="U96" s="121" t="s">
        <v>621</v>
      </c>
      <c r="V96" s="121" t="s">
        <v>1066</v>
      </c>
      <c r="W96" s="121" t="s">
        <v>1066</v>
      </c>
      <c r="X96" s="121" t="s">
        <v>983</v>
      </c>
      <c r="Y96" s="121" t="s">
        <v>1066</v>
      </c>
      <c r="Z96" s="121" t="s">
        <v>1532</v>
      </c>
      <c r="AA96" s="121" t="s">
        <v>1067</v>
      </c>
      <c r="AB96" s="121" t="s">
        <v>1066</v>
      </c>
      <c r="AC96" s="121" t="s">
        <v>92</v>
      </c>
      <c r="AD96" s="121" t="s">
        <v>1066</v>
      </c>
      <c r="AE96" s="121" t="s">
        <v>1066</v>
      </c>
      <c r="AF96" s="121" t="s">
        <v>1066</v>
      </c>
      <c r="AG96" s="121" t="s">
        <v>1066</v>
      </c>
      <c r="AH96" s="121" t="s">
        <v>1533</v>
      </c>
      <c r="AI96" s="121" t="s">
        <v>785</v>
      </c>
      <c r="AJ96" s="121">
        <v>8771842</v>
      </c>
      <c r="AK96" s="121" t="s">
        <v>1326</v>
      </c>
      <c r="AL96" s="121">
        <v>727003</v>
      </c>
      <c r="AM96" s="121" t="s">
        <v>1066</v>
      </c>
      <c r="AN96" s="121" t="s">
        <v>1066</v>
      </c>
    </row>
    <row r="97" spans="1:40" ht="55.5" customHeight="1" x14ac:dyDescent="0.25">
      <c r="A97" s="111" t="s">
        <v>1534</v>
      </c>
      <c r="B97" s="112">
        <v>2026</v>
      </c>
      <c r="C97" s="112" t="s">
        <v>1057</v>
      </c>
      <c r="D97" s="113">
        <v>46125.614548611113</v>
      </c>
      <c r="E97" s="112">
        <v>7905356122</v>
      </c>
      <c r="F97" s="112" t="s">
        <v>1535</v>
      </c>
      <c r="G97" s="112">
        <v>2</v>
      </c>
      <c r="H97" s="112">
        <v>7905356122</v>
      </c>
      <c r="I97" s="112" t="s">
        <v>1536</v>
      </c>
      <c r="J97" s="112" t="s">
        <v>1066</v>
      </c>
      <c r="K97" s="112" t="s">
        <v>1125</v>
      </c>
      <c r="L97" s="112" t="s">
        <v>1061</v>
      </c>
      <c r="M97" s="112" t="s">
        <v>478</v>
      </c>
      <c r="N97" s="113">
        <v>46525.614548611113</v>
      </c>
      <c r="O97" s="114">
        <v>19002259242</v>
      </c>
      <c r="P97" s="112">
        <v>0</v>
      </c>
      <c r="Q97" s="112" t="s">
        <v>1062</v>
      </c>
      <c r="R97" s="112" t="s">
        <v>1063</v>
      </c>
      <c r="S97" s="113">
        <v>46174.3125</v>
      </c>
      <c r="T97" s="112" t="s">
        <v>1307</v>
      </c>
      <c r="U97" s="112" t="s">
        <v>1065</v>
      </c>
      <c r="V97" s="112" t="s">
        <v>1066</v>
      </c>
      <c r="W97" s="112" t="s">
        <v>1066</v>
      </c>
      <c r="X97" s="112" t="s">
        <v>1066</v>
      </c>
      <c r="Y97" s="112" t="s">
        <v>1066</v>
      </c>
      <c r="Z97" s="112" t="s">
        <v>1066</v>
      </c>
      <c r="AA97" s="112" t="s">
        <v>1067</v>
      </c>
      <c r="AB97" s="112" t="s">
        <v>1066</v>
      </c>
      <c r="AC97" s="112" t="s">
        <v>92</v>
      </c>
      <c r="AD97" s="112" t="s">
        <v>1066</v>
      </c>
      <c r="AE97" s="112" t="s">
        <v>1066</v>
      </c>
      <c r="AF97" s="112" t="s">
        <v>1066</v>
      </c>
      <c r="AG97" s="112" t="s">
        <v>1066</v>
      </c>
      <c r="AH97" s="112" t="s">
        <v>1066</v>
      </c>
      <c r="AI97" s="112" t="s">
        <v>785</v>
      </c>
      <c r="AJ97" s="112">
        <v>8871510</v>
      </c>
      <c r="AK97" s="112" t="s">
        <v>264</v>
      </c>
      <c r="AL97" s="112">
        <v>791650</v>
      </c>
      <c r="AM97" s="112" t="s">
        <v>1066</v>
      </c>
      <c r="AN97" s="112" t="s">
        <v>1066</v>
      </c>
    </row>
    <row r="98" spans="1:40" ht="55.5" customHeight="1" x14ac:dyDescent="0.25">
      <c r="A98" s="120" t="s">
        <v>1537</v>
      </c>
      <c r="B98" s="121">
        <v>2026</v>
      </c>
      <c r="C98" s="121" t="s">
        <v>1538</v>
      </c>
      <c r="D98" s="122">
        <v>46085.520648148151</v>
      </c>
      <c r="E98" s="121">
        <v>6800948007</v>
      </c>
      <c r="F98" s="121" t="s">
        <v>239</v>
      </c>
      <c r="G98" s="121">
        <v>3</v>
      </c>
      <c r="H98" s="121">
        <v>7955946007</v>
      </c>
      <c r="I98" s="121" t="s">
        <v>1539</v>
      </c>
      <c r="J98" s="121" t="s">
        <v>1071</v>
      </c>
      <c r="K98" s="121" t="s">
        <v>1282</v>
      </c>
      <c r="L98" s="121" t="s">
        <v>1073</v>
      </c>
      <c r="M98" s="121" t="s">
        <v>1116</v>
      </c>
      <c r="N98" s="122">
        <v>46088.520648148151</v>
      </c>
      <c r="O98" s="123">
        <v>19002730957</v>
      </c>
      <c r="P98" s="121">
        <v>268</v>
      </c>
      <c r="Q98" s="121" t="s">
        <v>1131</v>
      </c>
      <c r="R98" s="121" t="s">
        <v>1075</v>
      </c>
      <c r="S98" s="122">
        <v>46093.678773148145</v>
      </c>
      <c r="T98" s="121" t="s">
        <v>1066</v>
      </c>
      <c r="U98" s="121" t="s">
        <v>1066</v>
      </c>
      <c r="V98" s="121" t="s">
        <v>1066</v>
      </c>
      <c r="W98" s="121" t="s">
        <v>1066</v>
      </c>
      <c r="X98" s="121" t="s">
        <v>983</v>
      </c>
      <c r="Y98" s="121" t="s">
        <v>1066</v>
      </c>
      <c r="Z98" s="121" t="s">
        <v>1078</v>
      </c>
      <c r="AA98" s="121" t="s">
        <v>1067</v>
      </c>
      <c r="AB98" s="121" t="s">
        <v>1066</v>
      </c>
      <c r="AC98" s="121" t="s">
        <v>92</v>
      </c>
      <c r="AD98" s="121" t="s">
        <v>1066</v>
      </c>
      <c r="AE98" s="121" t="s">
        <v>1066</v>
      </c>
      <c r="AF98" s="121" t="s">
        <v>1066</v>
      </c>
      <c r="AG98" s="121" t="s">
        <v>1066</v>
      </c>
      <c r="AH98" s="121" t="s">
        <v>1066</v>
      </c>
      <c r="AI98" s="121" t="s">
        <v>785</v>
      </c>
      <c r="AJ98" s="121">
        <v>8929207</v>
      </c>
      <c r="AK98" s="121" t="s">
        <v>100</v>
      </c>
      <c r="AL98" s="121">
        <v>787602</v>
      </c>
      <c r="AM98" s="121" t="s">
        <v>1066</v>
      </c>
      <c r="AN98" s="121" t="s">
        <v>1066</v>
      </c>
    </row>
    <row r="99" spans="1:40" ht="55.5" customHeight="1" x14ac:dyDescent="0.25">
      <c r="A99" s="120" t="s">
        <v>1540</v>
      </c>
      <c r="B99" s="121">
        <v>2026</v>
      </c>
      <c r="C99" s="121" t="s">
        <v>1541</v>
      </c>
      <c r="D99" s="122">
        <v>46147.882210648146</v>
      </c>
      <c r="E99" s="121">
        <v>9008203091</v>
      </c>
      <c r="F99" s="121" t="s">
        <v>1483</v>
      </c>
      <c r="G99" s="121">
        <v>3</v>
      </c>
      <c r="H99" s="121">
        <v>7908203091</v>
      </c>
      <c r="I99" s="121" t="s">
        <v>1484</v>
      </c>
      <c r="J99" s="121" t="s">
        <v>1071</v>
      </c>
      <c r="K99" s="121" t="s">
        <v>1145</v>
      </c>
      <c r="L99" s="121" t="s">
        <v>1073</v>
      </c>
      <c r="M99" s="121" t="s">
        <v>1116</v>
      </c>
      <c r="N99" s="122">
        <v>46151.523680555554</v>
      </c>
      <c r="O99" s="123">
        <v>19000138438</v>
      </c>
      <c r="P99" s="121">
        <v>123</v>
      </c>
      <c r="Q99" s="121" t="s">
        <v>1131</v>
      </c>
      <c r="R99" s="121" t="s">
        <v>1075</v>
      </c>
      <c r="S99" s="122">
        <v>46153.631168981483</v>
      </c>
      <c r="T99" s="121" t="s">
        <v>1066</v>
      </c>
      <c r="U99" s="121" t="s">
        <v>1066</v>
      </c>
      <c r="V99" s="121" t="s">
        <v>1066</v>
      </c>
      <c r="W99" s="121" t="s">
        <v>1066</v>
      </c>
      <c r="X99" s="121" t="s">
        <v>983</v>
      </c>
      <c r="Y99" s="121" t="s">
        <v>1066</v>
      </c>
      <c r="Z99" s="121" t="s">
        <v>1148</v>
      </c>
      <c r="AA99" s="121" t="s">
        <v>1067</v>
      </c>
      <c r="AB99" s="121" t="s">
        <v>1066</v>
      </c>
      <c r="AC99" s="121" t="s">
        <v>92</v>
      </c>
      <c r="AD99" s="121" t="s">
        <v>1142</v>
      </c>
      <c r="AE99" s="121" t="s">
        <v>1066</v>
      </c>
      <c r="AF99" s="121" t="s">
        <v>1066</v>
      </c>
      <c r="AG99" s="121" t="s">
        <v>1066</v>
      </c>
      <c r="AH99" s="121" t="s">
        <v>1542</v>
      </c>
      <c r="AI99" s="121" t="s">
        <v>785</v>
      </c>
      <c r="AJ99" s="121">
        <v>8725519</v>
      </c>
      <c r="AK99" s="121" t="s">
        <v>40</v>
      </c>
      <c r="AL99" s="121">
        <v>914621</v>
      </c>
      <c r="AM99" s="121" t="s">
        <v>1066</v>
      </c>
      <c r="AN99" s="121" t="s">
        <v>1066</v>
      </c>
    </row>
    <row r="100" spans="1:40" ht="55.5" customHeight="1" x14ac:dyDescent="0.25">
      <c r="A100" s="111" t="s">
        <v>1543</v>
      </c>
      <c r="B100" s="112">
        <v>2026</v>
      </c>
      <c r="C100" s="112" t="s">
        <v>1089</v>
      </c>
      <c r="D100" s="113">
        <v>46028.41065972222</v>
      </c>
      <c r="E100" s="112">
        <v>7926753122</v>
      </c>
      <c r="F100" s="112" t="s">
        <v>1544</v>
      </c>
      <c r="G100" s="112">
        <v>3</v>
      </c>
      <c r="H100" s="112">
        <v>7926753122</v>
      </c>
      <c r="I100" s="112" t="s">
        <v>1545</v>
      </c>
      <c r="J100" s="112" t="s">
        <v>1092</v>
      </c>
      <c r="K100" s="112" t="s">
        <v>1093</v>
      </c>
      <c r="L100" s="112" t="s">
        <v>1061</v>
      </c>
      <c r="M100" s="112" t="s">
        <v>478</v>
      </c>
      <c r="N100" s="113">
        <v>46428.41065972222</v>
      </c>
      <c r="O100" s="114">
        <v>19002196116</v>
      </c>
      <c r="P100" s="112">
        <v>1.9990000000000001</v>
      </c>
      <c r="Q100" s="112" t="s">
        <v>1062</v>
      </c>
      <c r="R100" s="112" t="s">
        <v>1063</v>
      </c>
      <c r="S100" s="113">
        <v>46035.729537037034</v>
      </c>
      <c r="T100" s="112" t="s">
        <v>1546</v>
      </c>
      <c r="U100" s="112" t="s">
        <v>1065</v>
      </c>
      <c r="V100" s="112" t="s">
        <v>1066</v>
      </c>
      <c r="W100" s="112" t="s">
        <v>1066</v>
      </c>
      <c r="X100" s="112" t="s">
        <v>1066</v>
      </c>
      <c r="Y100" s="112" t="s">
        <v>1066</v>
      </c>
      <c r="Z100" s="112" t="s">
        <v>1066</v>
      </c>
      <c r="AA100" s="112" t="s">
        <v>1067</v>
      </c>
      <c r="AB100" s="112" t="s">
        <v>1066</v>
      </c>
      <c r="AC100" s="112" t="s">
        <v>92</v>
      </c>
      <c r="AD100" s="112" t="s">
        <v>1066</v>
      </c>
      <c r="AE100" s="112" t="s">
        <v>1066</v>
      </c>
      <c r="AF100" s="112" t="s">
        <v>1066</v>
      </c>
      <c r="AG100" s="112" t="s">
        <v>1066</v>
      </c>
      <c r="AH100" s="112" t="s">
        <v>1066</v>
      </c>
      <c r="AI100" s="112" t="s">
        <v>785</v>
      </c>
      <c r="AJ100" s="112">
        <v>8867352</v>
      </c>
      <c r="AK100" s="112" t="s">
        <v>264</v>
      </c>
      <c r="AL100" s="112">
        <v>792533</v>
      </c>
      <c r="AM100" s="112" t="s">
        <v>1066</v>
      </c>
      <c r="AN100" s="112" t="s">
        <v>1066</v>
      </c>
    </row>
    <row r="101" spans="1:40" ht="55.5" customHeight="1" x14ac:dyDescent="0.25">
      <c r="A101" s="120" t="s">
        <v>1547</v>
      </c>
      <c r="B101" s="121">
        <v>2026</v>
      </c>
      <c r="C101" s="121" t="s">
        <v>1548</v>
      </c>
      <c r="D101" s="122">
        <v>46052.333229166667</v>
      </c>
      <c r="E101" s="121">
        <v>8863660046</v>
      </c>
      <c r="F101" s="121" t="s">
        <v>1219</v>
      </c>
      <c r="G101" s="121">
        <v>2</v>
      </c>
      <c r="H101" s="121">
        <v>7963661046</v>
      </c>
      <c r="I101" s="121" t="s">
        <v>1549</v>
      </c>
      <c r="J101" s="121" t="s">
        <v>1231</v>
      </c>
      <c r="K101" s="121" t="s">
        <v>1232</v>
      </c>
      <c r="L101" s="121" t="s">
        <v>1084</v>
      </c>
      <c r="M101" s="121" t="s">
        <v>1116</v>
      </c>
      <c r="N101" s="122">
        <v>46159.670439814814</v>
      </c>
      <c r="O101" s="123">
        <v>19002823515</v>
      </c>
      <c r="P101" s="121">
        <v>1</v>
      </c>
      <c r="Q101" s="121" t="s">
        <v>1131</v>
      </c>
      <c r="R101" s="121" t="s">
        <v>1206</v>
      </c>
      <c r="S101" s="122">
        <v>46203.447511574072</v>
      </c>
      <c r="T101" s="121" t="s">
        <v>1066</v>
      </c>
      <c r="U101" s="121" t="s">
        <v>1066</v>
      </c>
      <c r="V101" s="121" t="s">
        <v>1066</v>
      </c>
      <c r="W101" s="121" t="s">
        <v>1066</v>
      </c>
      <c r="X101" s="121" t="s">
        <v>983</v>
      </c>
      <c r="Y101" s="121" t="s">
        <v>1066</v>
      </c>
      <c r="Z101" s="121" t="s">
        <v>1066</v>
      </c>
      <c r="AA101" s="121" t="s">
        <v>1067</v>
      </c>
      <c r="AB101" s="121" t="s">
        <v>1066</v>
      </c>
      <c r="AC101" s="121" t="s">
        <v>92</v>
      </c>
      <c r="AD101" s="121" t="s">
        <v>1066</v>
      </c>
      <c r="AE101" s="121" t="s">
        <v>1066</v>
      </c>
      <c r="AF101" s="121" t="s">
        <v>1066</v>
      </c>
      <c r="AG101" s="121" t="s">
        <v>1066</v>
      </c>
      <c r="AH101" s="121" t="s">
        <v>1550</v>
      </c>
      <c r="AI101" s="121" t="s">
        <v>785</v>
      </c>
      <c r="AJ101" s="121">
        <v>8830255</v>
      </c>
      <c r="AK101" s="121" t="s">
        <v>1221</v>
      </c>
      <c r="AL101" s="121">
        <v>728313</v>
      </c>
      <c r="AM101" s="121" t="s">
        <v>1066</v>
      </c>
      <c r="AN101" s="121" t="s">
        <v>1066</v>
      </c>
    </row>
    <row r="102" spans="1:40" ht="55.5" customHeight="1" x14ac:dyDescent="0.25">
      <c r="A102" s="111" t="s">
        <v>1551</v>
      </c>
      <c r="B102" s="112">
        <v>2026</v>
      </c>
      <c r="C102" s="112" t="s">
        <v>1057</v>
      </c>
      <c r="D102" s="113">
        <v>46125.614548611113</v>
      </c>
      <c r="E102" s="112">
        <v>7905361122</v>
      </c>
      <c r="F102" s="112" t="s">
        <v>692</v>
      </c>
      <c r="G102" s="112">
        <v>2</v>
      </c>
      <c r="H102" s="112">
        <v>7905361122</v>
      </c>
      <c r="I102" s="112" t="s">
        <v>1552</v>
      </c>
      <c r="J102" s="112" t="s">
        <v>1066</v>
      </c>
      <c r="K102" s="112" t="s">
        <v>1125</v>
      </c>
      <c r="L102" s="112" t="s">
        <v>1061</v>
      </c>
      <c r="M102" s="112" t="s">
        <v>478</v>
      </c>
      <c r="N102" s="113">
        <v>46525.614548611113</v>
      </c>
      <c r="O102" s="114">
        <v>19002213996</v>
      </c>
      <c r="P102" s="112">
        <v>0</v>
      </c>
      <c r="Q102" s="112" t="s">
        <v>1062</v>
      </c>
      <c r="R102" s="112" t="s">
        <v>1063</v>
      </c>
      <c r="S102" s="113">
        <v>46183.560370370367</v>
      </c>
      <c r="T102" s="112" t="s">
        <v>1553</v>
      </c>
      <c r="U102" s="112" t="s">
        <v>1065</v>
      </c>
      <c r="V102" s="112" t="s">
        <v>1066</v>
      </c>
      <c r="W102" s="112" t="s">
        <v>1066</v>
      </c>
      <c r="X102" s="112" t="s">
        <v>1066</v>
      </c>
      <c r="Y102" s="112" t="s">
        <v>1066</v>
      </c>
      <c r="Z102" s="112" t="s">
        <v>1066</v>
      </c>
      <c r="AA102" s="112" t="s">
        <v>1067</v>
      </c>
      <c r="AB102" s="112" t="s">
        <v>1066</v>
      </c>
      <c r="AC102" s="112" t="s">
        <v>92</v>
      </c>
      <c r="AD102" s="112" t="s">
        <v>1066</v>
      </c>
      <c r="AE102" s="112" t="s">
        <v>1066</v>
      </c>
      <c r="AF102" s="112" t="s">
        <v>1066</v>
      </c>
      <c r="AG102" s="112" t="s">
        <v>1066</v>
      </c>
      <c r="AH102" s="112" t="s">
        <v>1066</v>
      </c>
      <c r="AI102" s="112" t="s">
        <v>785</v>
      </c>
      <c r="AJ102" s="112">
        <v>8873784</v>
      </c>
      <c r="AK102" s="112" t="s">
        <v>264</v>
      </c>
      <c r="AL102" s="112">
        <v>792659</v>
      </c>
      <c r="AM102" s="112" t="s">
        <v>1066</v>
      </c>
      <c r="AN102" s="112" t="s">
        <v>1066</v>
      </c>
    </row>
    <row r="103" spans="1:40" ht="55.5" customHeight="1" x14ac:dyDescent="0.25">
      <c r="A103" s="124" t="s">
        <v>1554</v>
      </c>
      <c r="B103" s="125">
        <v>2026</v>
      </c>
      <c r="C103" s="125" t="s">
        <v>1449</v>
      </c>
      <c r="D103" s="126">
        <v>46244.660034722219</v>
      </c>
      <c r="E103" s="125">
        <v>7900275024</v>
      </c>
      <c r="F103" s="125" t="s">
        <v>1555</v>
      </c>
      <c r="G103" s="125">
        <v>1</v>
      </c>
      <c r="H103" s="125">
        <v>7900275024</v>
      </c>
      <c r="I103" s="125" t="s">
        <v>1556</v>
      </c>
      <c r="J103" s="125" t="s">
        <v>1066</v>
      </c>
      <c r="K103" s="125" t="s">
        <v>1125</v>
      </c>
      <c r="L103" s="125" t="s">
        <v>1061</v>
      </c>
      <c r="M103" s="125" t="s">
        <v>510</v>
      </c>
      <c r="N103" s="126">
        <v>46644.660034722219</v>
      </c>
      <c r="O103" s="127">
        <v>19002204547</v>
      </c>
      <c r="P103" s="125">
        <v>880</v>
      </c>
      <c r="Q103" s="125" t="s">
        <v>1062</v>
      </c>
      <c r="R103" s="125" t="s">
        <v>1063</v>
      </c>
      <c r="S103" s="125" t="s">
        <v>1066</v>
      </c>
      <c r="T103" s="125" t="s">
        <v>1066</v>
      </c>
      <c r="U103" s="125" t="s">
        <v>1066</v>
      </c>
      <c r="V103" s="125" t="s">
        <v>1066</v>
      </c>
      <c r="W103" s="125" t="s">
        <v>1066</v>
      </c>
      <c r="X103" s="125" t="s">
        <v>1066</v>
      </c>
      <c r="Y103" s="125" t="s">
        <v>1066</v>
      </c>
      <c r="Z103" s="125" t="s">
        <v>1066</v>
      </c>
      <c r="AA103" s="125" t="s">
        <v>1067</v>
      </c>
      <c r="AB103" s="125" t="s">
        <v>1066</v>
      </c>
      <c r="AC103" s="125" t="s">
        <v>92</v>
      </c>
      <c r="AD103" s="125" t="s">
        <v>1066</v>
      </c>
      <c r="AE103" s="125" t="s">
        <v>1066</v>
      </c>
      <c r="AF103" s="125" t="s">
        <v>1066</v>
      </c>
      <c r="AG103" s="125" t="s">
        <v>1066</v>
      </c>
      <c r="AH103" s="125" t="s">
        <v>1066</v>
      </c>
      <c r="AI103" s="125" t="s">
        <v>785</v>
      </c>
      <c r="AJ103" s="125">
        <v>9051258</v>
      </c>
      <c r="AK103" s="125" t="s">
        <v>400</v>
      </c>
      <c r="AL103" s="125">
        <v>753599</v>
      </c>
      <c r="AM103" s="125" t="s">
        <v>1066</v>
      </c>
      <c r="AN103" s="125" t="s">
        <v>1066</v>
      </c>
    </row>
    <row r="104" spans="1:40" ht="55.5" customHeight="1" x14ac:dyDescent="0.25">
      <c r="A104" s="124" t="s">
        <v>422</v>
      </c>
      <c r="B104" s="125">
        <v>2026</v>
      </c>
      <c r="C104" s="125" t="s">
        <v>424</v>
      </c>
      <c r="D104" s="126">
        <v>46244.709722222222</v>
      </c>
      <c r="E104" s="125">
        <v>8800311189</v>
      </c>
      <c r="F104" s="125" t="s">
        <v>423</v>
      </c>
      <c r="G104" s="125">
        <v>2</v>
      </c>
      <c r="H104" s="125">
        <v>5854766001</v>
      </c>
      <c r="I104" s="125" t="s">
        <v>1557</v>
      </c>
      <c r="J104" s="125" t="s">
        <v>1071</v>
      </c>
      <c r="K104" s="125" t="s">
        <v>1110</v>
      </c>
      <c r="L104" s="125" t="s">
        <v>1073</v>
      </c>
      <c r="M104" s="125" t="s">
        <v>510</v>
      </c>
      <c r="N104" s="126">
        <v>46247.709722222222</v>
      </c>
      <c r="O104" s="127">
        <v>19002723488</v>
      </c>
      <c r="P104" s="125">
        <v>27</v>
      </c>
      <c r="Q104" s="125" t="s">
        <v>1074</v>
      </c>
      <c r="R104" s="125" t="s">
        <v>1075</v>
      </c>
      <c r="S104" s="125" t="s">
        <v>1066</v>
      </c>
      <c r="T104" s="125" t="s">
        <v>1558</v>
      </c>
      <c r="U104" s="125" t="s">
        <v>1559</v>
      </c>
      <c r="V104" s="125" t="s">
        <v>1066</v>
      </c>
      <c r="W104" s="125" t="s">
        <v>1066</v>
      </c>
      <c r="X104" s="125" t="s">
        <v>1066</v>
      </c>
      <c r="Y104" s="125" t="s">
        <v>1066</v>
      </c>
      <c r="Z104" s="125" t="s">
        <v>1066</v>
      </c>
      <c r="AA104" s="125" t="s">
        <v>1067</v>
      </c>
      <c r="AB104" s="125" t="s">
        <v>1066</v>
      </c>
      <c r="AC104" s="125" t="s">
        <v>92</v>
      </c>
      <c r="AD104" s="125" t="s">
        <v>1066</v>
      </c>
      <c r="AE104" s="125" t="s">
        <v>1066</v>
      </c>
      <c r="AF104" s="125" t="s">
        <v>1066</v>
      </c>
      <c r="AG104" s="125" t="s">
        <v>1066</v>
      </c>
      <c r="AH104" s="125" t="s">
        <v>1066</v>
      </c>
      <c r="AI104" s="125" t="s">
        <v>785</v>
      </c>
      <c r="AJ104" s="125">
        <v>8810852</v>
      </c>
      <c r="AK104" s="125" t="s">
        <v>50</v>
      </c>
      <c r="AL104" s="125">
        <v>778320</v>
      </c>
      <c r="AM104" s="125" t="s">
        <v>1066</v>
      </c>
      <c r="AN104" s="125" t="s">
        <v>1066</v>
      </c>
    </row>
    <row r="105" spans="1:40" ht="55.5" customHeight="1" x14ac:dyDescent="0.25">
      <c r="A105" s="111" t="s">
        <v>1560</v>
      </c>
      <c r="B105" s="112">
        <v>2026</v>
      </c>
      <c r="C105" s="112" t="s">
        <v>1057</v>
      </c>
      <c r="D105" s="113">
        <v>46125.584386574075</v>
      </c>
      <c r="E105" s="112">
        <v>7942509028</v>
      </c>
      <c r="F105" s="112" t="s">
        <v>43</v>
      </c>
      <c r="G105" s="112">
        <v>3</v>
      </c>
      <c r="H105" s="112">
        <v>7942509028</v>
      </c>
      <c r="I105" s="112" t="s">
        <v>1561</v>
      </c>
      <c r="J105" s="112" t="s">
        <v>1066</v>
      </c>
      <c r="K105" s="112" t="s">
        <v>1125</v>
      </c>
      <c r="L105" s="112" t="s">
        <v>1061</v>
      </c>
      <c r="M105" s="112" t="s">
        <v>478</v>
      </c>
      <c r="N105" s="113">
        <v>46525.584386574075</v>
      </c>
      <c r="O105" s="114">
        <v>19002260804</v>
      </c>
      <c r="P105" s="112">
        <v>107</v>
      </c>
      <c r="Q105" s="112" t="s">
        <v>1062</v>
      </c>
      <c r="R105" s="112" t="s">
        <v>1063</v>
      </c>
      <c r="S105" s="113">
        <v>46195.692523148151</v>
      </c>
      <c r="T105" s="112" t="s">
        <v>1562</v>
      </c>
      <c r="U105" s="112" t="s">
        <v>1065</v>
      </c>
      <c r="V105" s="112" t="s">
        <v>1066</v>
      </c>
      <c r="W105" s="112" t="s">
        <v>1066</v>
      </c>
      <c r="X105" s="112" t="s">
        <v>1066</v>
      </c>
      <c r="Y105" s="112" t="s">
        <v>1066</v>
      </c>
      <c r="Z105" s="112" t="s">
        <v>1066</v>
      </c>
      <c r="AA105" s="112" t="s">
        <v>1067</v>
      </c>
      <c r="AB105" s="112" t="s">
        <v>1066</v>
      </c>
      <c r="AC105" s="112" t="s">
        <v>92</v>
      </c>
      <c r="AD105" s="112" t="s">
        <v>1066</v>
      </c>
      <c r="AE105" s="112" t="s">
        <v>1066</v>
      </c>
      <c r="AF105" s="112" t="s">
        <v>1066</v>
      </c>
      <c r="AG105" s="112" t="s">
        <v>1066</v>
      </c>
      <c r="AH105" s="112" t="s">
        <v>1066</v>
      </c>
      <c r="AI105" s="112" t="s">
        <v>785</v>
      </c>
      <c r="AJ105" s="112">
        <v>8674900</v>
      </c>
      <c r="AK105" s="112" t="s">
        <v>403</v>
      </c>
      <c r="AL105" s="112">
        <v>864443</v>
      </c>
      <c r="AM105" s="112" t="s">
        <v>1066</v>
      </c>
      <c r="AN105" s="112" t="s">
        <v>1066</v>
      </c>
    </row>
    <row r="106" spans="1:40" ht="55.5" customHeight="1" x14ac:dyDescent="0.25">
      <c r="A106" s="124" t="s">
        <v>1563</v>
      </c>
      <c r="B106" s="125">
        <v>2026</v>
      </c>
      <c r="C106" s="125" t="s">
        <v>1449</v>
      </c>
      <c r="D106" s="126">
        <v>46244.660034722219</v>
      </c>
      <c r="E106" s="125">
        <v>7925111033</v>
      </c>
      <c r="F106" s="125" t="s">
        <v>1564</v>
      </c>
      <c r="G106" s="125">
        <v>2</v>
      </c>
      <c r="H106" s="125">
        <v>7925111033</v>
      </c>
      <c r="I106" s="125" t="s">
        <v>1565</v>
      </c>
      <c r="J106" s="125" t="s">
        <v>1066</v>
      </c>
      <c r="K106" s="125" t="s">
        <v>1125</v>
      </c>
      <c r="L106" s="125" t="s">
        <v>1061</v>
      </c>
      <c r="M106" s="125" t="s">
        <v>510</v>
      </c>
      <c r="N106" s="126">
        <v>46644.660034722219</v>
      </c>
      <c r="O106" s="127">
        <v>19002703466</v>
      </c>
      <c r="P106" s="125">
        <v>0</v>
      </c>
      <c r="Q106" s="125" t="s">
        <v>1062</v>
      </c>
      <c r="R106" s="125" t="s">
        <v>1063</v>
      </c>
      <c r="S106" s="125" t="s">
        <v>1066</v>
      </c>
      <c r="T106" s="125" t="s">
        <v>1066</v>
      </c>
      <c r="U106" s="125" t="s">
        <v>1066</v>
      </c>
      <c r="V106" s="125" t="s">
        <v>1066</v>
      </c>
      <c r="W106" s="125" t="s">
        <v>1066</v>
      </c>
      <c r="X106" s="125" t="s">
        <v>1066</v>
      </c>
      <c r="Y106" s="125" t="s">
        <v>1066</v>
      </c>
      <c r="Z106" s="125" t="s">
        <v>1066</v>
      </c>
      <c r="AA106" s="125" t="s">
        <v>1067</v>
      </c>
      <c r="AB106" s="125" t="s">
        <v>1066</v>
      </c>
      <c r="AC106" s="125" t="s">
        <v>92</v>
      </c>
      <c r="AD106" s="125" t="s">
        <v>1066</v>
      </c>
      <c r="AE106" s="125" t="s">
        <v>1066</v>
      </c>
      <c r="AF106" s="125" t="s">
        <v>1066</v>
      </c>
      <c r="AG106" s="125" t="s">
        <v>1066</v>
      </c>
      <c r="AH106" s="125" t="s">
        <v>1066</v>
      </c>
      <c r="AI106" s="125" t="s">
        <v>785</v>
      </c>
      <c r="AJ106" s="125">
        <v>9033128</v>
      </c>
      <c r="AK106" s="125" t="s">
        <v>1566</v>
      </c>
      <c r="AL106" s="125">
        <v>747068</v>
      </c>
      <c r="AM106" s="125" t="s">
        <v>1066</v>
      </c>
      <c r="AN106" s="125" t="s">
        <v>1066</v>
      </c>
    </row>
    <row r="107" spans="1:40" ht="55.5" customHeight="1" x14ac:dyDescent="0.25">
      <c r="A107" s="111" t="s">
        <v>1567</v>
      </c>
      <c r="B107" s="112">
        <v>2026</v>
      </c>
      <c r="C107" s="112" t="s">
        <v>1089</v>
      </c>
      <c r="D107" s="113">
        <v>46028.453888888886</v>
      </c>
      <c r="E107" s="112">
        <v>7900412148</v>
      </c>
      <c r="F107" s="112" t="s">
        <v>302</v>
      </c>
      <c r="G107" s="112">
        <v>3</v>
      </c>
      <c r="H107" s="112">
        <v>7900412148</v>
      </c>
      <c r="I107" s="112" t="s">
        <v>1568</v>
      </c>
      <c r="J107" s="112" t="s">
        <v>1092</v>
      </c>
      <c r="K107" s="112" t="s">
        <v>1093</v>
      </c>
      <c r="L107" s="112" t="s">
        <v>1061</v>
      </c>
      <c r="M107" s="112" t="s">
        <v>478</v>
      </c>
      <c r="N107" s="113">
        <v>46428.453888888886</v>
      </c>
      <c r="O107" s="114">
        <v>19002219746</v>
      </c>
      <c r="P107" s="112">
        <v>352</v>
      </c>
      <c r="Q107" s="112" t="s">
        <v>1062</v>
      </c>
      <c r="R107" s="112" t="s">
        <v>1063</v>
      </c>
      <c r="S107" s="113">
        <v>46034.419444444444</v>
      </c>
      <c r="T107" s="112" t="s">
        <v>1569</v>
      </c>
      <c r="U107" s="112" t="s">
        <v>1065</v>
      </c>
      <c r="V107" s="112" t="s">
        <v>1066</v>
      </c>
      <c r="W107" s="112" t="s">
        <v>1066</v>
      </c>
      <c r="X107" s="112" t="s">
        <v>1066</v>
      </c>
      <c r="Y107" s="112" t="s">
        <v>1066</v>
      </c>
      <c r="Z107" s="112" t="s">
        <v>1066</v>
      </c>
      <c r="AA107" s="112" t="s">
        <v>1067</v>
      </c>
      <c r="AB107" s="112" t="s">
        <v>1066</v>
      </c>
      <c r="AC107" s="112" t="s">
        <v>92</v>
      </c>
      <c r="AD107" s="112" t="s">
        <v>1066</v>
      </c>
      <c r="AE107" s="112" t="s">
        <v>1066</v>
      </c>
      <c r="AF107" s="112" t="s">
        <v>1066</v>
      </c>
      <c r="AG107" s="112" t="s">
        <v>1066</v>
      </c>
      <c r="AH107" s="112" t="s">
        <v>1066</v>
      </c>
      <c r="AI107" s="112" t="s">
        <v>785</v>
      </c>
      <c r="AJ107" s="112">
        <v>8699401</v>
      </c>
      <c r="AK107" s="112" t="s">
        <v>1344</v>
      </c>
      <c r="AL107" s="112">
        <v>786268</v>
      </c>
      <c r="AM107" s="112" t="s">
        <v>1066</v>
      </c>
      <c r="AN107" s="112" t="s">
        <v>1066</v>
      </c>
    </row>
    <row r="108" spans="1:40" ht="55.5" customHeight="1" x14ac:dyDescent="0.25">
      <c r="A108" s="111" t="s">
        <v>1570</v>
      </c>
      <c r="B108" s="112">
        <v>2026</v>
      </c>
      <c r="C108" s="112" t="s">
        <v>1213</v>
      </c>
      <c r="D108" s="113">
        <v>46122.549942129626</v>
      </c>
      <c r="E108" s="112">
        <v>7949688227</v>
      </c>
      <c r="F108" s="112" t="s">
        <v>170</v>
      </c>
      <c r="G108" s="112">
        <v>3</v>
      </c>
      <c r="H108" s="112">
        <v>7949688227</v>
      </c>
      <c r="I108" s="112" t="s">
        <v>1571</v>
      </c>
      <c r="J108" s="112" t="s">
        <v>1066</v>
      </c>
      <c r="K108" s="112" t="s">
        <v>1125</v>
      </c>
      <c r="L108" s="112" t="s">
        <v>1061</v>
      </c>
      <c r="M108" s="112" t="s">
        <v>478</v>
      </c>
      <c r="N108" s="113">
        <v>46522.549942129626</v>
      </c>
      <c r="O108" s="114">
        <v>19002640885</v>
      </c>
      <c r="P108" s="112">
        <v>192</v>
      </c>
      <c r="Q108" s="112" t="s">
        <v>1062</v>
      </c>
      <c r="R108" s="112" t="s">
        <v>1063</v>
      </c>
      <c r="S108" s="113">
        <v>46141.729166666664</v>
      </c>
      <c r="T108" s="112" t="s">
        <v>1572</v>
      </c>
      <c r="U108" s="112" t="s">
        <v>1065</v>
      </c>
      <c r="V108" s="112" t="s">
        <v>1066</v>
      </c>
      <c r="W108" s="112" t="s">
        <v>1066</v>
      </c>
      <c r="X108" s="112" t="s">
        <v>1066</v>
      </c>
      <c r="Y108" s="112" t="s">
        <v>1066</v>
      </c>
      <c r="Z108" s="112" t="s">
        <v>1066</v>
      </c>
      <c r="AA108" s="112" t="s">
        <v>1067</v>
      </c>
      <c r="AB108" s="112" t="s">
        <v>1066</v>
      </c>
      <c r="AC108" s="112" t="s">
        <v>92</v>
      </c>
      <c r="AD108" s="112" t="s">
        <v>1066</v>
      </c>
      <c r="AE108" s="112" t="s">
        <v>1066</v>
      </c>
      <c r="AF108" s="112" t="s">
        <v>1066</v>
      </c>
      <c r="AG108" s="112" t="s">
        <v>1066</v>
      </c>
      <c r="AH108" s="112" t="s">
        <v>1066</v>
      </c>
      <c r="AI108" s="112" t="s">
        <v>785</v>
      </c>
      <c r="AJ108" s="112">
        <v>9033297</v>
      </c>
      <c r="AK108" s="112" t="s">
        <v>1451</v>
      </c>
      <c r="AL108" s="112">
        <v>913944</v>
      </c>
      <c r="AM108" s="112" t="s">
        <v>1066</v>
      </c>
      <c r="AN108" s="112" t="s">
        <v>1066</v>
      </c>
    </row>
    <row r="109" spans="1:40" ht="55.5" customHeight="1" x14ac:dyDescent="0.25">
      <c r="A109" s="111" t="s">
        <v>1573</v>
      </c>
      <c r="B109" s="112">
        <v>2026</v>
      </c>
      <c r="C109" s="112" t="s">
        <v>1057</v>
      </c>
      <c r="D109" s="113">
        <v>46125.584386574075</v>
      </c>
      <c r="E109" s="112">
        <v>7926250032</v>
      </c>
      <c r="F109" s="112" t="s">
        <v>1574</v>
      </c>
      <c r="G109" s="112">
        <v>2</v>
      </c>
      <c r="H109" s="112">
        <v>7926250032</v>
      </c>
      <c r="I109" s="112" t="s">
        <v>1575</v>
      </c>
      <c r="J109" s="112" t="s">
        <v>1066</v>
      </c>
      <c r="K109" s="112" t="s">
        <v>1125</v>
      </c>
      <c r="L109" s="112" t="s">
        <v>1061</v>
      </c>
      <c r="M109" s="112" t="s">
        <v>478</v>
      </c>
      <c r="N109" s="113">
        <v>46525.584386574075</v>
      </c>
      <c r="O109" s="114">
        <v>19002210449</v>
      </c>
      <c r="P109" s="112">
        <v>944</v>
      </c>
      <c r="Q109" s="112" t="s">
        <v>1062</v>
      </c>
      <c r="R109" s="112" t="s">
        <v>1063</v>
      </c>
      <c r="S109" s="113">
        <v>46161.599814814814</v>
      </c>
      <c r="T109" s="112" t="s">
        <v>1576</v>
      </c>
      <c r="U109" s="112" t="s">
        <v>1065</v>
      </c>
      <c r="V109" s="112" t="s">
        <v>1066</v>
      </c>
      <c r="W109" s="112" t="s">
        <v>1066</v>
      </c>
      <c r="X109" s="112" t="s">
        <v>1066</v>
      </c>
      <c r="Y109" s="112" t="s">
        <v>1066</v>
      </c>
      <c r="Z109" s="112" t="s">
        <v>1066</v>
      </c>
      <c r="AA109" s="112" t="s">
        <v>1067</v>
      </c>
      <c r="AB109" s="112" t="s">
        <v>1066</v>
      </c>
      <c r="AC109" s="112" t="s">
        <v>92</v>
      </c>
      <c r="AD109" s="112" t="s">
        <v>1066</v>
      </c>
      <c r="AE109" s="112" t="s">
        <v>1066</v>
      </c>
      <c r="AF109" s="112" t="s">
        <v>1066</v>
      </c>
      <c r="AG109" s="112" t="s">
        <v>1066</v>
      </c>
      <c r="AH109" s="112" t="s">
        <v>1066</v>
      </c>
      <c r="AI109" s="112" t="s">
        <v>785</v>
      </c>
      <c r="AJ109" s="112">
        <v>8600755</v>
      </c>
      <c r="AK109" s="112" t="s">
        <v>469</v>
      </c>
      <c r="AL109" s="112">
        <v>673589</v>
      </c>
      <c r="AM109" s="112" t="s">
        <v>1066</v>
      </c>
      <c r="AN109" s="112" t="s">
        <v>1066</v>
      </c>
    </row>
    <row r="110" spans="1:40" ht="55.5" customHeight="1" x14ac:dyDescent="0.25">
      <c r="A110" s="111" t="s">
        <v>1577</v>
      </c>
      <c r="B110" s="112">
        <v>2026</v>
      </c>
      <c r="C110" s="112" t="s">
        <v>1578</v>
      </c>
      <c r="D110" s="113">
        <v>46192.793229166666</v>
      </c>
      <c r="E110" s="112">
        <v>9000441256</v>
      </c>
      <c r="F110" s="112" t="s">
        <v>136</v>
      </c>
      <c r="G110" s="112">
        <v>2</v>
      </c>
      <c r="H110" s="112">
        <v>5800440256</v>
      </c>
      <c r="I110" s="112" t="s">
        <v>1579</v>
      </c>
      <c r="J110" s="112" t="s">
        <v>1071</v>
      </c>
      <c r="K110" s="112" t="s">
        <v>1580</v>
      </c>
      <c r="L110" s="112" t="s">
        <v>1073</v>
      </c>
      <c r="M110" s="112" t="s">
        <v>478</v>
      </c>
      <c r="N110" s="113">
        <v>46195.793229166666</v>
      </c>
      <c r="O110" s="114">
        <v>19002682289</v>
      </c>
      <c r="P110" s="112">
        <v>2.08</v>
      </c>
      <c r="Q110" s="112" t="s">
        <v>1074</v>
      </c>
      <c r="R110" s="112" t="s">
        <v>1075</v>
      </c>
      <c r="S110" s="113">
        <v>46199.478483796294</v>
      </c>
      <c r="T110" s="112" t="s">
        <v>1581</v>
      </c>
      <c r="U110" s="112" t="s">
        <v>1065</v>
      </c>
      <c r="V110" s="112" t="s">
        <v>1066</v>
      </c>
      <c r="W110" s="112" t="s">
        <v>1066</v>
      </c>
      <c r="X110" s="112" t="s">
        <v>1582</v>
      </c>
      <c r="Y110" s="112" t="s">
        <v>1066</v>
      </c>
      <c r="Z110" s="112" t="s">
        <v>1479</v>
      </c>
      <c r="AA110" s="112" t="s">
        <v>1067</v>
      </c>
      <c r="AB110" s="112" t="s">
        <v>1066</v>
      </c>
      <c r="AC110" s="112" t="s">
        <v>92</v>
      </c>
      <c r="AD110" s="112" t="s">
        <v>1066</v>
      </c>
      <c r="AE110" s="112" t="s">
        <v>1066</v>
      </c>
      <c r="AF110" s="112" t="s">
        <v>1066</v>
      </c>
      <c r="AG110" s="112" t="s">
        <v>1066</v>
      </c>
      <c r="AH110" s="112" t="s">
        <v>1066</v>
      </c>
      <c r="AI110" s="112" t="s">
        <v>785</v>
      </c>
      <c r="AJ110" s="112">
        <v>8833252</v>
      </c>
      <c r="AK110" s="112" t="s">
        <v>134</v>
      </c>
      <c r="AL110" s="112">
        <v>999988</v>
      </c>
      <c r="AM110" s="112" t="s">
        <v>1066</v>
      </c>
      <c r="AN110" s="112" t="s">
        <v>1066</v>
      </c>
    </row>
    <row r="111" spans="1:40" ht="55.5" customHeight="1" x14ac:dyDescent="0.25">
      <c r="A111" s="111" t="s">
        <v>1583</v>
      </c>
      <c r="B111" s="112">
        <v>2026</v>
      </c>
      <c r="C111" s="112" t="s">
        <v>1057</v>
      </c>
      <c r="D111" s="113">
        <v>46125.584386574075</v>
      </c>
      <c r="E111" s="112">
        <v>7927713200</v>
      </c>
      <c r="F111" s="112" t="s">
        <v>294</v>
      </c>
      <c r="G111" s="112">
        <v>3</v>
      </c>
      <c r="H111" s="112">
        <v>7927713200</v>
      </c>
      <c r="I111" s="112" t="s">
        <v>1584</v>
      </c>
      <c r="J111" s="112" t="s">
        <v>1066</v>
      </c>
      <c r="K111" s="112" t="s">
        <v>1125</v>
      </c>
      <c r="L111" s="112" t="s">
        <v>1061</v>
      </c>
      <c r="M111" s="112" t="s">
        <v>478</v>
      </c>
      <c r="N111" s="113">
        <v>46525.584386574075</v>
      </c>
      <c r="O111" s="114">
        <v>19002207480</v>
      </c>
      <c r="P111" s="112">
        <v>0</v>
      </c>
      <c r="Q111" s="112" t="s">
        <v>1062</v>
      </c>
      <c r="R111" s="112" t="s">
        <v>1063</v>
      </c>
      <c r="S111" s="113">
        <v>46171.63008101852</v>
      </c>
      <c r="T111" s="112" t="s">
        <v>1585</v>
      </c>
      <c r="U111" s="112" t="s">
        <v>1065</v>
      </c>
      <c r="V111" s="112" t="s">
        <v>1066</v>
      </c>
      <c r="W111" s="112" t="s">
        <v>1066</v>
      </c>
      <c r="X111" s="112" t="s">
        <v>1066</v>
      </c>
      <c r="Y111" s="112" t="s">
        <v>1066</v>
      </c>
      <c r="Z111" s="112" t="s">
        <v>1066</v>
      </c>
      <c r="AA111" s="112" t="s">
        <v>1067</v>
      </c>
      <c r="AB111" s="112" t="s">
        <v>1066</v>
      </c>
      <c r="AC111" s="112" t="s">
        <v>92</v>
      </c>
      <c r="AD111" s="112" t="s">
        <v>1066</v>
      </c>
      <c r="AE111" s="112" t="s">
        <v>1066</v>
      </c>
      <c r="AF111" s="112" t="s">
        <v>1066</v>
      </c>
      <c r="AG111" s="112" t="s">
        <v>1066</v>
      </c>
      <c r="AH111" s="112" t="s">
        <v>1066</v>
      </c>
      <c r="AI111" s="112" t="s">
        <v>785</v>
      </c>
      <c r="AJ111" s="112">
        <v>8603359</v>
      </c>
      <c r="AK111" s="112" t="s">
        <v>293</v>
      </c>
      <c r="AL111" s="112">
        <v>794667</v>
      </c>
      <c r="AM111" s="112" t="s">
        <v>1066</v>
      </c>
      <c r="AN111" s="112" t="s">
        <v>1066</v>
      </c>
    </row>
    <row r="112" spans="1:40" ht="55.5" customHeight="1" x14ac:dyDescent="0.25">
      <c r="A112" s="111" t="s">
        <v>1586</v>
      </c>
      <c r="B112" s="112">
        <v>2026</v>
      </c>
      <c r="C112" s="112" t="s">
        <v>1587</v>
      </c>
      <c r="D112" s="113">
        <v>46127.547268518516</v>
      </c>
      <c r="E112" s="112">
        <v>300001072</v>
      </c>
      <c r="F112" s="112" t="s">
        <v>225</v>
      </c>
      <c r="G112" s="112">
        <v>3</v>
      </c>
      <c r="H112" s="112">
        <v>7964803072</v>
      </c>
      <c r="I112" s="112" t="s">
        <v>1588</v>
      </c>
      <c r="J112" s="112" t="s">
        <v>1071</v>
      </c>
      <c r="K112" s="112" t="s">
        <v>1145</v>
      </c>
      <c r="L112" s="112" t="s">
        <v>1073</v>
      </c>
      <c r="M112" s="112" t="s">
        <v>478</v>
      </c>
      <c r="N112" s="113">
        <v>46130.547268518516</v>
      </c>
      <c r="O112" s="114">
        <v>19002810721</v>
      </c>
      <c r="P112" s="112">
        <v>1.4730000000000001</v>
      </c>
      <c r="Q112" s="112" t="s">
        <v>1131</v>
      </c>
      <c r="R112" s="112" t="s">
        <v>1075</v>
      </c>
      <c r="S112" s="113">
        <v>46176.729317129626</v>
      </c>
      <c r="T112" s="112" t="s">
        <v>1589</v>
      </c>
      <c r="U112" s="112" t="s">
        <v>1065</v>
      </c>
      <c r="V112" s="112" t="s">
        <v>1066</v>
      </c>
      <c r="W112" s="112" t="s">
        <v>1066</v>
      </c>
      <c r="X112" s="112" t="s">
        <v>983</v>
      </c>
      <c r="Y112" s="112" t="s">
        <v>1066</v>
      </c>
      <c r="Z112" s="112" t="s">
        <v>1148</v>
      </c>
      <c r="AA112" s="112" t="s">
        <v>1067</v>
      </c>
      <c r="AB112" s="112" t="s">
        <v>1066</v>
      </c>
      <c r="AC112" s="112" t="s">
        <v>92</v>
      </c>
      <c r="AD112" s="112" t="s">
        <v>1066</v>
      </c>
      <c r="AE112" s="112" t="s">
        <v>1066</v>
      </c>
      <c r="AF112" s="112" t="s">
        <v>1066</v>
      </c>
      <c r="AG112" s="112" t="s">
        <v>1066</v>
      </c>
      <c r="AH112" s="112" t="s">
        <v>1066</v>
      </c>
      <c r="AI112" s="112" t="s">
        <v>785</v>
      </c>
      <c r="AJ112" s="112">
        <v>8647084</v>
      </c>
      <c r="AK112" s="112" t="s">
        <v>1590</v>
      </c>
      <c r="AL112" s="112">
        <v>904004</v>
      </c>
      <c r="AM112" s="112" t="s">
        <v>1066</v>
      </c>
      <c r="AN112" s="112" t="s">
        <v>1066</v>
      </c>
    </row>
    <row r="113" spans="1:40" ht="55.5" customHeight="1" x14ac:dyDescent="0.25">
      <c r="A113" s="120" t="s">
        <v>1591</v>
      </c>
      <c r="B113" s="121">
        <v>2026</v>
      </c>
      <c r="C113" s="121" t="s">
        <v>1592</v>
      </c>
      <c r="D113" s="122">
        <v>46150.678553240738</v>
      </c>
      <c r="E113" s="121">
        <v>9001191084</v>
      </c>
      <c r="F113" s="121" t="s">
        <v>153</v>
      </c>
      <c r="G113" s="121">
        <v>2</v>
      </c>
      <c r="H113" s="121">
        <v>5800566084</v>
      </c>
      <c r="I113" s="121" t="s">
        <v>1593</v>
      </c>
      <c r="J113" s="121" t="s">
        <v>1071</v>
      </c>
      <c r="K113" s="121" t="s">
        <v>1072</v>
      </c>
      <c r="L113" s="121" t="s">
        <v>1073</v>
      </c>
      <c r="M113" s="121" t="s">
        <v>1116</v>
      </c>
      <c r="N113" s="122">
        <v>46153.678553240738</v>
      </c>
      <c r="O113" s="123">
        <v>19002317890</v>
      </c>
      <c r="P113" s="121">
        <v>536</v>
      </c>
      <c r="Q113" s="121" t="s">
        <v>1074</v>
      </c>
      <c r="R113" s="121" t="s">
        <v>1075</v>
      </c>
      <c r="S113" s="122">
        <v>46153.640844907408</v>
      </c>
      <c r="T113" s="121" t="s">
        <v>1066</v>
      </c>
      <c r="U113" s="121" t="s">
        <v>1066</v>
      </c>
      <c r="V113" s="121" t="s">
        <v>1066</v>
      </c>
      <c r="W113" s="121" t="s">
        <v>1066</v>
      </c>
      <c r="X113" s="121" t="s">
        <v>1077</v>
      </c>
      <c r="Y113" s="121" t="s">
        <v>1066</v>
      </c>
      <c r="Z113" s="121" t="s">
        <v>1078</v>
      </c>
      <c r="AA113" s="121" t="s">
        <v>1067</v>
      </c>
      <c r="AB113" s="121" t="s">
        <v>1066</v>
      </c>
      <c r="AC113" s="121" t="s">
        <v>92</v>
      </c>
      <c r="AD113" s="121" t="s">
        <v>1066</v>
      </c>
      <c r="AE113" s="121" t="s">
        <v>1066</v>
      </c>
      <c r="AF113" s="121" t="s">
        <v>1066</v>
      </c>
      <c r="AG113" s="121" t="s">
        <v>1066</v>
      </c>
      <c r="AH113" s="121" t="s">
        <v>1066</v>
      </c>
      <c r="AI113" s="121" t="s">
        <v>785</v>
      </c>
      <c r="AJ113" s="121">
        <v>8913408</v>
      </c>
      <c r="AK113" s="121" t="s">
        <v>1311</v>
      </c>
      <c r="AL113" s="121">
        <v>698152</v>
      </c>
      <c r="AM113" s="121" t="s">
        <v>1066</v>
      </c>
      <c r="AN113" s="121" t="s">
        <v>1066</v>
      </c>
    </row>
    <row r="114" spans="1:40" ht="55.5" customHeight="1" x14ac:dyDescent="0.25">
      <c r="A114" s="111" t="s">
        <v>1594</v>
      </c>
      <c r="B114" s="112">
        <v>2026</v>
      </c>
      <c r="C114" s="112" t="s">
        <v>1595</v>
      </c>
      <c r="D114" s="113">
        <v>46013.608807870369</v>
      </c>
      <c r="E114" s="112">
        <v>3319797060</v>
      </c>
      <c r="F114" s="112" t="s">
        <v>254</v>
      </c>
      <c r="G114" s="112">
        <v>3</v>
      </c>
      <c r="H114" s="112">
        <v>7962635060</v>
      </c>
      <c r="I114" s="112" t="s">
        <v>1596</v>
      </c>
      <c r="J114" s="112" t="s">
        <v>1231</v>
      </c>
      <c r="K114" s="112" t="s">
        <v>1232</v>
      </c>
      <c r="L114" s="112" t="s">
        <v>1084</v>
      </c>
      <c r="M114" s="112" t="s">
        <v>478</v>
      </c>
      <c r="N114" s="113">
        <v>46250.432708333334</v>
      </c>
      <c r="O114" s="114">
        <v>19002812230</v>
      </c>
      <c r="P114" s="112">
        <v>14</v>
      </c>
      <c r="Q114" s="112" t="s">
        <v>1131</v>
      </c>
      <c r="R114" s="112" t="s">
        <v>1075</v>
      </c>
      <c r="S114" s="113">
        <v>46202.729166666664</v>
      </c>
      <c r="T114" s="112" t="s">
        <v>1597</v>
      </c>
      <c r="U114" s="112" t="s">
        <v>1065</v>
      </c>
      <c r="V114" s="112" t="s">
        <v>1066</v>
      </c>
      <c r="W114" s="112" t="s">
        <v>1066</v>
      </c>
      <c r="X114" s="112" t="s">
        <v>1066</v>
      </c>
      <c r="Y114" s="112" t="s">
        <v>1066</v>
      </c>
      <c r="Z114" s="112" t="s">
        <v>1066</v>
      </c>
      <c r="AA114" s="112" t="s">
        <v>1067</v>
      </c>
      <c r="AB114" s="112" t="s">
        <v>1066</v>
      </c>
      <c r="AC114" s="112" t="s">
        <v>92</v>
      </c>
      <c r="AD114" s="112" t="s">
        <v>1066</v>
      </c>
      <c r="AE114" s="112" t="s">
        <v>1066</v>
      </c>
      <c r="AF114" s="112" t="s">
        <v>1066</v>
      </c>
      <c r="AG114" s="112" t="s">
        <v>1066</v>
      </c>
      <c r="AH114" s="112" t="s">
        <v>1598</v>
      </c>
      <c r="AI114" s="112" t="s">
        <v>785</v>
      </c>
      <c r="AJ114" s="112">
        <v>9172142</v>
      </c>
      <c r="AK114" s="112" t="s">
        <v>69</v>
      </c>
      <c r="AL114" s="112">
        <v>789404</v>
      </c>
      <c r="AM114" s="112" t="s">
        <v>1066</v>
      </c>
      <c r="AN114" s="112" t="s">
        <v>1066</v>
      </c>
    </row>
    <row r="115" spans="1:40" ht="55.5" customHeight="1" x14ac:dyDescent="0.25">
      <c r="A115" s="111" t="s">
        <v>1599</v>
      </c>
      <c r="B115" s="112">
        <v>2026</v>
      </c>
      <c r="C115" s="112" t="s">
        <v>1089</v>
      </c>
      <c r="D115" s="113">
        <v>46028.41065972222</v>
      </c>
      <c r="E115" s="112">
        <v>7927112073</v>
      </c>
      <c r="F115" s="112" t="s">
        <v>1274</v>
      </c>
      <c r="G115" s="112">
        <v>3</v>
      </c>
      <c r="H115" s="112">
        <v>7927112073</v>
      </c>
      <c r="I115" s="112" t="s">
        <v>1600</v>
      </c>
      <c r="J115" s="112" t="s">
        <v>1092</v>
      </c>
      <c r="K115" s="112" t="s">
        <v>1093</v>
      </c>
      <c r="L115" s="112" t="s">
        <v>1061</v>
      </c>
      <c r="M115" s="112" t="s">
        <v>478</v>
      </c>
      <c r="N115" s="113">
        <v>46428.41065972222</v>
      </c>
      <c r="O115" s="114">
        <v>19002206438</v>
      </c>
      <c r="P115" s="112">
        <v>460</v>
      </c>
      <c r="Q115" s="112" t="s">
        <v>1062</v>
      </c>
      <c r="R115" s="112" t="s">
        <v>1063</v>
      </c>
      <c r="S115" s="113">
        <v>46112.436805555553</v>
      </c>
      <c r="T115" s="112" t="s">
        <v>1601</v>
      </c>
      <c r="U115" s="112" t="s">
        <v>1065</v>
      </c>
      <c r="V115" s="112" t="s">
        <v>1066</v>
      </c>
      <c r="W115" s="112" t="s">
        <v>1066</v>
      </c>
      <c r="X115" s="112" t="s">
        <v>1066</v>
      </c>
      <c r="Y115" s="112" t="s">
        <v>1066</v>
      </c>
      <c r="Z115" s="112" t="s">
        <v>1066</v>
      </c>
      <c r="AA115" s="112" t="s">
        <v>1067</v>
      </c>
      <c r="AB115" s="112" t="s">
        <v>1066</v>
      </c>
      <c r="AC115" s="112" t="s">
        <v>92</v>
      </c>
      <c r="AD115" s="112" t="s">
        <v>1066</v>
      </c>
      <c r="AE115" s="112" t="s">
        <v>1066</v>
      </c>
      <c r="AF115" s="112" t="s">
        <v>1066</v>
      </c>
      <c r="AG115" s="112" t="s">
        <v>1066</v>
      </c>
      <c r="AH115" s="112" t="s">
        <v>1066</v>
      </c>
      <c r="AI115" s="112" t="s">
        <v>785</v>
      </c>
      <c r="AJ115" s="112">
        <v>8808694</v>
      </c>
      <c r="AK115" s="112" t="s">
        <v>1166</v>
      </c>
      <c r="AL115" s="112">
        <v>654004</v>
      </c>
      <c r="AM115" s="112" t="s">
        <v>1066</v>
      </c>
      <c r="AN115" s="112" t="s">
        <v>1066</v>
      </c>
    </row>
    <row r="116" spans="1:40" ht="55.5" customHeight="1" x14ac:dyDescent="0.25">
      <c r="A116" s="111" t="s">
        <v>1602</v>
      </c>
      <c r="B116" s="112">
        <v>2026</v>
      </c>
      <c r="C116" s="112" t="s">
        <v>1603</v>
      </c>
      <c r="D116" s="113">
        <v>46053.474166666667</v>
      </c>
      <c r="E116" s="112">
        <v>310185136</v>
      </c>
      <c r="F116" s="112" t="s">
        <v>95</v>
      </c>
      <c r="G116" s="112">
        <v>3</v>
      </c>
      <c r="H116" s="112">
        <v>7952534136</v>
      </c>
      <c r="I116" s="112" t="s">
        <v>1604</v>
      </c>
      <c r="J116" s="112" t="s">
        <v>1071</v>
      </c>
      <c r="K116" s="112" t="s">
        <v>1605</v>
      </c>
      <c r="L116" s="112" t="s">
        <v>1073</v>
      </c>
      <c r="M116" s="112" t="s">
        <v>478</v>
      </c>
      <c r="N116" s="113">
        <v>46056.474166666667</v>
      </c>
      <c r="O116" s="114">
        <v>19002679020</v>
      </c>
      <c r="P116" s="112">
        <v>223</v>
      </c>
      <c r="Q116" s="112" t="s">
        <v>1131</v>
      </c>
      <c r="R116" s="112" t="s">
        <v>1075</v>
      </c>
      <c r="S116" s="113">
        <v>46078.336111111108</v>
      </c>
      <c r="T116" s="112" t="s">
        <v>1606</v>
      </c>
      <c r="U116" s="112" t="s">
        <v>1065</v>
      </c>
      <c r="V116" s="112" t="s">
        <v>1066</v>
      </c>
      <c r="W116" s="112" t="s">
        <v>1066</v>
      </c>
      <c r="X116" s="112" t="s">
        <v>983</v>
      </c>
      <c r="Y116" s="112" t="s">
        <v>1066</v>
      </c>
      <c r="Z116" s="112" t="s">
        <v>1133</v>
      </c>
      <c r="AA116" s="112" t="s">
        <v>1067</v>
      </c>
      <c r="AB116" s="112" t="s">
        <v>1066</v>
      </c>
      <c r="AC116" s="112" t="s">
        <v>92</v>
      </c>
      <c r="AD116" s="112" t="s">
        <v>1066</v>
      </c>
      <c r="AE116" s="112" t="s">
        <v>1066</v>
      </c>
      <c r="AF116" s="112" t="s">
        <v>1066</v>
      </c>
      <c r="AG116" s="112" t="s">
        <v>1066</v>
      </c>
      <c r="AH116" s="112" t="s">
        <v>1066</v>
      </c>
      <c r="AI116" s="112" t="s">
        <v>785</v>
      </c>
      <c r="AJ116" s="112">
        <v>9173439</v>
      </c>
      <c r="AK116" s="112" t="s">
        <v>1319</v>
      </c>
      <c r="AL116" s="112">
        <v>736909</v>
      </c>
      <c r="AM116" s="112" t="s">
        <v>1066</v>
      </c>
      <c r="AN116" s="112" t="s">
        <v>1066</v>
      </c>
    </row>
    <row r="117" spans="1:40" ht="55.5" customHeight="1" x14ac:dyDescent="0.25">
      <c r="A117" s="111" t="s">
        <v>1607</v>
      </c>
      <c r="B117" s="112">
        <v>2026</v>
      </c>
      <c r="C117" s="112" t="s">
        <v>1089</v>
      </c>
      <c r="D117" s="113">
        <v>46028.41065972222</v>
      </c>
      <c r="E117" s="112">
        <v>7910027196</v>
      </c>
      <c r="F117" s="112" t="s">
        <v>234</v>
      </c>
      <c r="G117" s="112">
        <v>3</v>
      </c>
      <c r="H117" s="112">
        <v>7910027196</v>
      </c>
      <c r="I117" s="112" t="s">
        <v>1608</v>
      </c>
      <c r="J117" s="112" t="s">
        <v>1092</v>
      </c>
      <c r="K117" s="112" t="s">
        <v>1093</v>
      </c>
      <c r="L117" s="112" t="s">
        <v>1061</v>
      </c>
      <c r="M117" s="112" t="s">
        <v>478</v>
      </c>
      <c r="N117" s="113">
        <v>46428.41065972222</v>
      </c>
      <c r="O117" s="114">
        <v>19002212975</v>
      </c>
      <c r="P117" s="112">
        <v>211</v>
      </c>
      <c r="Q117" s="112" t="s">
        <v>1062</v>
      </c>
      <c r="R117" s="112" t="s">
        <v>1063</v>
      </c>
      <c r="S117" s="113">
        <v>46190.627534722225</v>
      </c>
      <c r="T117" s="112" t="s">
        <v>1248</v>
      </c>
      <c r="U117" s="112" t="s">
        <v>1065</v>
      </c>
      <c r="V117" s="112" t="s">
        <v>1066</v>
      </c>
      <c r="W117" s="112" t="s">
        <v>1066</v>
      </c>
      <c r="X117" s="112" t="s">
        <v>1066</v>
      </c>
      <c r="Y117" s="112" t="s">
        <v>1066</v>
      </c>
      <c r="Z117" s="112" t="s">
        <v>1066</v>
      </c>
      <c r="AA117" s="112" t="s">
        <v>1067</v>
      </c>
      <c r="AB117" s="112" t="s">
        <v>1066</v>
      </c>
      <c r="AC117" s="112" t="s">
        <v>92</v>
      </c>
      <c r="AD117" s="112" t="s">
        <v>1066</v>
      </c>
      <c r="AE117" s="112" t="s">
        <v>1066</v>
      </c>
      <c r="AF117" s="112" t="s">
        <v>1066</v>
      </c>
      <c r="AG117" s="112" t="s">
        <v>1066</v>
      </c>
      <c r="AH117" s="112" t="s">
        <v>1066</v>
      </c>
      <c r="AI117" s="112" t="s">
        <v>785</v>
      </c>
      <c r="AJ117" s="112">
        <v>8859703</v>
      </c>
      <c r="AK117" s="112" t="s">
        <v>233</v>
      </c>
      <c r="AL117" s="112">
        <v>876869</v>
      </c>
      <c r="AM117" s="112" t="s">
        <v>1066</v>
      </c>
      <c r="AN117" s="112" t="s">
        <v>1066</v>
      </c>
    </row>
    <row r="118" spans="1:40" ht="55.5" customHeight="1" x14ac:dyDescent="0.25">
      <c r="A118" s="111" t="s">
        <v>1609</v>
      </c>
      <c r="B118" s="112">
        <v>2026</v>
      </c>
      <c r="C118" s="112" t="s">
        <v>1089</v>
      </c>
      <c r="D118" s="113">
        <v>46028.453888888886</v>
      </c>
      <c r="E118" s="112">
        <v>7900095186</v>
      </c>
      <c r="F118" s="112" t="s">
        <v>1236</v>
      </c>
      <c r="G118" s="112">
        <v>2</v>
      </c>
      <c r="H118" s="112">
        <v>7900095186</v>
      </c>
      <c r="I118" s="112" t="s">
        <v>1610</v>
      </c>
      <c r="J118" s="112" t="s">
        <v>1092</v>
      </c>
      <c r="K118" s="112" t="s">
        <v>1093</v>
      </c>
      <c r="L118" s="112" t="s">
        <v>1061</v>
      </c>
      <c r="M118" s="112" t="s">
        <v>478</v>
      </c>
      <c r="N118" s="113">
        <v>46428.453888888886</v>
      </c>
      <c r="O118" s="114">
        <v>19002295932</v>
      </c>
      <c r="P118" s="112">
        <v>322</v>
      </c>
      <c r="Q118" s="112" t="s">
        <v>1062</v>
      </c>
      <c r="R118" s="112" t="s">
        <v>1063</v>
      </c>
      <c r="S118" s="113">
        <v>46034.418749999997</v>
      </c>
      <c r="T118" s="112" t="s">
        <v>1611</v>
      </c>
      <c r="U118" s="112" t="s">
        <v>1065</v>
      </c>
      <c r="V118" s="112" t="s">
        <v>1066</v>
      </c>
      <c r="W118" s="112" t="s">
        <v>1066</v>
      </c>
      <c r="X118" s="112" t="s">
        <v>1066</v>
      </c>
      <c r="Y118" s="112" t="s">
        <v>1066</v>
      </c>
      <c r="Z118" s="112" t="s">
        <v>1066</v>
      </c>
      <c r="AA118" s="112" t="s">
        <v>1067</v>
      </c>
      <c r="AB118" s="112" t="s">
        <v>1066</v>
      </c>
      <c r="AC118" s="112" t="s">
        <v>92</v>
      </c>
      <c r="AD118" s="112" t="s">
        <v>1066</v>
      </c>
      <c r="AE118" s="112" t="s">
        <v>1066</v>
      </c>
      <c r="AF118" s="112" t="s">
        <v>1066</v>
      </c>
      <c r="AG118" s="112" t="s">
        <v>1066</v>
      </c>
      <c r="AH118" s="112" t="s">
        <v>1066</v>
      </c>
      <c r="AI118" s="112" t="s">
        <v>785</v>
      </c>
      <c r="AJ118" s="112">
        <v>8603075</v>
      </c>
      <c r="AK118" s="112" t="s">
        <v>1438</v>
      </c>
      <c r="AL118" s="112">
        <v>759468</v>
      </c>
      <c r="AM118" s="112" t="s">
        <v>1066</v>
      </c>
      <c r="AN118" s="112" t="s">
        <v>1066</v>
      </c>
    </row>
    <row r="119" spans="1:40" ht="55.5" customHeight="1" x14ac:dyDescent="0.25">
      <c r="A119" s="111" t="s">
        <v>1612</v>
      </c>
      <c r="B119" s="112">
        <v>2026</v>
      </c>
      <c r="C119" s="112" t="s">
        <v>1057</v>
      </c>
      <c r="D119" s="113">
        <v>46125.614548611113</v>
      </c>
      <c r="E119" s="112">
        <v>7926780122</v>
      </c>
      <c r="F119" s="112" t="s">
        <v>1613</v>
      </c>
      <c r="G119" s="112">
        <v>1</v>
      </c>
      <c r="H119" s="112">
        <v>7926780122</v>
      </c>
      <c r="I119" s="112" t="s">
        <v>1614</v>
      </c>
      <c r="J119" s="112" t="s">
        <v>1066</v>
      </c>
      <c r="K119" s="112" t="s">
        <v>1125</v>
      </c>
      <c r="L119" s="112" t="s">
        <v>1061</v>
      </c>
      <c r="M119" s="112" t="s">
        <v>478</v>
      </c>
      <c r="N119" s="113">
        <v>46525.614548611113</v>
      </c>
      <c r="O119" s="114">
        <v>19002208154</v>
      </c>
      <c r="P119" s="112">
        <v>2.4660000000000002</v>
      </c>
      <c r="Q119" s="112" t="s">
        <v>1062</v>
      </c>
      <c r="R119" s="112" t="s">
        <v>1063</v>
      </c>
      <c r="S119" s="113">
        <v>46174.48</v>
      </c>
      <c r="T119" s="112" t="s">
        <v>1615</v>
      </c>
      <c r="U119" s="112" t="s">
        <v>1065</v>
      </c>
      <c r="V119" s="112" t="s">
        <v>1066</v>
      </c>
      <c r="W119" s="112" t="s">
        <v>1066</v>
      </c>
      <c r="X119" s="112" t="s">
        <v>1066</v>
      </c>
      <c r="Y119" s="112" t="s">
        <v>1066</v>
      </c>
      <c r="Z119" s="112" t="s">
        <v>1066</v>
      </c>
      <c r="AA119" s="112" t="s">
        <v>1067</v>
      </c>
      <c r="AB119" s="112" t="s">
        <v>1066</v>
      </c>
      <c r="AC119" s="112" t="s">
        <v>92</v>
      </c>
      <c r="AD119" s="112" t="s">
        <v>1066</v>
      </c>
      <c r="AE119" s="112" t="s">
        <v>1066</v>
      </c>
      <c r="AF119" s="112" t="s">
        <v>1066</v>
      </c>
      <c r="AG119" s="112" t="s">
        <v>1066</v>
      </c>
      <c r="AH119" s="112" t="s">
        <v>1066</v>
      </c>
      <c r="AI119" s="112" t="s">
        <v>785</v>
      </c>
      <c r="AJ119" s="112">
        <v>8887075</v>
      </c>
      <c r="AK119" s="112" t="s">
        <v>264</v>
      </c>
      <c r="AL119" s="112">
        <v>794370</v>
      </c>
      <c r="AM119" s="112" t="s">
        <v>1066</v>
      </c>
      <c r="AN119" s="112" t="s">
        <v>1066</v>
      </c>
    </row>
    <row r="120" spans="1:40" ht="55.5" customHeight="1" x14ac:dyDescent="0.25">
      <c r="A120" s="120" t="s">
        <v>1616</v>
      </c>
      <c r="B120" s="121">
        <v>2026</v>
      </c>
      <c r="C120" s="121" t="s">
        <v>1617</v>
      </c>
      <c r="D120" s="122">
        <v>46126.902592592596</v>
      </c>
      <c r="E120" s="121">
        <v>7933726256</v>
      </c>
      <c r="F120" s="121" t="s">
        <v>136</v>
      </c>
      <c r="G120" s="121">
        <v>2</v>
      </c>
      <c r="H120" s="121">
        <v>7933726256</v>
      </c>
      <c r="I120" s="121" t="s">
        <v>1618</v>
      </c>
      <c r="J120" s="121" t="s">
        <v>1071</v>
      </c>
      <c r="K120" s="121" t="s">
        <v>1619</v>
      </c>
      <c r="L120" s="121" t="s">
        <v>1073</v>
      </c>
      <c r="M120" s="121" t="s">
        <v>1116</v>
      </c>
      <c r="N120" s="122">
        <v>46129.902592592596</v>
      </c>
      <c r="O120" s="123">
        <v>19002260376</v>
      </c>
      <c r="P120" s="121">
        <v>860</v>
      </c>
      <c r="Q120" s="121" t="s">
        <v>1062</v>
      </c>
      <c r="R120" s="121" t="s">
        <v>1075</v>
      </c>
      <c r="S120" s="122">
        <v>46140.607465277775</v>
      </c>
      <c r="T120" s="121" t="s">
        <v>1066</v>
      </c>
      <c r="U120" s="121" t="s">
        <v>1066</v>
      </c>
      <c r="V120" s="121" t="s">
        <v>1066</v>
      </c>
      <c r="W120" s="121" t="s">
        <v>1066</v>
      </c>
      <c r="X120" s="121" t="s">
        <v>983</v>
      </c>
      <c r="Y120" s="121" t="s">
        <v>1066</v>
      </c>
      <c r="Z120" s="121" t="s">
        <v>1620</v>
      </c>
      <c r="AA120" s="121" t="s">
        <v>1067</v>
      </c>
      <c r="AB120" s="121" t="s">
        <v>1066</v>
      </c>
      <c r="AC120" s="121" t="s">
        <v>92</v>
      </c>
      <c r="AD120" s="121" t="s">
        <v>1066</v>
      </c>
      <c r="AE120" s="121" t="s">
        <v>1066</v>
      </c>
      <c r="AF120" s="121" t="s">
        <v>1066</v>
      </c>
      <c r="AG120" s="121" t="s">
        <v>1066</v>
      </c>
      <c r="AH120" s="121" t="s">
        <v>1066</v>
      </c>
      <c r="AI120" s="121" t="s">
        <v>785</v>
      </c>
      <c r="AJ120" s="121">
        <v>8830620</v>
      </c>
      <c r="AK120" s="121" t="s">
        <v>134</v>
      </c>
      <c r="AL120" s="121">
        <v>1001156</v>
      </c>
      <c r="AM120" s="121" t="s">
        <v>1066</v>
      </c>
      <c r="AN120" s="121" t="s">
        <v>1066</v>
      </c>
    </row>
    <row r="121" spans="1:40" ht="55.5" customHeight="1" x14ac:dyDescent="0.25">
      <c r="A121" s="120" t="s">
        <v>1621</v>
      </c>
      <c r="B121" s="121">
        <v>2026</v>
      </c>
      <c r="C121" s="121" t="s">
        <v>1622</v>
      </c>
      <c r="D121" s="122">
        <v>46114.608900462961</v>
      </c>
      <c r="E121" s="121">
        <v>7928241200</v>
      </c>
      <c r="F121" s="121" t="s">
        <v>324</v>
      </c>
      <c r="G121" s="121">
        <v>2</v>
      </c>
      <c r="H121" s="121">
        <v>7928241200</v>
      </c>
      <c r="I121" s="121" t="s">
        <v>1623</v>
      </c>
      <c r="J121" s="121" t="s">
        <v>1066</v>
      </c>
      <c r="K121" s="121" t="s">
        <v>1125</v>
      </c>
      <c r="L121" s="121" t="s">
        <v>1061</v>
      </c>
      <c r="M121" s="121" t="s">
        <v>1116</v>
      </c>
      <c r="N121" s="122">
        <v>46514.608900462961</v>
      </c>
      <c r="O121" s="123">
        <v>19002207502</v>
      </c>
      <c r="P121" s="121">
        <v>281</v>
      </c>
      <c r="Q121" s="121" t="s">
        <v>1062</v>
      </c>
      <c r="R121" s="121" t="s">
        <v>1063</v>
      </c>
      <c r="S121" s="122">
        <v>46226.5859375</v>
      </c>
      <c r="T121" s="121" t="s">
        <v>1624</v>
      </c>
      <c r="U121" s="121" t="s">
        <v>1625</v>
      </c>
      <c r="V121" s="121" t="s">
        <v>1066</v>
      </c>
      <c r="W121" s="121" t="s">
        <v>1066</v>
      </c>
      <c r="X121" s="121" t="s">
        <v>1066</v>
      </c>
      <c r="Y121" s="121" t="s">
        <v>1066</v>
      </c>
      <c r="Z121" s="121" t="s">
        <v>1066</v>
      </c>
      <c r="AA121" s="121" t="s">
        <v>1067</v>
      </c>
      <c r="AB121" s="121" t="s">
        <v>1066</v>
      </c>
      <c r="AC121" s="121" t="s">
        <v>92</v>
      </c>
      <c r="AD121" s="121" t="s">
        <v>1066</v>
      </c>
      <c r="AE121" s="121" t="s">
        <v>1066</v>
      </c>
      <c r="AF121" s="121" t="s">
        <v>1066</v>
      </c>
      <c r="AG121" s="121" t="s">
        <v>1066</v>
      </c>
      <c r="AH121" s="121" t="s">
        <v>1066</v>
      </c>
      <c r="AI121" s="121" t="s">
        <v>785</v>
      </c>
      <c r="AJ121" s="121">
        <v>8603487</v>
      </c>
      <c r="AK121" s="121" t="s">
        <v>293</v>
      </c>
      <c r="AL121" s="121">
        <v>794701</v>
      </c>
      <c r="AM121" s="121" t="s">
        <v>1066</v>
      </c>
      <c r="AN121" s="121" t="s">
        <v>1066</v>
      </c>
    </row>
    <row r="122" spans="1:40" ht="55.5" customHeight="1" x14ac:dyDescent="0.25">
      <c r="A122" s="111" t="s">
        <v>1626</v>
      </c>
      <c r="B122" s="112">
        <v>2026</v>
      </c>
      <c r="C122" s="112" t="s">
        <v>1627</v>
      </c>
      <c r="D122" s="113">
        <v>46072.456990740742</v>
      </c>
      <c r="E122" s="112">
        <v>7930287154</v>
      </c>
      <c r="F122" s="112" t="s">
        <v>1628</v>
      </c>
      <c r="G122" s="112">
        <v>3</v>
      </c>
      <c r="H122" s="112">
        <v>7930287154</v>
      </c>
      <c r="I122" s="112" t="s">
        <v>1629</v>
      </c>
      <c r="J122" s="112" t="s">
        <v>1071</v>
      </c>
      <c r="K122" s="112" t="s">
        <v>1296</v>
      </c>
      <c r="L122" s="112" t="s">
        <v>1073</v>
      </c>
      <c r="M122" s="112" t="s">
        <v>478</v>
      </c>
      <c r="N122" s="113">
        <v>46075.456990740742</v>
      </c>
      <c r="O122" s="114">
        <v>19002203867</v>
      </c>
      <c r="P122" s="112">
        <v>194</v>
      </c>
      <c r="Q122" s="112" t="s">
        <v>1062</v>
      </c>
      <c r="R122" s="112" t="s">
        <v>1075</v>
      </c>
      <c r="S122" s="113">
        <v>46139.685416666667</v>
      </c>
      <c r="T122" s="112" t="s">
        <v>1630</v>
      </c>
      <c r="U122" s="112" t="s">
        <v>1065</v>
      </c>
      <c r="V122" s="112" t="s">
        <v>1066</v>
      </c>
      <c r="W122" s="112" t="s">
        <v>1066</v>
      </c>
      <c r="X122" s="112" t="s">
        <v>983</v>
      </c>
      <c r="Y122" s="112" t="s">
        <v>1066</v>
      </c>
      <c r="Z122" s="112" t="s">
        <v>1299</v>
      </c>
      <c r="AA122" s="112" t="s">
        <v>1067</v>
      </c>
      <c r="AB122" s="112" t="s">
        <v>1066</v>
      </c>
      <c r="AC122" s="112" t="s">
        <v>92</v>
      </c>
      <c r="AD122" s="112" t="s">
        <v>1066</v>
      </c>
      <c r="AE122" s="112" t="s">
        <v>1066</v>
      </c>
      <c r="AF122" s="112" t="s">
        <v>1066</v>
      </c>
      <c r="AG122" s="112" t="s">
        <v>1066</v>
      </c>
      <c r="AH122" s="112" t="s">
        <v>1066</v>
      </c>
      <c r="AI122" s="112" t="s">
        <v>785</v>
      </c>
      <c r="AJ122" s="112">
        <v>9101582</v>
      </c>
      <c r="AK122" s="112" t="s">
        <v>1631</v>
      </c>
      <c r="AL122" s="112">
        <v>709620</v>
      </c>
      <c r="AM122" s="112" t="s">
        <v>1066</v>
      </c>
      <c r="AN122" s="112" t="s">
        <v>1066</v>
      </c>
    </row>
    <row r="123" spans="1:40" ht="55.5" customHeight="1" x14ac:dyDescent="0.25">
      <c r="A123" s="111" t="s">
        <v>1632</v>
      </c>
      <c r="B123" s="112">
        <v>2026</v>
      </c>
      <c r="C123" s="112" t="s">
        <v>1057</v>
      </c>
      <c r="D123" s="113">
        <v>46125.614548611113</v>
      </c>
      <c r="E123" s="112">
        <v>7905366122</v>
      </c>
      <c r="F123" s="112" t="s">
        <v>1633</v>
      </c>
      <c r="G123" s="112">
        <v>2</v>
      </c>
      <c r="H123" s="112">
        <v>7905366122</v>
      </c>
      <c r="I123" s="112" t="s">
        <v>1634</v>
      </c>
      <c r="J123" s="112" t="s">
        <v>1066</v>
      </c>
      <c r="K123" s="112" t="s">
        <v>1125</v>
      </c>
      <c r="L123" s="112" t="s">
        <v>1061</v>
      </c>
      <c r="M123" s="112" t="s">
        <v>478</v>
      </c>
      <c r="N123" s="113">
        <v>46525.614548611113</v>
      </c>
      <c r="O123" s="114">
        <v>19002295957</v>
      </c>
      <c r="P123" s="112">
        <v>0</v>
      </c>
      <c r="Q123" s="112" t="s">
        <v>1062</v>
      </c>
      <c r="R123" s="112" t="s">
        <v>1063</v>
      </c>
      <c r="S123" s="113">
        <v>46218.380937499998</v>
      </c>
      <c r="T123" s="112" t="s">
        <v>1635</v>
      </c>
      <c r="U123" s="112" t="s">
        <v>1065</v>
      </c>
      <c r="V123" s="112" t="s">
        <v>1066</v>
      </c>
      <c r="W123" s="112" t="s">
        <v>1066</v>
      </c>
      <c r="X123" s="112" t="s">
        <v>1066</v>
      </c>
      <c r="Y123" s="112" t="s">
        <v>1066</v>
      </c>
      <c r="Z123" s="112" t="s">
        <v>1066</v>
      </c>
      <c r="AA123" s="112" t="s">
        <v>1067</v>
      </c>
      <c r="AB123" s="112" t="s">
        <v>1066</v>
      </c>
      <c r="AC123" s="112" t="s">
        <v>92</v>
      </c>
      <c r="AD123" s="112" t="s">
        <v>1066</v>
      </c>
      <c r="AE123" s="112" t="s">
        <v>1066</v>
      </c>
      <c r="AF123" s="112" t="s">
        <v>1066</v>
      </c>
      <c r="AG123" s="112" t="s">
        <v>1066</v>
      </c>
      <c r="AH123" s="112" t="s">
        <v>1066</v>
      </c>
      <c r="AI123" s="112" t="s">
        <v>785</v>
      </c>
      <c r="AJ123" s="112">
        <v>8869244</v>
      </c>
      <c r="AK123" s="112" t="s">
        <v>264</v>
      </c>
      <c r="AL123" s="112">
        <v>792535</v>
      </c>
      <c r="AM123" s="112" t="s">
        <v>1066</v>
      </c>
      <c r="AN123" s="112" t="s">
        <v>1066</v>
      </c>
    </row>
    <row r="124" spans="1:40" ht="55.5" customHeight="1" x14ac:dyDescent="0.25">
      <c r="A124" s="111" t="s">
        <v>1636</v>
      </c>
      <c r="B124" s="112">
        <v>2026</v>
      </c>
      <c r="C124" s="112" t="s">
        <v>1089</v>
      </c>
      <c r="D124" s="113">
        <v>46028.41065972222</v>
      </c>
      <c r="E124" s="112">
        <v>7931333013</v>
      </c>
      <c r="F124" s="112" t="s">
        <v>1294</v>
      </c>
      <c r="G124" s="112">
        <v>3</v>
      </c>
      <c r="H124" s="112">
        <v>7931333013</v>
      </c>
      <c r="I124" s="112" t="s">
        <v>1637</v>
      </c>
      <c r="J124" s="112" t="s">
        <v>1092</v>
      </c>
      <c r="K124" s="112" t="s">
        <v>1093</v>
      </c>
      <c r="L124" s="112" t="s">
        <v>1061</v>
      </c>
      <c r="M124" s="112" t="s">
        <v>478</v>
      </c>
      <c r="N124" s="113">
        <v>46428.41065972222</v>
      </c>
      <c r="O124" s="114">
        <v>19002209945</v>
      </c>
      <c r="P124" s="112">
        <v>1.349</v>
      </c>
      <c r="Q124" s="112" t="s">
        <v>1062</v>
      </c>
      <c r="R124" s="112" t="s">
        <v>1063</v>
      </c>
      <c r="S124" s="113">
        <v>46041.451388888891</v>
      </c>
      <c r="T124" s="112" t="s">
        <v>1638</v>
      </c>
      <c r="U124" s="112" t="s">
        <v>1065</v>
      </c>
      <c r="V124" s="112" t="s">
        <v>1066</v>
      </c>
      <c r="W124" s="112" t="s">
        <v>1066</v>
      </c>
      <c r="X124" s="112" t="s">
        <v>1066</v>
      </c>
      <c r="Y124" s="112" t="s">
        <v>1066</v>
      </c>
      <c r="Z124" s="112" t="s">
        <v>1066</v>
      </c>
      <c r="AA124" s="112" t="s">
        <v>1067</v>
      </c>
      <c r="AB124" s="112" t="s">
        <v>1066</v>
      </c>
      <c r="AC124" s="112" t="s">
        <v>92</v>
      </c>
      <c r="AD124" s="112" t="s">
        <v>1066</v>
      </c>
      <c r="AE124" s="112" t="s">
        <v>1066</v>
      </c>
      <c r="AF124" s="112" t="s">
        <v>1066</v>
      </c>
      <c r="AG124" s="112" t="s">
        <v>1066</v>
      </c>
      <c r="AH124" s="112" t="s">
        <v>1066</v>
      </c>
      <c r="AI124" s="112" t="s">
        <v>785</v>
      </c>
      <c r="AJ124" s="112">
        <v>8872633</v>
      </c>
      <c r="AK124" s="112" t="s">
        <v>117</v>
      </c>
      <c r="AL124" s="112">
        <v>731124</v>
      </c>
      <c r="AM124" s="112" t="s">
        <v>1066</v>
      </c>
      <c r="AN124" s="112" t="s">
        <v>1066</v>
      </c>
    </row>
    <row r="125" spans="1:40" ht="55.5" customHeight="1" x14ac:dyDescent="0.25">
      <c r="A125" s="111" t="s">
        <v>1639</v>
      </c>
      <c r="B125" s="112">
        <v>2026</v>
      </c>
      <c r="C125" s="112" t="s">
        <v>1640</v>
      </c>
      <c r="D125" s="113">
        <v>46111.400196759256</v>
      </c>
      <c r="E125" s="112">
        <v>7956993021</v>
      </c>
      <c r="F125" s="112" t="s">
        <v>377</v>
      </c>
      <c r="G125" s="112">
        <v>3</v>
      </c>
      <c r="H125" s="112">
        <v>7956993021</v>
      </c>
      <c r="I125" s="112" t="s">
        <v>1641</v>
      </c>
      <c r="J125" s="112" t="s">
        <v>1071</v>
      </c>
      <c r="K125" s="112" t="s">
        <v>1457</v>
      </c>
      <c r="L125" s="112" t="s">
        <v>1061</v>
      </c>
      <c r="M125" s="112" t="s">
        <v>478</v>
      </c>
      <c r="N125" s="113">
        <v>46511.400196759256</v>
      </c>
      <c r="O125" s="114">
        <v>19002742177</v>
      </c>
      <c r="P125" s="112">
        <v>181</v>
      </c>
      <c r="Q125" s="112" t="s">
        <v>1062</v>
      </c>
      <c r="R125" s="112" t="s">
        <v>1075</v>
      </c>
      <c r="S125" s="113">
        <v>46125.728703703702</v>
      </c>
      <c r="T125" s="112" t="s">
        <v>1642</v>
      </c>
      <c r="U125" s="112" t="s">
        <v>1065</v>
      </c>
      <c r="V125" s="112" t="s">
        <v>1066</v>
      </c>
      <c r="W125" s="112" t="s">
        <v>1066</v>
      </c>
      <c r="X125" s="112" t="s">
        <v>983</v>
      </c>
      <c r="Y125" s="112" t="s">
        <v>1066</v>
      </c>
      <c r="Z125" s="112" t="s">
        <v>1318</v>
      </c>
      <c r="AA125" s="112" t="s">
        <v>1067</v>
      </c>
      <c r="AB125" s="112" t="s">
        <v>1066</v>
      </c>
      <c r="AC125" s="112" t="s">
        <v>92</v>
      </c>
      <c r="AD125" s="112" t="s">
        <v>1066</v>
      </c>
      <c r="AE125" s="112" t="s">
        <v>1066</v>
      </c>
      <c r="AF125" s="112" t="s">
        <v>1066</v>
      </c>
      <c r="AG125" s="112" t="s">
        <v>1066</v>
      </c>
      <c r="AH125" s="112" t="s">
        <v>1066</v>
      </c>
      <c r="AI125" s="112" t="s">
        <v>785</v>
      </c>
      <c r="AJ125" s="112">
        <v>8599265</v>
      </c>
      <c r="AK125" s="112" t="s">
        <v>223</v>
      </c>
      <c r="AL125" s="112">
        <v>867304</v>
      </c>
      <c r="AM125" s="112" t="s">
        <v>1066</v>
      </c>
      <c r="AN125" s="112" t="s">
        <v>1066</v>
      </c>
    </row>
    <row r="126" spans="1:40" ht="55.5" customHeight="1" x14ac:dyDescent="0.25">
      <c r="A126" s="111" t="s">
        <v>1643</v>
      </c>
      <c r="B126" s="112">
        <v>2026</v>
      </c>
      <c r="C126" s="112" t="s">
        <v>1057</v>
      </c>
      <c r="D126" s="113">
        <v>46122.378541666665</v>
      </c>
      <c r="E126" s="112">
        <v>7927785004</v>
      </c>
      <c r="F126" s="112" t="s">
        <v>1644</v>
      </c>
      <c r="G126" s="112">
        <v>3</v>
      </c>
      <c r="H126" s="112">
        <v>7927785004</v>
      </c>
      <c r="I126" s="112" t="s">
        <v>1645</v>
      </c>
      <c r="J126" s="112" t="s">
        <v>1059</v>
      </c>
      <c r="K126" s="112" t="s">
        <v>1060</v>
      </c>
      <c r="L126" s="112" t="s">
        <v>1061</v>
      </c>
      <c r="M126" s="112" t="s">
        <v>478</v>
      </c>
      <c r="N126" s="113">
        <v>46522.378541666665</v>
      </c>
      <c r="O126" s="114">
        <v>19002207963</v>
      </c>
      <c r="P126" s="112">
        <v>0</v>
      </c>
      <c r="Q126" s="112" t="s">
        <v>1062</v>
      </c>
      <c r="R126" s="112" t="s">
        <v>1063</v>
      </c>
      <c r="S126" s="113">
        <v>46132.729166666664</v>
      </c>
      <c r="T126" s="112" t="s">
        <v>1646</v>
      </c>
      <c r="U126" s="112" t="s">
        <v>1065</v>
      </c>
      <c r="V126" s="112" t="s">
        <v>1066</v>
      </c>
      <c r="W126" s="112" t="s">
        <v>1066</v>
      </c>
      <c r="X126" s="112" t="s">
        <v>1066</v>
      </c>
      <c r="Y126" s="112" t="s">
        <v>1066</v>
      </c>
      <c r="Z126" s="112" t="s">
        <v>1066</v>
      </c>
      <c r="AA126" s="112" t="s">
        <v>1067</v>
      </c>
      <c r="AB126" s="112" t="s">
        <v>1066</v>
      </c>
      <c r="AC126" s="112" t="s">
        <v>92</v>
      </c>
      <c r="AD126" s="112" t="s">
        <v>1066</v>
      </c>
      <c r="AE126" s="112" t="s">
        <v>1066</v>
      </c>
      <c r="AF126" s="112" t="s">
        <v>1066</v>
      </c>
      <c r="AG126" s="112" t="s">
        <v>1066</v>
      </c>
      <c r="AH126" s="112" t="s">
        <v>1066</v>
      </c>
      <c r="AI126" s="112" t="s">
        <v>785</v>
      </c>
      <c r="AJ126" s="112">
        <v>9200884</v>
      </c>
      <c r="AK126" s="112" t="s">
        <v>69</v>
      </c>
      <c r="AL126" s="112">
        <v>806130</v>
      </c>
      <c r="AM126" s="112" t="s">
        <v>1066</v>
      </c>
      <c r="AN126" s="112" t="s">
        <v>1066</v>
      </c>
    </row>
    <row r="127" spans="1:40" ht="55.5" customHeight="1" x14ac:dyDescent="0.25">
      <c r="A127" s="111" t="s">
        <v>1647</v>
      </c>
      <c r="B127" s="112">
        <v>2026</v>
      </c>
      <c r="C127" s="112" t="s">
        <v>1648</v>
      </c>
      <c r="D127" s="113">
        <v>46130.804016203707</v>
      </c>
      <c r="E127" s="112">
        <v>7908707049</v>
      </c>
      <c r="F127" s="112" t="s">
        <v>380</v>
      </c>
      <c r="G127" s="112">
        <v>2</v>
      </c>
      <c r="H127" s="112">
        <v>7908707049</v>
      </c>
      <c r="I127" s="112" t="s">
        <v>1649</v>
      </c>
      <c r="J127" s="112" t="s">
        <v>1071</v>
      </c>
      <c r="K127" s="112" t="s">
        <v>1650</v>
      </c>
      <c r="L127" s="112" t="s">
        <v>1084</v>
      </c>
      <c r="M127" s="112" t="s">
        <v>478</v>
      </c>
      <c r="N127" s="113">
        <v>46190.804016203707</v>
      </c>
      <c r="O127" s="114">
        <v>19002295970</v>
      </c>
      <c r="P127" s="112">
        <v>357</v>
      </c>
      <c r="Q127" s="112" t="s">
        <v>1062</v>
      </c>
      <c r="R127" s="112" t="s">
        <v>1063</v>
      </c>
      <c r="S127" s="113">
        <v>46217.479375000003</v>
      </c>
      <c r="T127" s="112" t="s">
        <v>1651</v>
      </c>
      <c r="U127" s="112" t="s">
        <v>1065</v>
      </c>
      <c r="V127" s="112" t="s">
        <v>1066</v>
      </c>
      <c r="W127" s="112" t="s">
        <v>1066</v>
      </c>
      <c r="X127" s="112" t="s">
        <v>983</v>
      </c>
      <c r="Y127" s="112" t="s">
        <v>1066</v>
      </c>
      <c r="Z127" s="112" t="s">
        <v>1652</v>
      </c>
      <c r="AA127" s="112" t="s">
        <v>1067</v>
      </c>
      <c r="AB127" s="112" t="s">
        <v>1066</v>
      </c>
      <c r="AC127" s="112" t="s">
        <v>92</v>
      </c>
      <c r="AD127" s="112" t="s">
        <v>1066</v>
      </c>
      <c r="AE127" s="112" t="s">
        <v>1066</v>
      </c>
      <c r="AF127" s="112" t="s">
        <v>1066</v>
      </c>
      <c r="AG127" s="112" t="s">
        <v>1066</v>
      </c>
      <c r="AH127" s="112" t="s">
        <v>1066</v>
      </c>
      <c r="AI127" s="112" t="s">
        <v>785</v>
      </c>
      <c r="AJ127" s="112">
        <v>8589606</v>
      </c>
      <c r="AK127" s="112" t="s">
        <v>64</v>
      </c>
      <c r="AL127" s="112">
        <v>998982</v>
      </c>
      <c r="AM127" s="112" t="s">
        <v>1066</v>
      </c>
      <c r="AN127" s="112" t="s">
        <v>1066</v>
      </c>
    </row>
    <row r="128" spans="1:40" ht="55.5" customHeight="1" x14ac:dyDescent="0.25">
      <c r="A128" s="120" t="s">
        <v>1653</v>
      </c>
      <c r="B128" s="121">
        <v>2026</v>
      </c>
      <c r="C128" s="121" t="s">
        <v>1210</v>
      </c>
      <c r="D128" s="122">
        <v>46114.608900462961</v>
      </c>
      <c r="E128" s="121">
        <v>7944612080</v>
      </c>
      <c r="F128" s="121" t="s">
        <v>1654</v>
      </c>
      <c r="G128" s="121">
        <v>3</v>
      </c>
      <c r="H128" s="121">
        <v>7944612080</v>
      </c>
      <c r="I128" s="121" t="s">
        <v>1655</v>
      </c>
      <c r="J128" s="121" t="s">
        <v>1066</v>
      </c>
      <c r="K128" s="121" t="s">
        <v>1125</v>
      </c>
      <c r="L128" s="121" t="s">
        <v>1061</v>
      </c>
      <c r="M128" s="121" t="s">
        <v>1116</v>
      </c>
      <c r="N128" s="122">
        <v>46514.608900462961</v>
      </c>
      <c r="O128" s="123">
        <v>19002678793</v>
      </c>
      <c r="P128" s="121">
        <v>115</v>
      </c>
      <c r="Q128" s="121" t="s">
        <v>1062</v>
      </c>
      <c r="R128" s="121" t="s">
        <v>1063</v>
      </c>
      <c r="S128" s="122">
        <v>46183.447129629632</v>
      </c>
      <c r="T128" s="121" t="s">
        <v>1066</v>
      </c>
      <c r="U128" s="121" t="s">
        <v>1066</v>
      </c>
      <c r="V128" s="121" t="s">
        <v>1066</v>
      </c>
      <c r="W128" s="121" t="s">
        <v>1066</v>
      </c>
      <c r="X128" s="121" t="s">
        <v>1066</v>
      </c>
      <c r="Y128" s="121" t="s">
        <v>1066</v>
      </c>
      <c r="Z128" s="121" t="s">
        <v>1066</v>
      </c>
      <c r="AA128" s="121" t="s">
        <v>1067</v>
      </c>
      <c r="AB128" s="121" t="s">
        <v>1066</v>
      </c>
      <c r="AC128" s="121" t="s">
        <v>92</v>
      </c>
      <c r="AD128" s="121" t="s">
        <v>1066</v>
      </c>
      <c r="AE128" s="121" t="s">
        <v>1066</v>
      </c>
      <c r="AF128" s="121" t="s">
        <v>1066</v>
      </c>
      <c r="AG128" s="121" t="s">
        <v>1066</v>
      </c>
      <c r="AH128" s="121" t="s">
        <v>1066</v>
      </c>
      <c r="AI128" s="121" t="s">
        <v>785</v>
      </c>
      <c r="AJ128" s="121">
        <v>9244055</v>
      </c>
      <c r="AK128" s="121" t="s">
        <v>1656</v>
      </c>
      <c r="AL128" s="121">
        <v>853824</v>
      </c>
      <c r="AM128" s="121" t="s">
        <v>1066</v>
      </c>
      <c r="AN128" s="121" t="s">
        <v>1066</v>
      </c>
    </row>
    <row r="129" spans="1:40" ht="55.5" customHeight="1" x14ac:dyDescent="0.25">
      <c r="A129" s="111" t="s">
        <v>1657</v>
      </c>
      <c r="B129" s="112">
        <v>2026</v>
      </c>
      <c r="C129" s="112" t="s">
        <v>1251</v>
      </c>
      <c r="D129" s="113">
        <v>46031.603807870371</v>
      </c>
      <c r="E129" s="112">
        <v>7901077038</v>
      </c>
      <c r="F129" s="112" t="s">
        <v>380</v>
      </c>
      <c r="G129" s="112">
        <v>2</v>
      </c>
      <c r="H129" s="112">
        <v>7901077038</v>
      </c>
      <c r="I129" s="112" t="s">
        <v>1658</v>
      </c>
      <c r="J129" s="112" t="s">
        <v>1059</v>
      </c>
      <c r="K129" s="112" t="s">
        <v>1060</v>
      </c>
      <c r="L129" s="112" t="s">
        <v>1061</v>
      </c>
      <c r="M129" s="112" t="s">
        <v>478</v>
      </c>
      <c r="N129" s="113">
        <v>46431.603807870371</v>
      </c>
      <c r="O129" s="114">
        <v>19002226138</v>
      </c>
      <c r="P129" s="112">
        <v>0</v>
      </c>
      <c r="Q129" s="112" t="s">
        <v>1062</v>
      </c>
      <c r="R129" s="112" t="s">
        <v>1063</v>
      </c>
      <c r="S129" s="113">
        <v>46031.729166666664</v>
      </c>
      <c r="T129" s="112" t="s">
        <v>1253</v>
      </c>
      <c r="U129" s="112" t="s">
        <v>1065</v>
      </c>
      <c r="V129" s="112" t="s">
        <v>1066</v>
      </c>
      <c r="W129" s="112" t="s">
        <v>1066</v>
      </c>
      <c r="X129" s="112" t="s">
        <v>1066</v>
      </c>
      <c r="Y129" s="112" t="s">
        <v>1066</v>
      </c>
      <c r="Z129" s="112" t="s">
        <v>1066</v>
      </c>
      <c r="AA129" s="112" t="s">
        <v>1067</v>
      </c>
      <c r="AB129" s="112" t="s">
        <v>1066</v>
      </c>
      <c r="AC129" s="112" t="s">
        <v>92</v>
      </c>
      <c r="AD129" s="112" t="s">
        <v>1066</v>
      </c>
      <c r="AE129" s="112" t="s">
        <v>1066</v>
      </c>
      <c r="AF129" s="112" t="s">
        <v>1066</v>
      </c>
      <c r="AG129" s="112" t="s">
        <v>1066</v>
      </c>
      <c r="AH129" s="112" t="s">
        <v>1066</v>
      </c>
      <c r="AI129" s="112" t="s">
        <v>785</v>
      </c>
      <c r="AJ129" s="112">
        <v>8623567</v>
      </c>
      <c r="AK129" s="112" t="s">
        <v>627</v>
      </c>
      <c r="AL129" s="112">
        <v>997953</v>
      </c>
      <c r="AM129" s="112" t="s">
        <v>1066</v>
      </c>
      <c r="AN129" s="112" t="s">
        <v>1066</v>
      </c>
    </row>
    <row r="130" spans="1:40" ht="55.5" customHeight="1" x14ac:dyDescent="0.25">
      <c r="A130" s="111" t="s">
        <v>1659</v>
      </c>
      <c r="B130" s="112">
        <v>2026</v>
      </c>
      <c r="C130" s="112" t="s">
        <v>1660</v>
      </c>
      <c r="D130" s="113">
        <v>46083.323819444442</v>
      </c>
      <c r="E130" s="112">
        <v>9000688026</v>
      </c>
      <c r="F130" s="112" t="s">
        <v>234</v>
      </c>
      <c r="G130" s="112">
        <v>3</v>
      </c>
      <c r="H130" s="112">
        <v>7927661026</v>
      </c>
      <c r="I130" s="112" t="s">
        <v>1661</v>
      </c>
      <c r="J130" s="112" t="s">
        <v>1071</v>
      </c>
      <c r="K130" s="112" t="s">
        <v>1662</v>
      </c>
      <c r="L130" s="112" t="s">
        <v>1073</v>
      </c>
      <c r="M130" s="112" t="s">
        <v>478</v>
      </c>
      <c r="N130" s="113">
        <v>46086.323819444442</v>
      </c>
      <c r="O130" s="114">
        <v>19001269200</v>
      </c>
      <c r="P130" s="112">
        <v>296</v>
      </c>
      <c r="Q130" s="112" t="s">
        <v>1131</v>
      </c>
      <c r="R130" s="112" t="s">
        <v>1075</v>
      </c>
      <c r="S130" s="113">
        <v>46106.728310185186</v>
      </c>
      <c r="T130" s="112" t="s">
        <v>1663</v>
      </c>
      <c r="U130" s="112" t="s">
        <v>1065</v>
      </c>
      <c r="V130" s="112" t="s">
        <v>1066</v>
      </c>
      <c r="W130" s="112" t="s">
        <v>1066</v>
      </c>
      <c r="X130" s="112" t="s">
        <v>983</v>
      </c>
      <c r="Y130" s="112" t="s">
        <v>1066</v>
      </c>
      <c r="Z130" s="112" t="s">
        <v>1133</v>
      </c>
      <c r="AA130" s="112" t="s">
        <v>1067</v>
      </c>
      <c r="AB130" s="112" t="s">
        <v>1066</v>
      </c>
      <c r="AC130" s="112" t="s">
        <v>92</v>
      </c>
      <c r="AD130" s="112" t="s">
        <v>1142</v>
      </c>
      <c r="AE130" s="112" t="s">
        <v>1066</v>
      </c>
      <c r="AF130" s="112" t="s">
        <v>1066</v>
      </c>
      <c r="AG130" s="112" t="s">
        <v>1066</v>
      </c>
      <c r="AH130" s="112" t="s">
        <v>1066</v>
      </c>
      <c r="AI130" s="112" t="s">
        <v>785</v>
      </c>
      <c r="AJ130" s="112">
        <v>8839412</v>
      </c>
      <c r="AK130" s="112" t="s">
        <v>792</v>
      </c>
      <c r="AL130" s="112">
        <v>861966</v>
      </c>
      <c r="AM130" s="112" t="s">
        <v>1066</v>
      </c>
      <c r="AN130" s="112" t="s">
        <v>1066</v>
      </c>
    </row>
    <row r="131" spans="1:40" ht="55.5" customHeight="1" x14ac:dyDescent="0.25">
      <c r="A131" s="111" t="s">
        <v>1664</v>
      </c>
      <c r="B131" s="112">
        <v>2026</v>
      </c>
      <c r="C131" s="112" t="s">
        <v>1213</v>
      </c>
      <c r="D131" s="113">
        <v>46122.549942129626</v>
      </c>
      <c r="E131" s="112">
        <v>7934628004</v>
      </c>
      <c r="F131" s="112" t="s">
        <v>1665</v>
      </c>
      <c r="G131" s="112">
        <v>1</v>
      </c>
      <c r="H131" s="112">
        <v>7934628004</v>
      </c>
      <c r="I131" s="112" t="s">
        <v>1666</v>
      </c>
      <c r="J131" s="112" t="s">
        <v>1066</v>
      </c>
      <c r="K131" s="112" t="s">
        <v>1125</v>
      </c>
      <c r="L131" s="112" t="s">
        <v>1061</v>
      </c>
      <c r="M131" s="112" t="s">
        <v>478</v>
      </c>
      <c r="N131" s="113">
        <v>46522.549942129626</v>
      </c>
      <c r="O131" s="114">
        <v>19002203918</v>
      </c>
      <c r="P131" s="112">
        <v>5.65</v>
      </c>
      <c r="Q131" s="112" t="s">
        <v>1062</v>
      </c>
      <c r="R131" s="112" t="s">
        <v>1063</v>
      </c>
      <c r="S131" s="113">
        <v>46132.729166666664</v>
      </c>
      <c r="T131" s="112" t="s">
        <v>1667</v>
      </c>
      <c r="U131" s="112" t="s">
        <v>1065</v>
      </c>
      <c r="V131" s="112" t="s">
        <v>1066</v>
      </c>
      <c r="W131" s="112" t="s">
        <v>1066</v>
      </c>
      <c r="X131" s="112" t="s">
        <v>1066</v>
      </c>
      <c r="Y131" s="112" t="s">
        <v>1066</v>
      </c>
      <c r="Z131" s="112" t="s">
        <v>1066</v>
      </c>
      <c r="AA131" s="112" t="s">
        <v>1067</v>
      </c>
      <c r="AB131" s="112" t="s">
        <v>1066</v>
      </c>
      <c r="AC131" s="112" t="s">
        <v>92</v>
      </c>
      <c r="AD131" s="112" t="s">
        <v>1066</v>
      </c>
      <c r="AE131" s="112" t="s">
        <v>1066</v>
      </c>
      <c r="AF131" s="112" t="s">
        <v>1066</v>
      </c>
      <c r="AG131" s="112" t="s">
        <v>1066</v>
      </c>
      <c r="AH131" s="112" t="s">
        <v>1066</v>
      </c>
      <c r="AI131" s="112" t="s">
        <v>785</v>
      </c>
      <c r="AJ131" s="112">
        <v>9203141</v>
      </c>
      <c r="AK131" s="112" t="s">
        <v>69</v>
      </c>
      <c r="AL131" s="112">
        <v>809710</v>
      </c>
      <c r="AM131" s="112" t="s">
        <v>1066</v>
      </c>
      <c r="AN131" s="112" t="s">
        <v>1066</v>
      </c>
    </row>
    <row r="132" spans="1:40" ht="55.5" customHeight="1" x14ac:dyDescent="0.25">
      <c r="A132" s="111" t="s">
        <v>1668</v>
      </c>
      <c r="B132" s="112">
        <v>2026</v>
      </c>
      <c r="C132" s="112" t="s">
        <v>1669</v>
      </c>
      <c r="D132" s="113">
        <v>46146.64644675926</v>
      </c>
      <c r="E132" s="112">
        <v>9000728086</v>
      </c>
      <c r="F132" s="112" t="s">
        <v>682</v>
      </c>
      <c r="G132" s="112">
        <v>2</v>
      </c>
      <c r="H132" s="112">
        <v>5837543086</v>
      </c>
      <c r="I132" s="112" t="s">
        <v>1670</v>
      </c>
      <c r="J132" s="112" t="s">
        <v>1071</v>
      </c>
      <c r="K132" s="112" t="s">
        <v>1379</v>
      </c>
      <c r="L132" s="112" t="s">
        <v>1073</v>
      </c>
      <c r="M132" s="112" t="s">
        <v>478</v>
      </c>
      <c r="N132" s="113">
        <v>46149.64644675926</v>
      </c>
      <c r="O132" s="114">
        <v>19002682937</v>
      </c>
      <c r="P132" s="112">
        <v>145</v>
      </c>
      <c r="Q132" s="112" t="s">
        <v>1074</v>
      </c>
      <c r="R132" s="112" t="s">
        <v>1075</v>
      </c>
      <c r="S132" s="113">
        <v>46183.357766203706</v>
      </c>
      <c r="T132" s="112" t="s">
        <v>1671</v>
      </c>
      <c r="U132" s="112" t="s">
        <v>1065</v>
      </c>
      <c r="V132" s="112" t="s">
        <v>1066</v>
      </c>
      <c r="W132" s="112" t="s">
        <v>1066</v>
      </c>
      <c r="X132" s="112" t="s">
        <v>1066</v>
      </c>
      <c r="Y132" s="112" t="s">
        <v>1066</v>
      </c>
      <c r="Z132" s="112" t="s">
        <v>1066</v>
      </c>
      <c r="AA132" s="112" t="s">
        <v>1067</v>
      </c>
      <c r="AB132" s="112" t="s">
        <v>1066</v>
      </c>
      <c r="AC132" s="112" t="s">
        <v>92</v>
      </c>
      <c r="AD132" s="112" t="s">
        <v>1066</v>
      </c>
      <c r="AE132" s="112" t="s">
        <v>1066</v>
      </c>
      <c r="AF132" s="112" t="s">
        <v>1066</v>
      </c>
      <c r="AG132" s="112" t="s">
        <v>1066</v>
      </c>
      <c r="AH132" s="112" t="s">
        <v>1066</v>
      </c>
      <c r="AI132" s="112" t="s">
        <v>785</v>
      </c>
      <c r="AJ132" s="112">
        <v>8917894</v>
      </c>
      <c r="AK132" s="112" t="s">
        <v>1143</v>
      </c>
      <c r="AL132" s="112">
        <v>652276</v>
      </c>
      <c r="AM132" s="112" t="s">
        <v>1066</v>
      </c>
      <c r="AN132" s="112" t="s">
        <v>1066</v>
      </c>
    </row>
    <row r="133" spans="1:40" ht="55.5" customHeight="1" x14ac:dyDescent="0.25">
      <c r="A133" s="111" t="s">
        <v>1672</v>
      </c>
      <c r="B133" s="112">
        <v>2026</v>
      </c>
      <c r="C133" s="112" t="s">
        <v>1673</v>
      </c>
      <c r="D133" s="113">
        <v>46134.545451388891</v>
      </c>
      <c r="E133" s="112">
        <v>9001753074</v>
      </c>
      <c r="F133" s="112" t="s">
        <v>1674</v>
      </c>
      <c r="G133" s="112">
        <v>2</v>
      </c>
      <c r="H133" s="112">
        <v>7931863074</v>
      </c>
      <c r="I133" s="112" t="s">
        <v>1675</v>
      </c>
      <c r="J133" s="112" t="s">
        <v>1071</v>
      </c>
      <c r="K133" s="112" t="s">
        <v>1485</v>
      </c>
      <c r="L133" s="112" t="s">
        <v>1073</v>
      </c>
      <c r="M133" s="112" t="s">
        <v>478</v>
      </c>
      <c r="N133" s="113">
        <v>46137.545451388891</v>
      </c>
      <c r="O133" s="114">
        <v>19001279309</v>
      </c>
      <c r="P133" s="112">
        <v>1.488</v>
      </c>
      <c r="Q133" s="112" t="s">
        <v>1131</v>
      </c>
      <c r="R133" s="112" t="s">
        <v>1075</v>
      </c>
      <c r="S133" s="113">
        <v>46176.479444444441</v>
      </c>
      <c r="T133" s="112" t="s">
        <v>1676</v>
      </c>
      <c r="U133" s="112" t="s">
        <v>1065</v>
      </c>
      <c r="V133" s="112" t="s">
        <v>1066</v>
      </c>
      <c r="W133" s="112" t="s">
        <v>1066</v>
      </c>
      <c r="X133" s="112" t="s">
        <v>983</v>
      </c>
      <c r="Y133" s="112" t="s">
        <v>1066</v>
      </c>
      <c r="Z133" s="112" t="s">
        <v>1148</v>
      </c>
      <c r="AA133" s="112" t="s">
        <v>1067</v>
      </c>
      <c r="AB133" s="112" t="s">
        <v>1066</v>
      </c>
      <c r="AC133" s="112" t="s">
        <v>92</v>
      </c>
      <c r="AD133" s="112" t="s">
        <v>1142</v>
      </c>
      <c r="AE133" s="112" t="s">
        <v>1066</v>
      </c>
      <c r="AF133" s="112" t="s">
        <v>1066</v>
      </c>
      <c r="AG133" s="112" t="s">
        <v>1066</v>
      </c>
      <c r="AH133" s="112" t="s">
        <v>1066</v>
      </c>
      <c r="AI133" s="112" t="s">
        <v>785</v>
      </c>
      <c r="AJ133" s="112">
        <v>8711437</v>
      </c>
      <c r="AK133" s="112" t="s">
        <v>41</v>
      </c>
      <c r="AL133" s="112">
        <v>955245</v>
      </c>
      <c r="AM133" s="112" t="s">
        <v>1066</v>
      </c>
      <c r="AN133" s="112" t="s">
        <v>1066</v>
      </c>
    </row>
    <row r="134" spans="1:40" ht="55.5" customHeight="1" x14ac:dyDescent="0.25">
      <c r="A134" s="111" t="s">
        <v>1677</v>
      </c>
      <c r="B134" s="112">
        <v>2026</v>
      </c>
      <c r="C134" s="112" t="s">
        <v>1678</v>
      </c>
      <c r="D134" s="113">
        <v>46010.439976851849</v>
      </c>
      <c r="E134" s="112">
        <v>7955666036</v>
      </c>
      <c r="F134" s="112" t="s">
        <v>1679</v>
      </c>
      <c r="G134" s="112">
        <v>1</v>
      </c>
      <c r="H134" s="112">
        <v>7955666036</v>
      </c>
      <c r="I134" s="112" t="s">
        <v>1680</v>
      </c>
      <c r="J134" s="112" t="s">
        <v>1071</v>
      </c>
      <c r="K134" s="112" t="s">
        <v>1681</v>
      </c>
      <c r="L134" s="112" t="s">
        <v>1073</v>
      </c>
      <c r="M134" s="112" t="s">
        <v>478</v>
      </c>
      <c r="N134" s="113">
        <v>46187.70652777778</v>
      </c>
      <c r="O134" s="114">
        <v>19002744653</v>
      </c>
      <c r="P134" s="112">
        <v>475</v>
      </c>
      <c r="Q134" s="112" t="s">
        <v>1062</v>
      </c>
      <c r="R134" s="112" t="s">
        <v>1085</v>
      </c>
      <c r="S134" s="113">
        <v>46246.48165509259</v>
      </c>
      <c r="T134" s="112" t="s">
        <v>1682</v>
      </c>
      <c r="U134" s="112" t="s">
        <v>1065</v>
      </c>
      <c r="V134" s="112" t="s">
        <v>1066</v>
      </c>
      <c r="W134" s="112" t="s">
        <v>1066</v>
      </c>
      <c r="X134" s="112" t="s">
        <v>983</v>
      </c>
      <c r="Y134" s="112" t="s">
        <v>1066</v>
      </c>
      <c r="Z134" s="112" t="s">
        <v>1683</v>
      </c>
      <c r="AA134" s="112" t="s">
        <v>1067</v>
      </c>
      <c r="AB134" s="112" t="s">
        <v>1066</v>
      </c>
      <c r="AC134" s="112" t="s">
        <v>92</v>
      </c>
      <c r="AD134" s="112" t="s">
        <v>1066</v>
      </c>
      <c r="AE134" s="112" t="s">
        <v>1066</v>
      </c>
      <c r="AF134" s="112" t="s">
        <v>1066</v>
      </c>
      <c r="AG134" s="112" t="s">
        <v>1066</v>
      </c>
      <c r="AH134" s="112" t="s">
        <v>1684</v>
      </c>
      <c r="AI134" s="112" t="s">
        <v>785</v>
      </c>
      <c r="AJ134" s="112">
        <v>8617391</v>
      </c>
      <c r="AK134" s="112" t="s">
        <v>470</v>
      </c>
      <c r="AL134" s="112">
        <v>704763</v>
      </c>
      <c r="AM134" s="112" t="s">
        <v>1066</v>
      </c>
      <c r="AN134" s="112" t="s">
        <v>1066</v>
      </c>
    </row>
    <row r="135" spans="1:40" ht="55.5" customHeight="1" x14ac:dyDescent="0.25">
      <c r="A135" s="111" t="s">
        <v>1685</v>
      </c>
      <c r="B135" s="112">
        <v>2026</v>
      </c>
      <c r="C135" s="112" t="s">
        <v>1213</v>
      </c>
      <c r="D135" s="113">
        <v>46122.549942129626</v>
      </c>
      <c r="E135" s="112">
        <v>7925621104</v>
      </c>
      <c r="F135" s="112" t="s">
        <v>170</v>
      </c>
      <c r="G135" s="112">
        <v>1</v>
      </c>
      <c r="H135" s="112">
        <v>7925621104</v>
      </c>
      <c r="I135" s="112" t="s">
        <v>1686</v>
      </c>
      <c r="J135" s="112" t="s">
        <v>1066</v>
      </c>
      <c r="K135" s="112" t="s">
        <v>1125</v>
      </c>
      <c r="L135" s="112" t="s">
        <v>1061</v>
      </c>
      <c r="M135" s="112" t="s">
        <v>478</v>
      </c>
      <c r="N135" s="113">
        <v>46522.549942129626</v>
      </c>
      <c r="O135" s="114">
        <v>19002206421</v>
      </c>
      <c r="P135" s="112">
        <v>0</v>
      </c>
      <c r="Q135" s="112" t="s">
        <v>1062</v>
      </c>
      <c r="R135" s="112" t="s">
        <v>1063</v>
      </c>
      <c r="S135" s="113">
        <v>46156.475694444445</v>
      </c>
      <c r="T135" s="112" t="s">
        <v>1687</v>
      </c>
      <c r="U135" s="112" t="s">
        <v>1065</v>
      </c>
      <c r="V135" s="112" t="s">
        <v>1066</v>
      </c>
      <c r="W135" s="112" t="s">
        <v>1066</v>
      </c>
      <c r="X135" s="112" t="s">
        <v>1066</v>
      </c>
      <c r="Y135" s="112" t="s">
        <v>1066</v>
      </c>
      <c r="Z135" s="112" t="s">
        <v>1066</v>
      </c>
      <c r="AA135" s="112" t="s">
        <v>1067</v>
      </c>
      <c r="AB135" s="112" t="s">
        <v>1066</v>
      </c>
      <c r="AC135" s="112" t="s">
        <v>92</v>
      </c>
      <c r="AD135" s="112" t="s">
        <v>1066</v>
      </c>
      <c r="AE135" s="112" t="s">
        <v>1066</v>
      </c>
      <c r="AF135" s="112" t="s">
        <v>1066</v>
      </c>
      <c r="AG135" s="112" t="s">
        <v>1066</v>
      </c>
      <c r="AH135" s="112" t="s">
        <v>1066</v>
      </c>
      <c r="AI135" s="112" t="s">
        <v>785</v>
      </c>
      <c r="AJ135" s="112">
        <v>9027809</v>
      </c>
      <c r="AK135" s="112" t="s">
        <v>1688</v>
      </c>
      <c r="AL135" s="112">
        <v>856856</v>
      </c>
      <c r="AM135" s="112" t="s">
        <v>1066</v>
      </c>
      <c r="AN135" s="112" t="s">
        <v>1066</v>
      </c>
    </row>
    <row r="136" spans="1:40" ht="55.5" customHeight="1" x14ac:dyDescent="0.25">
      <c r="A136" s="111" t="s">
        <v>1689</v>
      </c>
      <c r="B136" s="112">
        <v>2026</v>
      </c>
      <c r="C136" s="112" t="s">
        <v>1057</v>
      </c>
      <c r="D136" s="113">
        <v>46125.584386574075</v>
      </c>
      <c r="E136" s="112">
        <v>7928241200</v>
      </c>
      <c r="F136" s="112" t="s">
        <v>324</v>
      </c>
      <c r="G136" s="112">
        <v>2</v>
      </c>
      <c r="H136" s="112">
        <v>7928241200</v>
      </c>
      <c r="I136" s="112" t="s">
        <v>1623</v>
      </c>
      <c r="J136" s="112" t="s">
        <v>1066</v>
      </c>
      <c r="K136" s="112" t="s">
        <v>1125</v>
      </c>
      <c r="L136" s="112" t="s">
        <v>1061</v>
      </c>
      <c r="M136" s="112" t="s">
        <v>478</v>
      </c>
      <c r="N136" s="113">
        <v>46525.584386574075</v>
      </c>
      <c r="O136" s="114">
        <v>19002207502</v>
      </c>
      <c r="P136" s="112">
        <v>281</v>
      </c>
      <c r="Q136" s="112" t="s">
        <v>1062</v>
      </c>
      <c r="R136" s="112" t="s">
        <v>1063</v>
      </c>
      <c r="S136" s="113">
        <v>46238.692974537036</v>
      </c>
      <c r="T136" s="112" t="s">
        <v>1690</v>
      </c>
      <c r="U136" s="112" t="s">
        <v>1065</v>
      </c>
      <c r="V136" s="112" t="s">
        <v>1066</v>
      </c>
      <c r="W136" s="112" t="s">
        <v>1066</v>
      </c>
      <c r="X136" s="112" t="s">
        <v>1066</v>
      </c>
      <c r="Y136" s="112" t="s">
        <v>1066</v>
      </c>
      <c r="Z136" s="112" t="s">
        <v>1066</v>
      </c>
      <c r="AA136" s="112" t="s">
        <v>1067</v>
      </c>
      <c r="AB136" s="112" t="s">
        <v>1066</v>
      </c>
      <c r="AC136" s="112" t="s">
        <v>92</v>
      </c>
      <c r="AD136" s="112" t="s">
        <v>1066</v>
      </c>
      <c r="AE136" s="112" t="s">
        <v>1066</v>
      </c>
      <c r="AF136" s="112" t="s">
        <v>1066</v>
      </c>
      <c r="AG136" s="112" t="s">
        <v>1066</v>
      </c>
      <c r="AH136" s="112" t="s">
        <v>1066</v>
      </c>
      <c r="AI136" s="112" t="s">
        <v>785</v>
      </c>
      <c r="AJ136" s="112">
        <v>8603487</v>
      </c>
      <c r="AK136" s="112" t="s">
        <v>293</v>
      </c>
      <c r="AL136" s="112">
        <v>794701</v>
      </c>
      <c r="AM136" s="112" t="s">
        <v>1066</v>
      </c>
      <c r="AN136" s="112" t="s">
        <v>1066</v>
      </c>
    </row>
    <row r="137" spans="1:40" ht="55.5" customHeight="1" x14ac:dyDescent="0.25">
      <c r="A137" s="111" t="s">
        <v>1691</v>
      </c>
      <c r="B137" s="112">
        <v>2026</v>
      </c>
      <c r="C137" s="112" t="s">
        <v>1057</v>
      </c>
      <c r="D137" s="113">
        <v>46125.614548611113</v>
      </c>
      <c r="E137" s="112">
        <v>7927443001</v>
      </c>
      <c r="F137" s="112" t="s">
        <v>1692</v>
      </c>
      <c r="G137" s="112">
        <v>1</v>
      </c>
      <c r="H137" s="112">
        <v>7927443001</v>
      </c>
      <c r="I137" s="112" t="s">
        <v>1693</v>
      </c>
      <c r="J137" s="112" t="s">
        <v>1066</v>
      </c>
      <c r="K137" s="112" t="s">
        <v>1125</v>
      </c>
      <c r="L137" s="112" t="s">
        <v>1061</v>
      </c>
      <c r="M137" s="112" t="s">
        <v>478</v>
      </c>
      <c r="N137" s="113">
        <v>46525.614548611113</v>
      </c>
      <c r="O137" s="114">
        <v>19002207175</v>
      </c>
      <c r="P137" s="112">
        <v>430</v>
      </c>
      <c r="Q137" s="112" t="s">
        <v>1062</v>
      </c>
      <c r="R137" s="112" t="s">
        <v>1063</v>
      </c>
      <c r="S137" s="113">
        <v>46174.729594907411</v>
      </c>
      <c r="T137" s="112" t="s">
        <v>1694</v>
      </c>
      <c r="U137" s="112" t="s">
        <v>1065</v>
      </c>
      <c r="V137" s="112" t="s">
        <v>1066</v>
      </c>
      <c r="W137" s="112" t="s">
        <v>1066</v>
      </c>
      <c r="X137" s="112" t="s">
        <v>1066</v>
      </c>
      <c r="Y137" s="112" t="s">
        <v>1066</v>
      </c>
      <c r="Z137" s="112" t="s">
        <v>1066</v>
      </c>
      <c r="AA137" s="112" t="s">
        <v>1067</v>
      </c>
      <c r="AB137" s="112" t="s">
        <v>1066</v>
      </c>
      <c r="AC137" s="112" t="s">
        <v>92</v>
      </c>
      <c r="AD137" s="112" t="s">
        <v>1066</v>
      </c>
      <c r="AE137" s="112" t="s">
        <v>1066</v>
      </c>
      <c r="AF137" s="112" t="s">
        <v>1066</v>
      </c>
      <c r="AG137" s="112" t="s">
        <v>1066</v>
      </c>
      <c r="AH137" s="112" t="s">
        <v>1066</v>
      </c>
      <c r="AI137" s="112" t="s">
        <v>785</v>
      </c>
      <c r="AJ137" s="112">
        <v>8818355</v>
      </c>
      <c r="AK137" s="112" t="s">
        <v>50</v>
      </c>
      <c r="AL137" s="112">
        <v>783822</v>
      </c>
      <c r="AM137" s="112" t="s">
        <v>1066</v>
      </c>
      <c r="AN137" s="112" t="s">
        <v>1066</v>
      </c>
    </row>
    <row r="138" spans="1:40" ht="55.5" customHeight="1" x14ac:dyDescent="0.25">
      <c r="A138" s="124" t="s">
        <v>1695</v>
      </c>
      <c r="B138" s="125">
        <v>2026</v>
      </c>
      <c r="C138" s="125" t="s">
        <v>1696</v>
      </c>
      <c r="D138" s="126">
        <v>46240.954918981479</v>
      </c>
      <c r="E138" s="125" t="s">
        <v>1066</v>
      </c>
      <c r="F138" s="125" t="s">
        <v>1697</v>
      </c>
      <c r="G138" s="125" t="s">
        <v>1066</v>
      </c>
      <c r="H138" s="125" t="s">
        <v>1698</v>
      </c>
      <c r="I138" s="125" t="s">
        <v>1699</v>
      </c>
      <c r="J138" s="125" t="s">
        <v>1071</v>
      </c>
      <c r="K138" s="125" t="s">
        <v>1619</v>
      </c>
      <c r="L138" s="125" t="s">
        <v>1073</v>
      </c>
      <c r="M138" s="125" t="s">
        <v>510</v>
      </c>
      <c r="N138" s="126">
        <v>46244.609212962961</v>
      </c>
      <c r="O138" s="127">
        <v>19002737297</v>
      </c>
      <c r="P138" s="125">
        <v>0</v>
      </c>
      <c r="Q138" s="125" t="s">
        <v>1700</v>
      </c>
      <c r="R138" s="125" t="s">
        <v>1263</v>
      </c>
      <c r="S138" s="125" t="s">
        <v>1066</v>
      </c>
      <c r="T138" s="125" t="s">
        <v>1066</v>
      </c>
      <c r="U138" s="125" t="s">
        <v>1066</v>
      </c>
      <c r="V138" s="125" t="s">
        <v>1066</v>
      </c>
      <c r="W138" s="125" t="s">
        <v>1066</v>
      </c>
      <c r="X138" s="125" t="s">
        <v>1173</v>
      </c>
      <c r="Y138" s="125" t="s">
        <v>1066</v>
      </c>
      <c r="Z138" s="125" t="s">
        <v>1318</v>
      </c>
      <c r="AA138" s="125" t="s">
        <v>1067</v>
      </c>
      <c r="AB138" s="125" t="s">
        <v>1066</v>
      </c>
      <c r="AC138" s="125" t="s">
        <v>92</v>
      </c>
      <c r="AD138" s="125" t="s">
        <v>1066</v>
      </c>
      <c r="AE138" s="125" t="s">
        <v>1066</v>
      </c>
      <c r="AF138" s="125" t="s">
        <v>1066</v>
      </c>
      <c r="AG138" s="125" t="s">
        <v>1066</v>
      </c>
      <c r="AH138" s="125" t="s">
        <v>1701</v>
      </c>
      <c r="AI138" s="125" t="s">
        <v>785</v>
      </c>
      <c r="AJ138" s="125" t="s">
        <v>1066</v>
      </c>
      <c r="AK138" s="125" t="s">
        <v>1066</v>
      </c>
      <c r="AL138" s="125" t="s">
        <v>1066</v>
      </c>
      <c r="AM138" s="125" t="s">
        <v>1066</v>
      </c>
      <c r="AN138" s="125" t="s">
        <v>1066</v>
      </c>
    </row>
    <row r="139" spans="1:40" ht="55.5" customHeight="1" x14ac:dyDescent="0.25">
      <c r="A139" s="124" t="s">
        <v>1702</v>
      </c>
      <c r="B139" s="125">
        <v>2026</v>
      </c>
      <c r="C139" s="125" t="s">
        <v>1703</v>
      </c>
      <c r="D139" s="126">
        <v>46247.715115740742</v>
      </c>
      <c r="E139" s="125">
        <v>8800292038</v>
      </c>
      <c r="F139" s="125" t="s">
        <v>1704</v>
      </c>
      <c r="G139" s="125">
        <v>3</v>
      </c>
      <c r="H139" s="125">
        <v>3301204038</v>
      </c>
      <c r="I139" s="125" t="s">
        <v>1705</v>
      </c>
      <c r="J139" s="125" t="s">
        <v>1082</v>
      </c>
      <c r="K139" s="125" t="s">
        <v>1706</v>
      </c>
      <c r="L139" s="125" t="s">
        <v>1707</v>
      </c>
      <c r="M139" s="125" t="s">
        <v>510</v>
      </c>
      <c r="N139" s="126">
        <v>46427.715115740742</v>
      </c>
      <c r="O139" s="127">
        <v>19001317906</v>
      </c>
      <c r="P139" s="125">
        <v>3</v>
      </c>
      <c r="Q139" s="125" t="s">
        <v>1708</v>
      </c>
      <c r="R139" s="125" t="s">
        <v>1063</v>
      </c>
      <c r="S139" s="125" t="s">
        <v>1066</v>
      </c>
      <c r="T139" s="125" t="s">
        <v>1709</v>
      </c>
      <c r="U139" s="125" t="s">
        <v>1710</v>
      </c>
      <c r="V139" s="125" t="s">
        <v>1066</v>
      </c>
      <c r="W139" s="125" t="s">
        <v>1066</v>
      </c>
      <c r="X139" s="125" t="s">
        <v>1711</v>
      </c>
      <c r="Y139" s="125" t="s">
        <v>1066</v>
      </c>
      <c r="Z139" s="125" t="s">
        <v>1712</v>
      </c>
      <c r="AA139" s="125" t="s">
        <v>1067</v>
      </c>
      <c r="AB139" s="125" t="s">
        <v>1066</v>
      </c>
      <c r="AC139" s="125" t="s">
        <v>92</v>
      </c>
      <c r="AD139" s="125" t="s">
        <v>1142</v>
      </c>
      <c r="AE139" s="125" t="s">
        <v>1066</v>
      </c>
      <c r="AF139" s="125" t="s">
        <v>1066</v>
      </c>
      <c r="AG139" s="125" t="s">
        <v>1066</v>
      </c>
      <c r="AH139" s="125" t="s">
        <v>1066</v>
      </c>
      <c r="AI139" s="125" t="s">
        <v>785</v>
      </c>
      <c r="AJ139" s="125">
        <v>8625157</v>
      </c>
      <c r="AK139" s="125" t="s">
        <v>627</v>
      </c>
      <c r="AL139" s="125">
        <v>993143</v>
      </c>
      <c r="AM139" s="125" t="s">
        <v>1066</v>
      </c>
      <c r="AN139" s="125" t="s">
        <v>1066</v>
      </c>
    </row>
    <row r="140" spans="1:40" ht="55.5" customHeight="1" x14ac:dyDescent="0.25">
      <c r="A140" s="111" t="s">
        <v>1713</v>
      </c>
      <c r="B140" s="112">
        <v>2026</v>
      </c>
      <c r="C140" s="112" t="s">
        <v>1057</v>
      </c>
      <c r="D140" s="113">
        <v>46122.378541666665</v>
      </c>
      <c r="E140" s="112">
        <v>7934387004</v>
      </c>
      <c r="F140" s="112" t="s">
        <v>1714</v>
      </c>
      <c r="G140" s="112">
        <v>2</v>
      </c>
      <c r="H140" s="112">
        <v>7934387004</v>
      </c>
      <c r="I140" s="112" t="s">
        <v>1715</v>
      </c>
      <c r="J140" s="112" t="s">
        <v>1059</v>
      </c>
      <c r="K140" s="112" t="s">
        <v>1060</v>
      </c>
      <c r="L140" s="112" t="s">
        <v>1061</v>
      </c>
      <c r="M140" s="112" t="s">
        <v>478</v>
      </c>
      <c r="N140" s="113">
        <v>46522.378541666665</v>
      </c>
      <c r="O140" s="114">
        <v>19002207659</v>
      </c>
      <c r="P140" s="112">
        <v>0</v>
      </c>
      <c r="Q140" s="112" t="s">
        <v>1062</v>
      </c>
      <c r="R140" s="112" t="s">
        <v>1063</v>
      </c>
      <c r="S140" s="113">
        <v>46147.581944444442</v>
      </c>
      <c r="T140" s="112" t="s">
        <v>1716</v>
      </c>
      <c r="U140" s="112" t="s">
        <v>1065</v>
      </c>
      <c r="V140" s="112" t="s">
        <v>1066</v>
      </c>
      <c r="W140" s="112" t="s">
        <v>1066</v>
      </c>
      <c r="X140" s="112" t="s">
        <v>1066</v>
      </c>
      <c r="Y140" s="112" t="s">
        <v>1066</v>
      </c>
      <c r="Z140" s="112" t="s">
        <v>1066</v>
      </c>
      <c r="AA140" s="112" t="s">
        <v>1067</v>
      </c>
      <c r="AB140" s="112" t="s">
        <v>1066</v>
      </c>
      <c r="AC140" s="112" t="s">
        <v>92</v>
      </c>
      <c r="AD140" s="112" t="s">
        <v>1066</v>
      </c>
      <c r="AE140" s="112" t="s">
        <v>1066</v>
      </c>
      <c r="AF140" s="112" t="s">
        <v>1066</v>
      </c>
      <c r="AG140" s="112" t="s">
        <v>1066</v>
      </c>
      <c r="AH140" s="112" t="s">
        <v>1066</v>
      </c>
      <c r="AI140" s="112" t="s">
        <v>785</v>
      </c>
      <c r="AJ140" s="112">
        <v>9205635</v>
      </c>
      <c r="AK140" s="112" t="s">
        <v>69</v>
      </c>
      <c r="AL140" s="112">
        <v>806924</v>
      </c>
      <c r="AM140" s="112" t="s">
        <v>1066</v>
      </c>
      <c r="AN140" s="112" t="s">
        <v>1066</v>
      </c>
    </row>
    <row r="141" spans="1:40" ht="55.5" customHeight="1" x14ac:dyDescent="0.25">
      <c r="A141" s="120" t="s">
        <v>1717</v>
      </c>
      <c r="B141" s="121">
        <v>2026</v>
      </c>
      <c r="C141" s="121" t="s">
        <v>1718</v>
      </c>
      <c r="D141" s="122">
        <v>46135.633391203701</v>
      </c>
      <c r="E141" s="121" t="s">
        <v>364</v>
      </c>
      <c r="F141" s="121" t="s">
        <v>364</v>
      </c>
      <c r="G141" s="121">
        <v>1</v>
      </c>
      <c r="H141" s="121">
        <v>8850880081</v>
      </c>
      <c r="I141" s="121" t="s">
        <v>1719</v>
      </c>
      <c r="J141" s="121" t="s">
        <v>1071</v>
      </c>
      <c r="K141" s="121" t="s">
        <v>1115</v>
      </c>
      <c r="L141" s="121" t="s">
        <v>1073</v>
      </c>
      <c r="M141" s="121" t="s">
        <v>1116</v>
      </c>
      <c r="N141" s="122">
        <v>46138.633391203701</v>
      </c>
      <c r="O141" s="123">
        <v>19002679838</v>
      </c>
      <c r="P141" s="121">
        <v>2.052</v>
      </c>
      <c r="Q141" s="121" t="s">
        <v>1720</v>
      </c>
      <c r="R141" s="121" t="s">
        <v>1075</v>
      </c>
      <c r="S141" s="122">
        <v>46148.675844907404</v>
      </c>
      <c r="T141" s="121" t="s">
        <v>1066</v>
      </c>
      <c r="U141" s="121" t="s">
        <v>1066</v>
      </c>
      <c r="V141" s="121" t="s">
        <v>1066</v>
      </c>
      <c r="W141" s="121" t="s">
        <v>1066</v>
      </c>
      <c r="X141" s="121" t="s">
        <v>1318</v>
      </c>
      <c r="Y141" s="121" t="s">
        <v>1066</v>
      </c>
      <c r="Z141" s="121" t="s">
        <v>1148</v>
      </c>
      <c r="AA141" s="121" t="s">
        <v>1067</v>
      </c>
      <c r="AB141" s="121" t="s">
        <v>1066</v>
      </c>
      <c r="AC141" s="121" t="s">
        <v>92</v>
      </c>
      <c r="AD141" s="121" t="s">
        <v>1066</v>
      </c>
      <c r="AE141" s="121" t="s">
        <v>1066</v>
      </c>
      <c r="AF141" s="121" t="s">
        <v>1066</v>
      </c>
      <c r="AG141" s="121" t="s">
        <v>1066</v>
      </c>
      <c r="AH141" s="121" t="s">
        <v>1066</v>
      </c>
      <c r="AI141" s="121" t="s">
        <v>785</v>
      </c>
      <c r="AJ141" s="121">
        <v>9362351</v>
      </c>
      <c r="AK141" s="121" t="s">
        <v>1721</v>
      </c>
      <c r="AL141" s="121">
        <v>887118</v>
      </c>
      <c r="AM141" s="121" t="s">
        <v>1066</v>
      </c>
      <c r="AN141" s="121" t="s">
        <v>1066</v>
      </c>
    </row>
    <row r="142" spans="1:40" ht="55.5" customHeight="1" x14ac:dyDescent="0.25">
      <c r="A142" s="124" t="s">
        <v>1722</v>
      </c>
      <c r="B142" s="125">
        <v>2026</v>
      </c>
      <c r="C142" s="125" t="s">
        <v>1449</v>
      </c>
      <c r="D142" s="126">
        <v>46244.660034722219</v>
      </c>
      <c r="E142" s="125">
        <v>7925621104</v>
      </c>
      <c r="F142" s="125" t="s">
        <v>170</v>
      </c>
      <c r="G142" s="125">
        <v>1</v>
      </c>
      <c r="H142" s="125">
        <v>7925621104</v>
      </c>
      <c r="I142" s="125" t="s">
        <v>1686</v>
      </c>
      <c r="J142" s="125" t="s">
        <v>1066</v>
      </c>
      <c r="K142" s="125" t="s">
        <v>1125</v>
      </c>
      <c r="L142" s="125" t="s">
        <v>1061</v>
      </c>
      <c r="M142" s="125" t="s">
        <v>510</v>
      </c>
      <c r="N142" s="126">
        <v>46644.660034722219</v>
      </c>
      <c r="O142" s="127">
        <v>19002206421</v>
      </c>
      <c r="P142" s="125">
        <v>0</v>
      </c>
      <c r="Q142" s="125" t="s">
        <v>1062</v>
      </c>
      <c r="R142" s="125" t="s">
        <v>1063</v>
      </c>
      <c r="S142" s="125" t="s">
        <v>1066</v>
      </c>
      <c r="T142" s="125" t="s">
        <v>1066</v>
      </c>
      <c r="U142" s="125" t="s">
        <v>1066</v>
      </c>
      <c r="V142" s="125" t="s">
        <v>1066</v>
      </c>
      <c r="W142" s="125" t="s">
        <v>1066</v>
      </c>
      <c r="X142" s="125" t="s">
        <v>1066</v>
      </c>
      <c r="Y142" s="125" t="s">
        <v>1066</v>
      </c>
      <c r="Z142" s="125" t="s">
        <v>1066</v>
      </c>
      <c r="AA142" s="125" t="s">
        <v>1067</v>
      </c>
      <c r="AB142" s="125" t="s">
        <v>1066</v>
      </c>
      <c r="AC142" s="125" t="s">
        <v>92</v>
      </c>
      <c r="AD142" s="125" t="s">
        <v>1066</v>
      </c>
      <c r="AE142" s="125" t="s">
        <v>1066</v>
      </c>
      <c r="AF142" s="125" t="s">
        <v>1066</v>
      </c>
      <c r="AG142" s="125" t="s">
        <v>1066</v>
      </c>
      <c r="AH142" s="125" t="s">
        <v>1066</v>
      </c>
      <c r="AI142" s="125" t="s">
        <v>785</v>
      </c>
      <c r="AJ142" s="125">
        <v>9027809</v>
      </c>
      <c r="AK142" s="125" t="s">
        <v>1688</v>
      </c>
      <c r="AL142" s="125">
        <v>856856</v>
      </c>
      <c r="AM142" s="125" t="s">
        <v>1066</v>
      </c>
      <c r="AN142" s="125" t="s">
        <v>1066</v>
      </c>
    </row>
    <row r="143" spans="1:40" ht="55.5" customHeight="1" x14ac:dyDescent="0.25">
      <c r="A143" s="115" t="s">
        <v>1723</v>
      </c>
      <c r="B143" s="116">
        <v>2026</v>
      </c>
      <c r="C143" s="116" t="s">
        <v>1724</v>
      </c>
      <c r="D143" s="118">
        <v>46083.665590277778</v>
      </c>
      <c r="E143" s="116">
        <v>9001891013</v>
      </c>
      <c r="F143" s="116" t="s">
        <v>229</v>
      </c>
      <c r="G143" s="116">
        <v>1</v>
      </c>
      <c r="H143" s="116">
        <v>5801866013</v>
      </c>
      <c r="I143" s="116" t="s">
        <v>1725</v>
      </c>
      <c r="J143" s="116" t="s">
        <v>1071</v>
      </c>
      <c r="K143" s="116" t="s">
        <v>1261</v>
      </c>
      <c r="L143" s="116" t="s">
        <v>1073</v>
      </c>
      <c r="M143" s="116" t="s">
        <v>588</v>
      </c>
      <c r="N143" s="118">
        <v>46129.40048611111</v>
      </c>
      <c r="O143" s="119">
        <v>19002614888</v>
      </c>
      <c r="P143" s="116">
        <v>665</v>
      </c>
      <c r="Q143" s="116" t="s">
        <v>1074</v>
      </c>
      <c r="R143" s="116" t="s">
        <v>1075</v>
      </c>
      <c r="S143" s="116" t="s">
        <v>1066</v>
      </c>
      <c r="T143" s="116" t="s">
        <v>1066</v>
      </c>
      <c r="U143" s="116" t="s">
        <v>1066</v>
      </c>
      <c r="V143" s="116" t="s">
        <v>1066</v>
      </c>
      <c r="W143" s="116" t="s">
        <v>1066</v>
      </c>
      <c r="X143" s="116" t="s">
        <v>1726</v>
      </c>
      <c r="Y143" s="116" t="s">
        <v>1066</v>
      </c>
      <c r="Z143" s="116" t="s">
        <v>1174</v>
      </c>
      <c r="AA143" s="116" t="s">
        <v>1067</v>
      </c>
      <c r="AB143" s="116" t="s">
        <v>1066</v>
      </c>
      <c r="AC143" s="116" t="s">
        <v>92</v>
      </c>
      <c r="AD143" s="116" t="s">
        <v>1066</v>
      </c>
      <c r="AE143" s="116" t="s">
        <v>1066</v>
      </c>
      <c r="AF143" s="116" t="s">
        <v>1066</v>
      </c>
      <c r="AG143" s="116" t="s">
        <v>1066</v>
      </c>
      <c r="AH143" s="116" t="s">
        <v>1066</v>
      </c>
      <c r="AI143" s="116" t="s">
        <v>785</v>
      </c>
      <c r="AJ143" s="116">
        <v>8870961</v>
      </c>
      <c r="AK143" s="116" t="s">
        <v>117</v>
      </c>
      <c r="AL143" s="116">
        <v>733022</v>
      </c>
      <c r="AM143" s="116" t="s">
        <v>1066</v>
      </c>
      <c r="AN143" s="116" t="s">
        <v>1066</v>
      </c>
    </row>
    <row r="144" spans="1:40" ht="55.5" customHeight="1" x14ac:dyDescent="0.25">
      <c r="A144" s="111" t="s">
        <v>1727</v>
      </c>
      <c r="B144" s="112">
        <v>2026</v>
      </c>
      <c r="C144" s="112" t="s">
        <v>1728</v>
      </c>
      <c r="D144" s="113">
        <v>46038.824918981481</v>
      </c>
      <c r="E144" s="112">
        <v>8800034193</v>
      </c>
      <c r="F144" s="112" t="s">
        <v>370</v>
      </c>
      <c r="G144" s="112">
        <v>2</v>
      </c>
      <c r="H144" s="112">
        <v>7954050193</v>
      </c>
      <c r="I144" s="112" t="s">
        <v>1729</v>
      </c>
      <c r="J144" s="112" t="s">
        <v>1071</v>
      </c>
      <c r="K144" s="112" t="s">
        <v>1605</v>
      </c>
      <c r="L144" s="112" t="s">
        <v>1073</v>
      </c>
      <c r="M144" s="112" t="s">
        <v>478</v>
      </c>
      <c r="N144" s="113">
        <v>46041.824918981481</v>
      </c>
      <c r="O144" s="114">
        <v>19002703308</v>
      </c>
      <c r="P144" s="112">
        <v>73</v>
      </c>
      <c r="Q144" s="112" t="s">
        <v>1131</v>
      </c>
      <c r="R144" s="112" t="s">
        <v>1075</v>
      </c>
      <c r="S144" s="113">
        <v>46091.728078703702</v>
      </c>
      <c r="T144" s="112" t="s">
        <v>1730</v>
      </c>
      <c r="U144" s="112" t="s">
        <v>1065</v>
      </c>
      <c r="V144" s="112" t="s">
        <v>1066</v>
      </c>
      <c r="W144" s="112" t="s">
        <v>1066</v>
      </c>
      <c r="X144" s="112" t="s">
        <v>983</v>
      </c>
      <c r="Y144" s="112" t="s">
        <v>1066</v>
      </c>
      <c r="Z144" s="112" t="s">
        <v>1078</v>
      </c>
      <c r="AA144" s="112" t="s">
        <v>1067</v>
      </c>
      <c r="AB144" s="112" t="s">
        <v>1066</v>
      </c>
      <c r="AC144" s="112" t="s">
        <v>92</v>
      </c>
      <c r="AD144" s="112" t="s">
        <v>1066</v>
      </c>
      <c r="AE144" s="112" t="s">
        <v>1066</v>
      </c>
      <c r="AF144" s="112" t="s">
        <v>1066</v>
      </c>
      <c r="AG144" s="112" t="s">
        <v>1066</v>
      </c>
      <c r="AH144" s="112" t="s">
        <v>1066</v>
      </c>
      <c r="AI144" s="112" t="s">
        <v>785</v>
      </c>
      <c r="AJ144" s="112">
        <v>9108971</v>
      </c>
      <c r="AK144" s="112" t="s">
        <v>369</v>
      </c>
      <c r="AL144" s="112">
        <v>957468</v>
      </c>
      <c r="AM144" s="112" t="s">
        <v>1066</v>
      </c>
      <c r="AN144" s="112" t="s">
        <v>1066</v>
      </c>
    </row>
    <row r="145" spans="1:40" ht="55.5" customHeight="1" x14ac:dyDescent="0.25">
      <c r="A145" s="115" t="s">
        <v>1731</v>
      </c>
      <c r="B145" s="116">
        <v>2026</v>
      </c>
      <c r="C145" s="116" t="s">
        <v>1732</v>
      </c>
      <c r="D145" s="118">
        <v>46065.580081018517</v>
      </c>
      <c r="E145" s="116" t="s">
        <v>1066</v>
      </c>
      <c r="F145" s="116" t="s">
        <v>170</v>
      </c>
      <c r="G145" s="116" t="s">
        <v>1066</v>
      </c>
      <c r="H145" s="116">
        <v>5860477104</v>
      </c>
      <c r="I145" s="116" t="s">
        <v>1733</v>
      </c>
      <c r="J145" s="116" t="s">
        <v>1231</v>
      </c>
      <c r="K145" s="116" t="s">
        <v>1232</v>
      </c>
      <c r="L145" s="116" t="s">
        <v>1084</v>
      </c>
      <c r="M145" s="116" t="s">
        <v>588</v>
      </c>
      <c r="N145" s="118">
        <v>46165.616481481484</v>
      </c>
      <c r="O145" s="119">
        <v>19002682910</v>
      </c>
      <c r="P145" s="116">
        <v>0</v>
      </c>
      <c r="Q145" s="116" t="s">
        <v>1074</v>
      </c>
      <c r="R145" s="116" t="s">
        <v>1206</v>
      </c>
      <c r="S145" s="116" t="s">
        <v>1066</v>
      </c>
      <c r="T145" s="116" t="s">
        <v>1066</v>
      </c>
      <c r="U145" s="116" t="s">
        <v>1066</v>
      </c>
      <c r="V145" s="116" t="s">
        <v>1066</v>
      </c>
      <c r="W145" s="116" t="s">
        <v>1066</v>
      </c>
      <c r="X145" s="116" t="s">
        <v>1077</v>
      </c>
      <c r="Y145" s="116" t="s">
        <v>1066</v>
      </c>
      <c r="Z145" s="116" t="s">
        <v>1066</v>
      </c>
      <c r="AA145" s="116" t="s">
        <v>1208</v>
      </c>
      <c r="AB145" s="116" t="s">
        <v>1066</v>
      </c>
      <c r="AC145" s="116" t="s">
        <v>92</v>
      </c>
      <c r="AD145" s="116" t="s">
        <v>1066</v>
      </c>
      <c r="AE145" s="116" t="s">
        <v>1066</v>
      </c>
      <c r="AF145" s="116" t="s">
        <v>1066</v>
      </c>
      <c r="AG145" s="116" t="s">
        <v>1066</v>
      </c>
      <c r="AH145" s="116" t="s">
        <v>1734</v>
      </c>
      <c r="AI145" s="116" t="s">
        <v>785</v>
      </c>
      <c r="AJ145" s="116">
        <v>9015312</v>
      </c>
      <c r="AK145" s="116" t="s">
        <v>1688</v>
      </c>
      <c r="AL145" s="116">
        <v>833865</v>
      </c>
      <c r="AM145" s="116" t="s">
        <v>1066</v>
      </c>
      <c r="AN145" s="116" t="s">
        <v>1066</v>
      </c>
    </row>
    <row r="146" spans="1:40" ht="55.5" customHeight="1" x14ac:dyDescent="0.25">
      <c r="A146" s="111" t="s">
        <v>1735</v>
      </c>
      <c r="B146" s="112">
        <v>2026</v>
      </c>
      <c r="C146" s="112" t="s">
        <v>1057</v>
      </c>
      <c r="D146" s="113">
        <v>46125.584386574075</v>
      </c>
      <c r="E146" s="112">
        <v>7936031003</v>
      </c>
      <c r="F146" s="112" t="s">
        <v>1736</v>
      </c>
      <c r="G146" s="112">
        <v>2</v>
      </c>
      <c r="H146" s="112">
        <v>7936031003</v>
      </c>
      <c r="I146" s="112" t="s">
        <v>1737</v>
      </c>
      <c r="J146" s="112" t="s">
        <v>1066</v>
      </c>
      <c r="K146" s="112" t="s">
        <v>1125</v>
      </c>
      <c r="L146" s="112" t="s">
        <v>1061</v>
      </c>
      <c r="M146" s="112" t="s">
        <v>478</v>
      </c>
      <c r="N146" s="113">
        <v>46525.584386574075</v>
      </c>
      <c r="O146" s="114">
        <v>19002209392</v>
      </c>
      <c r="P146" s="112">
        <v>0</v>
      </c>
      <c r="Q146" s="112" t="s">
        <v>1062</v>
      </c>
      <c r="R146" s="112" t="s">
        <v>1063</v>
      </c>
      <c r="S146" s="113">
        <v>46185.403749999998</v>
      </c>
      <c r="T146" s="112" t="s">
        <v>1738</v>
      </c>
      <c r="U146" s="112" t="s">
        <v>1065</v>
      </c>
      <c r="V146" s="112" t="s">
        <v>1066</v>
      </c>
      <c r="W146" s="112" t="s">
        <v>1066</v>
      </c>
      <c r="X146" s="112" t="s">
        <v>1066</v>
      </c>
      <c r="Y146" s="112" t="s">
        <v>1066</v>
      </c>
      <c r="Z146" s="112" t="s">
        <v>1066</v>
      </c>
      <c r="AA146" s="112" t="s">
        <v>1067</v>
      </c>
      <c r="AB146" s="112" t="s">
        <v>1066</v>
      </c>
      <c r="AC146" s="112" t="s">
        <v>92</v>
      </c>
      <c r="AD146" s="112" t="s">
        <v>1066</v>
      </c>
      <c r="AE146" s="112" t="s">
        <v>1066</v>
      </c>
      <c r="AF146" s="112" t="s">
        <v>1066</v>
      </c>
      <c r="AG146" s="112" t="s">
        <v>1066</v>
      </c>
      <c r="AH146" s="112" t="s">
        <v>1066</v>
      </c>
      <c r="AI146" s="112" t="s">
        <v>785</v>
      </c>
      <c r="AJ146" s="112">
        <v>8703658</v>
      </c>
      <c r="AK146" s="112" t="s">
        <v>210</v>
      </c>
      <c r="AL146" s="112">
        <v>709009</v>
      </c>
      <c r="AM146" s="112" t="s">
        <v>1066</v>
      </c>
      <c r="AN146" s="112" t="s">
        <v>1066</v>
      </c>
    </row>
    <row r="147" spans="1:40" ht="55.5" customHeight="1" x14ac:dyDescent="0.25">
      <c r="A147" s="111" t="s">
        <v>1739</v>
      </c>
      <c r="B147" s="112">
        <v>2026</v>
      </c>
      <c r="C147" s="112" t="s">
        <v>1057</v>
      </c>
      <c r="D147" s="113">
        <v>46125.584386574075</v>
      </c>
      <c r="E147" s="112">
        <v>7948507052</v>
      </c>
      <c r="F147" s="112" t="s">
        <v>1740</v>
      </c>
      <c r="G147" s="112">
        <v>3</v>
      </c>
      <c r="H147" s="112">
        <v>7948507052</v>
      </c>
      <c r="I147" s="112" t="s">
        <v>1741</v>
      </c>
      <c r="J147" s="112" t="s">
        <v>1066</v>
      </c>
      <c r="K147" s="112" t="s">
        <v>1125</v>
      </c>
      <c r="L147" s="112" t="s">
        <v>1061</v>
      </c>
      <c r="M147" s="112" t="s">
        <v>478</v>
      </c>
      <c r="N147" s="113">
        <v>46525.584386574075</v>
      </c>
      <c r="O147" s="114">
        <v>19002673260</v>
      </c>
      <c r="P147" s="112">
        <v>1.1819999999999999</v>
      </c>
      <c r="Q147" s="112" t="s">
        <v>1062</v>
      </c>
      <c r="R147" s="112" t="s">
        <v>1063</v>
      </c>
      <c r="S147" s="113">
        <v>46147.729502314818</v>
      </c>
      <c r="T147" s="112" t="s">
        <v>1742</v>
      </c>
      <c r="U147" s="112" t="s">
        <v>1065</v>
      </c>
      <c r="V147" s="112" t="s">
        <v>1066</v>
      </c>
      <c r="W147" s="112" t="s">
        <v>1066</v>
      </c>
      <c r="X147" s="112" t="s">
        <v>1066</v>
      </c>
      <c r="Y147" s="112" t="s">
        <v>1066</v>
      </c>
      <c r="Z147" s="112" t="s">
        <v>1066</v>
      </c>
      <c r="AA147" s="112" t="s">
        <v>1067</v>
      </c>
      <c r="AB147" s="112" t="s">
        <v>1066</v>
      </c>
      <c r="AC147" s="112" t="s">
        <v>92</v>
      </c>
      <c r="AD147" s="112" t="s">
        <v>1066</v>
      </c>
      <c r="AE147" s="112" t="s">
        <v>1066</v>
      </c>
      <c r="AF147" s="112" t="s">
        <v>1066</v>
      </c>
      <c r="AG147" s="112" t="s">
        <v>1066</v>
      </c>
      <c r="AH147" s="112" t="s">
        <v>1066</v>
      </c>
      <c r="AI147" s="112" t="s">
        <v>785</v>
      </c>
      <c r="AJ147" s="112">
        <v>8677074</v>
      </c>
      <c r="AK147" s="112" t="s">
        <v>112</v>
      </c>
      <c r="AL147" s="112">
        <v>652236</v>
      </c>
      <c r="AM147" s="112" t="s">
        <v>1066</v>
      </c>
      <c r="AN147" s="112" t="s">
        <v>1066</v>
      </c>
    </row>
    <row r="148" spans="1:40" ht="55.5" customHeight="1" x14ac:dyDescent="0.25">
      <c r="A148" s="111" t="s">
        <v>1743</v>
      </c>
      <c r="B148" s="112">
        <v>2026</v>
      </c>
      <c r="C148" s="112" t="s">
        <v>1210</v>
      </c>
      <c r="D148" s="113">
        <v>46114.608900462961</v>
      </c>
      <c r="E148" s="112">
        <v>7955825037</v>
      </c>
      <c r="F148" s="112" t="s">
        <v>186</v>
      </c>
      <c r="G148" s="112">
        <v>3</v>
      </c>
      <c r="H148" s="112">
        <v>7955825037</v>
      </c>
      <c r="I148" s="112" t="s">
        <v>1744</v>
      </c>
      <c r="J148" s="112" t="s">
        <v>1066</v>
      </c>
      <c r="K148" s="112" t="s">
        <v>1125</v>
      </c>
      <c r="L148" s="112" t="s">
        <v>1061</v>
      </c>
      <c r="M148" s="112" t="s">
        <v>478</v>
      </c>
      <c r="N148" s="113">
        <v>46514.608900462961</v>
      </c>
      <c r="O148" s="114">
        <v>19002742914</v>
      </c>
      <c r="P148" s="112">
        <v>47</v>
      </c>
      <c r="Q148" s="112" t="s">
        <v>1062</v>
      </c>
      <c r="R148" s="112" t="s">
        <v>1063</v>
      </c>
      <c r="S148" s="113">
        <v>46234.700914351852</v>
      </c>
      <c r="T148" s="112" t="s">
        <v>1745</v>
      </c>
      <c r="U148" s="112" t="s">
        <v>1065</v>
      </c>
      <c r="V148" s="112" t="s">
        <v>1066</v>
      </c>
      <c r="W148" s="112" t="s">
        <v>1066</v>
      </c>
      <c r="X148" s="112" t="s">
        <v>1066</v>
      </c>
      <c r="Y148" s="112" t="s">
        <v>1066</v>
      </c>
      <c r="Z148" s="112" t="s">
        <v>1066</v>
      </c>
      <c r="AA148" s="112" t="s">
        <v>1067</v>
      </c>
      <c r="AB148" s="112" t="s">
        <v>1066</v>
      </c>
      <c r="AC148" s="112" t="s">
        <v>92</v>
      </c>
      <c r="AD148" s="112" t="s">
        <v>1066</v>
      </c>
      <c r="AE148" s="112" t="s">
        <v>1066</v>
      </c>
      <c r="AF148" s="112" t="s">
        <v>1066</v>
      </c>
      <c r="AG148" s="112" t="s">
        <v>1066</v>
      </c>
      <c r="AH148" s="112" t="s">
        <v>1066</v>
      </c>
      <c r="AI148" s="112" t="s">
        <v>785</v>
      </c>
      <c r="AJ148" s="112">
        <v>8734324</v>
      </c>
      <c r="AK148" s="112" t="s">
        <v>1160</v>
      </c>
      <c r="AL148" s="112">
        <v>719563</v>
      </c>
      <c r="AM148" s="112" t="s">
        <v>1066</v>
      </c>
      <c r="AN148" s="112" t="s">
        <v>1066</v>
      </c>
    </row>
    <row r="149" spans="1:40" ht="55.5" customHeight="1" x14ac:dyDescent="0.25">
      <c r="A149" s="111" t="s">
        <v>1746</v>
      </c>
      <c r="B149" s="112">
        <v>2026</v>
      </c>
      <c r="C149" s="112" t="s">
        <v>1089</v>
      </c>
      <c r="D149" s="113">
        <v>46028.41065972222</v>
      </c>
      <c r="E149" s="112">
        <v>7931618122</v>
      </c>
      <c r="F149" s="112" t="s">
        <v>1747</v>
      </c>
      <c r="G149" s="112">
        <v>2</v>
      </c>
      <c r="H149" s="112">
        <v>7931618122</v>
      </c>
      <c r="I149" s="112" t="s">
        <v>1748</v>
      </c>
      <c r="J149" s="112" t="s">
        <v>1092</v>
      </c>
      <c r="K149" s="112" t="s">
        <v>1093</v>
      </c>
      <c r="L149" s="112" t="s">
        <v>1061</v>
      </c>
      <c r="M149" s="112" t="s">
        <v>478</v>
      </c>
      <c r="N149" s="113">
        <v>46428.41065972222</v>
      </c>
      <c r="O149" s="114">
        <v>19002260372</v>
      </c>
      <c r="P149" s="112">
        <v>1.0449999999999999</v>
      </c>
      <c r="Q149" s="112" t="s">
        <v>1062</v>
      </c>
      <c r="R149" s="112" t="s">
        <v>1063</v>
      </c>
      <c r="S149" s="113">
        <v>46036.372997685183</v>
      </c>
      <c r="T149" s="112" t="s">
        <v>1749</v>
      </c>
      <c r="U149" s="112" t="s">
        <v>1065</v>
      </c>
      <c r="V149" s="112" t="s">
        <v>1066</v>
      </c>
      <c r="W149" s="112" t="s">
        <v>1066</v>
      </c>
      <c r="X149" s="112" t="s">
        <v>1066</v>
      </c>
      <c r="Y149" s="112" t="s">
        <v>1066</v>
      </c>
      <c r="Z149" s="112" t="s">
        <v>1066</v>
      </c>
      <c r="AA149" s="112" t="s">
        <v>1067</v>
      </c>
      <c r="AB149" s="112" t="s">
        <v>1066</v>
      </c>
      <c r="AC149" s="112" t="s">
        <v>92</v>
      </c>
      <c r="AD149" s="112" t="s">
        <v>1066</v>
      </c>
      <c r="AE149" s="112" t="s">
        <v>1066</v>
      </c>
      <c r="AF149" s="112" t="s">
        <v>1066</v>
      </c>
      <c r="AG149" s="112" t="s">
        <v>1066</v>
      </c>
      <c r="AH149" s="112" t="s">
        <v>1066</v>
      </c>
      <c r="AI149" s="112" t="s">
        <v>785</v>
      </c>
      <c r="AJ149" s="112">
        <v>8872233</v>
      </c>
      <c r="AK149" s="112" t="s">
        <v>264</v>
      </c>
      <c r="AL149" s="112">
        <v>792533</v>
      </c>
      <c r="AM149" s="112" t="s">
        <v>1066</v>
      </c>
      <c r="AN149" s="112" t="s">
        <v>1066</v>
      </c>
    </row>
    <row r="150" spans="1:40" ht="55.5" customHeight="1" x14ac:dyDescent="0.25">
      <c r="A150" s="111" t="s">
        <v>1750</v>
      </c>
      <c r="B150" s="112">
        <v>2026</v>
      </c>
      <c r="C150" s="112" t="s">
        <v>1210</v>
      </c>
      <c r="D150" s="113">
        <v>46114.608900462961</v>
      </c>
      <c r="E150" s="112">
        <v>7928249076</v>
      </c>
      <c r="F150" s="112" t="s">
        <v>663</v>
      </c>
      <c r="G150" s="112">
        <v>2</v>
      </c>
      <c r="H150" s="112">
        <v>7928249076</v>
      </c>
      <c r="I150" s="112" t="s">
        <v>1751</v>
      </c>
      <c r="J150" s="112" t="s">
        <v>1066</v>
      </c>
      <c r="K150" s="112" t="s">
        <v>1125</v>
      </c>
      <c r="L150" s="112" t="s">
        <v>1061</v>
      </c>
      <c r="M150" s="112" t="s">
        <v>478</v>
      </c>
      <c r="N150" s="113">
        <v>46514.608900462961</v>
      </c>
      <c r="O150" s="114">
        <v>19002220214</v>
      </c>
      <c r="P150" s="112">
        <v>8</v>
      </c>
      <c r="Q150" s="112" t="s">
        <v>1062</v>
      </c>
      <c r="R150" s="112" t="s">
        <v>1063</v>
      </c>
      <c r="S150" s="113">
        <v>46182.361678240741</v>
      </c>
      <c r="T150" s="112" t="s">
        <v>1752</v>
      </c>
      <c r="U150" s="112" t="s">
        <v>1065</v>
      </c>
      <c r="V150" s="112" t="s">
        <v>1066</v>
      </c>
      <c r="W150" s="112" t="s">
        <v>1066</v>
      </c>
      <c r="X150" s="112" t="s">
        <v>1066</v>
      </c>
      <c r="Y150" s="112" t="s">
        <v>1066</v>
      </c>
      <c r="Z150" s="112" t="s">
        <v>1066</v>
      </c>
      <c r="AA150" s="112" t="s">
        <v>1067</v>
      </c>
      <c r="AB150" s="112" t="s">
        <v>1066</v>
      </c>
      <c r="AC150" s="112" t="s">
        <v>92</v>
      </c>
      <c r="AD150" s="112" t="s">
        <v>1066</v>
      </c>
      <c r="AE150" s="112" t="s">
        <v>1066</v>
      </c>
      <c r="AF150" s="112" t="s">
        <v>1066</v>
      </c>
      <c r="AG150" s="112" t="s">
        <v>1066</v>
      </c>
      <c r="AH150" s="112" t="s">
        <v>1066</v>
      </c>
      <c r="AI150" s="112" t="s">
        <v>785</v>
      </c>
      <c r="AJ150" s="112">
        <v>8743262</v>
      </c>
      <c r="AK150" s="112" t="s">
        <v>209</v>
      </c>
      <c r="AL150" s="112">
        <v>688993</v>
      </c>
      <c r="AM150" s="112" t="s">
        <v>1066</v>
      </c>
      <c r="AN150" s="112" t="s">
        <v>1066</v>
      </c>
    </row>
    <row r="151" spans="1:40" ht="55.5" customHeight="1" x14ac:dyDescent="0.25">
      <c r="A151" s="115" t="s">
        <v>1753</v>
      </c>
      <c r="B151" s="116">
        <v>2026</v>
      </c>
      <c r="C151" s="117" t="s">
        <v>1754</v>
      </c>
      <c r="D151" s="118">
        <v>46020.637002314812</v>
      </c>
      <c r="E151" s="116" t="s">
        <v>1066</v>
      </c>
      <c r="F151" s="116" t="s">
        <v>1755</v>
      </c>
      <c r="G151" s="116" t="s">
        <v>1066</v>
      </c>
      <c r="H151" s="116" t="s">
        <v>1066</v>
      </c>
      <c r="I151" s="116" t="s">
        <v>1756</v>
      </c>
      <c r="J151" s="116" t="s">
        <v>1092</v>
      </c>
      <c r="K151" s="116" t="s">
        <v>1093</v>
      </c>
      <c r="L151" s="116" t="s">
        <v>1061</v>
      </c>
      <c r="M151" s="116" t="s">
        <v>588</v>
      </c>
      <c r="N151" s="118">
        <v>46428.638796296298</v>
      </c>
      <c r="O151" s="119">
        <v>19000255974</v>
      </c>
      <c r="P151" s="116">
        <v>0</v>
      </c>
      <c r="Q151" s="116" t="s">
        <v>1757</v>
      </c>
      <c r="R151" s="116" t="s">
        <v>1063</v>
      </c>
      <c r="S151" s="116" t="s">
        <v>1066</v>
      </c>
      <c r="T151" s="116" t="s">
        <v>1066</v>
      </c>
      <c r="U151" s="116" t="s">
        <v>1066</v>
      </c>
      <c r="V151" s="116" t="s">
        <v>1066</v>
      </c>
      <c r="W151" s="116" t="s">
        <v>1066</v>
      </c>
      <c r="X151" s="116" t="s">
        <v>1066</v>
      </c>
      <c r="Y151" s="116" t="s">
        <v>1066</v>
      </c>
      <c r="Z151" s="116" t="s">
        <v>1066</v>
      </c>
      <c r="AA151" s="116" t="s">
        <v>1067</v>
      </c>
      <c r="AB151" s="116" t="s">
        <v>1066</v>
      </c>
      <c r="AC151" s="116" t="s">
        <v>92</v>
      </c>
      <c r="AD151" s="116" t="s">
        <v>1142</v>
      </c>
      <c r="AE151" s="116" t="s">
        <v>1066</v>
      </c>
      <c r="AF151" s="116" t="s">
        <v>1066</v>
      </c>
      <c r="AG151" s="116" t="s">
        <v>1066</v>
      </c>
      <c r="AH151" s="116" t="s">
        <v>1066</v>
      </c>
      <c r="AI151" s="116" t="s">
        <v>785</v>
      </c>
      <c r="AJ151" s="116">
        <v>8870759</v>
      </c>
      <c r="AK151" s="116" t="s">
        <v>264</v>
      </c>
      <c r="AL151" s="116">
        <v>794789</v>
      </c>
      <c r="AM151" s="116" t="s">
        <v>1066</v>
      </c>
      <c r="AN151" s="116" t="s">
        <v>1066</v>
      </c>
    </row>
    <row r="152" spans="1:40" ht="55.5" customHeight="1" x14ac:dyDescent="0.25">
      <c r="A152" s="111" t="s">
        <v>1758</v>
      </c>
      <c r="B152" s="112">
        <v>2026</v>
      </c>
      <c r="C152" s="112" t="s">
        <v>1759</v>
      </c>
      <c r="D152" s="113">
        <v>45785.543090277781</v>
      </c>
      <c r="E152" s="112">
        <v>7957620015</v>
      </c>
      <c r="F152" s="112" t="s">
        <v>1760</v>
      </c>
      <c r="G152" s="112">
        <v>1</v>
      </c>
      <c r="H152" s="112">
        <v>7957620015</v>
      </c>
      <c r="I152" s="112" t="s">
        <v>1761</v>
      </c>
      <c r="J152" s="112" t="s">
        <v>1071</v>
      </c>
      <c r="K152" s="112" t="s">
        <v>1296</v>
      </c>
      <c r="L152" s="112" t="s">
        <v>1073</v>
      </c>
      <c r="M152" s="112" t="s">
        <v>478</v>
      </c>
      <c r="N152" s="113">
        <v>46177.574097222219</v>
      </c>
      <c r="O152" s="114">
        <v>19002741502</v>
      </c>
      <c r="P152" s="112">
        <v>1.4930000000000001</v>
      </c>
      <c r="Q152" s="112" t="s">
        <v>1062</v>
      </c>
      <c r="R152" s="112" t="s">
        <v>1075</v>
      </c>
      <c r="S152" s="113">
        <v>46185.42291666667</v>
      </c>
      <c r="T152" s="112" t="s">
        <v>1762</v>
      </c>
      <c r="U152" s="112" t="s">
        <v>1065</v>
      </c>
      <c r="V152" s="112" t="s">
        <v>1066</v>
      </c>
      <c r="W152" s="112" t="s">
        <v>1066</v>
      </c>
      <c r="X152" s="112" t="s">
        <v>1066</v>
      </c>
      <c r="Y152" s="112" t="s">
        <v>1066</v>
      </c>
      <c r="Z152" s="112" t="s">
        <v>1066</v>
      </c>
      <c r="AA152" s="112" t="s">
        <v>1067</v>
      </c>
      <c r="AB152" s="112" t="s">
        <v>1066</v>
      </c>
      <c r="AC152" s="112" t="s">
        <v>92</v>
      </c>
      <c r="AD152" s="112" t="s">
        <v>1066</v>
      </c>
      <c r="AE152" s="112" t="s">
        <v>1066</v>
      </c>
      <c r="AF152" s="112" t="s">
        <v>1066</v>
      </c>
      <c r="AG152" s="112" t="s">
        <v>1066</v>
      </c>
      <c r="AH152" s="112" t="s">
        <v>1763</v>
      </c>
      <c r="AI152" s="112" t="s">
        <v>785</v>
      </c>
      <c r="AJ152" s="112">
        <v>9007081</v>
      </c>
      <c r="AK152" s="112" t="s">
        <v>288</v>
      </c>
      <c r="AL152" s="112">
        <v>810847</v>
      </c>
      <c r="AM152" s="112" t="s">
        <v>1066</v>
      </c>
      <c r="AN152" s="112" t="s">
        <v>1066</v>
      </c>
    </row>
    <row r="153" spans="1:40" ht="55.5" customHeight="1" x14ac:dyDescent="0.25">
      <c r="A153" s="124" t="s">
        <v>1764</v>
      </c>
      <c r="B153" s="125">
        <v>2026</v>
      </c>
      <c r="C153" s="125" t="s">
        <v>1449</v>
      </c>
      <c r="D153" s="126">
        <v>46244.660034722219</v>
      </c>
      <c r="E153" s="125">
        <v>7957460018</v>
      </c>
      <c r="F153" s="125" t="s">
        <v>289</v>
      </c>
      <c r="G153" s="125">
        <v>3</v>
      </c>
      <c r="H153" s="125">
        <v>7957460018</v>
      </c>
      <c r="I153" s="125" t="s">
        <v>1765</v>
      </c>
      <c r="J153" s="125" t="s">
        <v>1066</v>
      </c>
      <c r="K153" s="125" t="s">
        <v>1125</v>
      </c>
      <c r="L153" s="125" t="s">
        <v>1061</v>
      </c>
      <c r="M153" s="125" t="s">
        <v>510</v>
      </c>
      <c r="N153" s="126">
        <v>46644.660034722219</v>
      </c>
      <c r="O153" s="127">
        <v>19002749011</v>
      </c>
      <c r="P153" s="125">
        <v>148</v>
      </c>
      <c r="Q153" s="125" t="s">
        <v>1062</v>
      </c>
      <c r="R153" s="125" t="s">
        <v>1063</v>
      </c>
      <c r="S153" s="125" t="s">
        <v>1066</v>
      </c>
      <c r="T153" s="125" t="s">
        <v>1066</v>
      </c>
      <c r="U153" s="125" t="s">
        <v>1066</v>
      </c>
      <c r="V153" s="125" t="s">
        <v>1066</v>
      </c>
      <c r="W153" s="125" t="s">
        <v>1066</v>
      </c>
      <c r="X153" s="125" t="s">
        <v>1066</v>
      </c>
      <c r="Y153" s="125" t="s">
        <v>1066</v>
      </c>
      <c r="Z153" s="125" t="s">
        <v>1066</v>
      </c>
      <c r="AA153" s="125" t="s">
        <v>1067</v>
      </c>
      <c r="AB153" s="125" t="s">
        <v>1066</v>
      </c>
      <c r="AC153" s="125" t="s">
        <v>92</v>
      </c>
      <c r="AD153" s="125" t="s">
        <v>1066</v>
      </c>
      <c r="AE153" s="125" t="s">
        <v>1066</v>
      </c>
      <c r="AF153" s="125" t="s">
        <v>1066</v>
      </c>
      <c r="AG153" s="125" t="s">
        <v>1066</v>
      </c>
      <c r="AH153" s="125" t="s">
        <v>1066</v>
      </c>
      <c r="AI153" s="125" t="s">
        <v>785</v>
      </c>
      <c r="AJ153" s="125">
        <v>8995504</v>
      </c>
      <c r="AK153" s="125" t="s">
        <v>1766</v>
      </c>
      <c r="AL153" s="125">
        <v>858910</v>
      </c>
      <c r="AM153" s="125" t="s">
        <v>1066</v>
      </c>
      <c r="AN153" s="125" t="s">
        <v>1066</v>
      </c>
    </row>
    <row r="154" spans="1:40" ht="55.5" customHeight="1" x14ac:dyDescent="0.25">
      <c r="A154" s="124" t="s">
        <v>1767</v>
      </c>
      <c r="B154" s="125">
        <v>2026</v>
      </c>
      <c r="C154" s="125" t="s">
        <v>1449</v>
      </c>
      <c r="D154" s="126">
        <v>46244.660034722219</v>
      </c>
      <c r="E154" s="125">
        <v>7957019003</v>
      </c>
      <c r="F154" s="125" t="s">
        <v>249</v>
      </c>
      <c r="G154" s="125">
        <v>3</v>
      </c>
      <c r="H154" s="125">
        <v>7957019003</v>
      </c>
      <c r="I154" s="125" t="s">
        <v>1768</v>
      </c>
      <c r="J154" s="125" t="s">
        <v>1066</v>
      </c>
      <c r="K154" s="125" t="s">
        <v>1125</v>
      </c>
      <c r="L154" s="125" t="s">
        <v>1061</v>
      </c>
      <c r="M154" s="125" t="s">
        <v>510</v>
      </c>
      <c r="N154" s="126">
        <v>46644.660034722219</v>
      </c>
      <c r="O154" s="127">
        <v>19002743846</v>
      </c>
      <c r="P154" s="125">
        <v>121</v>
      </c>
      <c r="Q154" s="125" t="s">
        <v>1062</v>
      </c>
      <c r="R154" s="125" t="s">
        <v>1063</v>
      </c>
      <c r="S154" s="125" t="s">
        <v>1066</v>
      </c>
      <c r="T154" s="125" t="s">
        <v>1769</v>
      </c>
      <c r="U154" s="125" t="s">
        <v>1147</v>
      </c>
      <c r="V154" s="125" t="s">
        <v>1066</v>
      </c>
      <c r="W154" s="125" t="s">
        <v>1066</v>
      </c>
      <c r="X154" s="125" t="s">
        <v>1066</v>
      </c>
      <c r="Y154" s="125" t="s">
        <v>1066</v>
      </c>
      <c r="Z154" s="125" t="s">
        <v>1066</v>
      </c>
      <c r="AA154" s="125" t="s">
        <v>1067</v>
      </c>
      <c r="AB154" s="125" t="s">
        <v>1066</v>
      </c>
      <c r="AC154" s="125" t="s">
        <v>92</v>
      </c>
      <c r="AD154" s="125" t="s">
        <v>1066</v>
      </c>
      <c r="AE154" s="125" t="s">
        <v>1066</v>
      </c>
      <c r="AF154" s="125" t="s">
        <v>1066</v>
      </c>
      <c r="AG154" s="125" t="s">
        <v>1066</v>
      </c>
      <c r="AH154" s="125" t="s">
        <v>1066</v>
      </c>
      <c r="AI154" s="125" t="s">
        <v>785</v>
      </c>
      <c r="AJ154" s="125">
        <v>8685284</v>
      </c>
      <c r="AK154" s="125" t="s">
        <v>210</v>
      </c>
      <c r="AL154" s="125">
        <v>721274</v>
      </c>
      <c r="AM154" s="125" t="s">
        <v>1066</v>
      </c>
      <c r="AN154" s="125" t="s">
        <v>1066</v>
      </c>
    </row>
    <row r="155" spans="1:40" ht="55.5" customHeight="1" x14ac:dyDescent="0.25">
      <c r="A155" s="111" t="s">
        <v>1770</v>
      </c>
      <c r="B155" s="112">
        <v>2026</v>
      </c>
      <c r="C155" s="112" t="s">
        <v>1213</v>
      </c>
      <c r="D155" s="113">
        <v>46122.549942129626</v>
      </c>
      <c r="E155" s="112">
        <v>7930288153</v>
      </c>
      <c r="F155" s="112" t="s">
        <v>1628</v>
      </c>
      <c r="G155" s="112">
        <v>3</v>
      </c>
      <c r="H155" s="112">
        <v>7930288153</v>
      </c>
      <c r="I155" s="112" t="s">
        <v>1771</v>
      </c>
      <c r="J155" s="112" t="s">
        <v>1066</v>
      </c>
      <c r="K155" s="112" t="s">
        <v>1125</v>
      </c>
      <c r="L155" s="112" t="s">
        <v>1061</v>
      </c>
      <c r="M155" s="112" t="s">
        <v>478</v>
      </c>
      <c r="N155" s="113">
        <v>46522.549942129626</v>
      </c>
      <c r="O155" s="114">
        <v>19002220205</v>
      </c>
      <c r="P155" s="112">
        <v>0</v>
      </c>
      <c r="Q155" s="112" t="s">
        <v>1062</v>
      </c>
      <c r="R155" s="112" t="s">
        <v>1063</v>
      </c>
      <c r="S155" s="113">
        <v>46150.618055555555</v>
      </c>
      <c r="T155" s="112" t="s">
        <v>1772</v>
      </c>
      <c r="U155" s="112" t="s">
        <v>1065</v>
      </c>
      <c r="V155" s="112" t="s">
        <v>1066</v>
      </c>
      <c r="W155" s="112" t="s">
        <v>1066</v>
      </c>
      <c r="X155" s="112" t="s">
        <v>1066</v>
      </c>
      <c r="Y155" s="112" t="s">
        <v>1066</v>
      </c>
      <c r="Z155" s="112" t="s">
        <v>1066</v>
      </c>
      <c r="AA155" s="112" t="s">
        <v>1067</v>
      </c>
      <c r="AB155" s="112" t="s">
        <v>1066</v>
      </c>
      <c r="AC155" s="112" t="s">
        <v>92</v>
      </c>
      <c r="AD155" s="112" t="s">
        <v>1066</v>
      </c>
      <c r="AE155" s="112" t="s">
        <v>1066</v>
      </c>
      <c r="AF155" s="112" t="s">
        <v>1066</v>
      </c>
      <c r="AG155" s="112" t="s">
        <v>1066</v>
      </c>
      <c r="AH155" s="112" t="s">
        <v>1066</v>
      </c>
      <c r="AI155" s="112" t="s">
        <v>785</v>
      </c>
      <c r="AJ155" s="112">
        <v>9110480</v>
      </c>
      <c r="AK155" s="112" t="s">
        <v>1773</v>
      </c>
      <c r="AL155" s="112">
        <v>720860</v>
      </c>
      <c r="AM155" s="112" t="s">
        <v>1066</v>
      </c>
      <c r="AN155" s="112" t="s">
        <v>1066</v>
      </c>
    </row>
    <row r="156" spans="1:40" ht="55.5" customHeight="1" x14ac:dyDescent="0.25">
      <c r="A156" s="111" t="s">
        <v>1774</v>
      </c>
      <c r="B156" s="112">
        <v>2026</v>
      </c>
      <c r="C156" s="112" t="s">
        <v>1775</v>
      </c>
      <c r="D156" s="113">
        <v>46103.708483796298</v>
      </c>
      <c r="E156" s="112">
        <v>7929000070</v>
      </c>
      <c r="F156" s="112" t="s">
        <v>88</v>
      </c>
      <c r="G156" s="112">
        <v>3</v>
      </c>
      <c r="H156" s="112">
        <v>7929000070</v>
      </c>
      <c r="I156" s="112" t="s">
        <v>1776</v>
      </c>
      <c r="J156" s="112" t="s">
        <v>1071</v>
      </c>
      <c r="K156" s="112" t="s">
        <v>1662</v>
      </c>
      <c r="L156" s="112" t="s">
        <v>1073</v>
      </c>
      <c r="M156" s="112" t="s">
        <v>478</v>
      </c>
      <c r="N156" s="113">
        <v>46106.708483796298</v>
      </c>
      <c r="O156" s="114">
        <v>19002208258</v>
      </c>
      <c r="P156" s="112">
        <v>1.5740000000000001</v>
      </c>
      <c r="Q156" s="112" t="s">
        <v>1062</v>
      </c>
      <c r="R156" s="112" t="s">
        <v>1075</v>
      </c>
      <c r="S156" s="113">
        <v>46111.532604166663</v>
      </c>
      <c r="T156" s="112" t="s">
        <v>1777</v>
      </c>
      <c r="U156" s="112" t="s">
        <v>1065</v>
      </c>
      <c r="V156" s="112" t="s">
        <v>1066</v>
      </c>
      <c r="W156" s="112" t="s">
        <v>1066</v>
      </c>
      <c r="X156" s="112" t="s">
        <v>1173</v>
      </c>
      <c r="Y156" s="112" t="s">
        <v>1066</v>
      </c>
      <c r="Z156" s="112" t="s">
        <v>1318</v>
      </c>
      <c r="AA156" s="112" t="s">
        <v>1067</v>
      </c>
      <c r="AB156" s="112" t="s">
        <v>1066</v>
      </c>
      <c r="AC156" s="112" t="s">
        <v>92</v>
      </c>
      <c r="AD156" s="112" t="s">
        <v>1066</v>
      </c>
      <c r="AE156" s="112" t="s">
        <v>1066</v>
      </c>
      <c r="AF156" s="112" t="s">
        <v>1066</v>
      </c>
      <c r="AG156" s="112" t="s">
        <v>1066</v>
      </c>
      <c r="AH156" s="112" t="s">
        <v>1066</v>
      </c>
      <c r="AI156" s="112" t="s">
        <v>785</v>
      </c>
      <c r="AJ156" s="112">
        <v>8950814</v>
      </c>
      <c r="AK156" s="112" t="s">
        <v>87</v>
      </c>
      <c r="AL156" s="112">
        <v>869787</v>
      </c>
      <c r="AM156" s="112" t="s">
        <v>1066</v>
      </c>
      <c r="AN156" s="112" t="s">
        <v>1066</v>
      </c>
    </row>
    <row r="157" spans="1:40" ht="55.5" customHeight="1" x14ac:dyDescent="0.25">
      <c r="A157" s="111" t="s">
        <v>1778</v>
      </c>
      <c r="B157" s="112">
        <v>2026</v>
      </c>
      <c r="C157" s="112" t="s">
        <v>1057</v>
      </c>
      <c r="D157" s="113">
        <v>46125.614548611113</v>
      </c>
      <c r="E157" s="112">
        <v>7920335122</v>
      </c>
      <c r="F157" s="112" t="s">
        <v>234</v>
      </c>
      <c r="G157" s="112">
        <v>1</v>
      </c>
      <c r="H157" s="112">
        <v>7920335122</v>
      </c>
      <c r="I157" s="112" t="s">
        <v>1779</v>
      </c>
      <c r="J157" s="112" t="s">
        <v>1066</v>
      </c>
      <c r="K157" s="112" t="s">
        <v>1125</v>
      </c>
      <c r="L157" s="112" t="s">
        <v>1061</v>
      </c>
      <c r="M157" s="112" t="s">
        <v>478</v>
      </c>
      <c r="N157" s="113">
        <v>46525.614548611113</v>
      </c>
      <c r="O157" s="114">
        <v>19002295996</v>
      </c>
      <c r="P157" s="112">
        <v>1.3779999999999999</v>
      </c>
      <c r="Q157" s="112" t="s">
        <v>1062</v>
      </c>
      <c r="R157" s="112" t="s">
        <v>1063</v>
      </c>
      <c r="S157" s="113">
        <v>46185.625486111108</v>
      </c>
      <c r="T157" s="112" t="s">
        <v>1780</v>
      </c>
      <c r="U157" s="112" t="s">
        <v>1065</v>
      </c>
      <c r="V157" s="112" t="s">
        <v>1066</v>
      </c>
      <c r="W157" s="112" t="s">
        <v>1066</v>
      </c>
      <c r="X157" s="112" t="s">
        <v>1066</v>
      </c>
      <c r="Y157" s="112" t="s">
        <v>1066</v>
      </c>
      <c r="Z157" s="112" t="s">
        <v>1066</v>
      </c>
      <c r="AA157" s="112" t="s">
        <v>1067</v>
      </c>
      <c r="AB157" s="112" t="s">
        <v>1066</v>
      </c>
      <c r="AC157" s="112" t="s">
        <v>92</v>
      </c>
      <c r="AD157" s="112" t="s">
        <v>1066</v>
      </c>
      <c r="AE157" s="112" t="s">
        <v>1066</v>
      </c>
      <c r="AF157" s="112" t="s">
        <v>1066</v>
      </c>
      <c r="AG157" s="112" t="s">
        <v>1066</v>
      </c>
      <c r="AH157" s="112" t="s">
        <v>1066</v>
      </c>
      <c r="AI157" s="112" t="s">
        <v>785</v>
      </c>
      <c r="AJ157" s="112">
        <v>8865233</v>
      </c>
      <c r="AK157" s="112" t="s">
        <v>264</v>
      </c>
      <c r="AL157" s="112">
        <v>799325</v>
      </c>
      <c r="AM157" s="112" t="s">
        <v>1066</v>
      </c>
      <c r="AN157" s="112" t="s">
        <v>1066</v>
      </c>
    </row>
    <row r="158" spans="1:40" ht="55.5" customHeight="1" x14ac:dyDescent="0.25">
      <c r="A158" s="111" t="s">
        <v>1781</v>
      </c>
      <c r="B158" s="112">
        <v>2026</v>
      </c>
      <c r="C158" s="112" t="s">
        <v>1089</v>
      </c>
      <c r="D158" s="113">
        <v>46028.41065972222</v>
      </c>
      <c r="E158" s="112">
        <v>7924271059</v>
      </c>
      <c r="F158" s="112" t="s">
        <v>274</v>
      </c>
      <c r="G158" s="112">
        <v>3</v>
      </c>
      <c r="H158" s="112">
        <v>7924271059</v>
      </c>
      <c r="I158" s="112" t="s">
        <v>1782</v>
      </c>
      <c r="J158" s="112" t="s">
        <v>1092</v>
      </c>
      <c r="K158" s="112" t="s">
        <v>1093</v>
      </c>
      <c r="L158" s="112" t="s">
        <v>1061</v>
      </c>
      <c r="M158" s="112" t="s">
        <v>478</v>
      </c>
      <c r="N158" s="113">
        <v>46428.41065972222</v>
      </c>
      <c r="O158" s="114">
        <v>19002223714</v>
      </c>
      <c r="P158" s="112">
        <v>0</v>
      </c>
      <c r="Q158" s="112" t="s">
        <v>1062</v>
      </c>
      <c r="R158" s="112" t="s">
        <v>1063</v>
      </c>
      <c r="S158" s="113">
        <v>46176.731805555559</v>
      </c>
      <c r="T158" s="112" t="s">
        <v>1783</v>
      </c>
      <c r="U158" s="112" t="s">
        <v>1065</v>
      </c>
      <c r="V158" s="112" t="s">
        <v>1066</v>
      </c>
      <c r="W158" s="112" t="s">
        <v>1066</v>
      </c>
      <c r="X158" s="112" t="s">
        <v>1066</v>
      </c>
      <c r="Y158" s="112" t="s">
        <v>1066</v>
      </c>
      <c r="Z158" s="112" t="s">
        <v>1066</v>
      </c>
      <c r="AA158" s="112" t="s">
        <v>1067</v>
      </c>
      <c r="AB158" s="112" t="s">
        <v>1066</v>
      </c>
      <c r="AC158" s="112" t="s">
        <v>92</v>
      </c>
      <c r="AD158" s="112" t="s">
        <v>1066</v>
      </c>
      <c r="AE158" s="112" t="s">
        <v>1066</v>
      </c>
      <c r="AF158" s="112" t="s">
        <v>1066</v>
      </c>
      <c r="AG158" s="112" t="s">
        <v>1066</v>
      </c>
      <c r="AH158" s="112" t="s">
        <v>1066</v>
      </c>
      <c r="AI158" s="112" t="s">
        <v>785</v>
      </c>
      <c r="AJ158" s="112">
        <v>8857499</v>
      </c>
      <c r="AK158" s="112" t="s">
        <v>264</v>
      </c>
      <c r="AL158" s="112">
        <v>802688</v>
      </c>
      <c r="AM158" s="112" t="s">
        <v>1066</v>
      </c>
      <c r="AN158" s="112" t="s">
        <v>1066</v>
      </c>
    </row>
    <row r="159" spans="1:40" ht="55.5" customHeight="1" x14ac:dyDescent="0.25">
      <c r="A159" s="111" t="s">
        <v>1784</v>
      </c>
      <c r="B159" s="112">
        <v>2026</v>
      </c>
      <c r="C159" s="112" t="s">
        <v>1089</v>
      </c>
      <c r="D159" s="113">
        <v>46028.453888888886</v>
      </c>
      <c r="E159" s="112">
        <v>7908218107</v>
      </c>
      <c r="F159" s="112" t="s">
        <v>1740</v>
      </c>
      <c r="G159" s="112">
        <v>3</v>
      </c>
      <c r="H159" s="112">
        <v>7908218107</v>
      </c>
      <c r="I159" s="112" t="s">
        <v>1785</v>
      </c>
      <c r="J159" s="112" t="s">
        <v>1092</v>
      </c>
      <c r="K159" s="112" t="s">
        <v>1093</v>
      </c>
      <c r="L159" s="112" t="s">
        <v>1061</v>
      </c>
      <c r="M159" s="112" t="s">
        <v>478</v>
      </c>
      <c r="N159" s="113">
        <v>46428.453888888886</v>
      </c>
      <c r="O159" s="114">
        <v>19002295955</v>
      </c>
      <c r="P159" s="112">
        <v>110</v>
      </c>
      <c r="Q159" s="112" t="s">
        <v>1062</v>
      </c>
      <c r="R159" s="112" t="s">
        <v>1063</v>
      </c>
      <c r="S159" s="113">
        <v>46035.357638888891</v>
      </c>
      <c r="T159" s="112" t="s">
        <v>1786</v>
      </c>
      <c r="U159" s="112" t="s">
        <v>1065</v>
      </c>
      <c r="V159" s="112" t="s">
        <v>1066</v>
      </c>
      <c r="W159" s="112" t="s">
        <v>1066</v>
      </c>
      <c r="X159" s="112" t="s">
        <v>1066</v>
      </c>
      <c r="Y159" s="112" t="s">
        <v>1066</v>
      </c>
      <c r="Z159" s="112" t="s">
        <v>1066</v>
      </c>
      <c r="AA159" s="112" t="s">
        <v>1067</v>
      </c>
      <c r="AB159" s="112" t="s">
        <v>1066</v>
      </c>
      <c r="AC159" s="112" t="s">
        <v>92</v>
      </c>
      <c r="AD159" s="112" t="s">
        <v>1066</v>
      </c>
      <c r="AE159" s="112" t="s">
        <v>1066</v>
      </c>
      <c r="AF159" s="112" t="s">
        <v>1066</v>
      </c>
      <c r="AG159" s="112" t="s">
        <v>1066</v>
      </c>
      <c r="AH159" s="112" t="s">
        <v>1066</v>
      </c>
      <c r="AI159" s="112" t="s">
        <v>785</v>
      </c>
      <c r="AJ159" s="112">
        <v>8624976</v>
      </c>
      <c r="AK159" s="112" t="s">
        <v>1787</v>
      </c>
      <c r="AL159" s="112">
        <v>623764</v>
      </c>
      <c r="AM159" s="112" t="s">
        <v>1066</v>
      </c>
      <c r="AN159" s="112" t="s">
        <v>1066</v>
      </c>
    </row>
    <row r="160" spans="1:40" ht="55.5" customHeight="1" x14ac:dyDescent="0.25">
      <c r="A160" s="111" t="s">
        <v>1788</v>
      </c>
      <c r="B160" s="112">
        <v>2026</v>
      </c>
      <c r="C160" s="112" t="s">
        <v>1251</v>
      </c>
      <c r="D160" s="113">
        <v>46031.603807870371</v>
      </c>
      <c r="E160" s="112">
        <v>7913658147</v>
      </c>
      <c r="F160" s="112" t="s">
        <v>697</v>
      </c>
      <c r="G160" s="112">
        <v>2</v>
      </c>
      <c r="H160" s="112">
        <v>7913658147</v>
      </c>
      <c r="I160" s="112" t="s">
        <v>1789</v>
      </c>
      <c r="J160" s="112" t="s">
        <v>1059</v>
      </c>
      <c r="K160" s="112" t="s">
        <v>1060</v>
      </c>
      <c r="L160" s="112" t="s">
        <v>1061</v>
      </c>
      <c r="M160" s="112" t="s">
        <v>478</v>
      </c>
      <c r="N160" s="113">
        <v>46431.603807870371</v>
      </c>
      <c r="O160" s="114">
        <v>19002225688</v>
      </c>
      <c r="P160" s="112">
        <v>1.2450000000000001</v>
      </c>
      <c r="Q160" s="112" t="s">
        <v>1062</v>
      </c>
      <c r="R160" s="112" t="s">
        <v>1063</v>
      </c>
      <c r="S160" s="113">
        <v>46031.729166666664</v>
      </c>
      <c r="T160" s="112" t="s">
        <v>1253</v>
      </c>
      <c r="U160" s="112" t="s">
        <v>1065</v>
      </c>
      <c r="V160" s="112" t="s">
        <v>1066</v>
      </c>
      <c r="W160" s="112" t="s">
        <v>1066</v>
      </c>
      <c r="X160" s="112" t="s">
        <v>1066</v>
      </c>
      <c r="Y160" s="112" t="s">
        <v>1066</v>
      </c>
      <c r="Z160" s="112" t="s">
        <v>1066</v>
      </c>
      <c r="AA160" s="112" t="s">
        <v>1067</v>
      </c>
      <c r="AB160" s="112" t="s">
        <v>1066</v>
      </c>
      <c r="AC160" s="112" t="s">
        <v>92</v>
      </c>
      <c r="AD160" s="112" t="s">
        <v>1066</v>
      </c>
      <c r="AE160" s="112" t="s">
        <v>1066</v>
      </c>
      <c r="AF160" s="112" t="s">
        <v>1066</v>
      </c>
      <c r="AG160" s="112" t="s">
        <v>1066</v>
      </c>
      <c r="AH160" s="112" t="s">
        <v>1066</v>
      </c>
      <c r="AI160" s="112" t="s">
        <v>785</v>
      </c>
      <c r="AJ160" s="112">
        <v>8646827</v>
      </c>
      <c r="AK160" s="112" t="s">
        <v>547</v>
      </c>
      <c r="AL160" s="112">
        <v>936548</v>
      </c>
      <c r="AM160" s="112" t="s">
        <v>1066</v>
      </c>
      <c r="AN160" s="112" t="s">
        <v>1066</v>
      </c>
    </row>
    <row r="161" spans="1:40" ht="55.5" customHeight="1" x14ac:dyDescent="0.25">
      <c r="A161" s="111" t="s">
        <v>1790</v>
      </c>
      <c r="B161" s="112">
        <v>2026</v>
      </c>
      <c r="C161" s="112" t="s">
        <v>1791</v>
      </c>
      <c r="D161" s="113">
        <v>46058.608113425929</v>
      </c>
      <c r="E161" s="112" t="s">
        <v>1066</v>
      </c>
      <c r="F161" s="112" t="s">
        <v>1792</v>
      </c>
      <c r="G161" s="112" t="s">
        <v>1066</v>
      </c>
      <c r="H161" s="112" t="s">
        <v>1066</v>
      </c>
      <c r="I161" s="112" t="s">
        <v>1793</v>
      </c>
      <c r="J161" s="112" t="s">
        <v>1092</v>
      </c>
      <c r="K161" s="112" t="s">
        <v>1179</v>
      </c>
      <c r="L161" s="112" t="s">
        <v>1061</v>
      </c>
      <c r="M161" s="112" t="s">
        <v>478</v>
      </c>
      <c r="N161" s="113">
        <v>46458.608113425929</v>
      </c>
      <c r="O161" s="114">
        <v>19001297210</v>
      </c>
      <c r="P161" s="112">
        <v>0</v>
      </c>
      <c r="Q161" s="112" t="s">
        <v>1794</v>
      </c>
      <c r="R161" s="112" t="s">
        <v>1063</v>
      </c>
      <c r="S161" s="113">
        <v>46066.738796296297</v>
      </c>
      <c r="T161" s="112" t="s">
        <v>1795</v>
      </c>
      <c r="U161" s="112" t="s">
        <v>1065</v>
      </c>
      <c r="V161" s="112" t="s">
        <v>1066</v>
      </c>
      <c r="W161" s="112" t="s">
        <v>1066</v>
      </c>
      <c r="X161" s="112" t="s">
        <v>1066</v>
      </c>
      <c r="Y161" s="112" t="s">
        <v>1066</v>
      </c>
      <c r="Z161" s="112" t="s">
        <v>1066</v>
      </c>
      <c r="AA161" s="112" t="s">
        <v>1067</v>
      </c>
      <c r="AB161" s="112" t="s">
        <v>1066</v>
      </c>
      <c r="AC161" s="112" t="s">
        <v>92</v>
      </c>
      <c r="AD161" s="112" t="s">
        <v>1066</v>
      </c>
      <c r="AE161" s="112" t="s">
        <v>1066</v>
      </c>
      <c r="AF161" s="112" t="s">
        <v>1066</v>
      </c>
      <c r="AG161" s="112" t="s">
        <v>1066</v>
      </c>
      <c r="AH161" s="112" t="s">
        <v>1066</v>
      </c>
      <c r="AI161" s="112" t="s">
        <v>785</v>
      </c>
      <c r="AJ161" s="112" t="s">
        <v>1066</v>
      </c>
      <c r="AK161" s="112" t="s">
        <v>1066</v>
      </c>
      <c r="AL161" s="112" t="s">
        <v>1066</v>
      </c>
      <c r="AM161" s="112" t="s">
        <v>1066</v>
      </c>
      <c r="AN161" s="112" t="s">
        <v>1066</v>
      </c>
    </row>
    <row r="162" spans="1:40" ht="55.5" customHeight="1" x14ac:dyDescent="0.25">
      <c r="A162" s="111" t="s">
        <v>1796</v>
      </c>
      <c r="B162" s="112">
        <v>2026</v>
      </c>
      <c r="C162" s="112" t="s">
        <v>1797</v>
      </c>
      <c r="D162" s="113">
        <v>46059.558506944442</v>
      </c>
      <c r="E162" s="112">
        <v>7911120026</v>
      </c>
      <c r="F162" s="112" t="s">
        <v>136</v>
      </c>
      <c r="G162" s="112">
        <v>2</v>
      </c>
      <c r="H162" s="112">
        <v>7911120026</v>
      </c>
      <c r="I162" s="112" t="s">
        <v>1798</v>
      </c>
      <c r="J162" s="112" t="s">
        <v>1071</v>
      </c>
      <c r="K162" s="112" t="s">
        <v>1110</v>
      </c>
      <c r="L162" s="112" t="s">
        <v>1073</v>
      </c>
      <c r="M162" s="112" t="s">
        <v>478</v>
      </c>
      <c r="N162" s="113">
        <v>46062.558506944442</v>
      </c>
      <c r="O162" s="114">
        <v>19002223423</v>
      </c>
      <c r="P162" s="112">
        <v>5.0279999999999996</v>
      </c>
      <c r="Q162" s="112" t="s">
        <v>1062</v>
      </c>
      <c r="R162" s="112" t="s">
        <v>1297</v>
      </c>
      <c r="S162" s="113">
        <v>46149.72960648148</v>
      </c>
      <c r="T162" s="112" t="s">
        <v>1799</v>
      </c>
      <c r="U162" s="112" t="s">
        <v>1065</v>
      </c>
      <c r="V162" s="112" t="s">
        <v>1066</v>
      </c>
      <c r="W162" s="112" t="s">
        <v>1066</v>
      </c>
      <c r="X162" s="112" t="s">
        <v>1066</v>
      </c>
      <c r="Y162" s="112" t="s">
        <v>1066</v>
      </c>
      <c r="Z162" s="112" t="s">
        <v>1066</v>
      </c>
      <c r="AA162" s="112" t="s">
        <v>1067</v>
      </c>
      <c r="AB162" s="112" t="s">
        <v>1066</v>
      </c>
      <c r="AC162" s="112" t="s">
        <v>92</v>
      </c>
      <c r="AD162" s="112" t="s">
        <v>1066</v>
      </c>
      <c r="AE162" s="112" t="s">
        <v>1066</v>
      </c>
      <c r="AF162" s="112" t="s">
        <v>1066</v>
      </c>
      <c r="AG162" s="112" t="s">
        <v>1066</v>
      </c>
      <c r="AH162" s="112" t="s">
        <v>1066</v>
      </c>
      <c r="AI162" s="112" t="s">
        <v>785</v>
      </c>
      <c r="AJ162" s="112">
        <v>8809603</v>
      </c>
      <c r="AK162" s="112" t="s">
        <v>792</v>
      </c>
      <c r="AL162" s="112">
        <v>879271</v>
      </c>
      <c r="AM162" s="112" t="s">
        <v>1066</v>
      </c>
      <c r="AN162" s="112" t="s">
        <v>1066</v>
      </c>
    </row>
    <row r="163" spans="1:40" ht="55.5" customHeight="1" x14ac:dyDescent="0.25">
      <c r="A163" s="111" t="s">
        <v>1800</v>
      </c>
      <c r="B163" s="112">
        <v>2026</v>
      </c>
      <c r="C163" s="112" t="s">
        <v>1801</v>
      </c>
      <c r="D163" s="113">
        <v>46101.321770833332</v>
      </c>
      <c r="E163" s="112">
        <v>7933637076</v>
      </c>
      <c r="F163" s="112" t="s">
        <v>211</v>
      </c>
      <c r="G163" s="112">
        <v>1</v>
      </c>
      <c r="H163" s="112">
        <v>7933637076</v>
      </c>
      <c r="I163" s="112" t="s">
        <v>1802</v>
      </c>
      <c r="J163" s="112" t="s">
        <v>1071</v>
      </c>
      <c r="K163" s="112" t="s">
        <v>1247</v>
      </c>
      <c r="L163" s="112" t="s">
        <v>1073</v>
      </c>
      <c r="M163" s="112" t="s">
        <v>478</v>
      </c>
      <c r="N163" s="113">
        <v>46104.321770833332</v>
      </c>
      <c r="O163" s="114">
        <v>19002208664</v>
      </c>
      <c r="P163" s="112">
        <v>0</v>
      </c>
      <c r="Q163" s="112" t="s">
        <v>1062</v>
      </c>
      <c r="R163" s="112" t="s">
        <v>1075</v>
      </c>
      <c r="S163" s="113">
        <v>46119.694247685184</v>
      </c>
      <c r="T163" s="112" t="s">
        <v>1803</v>
      </c>
      <c r="U163" s="112" t="s">
        <v>1065</v>
      </c>
      <c r="V163" s="112" t="s">
        <v>1066</v>
      </c>
      <c r="W163" s="112" t="s">
        <v>1066</v>
      </c>
      <c r="X163" s="112" t="s">
        <v>1117</v>
      </c>
      <c r="Y163" s="112" t="s">
        <v>1066</v>
      </c>
      <c r="Z163" s="112" t="s">
        <v>1804</v>
      </c>
      <c r="AA163" s="112" t="s">
        <v>1067</v>
      </c>
      <c r="AB163" s="112" t="s">
        <v>1066</v>
      </c>
      <c r="AC163" s="112" t="s">
        <v>92</v>
      </c>
      <c r="AD163" s="112" t="s">
        <v>1066</v>
      </c>
      <c r="AE163" s="112" t="s">
        <v>1066</v>
      </c>
      <c r="AF163" s="112" t="s">
        <v>1066</v>
      </c>
      <c r="AG163" s="112" t="s">
        <v>1066</v>
      </c>
      <c r="AH163" s="112" t="s">
        <v>1066</v>
      </c>
      <c r="AI163" s="112" t="s">
        <v>785</v>
      </c>
      <c r="AJ163" s="112">
        <v>8745948</v>
      </c>
      <c r="AK163" s="112" t="s">
        <v>209</v>
      </c>
      <c r="AL163" s="112">
        <v>689178</v>
      </c>
      <c r="AM163" s="112" t="s">
        <v>1066</v>
      </c>
      <c r="AN163" s="112" t="s">
        <v>1066</v>
      </c>
    </row>
    <row r="164" spans="1:40" ht="55.5" customHeight="1" x14ac:dyDescent="0.25">
      <c r="A164" s="111" t="s">
        <v>1805</v>
      </c>
      <c r="B164" s="112">
        <v>2026</v>
      </c>
      <c r="C164" s="112" t="s">
        <v>1806</v>
      </c>
      <c r="D164" s="113">
        <v>46101.493622685186</v>
      </c>
      <c r="E164" s="112">
        <v>7957465048</v>
      </c>
      <c r="F164" s="112" t="s">
        <v>1807</v>
      </c>
      <c r="G164" s="112">
        <v>3</v>
      </c>
      <c r="H164" s="112">
        <v>7957465048</v>
      </c>
      <c r="I164" s="112" t="s">
        <v>1808</v>
      </c>
      <c r="J164" s="112" t="s">
        <v>1071</v>
      </c>
      <c r="K164" s="112" t="s">
        <v>1809</v>
      </c>
      <c r="L164" s="112" t="s">
        <v>1073</v>
      </c>
      <c r="M164" s="112" t="s">
        <v>478</v>
      </c>
      <c r="N164" s="113">
        <v>46104.493622685186</v>
      </c>
      <c r="O164" s="114">
        <v>19002748350</v>
      </c>
      <c r="P164" s="112">
        <v>977</v>
      </c>
      <c r="Q164" s="112" t="s">
        <v>1062</v>
      </c>
      <c r="R164" s="112" t="s">
        <v>1075</v>
      </c>
      <c r="S164" s="113">
        <v>46106.729166666664</v>
      </c>
      <c r="T164" s="112" t="s">
        <v>1810</v>
      </c>
      <c r="U164" s="112" t="s">
        <v>1065</v>
      </c>
      <c r="V164" s="112" t="s">
        <v>1066</v>
      </c>
      <c r="W164" s="112" t="s">
        <v>1066</v>
      </c>
      <c r="X164" s="112" t="s">
        <v>983</v>
      </c>
      <c r="Y164" s="112" t="s">
        <v>1066</v>
      </c>
      <c r="Z164" s="112" t="s">
        <v>1318</v>
      </c>
      <c r="AA164" s="112" t="s">
        <v>1067</v>
      </c>
      <c r="AB164" s="112" t="s">
        <v>1066</v>
      </c>
      <c r="AC164" s="112" t="s">
        <v>92</v>
      </c>
      <c r="AD164" s="112" t="s">
        <v>1066</v>
      </c>
      <c r="AE164" s="112" t="s">
        <v>1066</v>
      </c>
      <c r="AF164" s="112" t="s">
        <v>1066</v>
      </c>
      <c r="AG164" s="112" t="s">
        <v>1066</v>
      </c>
      <c r="AH164" s="112" t="s">
        <v>1066</v>
      </c>
      <c r="AI164" s="112" t="s">
        <v>785</v>
      </c>
      <c r="AJ164" s="112">
        <v>8997793</v>
      </c>
      <c r="AK164" s="112" t="s">
        <v>1811</v>
      </c>
      <c r="AL164" s="112">
        <v>772708</v>
      </c>
      <c r="AM164" s="112" t="s">
        <v>1066</v>
      </c>
      <c r="AN164" s="112" t="s">
        <v>1066</v>
      </c>
    </row>
    <row r="165" spans="1:40" ht="55.5" customHeight="1" x14ac:dyDescent="0.25">
      <c r="A165" s="124" t="s">
        <v>1812</v>
      </c>
      <c r="B165" s="125">
        <v>2026</v>
      </c>
      <c r="C165" s="125" t="s">
        <v>1449</v>
      </c>
      <c r="D165" s="126">
        <v>46244.660034722219</v>
      </c>
      <c r="E165" s="125">
        <v>7931218104</v>
      </c>
      <c r="F165" s="125" t="s">
        <v>170</v>
      </c>
      <c r="G165" s="125">
        <v>3</v>
      </c>
      <c r="H165" s="125">
        <v>7931218104</v>
      </c>
      <c r="I165" s="125" t="s">
        <v>1813</v>
      </c>
      <c r="J165" s="125" t="s">
        <v>1066</v>
      </c>
      <c r="K165" s="125" t="s">
        <v>1125</v>
      </c>
      <c r="L165" s="125" t="s">
        <v>1061</v>
      </c>
      <c r="M165" s="125" t="s">
        <v>510</v>
      </c>
      <c r="N165" s="126">
        <v>46644.660034722219</v>
      </c>
      <c r="O165" s="127">
        <v>19002207307</v>
      </c>
      <c r="P165" s="125">
        <v>2.6659999999999999</v>
      </c>
      <c r="Q165" s="125" t="s">
        <v>1062</v>
      </c>
      <c r="R165" s="125" t="s">
        <v>1063</v>
      </c>
      <c r="S165" s="125" t="s">
        <v>1066</v>
      </c>
      <c r="T165" s="125" t="s">
        <v>1066</v>
      </c>
      <c r="U165" s="125" t="s">
        <v>1066</v>
      </c>
      <c r="V165" s="125" t="s">
        <v>1066</v>
      </c>
      <c r="W165" s="125" t="s">
        <v>1066</v>
      </c>
      <c r="X165" s="125" t="s">
        <v>1066</v>
      </c>
      <c r="Y165" s="125" t="s">
        <v>1066</v>
      </c>
      <c r="Z165" s="125" t="s">
        <v>1066</v>
      </c>
      <c r="AA165" s="125" t="s">
        <v>1067</v>
      </c>
      <c r="AB165" s="125" t="s">
        <v>1066</v>
      </c>
      <c r="AC165" s="125" t="s">
        <v>92</v>
      </c>
      <c r="AD165" s="125" t="s">
        <v>1066</v>
      </c>
      <c r="AE165" s="125" t="s">
        <v>1066</v>
      </c>
      <c r="AF165" s="125" t="s">
        <v>1066</v>
      </c>
      <c r="AG165" s="125" t="s">
        <v>1066</v>
      </c>
      <c r="AH165" s="125" t="s">
        <v>1066</v>
      </c>
      <c r="AI165" s="125" t="s">
        <v>785</v>
      </c>
      <c r="AJ165" s="125">
        <v>9018896</v>
      </c>
      <c r="AK165" s="125" t="s">
        <v>1688</v>
      </c>
      <c r="AL165" s="125">
        <v>873727</v>
      </c>
      <c r="AM165" s="125" t="s">
        <v>1066</v>
      </c>
      <c r="AN165" s="125" t="s">
        <v>1066</v>
      </c>
    </row>
    <row r="166" spans="1:40" ht="55.5" customHeight="1" x14ac:dyDescent="0.25">
      <c r="A166" s="111" t="s">
        <v>1814</v>
      </c>
      <c r="B166" s="112">
        <v>2026</v>
      </c>
      <c r="C166" s="112" t="s">
        <v>1089</v>
      </c>
      <c r="D166" s="113">
        <v>46028.453888888886</v>
      </c>
      <c r="E166" s="112">
        <v>7915035094</v>
      </c>
      <c r="F166" s="112" t="s">
        <v>249</v>
      </c>
      <c r="G166" s="112">
        <v>2</v>
      </c>
      <c r="H166" s="112">
        <v>7915035094</v>
      </c>
      <c r="I166" s="112" t="s">
        <v>1815</v>
      </c>
      <c r="J166" s="112" t="s">
        <v>1092</v>
      </c>
      <c r="K166" s="112" t="s">
        <v>1093</v>
      </c>
      <c r="L166" s="112" t="s">
        <v>1061</v>
      </c>
      <c r="M166" s="112" t="s">
        <v>478</v>
      </c>
      <c r="N166" s="113">
        <v>46428.453888888886</v>
      </c>
      <c r="O166" s="114">
        <v>19002260830</v>
      </c>
      <c r="P166" s="112">
        <v>701</v>
      </c>
      <c r="Q166" s="112" t="s">
        <v>1062</v>
      </c>
      <c r="R166" s="112" t="s">
        <v>1063</v>
      </c>
      <c r="S166" s="113">
        <v>46034.427777777775</v>
      </c>
      <c r="T166" s="112" t="s">
        <v>1816</v>
      </c>
      <c r="U166" s="112" t="s">
        <v>1065</v>
      </c>
      <c r="V166" s="112" t="s">
        <v>1066</v>
      </c>
      <c r="W166" s="112" t="s">
        <v>1066</v>
      </c>
      <c r="X166" s="112" t="s">
        <v>1066</v>
      </c>
      <c r="Y166" s="112" t="s">
        <v>1066</v>
      </c>
      <c r="Z166" s="112" t="s">
        <v>1066</v>
      </c>
      <c r="AA166" s="112" t="s">
        <v>1067</v>
      </c>
      <c r="AB166" s="112" t="s">
        <v>1066</v>
      </c>
      <c r="AC166" s="112" t="s">
        <v>92</v>
      </c>
      <c r="AD166" s="112" t="s">
        <v>1066</v>
      </c>
      <c r="AE166" s="112" t="s">
        <v>1066</v>
      </c>
      <c r="AF166" s="112" t="s">
        <v>1066</v>
      </c>
      <c r="AG166" s="112" t="s">
        <v>1066</v>
      </c>
      <c r="AH166" s="112" t="s">
        <v>1066</v>
      </c>
      <c r="AI166" s="112" t="s">
        <v>785</v>
      </c>
      <c r="AJ166" s="112">
        <v>8685089</v>
      </c>
      <c r="AK166" s="112" t="s">
        <v>224</v>
      </c>
      <c r="AL166" s="112">
        <v>735580</v>
      </c>
      <c r="AM166" s="112" t="s">
        <v>1066</v>
      </c>
      <c r="AN166" s="112" t="s">
        <v>1066</v>
      </c>
    </row>
    <row r="167" spans="1:40" ht="55.5" customHeight="1" x14ac:dyDescent="0.25">
      <c r="A167" s="111" t="s">
        <v>1817</v>
      </c>
      <c r="B167" s="112">
        <v>2026</v>
      </c>
      <c r="C167" s="112" t="s">
        <v>1818</v>
      </c>
      <c r="D167" s="113">
        <v>46192.594305555554</v>
      </c>
      <c r="E167" s="112">
        <v>8800339079</v>
      </c>
      <c r="F167" s="112" t="s">
        <v>360</v>
      </c>
      <c r="G167" s="112">
        <v>3</v>
      </c>
      <c r="H167" s="112">
        <v>7957858079</v>
      </c>
      <c r="I167" s="112" t="s">
        <v>1819</v>
      </c>
      <c r="J167" s="112" t="s">
        <v>1157</v>
      </c>
      <c r="K167" s="112" t="s">
        <v>1158</v>
      </c>
      <c r="L167" s="112" t="s">
        <v>1084</v>
      </c>
      <c r="M167" s="112" t="s">
        <v>478</v>
      </c>
      <c r="N167" s="113">
        <v>46252.594305555554</v>
      </c>
      <c r="O167" s="114">
        <v>19002745773</v>
      </c>
      <c r="P167" s="112">
        <v>141</v>
      </c>
      <c r="Q167" s="112" t="s">
        <v>1131</v>
      </c>
      <c r="R167" s="112" t="s">
        <v>1085</v>
      </c>
      <c r="S167" s="113">
        <v>46218.583333333336</v>
      </c>
      <c r="T167" s="112" t="s">
        <v>1820</v>
      </c>
      <c r="U167" s="112" t="s">
        <v>1065</v>
      </c>
      <c r="V167" s="112" t="s">
        <v>1066</v>
      </c>
      <c r="W167" s="112" t="s">
        <v>1066</v>
      </c>
      <c r="X167" s="112" t="s">
        <v>1117</v>
      </c>
      <c r="Y167" s="112" t="s">
        <v>1066</v>
      </c>
      <c r="Z167" s="112" t="s">
        <v>1148</v>
      </c>
      <c r="AA167" s="112" t="s">
        <v>1067</v>
      </c>
      <c r="AB167" s="112" t="s">
        <v>1066</v>
      </c>
      <c r="AC167" s="112" t="s">
        <v>92</v>
      </c>
      <c r="AD167" s="112" t="s">
        <v>1066</v>
      </c>
      <c r="AE167" s="112" t="s">
        <v>1066</v>
      </c>
      <c r="AF167" s="112" t="s">
        <v>1066</v>
      </c>
      <c r="AG167" s="112" t="s">
        <v>1066</v>
      </c>
      <c r="AH167" s="112" t="s">
        <v>1066</v>
      </c>
      <c r="AI167" s="112" t="s">
        <v>785</v>
      </c>
      <c r="AJ167" s="112">
        <v>9089647</v>
      </c>
      <c r="AK167" s="112" t="s">
        <v>359</v>
      </c>
      <c r="AL167" s="112">
        <v>816832</v>
      </c>
      <c r="AM167" s="112" t="s">
        <v>1066</v>
      </c>
      <c r="AN167" s="112" t="s">
        <v>1066</v>
      </c>
    </row>
    <row r="168" spans="1:40" ht="55.5" customHeight="1" x14ac:dyDescent="0.25">
      <c r="A168" s="111" t="s">
        <v>1821</v>
      </c>
      <c r="B168" s="112">
        <v>2026</v>
      </c>
      <c r="C168" s="112" t="s">
        <v>1822</v>
      </c>
      <c r="D168" s="113">
        <v>46045.396666666667</v>
      </c>
      <c r="E168" s="112">
        <v>9000618149</v>
      </c>
      <c r="F168" s="112" t="s">
        <v>196</v>
      </c>
      <c r="G168" s="112">
        <v>3</v>
      </c>
      <c r="H168" s="112">
        <v>7944559149</v>
      </c>
      <c r="I168" s="112" t="s">
        <v>1823</v>
      </c>
      <c r="J168" s="112" t="s">
        <v>1071</v>
      </c>
      <c r="K168" s="112" t="s">
        <v>1824</v>
      </c>
      <c r="L168" s="112" t="s">
        <v>1073</v>
      </c>
      <c r="M168" s="112" t="s">
        <v>478</v>
      </c>
      <c r="N168" s="113">
        <v>46048.396666666667</v>
      </c>
      <c r="O168" s="114">
        <v>19001358483</v>
      </c>
      <c r="P168" s="112">
        <v>256</v>
      </c>
      <c r="Q168" s="112" t="s">
        <v>1131</v>
      </c>
      <c r="R168" s="112" t="s">
        <v>1075</v>
      </c>
      <c r="S168" s="113">
        <v>46098.634814814817</v>
      </c>
      <c r="T168" s="112" t="s">
        <v>1825</v>
      </c>
      <c r="U168" s="112" t="s">
        <v>1065</v>
      </c>
      <c r="V168" s="112" t="s">
        <v>1066</v>
      </c>
      <c r="W168" s="112" t="s">
        <v>1066</v>
      </c>
      <c r="X168" s="112" t="s">
        <v>983</v>
      </c>
      <c r="Y168" s="112" t="s">
        <v>1066</v>
      </c>
      <c r="Z168" s="112" t="s">
        <v>1148</v>
      </c>
      <c r="AA168" s="112" t="s">
        <v>1067</v>
      </c>
      <c r="AB168" s="112" t="s">
        <v>1066</v>
      </c>
      <c r="AC168" s="112" t="s">
        <v>92</v>
      </c>
      <c r="AD168" s="112" t="s">
        <v>1142</v>
      </c>
      <c r="AE168" s="112" t="s">
        <v>1066</v>
      </c>
      <c r="AF168" s="112" t="s">
        <v>1066</v>
      </c>
      <c r="AG168" s="112" t="s">
        <v>1066</v>
      </c>
      <c r="AH168" s="112" t="s">
        <v>1066</v>
      </c>
      <c r="AI168" s="112" t="s">
        <v>785</v>
      </c>
      <c r="AJ168" s="112">
        <v>8986227</v>
      </c>
      <c r="AK168" s="112" t="s">
        <v>195</v>
      </c>
      <c r="AL168" s="112">
        <v>630275</v>
      </c>
      <c r="AM168" s="112" t="s">
        <v>1066</v>
      </c>
      <c r="AN168" s="112" t="s">
        <v>1066</v>
      </c>
    </row>
    <row r="169" spans="1:40" ht="55.5" customHeight="1" x14ac:dyDescent="0.25">
      <c r="A169" s="111" t="s">
        <v>1826</v>
      </c>
      <c r="B169" s="112">
        <v>2026</v>
      </c>
      <c r="C169" s="112" t="s">
        <v>1827</v>
      </c>
      <c r="D169" s="113">
        <v>46052.770243055558</v>
      </c>
      <c r="E169" s="112">
        <v>9000732193</v>
      </c>
      <c r="F169" s="112" t="s">
        <v>370</v>
      </c>
      <c r="G169" s="112">
        <v>2</v>
      </c>
      <c r="H169" s="112">
        <v>7942731193</v>
      </c>
      <c r="I169" s="112" t="s">
        <v>1828</v>
      </c>
      <c r="J169" s="112" t="s">
        <v>1071</v>
      </c>
      <c r="K169" s="112" t="s">
        <v>1829</v>
      </c>
      <c r="L169" s="112" t="s">
        <v>1073</v>
      </c>
      <c r="M169" s="112" t="s">
        <v>478</v>
      </c>
      <c r="N169" s="113">
        <v>46055.770243055558</v>
      </c>
      <c r="O169" s="114">
        <v>19002498569</v>
      </c>
      <c r="P169" s="112">
        <v>3.1669999999999998</v>
      </c>
      <c r="Q169" s="112" t="s">
        <v>1131</v>
      </c>
      <c r="R169" s="112" t="s">
        <v>1063</v>
      </c>
      <c r="S169" s="113">
        <v>46091.484282407408</v>
      </c>
      <c r="T169" s="112" t="s">
        <v>1830</v>
      </c>
      <c r="U169" s="112" t="s">
        <v>1065</v>
      </c>
      <c r="V169" s="112" t="s">
        <v>1066</v>
      </c>
      <c r="W169" s="112" t="s">
        <v>1066</v>
      </c>
      <c r="X169" s="112" t="s">
        <v>1117</v>
      </c>
      <c r="Y169" s="112" t="s">
        <v>1066</v>
      </c>
      <c r="Z169" s="112" t="s">
        <v>1133</v>
      </c>
      <c r="AA169" s="112" t="s">
        <v>1067</v>
      </c>
      <c r="AB169" s="112" t="s">
        <v>1066</v>
      </c>
      <c r="AC169" s="112" t="s">
        <v>92</v>
      </c>
      <c r="AD169" s="112" t="s">
        <v>1066</v>
      </c>
      <c r="AE169" s="112" t="s">
        <v>1066</v>
      </c>
      <c r="AF169" s="112" t="s">
        <v>1066</v>
      </c>
      <c r="AG169" s="112" t="s">
        <v>1066</v>
      </c>
      <c r="AH169" s="112" t="s">
        <v>1066</v>
      </c>
      <c r="AI169" s="112" t="s">
        <v>785</v>
      </c>
      <c r="AJ169" s="112">
        <v>9102000</v>
      </c>
      <c r="AK169" s="112" t="s">
        <v>369</v>
      </c>
      <c r="AL169" s="112">
        <v>979032</v>
      </c>
      <c r="AM169" s="112" t="s">
        <v>1066</v>
      </c>
      <c r="AN169" s="112" t="s">
        <v>1066</v>
      </c>
    </row>
    <row r="170" spans="1:40" ht="55.5" customHeight="1" x14ac:dyDescent="0.25">
      <c r="A170" s="111" t="s">
        <v>1831</v>
      </c>
      <c r="B170" s="112">
        <v>2026</v>
      </c>
      <c r="C170" s="112" t="s">
        <v>1240</v>
      </c>
      <c r="D170" s="113">
        <v>46183.597349537034</v>
      </c>
      <c r="E170" s="112">
        <v>7823244233</v>
      </c>
      <c r="F170" s="112" t="s">
        <v>682</v>
      </c>
      <c r="G170" s="112">
        <v>3</v>
      </c>
      <c r="H170" s="112">
        <v>7823244233</v>
      </c>
      <c r="I170" s="112" t="s">
        <v>1832</v>
      </c>
      <c r="J170" s="112" t="s">
        <v>1066</v>
      </c>
      <c r="K170" s="112" t="s">
        <v>1125</v>
      </c>
      <c r="L170" s="112" t="s">
        <v>1061</v>
      </c>
      <c r="M170" s="112" t="s">
        <v>478</v>
      </c>
      <c r="N170" s="113">
        <v>46583.597349537034</v>
      </c>
      <c r="O170" s="114">
        <v>19002400721</v>
      </c>
      <c r="P170" s="112">
        <v>161</v>
      </c>
      <c r="Q170" s="112" t="s">
        <v>1062</v>
      </c>
      <c r="R170" s="112" t="s">
        <v>1063</v>
      </c>
      <c r="S170" s="113">
        <v>46205.729826388888</v>
      </c>
      <c r="T170" s="112" t="s">
        <v>1833</v>
      </c>
      <c r="U170" s="112" t="s">
        <v>1065</v>
      </c>
      <c r="V170" s="112" t="s">
        <v>1066</v>
      </c>
      <c r="W170" s="112" t="s">
        <v>1066</v>
      </c>
      <c r="X170" s="112" t="s">
        <v>1066</v>
      </c>
      <c r="Y170" s="112" t="s">
        <v>1066</v>
      </c>
      <c r="Z170" s="112" t="s">
        <v>1066</v>
      </c>
      <c r="AA170" s="112" t="s">
        <v>1067</v>
      </c>
      <c r="AB170" s="112" t="s">
        <v>1066</v>
      </c>
      <c r="AC170" s="112" t="s">
        <v>92</v>
      </c>
      <c r="AD170" s="112" t="s">
        <v>1066</v>
      </c>
      <c r="AE170" s="112" t="s">
        <v>1066</v>
      </c>
      <c r="AF170" s="112" t="s">
        <v>1066</v>
      </c>
      <c r="AG170" s="112" t="s">
        <v>1066</v>
      </c>
      <c r="AH170" s="112" t="s">
        <v>1066</v>
      </c>
      <c r="AI170" s="112" t="s">
        <v>785</v>
      </c>
      <c r="AJ170" s="112">
        <v>8936665</v>
      </c>
      <c r="AK170" s="112" t="s">
        <v>1834</v>
      </c>
      <c r="AL170" s="112">
        <v>704618</v>
      </c>
      <c r="AM170" s="112" t="s">
        <v>1066</v>
      </c>
      <c r="AN170" s="112" t="s">
        <v>1066</v>
      </c>
    </row>
    <row r="171" spans="1:40" ht="55.5" customHeight="1" x14ac:dyDescent="0.25">
      <c r="A171" s="111" t="s">
        <v>1835</v>
      </c>
      <c r="B171" s="112">
        <v>2026</v>
      </c>
      <c r="C171" s="112" t="s">
        <v>1213</v>
      </c>
      <c r="D171" s="113">
        <v>46122.549942129626</v>
      </c>
      <c r="E171" s="112">
        <v>7925717015</v>
      </c>
      <c r="F171" s="112" t="s">
        <v>88</v>
      </c>
      <c r="G171" s="112">
        <v>1</v>
      </c>
      <c r="H171" s="112">
        <v>7925717015</v>
      </c>
      <c r="I171" s="112" t="s">
        <v>1836</v>
      </c>
      <c r="J171" s="112" t="s">
        <v>1066</v>
      </c>
      <c r="K171" s="112" t="s">
        <v>1125</v>
      </c>
      <c r="L171" s="112" t="s">
        <v>1061</v>
      </c>
      <c r="M171" s="112" t="s">
        <v>478</v>
      </c>
      <c r="N171" s="113">
        <v>46522.549942129626</v>
      </c>
      <c r="O171" s="114">
        <v>19002204811</v>
      </c>
      <c r="P171" s="112">
        <v>0</v>
      </c>
      <c r="Q171" s="112" t="s">
        <v>1062</v>
      </c>
      <c r="R171" s="112" t="s">
        <v>1063</v>
      </c>
      <c r="S171" s="113">
        <v>46142.729166666664</v>
      </c>
      <c r="T171" s="112" t="s">
        <v>1837</v>
      </c>
      <c r="U171" s="112" t="s">
        <v>1065</v>
      </c>
      <c r="V171" s="112" t="s">
        <v>1066</v>
      </c>
      <c r="W171" s="112" t="s">
        <v>1066</v>
      </c>
      <c r="X171" s="112" t="s">
        <v>1066</v>
      </c>
      <c r="Y171" s="112" t="s">
        <v>1066</v>
      </c>
      <c r="Z171" s="112" t="s">
        <v>1066</v>
      </c>
      <c r="AA171" s="112" t="s">
        <v>1067</v>
      </c>
      <c r="AB171" s="112" t="s">
        <v>1066</v>
      </c>
      <c r="AC171" s="112" t="s">
        <v>92</v>
      </c>
      <c r="AD171" s="112" t="s">
        <v>1066</v>
      </c>
      <c r="AE171" s="112" t="s">
        <v>1066</v>
      </c>
      <c r="AF171" s="112" t="s">
        <v>1066</v>
      </c>
      <c r="AG171" s="112" t="s">
        <v>1066</v>
      </c>
      <c r="AH171" s="112" t="s">
        <v>1066</v>
      </c>
      <c r="AI171" s="112" t="s">
        <v>785</v>
      </c>
      <c r="AJ171" s="112">
        <v>8976005</v>
      </c>
      <c r="AK171" s="112" t="s">
        <v>288</v>
      </c>
      <c r="AL171" s="112">
        <v>821164</v>
      </c>
      <c r="AM171" s="112" t="s">
        <v>1066</v>
      </c>
      <c r="AN171" s="112" t="s">
        <v>1066</v>
      </c>
    </row>
    <row r="172" spans="1:40" ht="55.5" customHeight="1" x14ac:dyDescent="0.25">
      <c r="A172" s="111" t="s">
        <v>1838</v>
      </c>
      <c r="B172" s="112">
        <v>2026</v>
      </c>
      <c r="C172" s="112" t="s">
        <v>1057</v>
      </c>
      <c r="D172" s="113">
        <v>46125.614548611113</v>
      </c>
      <c r="E172" s="112">
        <v>7930039122</v>
      </c>
      <c r="F172" s="112" t="s">
        <v>1839</v>
      </c>
      <c r="G172" s="112">
        <v>2</v>
      </c>
      <c r="H172" s="112">
        <v>7930039122</v>
      </c>
      <c r="I172" s="112" t="s">
        <v>1840</v>
      </c>
      <c r="J172" s="112" t="s">
        <v>1066</v>
      </c>
      <c r="K172" s="112" t="s">
        <v>1125</v>
      </c>
      <c r="L172" s="112" t="s">
        <v>1061</v>
      </c>
      <c r="M172" s="112" t="s">
        <v>478</v>
      </c>
      <c r="N172" s="113">
        <v>46525.614548611113</v>
      </c>
      <c r="O172" s="114">
        <v>19002208478</v>
      </c>
      <c r="P172" s="112">
        <v>0</v>
      </c>
      <c r="Q172" s="112" t="s">
        <v>1062</v>
      </c>
      <c r="R172" s="112" t="s">
        <v>1063</v>
      </c>
      <c r="S172" s="113">
        <v>46199.405810185184</v>
      </c>
      <c r="T172" s="112" t="s">
        <v>1841</v>
      </c>
      <c r="U172" s="112" t="s">
        <v>1065</v>
      </c>
      <c r="V172" s="112" t="s">
        <v>1066</v>
      </c>
      <c r="W172" s="112" t="s">
        <v>1066</v>
      </c>
      <c r="X172" s="112" t="s">
        <v>1066</v>
      </c>
      <c r="Y172" s="112" t="s">
        <v>1066</v>
      </c>
      <c r="Z172" s="112" t="s">
        <v>1066</v>
      </c>
      <c r="AA172" s="112" t="s">
        <v>1067</v>
      </c>
      <c r="AB172" s="112" t="s">
        <v>1066</v>
      </c>
      <c r="AC172" s="112" t="s">
        <v>92</v>
      </c>
      <c r="AD172" s="112" t="s">
        <v>1066</v>
      </c>
      <c r="AE172" s="112" t="s">
        <v>1066</v>
      </c>
      <c r="AF172" s="112" t="s">
        <v>1066</v>
      </c>
      <c r="AG172" s="112" t="s">
        <v>1066</v>
      </c>
      <c r="AH172" s="112" t="s">
        <v>1066</v>
      </c>
      <c r="AI172" s="112" t="s">
        <v>785</v>
      </c>
      <c r="AJ172" s="112">
        <v>8872093</v>
      </c>
      <c r="AK172" s="112" t="s">
        <v>264</v>
      </c>
      <c r="AL172" s="112">
        <v>793136</v>
      </c>
      <c r="AM172" s="112" t="s">
        <v>1066</v>
      </c>
      <c r="AN172" s="112" t="s">
        <v>1066</v>
      </c>
    </row>
    <row r="173" spans="1:40" ht="55.5" customHeight="1" x14ac:dyDescent="0.25">
      <c r="A173" s="111" t="s">
        <v>1842</v>
      </c>
      <c r="B173" s="112">
        <v>2026</v>
      </c>
      <c r="C173" s="112" t="s">
        <v>1089</v>
      </c>
      <c r="D173" s="113">
        <v>46028.41065972222</v>
      </c>
      <c r="E173" s="112">
        <v>7938139013</v>
      </c>
      <c r="F173" s="112" t="s">
        <v>229</v>
      </c>
      <c r="G173" s="112">
        <v>2</v>
      </c>
      <c r="H173" s="112">
        <v>7938139013</v>
      </c>
      <c r="I173" s="112" t="s">
        <v>1271</v>
      </c>
      <c r="J173" s="112" t="s">
        <v>1092</v>
      </c>
      <c r="K173" s="112" t="s">
        <v>1093</v>
      </c>
      <c r="L173" s="112" t="s">
        <v>1061</v>
      </c>
      <c r="M173" s="112" t="s">
        <v>478</v>
      </c>
      <c r="N173" s="113">
        <v>46428.41065972222</v>
      </c>
      <c r="O173" s="114">
        <v>19002208007</v>
      </c>
      <c r="P173" s="112">
        <v>349</v>
      </c>
      <c r="Q173" s="112" t="s">
        <v>1062</v>
      </c>
      <c r="R173" s="112" t="s">
        <v>1063</v>
      </c>
      <c r="S173" s="113">
        <v>46126.461111111108</v>
      </c>
      <c r="T173" s="112" t="s">
        <v>1843</v>
      </c>
      <c r="U173" s="112" t="s">
        <v>1065</v>
      </c>
      <c r="V173" s="112" t="s">
        <v>1066</v>
      </c>
      <c r="W173" s="112" t="s">
        <v>1066</v>
      </c>
      <c r="X173" s="112" t="s">
        <v>1066</v>
      </c>
      <c r="Y173" s="112" t="s">
        <v>1066</v>
      </c>
      <c r="Z173" s="112" t="s">
        <v>1066</v>
      </c>
      <c r="AA173" s="112" t="s">
        <v>1067</v>
      </c>
      <c r="AB173" s="112" t="s">
        <v>1066</v>
      </c>
      <c r="AC173" s="112" t="s">
        <v>92</v>
      </c>
      <c r="AD173" s="112" t="s">
        <v>1066</v>
      </c>
      <c r="AE173" s="112" t="s">
        <v>1066</v>
      </c>
      <c r="AF173" s="112" t="s">
        <v>1066</v>
      </c>
      <c r="AG173" s="112" t="s">
        <v>1066</v>
      </c>
      <c r="AH173" s="112" t="s">
        <v>1066</v>
      </c>
      <c r="AI173" s="112" t="s">
        <v>785</v>
      </c>
      <c r="AJ173" s="112">
        <v>8856896</v>
      </c>
      <c r="AK173" s="112" t="s">
        <v>117</v>
      </c>
      <c r="AL173" s="112">
        <v>748790</v>
      </c>
      <c r="AM173" s="112" t="s">
        <v>1066</v>
      </c>
      <c r="AN173" s="112" t="s">
        <v>1066</v>
      </c>
    </row>
    <row r="174" spans="1:40" ht="55.5" customHeight="1" x14ac:dyDescent="0.25">
      <c r="A174" s="111" t="s">
        <v>1844</v>
      </c>
      <c r="B174" s="112">
        <v>2026</v>
      </c>
      <c r="C174" s="112" t="s">
        <v>1089</v>
      </c>
      <c r="D174" s="113">
        <v>46028.453888888886</v>
      </c>
      <c r="E174" s="112">
        <v>7915038094</v>
      </c>
      <c r="F174" s="112" t="s">
        <v>302</v>
      </c>
      <c r="G174" s="112">
        <v>2</v>
      </c>
      <c r="H174" s="112">
        <v>7915038094</v>
      </c>
      <c r="I174" s="112" t="s">
        <v>1845</v>
      </c>
      <c r="J174" s="112" t="s">
        <v>1092</v>
      </c>
      <c r="K174" s="112" t="s">
        <v>1093</v>
      </c>
      <c r="L174" s="112" t="s">
        <v>1061</v>
      </c>
      <c r="M174" s="112" t="s">
        <v>478</v>
      </c>
      <c r="N174" s="113">
        <v>46428.453888888886</v>
      </c>
      <c r="O174" s="114">
        <v>19002223903</v>
      </c>
      <c r="P174" s="112">
        <v>0</v>
      </c>
      <c r="Q174" s="112" t="s">
        <v>1062</v>
      </c>
      <c r="R174" s="112" t="s">
        <v>1063</v>
      </c>
      <c r="S174" s="113">
        <v>46034.416666666664</v>
      </c>
      <c r="T174" s="112" t="s">
        <v>1846</v>
      </c>
      <c r="U174" s="112" t="s">
        <v>1065</v>
      </c>
      <c r="V174" s="112" t="s">
        <v>1066</v>
      </c>
      <c r="W174" s="112" t="s">
        <v>1066</v>
      </c>
      <c r="X174" s="112" t="s">
        <v>1066</v>
      </c>
      <c r="Y174" s="112" t="s">
        <v>1066</v>
      </c>
      <c r="Z174" s="112" t="s">
        <v>1066</v>
      </c>
      <c r="AA174" s="112" t="s">
        <v>1067</v>
      </c>
      <c r="AB174" s="112" t="s">
        <v>1066</v>
      </c>
      <c r="AC174" s="112" t="s">
        <v>92</v>
      </c>
      <c r="AD174" s="112" t="s">
        <v>1066</v>
      </c>
      <c r="AE174" s="112" t="s">
        <v>1066</v>
      </c>
      <c r="AF174" s="112" t="s">
        <v>1066</v>
      </c>
      <c r="AG174" s="112" t="s">
        <v>1066</v>
      </c>
      <c r="AH174" s="112" t="s">
        <v>1066</v>
      </c>
      <c r="AI174" s="112" t="s">
        <v>785</v>
      </c>
      <c r="AJ174" s="112">
        <v>8668290</v>
      </c>
      <c r="AK174" s="112" t="s">
        <v>224</v>
      </c>
      <c r="AL174" s="112">
        <v>767230</v>
      </c>
      <c r="AM174" s="112" t="s">
        <v>1066</v>
      </c>
      <c r="AN174" s="112" t="s">
        <v>1066</v>
      </c>
    </row>
    <row r="175" spans="1:40" ht="55.5" customHeight="1" x14ac:dyDescent="0.25">
      <c r="A175" s="124" t="s">
        <v>1847</v>
      </c>
      <c r="B175" s="125">
        <v>2026</v>
      </c>
      <c r="C175" s="125" t="s">
        <v>1210</v>
      </c>
      <c r="D175" s="126">
        <v>46114.608900462961</v>
      </c>
      <c r="E175" s="125">
        <v>7948074010</v>
      </c>
      <c r="F175" s="125" t="s">
        <v>1613</v>
      </c>
      <c r="G175" s="125">
        <v>3</v>
      </c>
      <c r="H175" s="125">
        <v>7948074010</v>
      </c>
      <c r="I175" s="125" t="s">
        <v>1848</v>
      </c>
      <c r="J175" s="125" t="s">
        <v>1066</v>
      </c>
      <c r="K175" s="125" t="s">
        <v>1125</v>
      </c>
      <c r="L175" s="125" t="s">
        <v>1061</v>
      </c>
      <c r="M175" s="125" t="s">
        <v>510</v>
      </c>
      <c r="N175" s="126">
        <v>46514.608900462961</v>
      </c>
      <c r="O175" s="127">
        <v>19002633367</v>
      </c>
      <c r="P175" s="125">
        <v>524</v>
      </c>
      <c r="Q175" s="125" t="s">
        <v>1062</v>
      </c>
      <c r="R175" s="125" t="s">
        <v>1063</v>
      </c>
      <c r="S175" s="125" t="s">
        <v>1066</v>
      </c>
      <c r="T175" s="125" t="s">
        <v>1849</v>
      </c>
      <c r="U175" s="125" t="s">
        <v>621</v>
      </c>
      <c r="V175" s="125" t="s">
        <v>1066</v>
      </c>
      <c r="W175" s="125" t="s">
        <v>1066</v>
      </c>
      <c r="X175" s="125" t="s">
        <v>1066</v>
      </c>
      <c r="Y175" s="125" t="s">
        <v>1066</v>
      </c>
      <c r="Z175" s="125" t="s">
        <v>1066</v>
      </c>
      <c r="AA175" s="125" t="s">
        <v>1067</v>
      </c>
      <c r="AB175" s="125" t="s">
        <v>1066</v>
      </c>
      <c r="AC175" s="125" t="s">
        <v>92</v>
      </c>
      <c r="AD175" s="125" t="s">
        <v>1066</v>
      </c>
      <c r="AE175" s="125" t="s">
        <v>1066</v>
      </c>
      <c r="AF175" s="125" t="s">
        <v>1066</v>
      </c>
      <c r="AG175" s="125" t="s">
        <v>1066</v>
      </c>
      <c r="AH175" s="125" t="s">
        <v>1066</v>
      </c>
      <c r="AI175" s="125" t="s">
        <v>785</v>
      </c>
      <c r="AJ175" s="125">
        <v>8902953</v>
      </c>
      <c r="AK175" s="125" t="s">
        <v>1442</v>
      </c>
      <c r="AL175" s="125">
        <v>797776</v>
      </c>
      <c r="AM175" s="125" t="s">
        <v>1066</v>
      </c>
      <c r="AN175" s="125" t="s">
        <v>1066</v>
      </c>
    </row>
    <row r="176" spans="1:40" ht="55.5" customHeight="1" x14ac:dyDescent="0.25">
      <c r="A176" s="111" t="s">
        <v>1850</v>
      </c>
      <c r="B176" s="112">
        <v>2026</v>
      </c>
      <c r="C176" s="112" t="s">
        <v>1851</v>
      </c>
      <c r="D176" s="113">
        <v>46120.338703703703</v>
      </c>
      <c r="E176" s="112">
        <v>7937112036</v>
      </c>
      <c r="F176" s="112" t="s">
        <v>1852</v>
      </c>
      <c r="G176" s="112">
        <v>3</v>
      </c>
      <c r="H176" s="112">
        <v>7937112036</v>
      </c>
      <c r="I176" s="112" t="s">
        <v>1853</v>
      </c>
      <c r="J176" s="112" t="s">
        <v>1854</v>
      </c>
      <c r="K176" s="112" t="s">
        <v>1855</v>
      </c>
      <c r="L176" s="112" t="s">
        <v>1073</v>
      </c>
      <c r="M176" s="112" t="s">
        <v>478</v>
      </c>
      <c r="N176" s="113">
        <v>46123.338703703703</v>
      </c>
      <c r="O176" s="114">
        <v>19002208187</v>
      </c>
      <c r="P176" s="112">
        <v>207</v>
      </c>
      <c r="Q176" s="112" t="s">
        <v>1062</v>
      </c>
      <c r="R176" s="112" t="s">
        <v>1075</v>
      </c>
      <c r="S176" s="113">
        <v>46160.372719907406</v>
      </c>
      <c r="T176" s="112" t="s">
        <v>1856</v>
      </c>
      <c r="U176" s="112" t="s">
        <v>1065</v>
      </c>
      <c r="V176" s="112" t="s">
        <v>1066</v>
      </c>
      <c r="W176" s="112" t="s">
        <v>1066</v>
      </c>
      <c r="X176" s="112" t="s">
        <v>983</v>
      </c>
      <c r="Y176" s="112" t="s">
        <v>1066</v>
      </c>
      <c r="Z176" s="112" t="s">
        <v>1318</v>
      </c>
      <c r="AA176" s="112" t="s">
        <v>1067</v>
      </c>
      <c r="AB176" s="112" t="s">
        <v>1066</v>
      </c>
      <c r="AC176" s="112" t="s">
        <v>92</v>
      </c>
      <c r="AD176" s="112" t="s">
        <v>1066</v>
      </c>
      <c r="AE176" s="112" t="s">
        <v>1066</v>
      </c>
      <c r="AF176" s="112" t="s">
        <v>1066</v>
      </c>
      <c r="AG176" s="112" t="s">
        <v>1066</v>
      </c>
      <c r="AH176" s="112" t="s">
        <v>1066</v>
      </c>
      <c r="AI176" s="112" t="s">
        <v>785</v>
      </c>
      <c r="AJ176" s="112">
        <v>8633931</v>
      </c>
      <c r="AK176" s="112" t="s">
        <v>470</v>
      </c>
      <c r="AL176" s="112">
        <v>700843</v>
      </c>
      <c r="AM176" s="112" t="s">
        <v>1066</v>
      </c>
      <c r="AN176" s="112" t="s">
        <v>1066</v>
      </c>
    </row>
    <row r="177" spans="1:40" ht="55.5" customHeight="1" x14ac:dyDescent="0.25">
      <c r="A177" s="111" t="s">
        <v>1857</v>
      </c>
      <c r="B177" s="112">
        <v>2026</v>
      </c>
      <c r="C177" s="112" t="s">
        <v>1057</v>
      </c>
      <c r="D177" s="113">
        <v>46125.584386574075</v>
      </c>
      <c r="E177" s="112">
        <v>7925084200</v>
      </c>
      <c r="F177" s="112" t="s">
        <v>324</v>
      </c>
      <c r="G177" s="112">
        <v>2</v>
      </c>
      <c r="H177" s="112">
        <v>7925084200</v>
      </c>
      <c r="I177" s="112" t="s">
        <v>1858</v>
      </c>
      <c r="J177" s="112" t="s">
        <v>1066</v>
      </c>
      <c r="K177" s="112" t="s">
        <v>1125</v>
      </c>
      <c r="L177" s="112" t="s">
        <v>1061</v>
      </c>
      <c r="M177" s="112" t="s">
        <v>478</v>
      </c>
      <c r="N177" s="113">
        <v>46525.584386574075</v>
      </c>
      <c r="O177" s="114">
        <v>19002260454</v>
      </c>
      <c r="P177" s="112">
        <v>199</v>
      </c>
      <c r="Q177" s="112" t="s">
        <v>1062</v>
      </c>
      <c r="R177" s="112" t="s">
        <v>1063</v>
      </c>
      <c r="S177" s="113">
        <v>46171.58556712963</v>
      </c>
      <c r="T177" s="112" t="s">
        <v>1859</v>
      </c>
      <c r="U177" s="112" t="s">
        <v>1065</v>
      </c>
      <c r="V177" s="112" t="s">
        <v>1066</v>
      </c>
      <c r="W177" s="112" t="s">
        <v>1066</v>
      </c>
      <c r="X177" s="112" t="s">
        <v>1066</v>
      </c>
      <c r="Y177" s="112" t="s">
        <v>1066</v>
      </c>
      <c r="Z177" s="112" t="s">
        <v>1066</v>
      </c>
      <c r="AA177" s="112" t="s">
        <v>1067</v>
      </c>
      <c r="AB177" s="112" t="s">
        <v>1066</v>
      </c>
      <c r="AC177" s="112" t="s">
        <v>92</v>
      </c>
      <c r="AD177" s="112" t="s">
        <v>1066</v>
      </c>
      <c r="AE177" s="112" t="s">
        <v>1066</v>
      </c>
      <c r="AF177" s="112" t="s">
        <v>1066</v>
      </c>
      <c r="AG177" s="112" t="s">
        <v>1066</v>
      </c>
      <c r="AH177" s="112" t="s">
        <v>1066</v>
      </c>
      <c r="AI177" s="112" t="s">
        <v>785</v>
      </c>
      <c r="AJ177" s="112">
        <v>8629919</v>
      </c>
      <c r="AK177" s="112" t="s">
        <v>293</v>
      </c>
      <c r="AL177" s="112">
        <v>784127</v>
      </c>
      <c r="AM177" s="112" t="s">
        <v>1066</v>
      </c>
      <c r="AN177" s="112" t="s">
        <v>1066</v>
      </c>
    </row>
    <row r="178" spans="1:40" ht="55.5" customHeight="1" x14ac:dyDescent="0.25">
      <c r="A178" s="111" t="s">
        <v>1860</v>
      </c>
      <c r="B178" s="112">
        <v>2026</v>
      </c>
      <c r="C178" s="112" t="s">
        <v>1861</v>
      </c>
      <c r="D178" s="113">
        <v>46140.617060185185</v>
      </c>
      <c r="E178" s="112">
        <v>7909577092</v>
      </c>
      <c r="F178" s="112" t="s">
        <v>1090</v>
      </c>
      <c r="G178" s="112">
        <v>2</v>
      </c>
      <c r="H178" s="112">
        <v>7909577092</v>
      </c>
      <c r="I178" s="112" t="s">
        <v>1091</v>
      </c>
      <c r="J178" s="112" t="s">
        <v>1071</v>
      </c>
      <c r="K178" s="112" t="s">
        <v>1072</v>
      </c>
      <c r="L178" s="112" t="s">
        <v>1073</v>
      </c>
      <c r="M178" s="112" t="s">
        <v>478</v>
      </c>
      <c r="N178" s="113">
        <v>46143.617060185185</v>
      </c>
      <c r="O178" s="114">
        <v>19002295963</v>
      </c>
      <c r="P178" s="112">
        <v>2.0070000000000001</v>
      </c>
      <c r="Q178" s="112" t="s">
        <v>1062</v>
      </c>
      <c r="R178" s="112" t="s">
        <v>1075</v>
      </c>
      <c r="S178" s="113">
        <v>46147.67291666667</v>
      </c>
      <c r="T178" s="112" t="s">
        <v>1862</v>
      </c>
      <c r="U178" s="112" t="s">
        <v>1065</v>
      </c>
      <c r="V178" s="112" t="s">
        <v>1066</v>
      </c>
      <c r="W178" s="112" t="s">
        <v>1066</v>
      </c>
      <c r="X178" s="112" t="s">
        <v>983</v>
      </c>
      <c r="Y178" s="112" t="s">
        <v>1066</v>
      </c>
      <c r="Z178" s="112" t="s">
        <v>1078</v>
      </c>
      <c r="AA178" s="112" t="s">
        <v>1067</v>
      </c>
      <c r="AB178" s="112" t="s">
        <v>1066</v>
      </c>
      <c r="AC178" s="112" t="s">
        <v>92</v>
      </c>
      <c r="AD178" s="112" t="s">
        <v>1066</v>
      </c>
      <c r="AE178" s="112" t="s">
        <v>1066</v>
      </c>
      <c r="AF178" s="112" t="s">
        <v>1066</v>
      </c>
      <c r="AG178" s="112" t="s">
        <v>1066</v>
      </c>
      <c r="AH178" s="112" t="s">
        <v>1066</v>
      </c>
      <c r="AI178" s="112" t="s">
        <v>785</v>
      </c>
      <c r="AJ178" s="112">
        <v>8896369</v>
      </c>
      <c r="AK178" s="112" t="s">
        <v>1095</v>
      </c>
      <c r="AL178" s="112">
        <v>863365</v>
      </c>
      <c r="AM178" s="112" t="s">
        <v>1066</v>
      </c>
      <c r="AN178" s="112" t="s">
        <v>1066</v>
      </c>
    </row>
    <row r="179" spans="1:40" ht="55.5" customHeight="1" x14ac:dyDescent="0.25">
      <c r="A179" s="124" t="s">
        <v>1863</v>
      </c>
      <c r="B179" s="125">
        <v>2026</v>
      </c>
      <c r="C179" s="125" t="s">
        <v>1732</v>
      </c>
      <c r="D179" s="126">
        <v>46065.580081018517</v>
      </c>
      <c r="E179" s="125" t="s">
        <v>1066</v>
      </c>
      <c r="F179" s="125" t="s">
        <v>170</v>
      </c>
      <c r="G179" s="125" t="s">
        <v>1066</v>
      </c>
      <c r="H179" s="125">
        <v>5860477104</v>
      </c>
      <c r="I179" s="125" t="s">
        <v>1733</v>
      </c>
      <c r="J179" s="125" t="s">
        <v>1231</v>
      </c>
      <c r="K179" s="125" t="s">
        <v>1232</v>
      </c>
      <c r="L179" s="125" t="s">
        <v>1084</v>
      </c>
      <c r="M179" s="125" t="s">
        <v>510</v>
      </c>
      <c r="N179" s="126">
        <v>46201.473657407405</v>
      </c>
      <c r="O179" s="127">
        <v>19002682910</v>
      </c>
      <c r="P179" s="125">
        <v>0</v>
      </c>
      <c r="Q179" s="125" t="s">
        <v>1074</v>
      </c>
      <c r="R179" s="125" t="s">
        <v>1206</v>
      </c>
      <c r="S179" s="125" t="s">
        <v>1066</v>
      </c>
      <c r="T179" s="125" t="s">
        <v>1864</v>
      </c>
      <c r="U179" s="125" t="s">
        <v>621</v>
      </c>
      <c r="V179" s="125" t="s">
        <v>1066</v>
      </c>
      <c r="W179" s="125" t="s">
        <v>1066</v>
      </c>
      <c r="X179" s="125" t="s">
        <v>1077</v>
      </c>
      <c r="Y179" s="125" t="s">
        <v>1066</v>
      </c>
      <c r="Z179" s="125" t="s">
        <v>1066</v>
      </c>
      <c r="AA179" s="125" t="s">
        <v>1208</v>
      </c>
      <c r="AB179" s="125" t="s">
        <v>1066</v>
      </c>
      <c r="AC179" s="125" t="s">
        <v>92</v>
      </c>
      <c r="AD179" s="125" t="s">
        <v>1066</v>
      </c>
      <c r="AE179" s="125" t="s">
        <v>1066</v>
      </c>
      <c r="AF179" s="125" t="s">
        <v>1066</v>
      </c>
      <c r="AG179" s="125" t="s">
        <v>1066</v>
      </c>
      <c r="AH179" s="125" t="s">
        <v>1734</v>
      </c>
      <c r="AI179" s="125" t="s">
        <v>785</v>
      </c>
      <c r="AJ179" s="125">
        <v>9015312</v>
      </c>
      <c r="AK179" s="125" t="s">
        <v>1688</v>
      </c>
      <c r="AL179" s="125">
        <v>833865</v>
      </c>
      <c r="AM179" s="125" t="s">
        <v>1066</v>
      </c>
      <c r="AN179" s="125" t="s">
        <v>1066</v>
      </c>
    </row>
    <row r="180" spans="1:40" ht="55.5" customHeight="1" x14ac:dyDescent="0.25">
      <c r="A180" s="124" t="s">
        <v>1865</v>
      </c>
      <c r="B180" s="125">
        <v>2026</v>
      </c>
      <c r="C180" s="125" t="s">
        <v>1210</v>
      </c>
      <c r="D180" s="126">
        <v>46114.608900462961</v>
      </c>
      <c r="E180" s="125">
        <v>7925873193</v>
      </c>
      <c r="F180" s="125" t="s">
        <v>370</v>
      </c>
      <c r="G180" s="125">
        <v>2</v>
      </c>
      <c r="H180" s="125">
        <v>7925873193</v>
      </c>
      <c r="I180" s="125" t="s">
        <v>1866</v>
      </c>
      <c r="J180" s="125" t="s">
        <v>1066</v>
      </c>
      <c r="K180" s="125" t="s">
        <v>1125</v>
      </c>
      <c r="L180" s="125" t="s">
        <v>1061</v>
      </c>
      <c r="M180" s="125" t="s">
        <v>510</v>
      </c>
      <c r="N180" s="126">
        <v>46514.608900462961</v>
      </c>
      <c r="O180" s="127">
        <v>19002205244</v>
      </c>
      <c r="P180" s="125">
        <v>326</v>
      </c>
      <c r="Q180" s="125" t="s">
        <v>1062</v>
      </c>
      <c r="R180" s="125" t="s">
        <v>1063</v>
      </c>
      <c r="S180" s="125" t="s">
        <v>1066</v>
      </c>
      <c r="T180" s="125" t="s">
        <v>1867</v>
      </c>
      <c r="U180" s="125" t="s">
        <v>1559</v>
      </c>
      <c r="V180" s="125" t="s">
        <v>1066</v>
      </c>
      <c r="W180" s="125" t="s">
        <v>1066</v>
      </c>
      <c r="X180" s="125" t="s">
        <v>1066</v>
      </c>
      <c r="Y180" s="125" t="s">
        <v>1066</v>
      </c>
      <c r="Z180" s="125" t="s">
        <v>1066</v>
      </c>
      <c r="AA180" s="125" t="s">
        <v>1067</v>
      </c>
      <c r="AB180" s="125" t="s">
        <v>1066</v>
      </c>
      <c r="AC180" s="125" t="s">
        <v>92</v>
      </c>
      <c r="AD180" s="125" t="s">
        <v>1066</v>
      </c>
      <c r="AE180" s="125" t="s">
        <v>1066</v>
      </c>
      <c r="AF180" s="125" t="s">
        <v>1066</v>
      </c>
      <c r="AG180" s="125" t="s">
        <v>1066</v>
      </c>
      <c r="AH180" s="125" t="s">
        <v>1066</v>
      </c>
      <c r="AI180" s="125" t="s">
        <v>785</v>
      </c>
      <c r="AJ180" s="125">
        <v>9115098</v>
      </c>
      <c r="AK180" s="125" t="s">
        <v>369</v>
      </c>
      <c r="AL180" s="125">
        <v>964191</v>
      </c>
      <c r="AM180" s="125" t="s">
        <v>1066</v>
      </c>
      <c r="AN180" s="125" t="s">
        <v>1066</v>
      </c>
    </row>
    <row r="181" spans="1:40" ht="55.5" customHeight="1" x14ac:dyDescent="0.25">
      <c r="A181" s="111" t="s">
        <v>1868</v>
      </c>
      <c r="B181" s="112">
        <v>2026</v>
      </c>
      <c r="C181" s="112" t="s">
        <v>1213</v>
      </c>
      <c r="D181" s="113">
        <v>46122.549942129626</v>
      </c>
      <c r="E181" s="112">
        <v>7925897004</v>
      </c>
      <c r="F181" s="112" t="s">
        <v>79</v>
      </c>
      <c r="G181" s="112">
        <v>1</v>
      </c>
      <c r="H181" s="112">
        <v>7925897004</v>
      </c>
      <c r="I181" s="112" t="s">
        <v>1869</v>
      </c>
      <c r="J181" s="112" t="s">
        <v>1066</v>
      </c>
      <c r="K181" s="112" t="s">
        <v>1125</v>
      </c>
      <c r="L181" s="112" t="s">
        <v>1061</v>
      </c>
      <c r="M181" s="112" t="s">
        <v>478</v>
      </c>
      <c r="N181" s="113">
        <v>46522.549942129626</v>
      </c>
      <c r="O181" s="114">
        <v>19002204483</v>
      </c>
      <c r="P181" s="112">
        <v>3.8319999999999999</v>
      </c>
      <c r="Q181" s="112" t="s">
        <v>1062</v>
      </c>
      <c r="R181" s="112" t="s">
        <v>1063</v>
      </c>
      <c r="S181" s="113">
        <v>46129.443749999999</v>
      </c>
      <c r="T181" s="112" t="s">
        <v>1870</v>
      </c>
      <c r="U181" s="112" t="s">
        <v>1065</v>
      </c>
      <c r="V181" s="112" t="s">
        <v>1066</v>
      </c>
      <c r="W181" s="112" t="s">
        <v>1066</v>
      </c>
      <c r="X181" s="112" t="s">
        <v>1066</v>
      </c>
      <c r="Y181" s="112" t="s">
        <v>1066</v>
      </c>
      <c r="Z181" s="112" t="s">
        <v>1066</v>
      </c>
      <c r="AA181" s="112" t="s">
        <v>1067</v>
      </c>
      <c r="AB181" s="112" t="s">
        <v>1066</v>
      </c>
      <c r="AC181" s="112" t="s">
        <v>92</v>
      </c>
      <c r="AD181" s="112" t="s">
        <v>1066</v>
      </c>
      <c r="AE181" s="112" t="s">
        <v>1066</v>
      </c>
      <c r="AF181" s="112" t="s">
        <v>1066</v>
      </c>
      <c r="AG181" s="112" t="s">
        <v>1066</v>
      </c>
      <c r="AH181" s="112" t="s">
        <v>1066</v>
      </c>
      <c r="AI181" s="112" t="s">
        <v>785</v>
      </c>
      <c r="AJ181" s="112">
        <v>9197149</v>
      </c>
      <c r="AK181" s="112" t="s">
        <v>69</v>
      </c>
      <c r="AL181" s="112">
        <v>815816</v>
      </c>
      <c r="AM181" s="112" t="s">
        <v>1066</v>
      </c>
      <c r="AN181" s="112" t="s">
        <v>1066</v>
      </c>
    </row>
    <row r="182" spans="1:40" ht="55.5" customHeight="1" x14ac:dyDescent="0.25">
      <c r="A182" s="111" t="s">
        <v>1871</v>
      </c>
      <c r="B182" s="112">
        <v>2026</v>
      </c>
      <c r="C182" s="112" t="s">
        <v>1872</v>
      </c>
      <c r="D182" s="113">
        <v>46162.440798611111</v>
      </c>
      <c r="E182" s="112">
        <v>8800283013</v>
      </c>
      <c r="F182" s="112" t="s">
        <v>1294</v>
      </c>
      <c r="G182" s="112">
        <v>3</v>
      </c>
      <c r="H182" s="112">
        <v>7908690013</v>
      </c>
      <c r="I182" s="112" t="s">
        <v>1873</v>
      </c>
      <c r="J182" s="112" t="s">
        <v>1071</v>
      </c>
      <c r="K182" s="112" t="s">
        <v>1130</v>
      </c>
      <c r="L182" s="112" t="s">
        <v>1073</v>
      </c>
      <c r="M182" s="112" t="s">
        <v>478</v>
      </c>
      <c r="N182" s="113">
        <v>46165.47351851852</v>
      </c>
      <c r="O182" s="114">
        <v>19000123522</v>
      </c>
      <c r="P182" s="112">
        <v>1.9650000000000001</v>
      </c>
      <c r="Q182" s="112" t="s">
        <v>1131</v>
      </c>
      <c r="R182" s="112" t="s">
        <v>1297</v>
      </c>
      <c r="S182" s="113">
        <v>46190.713020833333</v>
      </c>
      <c r="T182" s="112" t="s">
        <v>1874</v>
      </c>
      <c r="U182" s="112" t="s">
        <v>1065</v>
      </c>
      <c r="V182" s="112" t="s">
        <v>1066</v>
      </c>
      <c r="W182" s="112" t="s">
        <v>1066</v>
      </c>
      <c r="X182" s="112" t="s">
        <v>1117</v>
      </c>
      <c r="Y182" s="112" t="s">
        <v>1066</v>
      </c>
      <c r="Z182" s="112" t="s">
        <v>1133</v>
      </c>
      <c r="AA182" s="112" t="s">
        <v>1067</v>
      </c>
      <c r="AB182" s="112" t="s">
        <v>1066</v>
      </c>
      <c r="AC182" s="112" t="s">
        <v>92</v>
      </c>
      <c r="AD182" s="112" t="s">
        <v>1142</v>
      </c>
      <c r="AE182" s="112" t="s">
        <v>1066</v>
      </c>
      <c r="AF182" s="112" t="s">
        <v>1066</v>
      </c>
      <c r="AG182" s="112" t="s">
        <v>1066</v>
      </c>
      <c r="AH182" s="112" t="s">
        <v>1875</v>
      </c>
      <c r="AI182" s="112" t="s">
        <v>785</v>
      </c>
      <c r="AJ182" s="112">
        <v>8872581</v>
      </c>
      <c r="AK182" s="112" t="s">
        <v>117</v>
      </c>
      <c r="AL182" s="112">
        <v>731017</v>
      </c>
      <c r="AM182" s="112" t="s">
        <v>1066</v>
      </c>
      <c r="AN182" s="112" t="s">
        <v>1066</v>
      </c>
    </row>
    <row r="183" spans="1:40" ht="55.5" customHeight="1" x14ac:dyDescent="0.25">
      <c r="A183" s="111" t="s">
        <v>1876</v>
      </c>
      <c r="B183" s="112">
        <v>2026</v>
      </c>
      <c r="C183" s="112" t="s">
        <v>1057</v>
      </c>
      <c r="D183" s="113">
        <v>46122.378541666665</v>
      </c>
      <c r="E183" s="112">
        <v>7923674004</v>
      </c>
      <c r="F183" s="112" t="s">
        <v>1203</v>
      </c>
      <c r="G183" s="112">
        <v>3</v>
      </c>
      <c r="H183" s="112">
        <v>7923674004</v>
      </c>
      <c r="I183" s="112" t="s">
        <v>1877</v>
      </c>
      <c r="J183" s="112" t="s">
        <v>1059</v>
      </c>
      <c r="K183" s="112" t="s">
        <v>1060</v>
      </c>
      <c r="L183" s="112" t="s">
        <v>1061</v>
      </c>
      <c r="M183" s="112" t="s">
        <v>478</v>
      </c>
      <c r="N183" s="113">
        <v>46522.378541666665</v>
      </c>
      <c r="O183" s="114">
        <v>19002665988</v>
      </c>
      <c r="P183" s="112">
        <v>366</v>
      </c>
      <c r="Q183" s="112" t="s">
        <v>1062</v>
      </c>
      <c r="R183" s="112" t="s">
        <v>1063</v>
      </c>
      <c r="S183" s="113">
        <v>46147.581250000003</v>
      </c>
      <c r="T183" s="112" t="s">
        <v>1878</v>
      </c>
      <c r="U183" s="112" t="s">
        <v>1065</v>
      </c>
      <c r="V183" s="112" t="s">
        <v>1066</v>
      </c>
      <c r="W183" s="112" t="s">
        <v>1066</v>
      </c>
      <c r="X183" s="112" t="s">
        <v>1066</v>
      </c>
      <c r="Y183" s="112" t="s">
        <v>1066</v>
      </c>
      <c r="Z183" s="112" t="s">
        <v>1066</v>
      </c>
      <c r="AA183" s="112" t="s">
        <v>1067</v>
      </c>
      <c r="AB183" s="112" t="s">
        <v>1066</v>
      </c>
      <c r="AC183" s="112" t="s">
        <v>92</v>
      </c>
      <c r="AD183" s="112" t="s">
        <v>1066</v>
      </c>
      <c r="AE183" s="112" t="s">
        <v>1066</v>
      </c>
      <c r="AF183" s="112" t="s">
        <v>1066</v>
      </c>
      <c r="AG183" s="112" t="s">
        <v>1066</v>
      </c>
      <c r="AH183" s="112" t="s">
        <v>1066</v>
      </c>
      <c r="AI183" s="112" t="s">
        <v>785</v>
      </c>
      <c r="AJ183" s="112">
        <v>9192933</v>
      </c>
      <c r="AK183" s="112" t="s">
        <v>69</v>
      </c>
      <c r="AL183" s="112">
        <v>804760</v>
      </c>
      <c r="AM183" s="112" t="s">
        <v>1066</v>
      </c>
      <c r="AN183" s="112" t="s">
        <v>1066</v>
      </c>
    </row>
    <row r="184" spans="1:40" ht="55.5" customHeight="1" x14ac:dyDescent="0.25">
      <c r="A184" s="111" t="s">
        <v>1879</v>
      </c>
      <c r="B184" s="112">
        <v>2026</v>
      </c>
      <c r="C184" s="112" t="s">
        <v>1057</v>
      </c>
      <c r="D184" s="113">
        <v>46125.584386574075</v>
      </c>
      <c r="E184" s="112">
        <v>7946963052</v>
      </c>
      <c r="F184" s="112" t="s">
        <v>1397</v>
      </c>
      <c r="G184" s="112">
        <v>3</v>
      </c>
      <c r="H184" s="112">
        <v>7946963052</v>
      </c>
      <c r="I184" s="112" t="s">
        <v>1880</v>
      </c>
      <c r="J184" s="112" t="s">
        <v>1066</v>
      </c>
      <c r="K184" s="112" t="s">
        <v>1125</v>
      </c>
      <c r="L184" s="112" t="s">
        <v>1061</v>
      </c>
      <c r="M184" s="112" t="s">
        <v>478</v>
      </c>
      <c r="N184" s="113">
        <v>46525.584386574075</v>
      </c>
      <c r="O184" s="114">
        <v>19002679199</v>
      </c>
      <c r="P184" s="112">
        <v>0</v>
      </c>
      <c r="Q184" s="112" t="s">
        <v>1062</v>
      </c>
      <c r="R184" s="112" t="s">
        <v>1063</v>
      </c>
      <c r="S184" s="113">
        <v>46146.728807870371</v>
      </c>
      <c r="T184" s="112" t="s">
        <v>1881</v>
      </c>
      <c r="U184" s="112" t="s">
        <v>1065</v>
      </c>
      <c r="V184" s="112" t="s">
        <v>1066</v>
      </c>
      <c r="W184" s="112" t="s">
        <v>1066</v>
      </c>
      <c r="X184" s="112" t="s">
        <v>1066</v>
      </c>
      <c r="Y184" s="112" t="s">
        <v>1066</v>
      </c>
      <c r="Z184" s="112" t="s">
        <v>1066</v>
      </c>
      <c r="AA184" s="112" t="s">
        <v>1067</v>
      </c>
      <c r="AB184" s="112" t="s">
        <v>1066</v>
      </c>
      <c r="AC184" s="112" t="s">
        <v>92</v>
      </c>
      <c r="AD184" s="112" t="s">
        <v>1066</v>
      </c>
      <c r="AE184" s="112" t="s">
        <v>1066</v>
      </c>
      <c r="AF184" s="112" t="s">
        <v>1066</v>
      </c>
      <c r="AG184" s="112" t="s">
        <v>1066</v>
      </c>
      <c r="AH184" s="112" t="s">
        <v>1066</v>
      </c>
      <c r="AI184" s="112" t="s">
        <v>785</v>
      </c>
      <c r="AJ184" s="112">
        <v>8684979</v>
      </c>
      <c r="AK184" s="112" t="s">
        <v>112</v>
      </c>
      <c r="AL184" s="112">
        <v>672640</v>
      </c>
      <c r="AM184" s="112" t="s">
        <v>1066</v>
      </c>
      <c r="AN184" s="112" t="s">
        <v>1066</v>
      </c>
    </row>
    <row r="185" spans="1:40" ht="55.5" customHeight="1" x14ac:dyDescent="0.25">
      <c r="A185" s="111" t="s">
        <v>1882</v>
      </c>
      <c r="B185" s="112">
        <v>2026</v>
      </c>
      <c r="C185" s="112" t="s">
        <v>1883</v>
      </c>
      <c r="D185" s="113">
        <v>46134.300162037034</v>
      </c>
      <c r="E185" s="112">
        <v>309059122</v>
      </c>
      <c r="F185" s="112" t="s">
        <v>1884</v>
      </c>
      <c r="G185" s="112">
        <v>2</v>
      </c>
      <c r="H185" s="112">
        <v>7956939122</v>
      </c>
      <c r="I185" s="112" t="s">
        <v>1885</v>
      </c>
      <c r="J185" s="112" t="s">
        <v>1071</v>
      </c>
      <c r="K185" s="112" t="s">
        <v>1130</v>
      </c>
      <c r="L185" s="112" t="s">
        <v>1073</v>
      </c>
      <c r="M185" s="112" t="s">
        <v>478</v>
      </c>
      <c r="N185" s="113">
        <v>46137.300162037034</v>
      </c>
      <c r="O185" s="114">
        <v>19002737843</v>
      </c>
      <c r="P185" s="112">
        <v>563</v>
      </c>
      <c r="Q185" s="112" t="s">
        <v>1131</v>
      </c>
      <c r="R185" s="112" t="s">
        <v>1075</v>
      </c>
      <c r="S185" s="113">
        <v>46135.476388888892</v>
      </c>
      <c r="T185" s="112" t="s">
        <v>1886</v>
      </c>
      <c r="U185" s="112" t="s">
        <v>1065</v>
      </c>
      <c r="V185" s="112" t="s">
        <v>1066</v>
      </c>
      <c r="W185" s="112" t="s">
        <v>1066</v>
      </c>
      <c r="X185" s="112" t="s">
        <v>1117</v>
      </c>
      <c r="Y185" s="112" t="s">
        <v>1066</v>
      </c>
      <c r="Z185" s="112" t="s">
        <v>1133</v>
      </c>
      <c r="AA185" s="112" t="s">
        <v>1067</v>
      </c>
      <c r="AB185" s="112" t="s">
        <v>1066</v>
      </c>
      <c r="AC185" s="112" t="s">
        <v>92</v>
      </c>
      <c r="AD185" s="112" t="s">
        <v>1066</v>
      </c>
      <c r="AE185" s="112" t="s">
        <v>1066</v>
      </c>
      <c r="AF185" s="112" t="s">
        <v>1066</v>
      </c>
      <c r="AG185" s="112" t="s">
        <v>1066</v>
      </c>
      <c r="AH185" s="112" t="s">
        <v>1066</v>
      </c>
      <c r="AI185" s="112" t="s">
        <v>785</v>
      </c>
      <c r="AJ185" s="112">
        <v>8875675</v>
      </c>
      <c r="AK185" s="112" t="s">
        <v>264</v>
      </c>
      <c r="AL185" s="112">
        <v>795027</v>
      </c>
      <c r="AM185" s="112" t="s">
        <v>1066</v>
      </c>
      <c r="AN185" s="112" t="s">
        <v>1066</v>
      </c>
    </row>
    <row r="186" spans="1:40" ht="55.5" customHeight="1" x14ac:dyDescent="0.25">
      <c r="A186" s="115" t="s">
        <v>1887</v>
      </c>
      <c r="B186" s="116">
        <v>2026</v>
      </c>
      <c r="C186" s="116" t="s">
        <v>1888</v>
      </c>
      <c r="D186" s="118">
        <v>46212.694340277776</v>
      </c>
      <c r="E186" s="116">
        <v>9029377080</v>
      </c>
      <c r="F186" s="116" t="s">
        <v>1654</v>
      </c>
      <c r="G186" s="116">
        <v>2</v>
      </c>
      <c r="H186" s="116">
        <v>5855063080</v>
      </c>
      <c r="I186" s="116" t="s">
        <v>1889</v>
      </c>
      <c r="J186" s="116" t="s">
        <v>1092</v>
      </c>
      <c r="K186" s="116" t="s">
        <v>1330</v>
      </c>
      <c r="L186" s="116" t="s">
        <v>1061</v>
      </c>
      <c r="M186" s="116" t="s">
        <v>588</v>
      </c>
      <c r="N186" s="118">
        <v>46638.621145833335</v>
      </c>
      <c r="O186" s="119">
        <v>19002711811</v>
      </c>
      <c r="P186" s="116">
        <v>2.9820000000000002</v>
      </c>
      <c r="Q186" s="116" t="s">
        <v>1074</v>
      </c>
      <c r="R186" s="116" t="s">
        <v>1063</v>
      </c>
      <c r="S186" s="116" t="s">
        <v>1066</v>
      </c>
      <c r="T186" s="116" t="s">
        <v>1066</v>
      </c>
      <c r="U186" s="116" t="s">
        <v>1066</v>
      </c>
      <c r="V186" s="116" t="s">
        <v>1066</v>
      </c>
      <c r="W186" s="116" t="s">
        <v>1066</v>
      </c>
      <c r="X186" s="116" t="s">
        <v>1332</v>
      </c>
      <c r="Y186" s="116" t="s">
        <v>1066</v>
      </c>
      <c r="Z186" s="116" t="s">
        <v>1066</v>
      </c>
      <c r="AA186" s="116" t="s">
        <v>1067</v>
      </c>
      <c r="AB186" s="116" t="s">
        <v>1066</v>
      </c>
      <c r="AC186" s="116" t="s">
        <v>92</v>
      </c>
      <c r="AD186" s="116" t="s">
        <v>1066</v>
      </c>
      <c r="AE186" s="116" t="s">
        <v>1066</v>
      </c>
      <c r="AF186" s="116" t="s">
        <v>1066</v>
      </c>
      <c r="AG186" s="116" t="s">
        <v>1066</v>
      </c>
      <c r="AH186" s="116" t="s">
        <v>1066</v>
      </c>
      <c r="AI186" s="116" t="s">
        <v>785</v>
      </c>
      <c r="AJ186" s="116">
        <v>9245329</v>
      </c>
      <c r="AK186" s="116" t="s">
        <v>1656</v>
      </c>
      <c r="AL186" s="116">
        <v>852067</v>
      </c>
      <c r="AM186" s="116" t="s">
        <v>1066</v>
      </c>
      <c r="AN186" s="116" t="s">
        <v>1066</v>
      </c>
    </row>
    <row r="187" spans="1:40" ht="55.5" customHeight="1" x14ac:dyDescent="0.25">
      <c r="A187" s="115" t="s">
        <v>1890</v>
      </c>
      <c r="B187" s="116">
        <v>2026</v>
      </c>
      <c r="C187" s="116" t="s">
        <v>1891</v>
      </c>
      <c r="D187" s="118">
        <v>46092.76394675926</v>
      </c>
      <c r="E187" s="116">
        <v>9004017004</v>
      </c>
      <c r="F187" s="116" t="s">
        <v>83</v>
      </c>
      <c r="G187" s="116">
        <v>2</v>
      </c>
      <c r="H187" s="116">
        <v>7903569004</v>
      </c>
      <c r="I187" s="116" t="s">
        <v>1892</v>
      </c>
      <c r="J187" s="116" t="s">
        <v>1071</v>
      </c>
      <c r="K187" s="116" t="s">
        <v>1130</v>
      </c>
      <c r="L187" s="116" t="s">
        <v>1073</v>
      </c>
      <c r="M187" s="116" t="s">
        <v>588</v>
      </c>
      <c r="N187" s="118">
        <v>46114.460335648146</v>
      </c>
      <c r="O187" s="119">
        <v>19000009925</v>
      </c>
      <c r="P187" s="116">
        <v>0</v>
      </c>
      <c r="Q187" s="116" t="s">
        <v>1131</v>
      </c>
      <c r="R187" s="116" t="s">
        <v>1075</v>
      </c>
      <c r="S187" s="116" t="s">
        <v>1066</v>
      </c>
      <c r="T187" s="116" t="s">
        <v>1066</v>
      </c>
      <c r="U187" s="116" t="s">
        <v>1066</v>
      </c>
      <c r="V187" s="116" t="s">
        <v>1066</v>
      </c>
      <c r="W187" s="116" t="s">
        <v>1066</v>
      </c>
      <c r="X187" s="116" t="s">
        <v>1117</v>
      </c>
      <c r="Y187" s="116" t="s">
        <v>1066</v>
      </c>
      <c r="Z187" s="116" t="s">
        <v>1133</v>
      </c>
      <c r="AA187" s="116" t="s">
        <v>1067</v>
      </c>
      <c r="AB187" s="116" t="s">
        <v>1066</v>
      </c>
      <c r="AC187" s="116" t="s">
        <v>92</v>
      </c>
      <c r="AD187" s="116" t="s">
        <v>1142</v>
      </c>
      <c r="AE187" s="116" t="s">
        <v>1066</v>
      </c>
      <c r="AF187" s="116" t="s">
        <v>1066</v>
      </c>
      <c r="AG187" s="116" t="s">
        <v>1066</v>
      </c>
      <c r="AH187" s="116" t="s">
        <v>1066</v>
      </c>
      <c r="AI187" s="116" t="s">
        <v>785</v>
      </c>
      <c r="AJ187" s="116">
        <v>9202999</v>
      </c>
      <c r="AK187" s="116" t="s">
        <v>69</v>
      </c>
      <c r="AL187" s="116">
        <v>807531</v>
      </c>
      <c r="AM187" s="116" t="s">
        <v>1066</v>
      </c>
      <c r="AN187" s="116" t="s">
        <v>1066</v>
      </c>
    </row>
    <row r="188" spans="1:40" ht="55.5" customHeight="1" x14ac:dyDescent="0.25">
      <c r="A188" s="111" t="s">
        <v>1893</v>
      </c>
      <c r="B188" s="112">
        <v>2026</v>
      </c>
      <c r="C188" s="112" t="s">
        <v>1894</v>
      </c>
      <c r="D188" s="113">
        <v>46101.850289351853</v>
      </c>
      <c r="E188" s="112">
        <v>7955832052</v>
      </c>
      <c r="F188" s="112" t="s">
        <v>688</v>
      </c>
      <c r="G188" s="112">
        <v>1</v>
      </c>
      <c r="H188" s="112">
        <v>7955832052</v>
      </c>
      <c r="I188" s="112" t="s">
        <v>1895</v>
      </c>
      <c r="J188" s="112" t="s">
        <v>1071</v>
      </c>
      <c r="K188" s="112" t="s">
        <v>1399</v>
      </c>
      <c r="L188" s="112" t="s">
        <v>1073</v>
      </c>
      <c r="M188" s="112" t="s">
        <v>478</v>
      </c>
      <c r="N188" s="113">
        <v>46104.850289351853</v>
      </c>
      <c r="O188" s="114">
        <v>19002742884</v>
      </c>
      <c r="P188" s="112">
        <v>162</v>
      </c>
      <c r="Q188" s="112" t="s">
        <v>1062</v>
      </c>
      <c r="R188" s="112" t="s">
        <v>1075</v>
      </c>
      <c r="S188" s="113">
        <v>46119.50199074074</v>
      </c>
      <c r="T188" s="112" t="s">
        <v>1896</v>
      </c>
      <c r="U188" s="112" t="s">
        <v>1065</v>
      </c>
      <c r="V188" s="112" t="s">
        <v>1066</v>
      </c>
      <c r="W188" s="112" t="s">
        <v>1066</v>
      </c>
      <c r="X188" s="112" t="s">
        <v>1117</v>
      </c>
      <c r="Y188" s="112" t="s">
        <v>1066</v>
      </c>
      <c r="Z188" s="112" t="s">
        <v>1318</v>
      </c>
      <c r="AA188" s="112" t="s">
        <v>1067</v>
      </c>
      <c r="AB188" s="112" t="s">
        <v>1066</v>
      </c>
      <c r="AC188" s="112" t="s">
        <v>92</v>
      </c>
      <c r="AD188" s="112" t="s">
        <v>1066</v>
      </c>
      <c r="AE188" s="112" t="s">
        <v>1066</v>
      </c>
      <c r="AF188" s="112" t="s">
        <v>1066</v>
      </c>
      <c r="AG188" s="112" t="s">
        <v>1066</v>
      </c>
      <c r="AH188" s="112" t="s">
        <v>1066</v>
      </c>
      <c r="AI188" s="112" t="s">
        <v>785</v>
      </c>
      <c r="AJ188" s="112">
        <v>8712965</v>
      </c>
      <c r="AK188" s="112" t="s">
        <v>112</v>
      </c>
      <c r="AL188" s="112">
        <v>625463</v>
      </c>
      <c r="AM188" s="112" t="s">
        <v>1066</v>
      </c>
      <c r="AN188" s="112" t="s">
        <v>1066</v>
      </c>
    </row>
    <row r="189" spans="1:40" ht="55.5" customHeight="1" x14ac:dyDescent="0.25">
      <c r="A189" s="111" t="s">
        <v>1897</v>
      </c>
      <c r="B189" s="112">
        <v>2026</v>
      </c>
      <c r="C189" s="112" t="s">
        <v>1898</v>
      </c>
      <c r="D189" s="113">
        <v>46038.700833333336</v>
      </c>
      <c r="E189" s="112" t="s">
        <v>1066</v>
      </c>
      <c r="F189" s="112" t="s">
        <v>1899</v>
      </c>
      <c r="G189" s="112" t="s">
        <v>1066</v>
      </c>
      <c r="H189" s="112" t="s">
        <v>1066</v>
      </c>
      <c r="I189" s="112" t="s">
        <v>1900</v>
      </c>
      <c r="J189" s="112" t="s">
        <v>1059</v>
      </c>
      <c r="K189" s="112" t="s">
        <v>1060</v>
      </c>
      <c r="L189" s="112" t="s">
        <v>1061</v>
      </c>
      <c r="M189" s="112" t="s">
        <v>478</v>
      </c>
      <c r="N189" s="113">
        <v>46438.700833333336</v>
      </c>
      <c r="O189" s="114">
        <v>19001337154</v>
      </c>
      <c r="P189" s="112">
        <v>0</v>
      </c>
      <c r="Q189" s="112" t="s">
        <v>1757</v>
      </c>
      <c r="R189" s="112" t="s">
        <v>1063</v>
      </c>
      <c r="S189" s="113">
        <v>46105.729826388888</v>
      </c>
      <c r="T189" s="112" t="s">
        <v>1901</v>
      </c>
      <c r="U189" s="112" t="s">
        <v>1065</v>
      </c>
      <c r="V189" s="112" t="s">
        <v>1066</v>
      </c>
      <c r="W189" s="112" t="s">
        <v>1066</v>
      </c>
      <c r="X189" s="112" t="s">
        <v>1066</v>
      </c>
      <c r="Y189" s="112" t="s">
        <v>1066</v>
      </c>
      <c r="Z189" s="112" t="s">
        <v>1066</v>
      </c>
      <c r="AA189" s="112" t="s">
        <v>1067</v>
      </c>
      <c r="AB189" s="112" t="s">
        <v>1066</v>
      </c>
      <c r="AC189" s="112" t="s">
        <v>92</v>
      </c>
      <c r="AD189" s="112" t="s">
        <v>1066</v>
      </c>
      <c r="AE189" s="112" t="s">
        <v>1066</v>
      </c>
      <c r="AF189" s="112" t="s">
        <v>1066</v>
      </c>
      <c r="AG189" s="112" t="s">
        <v>1066</v>
      </c>
      <c r="AH189" s="112" t="s">
        <v>1066</v>
      </c>
      <c r="AI189" s="112" t="s">
        <v>785</v>
      </c>
      <c r="AJ189" s="112">
        <v>8604017</v>
      </c>
      <c r="AK189" s="112" t="s">
        <v>223</v>
      </c>
      <c r="AL189" s="112">
        <v>841320</v>
      </c>
      <c r="AM189" s="112" t="s">
        <v>1066</v>
      </c>
      <c r="AN189" s="112" t="s">
        <v>1066</v>
      </c>
    </row>
    <row r="190" spans="1:40" ht="55.5" customHeight="1" x14ac:dyDescent="0.25">
      <c r="A190" s="115" t="s">
        <v>1902</v>
      </c>
      <c r="B190" s="116">
        <v>2026</v>
      </c>
      <c r="C190" s="116" t="s">
        <v>1903</v>
      </c>
      <c r="D190" s="118">
        <v>46106.462268518517</v>
      </c>
      <c r="E190" s="116">
        <v>9000702080</v>
      </c>
      <c r="F190" s="116" t="s">
        <v>1654</v>
      </c>
      <c r="G190" s="116">
        <v>3</v>
      </c>
      <c r="H190" s="116">
        <v>7925737080</v>
      </c>
      <c r="I190" s="116" t="s">
        <v>1904</v>
      </c>
      <c r="J190" s="116" t="s">
        <v>1092</v>
      </c>
      <c r="K190" s="116" t="s">
        <v>1446</v>
      </c>
      <c r="L190" s="116" t="s">
        <v>1073</v>
      </c>
      <c r="M190" s="116" t="s">
        <v>588</v>
      </c>
      <c r="N190" s="118">
        <v>46128.449282407404</v>
      </c>
      <c r="O190" s="119">
        <v>19001240600</v>
      </c>
      <c r="P190" s="116">
        <v>241</v>
      </c>
      <c r="Q190" s="116" t="s">
        <v>1131</v>
      </c>
      <c r="R190" s="116" t="s">
        <v>1075</v>
      </c>
      <c r="S190" s="116" t="s">
        <v>1066</v>
      </c>
      <c r="T190" s="116" t="s">
        <v>1066</v>
      </c>
      <c r="U190" s="116" t="s">
        <v>1066</v>
      </c>
      <c r="V190" s="116" t="s">
        <v>1066</v>
      </c>
      <c r="W190" s="116" t="s">
        <v>1066</v>
      </c>
      <c r="X190" s="116" t="s">
        <v>1173</v>
      </c>
      <c r="Y190" s="116" t="s">
        <v>1066</v>
      </c>
      <c r="Z190" s="116" t="s">
        <v>1133</v>
      </c>
      <c r="AA190" s="116" t="s">
        <v>1067</v>
      </c>
      <c r="AB190" s="116" t="s">
        <v>1066</v>
      </c>
      <c r="AC190" s="116" t="s">
        <v>92</v>
      </c>
      <c r="AD190" s="116" t="s">
        <v>1142</v>
      </c>
      <c r="AE190" s="116" t="s">
        <v>1066</v>
      </c>
      <c r="AF190" s="116" t="s">
        <v>1066</v>
      </c>
      <c r="AG190" s="116" t="s">
        <v>1066</v>
      </c>
      <c r="AH190" s="116" t="s">
        <v>1066</v>
      </c>
      <c r="AI190" s="116" t="s">
        <v>785</v>
      </c>
      <c r="AJ190" s="116">
        <v>9257364</v>
      </c>
      <c r="AK190" s="116" t="s">
        <v>1656</v>
      </c>
      <c r="AL190" s="116">
        <v>859933</v>
      </c>
      <c r="AM190" s="116" t="s">
        <v>1066</v>
      </c>
      <c r="AN190" s="116" t="s">
        <v>1066</v>
      </c>
    </row>
    <row r="191" spans="1:40" ht="55.5" customHeight="1" x14ac:dyDescent="0.25">
      <c r="A191" s="111" t="s">
        <v>1905</v>
      </c>
      <c r="B191" s="112">
        <v>2026</v>
      </c>
      <c r="C191" s="112" t="s">
        <v>1057</v>
      </c>
      <c r="D191" s="113">
        <v>46125.584386574075</v>
      </c>
      <c r="E191" s="112">
        <v>7915030003</v>
      </c>
      <c r="F191" s="112" t="s">
        <v>1906</v>
      </c>
      <c r="G191" s="112" t="s">
        <v>1066</v>
      </c>
      <c r="H191" s="112">
        <v>7915030003</v>
      </c>
      <c r="I191" s="112" t="s">
        <v>1907</v>
      </c>
      <c r="J191" s="112" t="s">
        <v>1066</v>
      </c>
      <c r="K191" s="112" t="s">
        <v>1125</v>
      </c>
      <c r="L191" s="112" t="s">
        <v>1061</v>
      </c>
      <c r="M191" s="112" t="s">
        <v>478</v>
      </c>
      <c r="N191" s="113">
        <v>46525.584386574075</v>
      </c>
      <c r="O191" s="114">
        <v>19002207818</v>
      </c>
      <c r="P191" s="112">
        <v>83</v>
      </c>
      <c r="Q191" s="112" t="s">
        <v>1062</v>
      </c>
      <c r="R191" s="112" t="s">
        <v>1063</v>
      </c>
      <c r="S191" s="113">
        <v>46154.481446759259</v>
      </c>
      <c r="T191" s="112" t="s">
        <v>1908</v>
      </c>
      <c r="U191" s="112" t="s">
        <v>1065</v>
      </c>
      <c r="V191" s="112" t="s">
        <v>1066</v>
      </c>
      <c r="W191" s="112" t="s">
        <v>1066</v>
      </c>
      <c r="X191" s="112" t="s">
        <v>1066</v>
      </c>
      <c r="Y191" s="112" t="s">
        <v>1066</v>
      </c>
      <c r="Z191" s="112" t="s">
        <v>1066</v>
      </c>
      <c r="AA191" s="112" t="s">
        <v>1067</v>
      </c>
      <c r="AB191" s="112" t="s">
        <v>1066</v>
      </c>
      <c r="AC191" s="112" t="s">
        <v>92</v>
      </c>
      <c r="AD191" s="112" t="s">
        <v>1066</v>
      </c>
      <c r="AE191" s="112" t="s">
        <v>1066</v>
      </c>
      <c r="AF191" s="112" t="s">
        <v>1066</v>
      </c>
      <c r="AG191" s="112" t="s">
        <v>1066</v>
      </c>
      <c r="AH191" s="112" t="s">
        <v>1066</v>
      </c>
      <c r="AI191" s="112" t="s">
        <v>785</v>
      </c>
      <c r="AJ191" s="112">
        <v>8700197</v>
      </c>
      <c r="AK191" s="112" t="s">
        <v>210</v>
      </c>
      <c r="AL191" s="112">
        <v>707231</v>
      </c>
      <c r="AM191" s="112" t="s">
        <v>1066</v>
      </c>
      <c r="AN191" s="112" t="s">
        <v>1066</v>
      </c>
    </row>
    <row r="192" spans="1:40" ht="55.5" customHeight="1" x14ac:dyDescent="0.25">
      <c r="A192" s="124" t="s">
        <v>1909</v>
      </c>
      <c r="B192" s="125">
        <v>2026</v>
      </c>
      <c r="C192" s="125" t="s">
        <v>1910</v>
      </c>
      <c r="D192" s="126">
        <v>46192.407361111109</v>
      </c>
      <c r="E192" s="125">
        <v>7908714038</v>
      </c>
      <c r="F192" s="125" t="s">
        <v>674</v>
      </c>
      <c r="G192" s="125">
        <v>1</v>
      </c>
      <c r="H192" s="125">
        <v>7908714038</v>
      </c>
      <c r="I192" s="125" t="s">
        <v>1252</v>
      </c>
      <c r="J192" s="125" t="s">
        <v>1082</v>
      </c>
      <c r="K192" s="125" t="s">
        <v>1083</v>
      </c>
      <c r="L192" s="125" t="s">
        <v>1084</v>
      </c>
      <c r="M192" s="125" t="s">
        <v>510</v>
      </c>
      <c r="N192" s="126">
        <v>46252.407361111109</v>
      </c>
      <c r="O192" s="127">
        <v>19002259092</v>
      </c>
      <c r="P192" s="125">
        <v>34</v>
      </c>
      <c r="Q192" s="125" t="s">
        <v>1062</v>
      </c>
      <c r="R192" s="125" t="s">
        <v>1085</v>
      </c>
      <c r="S192" s="125" t="s">
        <v>1066</v>
      </c>
      <c r="T192" s="125" t="s">
        <v>1911</v>
      </c>
      <c r="U192" s="125" t="s">
        <v>1147</v>
      </c>
      <c r="V192" s="125" t="s">
        <v>1066</v>
      </c>
      <c r="W192" s="125" t="s">
        <v>1066</v>
      </c>
      <c r="X192" s="125" t="s">
        <v>1066</v>
      </c>
      <c r="Y192" s="125" t="s">
        <v>1066</v>
      </c>
      <c r="Z192" s="125" t="s">
        <v>1066</v>
      </c>
      <c r="AA192" s="125" t="s">
        <v>1067</v>
      </c>
      <c r="AB192" s="125" t="s">
        <v>1066</v>
      </c>
      <c r="AC192" s="125" t="s">
        <v>92</v>
      </c>
      <c r="AD192" s="125" t="s">
        <v>1066</v>
      </c>
      <c r="AE192" s="125" t="s">
        <v>1066</v>
      </c>
      <c r="AF192" s="125" t="s">
        <v>1066</v>
      </c>
      <c r="AG192" s="125" t="s">
        <v>1066</v>
      </c>
      <c r="AH192" s="125" t="s">
        <v>1066</v>
      </c>
      <c r="AI192" s="125" t="s">
        <v>785</v>
      </c>
      <c r="AJ192" s="125">
        <v>8622182</v>
      </c>
      <c r="AK192" s="125" t="s">
        <v>627</v>
      </c>
      <c r="AL192" s="125">
        <v>997109</v>
      </c>
      <c r="AM192" s="125" t="s">
        <v>1066</v>
      </c>
      <c r="AN192" s="125" t="s">
        <v>1066</v>
      </c>
    </row>
    <row r="193" spans="1:40" ht="55.5" customHeight="1" x14ac:dyDescent="0.25">
      <c r="A193" s="111" t="s">
        <v>1912</v>
      </c>
      <c r="B193" s="112">
        <v>2026</v>
      </c>
      <c r="C193" s="112" t="s">
        <v>1913</v>
      </c>
      <c r="D193" s="113">
        <v>46083.303761574076</v>
      </c>
      <c r="E193" s="112">
        <v>9030426070</v>
      </c>
      <c r="F193" s="112" t="s">
        <v>1090</v>
      </c>
      <c r="G193" s="112">
        <v>3</v>
      </c>
      <c r="H193" s="112">
        <v>7930426070</v>
      </c>
      <c r="I193" s="112" t="s">
        <v>1914</v>
      </c>
      <c r="J193" s="112" t="s">
        <v>1071</v>
      </c>
      <c r="K193" s="112" t="s">
        <v>1662</v>
      </c>
      <c r="L193" s="112" t="s">
        <v>1073</v>
      </c>
      <c r="M193" s="112" t="s">
        <v>478</v>
      </c>
      <c r="N193" s="113">
        <v>46086.303761574076</v>
      </c>
      <c r="O193" s="114">
        <v>19001267401</v>
      </c>
      <c r="P193" s="112">
        <v>386</v>
      </c>
      <c r="Q193" s="112" t="s">
        <v>1131</v>
      </c>
      <c r="R193" s="112" t="s">
        <v>1075</v>
      </c>
      <c r="S193" s="113">
        <v>46107.472638888888</v>
      </c>
      <c r="T193" s="112" t="s">
        <v>1915</v>
      </c>
      <c r="U193" s="112" t="s">
        <v>1065</v>
      </c>
      <c r="V193" s="112" t="s">
        <v>1066</v>
      </c>
      <c r="W193" s="112" t="s">
        <v>1066</v>
      </c>
      <c r="X193" s="112" t="s">
        <v>1173</v>
      </c>
      <c r="Y193" s="112" t="s">
        <v>1066</v>
      </c>
      <c r="Z193" s="112" t="s">
        <v>1409</v>
      </c>
      <c r="AA193" s="112" t="s">
        <v>1067</v>
      </c>
      <c r="AB193" s="112" t="s">
        <v>1066</v>
      </c>
      <c r="AC193" s="112" t="s">
        <v>92</v>
      </c>
      <c r="AD193" s="112" t="s">
        <v>1142</v>
      </c>
      <c r="AE193" s="112" t="s">
        <v>1066</v>
      </c>
      <c r="AF193" s="112" t="s">
        <v>1066</v>
      </c>
      <c r="AG193" s="112" t="s">
        <v>1066</v>
      </c>
      <c r="AH193" s="112" t="s">
        <v>1066</v>
      </c>
      <c r="AI193" s="112" t="s">
        <v>785</v>
      </c>
      <c r="AJ193" s="112">
        <v>8931025</v>
      </c>
      <c r="AK193" s="112" t="s">
        <v>87</v>
      </c>
      <c r="AL193" s="112">
        <v>864568</v>
      </c>
      <c r="AM193" s="112" t="s">
        <v>1066</v>
      </c>
      <c r="AN193" s="112" t="s">
        <v>1066</v>
      </c>
    </row>
    <row r="194" spans="1:40" ht="55.5" customHeight="1" x14ac:dyDescent="0.25">
      <c r="A194" s="115" t="s">
        <v>1916</v>
      </c>
      <c r="B194" s="116">
        <v>2026</v>
      </c>
      <c r="C194" s="116" t="s">
        <v>1917</v>
      </c>
      <c r="D194" s="118">
        <v>46197.692997685182</v>
      </c>
      <c r="E194" s="116">
        <v>9030359149</v>
      </c>
      <c r="F194" s="116" t="s">
        <v>355</v>
      </c>
      <c r="G194" s="116">
        <v>3</v>
      </c>
      <c r="H194" s="116">
        <v>7930359149</v>
      </c>
      <c r="I194" s="116" t="s">
        <v>1424</v>
      </c>
      <c r="J194" s="116" t="s">
        <v>1071</v>
      </c>
      <c r="K194" s="116" t="s">
        <v>1918</v>
      </c>
      <c r="L194" s="116" t="s">
        <v>1073</v>
      </c>
      <c r="M194" s="116" t="s">
        <v>588</v>
      </c>
      <c r="N194" s="118">
        <v>46219.483842592592</v>
      </c>
      <c r="O194" s="119">
        <v>19001269795</v>
      </c>
      <c r="P194" s="116">
        <v>1.3420000000000001</v>
      </c>
      <c r="Q194" s="116" t="s">
        <v>1131</v>
      </c>
      <c r="R194" s="116" t="s">
        <v>1075</v>
      </c>
      <c r="S194" s="116" t="s">
        <v>1066</v>
      </c>
      <c r="T194" s="116" t="s">
        <v>1066</v>
      </c>
      <c r="U194" s="116" t="s">
        <v>1066</v>
      </c>
      <c r="V194" s="116" t="s">
        <v>1066</v>
      </c>
      <c r="W194" s="116" t="s">
        <v>1066</v>
      </c>
      <c r="X194" s="116" t="s">
        <v>983</v>
      </c>
      <c r="Y194" s="116" t="s">
        <v>1066</v>
      </c>
      <c r="Z194" s="116" t="s">
        <v>1148</v>
      </c>
      <c r="AA194" s="116" t="s">
        <v>1067</v>
      </c>
      <c r="AB194" s="116" t="s">
        <v>1066</v>
      </c>
      <c r="AC194" s="116" t="s">
        <v>92</v>
      </c>
      <c r="AD194" s="116" t="s">
        <v>1142</v>
      </c>
      <c r="AE194" s="116" t="s">
        <v>1066</v>
      </c>
      <c r="AF194" s="116" t="s">
        <v>1066</v>
      </c>
      <c r="AG194" s="116" t="s">
        <v>1066</v>
      </c>
      <c r="AH194" s="116" t="s">
        <v>1066</v>
      </c>
      <c r="AI194" s="116" t="s">
        <v>785</v>
      </c>
      <c r="AJ194" s="116">
        <v>8934104</v>
      </c>
      <c r="AK194" s="116" t="s">
        <v>195</v>
      </c>
      <c r="AL194" s="116">
        <v>623917</v>
      </c>
      <c r="AM194" s="116" t="s">
        <v>1066</v>
      </c>
      <c r="AN194" s="116" t="s">
        <v>1066</v>
      </c>
    </row>
    <row r="195" spans="1:40" ht="55.5" customHeight="1" x14ac:dyDescent="0.25">
      <c r="A195" s="124" t="s">
        <v>1919</v>
      </c>
      <c r="B195" s="125">
        <v>2026</v>
      </c>
      <c r="C195" s="125" t="s">
        <v>1449</v>
      </c>
      <c r="D195" s="126">
        <v>46244.660034722219</v>
      </c>
      <c r="E195" s="125">
        <v>7942705030</v>
      </c>
      <c r="F195" s="125" t="s">
        <v>1920</v>
      </c>
      <c r="G195" s="125">
        <v>3</v>
      </c>
      <c r="H195" s="125">
        <v>7942705030</v>
      </c>
      <c r="I195" s="125" t="s">
        <v>1921</v>
      </c>
      <c r="J195" s="125" t="s">
        <v>1066</v>
      </c>
      <c r="K195" s="125" t="s">
        <v>1125</v>
      </c>
      <c r="L195" s="125" t="s">
        <v>1061</v>
      </c>
      <c r="M195" s="125" t="s">
        <v>510</v>
      </c>
      <c r="N195" s="126">
        <v>46644.660034722219</v>
      </c>
      <c r="O195" s="127">
        <v>19002211749</v>
      </c>
      <c r="P195" s="125">
        <v>1.22</v>
      </c>
      <c r="Q195" s="125" t="s">
        <v>1062</v>
      </c>
      <c r="R195" s="125" t="s">
        <v>1063</v>
      </c>
      <c r="S195" s="125" t="s">
        <v>1066</v>
      </c>
      <c r="T195" s="125" t="s">
        <v>1066</v>
      </c>
      <c r="U195" s="125" t="s">
        <v>1066</v>
      </c>
      <c r="V195" s="125" t="s">
        <v>1066</v>
      </c>
      <c r="W195" s="125" t="s">
        <v>1066</v>
      </c>
      <c r="X195" s="125" t="s">
        <v>1066</v>
      </c>
      <c r="Y195" s="125" t="s">
        <v>1066</v>
      </c>
      <c r="Z195" s="125" t="s">
        <v>1066</v>
      </c>
      <c r="AA195" s="125" t="s">
        <v>1067</v>
      </c>
      <c r="AB195" s="125" t="s">
        <v>1066</v>
      </c>
      <c r="AC195" s="125" t="s">
        <v>92</v>
      </c>
      <c r="AD195" s="125" t="s">
        <v>1066</v>
      </c>
      <c r="AE195" s="125" t="s">
        <v>1066</v>
      </c>
      <c r="AF195" s="125" t="s">
        <v>1066</v>
      </c>
      <c r="AG195" s="125" t="s">
        <v>1066</v>
      </c>
      <c r="AH195" s="125" t="s">
        <v>1066</v>
      </c>
      <c r="AI195" s="125" t="s">
        <v>785</v>
      </c>
      <c r="AJ195" s="125">
        <v>9259274</v>
      </c>
      <c r="AK195" s="125" t="s">
        <v>612</v>
      </c>
      <c r="AL195" s="125">
        <v>799721</v>
      </c>
      <c r="AM195" s="125" t="s">
        <v>1066</v>
      </c>
      <c r="AN195" s="125" t="s">
        <v>1066</v>
      </c>
    </row>
    <row r="196" spans="1:40" ht="55.5" customHeight="1" x14ac:dyDescent="0.25">
      <c r="A196" s="111" t="s">
        <v>1922</v>
      </c>
      <c r="B196" s="112">
        <v>2026</v>
      </c>
      <c r="C196" s="112" t="s">
        <v>1923</v>
      </c>
      <c r="D196" s="113">
        <v>46127.634143518517</v>
      </c>
      <c r="E196" s="112">
        <v>7930293034</v>
      </c>
      <c r="F196" s="112" t="s">
        <v>390</v>
      </c>
      <c r="G196" s="112">
        <v>2</v>
      </c>
      <c r="H196" s="112">
        <v>7930293034</v>
      </c>
      <c r="I196" s="112" t="s">
        <v>1924</v>
      </c>
      <c r="J196" s="112" t="s">
        <v>1071</v>
      </c>
      <c r="K196" s="112" t="s">
        <v>1115</v>
      </c>
      <c r="L196" s="112" t="s">
        <v>1073</v>
      </c>
      <c r="M196" s="112" t="s">
        <v>478</v>
      </c>
      <c r="N196" s="113">
        <v>46130.634143518517</v>
      </c>
      <c r="O196" s="114">
        <v>19002207532</v>
      </c>
      <c r="P196" s="112">
        <v>1.2649999999999999</v>
      </c>
      <c r="Q196" s="112" t="s">
        <v>1062</v>
      </c>
      <c r="R196" s="112" t="s">
        <v>1075</v>
      </c>
      <c r="S196" s="113">
        <v>46139.729166666664</v>
      </c>
      <c r="T196" s="112" t="s">
        <v>1925</v>
      </c>
      <c r="U196" s="112" t="s">
        <v>1065</v>
      </c>
      <c r="V196" s="112" t="s">
        <v>1066</v>
      </c>
      <c r="W196" s="112" t="s">
        <v>1066</v>
      </c>
      <c r="X196" s="112" t="s">
        <v>1117</v>
      </c>
      <c r="Y196" s="112" t="s">
        <v>1066</v>
      </c>
      <c r="Z196" s="112" t="s">
        <v>1652</v>
      </c>
      <c r="AA196" s="112" t="s">
        <v>1067</v>
      </c>
      <c r="AB196" s="112" t="s">
        <v>1066</v>
      </c>
      <c r="AC196" s="112" t="s">
        <v>92</v>
      </c>
      <c r="AD196" s="112" t="s">
        <v>1066</v>
      </c>
      <c r="AE196" s="112" t="s">
        <v>1066</v>
      </c>
      <c r="AF196" s="112" t="s">
        <v>1066</v>
      </c>
      <c r="AG196" s="112" t="s">
        <v>1066</v>
      </c>
      <c r="AH196" s="112" t="s">
        <v>1066</v>
      </c>
      <c r="AI196" s="112" t="s">
        <v>785</v>
      </c>
      <c r="AJ196" s="112">
        <v>9058147</v>
      </c>
      <c r="AK196" s="112" t="s">
        <v>1226</v>
      </c>
      <c r="AL196" s="112">
        <v>761145</v>
      </c>
      <c r="AM196" s="112" t="s">
        <v>1066</v>
      </c>
      <c r="AN196" s="112" t="s">
        <v>1066</v>
      </c>
    </row>
    <row r="197" spans="1:40" ht="55.5" customHeight="1" x14ac:dyDescent="0.25">
      <c r="A197" s="111" t="s">
        <v>1926</v>
      </c>
      <c r="B197" s="112">
        <v>2026</v>
      </c>
      <c r="C197" s="112" t="s">
        <v>1210</v>
      </c>
      <c r="D197" s="113">
        <v>46114.608900462961</v>
      </c>
      <c r="E197" s="112">
        <v>7900001071</v>
      </c>
      <c r="F197" s="112" t="s">
        <v>1927</v>
      </c>
      <c r="G197" s="112">
        <v>1</v>
      </c>
      <c r="H197" s="112">
        <v>7900001071</v>
      </c>
      <c r="I197" s="112" t="s">
        <v>1928</v>
      </c>
      <c r="J197" s="112" t="s">
        <v>1066</v>
      </c>
      <c r="K197" s="112" t="s">
        <v>1125</v>
      </c>
      <c r="L197" s="112" t="s">
        <v>1061</v>
      </c>
      <c r="M197" s="112" t="s">
        <v>478</v>
      </c>
      <c r="N197" s="113">
        <v>46514.608900462961</v>
      </c>
      <c r="O197" s="114">
        <v>19002678444</v>
      </c>
      <c r="P197" s="112">
        <v>2.4079999999999999</v>
      </c>
      <c r="Q197" s="112" t="s">
        <v>1062</v>
      </c>
      <c r="R197" s="112" t="s">
        <v>1063</v>
      </c>
      <c r="S197" s="113">
        <v>46114.682638888888</v>
      </c>
      <c r="T197" s="112" t="s">
        <v>1929</v>
      </c>
      <c r="U197" s="112" t="s">
        <v>1065</v>
      </c>
      <c r="V197" s="112" t="s">
        <v>1066</v>
      </c>
      <c r="W197" s="112" t="s">
        <v>1066</v>
      </c>
      <c r="X197" s="112" t="s">
        <v>1066</v>
      </c>
      <c r="Y197" s="112" t="s">
        <v>1066</v>
      </c>
      <c r="Z197" s="112" t="s">
        <v>1066</v>
      </c>
      <c r="AA197" s="112" t="s">
        <v>1067</v>
      </c>
      <c r="AB197" s="112" t="s">
        <v>1066</v>
      </c>
      <c r="AC197" s="112" t="s">
        <v>92</v>
      </c>
      <c r="AD197" s="112" t="s">
        <v>1066</v>
      </c>
      <c r="AE197" s="112" t="s">
        <v>1066</v>
      </c>
      <c r="AF197" s="112" t="s">
        <v>1066</v>
      </c>
      <c r="AG197" s="112" t="s">
        <v>1066</v>
      </c>
      <c r="AH197" s="112" t="s">
        <v>1066</v>
      </c>
      <c r="AI197" s="112" t="s">
        <v>785</v>
      </c>
      <c r="AJ197" s="112">
        <v>8781695</v>
      </c>
      <c r="AK197" s="112" t="s">
        <v>1930</v>
      </c>
      <c r="AL197" s="112">
        <v>766344</v>
      </c>
      <c r="AM197" s="112" t="s">
        <v>1066</v>
      </c>
      <c r="AN197" s="112" t="s">
        <v>1066</v>
      </c>
    </row>
    <row r="198" spans="1:40" ht="55.5" customHeight="1" x14ac:dyDescent="0.25">
      <c r="A198" s="111" t="s">
        <v>1931</v>
      </c>
      <c r="B198" s="112">
        <v>2026</v>
      </c>
      <c r="C198" s="112" t="s">
        <v>1210</v>
      </c>
      <c r="D198" s="113">
        <v>46114.608900462961</v>
      </c>
      <c r="E198" s="112">
        <v>7924616076</v>
      </c>
      <c r="F198" s="112" t="s">
        <v>663</v>
      </c>
      <c r="G198" s="112">
        <v>2</v>
      </c>
      <c r="H198" s="112">
        <v>7924616076</v>
      </c>
      <c r="I198" s="112" t="s">
        <v>1932</v>
      </c>
      <c r="J198" s="112" t="s">
        <v>1066</v>
      </c>
      <c r="K198" s="112" t="s">
        <v>1125</v>
      </c>
      <c r="L198" s="112" t="s">
        <v>1061</v>
      </c>
      <c r="M198" s="112" t="s">
        <v>478</v>
      </c>
      <c r="N198" s="113">
        <v>46514.608900462961</v>
      </c>
      <c r="O198" s="114">
        <v>19002205533</v>
      </c>
      <c r="P198" s="112">
        <v>59</v>
      </c>
      <c r="Q198" s="112" t="s">
        <v>1062</v>
      </c>
      <c r="R198" s="112" t="s">
        <v>1063</v>
      </c>
      <c r="S198" s="113">
        <v>46212.479930555557</v>
      </c>
      <c r="T198" s="112" t="s">
        <v>1933</v>
      </c>
      <c r="U198" s="112" t="s">
        <v>1065</v>
      </c>
      <c r="V198" s="112" t="s">
        <v>1066</v>
      </c>
      <c r="W198" s="112" t="s">
        <v>1066</v>
      </c>
      <c r="X198" s="112" t="s">
        <v>1066</v>
      </c>
      <c r="Y198" s="112" t="s">
        <v>1066</v>
      </c>
      <c r="Z198" s="112" t="s">
        <v>1066</v>
      </c>
      <c r="AA198" s="112" t="s">
        <v>1067</v>
      </c>
      <c r="AB198" s="112" t="s">
        <v>1066</v>
      </c>
      <c r="AC198" s="112" t="s">
        <v>92</v>
      </c>
      <c r="AD198" s="112" t="s">
        <v>1066</v>
      </c>
      <c r="AE198" s="112" t="s">
        <v>1066</v>
      </c>
      <c r="AF198" s="112" t="s">
        <v>1066</v>
      </c>
      <c r="AG198" s="112" t="s">
        <v>1066</v>
      </c>
      <c r="AH198" s="112" t="s">
        <v>1066</v>
      </c>
      <c r="AI198" s="112" t="s">
        <v>785</v>
      </c>
      <c r="AJ198" s="112">
        <v>8743594</v>
      </c>
      <c r="AK198" s="112" t="s">
        <v>209</v>
      </c>
      <c r="AL198" s="112">
        <v>688916</v>
      </c>
      <c r="AM198" s="112" t="s">
        <v>1066</v>
      </c>
      <c r="AN198" s="112" t="s">
        <v>1066</v>
      </c>
    </row>
    <row r="199" spans="1:40" ht="55.5" customHeight="1" x14ac:dyDescent="0.25">
      <c r="A199" s="111" t="s">
        <v>1934</v>
      </c>
      <c r="B199" s="112">
        <v>2026</v>
      </c>
      <c r="C199" s="112" t="s">
        <v>1057</v>
      </c>
      <c r="D199" s="113">
        <v>46125.614548611113</v>
      </c>
      <c r="E199" s="112">
        <v>7926059013</v>
      </c>
      <c r="F199" s="112" t="s">
        <v>1935</v>
      </c>
      <c r="G199" s="112">
        <v>3</v>
      </c>
      <c r="H199" s="112">
        <v>7926059013</v>
      </c>
      <c r="I199" s="112" t="s">
        <v>1936</v>
      </c>
      <c r="J199" s="112" t="s">
        <v>1066</v>
      </c>
      <c r="K199" s="112" t="s">
        <v>1125</v>
      </c>
      <c r="L199" s="112" t="s">
        <v>1061</v>
      </c>
      <c r="M199" s="112" t="s">
        <v>478</v>
      </c>
      <c r="N199" s="113">
        <v>46525.614548611113</v>
      </c>
      <c r="O199" s="114">
        <v>19002203289</v>
      </c>
      <c r="P199" s="112">
        <v>109</v>
      </c>
      <c r="Q199" s="112" t="s">
        <v>1062</v>
      </c>
      <c r="R199" s="112" t="s">
        <v>1063</v>
      </c>
      <c r="S199" s="113">
        <v>46219.516770833332</v>
      </c>
      <c r="T199" s="112" t="s">
        <v>1937</v>
      </c>
      <c r="U199" s="112" t="s">
        <v>1065</v>
      </c>
      <c r="V199" s="112" t="s">
        <v>1066</v>
      </c>
      <c r="W199" s="112" t="s">
        <v>1066</v>
      </c>
      <c r="X199" s="112" t="s">
        <v>1066</v>
      </c>
      <c r="Y199" s="112" t="s">
        <v>1066</v>
      </c>
      <c r="Z199" s="112" t="s">
        <v>1066</v>
      </c>
      <c r="AA199" s="112" t="s">
        <v>1067</v>
      </c>
      <c r="AB199" s="112" t="s">
        <v>1066</v>
      </c>
      <c r="AC199" s="112" t="s">
        <v>92</v>
      </c>
      <c r="AD199" s="112" t="s">
        <v>1066</v>
      </c>
      <c r="AE199" s="112" t="s">
        <v>1066</v>
      </c>
      <c r="AF199" s="112" t="s">
        <v>1066</v>
      </c>
      <c r="AG199" s="112" t="s">
        <v>1066</v>
      </c>
      <c r="AH199" s="112" t="s">
        <v>1066</v>
      </c>
      <c r="AI199" s="112" t="s">
        <v>785</v>
      </c>
      <c r="AJ199" s="112">
        <v>8890080</v>
      </c>
      <c r="AK199" s="112" t="s">
        <v>117</v>
      </c>
      <c r="AL199" s="112">
        <v>743666</v>
      </c>
      <c r="AM199" s="112" t="s">
        <v>1066</v>
      </c>
      <c r="AN199" s="112" t="s">
        <v>1066</v>
      </c>
    </row>
    <row r="200" spans="1:40" ht="55.5" customHeight="1" x14ac:dyDescent="0.25">
      <c r="A200" s="124" t="s">
        <v>1938</v>
      </c>
      <c r="B200" s="125">
        <v>2026</v>
      </c>
      <c r="C200" s="125" t="s">
        <v>1449</v>
      </c>
      <c r="D200" s="126">
        <v>46244.660034722219</v>
      </c>
      <c r="E200" s="125">
        <v>7939937044</v>
      </c>
      <c r="F200" s="125" t="s">
        <v>1939</v>
      </c>
      <c r="G200" s="125">
        <v>3</v>
      </c>
      <c r="H200" s="125">
        <v>7939937044</v>
      </c>
      <c r="I200" s="125" t="s">
        <v>1940</v>
      </c>
      <c r="J200" s="125" t="s">
        <v>1066</v>
      </c>
      <c r="K200" s="125" t="s">
        <v>1125</v>
      </c>
      <c r="L200" s="125" t="s">
        <v>1061</v>
      </c>
      <c r="M200" s="125" t="s">
        <v>510</v>
      </c>
      <c r="N200" s="126">
        <v>46644.660034722219</v>
      </c>
      <c r="O200" s="127">
        <v>19002260780</v>
      </c>
      <c r="P200" s="125">
        <v>220</v>
      </c>
      <c r="Q200" s="125" t="s">
        <v>1062</v>
      </c>
      <c r="R200" s="125" t="s">
        <v>1063</v>
      </c>
      <c r="S200" s="125" t="s">
        <v>1066</v>
      </c>
      <c r="T200" s="125" t="s">
        <v>1066</v>
      </c>
      <c r="U200" s="125" t="s">
        <v>1066</v>
      </c>
      <c r="V200" s="125" t="s">
        <v>1066</v>
      </c>
      <c r="W200" s="125" t="s">
        <v>1066</v>
      </c>
      <c r="X200" s="125" t="s">
        <v>1066</v>
      </c>
      <c r="Y200" s="125" t="s">
        <v>1066</v>
      </c>
      <c r="Z200" s="125" t="s">
        <v>1066</v>
      </c>
      <c r="AA200" s="125" t="s">
        <v>1067</v>
      </c>
      <c r="AB200" s="125" t="s">
        <v>1066</v>
      </c>
      <c r="AC200" s="125" t="s">
        <v>92</v>
      </c>
      <c r="AD200" s="125" t="s">
        <v>1066</v>
      </c>
      <c r="AE200" s="125" t="s">
        <v>1066</v>
      </c>
      <c r="AF200" s="125" t="s">
        <v>1066</v>
      </c>
      <c r="AG200" s="125" t="s">
        <v>1066</v>
      </c>
      <c r="AH200" s="125" t="s">
        <v>1066</v>
      </c>
      <c r="AI200" s="125" t="s">
        <v>785</v>
      </c>
      <c r="AJ200" s="125">
        <v>8809858</v>
      </c>
      <c r="AK200" s="125" t="s">
        <v>1941</v>
      </c>
      <c r="AL200" s="125">
        <v>729507</v>
      </c>
      <c r="AM200" s="125" t="s">
        <v>1066</v>
      </c>
      <c r="AN200" s="125" t="s">
        <v>1066</v>
      </c>
    </row>
    <row r="201" spans="1:40" ht="55.5" customHeight="1" x14ac:dyDescent="0.25">
      <c r="A201" s="111" t="s">
        <v>1942</v>
      </c>
      <c r="B201" s="112">
        <v>2026</v>
      </c>
      <c r="C201" s="112" t="s">
        <v>1057</v>
      </c>
      <c r="D201" s="113">
        <v>46122.378541666665</v>
      </c>
      <c r="E201" s="112">
        <v>7903569004</v>
      </c>
      <c r="F201" s="112" t="s">
        <v>83</v>
      </c>
      <c r="G201" s="112">
        <v>2</v>
      </c>
      <c r="H201" s="112">
        <v>7903569004</v>
      </c>
      <c r="I201" s="112" t="s">
        <v>1943</v>
      </c>
      <c r="J201" s="112" t="s">
        <v>1059</v>
      </c>
      <c r="K201" s="112" t="s">
        <v>1060</v>
      </c>
      <c r="L201" s="112" t="s">
        <v>1061</v>
      </c>
      <c r="M201" s="112" t="s">
        <v>478</v>
      </c>
      <c r="N201" s="113">
        <v>46522.378541666665</v>
      </c>
      <c r="O201" s="114">
        <v>19002259207</v>
      </c>
      <c r="P201" s="112">
        <v>0</v>
      </c>
      <c r="Q201" s="112" t="s">
        <v>1062</v>
      </c>
      <c r="R201" s="112" t="s">
        <v>1063</v>
      </c>
      <c r="S201" s="113">
        <v>46147.57708333333</v>
      </c>
      <c r="T201" s="112" t="s">
        <v>1944</v>
      </c>
      <c r="U201" s="112" t="s">
        <v>1065</v>
      </c>
      <c r="V201" s="112" t="s">
        <v>1066</v>
      </c>
      <c r="W201" s="112" t="s">
        <v>1066</v>
      </c>
      <c r="X201" s="112" t="s">
        <v>1066</v>
      </c>
      <c r="Y201" s="112" t="s">
        <v>1066</v>
      </c>
      <c r="Z201" s="112" t="s">
        <v>1066</v>
      </c>
      <c r="AA201" s="112" t="s">
        <v>1067</v>
      </c>
      <c r="AB201" s="112" t="s">
        <v>1066</v>
      </c>
      <c r="AC201" s="112" t="s">
        <v>92</v>
      </c>
      <c r="AD201" s="112" t="s">
        <v>1066</v>
      </c>
      <c r="AE201" s="112" t="s">
        <v>1066</v>
      </c>
      <c r="AF201" s="112" t="s">
        <v>1066</v>
      </c>
      <c r="AG201" s="112" t="s">
        <v>1066</v>
      </c>
      <c r="AH201" s="112" t="s">
        <v>1066</v>
      </c>
      <c r="AI201" s="112" t="s">
        <v>785</v>
      </c>
      <c r="AJ201" s="112">
        <v>9202999</v>
      </c>
      <c r="AK201" s="112" t="s">
        <v>69</v>
      </c>
      <c r="AL201" s="112">
        <v>807531</v>
      </c>
      <c r="AM201" s="112" t="s">
        <v>1066</v>
      </c>
      <c r="AN201" s="112" t="s">
        <v>1066</v>
      </c>
    </row>
    <row r="202" spans="1:40" ht="55.5" customHeight="1" x14ac:dyDescent="0.25">
      <c r="A202" s="111" t="s">
        <v>1945</v>
      </c>
      <c r="B202" s="112">
        <v>2026</v>
      </c>
      <c r="C202" s="112" t="s">
        <v>1946</v>
      </c>
      <c r="D202" s="113">
        <v>46049.563148148147</v>
      </c>
      <c r="E202" s="112">
        <v>9001240075</v>
      </c>
      <c r="F202" s="112" t="s">
        <v>1415</v>
      </c>
      <c r="G202" s="112">
        <v>3</v>
      </c>
      <c r="H202" s="112">
        <v>7930430075</v>
      </c>
      <c r="I202" s="112" t="s">
        <v>1947</v>
      </c>
      <c r="J202" s="112" t="s">
        <v>1157</v>
      </c>
      <c r="K202" s="112" t="s">
        <v>1417</v>
      </c>
      <c r="L202" s="112" t="s">
        <v>1084</v>
      </c>
      <c r="M202" s="112" t="s">
        <v>478</v>
      </c>
      <c r="N202" s="113">
        <v>46109.563148148147</v>
      </c>
      <c r="O202" s="114">
        <v>19001267848</v>
      </c>
      <c r="P202" s="112">
        <v>256</v>
      </c>
      <c r="Q202" s="112" t="s">
        <v>1131</v>
      </c>
      <c r="R202" s="112" t="s">
        <v>1085</v>
      </c>
      <c r="S202" s="113">
        <v>46086.737372685187</v>
      </c>
      <c r="T202" s="112" t="s">
        <v>1948</v>
      </c>
      <c r="U202" s="112" t="s">
        <v>1065</v>
      </c>
      <c r="V202" s="112" t="s">
        <v>1066</v>
      </c>
      <c r="W202" s="112" t="s">
        <v>1066</v>
      </c>
      <c r="X202" s="112" t="s">
        <v>983</v>
      </c>
      <c r="Y202" s="112" t="s">
        <v>1066</v>
      </c>
      <c r="Z202" s="112" t="s">
        <v>1133</v>
      </c>
      <c r="AA202" s="112" t="s">
        <v>1067</v>
      </c>
      <c r="AB202" s="112" t="s">
        <v>1066</v>
      </c>
      <c r="AC202" s="112" t="s">
        <v>92</v>
      </c>
      <c r="AD202" s="112" t="s">
        <v>1142</v>
      </c>
      <c r="AE202" s="112" t="s">
        <v>1066</v>
      </c>
      <c r="AF202" s="112" t="s">
        <v>1066</v>
      </c>
      <c r="AG202" s="112" t="s">
        <v>1066</v>
      </c>
      <c r="AH202" s="112" t="s">
        <v>1066</v>
      </c>
      <c r="AI202" s="112" t="s">
        <v>785</v>
      </c>
      <c r="AJ202" s="112">
        <v>8982030</v>
      </c>
      <c r="AK202" s="112" t="s">
        <v>590</v>
      </c>
      <c r="AL202" s="112">
        <v>690144</v>
      </c>
      <c r="AM202" s="112" t="s">
        <v>1066</v>
      </c>
      <c r="AN202" s="112" t="s">
        <v>1066</v>
      </c>
    </row>
    <row r="203" spans="1:40" ht="55.5" customHeight="1" x14ac:dyDescent="0.25">
      <c r="A203" s="111" t="s">
        <v>1949</v>
      </c>
      <c r="B203" s="112">
        <v>2026</v>
      </c>
      <c r="C203" s="112" t="s">
        <v>1057</v>
      </c>
      <c r="D203" s="113">
        <v>46125.614548611113</v>
      </c>
      <c r="E203" s="112">
        <v>7900002055</v>
      </c>
      <c r="F203" s="112" t="s">
        <v>1950</v>
      </c>
      <c r="G203" s="112">
        <v>3</v>
      </c>
      <c r="H203" s="112">
        <v>7900002055</v>
      </c>
      <c r="I203" s="112" t="s">
        <v>1951</v>
      </c>
      <c r="J203" s="112" t="s">
        <v>1066</v>
      </c>
      <c r="K203" s="112" t="s">
        <v>1125</v>
      </c>
      <c r="L203" s="112" t="s">
        <v>1061</v>
      </c>
      <c r="M203" s="112" t="s">
        <v>478</v>
      </c>
      <c r="N203" s="113">
        <v>46525.614548611113</v>
      </c>
      <c r="O203" s="114">
        <v>19002687298</v>
      </c>
      <c r="P203" s="112">
        <v>1.792</v>
      </c>
      <c r="Q203" s="112" t="s">
        <v>1062</v>
      </c>
      <c r="R203" s="112" t="s">
        <v>1063</v>
      </c>
      <c r="S203" s="113">
        <v>46174.3125</v>
      </c>
      <c r="T203" s="112" t="s">
        <v>1307</v>
      </c>
      <c r="U203" s="112" t="s">
        <v>1065</v>
      </c>
      <c r="V203" s="112" t="s">
        <v>1066</v>
      </c>
      <c r="W203" s="112" t="s">
        <v>1066</v>
      </c>
      <c r="X203" s="112" t="s">
        <v>1066</v>
      </c>
      <c r="Y203" s="112" t="s">
        <v>1066</v>
      </c>
      <c r="Z203" s="112" t="s">
        <v>1066</v>
      </c>
      <c r="AA203" s="112" t="s">
        <v>1067</v>
      </c>
      <c r="AB203" s="112" t="s">
        <v>1066</v>
      </c>
      <c r="AC203" s="112" t="s">
        <v>92</v>
      </c>
      <c r="AD203" s="112" t="s">
        <v>1066</v>
      </c>
      <c r="AE203" s="112" t="s">
        <v>1066</v>
      </c>
      <c r="AF203" s="112" t="s">
        <v>1066</v>
      </c>
      <c r="AG203" s="112" t="s">
        <v>1066</v>
      </c>
      <c r="AH203" s="112" t="s">
        <v>1066</v>
      </c>
      <c r="AI203" s="112" t="s">
        <v>785</v>
      </c>
      <c r="AJ203" s="112">
        <v>9025557</v>
      </c>
      <c r="AK203" s="112" t="s">
        <v>482</v>
      </c>
      <c r="AL203" s="112">
        <v>659541</v>
      </c>
      <c r="AM203" s="112" t="s">
        <v>1066</v>
      </c>
      <c r="AN203" s="112" t="s">
        <v>1066</v>
      </c>
    </row>
    <row r="204" spans="1:40" ht="55.5" customHeight="1" x14ac:dyDescent="0.25">
      <c r="A204" s="111" t="s">
        <v>1952</v>
      </c>
      <c r="B204" s="112">
        <v>2026</v>
      </c>
      <c r="C204" s="112" t="s">
        <v>1057</v>
      </c>
      <c r="D204" s="113">
        <v>46125.614548611113</v>
      </c>
      <c r="E204" s="112">
        <v>7927401001</v>
      </c>
      <c r="F204" s="112" t="s">
        <v>711</v>
      </c>
      <c r="G204" s="112">
        <v>1</v>
      </c>
      <c r="H204" s="112">
        <v>7927401001</v>
      </c>
      <c r="I204" s="112" t="s">
        <v>1953</v>
      </c>
      <c r="J204" s="112" t="s">
        <v>1066</v>
      </c>
      <c r="K204" s="112" t="s">
        <v>1125</v>
      </c>
      <c r="L204" s="112" t="s">
        <v>1061</v>
      </c>
      <c r="M204" s="112" t="s">
        <v>478</v>
      </c>
      <c r="N204" s="113">
        <v>46525.614548611113</v>
      </c>
      <c r="O204" s="114">
        <v>19002732366</v>
      </c>
      <c r="P204" s="112">
        <v>473</v>
      </c>
      <c r="Q204" s="112" t="s">
        <v>1062</v>
      </c>
      <c r="R204" s="112" t="s">
        <v>1063</v>
      </c>
      <c r="S204" s="113">
        <v>46175.625648148147</v>
      </c>
      <c r="T204" s="112" t="s">
        <v>1954</v>
      </c>
      <c r="U204" s="112" t="s">
        <v>1065</v>
      </c>
      <c r="V204" s="112" t="s">
        <v>1066</v>
      </c>
      <c r="W204" s="112" t="s">
        <v>1066</v>
      </c>
      <c r="X204" s="112" t="s">
        <v>1066</v>
      </c>
      <c r="Y204" s="112" t="s">
        <v>1066</v>
      </c>
      <c r="Z204" s="112" t="s">
        <v>1066</v>
      </c>
      <c r="AA204" s="112" t="s">
        <v>1067</v>
      </c>
      <c r="AB204" s="112" t="s">
        <v>1066</v>
      </c>
      <c r="AC204" s="112" t="s">
        <v>92</v>
      </c>
      <c r="AD204" s="112" t="s">
        <v>1066</v>
      </c>
      <c r="AE204" s="112" t="s">
        <v>1066</v>
      </c>
      <c r="AF204" s="112" t="s">
        <v>1066</v>
      </c>
      <c r="AG204" s="112" t="s">
        <v>1066</v>
      </c>
      <c r="AH204" s="112" t="s">
        <v>1066</v>
      </c>
      <c r="AI204" s="112" t="s">
        <v>785</v>
      </c>
      <c r="AJ204" s="112">
        <v>8815593</v>
      </c>
      <c r="AK204" s="112" t="s">
        <v>50</v>
      </c>
      <c r="AL204" s="112">
        <v>783151</v>
      </c>
      <c r="AM204" s="112" t="s">
        <v>1066</v>
      </c>
      <c r="AN204" s="112" t="s">
        <v>1066</v>
      </c>
    </row>
    <row r="205" spans="1:40" ht="55.5" customHeight="1" x14ac:dyDescent="0.25">
      <c r="A205" s="115" t="s">
        <v>1955</v>
      </c>
      <c r="B205" s="116">
        <v>2026</v>
      </c>
      <c r="C205" s="116" t="s">
        <v>1956</v>
      </c>
      <c r="D205" s="118">
        <v>46235.228819444441</v>
      </c>
      <c r="E205" s="116">
        <v>9001152022</v>
      </c>
      <c r="F205" s="116" t="s">
        <v>79</v>
      </c>
      <c r="G205" s="116">
        <v>2</v>
      </c>
      <c r="H205" s="116">
        <v>7901151022</v>
      </c>
      <c r="I205" s="116" t="s">
        <v>1957</v>
      </c>
      <c r="J205" s="116" t="s">
        <v>1071</v>
      </c>
      <c r="K205" s="116" t="s">
        <v>1958</v>
      </c>
      <c r="L205" s="116" t="s">
        <v>1073</v>
      </c>
      <c r="M205" s="116" t="s">
        <v>588</v>
      </c>
      <c r="N205" s="118">
        <v>46244.67015046296</v>
      </c>
      <c r="O205" s="119">
        <v>19000015765</v>
      </c>
      <c r="P205" s="116">
        <v>411</v>
      </c>
      <c r="Q205" s="116" t="s">
        <v>1131</v>
      </c>
      <c r="R205" s="116" t="s">
        <v>1075</v>
      </c>
      <c r="S205" s="116" t="s">
        <v>1066</v>
      </c>
      <c r="T205" s="116" t="s">
        <v>1066</v>
      </c>
      <c r="U205" s="116" t="s">
        <v>1066</v>
      </c>
      <c r="V205" s="116" t="s">
        <v>1066</v>
      </c>
      <c r="W205" s="116" t="s">
        <v>1066</v>
      </c>
      <c r="X205" s="116" t="s">
        <v>1173</v>
      </c>
      <c r="Y205" s="116" t="s">
        <v>1066</v>
      </c>
      <c r="Z205" s="116" t="s">
        <v>1148</v>
      </c>
      <c r="AA205" s="116" t="s">
        <v>1067</v>
      </c>
      <c r="AB205" s="116" t="s">
        <v>1066</v>
      </c>
      <c r="AC205" s="116" t="s">
        <v>92</v>
      </c>
      <c r="AD205" s="116" t="s">
        <v>1142</v>
      </c>
      <c r="AE205" s="116" t="s">
        <v>1066</v>
      </c>
      <c r="AF205" s="116" t="s">
        <v>1066</v>
      </c>
      <c r="AG205" s="116" t="s">
        <v>1066</v>
      </c>
      <c r="AH205" s="116" t="s">
        <v>1066</v>
      </c>
      <c r="AI205" s="116" t="s">
        <v>785</v>
      </c>
      <c r="AJ205" s="116">
        <v>9194020</v>
      </c>
      <c r="AK205" s="116" t="s">
        <v>125</v>
      </c>
      <c r="AL205" s="116">
        <v>831996</v>
      </c>
      <c r="AM205" s="116" t="s">
        <v>1066</v>
      </c>
      <c r="AN205" s="116" t="s">
        <v>1066</v>
      </c>
    </row>
    <row r="206" spans="1:40" ht="55.5" customHeight="1" x14ac:dyDescent="0.25">
      <c r="A206" s="124" t="s">
        <v>1959</v>
      </c>
      <c r="B206" s="125">
        <v>2026</v>
      </c>
      <c r="C206" s="125" t="s">
        <v>1449</v>
      </c>
      <c r="D206" s="126">
        <v>46244.660034722219</v>
      </c>
      <c r="E206" s="125">
        <v>7957557094</v>
      </c>
      <c r="F206" s="125" t="s">
        <v>302</v>
      </c>
      <c r="G206" s="125">
        <v>3</v>
      </c>
      <c r="H206" s="125">
        <v>7957557094</v>
      </c>
      <c r="I206" s="125" t="s">
        <v>1960</v>
      </c>
      <c r="J206" s="125" t="s">
        <v>1066</v>
      </c>
      <c r="K206" s="125" t="s">
        <v>1125</v>
      </c>
      <c r="L206" s="125" t="s">
        <v>1061</v>
      </c>
      <c r="M206" s="125" t="s">
        <v>510</v>
      </c>
      <c r="N206" s="126">
        <v>46644.660034722219</v>
      </c>
      <c r="O206" s="127">
        <v>19002732640</v>
      </c>
      <c r="P206" s="125">
        <v>256</v>
      </c>
      <c r="Q206" s="125" t="s">
        <v>1062</v>
      </c>
      <c r="R206" s="125" t="s">
        <v>1063</v>
      </c>
      <c r="S206" s="125" t="s">
        <v>1066</v>
      </c>
      <c r="T206" s="125" t="s">
        <v>1066</v>
      </c>
      <c r="U206" s="125" t="s">
        <v>1066</v>
      </c>
      <c r="V206" s="125" t="s">
        <v>1066</v>
      </c>
      <c r="W206" s="125" t="s">
        <v>1066</v>
      </c>
      <c r="X206" s="125" t="s">
        <v>1066</v>
      </c>
      <c r="Y206" s="125" t="s">
        <v>1066</v>
      </c>
      <c r="Z206" s="125" t="s">
        <v>1066</v>
      </c>
      <c r="AA206" s="125" t="s">
        <v>1067</v>
      </c>
      <c r="AB206" s="125" t="s">
        <v>1066</v>
      </c>
      <c r="AC206" s="125" t="s">
        <v>92</v>
      </c>
      <c r="AD206" s="125" t="s">
        <v>1066</v>
      </c>
      <c r="AE206" s="125" t="s">
        <v>1066</v>
      </c>
      <c r="AF206" s="125" t="s">
        <v>1066</v>
      </c>
      <c r="AG206" s="125" t="s">
        <v>1066</v>
      </c>
      <c r="AH206" s="125" t="s">
        <v>1066</v>
      </c>
      <c r="AI206" s="125" t="s">
        <v>785</v>
      </c>
      <c r="AJ206" s="125">
        <v>8730937</v>
      </c>
      <c r="AK206" s="125" t="s">
        <v>224</v>
      </c>
      <c r="AL206" s="125">
        <v>773958</v>
      </c>
      <c r="AM206" s="125" t="s">
        <v>1066</v>
      </c>
      <c r="AN206" s="125" t="s">
        <v>1066</v>
      </c>
    </row>
    <row r="207" spans="1:40" ht="55.5" customHeight="1" x14ac:dyDescent="0.25">
      <c r="A207" s="111" t="s">
        <v>1961</v>
      </c>
      <c r="B207" s="112">
        <v>2026</v>
      </c>
      <c r="C207" s="112" t="s">
        <v>1962</v>
      </c>
      <c r="D207" s="113">
        <v>46058.898912037039</v>
      </c>
      <c r="E207" s="112">
        <v>9000156156</v>
      </c>
      <c r="F207" s="112" t="s">
        <v>351</v>
      </c>
      <c r="G207" s="112">
        <v>2</v>
      </c>
      <c r="H207" s="112">
        <v>7900158156</v>
      </c>
      <c r="I207" s="112" t="s">
        <v>1963</v>
      </c>
      <c r="J207" s="112" t="s">
        <v>1071</v>
      </c>
      <c r="K207" s="112" t="s">
        <v>1296</v>
      </c>
      <c r="L207" s="112" t="s">
        <v>1073</v>
      </c>
      <c r="M207" s="112" t="s">
        <v>478</v>
      </c>
      <c r="N207" s="113">
        <v>46061.898912037039</v>
      </c>
      <c r="O207" s="114">
        <v>19000030463</v>
      </c>
      <c r="P207" s="112">
        <v>2.8719999999999999</v>
      </c>
      <c r="Q207" s="112" t="s">
        <v>1131</v>
      </c>
      <c r="R207" s="112" t="s">
        <v>1263</v>
      </c>
      <c r="S207" s="113">
        <v>46063.60833333333</v>
      </c>
      <c r="T207" s="112" t="s">
        <v>1964</v>
      </c>
      <c r="U207" s="112" t="s">
        <v>1065</v>
      </c>
      <c r="V207" s="112" t="s">
        <v>1066</v>
      </c>
      <c r="W207" s="112" t="s">
        <v>1066</v>
      </c>
      <c r="X207" s="112" t="s">
        <v>983</v>
      </c>
      <c r="Y207" s="112" t="s">
        <v>1066</v>
      </c>
      <c r="Z207" s="112" t="s">
        <v>1148</v>
      </c>
      <c r="AA207" s="112" t="s">
        <v>1067</v>
      </c>
      <c r="AB207" s="112" t="s">
        <v>1066</v>
      </c>
      <c r="AC207" s="112" t="s">
        <v>92</v>
      </c>
      <c r="AD207" s="112" t="s">
        <v>1142</v>
      </c>
      <c r="AE207" s="112" t="s">
        <v>1066</v>
      </c>
      <c r="AF207" s="112" t="s">
        <v>1066</v>
      </c>
      <c r="AG207" s="112" t="s">
        <v>1066</v>
      </c>
      <c r="AH207" s="112" t="s">
        <v>1066</v>
      </c>
      <c r="AI207" s="112" t="s">
        <v>785</v>
      </c>
      <c r="AJ207" s="112">
        <v>9324707</v>
      </c>
      <c r="AK207" s="112" t="s">
        <v>1965</v>
      </c>
      <c r="AL207" s="112">
        <v>842240</v>
      </c>
      <c r="AM207" s="112" t="s">
        <v>1066</v>
      </c>
      <c r="AN207" s="112" t="s">
        <v>1066</v>
      </c>
    </row>
    <row r="208" spans="1:40" ht="55.5" customHeight="1" x14ac:dyDescent="0.25">
      <c r="A208" s="115" t="s">
        <v>1966</v>
      </c>
      <c r="B208" s="116">
        <v>2026</v>
      </c>
      <c r="C208" s="116" t="s">
        <v>1967</v>
      </c>
      <c r="D208" s="118">
        <v>46064.640092592592</v>
      </c>
      <c r="E208" s="116">
        <v>8800183195</v>
      </c>
      <c r="F208" s="116" t="s">
        <v>170</v>
      </c>
      <c r="G208" s="116">
        <v>3</v>
      </c>
      <c r="H208" s="116">
        <v>5865120195</v>
      </c>
      <c r="I208" s="116" t="s">
        <v>1968</v>
      </c>
      <c r="J208" s="116" t="s">
        <v>1231</v>
      </c>
      <c r="K208" s="116" t="s">
        <v>1232</v>
      </c>
      <c r="L208" s="116" t="s">
        <v>1084</v>
      </c>
      <c r="M208" s="116" t="s">
        <v>588</v>
      </c>
      <c r="N208" s="118">
        <v>46165.628379629627</v>
      </c>
      <c r="O208" s="119">
        <v>19002813185</v>
      </c>
      <c r="P208" s="116">
        <v>2.645</v>
      </c>
      <c r="Q208" s="116" t="s">
        <v>1074</v>
      </c>
      <c r="R208" s="116" t="s">
        <v>1206</v>
      </c>
      <c r="S208" s="116" t="s">
        <v>1066</v>
      </c>
      <c r="T208" s="116" t="s">
        <v>1066</v>
      </c>
      <c r="U208" s="116" t="s">
        <v>1066</v>
      </c>
      <c r="V208" s="116" t="s">
        <v>1066</v>
      </c>
      <c r="W208" s="116" t="s">
        <v>1066</v>
      </c>
      <c r="X208" s="116" t="s">
        <v>1077</v>
      </c>
      <c r="Y208" s="116" t="s">
        <v>1066</v>
      </c>
      <c r="Z208" s="116" t="s">
        <v>1066</v>
      </c>
      <c r="AA208" s="116" t="s">
        <v>1208</v>
      </c>
      <c r="AB208" s="116" t="s">
        <v>1066</v>
      </c>
      <c r="AC208" s="116" t="s">
        <v>92</v>
      </c>
      <c r="AD208" s="116" t="s">
        <v>1066</v>
      </c>
      <c r="AE208" s="116" t="s">
        <v>1066</v>
      </c>
      <c r="AF208" s="116" t="s">
        <v>1066</v>
      </c>
      <c r="AG208" s="116" t="s">
        <v>1066</v>
      </c>
      <c r="AH208" s="116" t="s">
        <v>1969</v>
      </c>
      <c r="AI208" s="116" t="s">
        <v>785</v>
      </c>
      <c r="AJ208" s="116">
        <v>9016857</v>
      </c>
      <c r="AK208" s="116" t="s">
        <v>169</v>
      </c>
      <c r="AL208" s="116">
        <v>889017</v>
      </c>
      <c r="AM208" s="116" t="s">
        <v>1066</v>
      </c>
      <c r="AN208" s="116" t="s">
        <v>1066</v>
      </c>
    </row>
    <row r="209" spans="1:40" ht="55.5" customHeight="1" x14ac:dyDescent="0.25">
      <c r="A209" s="120" t="s">
        <v>1970</v>
      </c>
      <c r="B209" s="121">
        <v>2026</v>
      </c>
      <c r="C209" s="121" t="s">
        <v>1210</v>
      </c>
      <c r="D209" s="122">
        <v>46114.608900462961</v>
      </c>
      <c r="E209" s="121">
        <v>7950287005</v>
      </c>
      <c r="F209" s="121" t="s">
        <v>380</v>
      </c>
      <c r="G209" s="121">
        <v>3</v>
      </c>
      <c r="H209" s="121">
        <v>7950287005</v>
      </c>
      <c r="I209" s="121" t="s">
        <v>1971</v>
      </c>
      <c r="J209" s="121" t="s">
        <v>1066</v>
      </c>
      <c r="K209" s="121" t="s">
        <v>1125</v>
      </c>
      <c r="L209" s="121" t="s">
        <v>1061</v>
      </c>
      <c r="M209" s="121" t="s">
        <v>1116</v>
      </c>
      <c r="N209" s="122">
        <v>46514.608900462961</v>
      </c>
      <c r="O209" s="123">
        <v>19002695980</v>
      </c>
      <c r="P209" s="121">
        <v>309</v>
      </c>
      <c r="Q209" s="121" t="s">
        <v>1062</v>
      </c>
      <c r="R209" s="121" t="s">
        <v>1063</v>
      </c>
      <c r="S209" s="122">
        <v>46223.437997685185</v>
      </c>
      <c r="T209" s="121" t="s">
        <v>1066</v>
      </c>
      <c r="U209" s="121" t="s">
        <v>1066</v>
      </c>
      <c r="V209" s="121" t="s">
        <v>1066</v>
      </c>
      <c r="W209" s="121" t="s">
        <v>1066</v>
      </c>
      <c r="X209" s="121" t="s">
        <v>1066</v>
      </c>
      <c r="Y209" s="121" t="s">
        <v>1066</v>
      </c>
      <c r="Z209" s="121" t="s">
        <v>1066</v>
      </c>
      <c r="AA209" s="121" t="s">
        <v>1067</v>
      </c>
      <c r="AB209" s="121" t="s">
        <v>1066</v>
      </c>
      <c r="AC209" s="121" t="s">
        <v>92</v>
      </c>
      <c r="AD209" s="121" t="s">
        <v>1066</v>
      </c>
      <c r="AE209" s="121" t="s">
        <v>1066</v>
      </c>
      <c r="AF209" s="121" t="s">
        <v>1066</v>
      </c>
      <c r="AG209" s="121" t="s">
        <v>1066</v>
      </c>
      <c r="AH209" s="121" t="s">
        <v>1066</v>
      </c>
      <c r="AI209" s="121" t="s">
        <v>785</v>
      </c>
      <c r="AJ209" s="121">
        <v>8553579</v>
      </c>
      <c r="AK209" s="121" t="s">
        <v>695</v>
      </c>
      <c r="AL209" s="121">
        <v>914027</v>
      </c>
      <c r="AM209" s="121" t="s">
        <v>1066</v>
      </c>
      <c r="AN209" s="121" t="s">
        <v>1066</v>
      </c>
    </row>
    <row r="210" spans="1:40" ht="55.5" customHeight="1" x14ac:dyDescent="0.25">
      <c r="A210" s="111" t="s">
        <v>1972</v>
      </c>
      <c r="B210" s="112">
        <v>2026</v>
      </c>
      <c r="C210" s="112" t="s">
        <v>1057</v>
      </c>
      <c r="D210" s="113">
        <v>46125.614548611113</v>
      </c>
      <c r="E210" s="112">
        <v>7931383086</v>
      </c>
      <c r="F210" s="112" t="s">
        <v>682</v>
      </c>
      <c r="G210" s="112">
        <v>1</v>
      </c>
      <c r="H210" s="112">
        <v>7931383086</v>
      </c>
      <c r="I210" s="112" t="s">
        <v>1973</v>
      </c>
      <c r="J210" s="112" t="s">
        <v>1066</v>
      </c>
      <c r="K210" s="112" t="s">
        <v>1125</v>
      </c>
      <c r="L210" s="112" t="s">
        <v>1061</v>
      </c>
      <c r="M210" s="112" t="s">
        <v>478</v>
      </c>
      <c r="N210" s="113">
        <v>46525.614548611113</v>
      </c>
      <c r="O210" s="114">
        <v>19002209654</v>
      </c>
      <c r="P210" s="112">
        <v>0</v>
      </c>
      <c r="Q210" s="112" t="s">
        <v>1062</v>
      </c>
      <c r="R210" s="112" t="s">
        <v>1063</v>
      </c>
      <c r="S210" s="113">
        <v>46136.636111111111</v>
      </c>
      <c r="T210" s="112" t="s">
        <v>1974</v>
      </c>
      <c r="U210" s="112" t="s">
        <v>1065</v>
      </c>
      <c r="V210" s="112" t="s">
        <v>1066</v>
      </c>
      <c r="W210" s="112" t="s">
        <v>1066</v>
      </c>
      <c r="X210" s="112" t="s">
        <v>1066</v>
      </c>
      <c r="Y210" s="112" t="s">
        <v>1066</v>
      </c>
      <c r="Z210" s="112" t="s">
        <v>1066</v>
      </c>
      <c r="AA210" s="112" t="s">
        <v>1067</v>
      </c>
      <c r="AB210" s="112" t="s">
        <v>1066</v>
      </c>
      <c r="AC210" s="112" t="s">
        <v>92</v>
      </c>
      <c r="AD210" s="112" t="s">
        <v>1066</v>
      </c>
      <c r="AE210" s="112" t="s">
        <v>1066</v>
      </c>
      <c r="AF210" s="112" t="s">
        <v>1066</v>
      </c>
      <c r="AG210" s="112" t="s">
        <v>1066</v>
      </c>
      <c r="AH210" s="112" t="s">
        <v>1066</v>
      </c>
      <c r="AI210" s="112" t="s">
        <v>785</v>
      </c>
      <c r="AJ210" s="112">
        <v>8916641</v>
      </c>
      <c r="AK210" s="112" t="s">
        <v>1143</v>
      </c>
      <c r="AL210" s="112">
        <v>648293</v>
      </c>
      <c r="AM210" s="112" t="s">
        <v>1066</v>
      </c>
      <c r="AN210" s="112" t="s">
        <v>1066</v>
      </c>
    </row>
    <row r="211" spans="1:40" ht="55.5" customHeight="1" x14ac:dyDescent="0.25">
      <c r="A211" s="115" t="s">
        <v>1975</v>
      </c>
      <c r="B211" s="116">
        <v>2026</v>
      </c>
      <c r="C211" s="116" t="s">
        <v>1976</v>
      </c>
      <c r="D211" s="118">
        <v>46149.471296296295</v>
      </c>
      <c r="E211" s="116">
        <v>8863690086</v>
      </c>
      <c r="F211" s="116" t="s">
        <v>355</v>
      </c>
      <c r="G211" s="116">
        <v>3</v>
      </c>
      <c r="H211" s="116" t="s">
        <v>1066</v>
      </c>
      <c r="I211" s="116" t="s">
        <v>1977</v>
      </c>
      <c r="J211" s="116" t="s">
        <v>1231</v>
      </c>
      <c r="K211" s="116" t="s">
        <v>1494</v>
      </c>
      <c r="L211" s="116" t="s">
        <v>1084</v>
      </c>
      <c r="M211" s="116" t="s">
        <v>588</v>
      </c>
      <c r="N211" s="118">
        <v>46266.463634259257</v>
      </c>
      <c r="O211" s="119">
        <v>19002839351</v>
      </c>
      <c r="P211" s="116">
        <v>0</v>
      </c>
      <c r="Q211" s="116" t="s">
        <v>1262</v>
      </c>
      <c r="R211" s="116" t="s">
        <v>1206</v>
      </c>
      <c r="S211" s="116" t="s">
        <v>1066</v>
      </c>
      <c r="T211" s="116" t="s">
        <v>1066</v>
      </c>
      <c r="U211" s="116" t="s">
        <v>1066</v>
      </c>
      <c r="V211" s="116" t="s">
        <v>1066</v>
      </c>
      <c r="W211" s="116" t="s">
        <v>1066</v>
      </c>
      <c r="X211" s="116" t="s">
        <v>1066</v>
      </c>
      <c r="Y211" s="116" t="s">
        <v>1066</v>
      </c>
      <c r="Z211" s="116" t="s">
        <v>1066</v>
      </c>
      <c r="AA211" s="116" t="s">
        <v>1067</v>
      </c>
      <c r="AB211" s="116" t="s">
        <v>1066</v>
      </c>
      <c r="AC211" s="116" t="s">
        <v>92</v>
      </c>
      <c r="AD211" s="116" t="s">
        <v>1066</v>
      </c>
      <c r="AE211" s="116" t="s">
        <v>1066</v>
      </c>
      <c r="AF211" s="116" t="s">
        <v>1066</v>
      </c>
      <c r="AG211" s="116" t="s">
        <v>1066</v>
      </c>
      <c r="AH211" s="116" t="s">
        <v>1978</v>
      </c>
      <c r="AI211" s="116" t="s">
        <v>785</v>
      </c>
      <c r="AJ211" s="116">
        <v>8930298</v>
      </c>
      <c r="AK211" s="116" t="s">
        <v>195</v>
      </c>
      <c r="AL211" s="116">
        <v>625135</v>
      </c>
      <c r="AM211" s="116" t="s">
        <v>1497</v>
      </c>
      <c r="AN211" s="116" t="s">
        <v>1066</v>
      </c>
    </row>
    <row r="212" spans="1:40" ht="55.5" customHeight="1" x14ac:dyDescent="0.25">
      <c r="A212" s="111" t="s">
        <v>1979</v>
      </c>
      <c r="B212" s="112">
        <v>2026</v>
      </c>
      <c r="C212" s="112" t="s">
        <v>1980</v>
      </c>
      <c r="D212" s="113">
        <v>46089.535277777781</v>
      </c>
      <c r="E212" s="112">
        <v>9001189084</v>
      </c>
      <c r="F212" s="112" t="s">
        <v>355</v>
      </c>
      <c r="G212" s="112">
        <v>3</v>
      </c>
      <c r="H212" s="112">
        <v>7931382084</v>
      </c>
      <c r="I212" s="112" t="s">
        <v>1981</v>
      </c>
      <c r="J212" s="112" t="s">
        <v>1071</v>
      </c>
      <c r="K212" s="112" t="s">
        <v>1824</v>
      </c>
      <c r="L212" s="112" t="s">
        <v>1073</v>
      </c>
      <c r="M212" s="112" t="s">
        <v>478</v>
      </c>
      <c r="N212" s="113">
        <v>46092.54351851852</v>
      </c>
      <c r="O212" s="114">
        <v>19001273814</v>
      </c>
      <c r="P212" s="112">
        <v>126</v>
      </c>
      <c r="Q212" s="112" t="s">
        <v>1131</v>
      </c>
      <c r="R212" s="112" t="s">
        <v>1075</v>
      </c>
      <c r="S212" s="113">
        <v>46105.526655092595</v>
      </c>
      <c r="T212" s="112" t="s">
        <v>1982</v>
      </c>
      <c r="U212" s="112" t="s">
        <v>1065</v>
      </c>
      <c r="V212" s="112" t="s">
        <v>1066</v>
      </c>
      <c r="W212" s="112" t="s">
        <v>1066</v>
      </c>
      <c r="X212" s="112" t="s">
        <v>1983</v>
      </c>
      <c r="Y212" s="112" t="s">
        <v>1066</v>
      </c>
      <c r="Z212" s="112" t="s">
        <v>1148</v>
      </c>
      <c r="AA212" s="112" t="s">
        <v>1067</v>
      </c>
      <c r="AB212" s="112" t="s">
        <v>1066</v>
      </c>
      <c r="AC212" s="112" t="s">
        <v>92</v>
      </c>
      <c r="AD212" s="112" t="s">
        <v>1142</v>
      </c>
      <c r="AE212" s="112" t="s">
        <v>1066</v>
      </c>
      <c r="AF212" s="112" t="s">
        <v>1066</v>
      </c>
      <c r="AG212" s="112" t="s">
        <v>1066</v>
      </c>
      <c r="AH212" s="112" t="s">
        <v>1984</v>
      </c>
      <c r="AI212" s="112" t="s">
        <v>785</v>
      </c>
      <c r="AJ212" s="112">
        <v>8945486</v>
      </c>
      <c r="AK212" s="112" t="s">
        <v>1311</v>
      </c>
      <c r="AL212" s="112">
        <v>658346</v>
      </c>
      <c r="AM212" s="112" t="s">
        <v>1066</v>
      </c>
      <c r="AN212" s="112" t="s">
        <v>1066</v>
      </c>
    </row>
    <row r="213" spans="1:40" ht="55.5" customHeight="1" x14ac:dyDescent="0.25">
      <c r="A213" s="111" t="s">
        <v>1985</v>
      </c>
      <c r="B213" s="112">
        <v>2026</v>
      </c>
      <c r="C213" s="112" t="s">
        <v>1057</v>
      </c>
      <c r="D213" s="113">
        <v>46125.584386574075</v>
      </c>
      <c r="E213" s="112">
        <v>7943908032</v>
      </c>
      <c r="F213" s="112" t="s">
        <v>1986</v>
      </c>
      <c r="G213" s="112">
        <v>3</v>
      </c>
      <c r="H213" s="112">
        <v>7943908032</v>
      </c>
      <c r="I213" s="112" t="s">
        <v>1987</v>
      </c>
      <c r="J213" s="112" t="s">
        <v>1066</v>
      </c>
      <c r="K213" s="112" t="s">
        <v>1125</v>
      </c>
      <c r="L213" s="112" t="s">
        <v>1061</v>
      </c>
      <c r="M213" s="112" t="s">
        <v>478</v>
      </c>
      <c r="N213" s="113">
        <v>46525.584386574075</v>
      </c>
      <c r="O213" s="114">
        <v>19002295927</v>
      </c>
      <c r="P213" s="112">
        <v>89</v>
      </c>
      <c r="Q213" s="112" t="s">
        <v>1062</v>
      </c>
      <c r="R213" s="112" t="s">
        <v>1063</v>
      </c>
      <c r="S213" s="113">
        <v>46161.729745370372</v>
      </c>
      <c r="T213" s="112" t="s">
        <v>1988</v>
      </c>
      <c r="U213" s="112" t="s">
        <v>1065</v>
      </c>
      <c r="V213" s="112" t="s">
        <v>1066</v>
      </c>
      <c r="W213" s="112" t="s">
        <v>1066</v>
      </c>
      <c r="X213" s="112" t="s">
        <v>1066</v>
      </c>
      <c r="Y213" s="112" t="s">
        <v>1066</v>
      </c>
      <c r="Z213" s="112" t="s">
        <v>1066</v>
      </c>
      <c r="AA213" s="112" t="s">
        <v>1067</v>
      </c>
      <c r="AB213" s="112" t="s">
        <v>1066</v>
      </c>
      <c r="AC213" s="112" t="s">
        <v>92</v>
      </c>
      <c r="AD213" s="112" t="s">
        <v>1066</v>
      </c>
      <c r="AE213" s="112" t="s">
        <v>1066</v>
      </c>
      <c r="AF213" s="112" t="s">
        <v>1066</v>
      </c>
      <c r="AG213" s="112" t="s">
        <v>1066</v>
      </c>
      <c r="AH213" s="112" t="s">
        <v>1066</v>
      </c>
      <c r="AI213" s="112" t="s">
        <v>785</v>
      </c>
      <c r="AJ213" s="112">
        <v>8571123</v>
      </c>
      <c r="AK213" s="112" t="s">
        <v>469</v>
      </c>
      <c r="AL213" s="112">
        <v>626286</v>
      </c>
      <c r="AM213" s="112" t="s">
        <v>1066</v>
      </c>
      <c r="AN213" s="112" t="s">
        <v>1066</v>
      </c>
    </row>
    <row r="214" spans="1:40" ht="55.5" customHeight="1" x14ac:dyDescent="0.25">
      <c r="A214" s="111" t="s">
        <v>1989</v>
      </c>
      <c r="B214" s="112">
        <v>2026</v>
      </c>
      <c r="C214" s="112" t="s">
        <v>1210</v>
      </c>
      <c r="D214" s="113">
        <v>46114.608900462961</v>
      </c>
      <c r="E214" s="112">
        <v>7947968083</v>
      </c>
      <c r="F214" s="112" t="s">
        <v>1090</v>
      </c>
      <c r="G214" s="112">
        <v>2</v>
      </c>
      <c r="H214" s="112">
        <v>7947968083</v>
      </c>
      <c r="I214" s="112" t="s">
        <v>1990</v>
      </c>
      <c r="J214" s="112" t="s">
        <v>1066</v>
      </c>
      <c r="K214" s="112" t="s">
        <v>1125</v>
      </c>
      <c r="L214" s="112" t="s">
        <v>1061</v>
      </c>
      <c r="M214" s="112" t="s">
        <v>478</v>
      </c>
      <c r="N214" s="113">
        <v>46514.608900462961</v>
      </c>
      <c r="O214" s="114">
        <v>19002638229</v>
      </c>
      <c r="P214" s="112">
        <v>0</v>
      </c>
      <c r="Q214" s="112" t="s">
        <v>1062</v>
      </c>
      <c r="R214" s="112" t="s">
        <v>1063</v>
      </c>
      <c r="S214" s="113">
        <v>46191.602905092594</v>
      </c>
      <c r="T214" s="112" t="s">
        <v>1991</v>
      </c>
      <c r="U214" s="112" t="s">
        <v>1065</v>
      </c>
      <c r="V214" s="112" t="s">
        <v>1066</v>
      </c>
      <c r="W214" s="112" t="s">
        <v>1066</v>
      </c>
      <c r="X214" s="112" t="s">
        <v>1066</v>
      </c>
      <c r="Y214" s="112" t="s">
        <v>1066</v>
      </c>
      <c r="Z214" s="112" t="s">
        <v>1066</v>
      </c>
      <c r="AA214" s="112" t="s">
        <v>1067</v>
      </c>
      <c r="AB214" s="112" t="s">
        <v>1066</v>
      </c>
      <c r="AC214" s="112" t="s">
        <v>92</v>
      </c>
      <c r="AD214" s="112" t="s">
        <v>1066</v>
      </c>
      <c r="AE214" s="112" t="s">
        <v>1066</v>
      </c>
      <c r="AF214" s="112" t="s">
        <v>1066</v>
      </c>
      <c r="AG214" s="112" t="s">
        <v>1066</v>
      </c>
      <c r="AH214" s="112" t="s">
        <v>1066</v>
      </c>
      <c r="AI214" s="112" t="s">
        <v>785</v>
      </c>
      <c r="AJ214" s="112">
        <v>8892748</v>
      </c>
      <c r="AK214" s="112" t="s">
        <v>519</v>
      </c>
      <c r="AL214" s="112">
        <v>814408</v>
      </c>
      <c r="AM214" s="112" t="s">
        <v>1066</v>
      </c>
      <c r="AN214" s="112" t="s">
        <v>1066</v>
      </c>
    </row>
    <row r="215" spans="1:40" ht="55.5" customHeight="1" x14ac:dyDescent="0.25">
      <c r="A215" s="124" t="s">
        <v>405</v>
      </c>
      <c r="B215" s="125">
        <v>2026</v>
      </c>
      <c r="C215" s="125" t="s">
        <v>1992</v>
      </c>
      <c r="D215" s="126">
        <v>46252.878680555557</v>
      </c>
      <c r="E215" s="125">
        <v>9025128060</v>
      </c>
      <c r="F215" s="125" t="s">
        <v>406</v>
      </c>
      <c r="G215" s="125">
        <v>3</v>
      </c>
      <c r="H215" s="125">
        <v>7925126060</v>
      </c>
      <c r="I215" s="125" t="s">
        <v>1993</v>
      </c>
      <c r="J215" s="125" t="s">
        <v>1071</v>
      </c>
      <c r="K215" s="125" t="s">
        <v>1994</v>
      </c>
      <c r="L215" s="125" t="s">
        <v>1073</v>
      </c>
      <c r="M215" s="125" t="s">
        <v>510</v>
      </c>
      <c r="N215" s="126">
        <v>46255.878680555557</v>
      </c>
      <c r="O215" s="127">
        <v>19001233854</v>
      </c>
      <c r="P215" s="125">
        <v>88</v>
      </c>
      <c r="Q215" s="125" t="s">
        <v>1131</v>
      </c>
      <c r="R215" s="125" t="s">
        <v>1075</v>
      </c>
      <c r="S215" s="125" t="s">
        <v>1066</v>
      </c>
      <c r="T215" s="125" t="s">
        <v>1066</v>
      </c>
      <c r="U215" s="125" t="s">
        <v>1066</v>
      </c>
      <c r="V215" s="125" t="s">
        <v>1066</v>
      </c>
      <c r="W215" s="125" t="s">
        <v>1066</v>
      </c>
      <c r="X215" s="125" t="s">
        <v>1148</v>
      </c>
      <c r="Y215" s="125" t="s">
        <v>1066</v>
      </c>
      <c r="Z215" s="125" t="s">
        <v>1148</v>
      </c>
      <c r="AA215" s="125" t="s">
        <v>1067</v>
      </c>
      <c r="AB215" s="125" t="s">
        <v>1066</v>
      </c>
      <c r="AC215" s="125" t="s">
        <v>92</v>
      </c>
      <c r="AD215" s="125" t="s">
        <v>1142</v>
      </c>
      <c r="AE215" s="125" t="s">
        <v>1066</v>
      </c>
      <c r="AF215" s="125" t="s">
        <v>1066</v>
      </c>
      <c r="AG215" s="125" t="s">
        <v>1066</v>
      </c>
      <c r="AH215" s="125" t="s">
        <v>1066</v>
      </c>
      <c r="AI215" s="125" t="s">
        <v>785</v>
      </c>
      <c r="AJ215" s="125">
        <v>9153661</v>
      </c>
      <c r="AK215" s="125" t="s">
        <v>253</v>
      </c>
      <c r="AL215" s="125">
        <v>783936</v>
      </c>
      <c r="AM215" s="125" t="s">
        <v>1066</v>
      </c>
      <c r="AN215" s="125" t="s">
        <v>1066</v>
      </c>
    </row>
    <row r="216" spans="1:40" ht="55.5" customHeight="1" x14ac:dyDescent="0.25">
      <c r="A216" s="111" t="s">
        <v>551</v>
      </c>
      <c r="B216" s="112">
        <v>2026</v>
      </c>
      <c r="C216" s="112" t="s">
        <v>1995</v>
      </c>
      <c r="D216" s="113">
        <v>46145.684791666667</v>
      </c>
      <c r="E216" s="112">
        <v>8800947086</v>
      </c>
      <c r="F216" s="112" t="s">
        <v>682</v>
      </c>
      <c r="G216" s="112">
        <v>2</v>
      </c>
      <c r="H216" s="112">
        <v>5851753086</v>
      </c>
      <c r="I216" s="112" t="s">
        <v>1996</v>
      </c>
      <c r="J216" s="112" t="s">
        <v>1071</v>
      </c>
      <c r="K216" s="112" t="s">
        <v>1261</v>
      </c>
      <c r="L216" s="112" t="s">
        <v>1073</v>
      </c>
      <c r="M216" s="112" t="s">
        <v>478</v>
      </c>
      <c r="N216" s="113">
        <v>46178.464791666665</v>
      </c>
      <c r="O216" s="114">
        <v>19002689509</v>
      </c>
      <c r="P216" s="112">
        <v>1.329</v>
      </c>
      <c r="Q216" s="112" t="s">
        <v>1074</v>
      </c>
      <c r="R216" s="112" t="s">
        <v>1075</v>
      </c>
      <c r="S216" s="113">
        <v>46220.729560185187</v>
      </c>
      <c r="T216" s="112" t="s">
        <v>1997</v>
      </c>
      <c r="U216" s="112" t="s">
        <v>1065</v>
      </c>
      <c r="V216" s="112" t="s">
        <v>1066</v>
      </c>
      <c r="W216" s="112" t="s">
        <v>1066</v>
      </c>
      <c r="X216" s="112" t="s">
        <v>1077</v>
      </c>
      <c r="Y216" s="112" t="s">
        <v>1066</v>
      </c>
      <c r="Z216" s="112" t="s">
        <v>1078</v>
      </c>
      <c r="AA216" s="112" t="s">
        <v>1067</v>
      </c>
      <c r="AB216" s="112" t="s">
        <v>1066</v>
      </c>
      <c r="AC216" s="112" t="s">
        <v>92</v>
      </c>
      <c r="AD216" s="112" t="s">
        <v>1066</v>
      </c>
      <c r="AE216" s="112" t="s">
        <v>1066</v>
      </c>
      <c r="AF216" s="112" t="s">
        <v>1066</v>
      </c>
      <c r="AG216" s="112" t="s">
        <v>1066</v>
      </c>
      <c r="AH216" s="112" t="s">
        <v>1998</v>
      </c>
      <c r="AI216" s="112" t="s">
        <v>785</v>
      </c>
      <c r="AJ216" s="112">
        <v>8916495</v>
      </c>
      <c r="AK216" s="112" t="s">
        <v>1143</v>
      </c>
      <c r="AL216" s="112">
        <v>649373</v>
      </c>
      <c r="AM216" s="112" t="s">
        <v>1066</v>
      </c>
      <c r="AN216" s="112" t="s">
        <v>1066</v>
      </c>
    </row>
    <row r="217" spans="1:40" ht="55.5" customHeight="1" x14ac:dyDescent="0.25">
      <c r="A217" s="111" t="s">
        <v>1999</v>
      </c>
      <c r="B217" s="112">
        <v>2026</v>
      </c>
      <c r="C217" s="112" t="s">
        <v>2000</v>
      </c>
      <c r="D217" s="113">
        <v>46112.411990740744</v>
      </c>
      <c r="E217" s="112">
        <v>7955986084</v>
      </c>
      <c r="F217" s="112" t="s">
        <v>153</v>
      </c>
      <c r="G217" s="112">
        <v>2</v>
      </c>
      <c r="H217" s="112">
        <v>7955986084</v>
      </c>
      <c r="I217" s="112" t="s">
        <v>2001</v>
      </c>
      <c r="J217" s="112" t="s">
        <v>1092</v>
      </c>
      <c r="K217" s="112" t="s">
        <v>1093</v>
      </c>
      <c r="L217" s="112" t="s">
        <v>2002</v>
      </c>
      <c r="M217" s="112" t="s">
        <v>478</v>
      </c>
      <c r="N217" s="113">
        <v>46209.766064814816</v>
      </c>
      <c r="O217" s="114">
        <v>19002736237</v>
      </c>
      <c r="P217" s="112">
        <v>445</v>
      </c>
      <c r="Q217" s="112" t="s">
        <v>1062</v>
      </c>
      <c r="R217" s="112" t="s">
        <v>1075</v>
      </c>
      <c r="S217" s="113">
        <v>46121.729247685187</v>
      </c>
      <c r="T217" s="112" t="s">
        <v>2003</v>
      </c>
      <c r="U217" s="112" t="s">
        <v>1065</v>
      </c>
      <c r="V217" s="112" t="s">
        <v>1066</v>
      </c>
      <c r="W217" s="112" t="s">
        <v>1066</v>
      </c>
      <c r="X217" s="112" t="s">
        <v>1066</v>
      </c>
      <c r="Y217" s="112" t="s">
        <v>1066</v>
      </c>
      <c r="Z217" s="112" t="s">
        <v>1066</v>
      </c>
      <c r="AA217" s="112" t="s">
        <v>1067</v>
      </c>
      <c r="AB217" s="112" t="s">
        <v>1066</v>
      </c>
      <c r="AC217" s="112" t="s">
        <v>92</v>
      </c>
      <c r="AD217" s="112" t="s">
        <v>1066</v>
      </c>
      <c r="AE217" s="112" t="s">
        <v>1066</v>
      </c>
      <c r="AF217" s="112" t="s">
        <v>1066</v>
      </c>
      <c r="AG217" s="112" t="s">
        <v>1066</v>
      </c>
      <c r="AH217" s="112" t="s">
        <v>2004</v>
      </c>
      <c r="AI217" s="112" t="s">
        <v>785</v>
      </c>
      <c r="AJ217" s="112">
        <v>8916924</v>
      </c>
      <c r="AK217" s="112" t="s">
        <v>1311</v>
      </c>
      <c r="AL217" s="112">
        <v>695371</v>
      </c>
      <c r="AM217" s="112" t="s">
        <v>1066</v>
      </c>
      <c r="AN217" s="112" t="s">
        <v>1066</v>
      </c>
    </row>
    <row r="218" spans="1:40" ht="55.5" customHeight="1" x14ac:dyDescent="0.25">
      <c r="A218" s="111" t="s">
        <v>2005</v>
      </c>
      <c r="B218" s="112">
        <v>2026</v>
      </c>
      <c r="C218" s="112" t="s">
        <v>2006</v>
      </c>
      <c r="D218" s="113">
        <v>46043.568530092591</v>
      </c>
      <c r="E218" s="112">
        <v>9000643072</v>
      </c>
      <c r="F218" s="112" t="s">
        <v>225</v>
      </c>
      <c r="G218" s="112">
        <v>2</v>
      </c>
      <c r="H218" s="112">
        <v>7913668072</v>
      </c>
      <c r="I218" s="112" t="s">
        <v>2007</v>
      </c>
      <c r="J218" s="112" t="s">
        <v>1071</v>
      </c>
      <c r="K218" s="112" t="s">
        <v>1145</v>
      </c>
      <c r="L218" s="112" t="s">
        <v>1073</v>
      </c>
      <c r="M218" s="112" t="s">
        <v>478</v>
      </c>
      <c r="N218" s="113">
        <v>46046.568530092591</v>
      </c>
      <c r="O218" s="114">
        <v>19000040071</v>
      </c>
      <c r="P218" s="112">
        <v>234</v>
      </c>
      <c r="Q218" s="112" t="s">
        <v>1131</v>
      </c>
      <c r="R218" s="112" t="s">
        <v>1263</v>
      </c>
      <c r="S218" s="113">
        <v>46052.614479166667</v>
      </c>
      <c r="T218" s="112" t="s">
        <v>2008</v>
      </c>
      <c r="U218" s="112" t="s">
        <v>1065</v>
      </c>
      <c r="V218" s="112" t="s">
        <v>1066</v>
      </c>
      <c r="W218" s="112" t="s">
        <v>1066</v>
      </c>
      <c r="X218" s="112" t="s">
        <v>983</v>
      </c>
      <c r="Y218" s="112" t="s">
        <v>1066</v>
      </c>
      <c r="Z218" s="112" t="s">
        <v>1148</v>
      </c>
      <c r="AA218" s="112" t="s">
        <v>1067</v>
      </c>
      <c r="AB218" s="112" t="s">
        <v>1066</v>
      </c>
      <c r="AC218" s="112" t="s">
        <v>92</v>
      </c>
      <c r="AD218" s="112" t="s">
        <v>1142</v>
      </c>
      <c r="AE218" s="112" t="s">
        <v>1066</v>
      </c>
      <c r="AF218" s="112" t="s">
        <v>1066</v>
      </c>
      <c r="AG218" s="112" t="s">
        <v>1066</v>
      </c>
      <c r="AH218" s="112" t="s">
        <v>1066</v>
      </c>
      <c r="AI218" s="112" t="s">
        <v>785</v>
      </c>
      <c r="AJ218" s="112">
        <v>8647191</v>
      </c>
      <c r="AK218" s="112" t="s">
        <v>1590</v>
      </c>
      <c r="AL218" s="112">
        <v>904147</v>
      </c>
      <c r="AM218" s="112" t="s">
        <v>1066</v>
      </c>
      <c r="AN218" s="112" t="s">
        <v>1066</v>
      </c>
    </row>
    <row r="219" spans="1:40" ht="55.5" customHeight="1" x14ac:dyDescent="0.25">
      <c r="A219" s="111" t="s">
        <v>2009</v>
      </c>
      <c r="B219" s="112">
        <v>2026</v>
      </c>
      <c r="C219" s="112" t="s">
        <v>1251</v>
      </c>
      <c r="D219" s="113">
        <v>46031.603807870371</v>
      </c>
      <c r="E219" s="112">
        <v>7929660038</v>
      </c>
      <c r="F219" s="112" t="s">
        <v>2010</v>
      </c>
      <c r="G219" s="112">
        <v>1</v>
      </c>
      <c r="H219" s="112">
        <v>7929660038</v>
      </c>
      <c r="I219" s="112" t="s">
        <v>2011</v>
      </c>
      <c r="J219" s="112" t="s">
        <v>1059</v>
      </c>
      <c r="K219" s="112" t="s">
        <v>1060</v>
      </c>
      <c r="L219" s="112" t="s">
        <v>1061</v>
      </c>
      <c r="M219" s="112" t="s">
        <v>478</v>
      </c>
      <c r="N219" s="113">
        <v>46431.603807870371</v>
      </c>
      <c r="O219" s="114">
        <v>19002203885</v>
      </c>
      <c r="P219" s="112">
        <v>1.371</v>
      </c>
      <c r="Q219" s="112" t="s">
        <v>1062</v>
      </c>
      <c r="R219" s="112" t="s">
        <v>1063</v>
      </c>
      <c r="S219" s="113">
        <v>46031.729166666664</v>
      </c>
      <c r="T219" s="112" t="s">
        <v>1253</v>
      </c>
      <c r="U219" s="112" t="s">
        <v>1065</v>
      </c>
      <c r="V219" s="112" t="s">
        <v>1066</v>
      </c>
      <c r="W219" s="112" t="s">
        <v>1066</v>
      </c>
      <c r="X219" s="112" t="s">
        <v>1066</v>
      </c>
      <c r="Y219" s="112" t="s">
        <v>1066</v>
      </c>
      <c r="Z219" s="112" t="s">
        <v>1066</v>
      </c>
      <c r="AA219" s="112" t="s">
        <v>1067</v>
      </c>
      <c r="AB219" s="112" t="s">
        <v>1066</v>
      </c>
      <c r="AC219" s="112" t="s">
        <v>92</v>
      </c>
      <c r="AD219" s="112" t="s">
        <v>1066</v>
      </c>
      <c r="AE219" s="112" t="s">
        <v>1066</v>
      </c>
      <c r="AF219" s="112" t="s">
        <v>1066</v>
      </c>
      <c r="AG219" s="112" t="s">
        <v>1066</v>
      </c>
      <c r="AH219" s="112" t="s">
        <v>1066</v>
      </c>
      <c r="AI219" s="112" t="s">
        <v>785</v>
      </c>
      <c r="AJ219" s="112">
        <v>8624460</v>
      </c>
      <c r="AK219" s="112" t="s">
        <v>627</v>
      </c>
      <c r="AL219" s="112">
        <v>996623</v>
      </c>
      <c r="AM219" s="112" t="s">
        <v>1066</v>
      </c>
      <c r="AN219" s="112" t="s">
        <v>1066</v>
      </c>
    </row>
    <row r="220" spans="1:40" ht="55.5" customHeight="1" x14ac:dyDescent="0.25">
      <c r="A220" s="111" t="s">
        <v>2012</v>
      </c>
      <c r="B220" s="112">
        <v>2026</v>
      </c>
      <c r="C220" s="112" t="s">
        <v>1251</v>
      </c>
      <c r="D220" s="113">
        <v>46031.603807870371</v>
      </c>
      <c r="E220" s="112">
        <v>7825093076</v>
      </c>
      <c r="F220" s="112" t="s">
        <v>186</v>
      </c>
      <c r="G220" s="112">
        <v>3</v>
      </c>
      <c r="H220" s="112">
        <v>7825093076</v>
      </c>
      <c r="I220" s="112" t="s">
        <v>2013</v>
      </c>
      <c r="J220" s="112" t="s">
        <v>1059</v>
      </c>
      <c r="K220" s="112" t="s">
        <v>1060</v>
      </c>
      <c r="L220" s="112" t="s">
        <v>1061</v>
      </c>
      <c r="M220" s="112" t="s">
        <v>478</v>
      </c>
      <c r="N220" s="113">
        <v>46431.603807870371</v>
      </c>
      <c r="O220" s="114">
        <v>19002224298</v>
      </c>
      <c r="P220" s="112">
        <v>72</v>
      </c>
      <c r="Q220" s="112" t="s">
        <v>1062</v>
      </c>
      <c r="R220" s="112" t="s">
        <v>1063</v>
      </c>
      <c r="S220" s="113">
        <v>46031.729166666664</v>
      </c>
      <c r="T220" s="112" t="s">
        <v>1253</v>
      </c>
      <c r="U220" s="112" t="s">
        <v>1065</v>
      </c>
      <c r="V220" s="112" t="s">
        <v>1066</v>
      </c>
      <c r="W220" s="112" t="s">
        <v>1066</v>
      </c>
      <c r="X220" s="112" t="s">
        <v>1066</v>
      </c>
      <c r="Y220" s="112" t="s">
        <v>1066</v>
      </c>
      <c r="Z220" s="112" t="s">
        <v>1066</v>
      </c>
      <c r="AA220" s="112" t="s">
        <v>1067</v>
      </c>
      <c r="AB220" s="112" t="s">
        <v>1066</v>
      </c>
      <c r="AC220" s="112" t="s">
        <v>92</v>
      </c>
      <c r="AD220" s="112" t="s">
        <v>1066</v>
      </c>
      <c r="AE220" s="112" t="s">
        <v>1066</v>
      </c>
      <c r="AF220" s="112" t="s">
        <v>1066</v>
      </c>
      <c r="AG220" s="112" t="s">
        <v>1066</v>
      </c>
      <c r="AH220" s="112" t="s">
        <v>1066</v>
      </c>
      <c r="AI220" s="112" t="s">
        <v>785</v>
      </c>
      <c r="AJ220" s="112">
        <v>8728844</v>
      </c>
      <c r="AK220" s="112" t="s">
        <v>209</v>
      </c>
      <c r="AL220" s="112">
        <v>717607</v>
      </c>
      <c r="AM220" s="112" t="s">
        <v>1066</v>
      </c>
      <c r="AN220" s="112" t="s">
        <v>1066</v>
      </c>
    </row>
    <row r="221" spans="1:40" ht="55.5" customHeight="1" x14ac:dyDescent="0.25">
      <c r="A221" s="111" t="s">
        <v>656</v>
      </c>
      <c r="B221" s="112">
        <v>2026</v>
      </c>
      <c r="C221" s="112" t="s">
        <v>2014</v>
      </c>
      <c r="D221" s="113">
        <v>46092.76394675926</v>
      </c>
      <c r="E221" s="112">
        <v>9004017004</v>
      </c>
      <c r="F221" s="112" t="s">
        <v>83</v>
      </c>
      <c r="G221" s="112">
        <v>2</v>
      </c>
      <c r="H221" s="112">
        <v>7903569004</v>
      </c>
      <c r="I221" s="112" t="s">
        <v>1892</v>
      </c>
      <c r="J221" s="112" t="s">
        <v>1071</v>
      </c>
      <c r="K221" s="112" t="s">
        <v>1130</v>
      </c>
      <c r="L221" s="112" t="s">
        <v>1073</v>
      </c>
      <c r="M221" s="112" t="s">
        <v>478</v>
      </c>
      <c r="N221" s="113">
        <v>46205.670740740738</v>
      </c>
      <c r="O221" s="114">
        <v>19000009925</v>
      </c>
      <c r="P221" s="112">
        <v>0</v>
      </c>
      <c r="Q221" s="112" t="s">
        <v>1131</v>
      </c>
      <c r="R221" s="112" t="s">
        <v>1075</v>
      </c>
      <c r="S221" s="113">
        <v>46210.7266087963</v>
      </c>
      <c r="T221" s="112" t="s">
        <v>2015</v>
      </c>
      <c r="U221" s="112" t="s">
        <v>1065</v>
      </c>
      <c r="V221" s="112" t="s">
        <v>1066</v>
      </c>
      <c r="W221" s="112" t="s">
        <v>1066</v>
      </c>
      <c r="X221" s="112" t="s">
        <v>1117</v>
      </c>
      <c r="Y221" s="112" t="s">
        <v>1066</v>
      </c>
      <c r="Z221" s="112" t="s">
        <v>1133</v>
      </c>
      <c r="AA221" s="112" t="s">
        <v>1067</v>
      </c>
      <c r="AB221" s="112" t="s">
        <v>1066</v>
      </c>
      <c r="AC221" s="112" t="s">
        <v>92</v>
      </c>
      <c r="AD221" s="112" t="s">
        <v>1142</v>
      </c>
      <c r="AE221" s="112" t="s">
        <v>1066</v>
      </c>
      <c r="AF221" s="112" t="s">
        <v>1066</v>
      </c>
      <c r="AG221" s="112" t="s">
        <v>1066</v>
      </c>
      <c r="AH221" s="112" t="s">
        <v>1890</v>
      </c>
      <c r="AI221" s="112" t="s">
        <v>785</v>
      </c>
      <c r="AJ221" s="112">
        <v>9202999</v>
      </c>
      <c r="AK221" s="112" t="s">
        <v>69</v>
      </c>
      <c r="AL221" s="112">
        <v>807531</v>
      </c>
      <c r="AM221" s="112" t="s">
        <v>1066</v>
      </c>
      <c r="AN221" s="112" t="s">
        <v>1066</v>
      </c>
    </row>
    <row r="222" spans="1:40" ht="55.5" customHeight="1" x14ac:dyDescent="0.25">
      <c r="A222" s="111" t="s">
        <v>2016</v>
      </c>
      <c r="B222" s="112">
        <v>2026</v>
      </c>
      <c r="C222" s="112" t="s">
        <v>1089</v>
      </c>
      <c r="D222" s="113">
        <v>46028.41065972222</v>
      </c>
      <c r="E222" s="112">
        <v>7900297152</v>
      </c>
      <c r="F222" s="112" t="s">
        <v>52</v>
      </c>
      <c r="G222" s="112">
        <v>2</v>
      </c>
      <c r="H222" s="112">
        <v>7900297152</v>
      </c>
      <c r="I222" s="112" t="s">
        <v>2017</v>
      </c>
      <c r="J222" s="112" t="s">
        <v>1092</v>
      </c>
      <c r="K222" s="112" t="s">
        <v>1093</v>
      </c>
      <c r="L222" s="112" t="s">
        <v>1061</v>
      </c>
      <c r="M222" s="112" t="s">
        <v>478</v>
      </c>
      <c r="N222" s="113">
        <v>46428.41065972222</v>
      </c>
      <c r="O222" s="114">
        <v>19002223513</v>
      </c>
      <c r="P222" s="112">
        <v>237</v>
      </c>
      <c r="Q222" s="112" t="s">
        <v>1062</v>
      </c>
      <c r="R222" s="112" t="s">
        <v>1063</v>
      </c>
      <c r="S222" s="113">
        <v>46044.421979166669</v>
      </c>
      <c r="T222" s="112" t="s">
        <v>2018</v>
      </c>
      <c r="U222" s="112" t="s">
        <v>1065</v>
      </c>
      <c r="V222" s="112" t="s">
        <v>1066</v>
      </c>
      <c r="W222" s="112" t="s">
        <v>1066</v>
      </c>
      <c r="X222" s="112" t="s">
        <v>1066</v>
      </c>
      <c r="Y222" s="112" t="s">
        <v>1066</v>
      </c>
      <c r="Z222" s="112" t="s">
        <v>1066</v>
      </c>
      <c r="AA222" s="112" t="s">
        <v>1067</v>
      </c>
      <c r="AB222" s="112" t="s">
        <v>1066</v>
      </c>
      <c r="AC222" s="112" t="s">
        <v>92</v>
      </c>
      <c r="AD222" s="112" t="s">
        <v>1066</v>
      </c>
      <c r="AE222" s="112" t="s">
        <v>1066</v>
      </c>
      <c r="AF222" s="112" t="s">
        <v>1066</v>
      </c>
      <c r="AG222" s="112" t="s">
        <v>1066</v>
      </c>
      <c r="AH222" s="112" t="s">
        <v>1066</v>
      </c>
      <c r="AI222" s="112" t="s">
        <v>785</v>
      </c>
      <c r="AJ222" s="112">
        <v>8738295</v>
      </c>
      <c r="AK222" s="112" t="s">
        <v>306</v>
      </c>
      <c r="AL222" s="112">
        <v>805377</v>
      </c>
      <c r="AM222" s="112" t="s">
        <v>1066</v>
      </c>
      <c r="AN222" s="112" t="s">
        <v>1066</v>
      </c>
    </row>
    <row r="223" spans="1:40" ht="55.5" customHeight="1" x14ac:dyDescent="0.25">
      <c r="A223" s="111" t="s">
        <v>2019</v>
      </c>
      <c r="B223" s="112">
        <v>2026</v>
      </c>
      <c r="C223" s="112" t="s">
        <v>1251</v>
      </c>
      <c r="D223" s="113">
        <v>46031.603807870371</v>
      </c>
      <c r="E223" s="112">
        <v>7934079003</v>
      </c>
      <c r="F223" s="112" t="s">
        <v>2020</v>
      </c>
      <c r="G223" s="112">
        <v>1</v>
      </c>
      <c r="H223" s="112">
        <v>7934079003</v>
      </c>
      <c r="I223" s="112" t="s">
        <v>2021</v>
      </c>
      <c r="J223" s="112" t="s">
        <v>1059</v>
      </c>
      <c r="K223" s="112" t="s">
        <v>1060</v>
      </c>
      <c r="L223" s="112" t="s">
        <v>1061</v>
      </c>
      <c r="M223" s="112" t="s">
        <v>478</v>
      </c>
      <c r="N223" s="113">
        <v>46431.603807870371</v>
      </c>
      <c r="O223" s="114">
        <v>19002619726</v>
      </c>
      <c r="P223" s="112">
        <v>0</v>
      </c>
      <c r="Q223" s="112" t="s">
        <v>1062</v>
      </c>
      <c r="R223" s="112" t="s">
        <v>1063</v>
      </c>
      <c r="S223" s="113">
        <v>46031.729166666664</v>
      </c>
      <c r="T223" s="112" t="s">
        <v>1253</v>
      </c>
      <c r="U223" s="112" t="s">
        <v>1065</v>
      </c>
      <c r="V223" s="112" t="s">
        <v>1066</v>
      </c>
      <c r="W223" s="112" t="s">
        <v>1066</v>
      </c>
      <c r="X223" s="112" t="s">
        <v>1066</v>
      </c>
      <c r="Y223" s="112" t="s">
        <v>1066</v>
      </c>
      <c r="Z223" s="112" t="s">
        <v>1066</v>
      </c>
      <c r="AA223" s="112" t="s">
        <v>1067</v>
      </c>
      <c r="AB223" s="112" t="s">
        <v>1066</v>
      </c>
      <c r="AC223" s="112" t="s">
        <v>92</v>
      </c>
      <c r="AD223" s="112" t="s">
        <v>1066</v>
      </c>
      <c r="AE223" s="112" t="s">
        <v>1066</v>
      </c>
      <c r="AF223" s="112" t="s">
        <v>1066</v>
      </c>
      <c r="AG223" s="112" t="s">
        <v>1066</v>
      </c>
      <c r="AH223" s="112" t="s">
        <v>1066</v>
      </c>
      <c r="AI223" s="112" t="s">
        <v>785</v>
      </c>
      <c r="AJ223" s="112">
        <v>8703106</v>
      </c>
      <c r="AK223" s="112" t="s">
        <v>210</v>
      </c>
      <c r="AL223" s="112">
        <v>709480</v>
      </c>
      <c r="AM223" s="112" t="s">
        <v>1066</v>
      </c>
      <c r="AN223" s="112" t="s">
        <v>1066</v>
      </c>
    </row>
    <row r="224" spans="1:40" ht="55.5" customHeight="1" x14ac:dyDescent="0.25">
      <c r="A224" s="120" t="s">
        <v>2022</v>
      </c>
      <c r="B224" s="121">
        <v>2026</v>
      </c>
      <c r="C224" s="121" t="s">
        <v>2023</v>
      </c>
      <c r="D224" s="122">
        <v>45980.380960648145</v>
      </c>
      <c r="E224" s="121">
        <v>310098001</v>
      </c>
      <c r="F224" s="121" t="s">
        <v>2024</v>
      </c>
      <c r="G224" s="121">
        <v>3</v>
      </c>
      <c r="H224" s="121">
        <v>5863887001</v>
      </c>
      <c r="I224" s="121" t="s">
        <v>2025</v>
      </c>
      <c r="J224" s="121" t="s">
        <v>1092</v>
      </c>
      <c r="K224" s="121" t="s">
        <v>1179</v>
      </c>
      <c r="L224" s="121" t="s">
        <v>1073</v>
      </c>
      <c r="M224" s="121" t="s">
        <v>1116</v>
      </c>
      <c r="N224" s="122">
        <v>46046.600960648146</v>
      </c>
      <c r="O224" s="123">
        <v>19002803203</v>
      </c>
      <c r="P224" s="121">
        <v>35</v>
      </c>
      <c r="Q224" s="121" t="s">
        <v>1074</v>
      </c>
      <c r="R224" s="121" t="s">
        <v>1263</v>
      </c>
      <c r="S224" s="122">
        <v>46092.69</v>
      </c>
      <c r="T224" s="121" t="s">
        <v>1066</v>
      </c>
      <c r="U224" s="121" t="s">
        <v>1066</v>
      </c>
      <c r="V224" s="121" t="s">
        <v>1066</v>
      </c>
      <c r="W224" s="121" t="s">
        <v>1066</v>
      </c>
      <c r="X224" s="121" t="s">
        <v>2026</v>
      </c>
      <c r="Y224" s="121" t="s">
        <v>1066</v>
      </c>
      <c r="Z224" s="121" t="s">
        <v>1066</v>
      </c>
      <c r="AA224" s="121" t="s">
        <v>1067</v>
      </c>
      <c r="AB224" s="121" t="s">
        <v>1066</v>
      </c>
      <c r="AC224" s="121" t="s">
        <v>92</v>
      </c>
      <c r="AD224" s="121" t="s">
        <v>1066</v>
      </c>
      <c r="AE224" s="121" t="s">
        <v>1066</v>
      </c>
      <c r="AF224" s="121" t="s">
        <v>1066</v>
      </c>
      <c r="AG224" s="121" t="s">
        <v>1066</v>
      </c>
      <c r="AH224" s="121" t="s">
        <v>2027</v>
      </c>
      <c r="AI224" s="121" t="s">
        <v>785</v>
      </c>
      <c r="AJ224" s="121">
        <v>8850006</v>
      </c>
      <c r="AK224" s="121" t="s">
        <v>50</v>
      </c>
      <c r="AL224" s="121">
        <v>771817</v>
      </c>
      <c r="AM224" s="121" t="s">
        <v>1066</v>
      </c>
      <c r="AN224" s="121" t="s">
        <v>1066</v>
      </c>
    </row>
    <row r="225" spans="1:40" ht="55.5" customHeight="1" x14ac:dyDescent="0.25">
      <c r="A225" s="111" t="s">
        <v>2028</v>
      </c>
      <c r="B225" s="112">
        <v>2026</v>
      </c>
      <c r="C225" s="112" t="s">
        <v>1057</v>
      </c>
      <c r="D225" s="113">
        <v>46122.378541666665</v>
      </c>
      <c r="E225" s="112">
        <v>7900106004</v>
      </c>
      <c r="F225" s="112" t="s">
        <v>1644</v>
      </c>
      <c r="G225" s="112">
        <v>2</v>
      </c>
      <c r="H225" s="112">
        <v>7900106004</v>
      </c>
      <c r="I225" s="112" t="s">
        <v>2029</v>
      </c>
      <c r="J225" s="112" t="s">
        <v>1059</v>
      </c>
      <c r="K225" s="112" t="s">
        <v>1060</v>
      </c>
      <c r="L225" s="112" t="s">
        <v>1061</v>
      </c>
      <c r="M225" s="112" t="s">
        <v>478</v>
      </c>
      <c r="N225" s="113">
        <v>46522.378541666665</v>
      </c>
      <c r="O225" s="114">
        <v>19002207985</v>
      </c>
      <c r="P225" s="112">
        <v>13</v>
      </c>
      <c r="Q225" s="112" t="s">
        <v>1062</v>
      </c>
      <c r="R225" s="112" t="s">
        <v>1063</v>
      </c>
      <c r="S225" s="113">
        <v>46147.57916666667</v>
      </c>
      <c r="T225" s="112" t="s">
        <v>2030</v>
      </c>
      <c r="U225" s="112" t="s">
        <v>1065</v>
      </c>
      <c r="V225" s="112" t="s">
        <v>1066</v>
      </c>
      <c r="W225" s="112" t="s">
        <v>1066</v>
      </c>
      <c r="X225" s="112" t="s">
        <v>1066</v>
      </c>
      <c r="Y225" s="112" t="s">
        <v>1066</v>
      </c>
      <c r="Z225" s="112" t="s">
        <v>1066</v>
      </c>
      <c r="AA225" s="112" t="s">
        <v>1067</v>
      </c>
      <c r="AB225" s="112" t="s">
        <v>1066</v>
      </c>
      <c r="AC225" s="112" t="s">
        <v>92</v>
      </c>
      <c r="AD225" s="112" t="s">
        <v>1066</v>
      </c>
      <c r="AE225" s="112" t="s">
        <v>1066</v>
      </c>
      <c r="AF225" s="112" t="s">
        <v>1066</v>
      </c>
      <c r="AG225" s="112" t="s">
        <v>1066</v>
      </c>
      <c r="AH225" s="112" t="s">
        <v>1066</v>
      </c>
      <c r="AI225" s="112" t="s">
        <v>785</v>
      </c>
      <c r="AJ225" s="112">
        <v>9202348</v>
      </c>
      <c r="AK225" s="112" t="s">
        <v>69</v>
      </c>
      <c r="AL225" s="112">
        <v>804675</v>
      </c>
      <c r="AM225" s="112" t="s">
        <v>1066</v>
      </c>
      <c r="AN225" s="112" t="s">
        <v>1066</v>
      </c>
    </row>
    <row r="226" spans="1:40" ht="55.5" customHeight="1" x14ac:dyDescent="0.25">
      <c r="A226" s="124" t="s">
        <v>2031</v>
      </c>
      <c r="B226" s="125">
        <v>2026</v>
      </c>
      <c r="C226" s="125" t="s">
        <v>1449</v>
      </c>
      <c r="D226" s="126">
        <v>46244.660034722219</v>
      </c>
      <c r="E226" s="125">
        <v>7925104024</v>
      </c>
      <c r="F226" s="125" t="s">
        <v>390</v>
      </c>
      <c r="G226" s="125">
        <v>2</v>
      </c>
      <c r="H226" s="125">
        <v>7925104024</v>
      </c>
      <c r="I226" s="125" t="s">
        <v>2032</v>
      </c>
      <c r="J226" s="125" t="s">
        <v>1066</v>
      </c>
      <c r="K226" s="125" t="s">
        <v>1125</v>
      </c>
      <c r="L226" s="125" t="s">
        <v>1061</v>
      </c>
      <c r="M226" s="125" t="s">
        <v>510</v>
      </c>
      <c r="N226" s="126">
        <v>46644.660034722219</v>
      </c>
      <c r="O226" s="127">
        <v>19002213268</v>
      </c>
      <c r="P226" s="125">
        <v>1.0960000000000001</v>
      </c>
      <c r="Q226" s="125" t="s">
        <v>1062</v>
      </c>
      <c r="R226" s="125" t="s">
        <v>1063</v>
      </c>
      <c r="S226" s="125" t="s">
        <v>1066</v>
      </c>
      <c r="T226" s="125" t="s">
        <v>1066</v>
      </c>
      <c r="U226" s="125" t="s">
        <v>1066</v>
      </c>
      <c r="V226" s="125" t="s">
        <v>1066</v>
      </c>
      <c r="W226" s="125" t="s">
        <v>1066</v>
      </c>
      <c r="X226" s="125" t="s">
        <v>1066</v>
      </c>
      <c r="Y226" s="125" t="s">
        <v>1066</v>
      </c>
      <c r="Z226" s="125" t="s">
        <v>1066</v>
      </c>
      <c r="AA226" s="125" t="s">
        <v>1067</v>
      </c>
      <c r="AB226" s="125" t="s">
        <v>1066</v>
      </c>
      <c r="AC226" s="125" t="s">
        <v>92</v>
      </c>
      <c r="AD226" s="125" t="s">
        <v>1066</v>
      </c>
      <c r="AE226" s="125" t="s">
        <v>1066</v>
      </c>
      <c r="AF226" s="125" t="s">
        <v>1066</v>
      </c>
      <c r="AG226" s="125" t="s">
        <v>1066</v>
      </c>
      <c r="AH226" s="125" t="s">
        <v>1066</v>
      </c>
      <c r="AI226" s="125" t="s">
        <v>785</v>
      </c>
      <c r="AJ226" s="125">
        <v>9051248</v>
      </c>
      <c r="AK226" s="125" t="s">
        <v>400</v>
      </c>
      <c r="AL226" s="125">
        <v>753752</v>
      </c>
      <c r="AM226" s="125" t="s">
        <v>1066</v>
      </c>
      <c r="AN226" s="125" t="s">
        <v>1066</v>
      </c>
    </row>
    <row r="227" spans="1:40" ht="55.5" customHeight="1" x14ac:dyDescent="0.25">
      <c r="A227" s="111" t="s">
        <v>2033</v>
      </c>
      <c r="B227" s="112">
        <v>2026</v>
      </c>
      <c r="C227" s="112" t="s">
        <v>2034</v>
      </c>
      <c r="D227" s="113">
        <v>46094.830648148149</v>
      </c>
      <c r="E227" s="112">
        <v>7900654055</v>
      </c>
      <c r="F227" s="112" t="s">
        <v>2035</v>
      </c>
      <c r="G227" s="112">
        <v>3</v>
      </c>
      <c r="H227" s="112">
        <v>7900654055</v>
      </c>
      <c r="I227" s="112" t="s">
        <v>2036</v>
      </c>
      <c r="J227" s="112" t="s">
        <v>1071</v>
      </c>
      <c r="K227" s="112" t="s">
        <v>1508</v>
      </c>
      <c r="L227" s="112" t="s">
        <v>1073</v>
      </c>
      <c r="M227" s="112" t="s">
        <v>478</v>
      </c>
      <c r="N227" s="113">
        <v>46097.830648148149</v>
      </c>
      <c r="O227" s="114">
        <v>19002674373</v>
      </c>
      <c r="P227" s="112">
        <v>0</v>
      </c>
      <c r="Q227" s="112" t="s">
        <v>1062</v>
      </c>
      <c r="R227" s="112" t="s">
        <v>1075</v>
      </c>
      <c r="S227" s="113">
        <v>46106.469224537039</v>
      </c>
      <c r="T227" s="112" t="s">
        <v>2037</v>
      </c>
      <c r="U227" s="112" t="s">
        <v>1065</v>
      </c>
      <c r="V227" s="112" t="s">
        <v>1066</v>
      </c>
      <c r="W227" s="112" t="s">
        <v>1066</v>
      </c>
      <c r="X227" s="112" t="s">
        <v>983</v>
      </c>
      <c r="Y227" s="112" t="s">
        <v>1066</v>
      </c>
      <c r="Z227" s="112" t="s">
        <v>1299</v>
      </c>
      <c r="AA227" s="112" t="s">
        <v>1067</v>
      </c>
      <c r="AB227" s="112" t="s">
        <v>1066</v>
      </c>
      <c r="AC227" s="112" t="s">
        <v>92</v>
      </c>
      <c r="AD227" s="112" t="s">
        <v>1066</v>
      </c>
      <c r="AE227" s="112" t="s">
        <v>1066</v>
      </c>
      <c r="AF227" s="112" t="s">
        <v>1066</v>
      </c>
      <c r="AG227" s="112" t="s">
        <v>1066</v>
      </c>
      <c r="AH227" s="112" t="s">
        <v>1066</v>
      </c>
      <c r="AI227" s="112" t="s">
        <v>785</v>
      </c>
      <c r="AJ227" s="112">
        <v>9025467</v>
      </c>
      <c r="AK227" s="112" t="s">
        <v>482</v>
      </c>
      <c r="AL227" s="112">
        <v>659555</v>
      </c>
      <c r="AM227" s="112" t="s">
        <v>1066</v>
      </c>
      <c r="AN227" s="112" t="s">
        <v>1066</v>
      </c>
    </row>
    <row r="228" spans="1:40" ht="55.5" customHeight="1" x14ac:dyDescent="0.25">
      <c r="A228" s="111" t="s">
        <v>2038</v>
      </c>
      <c r="B228" s="112">
        <v>2026</v>
      </c>
      <c r="C228" s="112" t="s">
        <v>2039</v>
      </c>
      <c r="D228" s="113">
        <v>46105.034814814811</v>
      </c>
      <c r="E228" s="112">
        <v>9000712256</v>
      </c>
      <c r="F228" s="112" t="s">
        <v>136</v>
      </c>
      <c r="G228" s="112">
        <v>2</v>
      </c>
      <c r="H228" s="112">
        <v>7908302256</v>
      </c>
      <c r="I228" s="112" t="s">
        <v>2040</v>
      </c>
      <c r="J228" s="112" t="s">
        <v>1071</v>
      </c>
      <c r="K228" s="112" t="s">
        <v>1130</v>
      </c>
      <c r="L228" s="112" t="s">
        <v>1073</v>
      </c>
      <c r="M228" s="112" t="s">
        <v>478</v>
      </c>
      <c r="N228" s="113">
        <v>46108.034814814811</v>
      </c>
      <c r="O228" s="114">
        <v>19000104724</v>
      </c>
      <c r="P228" s="112">
        <v>2.13</v>
      </c>
      <c r="Q228" s="112" t="s">
        <v>1131</v>
      </c>
      <c r="R228" s="112" t="s">
        <v>1075</v>
      </c>
      <c r="S228" s="113">
        <v>46107.729247685187</v>
      </c>
      <c r="T228" s="112" t="s">
        <v>2041</v>
      </c>
      <c r="U228" s="112" t="s">
        <v>1065</v>
      </c>
      <c r="V228" s="112" t="s">
        <v>1066</v>
      </c>
      <c r="W228" s="112" t="s">
        <v>1066</v>
      </c>
      <c r="X228" s="112" t="s">
        <v>1983</v>
      </c>
      <c r="Y228" s="112" t="s">
        <v>1066</v>
      </c>
      <c r="Z228" s="112" t="s">
        <v>2042</v>
      </c>
      <c r="AA228" s="112" t="s">
        <v>1067</v>
      </c>
      <c r="AB228" s="112" t="s">
        <v>1066</v>
      </c>
      <c r="AC228" s="112" t="s">
        <v>92</v>
      </c>
      <c r="AD228" s="112" t="s">
        <v>1142</v>
      </c>
      <c r="AE228" s="112" t="s">
        <v>1066</v>
      </c>
      <c r="AF228" s="112" t="s">
        <v>1066</v>
      </c>
      <c r="AG228" s="112" t="s">
        <v>1066</v>
      </c>
      <c r="AH228" s="112" t="s">
        <v>1066</v>
      </c>
      <c r="AI228" s="112" t="s">
        <v>785</v>
      </c>
      <c r="AJ228" s="112">
        <v>8838426</v>
      </c>
      <c r="AK228" s="112" t="s">
        <v>134</v>
      </c>
      <c r="AL228" s="112">
        <v>936573</v>
      </c>
      <c r="AM228" s="112" t="s">
        <v>1066</v>
      </c>
      <c r="AN228" s="112" t="s">
        <v>1066</v>
      </c>
    </row>
    <row r="229" spans="1:40" ht="55.5" customHeight="1" x14ac:dyDescent="0.25">
      <c r="A229" s="111" t="s">
        <v>2043</v>
      </c>
      <c r="B229" s="112">
        <v>2026</v>
      </c>
      <c r="C229" s="112" t="s">
        <v>2044</v>
      </c>
      <c r="D229" s="113">
        <v>46023.714745370373</v>
      </c>
      <c r="E229" s="112">
        <v>9024348007</v>
      </c>
      <c r="F229" s="112" t="s">
        <v>2045</v>
      </c>
      <c r="G229" s="112">
        <v>3</v>
      </c>
      <c r="H229" s="112">
        <v>7924349007</v>
      </c>
      <c r="I229" s="112" t="s">
        <v>2046</v>
      </c>
      <c r="J229" s="112" t="s">
        <v>1071</v>
      </c>
      <c r="K229" s="112" t="s">
        <v>1650</v>
      </c>
      <c r="L229" s="112" t="s">
        <v>1084</v>
      </c>
      <c r="M229" s="112" t="s">
        <v>478</v>
      </c>
      <c r="N229" s="113">
        <v>46083.714745370373</v>
      </c>
      <c r="O229" s="114">
        <v>19001217595</v>
      </c>
      <c r="P229" s="112">
        <v>182</v>
      </c>
      <c r="Q229" s="112" t="s">
        <v>1131</v>
      </c>
      <c r="R229" s="112" t="s">
        <v>1085</v>
      </c>
      <c r="S229" s="113">
        <v>46197.566527777781</v>
      </c>
      <c r="T229" s="112" t="s">
        <v>2047</v>
      </c>
      <c r="U229" s="112" t="s">
        <v>1065</v>
      </c>
      <c r="V229" s="112" t="s">
        <v>1066</v>
      </c>
      <c r="W229" s="112" t="s">
        <v>1066</v>
      </c>
      <c r="X229" s="112" t="s">
        <v>1066</v>
      </c>
      <c r="Y229" s="112" t="s">
        <v>1066</v>
      </c>
      <c r="Z229" s="112" t="s">
        <v>1066</v>
      </c>
      <c r="AA229" s="112" t="s">
        <v>1067</v>
      </c>
      <c r="AB229" s="112" t="s">
        <v>1066</v>
      </c>
      <c r="AC229" s="112" t="s">
        <v>92</v>
      </c>
      <c r="AD229" s="112" t="s">
        <v>1142</v>
      </c>
      <c r="AE229" s="112" t="s">
        <v>1066</v>
      </c>
      <c r="AF229" s="112" t="s">
        <v>1066</v>
      </c>
      <c r="AG229" s="112" t="s">
        <v>1066</v>
      </c>
      <c r="AH229" s="112" t="s">
        <v>1066</v>
      </c>
      <c r="AI229" s="112" t="s">
        <v>785</v>
      </c>
      <c r="AJ229" s="112">
        <v>8930539</v>
      </c>
      <c r="AK229" s="112" t="s">
        <v>100</v>
      </c>
      <c r="AL229" s="112">
        <v>735732</v>
      </c>
      <c r="AM229" s="112" t="s">
        <v>1066</v>
      </c>
      <c r="AN229" s="112" t="s">
        <v>1066</v>
      </c>
    </row>
    <row r="230" spans="1:40" ht="55.5" customHeight="1" x14ac:dyDescent="0.25">
      <c r="A230" s="111" t="s">
        <v>2048</v>
      </c>
      <c r="B230" s="112">
        <v>2026</v>
      </c>
      <c r="C230" s="112" t="s">
        <v>1240</v>
      </c>
      <c r="D230" s="113">
        <v>46183.597349537034</v>
      </c>
      <c r="E230" s="112">
        <v>7913667006</v>
      </c>
      <c r="F230" s="112" t="s">
        <v>1468</v>
      </c>
      <c r="G230" s="112">
        <v>3</v>
      </c>
      <c r="H230" s="112">
        <v>7913667006</v>
      </c>
      <c r="I230" s="112" t="s">
        <v>1469</v>
      </c>
      <c r="J230" s="112" t="s">
        <v>1066</v>
      </c>
      <c r="K230" s="112" t="s">
        <v>1125</v>
      </c>
      <c r="L230" s="112" t="s">
        <v>1061</v>
      </c>
      <c r="M230" s="112" t="s">
        <v>478</v>
      </c>
      <c r="N230" s="113">
        <v>46583.597349537034</v>
      </c>
      <c r="O230" s="114">
        <v>19002214174</v>
      </c>
      <c r="P230" s="112">
        <v>263</v>
      </c>
      <c r="Q230" s="112" t="s">
        <v>1062</v>
      </c>
      <c r="R230" s="112" t="s">
        <v>1063</v>
      </c>
      <c r="S230" s="113">
        <v>46149.72960648148</v>
      </c>
      <c r="T230" s="112" t="s">
        <v>1470</v>
      </c>
      <c r="U230" s="112" t="s">
        <v>1065</v>
      </c>
      <c r="V230" s="112" t="s">
        <v>1066</v>
      </c>
      <c r="W230" s="112" t="s">
        <v>1066</v>
      </c>
      <c r="X230" s="112" t="s">
        <v>1066</v>
      </c>
      <c r="Y230" s="112" t="s">
        <v>1066</v>
      </c>
      <c r="Z230" s="112" t="s">
        <v>1066</v>
      </c>
      <c r="AA230" s="112" t="s">
        <v>1067</v>
      </c>
      <c r="AB230" s="112" t="s">
        <v>1066</v>
      </c>
      <c r="AC230" s="112" t="s">
        <v>92</v>
      </c>
      <c r="AD230" s="112" t="s">
        <v>1066</v>
      </c>
      <c r="AE230" s="112" t="s">
        <v>1066</v>
      </c>
      <c r="AF230" s="112" t="s">
        <v>1066</v>
      </c>
      <c r="AG230" s="112" t="s">
        <v>1066</v>
      </c>
      <c r="AH230" s="112" t="s">
        <v>1066</v>
      </c>
      <c r="AI230" s="112" t="s">
        <v>785</v>
      </c>
      <c r="AJ230" s="112">
        <v>8941787</v>
      </c>
      <c r="AK230" s="112" t="s">
        <v>1243</v>
      </c>
      <c r="AL230" s="112">
        <v>788786</v>
      </c>
      <c r="AM230" s="112" t="s">
        <v>1066</v>
      </c>
      <c r="AN230" s="112" t="s">
        <v>1066</v>
      </c>
    </row>
    <row r="231" spans="1:40" ht="55.5" customHeight="1" x14ac:dyDescent="0.25">
      <c r="A231" s="124" t="s">
        <v>2049</v>
      </c>
      <c r="B231" s="125">
        <v>2026</v>
      </c>
      <c r="C231" s="125" t="s">
        <v>1449</v>
      </c>
      <c r="D231" s="126">
        <v>46244.660034722219</v>
      </c>
      <c r="E231" s="125">
        <v>7942739030</v>
      </c>
      <c r="F231" s="125" t="s">
        <v>1920</v>
      </c>
      <c r="G231" s="125">
        <v>3</v>
      </c>
      <c r="H231" s="125">
        <v>7942739030</v>
      </c>
      <c r="I231" s="125" t="s">
        <v>2050</v>
      </c>
      <c r="J231" s="125" t="s">
        <v>1066</v>
      </c>
      <c r="K231" s="125" t="s">
        <v>1125</v>
      </c>
      <c r="L231" s="125" t="s">
        <v>1061</v>
      </c>
      <c r="M231" s="125" t="s">
        <v>510</v>
      </c>
      <c r="N231" s="126">
        <v>46644.660034722219</v>
      </c>
      <c r="O231" s="127">
        <v>19002211756</v>
      </c>
      <c r="P231" s="125">
        <v>3.0110000000000001</v>
      </c>
      <c r="Q231" s="125" t="s">
        <v>1062</v>
      </c>
      <c r="R231" s="125" t="s">
        <v>1063</v>
      </c>
      <c r="S231" s="125" t="s">
        <v>1066</v>
      </c>
      <c r="T231" s="125" t="s">
        <v>1066</v>
      </c>
      <c r="U231" s="125" t="s">
        <v>1066</v>
      </c>
      <c r="V231" s="125" t="s">
        <v>1066</v>
      </c>
      <c r="W231" s="125" t="s">
        <v>1066</v>
      </c>
      <c r="X231" s="125" t="s">
        <v>1066</v>
      </c>
      <c r="Y231" s="125" t="s">
        <v>1066</v>
      </c>
      <c r="Z231" s="125" t="s">
        <v>1066</v>
      </c>
      <c r="AA231" s="125" t="s">
        <v>1067</v>
      </c>
      <c r="AB231" s="125" t="s">
        <v>1066</v>
      </c>
      <c r="AC231" s="125" t="s">
        <v>92</v>
      </c>
      <c r="AD231" s="125" t="s">
        <v>1066</v>
      </c>
      <c r="AE231" s="125" t="s">
        <v>1066</v>
      </c>
      <c r="AF231" s="125" t="s">
        <v>1066</v>
      </c>
      <c r="AG231" s="125" t="s">
        <v>1066</v>
      </c>
      <c r="AH231" s="125" t="s">
        <v>1066</v>
      </c>
      <c r="AI231" s="125" t="s">
        <v>785</v>
      </c>
      <c r="AJ231" s="125">
        <v>9282121</v>
      </c>
      <c r="AK231" s="125" t="s">
        <v>2051</v>
      </c>
      <c r="AL231" s="125">
        <v>780752</v>
      </c>
      <c r="AM231" s="125" t="s">
        <v>1066</v>
      </c>
      <c r="AN231" s="125" t="s">
        <v>1066</v>
      </c>
    </row>
    <row r="232" spans="1:40" ht="55.5" customHeight="1" x14ac:dyDescent="0.25">
      <c r="A232" s="111" t="s">
        <v>2052</v>
      </c>
      <c r="B232" s="112">
        <v>2026</v>
      </c>
      <c r="C232" s="112" t="s">
        <v>1089</v>
      </c>
      <c r="D232" s="113">
        <v>46028.41065972222</v>
      </c>
      <c r="E232" s="112">
        <v>7908709122</v>
      </c>
      <c r="F232" s="112" t="s">
        <v>409</v>
      </c>
      <c r="G232" s="112">
        <v>2</v>
      </c>
      <c r="H232" s="112">
        <v>7908709122</v>
      </c>
      <c r="I232" s="112" t="s">
        <v>2053</v>
      </c>
      <c r="J232" s="112" t="s">
        <v>1092</v>
      </c>
      <c r="K232" s="112" t="s">
        <v>1093</v>
      </c>
      <c r="L232" s="112" t="s">
        <v>1061</v>
      </c>
      <c r="M232" s="112" t="s">
        <v>478</v>
      </c>
      <c r="N232" s="113">
        <v>46428.41065972222</v>
      </c>
      <c r="O232" s="114">
        <v>19002223836</v>
      </c>
      <c r="P232" s="112">
        <v>0</v>
      </c>
      <c r="Q232" s="112" t="s">
        <v>1062</v>
      </c>
      <c r="R232" s="112" t="s">
        <v>1063</v>
      </c>
      <c r="S232" s="113">
        <v>46045.726423611108</v>
      </c>
      <c r="T232" s="112" t="s">
        <v>2054</v>
      </c>
      <c r="U232" s="112" t="s">
        <v>1065</v>
      </c>
      <c r="V232" s="112" t="s">
        <v>1066</v>
      </c>
      <c r="W232" s="112" t="s">
        <v>1066</v>
      </c>
      <c r="X232" s="112" t="s">
        <v>1066</v>
      </c>
      <c r="Y232" s="112" t="s">
        <v>1066</v>
      </c>
      <c r="Z232" s="112" t="s">
        <v>1066</v>
      </c>
      <c r="AA232" s="112" t="s">
        <v>1067</v>
      </c>
      <c r="AB232" s="112" t="s">
        <v>1066</v>
      </c>
      <c r="AC232" s="112" t="s">
        <v>92</v>
      </c>
      <c r="AD232" s="112" t="s">
        <v>1066</v>
      </c>
      <c r="AE232" s="112" t="s">
        <v>1066</v>
      </c>
      <c r="AF232" s="112" t="s">
        <v>1066</v>
      </c>
      <c r="AG232" s="112" t="s">
        <v>1066</v>
      </c>
      <c r="AH232" s="112" t="s">
        <v>1066</v>
      </c>
      <c r="AI232" s="112" t="s">
        <v>785</v>
      </c>
      <c r="AJ232" s="112">
        <v>8872995</v>
      </c>
      <c r="AK232" s="112" t="s">
        <v>264</v>
      </c>
      <c r="AL232" s="112">
        <v>792600</v>
      </c>
      <c r="AM232" s="112" t="s">
        <v>1066</v>
      </c>
      <c r="AN232" s="112" t="s">
        <v>1066</v>
      </c>
    </row>
    <row r="233" spans="1:40" ht="55.5" customHeight="1" x14ac:dyDescent="0.25">
      <c r="A233" s="111" t="s">
        <v>2055</v>
      </c>
      <c r="B233" s="112">
        <v>2026</v>
      </c>
      <c r="C233" s="112" t="s">
        <v>2056</v>
      </c>
      <c r="D233" s="113">
        <v>46038.887523148151</v>
      </c>
      <c r="E233" s="112">
        <v>9000384116</v>
      </c>
      <c r="F233" s="112" t="s">
        <v>43</v>
      </c>
      <c r="G233" s="112">
        <v>2</v>
      </c>
      <c r="H233" s="112">
        <v>7908708116</v>
      </c>
      <c r="I233" s="112" t="s">
        <v>2057</v>
      </c>
      <c r="J233" s="112" t="s">
        <v>1071</v>
      </c>
      <c r="K233" s="112" t="s">
        <v>1428</v>
      </c>
      <c r="L233" s="112" t="s">
        <v>1073</v>
      </c>
      <c r="M233" s="112" t="s">
        <v>478</v>
      </c>
      <c r="N233" s="113">
        <v>46041.887523148151</v>
      </c>
      <c r="O233" s="114">
        <v>19000137223</v>
      </c>
      <c r="P233" s="112">
        <v>219</v>
      </c>
      <c r="Q233" s="112" t="s">
        <v>1131</v>
      </c>
      <c r="R233" s="112" t="s">
        <v>1297</v>
      </c>
      <c r="S233" s="113">
        <v>46052.59957175926</v>
      </c>
      <c r="T233" s="112" t="s">
        <v>2058</v>
      </c>
      <c r="U233" s="112" t="s">
        <v>1065</v>
      </c>
      <c r="V233" s="112" t="s">
        <v>1066</v>
      </c>
      <c r="W233" s="112" t="s">
        <v>1066</v>
      </c>
      <c r="X233" s="112" t="s">
        <v>1173</v>
      </c>
      <c r="Y233" s="112" t="s">
        <v>1066</v>
      </c>
      <c r="Z233" s="112" t="s">
        <v>1148</v>
      </c>
      <c r="AA233" s="112" t="s">
        <v>1067</v>
      </c>
      <c r="AB233" s="112" t="s">
        <v>1066</v>
      </c>
      <c r="AC233" s="112" t="s">
        <v>92</v>
      </c>
      <c r="AD233" s="112" t="s">
        <v>1142</v>
      </c>
      <c r="AE233" s="112" t="s">
        <v>1066</v>
      </c>
      <c r="AF233" s="112" t="s">
        <v>1066</v>
      </c>
      <c r="AG233" s="112" t="s">
        <v>1066</v>
      </c>
      <c r="AH233" s="112" t="s">
        <v>1066</v>
      </c>
      <c r="AI233" s="112" t="s">
        <v>785</v>
      </c>
      <c r="AJ233" s="112">
        <v>8722032</v>
      </c>
      <c r="AK233" s="112" t="s">
        <v>215</v>
      </c>
      <c r="AL233" s="112">
        <v>849089</v>
      </c>
      <c r="AM233" s="112" t="s">
        <v>1066</v>
      </c>
      <c r="AN233" s="112" t="s">
        <v>1066</v>
      </c>
    </row>
    <row r="234" spans="1:40" ht="55.5" customHeight="1" x14ac:dyDescent="0.25">
      <c r="A234" s="115" t="s">
        <v>2059</v>
      </c>
      <c r="B234" s="116">
        <v>2026</v>
      </c>
      <c r="C234" s="116" t="s">
        <v>2060</v>
      </c>
      <c r="D234" s="118">
        <v>46106.609872685185</v>
      </c>
      <c r="E234" s="116">
        <v>9001690022</v>
      </c>
      <c r="F234" s="116" t="s">
        <v>79</v>
      </c>
      <c r="G234" s="116">
        <v>3</v>
      </c>
      <c r="H234" s="116">
        <v>7929376022</v>
      </c>
      <c r="I234" s="116" t="s">
        <v>2061</v>
      </c>
      <c r="J234" s="116" t="s">
        <v>1066</v>
      </c>
      <c r="K234" s="116" t="s">
        <v>2062</v>
      </c>
      <c r="L234" s="116" t="s">
        <v>1073</v>
      </c>
      <c r="M234" s="116" t="s">
        <v>588</v>
      </c>
      <c r="N234" s="118">
        <v>46128.452523148146</v>
      </c>
      <c r="O234" s="119">
        <v>19001269433</v>
      </c>
      <c r="P234" s="116">
        <v>0</v>
      </c>
      <c r="Q234" s="116" t="s">
        <v>1131</v>
      </c>
      <c r="R234" s="116" t="s">
        <v>1075</v>
      </c>
      <c r="S234" s="116" t="s">
        <v>1066</v>
      </c>
      <c r="T234" s="116" t="s">
        <v>1066</v>
      </c>
      <c r="U234" s="116" t="s">
        <v>1066</v>
      </c>
      <c r="V234" s="116" t="s">
        <v>1066</v>
      </c>
      <c r="W234" s="116" t="s">
        <v>1066</v>
      </c>
      <c r="X234" s="116" t="s">
        <v>1066</v>
      </c>
      <c r="Y234" s="116" t="s">
        <v>1066</v>
      </c>
      <c r="Z234" s="116" t="s">
        <v>1066</v>
      </c>
      <c r="AA234" s="116" t="s">
        <v>1067</v>
      </c>
      <c r="AB234" s="116" t="s">
        <v>1066</v>
      </c>
      <c r="AC234" s="116" t="s">
        <v>92</v>
      </c>
      <c r="AD234" s="116" t="s">
        <v>1142</v>
      </c>
      <c r="AE234" s="116" t="s">
        <v>1066</v>
      </c>
      <c r="AF234" s="116" t="s">
        <v>1066</v>
      </c>
      <c r="AG234" s="116" t="s">
        <v>1066</v>
      </c>
      <c r="AH234" s="116" t="s">
        <v>1066</v>
      </c>
      <c r="AI234" s="116" t="s">
        <v>785</v>
      </c>
      <c r="AJ234" s="116">
        <v>9201747</v>
      </c>
      <c r="AK234" s="116" t="s">
        <v>125</v>
      </c>
      <c r="AL234" s="116">
        <v>858418</v>
      </c>
      <c r="AM234" s="116" t="s">
        <v>1066</v>
      </c>
      <c r="AN234" s="116" t="s">
        <v>1066</v>
      </c>
    </row>
    <row r="235" spans="1:40" ht="55.5" customHeight="1" x14ac:dyDescent="0.25">
      <c r="A235" s="111" t="s">
        <v>2063</v>
      </c>
      <c r="B235" s="112">
        <v>2026</v>
      </c>
      <c r="C235" s="112" t="s">
        <v>1089</v>
      </c>
      <c r="D235" s="113">
        <v>46028.41065972222</v>
      </c>
      <c r="E235" s="112">
        <v>7900377152</v>
      </c>
      <c r="F235" s="112" t="s">
        <v>52</v>
      </c>
      <c r="G235" s="112">
        <v>3</v>
      </c>
      <c r="H235" s="112">
        <v>7900377152</v>
      </c>
      <c r="I235" s="112" t="s">
        <v>2064</v>
      </c>
      <c r="J235" s="112" t="s">
        <v>1092</v>
      </c>
      <c r="K235" s="112" t="s">
        <v>1093</v>
      </c>
      <c r="L235" s="112" t="s">
        <v>1061</v>
      </c>
      <c r="M235" s="112" t="s">
        <v>478</v>
      </c>
      <c r="N235" s="113">
        <v>46428.41065972222</v>
      </c>
      <c r="O235" s="114">
        <v>19002223946</v>
      </c>
      <c r="P235" s="112">
        <v>917</v>
      </c>
      <c r="Q235" s="112" t="s">
        <v>1062</v>
      </c>
      <c r="R235" s="112" t="s">
        <v>1063</v>
      </c>
      <c r="S235" s="113">
        <v>46052.735636574071</v>
      </c>
      <c r="T235" s="112" t="s">
        <v>2065</v>
      </c>
      <c r="U235" s="112" t="s">
        <v>1065</v>
      </c>
      <c r="V235" s="112" t="s">
        <v>1066</v>
      </c>
      <c r="W235" s="112" t="s">
        <v>1066</v>
      </c>
      <c r="X235" s="112" t="s">
        <v>1066</v>
      </c>
      <c r="Y235" s="112" t="s">
        <v>1066</v>
      </c>
      <c r="Z235" s="112" t="s">
        <v>1066</v>
      </c>
      <c r="AA235" s="112" t="s">
        <v>1067</v>
      </c>
      <c r="AB235" s="112" t="s">
        <v>1066</v>
      </c>
      <c r="AC235" s="112" t="s">
        <v>92</v>
      </c>
      <c r="AD235" s="112" t="s">
        <v>1066</v>
      </c>
      <c r="AE235" s="112" t="s">
        <v>1066</v>
      </c>
      <c r="AF235" s="112" t="s">
        <v>1066</v>
      </c>
      <c r="AG235" s="112" t="s">
        <v>1066</v>
      </c>
      <c r="AH235" s="112" t="s">
        <v>1066</v>
      </c>
      <c r="AI235" s="112" t="s">
        <v>785</v>
      </c>
      <c r="AJ235" s="112">
        <v>8733266</v>
      </c>
      <c r="AK235" s="112" t="s">
        <v>306</v>
      </c>
      <c r="AL235" s="112">
        <v>814801</v>
      </c>
      <c r="AM235" s="112" t="s">
        <v>1066</v>
      </c>
      <c r="AN235" s="112" t="s">
        <v>1066</v>
      </c>
    </row>
    <row r="236" spans="1:40" ht="55.5" customHeight="1" x14ac:dyDescent="0.25">
      <c r="A236" s="115" t="s">
        <v>2066</v>
      </c>
      <c r="B236" s="116">
        <v>2026</v>
      </c>
      <c r="C236" s="116" t="s">
        <v>2067</v>
      </c>
      <c r="D236" s="118">
        <v>46094.838541666664</v>
      </c>
      <c r="E236" s="116">
        <v>9001166015</v>
      </c>
      <c r="F236" s="116" t="s">
        <v>289</v>
      </c>
      <c r="G236" s="116">
        <v>3</v>
      </c>
      <c r="H236" s="116">
        <v>7925733015</v>
      </c>
      <c r="I236" s="116" t="s">
        <v>2068</v>
      </c>
      <c r="J236" s="116" t="s">
        <v>1071</v>
      </c>
      <c r="K236" s="116" t="s">
        <v>1296</v>
      </c>
      <c r="L236" s="116" t="s">
        <v>1073</v>
      </c>
      <c r="M236" s="116" t="s">
        <v>588</v>
      </c>
      <c r="N236" s="118">
        <v>46114.41306712963</v>
      </c>
      <c r="O236" s="119">
        <v>19001239174</v>
      </c>
      <c r="P236" s="116">
        <v>365</v>
      </c>
      <c r="Q236" s="116" t="s">
        <v>1131</v>
      </c>
      <c r="R236" s="116" t="s">
        <v>1075</v>
      </c>
      <c r="S236" s="116" t="s">
        <v>1066</v>
      </c>
      <c r="T236" s="116" t="s">
        <v>1066</v>
      </c>
      <c r="U236" s="116" t="s">
        <v>1066</v>
      </c>
      <c r="V236" s="116" t="s">
        <v>1066</v>
      </c>
      <c r="W236" s="116" t="s">
        <v>1066</v>
      </c>
      <c r="X236" s="116" t="s">
        <v>983</v>
      </c>
      <c r="Y236" s="116" t="s">
        <v>1066</v>
      </c>
      <c r="Z236" s="116" t="s">
        <v>1174</v>
      </c>
      <c r="AA236" s="116" t="s">
        <v>1067</v>
      </c>
      <c r="AB236" s="116" t="s">
        <v>1066</v>
      </c>
      <c r="AC236" s="116" t="s">
        <v>92</v>
      </c>
      <c r="AD236" s="116" t="s">
        <v>1142</v>
      </c>
      <c r="AE236" s="116" t="s">
        <v>1066</v>
      </c>
      <c r="AF236" s="116" t="s">
        <v>1066</v>
      </c>
      <c r="AG236" s="116" t="s">
        <v>1066</v>
      </c>
      <c r="AH236" s="116" t="s">
        <v>1066</v>
      </c>
      <c r="AI236" s="116" t="s">
        <v>785</v>
      </c>
      <c r="AJ236" s="116">
        <v>8984037</v>
      </c>
      <c r="AK236" s="116" t="s">
        <v>288</v>
      </c>
      <c r="AL236" s="116">
        <v>813445</v>
      </c>
      <c r="AM236" s="116" t="s">
        <v>1066</v>
      </c>
      <c r="AN236" s="116" t="s">
        <v>1066</v>
      </c>
    </row>
    <row r="237" spans="1:40" ht="55.5" customHeight="1" x14ac:dyDescent="0.25">
      <c r="A237" s="111" t="s">
        <v>2069</v>
      </c>
      <c r="B237" s="112">
        <v>2026</v>
      </c>
      <c r="C237" s="112" t="s">
        <v>1057</v>
      </c>
      <c r="D237" s="113">
        <v>46125.584386574075</v>
      </c>
      <c r="E237" s="112">
        <v>7927712032</v>
      </c>
      <c r="F237" s="112" t="s">
        <v>1574</v>
      </c>
      <c r="G237" s="112">
        <v>3</v>
      </c>
      <c r="H237" s="112">
        <v>7927712032</v>
      </c>
      <c r="I237" s="112" t="s">
        <v>2070</v>
      </c>
      <c r="J237" s="112" t="s">
        <v>1066</v>
      </c>
      <c r="K237" s="112" t="s">
        <v>1125</v>
      </c>
      <c r="L237" s="112" t="s">
        <v>1061</v>
      </c>
      <c r="M237" s="112" t="s">
        <v>478</v>
      </c>
      <c r="N237" s="113">
        <v>46525.584386574075</v>
      </c>
      <c r="O237" s="114">
        <v>19002204388</v>
      </c>
      <c r="P237" s="112">
        <v>94</v>
      </c>
      <c r="Q237" s="112" t="s">
        <v>1062</v>
      </c>
      <c r="R237" s="112" t="s">
        <v>1063</v>
      </c>
      <c r="S237" s="113">
        <v>46161.655601851853</v>
      </c>
      <c r="T237" s="112" t="s">
        <v>2071</v>
      </c>
      <c r="U237" s="112" t="s">
        <v>1065</v>
      </c>
      <c r="V237" s="112" t="s">
        <v>1066</v>
      </c>
      <c r="W237" s="112" t="s">
        <v>1066</v>
      </c>
      <c r="X237" s="112" t="s">
        <v>1066</v>
      </c>
      <c r="Y237" s="112" t="s">
        <v>1066</v>
      </c>
      <c r="Z237" s="112" t="s">
        <v>1066</v>
      </c>
      <c r="AA237" s="112" t="s">
        <v>1067</v>
      </c>
      <c r="AB237" s="112" t="s">
        <v>1066</v>
      </c>
      <c r="AC237" s="112" t="s">
        <v>92</v>
      </c>
      <c r="AD237" s="112" t="s">
        <v>1066</v>
      </c>
      <c r="AE237" s="112" t="s">
        <v>1066</v>
      </c>
      <c r="AF237" s="112" t="s">
        <v>1066</v>
      </c>
      <c r="AG237" s="112" t="s">
        <v>1066</v>
      </c>
      <c r="AH237" s="112" t="s">
        <v>1066</v>
      </c>
      <c r="AI237" s="112" t="s">
        <v>785</v>
      </c>
      <c r="AJ237" s="112">
        <v>8587048</v>
      </c>
      <c r="AK237" s="112" t="s">
        <v>469</v>
      </c>
      <c r="AL237" s="112">
        <v>645003</v>
      </c>
      <c r="AM237" s="112" t="s">
        <v>1066</v>
      </c>
      <c r="AN237" s="112" t="s">
        <v>1066</v>
      </c>
    </row>
    <row r="238" spans="1:40" ht="55.5" customHeight="1" x14ac:dyDescent="0.25">
      <c r="A238" s="111" t="s">
        <v>2072</v>
      </c>
      <c r="B238" s="112">
        <v>2026</v>
      </c>
      <c r="C238" s="112" t="s">
        <v>2073</v>
      </c>
      <c r="D238" s="113">
        <v>46075.364236111112</v>
      </c>
      <c r="E238" s="112">
        <v>9001284040</v>
      </c>
      <c r="F238" s="112" t="s">
        <v>284</v>
      </c>
      <c r="G238" s="112">
        <v>3</v>
      </c>
      <c r="H238" s="112">
        <v>7925713040</v>
      </c>
      <c r="I238" s="112" t="s">
        <v>2074</v>
      </c>
      <c r="J238" s="112" t="s">
        <v>1071</v>
      </c>
      <c r="K238" s="112" t="s">
        <v>1130</v>
      </c>
      <c r="L238" s="112" t="s">
        <v>1073</v>
      </c>
      <c r="M238" s="112" t="s">
        <v>478</v>
      </c>
      <c r="N238" s="113">
        <v>46078.364236111112</v>
      </c>
      <c r="O238" s="114">
        <v>19001240587</v>
      </c>
      <c r="P238" s="112">
        <v>1.1020000000000001</v>
      </c>
      <c r="Q238" s="112" t="s">
        <v>1131</v>
      </c>
      <c r="R238" s="112" t="s">
        <v>1075</v>
      </c>
      <c r="S238" s="113">
        <v>46125.73605324074</v>
      </c>
      <c r="T238" s="112" t="s">
        <v>2075</v>
      </c>
      <c r="U238" s="112" t="s">
        <v>1065</v>
      </c>
      <c r="V238" s="112" t="s">
        <v>1066</v>
      </c>
      <c r="W238" s="112" t="s">
        <v>1066</v>
      </c>
      <c r="X238" s="112" t="s">
        <v>1117</v>
      </c>
      <c r="Y238" s="112" t="s">
        <v>1066</v>
      </c>
      <c r="Z238" s="112" t="s">
        <v>1133</v>
      </c>
      <c r="AA238" s="112" t="s">
        <v>1067</v>
      </c>
      <c r="AB238" s="112" t="s">
        <v>1066</v>
      </c>
      <c r="AC238" s="112" t="s">
        <v>92</v>
      </c>
      <c r="AD238" s="112" t="s">
        <v>1142</v>
      </c>
      <c r="AE238" s="112" t="s">
        <v>1066</v>
      </c>
      <c r="AF238" s="112" t="s">
        <v>1066</v>
      </c>
      <c r="AG238" s="112" t="s">
        <v>1066</v>
      </c>
      <c r="AH238" s="112" t="s">
        <v>1066</v>
      </c>
      <c r="AI238" s="112" t="s">
        <v>785</v>
      </c>
      <c r="AJ238" s="112">
        <v>9243192</v>
      </c>
      <c r="AK238" s="112" t="s">
        <v>521</v>
      </c>
      <c r="AL238" s="112">
        <v>753963</v>
      </c>
      <c r="AM238" s="112" t="s">
        <v>1066</v>
      </c>
      <c r="AN238" s="112" t="s">
        <v>1066</v>
      </c>
    </row>
    <row r="239" spans="1:40" ht="55.5" customHeight="1" x14ac:dyDescent="0.25">
      <c r="A239" s="120" t="s">
        <v>2076</v>
      </c>
      <c r="B239" s="121">
        <v>2026</v>
      </c>
      <c r="C239" s="121" t="s">
        <v>2077</v>
      </c>
      <c r="D239" s="122">
        <v>46168.383611111109</v>
      </c>
      <c r="E239" s="121" t="s">
        <v>2078</v>
      </c>
      <c r="F239" s="121" t="s">
        <v>2078</v>
      </c>
      <c r="G239" s="121">
        <v>2</v>
      </c>
      <c r="H239" s="121">
        <v>7929763027</v>
      </c>
      <c r="I239" s="121" t="s">
        <v>2079</v>
      </c>
      <c r="J239" s="121" t="s">
        <v>1071</v>
      </c>
      <c r="K239" s="121" t="s">
        <v>2080</v>
      </c>
      <c r="L239" s="121" t="s">
        <v>1073</v>
      </c>
      <c r="M239" s="121" t="s">
        <v>1116</v>
      </c>
      <c r="N239" s="122">
        <v>46171.383611111109</v>
      </c>
      <c r="O239" s="123">
        <v>19002810720</v>
      </c>
      <c r="P239" s="121">
        <v>1.609</v>
      </c>
      <c r="Q239" s="121" t="s">
        <v>1131</v>
      </c>
      <c r="R239" s="121" t="s">
        <v>1263</v>
      </c>
      <c r="S239" s="122">
        <v>46188.619143518517</v>
      </c>
      <c r="T239" s="121" t="s">
        <v>1066</v>
      </c>
      <c r="U239" s="121" t="s">
        <v>1066</v>
      </c>
      <c r="V239" s="121" t="s">
        <v>1066</v>
      </c>
      <c r="W239" s="121" t="s">
        <v>1066</v>
      </c>
      <c r="X239" s="121" t="s">
        <v>1148</v>
      </c>
      <c r="Y239" s="121" t="s">
        <v>1066</v>
      </c>
      <c r="Z239" s="121" t="s">
        <v>1148</v>
      </c>
      <c r="AA239" s="121" t="s">
        <v>1067</v>
      </c>
      <c r="AB239" s="121" t="s">
        <v>1066</v>
      </c>
      <c r="AC239" s="121" t="s">
        <v>92</v>
      </c>
      <c r="AD239" s="121" t="s">
        <v>1066</v>
      </c>
      <c r="AE239" s="121" t="s">
        <v>1066</v>
      </c>
      <c r="AF239" s="121" t="s">
        <v>1066</v>
      </c>
      <c r="AG239" s="121" t="s">
        <v>1066</v>
      </c>
      <c r="AH239" s="121" t="s">
        <v>1066</v>
      </c>
      <c r="AI239" s="121" t="s">
        <v>785</v>
      </c>
      <c r="AJ239" s="121">
        <v>8658621</v>
      </c>
      <c r="AK239" s="121" t="s">
        <v>2081</v>
      </c>
      <c r="AL239" s="121">
        <v>991723</v>
      </c>
      <c r="AM239" s="121" t="s">
        <v>1066</v>
      </c>
      <c r="AN239" s="121" t="s">
        <v>1066</v>
      </c>
    </row>
    <row r="240" spans="1:40" ht="55.5" customHeight="1" x14ac:dyDescent="0.25">
      <c r="A240" s="111" t="s">
        <v>2082</v>
      </c>
      <c r="B240" s="112">
        <v>2026</v>
      </c>
      <c r="C240" s="112" t="s">
        <v>2083</v>
      </c>
      <c r="D240" s="113">
        <v>46091.69358796296</v>
      </c>
      <c r="E240" s="112" t="s">
        <v>1066</v>
      </c>
      <c r="F240" s="112" t="s">
        <v>2084</v>
      </c>
      <c r="G240" s="112" t="s">
        <v>1066</v>
      </c>
      <c r="H240" s="112" t="s">
        <v>1066</v>
      </c>
      <c r="I240" s="112" t="s">
        <v>2085</v>
      </c>
      <c r="J240" s="112" t="s">
        <v>1059</v>
      </c>
      <c r="K240" s="112" t="s">
        <v>1060</v>
      </c>
      <c r="L240" s="112" t="s">
        <v>1061</v>
      </c>
      <c r="M240" s="112" t="s">
        <v>478</v>
      </c>
      <c r="N240" s="113">
        <v>46491.69358796296</v>
      </c>
      <c r="O240" s="114">
        <v>19000248420</v>
      </c>
      <c r="P240" s="112">
        <v>0</v>
      </c>
      <c r="Q240" s="112" t="s">
        <v>1794</v>
      </c>
      <c r="R240" s="112" t="s">
        <v>1063</v>
      </c>
      <c r="S240" s="113">
        <v>46100.72929398148</v>
      </c>
      <c r="T240" s="112" t="s">
        <v>2086</v>
      </c>
      <c r="U240" s="112" t="s">
        <v>1065</v>
      </c>
      <c r="V240" s="112" t="s">
        <v>1066</v>
      </c>
      <c r="W240" s="112" t="s">
        <v>1066</v>
      </c>
      <c r="X240" s="112" t="s">
        <v>1066</v>
      </c>
      <c r="Y240" s="112" t="s">
        <v>1066</v>
      </c>
      <c r="Z240" s="112" t="s">
        <v>1066</v>
      </c>
      <c r="AA240" s="112" t="s">
        <v>1067</v>
      </c>
      <c r="AB240" s="112" t="s">
        <v>1066</v>
      </c>
      <c r="AC240" s="112" t="s">
        <v>92</v>
      </c>
      <c r="AD240" s="112" t="s">
        <v>1142</v>
      </c>
      <c r="AE240" s="112" t="s">
        <v>1066</v>
      </c>
      <c r="AF240" s="112" t="s">
        <v>1066</v>
      </c>
      <c r="AG240" s="112" t="s">
        <v>1066</v>
      </c>
      <c r="AH240" s="112" t="s">
        <v>1066</v>
      </c>
      <c r="AI240" s="112" t="s">
        <v>785</v>
      </c>
      <c r="AJ240" s="112" t="s">
        <v>1066</v>
      </c>
      <c r="AK240" s="112" t="s">
        <v>1066</v>
      </c>
      <c r="AL240" s="112" t="s">
        <v>1066</v>
      </c>
      <c r="AM240" s="112" t="s">
        <v>1066</v>
      </c>
      <c r="AN240" s="112" t="s">
        <v>1066</v>
      </c>
    </row>
    <row r="241" spans="1:40" ht="55.5" customHeight="1" x14ac:dyDescent="0.25">
      <c r="A241" s="111" t="s">
        <v>2087</v>
      </c>
      <c r="B241" s="112">
        <v>2026</v>
      </c>
      <c r="C241" s="112" t="s">
        <v>1280</v>
      </c>
      <c r="D241" s="113">
        <v>46109.124895833331</v>
      </c>
      <c r="E241" s="112">
        <v>9000349196</v>
      </c>
      <c r="F241" s="112" t="s">
        <v>234</v>
      </c>
      <c r="G241" s="112">
        <v>3</v>
      </c>
      <c r="H241" s="112">
        <v>7908694196</v>
      </c>
      <c r="I241" s="112" t="s">
        <v>2088</v>
      </c>
      <c r="J241" s="112" t="s">
        <v>1071</v>
      </c>
      <c r="K241" s="112" t="s">
        <v>1282</v>
      </c>
      <c r="L241" s="112" t="s">
        <v>1073</v>
      </c>
      <c r="M241" s="112" t="s">
        <v>478</v>
      </c>
      <c r="N241" s="113">
        <v>46112.124895833331</v>
      </c>
      <c r="O241" s="114">
        <v>19000097126</v>
      </c>
      <c r="P241" s="112">
        <v>1.5209999999999999</v>
      </c>
      <c r="Q241" s="112" t="s">
        <v>1131</v>
      </c>
      <c r="R241" s="112" t="s">
        <v>1075</v>
      </c>
      <c r="S241" s="113">
        <v>46114.451388888891</v>
      </c>
      <c r="T241" s="112" t="s">
        <v>2089</v>
      </c>
      <c r="U241" s="112" t="s">
        <v>1065</v>
      </c>
      <c r="V241" s="112" t="s">
        <v>1066</v>
      </c>
      <c r="W241" s="112" t="s">
        <v>1066</v>
      </c>
      <c r="X241" s="112" t="s">
        <v>983</v>
      </c>
      <c r="Y241" s="112" t="s">
        <v>1066</v>
      </c>
      <c r="Z241" s="112" t="s">
        <v>1078</v>
      </c>
      <c r="AA241" s="112" t="s">
        <v>1067</v>
      </c>
      <c r="AB241" s="112" t="s">
        <v>1066</v>
      </c>
      <c r="AC241" s="112" t="s">
        <v>92</v>
      </c>
      <c r="AD241" s="112" t="s">
        <v>1142</v>
      </c>
      <c r="AE241" s="112" t="s">
        <v>1066</v>
      </c>
      <c r="AF241" s="112" t="s">
        <v>1066</v>
      </c>
      <c r="AG241" s="112" t="s">
        <v>1066</v>
      </c>
      <c r="AH241" s="112" t="s">
        <v>1066</v>
      </c>
      <c r="AI241" s="112" t="s">
        <v>785</v>
      </c>
      <c r="AJ241" s="112">
        <v>8859353</v>
      </c>
      <c r="AK241" s="112" t="s">
        <v>233</v>
      </c>
      <c r="AL241" s="112">
        <v>874944</v>
      </c>
      <c r="AM241" s="112" t="s">
        <v>1066</v>
      </c>
      <c r="AN241" s="112" t="s">
        <v>1066</v>
      </c>
    </row>
    <row r="242" spans="1:40" ht="55.5" customHeight="1" x14ac:dyDescent="0.25">
      <c r="A242" s="124" t="s">
        <v>2090</v>
      </c>
      <c r="B242" s="125">
        <v>2026</v>
      </c>
      <c r="C242" s="125" t="s">
        <v>1210</v>
      </c>
      <c r="D242" s="126">
        <v>46114.608900462961</v>
      </c>
      <c r="E242" s="125">
        <v>7955347193</v>
      </c>
      <c r="F242" s="125" t="s">
        <v>370</v>
      </c>
      <c r="G242" s="125">
        <v>2</v>
      </c>
      <c r="H242" s="125">
        <v>7955347193</v>
      </c>
      <c r="I242" s="125" t="s">
        <v>2091</v>
      </c>
      <c r="J242" s="125" t="s">
        <v>1066</v>
      </c>
      <c r="K242" s="125" t="s">
        <v>1125</v>
      </c>
      <c r="L242" s="125" t="s">
        <v>1061</v>
      </c>
      <c r="M242" s="125" t="s">
        <v>510</v>
      </c>
      <c r="N242" s="126">
        <v>46514.608900462961</v>
      </c>
      <c r="O242" s="127">
        <v>19002741404</v>
      </c>
      <c r="P242" s="125">
        <v>91</v>
      </c>
      <c r="Q242" s="125" t="s">
        <v>1062</v>
      </c>
      <c r="R242" s="125" t="s">
        <v>1063</v>
      </c>
      <c r="S242" s="125" t="s">
        <v>1066</v>
      </c>
      <c r="T242" s="125" t="s">
        <v>1066</v>
      </c>
      <c r="U242" s="125" t="s">
        <v>1066</v>
      </c>
      <c r="V242" s="125" t="s">
        <v>1066</v>
      </c>
      <c r="W242" s="125" t="s">
        <v>1066</v>
      </c>
      <c r="X242" s="125" t="s">
        <v>1066</v>
      </c>
      <c r="Y242" s="125" t="s">
        <v>1066</v>
      </c>
      <c r="Z242" s="125" t="s">
        <v>1066</v>
      </c>
      <c r="AA242" s="125" t="s">
        <v>1067</v>
      </c>
      <c r="AB242" s="125" t="s">
        <v>1066</v>
      </c>
      <c r="AC242" s="125" t="s">
        <v>92</v>
      </c>
      <c r="AD242" s="125" t="s">
        <v>1066</v>
      </c>
      <c r="AE242" s="125" t="s">
        <v>1066</v>
      </c>
      <c r="AF242" s="125" t="s">
        <v>1066</v>
      </c>
      <c r="AG242" s="125" t="s">
        <v>1066</v>
      </c>
      <c r="AH242" s="125" t="s">
        <v>1066</v>
      </c>
      <c r="AI242" s="125" t="s">
        <v>785</v>
      </c>
      <c r="AJ242" s="125">
        <v>9082262</v>
      </c>
      <c r="AK242" s="125" t="s">
        <v>369</v>
      </c>
      <c r="AL242" s="125">
        <v>965915</v>
      </c>
      <c r="AM242" s="125" t="s">
        <v>1066</v>
      </c>
      <c r="AN242" s="125" t="s">
        <v>1066</v>
      </c>
    </row>
    <row r="243" spans="1:40" ht="55.5" customHeight="1" x14ac:dyDescent="0.25">
      <c r="A243" s="111" t="s">
        <v>2092</v>
      </c>
      <c r="B243" s="112">
        <v>2026</v>
      </c>
      <c r="C243" s="112" t="s">
        <v>1089</v>
      </c>
      <c r="D243" s="113">
        <v>46028.41065972222</v>
      </c>
      <c r="E243" s="112">
        <v>7913655100</v>
      </c>
      <c r="F243" s="112" t="s">
        <v>1255</v>
      </c>
      <c r="G243" s="112">
        <v>1</v>
      </c>
      <c r="H243" s="112">
        <v>7913655100</v>
      </c>
      <c r="I243" s="112" t="s">
        <v>1256</v>
      </c>
      <c r="J243" s="112" t="s">
        <v>1092</v>
      </c>
      <c r="K243" s="112" t="s">
        <v>1093</v>
      </c>
      <c r="L243" s="112" t="s">
        <v>1061</v>
      </c>
      <c r="M243" s="112" t="s">
        <v>478</v>
      </c>
      <c r="N243" s="113">
        <v>46428.41065972222</v>
      </c>
      <c r="O243" s="114">
        <v>19002790561</v>
      </c>
      <c r="P243" s="112">
        <v>2.0190000000000001</v>
      </c>
      <c r="Q243" s="112" t="s">
        <v>1062</v>
      </c>
      <c r="R243" s="112" t="s">
        <v>1063</v>
      </c>
      <c r="S243" s="113">
        <v>46218.618217592593</v>
      </c>
      <c r="T243" s="112" t="s">
        <v>2093</v>
      </c>
      <c r="U243" s="112" t="s">
        <v>1065</v>
      </c>
      <c r="V243" s="112" t="s">
        <v>1066</v>
      </c>
      <c r="W243" s="112" t="s">
        <v>1066</v>
      </c>
      <c r="X243" s="112" t="s">
        <v>1066</v>
      </c>
      <c r="Y243" s="112" t="s">
        <v>1066</v>
      </c>
      <c r="Z243" s="112" t="s">
        <v>1066</v>
      </c>
      <c r="AA243" s="112" t="s">
        <v>1067</v>
      </c>
      <c r="AB243" s="112" t="s">
        <v>1066</v>
      </c>
      <c r="AC243" s="112" t="s">
        <v>92</v>
      </c>
      <c r="AD243" s="112" t="s">
        <v>1066</v>
      </c>
      <c r="AE243" s="112" t="s">
        <v>1066</v>
      </c>
      <c r="AF243" s="112" t="s">
        <v>1066</v>
      </c>
      <c r="AG243" s="112" t="s">
        <v>1066</v>
      </c>
      <c r="AH243" s="112" t="s">
        <v>1066</v>
      </c>
      <c r="AI243" s="112" t="s">
        <v>785</v>
      </c>
      <c r="AJ243" s="112">
        <v>8858812</v>
      </c>
      <c r="AK243" s="112" t="s">
        <v>264</v>
      </c>
      <c r="AL243" s="112">
        <v>810764</v>
      </c>
      <c r="AM243" s="112" t="s">
        <v>1066</v>
      </c>
      <c r="AN243" s="112" t="s">
        <v>1066</v>
      </c>
    </row>
    <row r="244" spans="1:40" ht="55.5" customHeight="1" x14ac:dyDescent="0.25">
      <c r="A244" s="111" t="s">
        <v>2094</v>
      </c>
      <c r="B244" s="112">
        <v>2026</v>
      </c>
      <c r="C244" s="112" t="s">
        <v>2095</v>
      </c>
      <c r="D244" s="113">
        <v>46111.656006944446</v>
      </c>
      <c r="E244" s="112">
        <v>9000661086</v>
      </c>
      <c r="F244" s="112" t="s">
        <v>355</v>
      </c>
      <c r="G244" s="112">
        <v>3</v>
      </c>
      <c r="H244" s="112">
        <v>7900663086</v>
      </c>
      <c r="I244" s="112" t="s">
        <v>2096</v>
      </c>
      <c r="J244" s="112" t="s">
        <v>1082</v>
      </c>
      <c r="K244" s="112" t="s">
        <v>1083</v>
      </c>
      <c r="L244" s="112" t="s">
        <v>1084</v>
      </c>
      <c r="M244" s="112" t="s">
        <v>478</v>
      </c>
      <c r="N244" s="113">
        <v>46171.656006944446</v>
      </c>
      <c r="O244" s="114">
        <v>19000125367</v>
      </c>
      <c r="P244" s="112">
        <v>667</v>
      </c>
      <c r="Q244" s="112" t="s">
        <v>1131</v>
      </c>
      <c r="R244" s="112" t="s">
        <v>1085</v>
      </c>
      <c r="S244" s="113">
        <v>46141.549398148149</v>
      </c>
      <c r="T244" s="112" t="s">
        <v>2097</v>
      </c>
      <c r="U244" s="112" t="s">
        <v>1065</v>
      </c>
      <c r="V244" s="112" t="s">
        <v>1066</v>
      </c>
      <c r="W244" s="112" t="s">
        <v>1066</v>
      </c>
      <c r="X244" s="112" t="s">
        <v>983</v>
      </c>
      <c r="Y244" s="112" t="s">
        <v>1066</v>
      </c>
      <c r="Z244" s="112" t="s">
        <v>1066</v>
      </c>
      <c r="AA244" s="112" t="s">
        <v>1067</v>
      </c>
      <c r="AB244" s="112" t="s">
        <v>1066</v>
      </c>
      <c r="AC244" s="112" t="s">
        <v>92</v>
      </c>
      <c r="AD244" s="112" t="s">
        <v>1142</v>
      </c>
      <c r="AE244" s="112" t="s">
        <v>1066</v>
      </c>
      <c r="AF244" s="112" t="s">
        <v>1066</v>
      </c>
      <c r="AG244" s="112" t="s">
        <v>1066</v>
      </c>
      <c r="AH244" s="112" t="s">
        <v>1066</v>
      </c>
      <c r="AI244" s="112" t="s">
        <v>785</v>
      </c>
      <c r="AJ244" s="112">
        <v>8917108</v>
      </c>
      <c r="AK244" s="112" t="s">
        <v>1143</v>
      </c>
      <c r="AL244" s="112">
        <v>643347</v>
      </c>
      <c r="AM244" s="112" t="s">
        <v>1066</v>
      </c>
      <c r="AN244" s="112" t="s">
        <v>1066</v>
      </c>
    </row>
    <row r="245" spans="1:40" ht="55.5" customHeight="1" x14ac:dyDescent="0.25">
      <c r="A245" s="111" t="s">
        <v>2098</v>
      </c>
      <c r="B245" s="112">
        <v>2026</v>
      </c>
      <c r="C245" s="112" t="s">
        <v>1057</v>
      </c>
      <c r="D245" s="113">
        <v>46125.584386574075</v>
      </c>
      <c r="E245" s="112">
        <v>7940273029</v>
      </c>
      <c r="F245" s="112" t="s">
        <v>294</v>
      </c>
      <c r="G245" s="112">
        <v>1</v>
      </c>
      <c r="H245" s="112">
        <v>7940273029</v>
      </c>
      <c r="I245" s="112" t="s">
        <v>2099</v>
      </c>
      <c r="J245" s="112" t="s">
        <v>1066</v>
      </c>
      <c r="K245" s="112" t="s">
        <v>1125</v>
      </c>
      <c r="L245" s="112" t="s">
        <v>1061</v>
      </c>
      <c r="M245" s="112" t="s">
        <v>478</v>
      </c>
      <c r="N245" s="113">
        <v>46525.584386574075</v>
      </c>
      <c r="O245" s="114">
        <v>19002208620</v>
      </c>
      <c r="P245" s="112">
        <v>0</v>
      </c>
      <c r="Q245" s="112" t="s">
        <v>1062</v>
      </c>
      <c r="R245" s="112" t="s">
        <v>1063</v>
      </c>
      <c r="S245" s="113">
        <v>46171.460185185184</v>
      </c>
      <c r="T245" s="112" t="s">
        <v>2100</v>
      </c>
      <c r="U245" s="112" t="s">
        <v>1065</v>
      </c>
      <c r="V245" s="112" t="s">
        <v>1066</v>
      </c>
      <c r="W245" s="112" t="s">
        <v>1066</v>
      </c>
      <c r="X245" s="112" t="s">
        <v>1066</v>
      </c>
      <c r="Y245" s="112" t="s">
        <v>1066</v>
      </c>
      <c r="Z245" s="112" t="s">
        <v>1066</v>
      </c>
      <c r="AA245" s="112" t="s">
        <v>1067</v>
      </c>
      <c r="AB245" s="112" t="s">
        <v>1066</v>
      </c>
      <c r="AC245" s="112" t="s">
        <v>92</v>
      </c>
      <c r="AD245" s="112" t="s">
        <v>1066</v>
      </c>
      <c r="AE245" s="112" t="s">
        <v>1066</v>
      </c>
      <c r="AF245" s="112" t="s">
        <v>1066</v>
      </c>
      <c r="AG245" s="112" t="s">
        <v>1066</v>
      </c>
      <c r="AH245" s="112" t="s">
        <v>1066</v>
      </c>
      <c r="AI245" s="112" t="s">
        <v>785</v>
      </c>
      <c r="AJ245" s="112">
        <v>8579192</v>
      </c>
      <c r="AK245" s="112" t="s">
        <v>415</v>
      </c>
      <c r="AL245" s="112">
        <v>785682</v>
      </c>
      <c r="AM245" s="112" t="s">
        <v>1066</v>
      </c>
      <c r="AN245" s="112" t="s">
        <v>1066</v>
      </c>
    </row>
    <row r="246" spans="1:40" ht="55.5" customHeight="1" x14ac:dyDescent="0.25">
      <c r="A246" s="111" t="s">
        <v>2101</v>
      </c>
      <c r="B246" s="112">
        <v>2026</v>
      </c>
      <c r="C246" s="112" t="s">
        <v>2102</v>
      </c>
      <c r="D246" s="113">
        <v>46050.659861111111</v>
      </c>
      <c r="E246" s="112" t="s">
        <v>1066</v>
      </c>
      <c r="F246" s="112" t="s">
        <v>2103</v>
      </c>
      <c r="G246" s="112" t="s">
        <v>1066</v>
      </c>
      <c r="H246" s="112" t="s">
        <v>1066</v>
      </c>
      <c r="I246" s="112" t="s">
        <v>2104</v>
      </c>
      <c r="J246" s="112" t="s">
        <v>1059</v>
      </c>
      <c r="K246" s="112" t="s">
        <v>1060</v>
      </c>
      <c r="L246" s="112" t="s">
        <v>1061</v>
      </c>
      <c r="M246" s="112" t="s">
        <v>478</v>
      </c>
      <c r="N246" s="113">
        <v>46450.659861111111</v>
      </c>
      <c r="O246" s="114">
        <v>19001361479</v>
      </c>
      <c r="P246" s="112">
        <v>0</v>
      </c>
      <c r="Q246" s="112" t="s">
        <v>1794</v>
      </c>
      <c r="R246" s="112" t="s">
        <v>1063</v>
      </c>
      <c r="S246" s="113">
        <v>46059.501840277779</v>
      </c>
      <c r="T246" s="112" t="s">
        <v>2105</v>
      </c>
      <c r="U246" s="112" t="s">
        <v>1065</v>
      </c>
      <c r="V246" s="112" t="s">
        <v>1066</v>
      </c>
      <c r="W246" s="112" t="s">
        <v>1066</v>
      </c>
      <c r="X246" s="112" t="s">
        <v>1066</v>
      </c>
      <c r="Y246" s="112" t="s">
        <v>1066</v>
      </c>
      <c r="Z246" s="112" t="s">
        <v>1066</v>
      </c>
      <c r="AA246" s="112" t="s">
        <v>1067</v>
      </c>
      <c r="AB246" s="112" t="s">
        <v>1066</v>
      </c>
      <c r="AC246" s="112" t="s">
        <v>92</v>
      </c>
      <c r="AD246" s="112" t="s">
        <v>1066</v>
      </c>
      <c r="AE246" s="112" t="s">
        <v>1066</v>
      </c>
      <c r="AF246" s="112" t="s">
        <v>1066</v>
      </c>
      <c r="AG246" s="112" t="s">
        <v>1066</v>
      </c>
      <c r="AH246" s="112" t="s">
        <v>1066</v>
      </c>
      <c r="AI246" s="112" t="s">
        <v>785</v>
      </c>
      <c r="AJ246" s="112" t="s">
        <v>1066</v>
      </c>
      <c r="AK246" s="112" t="s">
        <v>1066</v>
      </c>
      <c r="AL246" s="112" t="s">
        <v>1066</v>
      </c>
      <c r="AM246" s="112" t="s">
        <v>1066</v>
      </c>
      <c r="AN246" s="112" t="s">
        <v>1066</v>
      </c>
    </row>
    <row r="247" spans="1:40" ht="55.5" customHeight="1" x14ac:dyDescent="0.25">
      <c r="A247" s="111" t="s">
        <v>2106</v>
      </c>
      <c r="B247" s="112">
        <v>2026</v>
      </c>
      <c r="C247" s="112" t="s">
        <v>1240</v>
      </c>
      <c r="D247" s="113">
        <v>46183.597349537034</v>
      </c>
      <c r="E247" s="112">
        <v>7900339151</v>
      </c>
      <c r="F247" s="112" t="s">
        <v>234</v>
      </c>
      <c r="G247" s="112">
        <v>3</v>
      </c>
      <c r="H247" s="112">
        <v>7900339151</v>
      </c>
      <c r="I247" s="112" t="s">
        <v>2107</v>
      </c>
      <c r="J247" s="112" t="s">
        <v>1066</v>
      </c>
      <c r="K247" s="112" t="s">
        <v>1125</v>
      </c>
      <c r="L247" s="112" t="s">
        <v>1061</v>
      </c>
      <c r="M247" s="112" t="s">
        <v>478</v>
      </c>
      <c r="N247" s="113">
        <v>46583.597349537034</v>
      </c>
      <c r="O247" s="114">
        <v>19002225693</v>
      </c>
      <c r="P247" s="112">
        <v>3.4820000000000002</v>
      </c>
      <c r="Q247" s="112" t="s">
        <v>1062</v>
      </c>
      <c r="R247" s="112" t="s">
        <v>1063</v>
      </c>
      <c r="S247" s="113">
        <v>46197.487060185187</v>
      </c>
      <c r="T247" s="112" t="s">
        <v>2108</v>
      </c>
      <c r="U247" s="112" t="s">
        <v>1065</v>
      </c>
      <c r="V247" s="112" t="s">
        <v>1066</v>
      </c>
      <c r="W247" s="112" t="s">
        <v>1066</v>
      </c>
      <c r="X247" s="112" t="s">
        <v>1066</v>
      </c>
      <c r="Y247" s="112" t="s">
        <v>1066</v>
      </c>
      <c r="Z247" s="112" t="s">
        <v>1066</v>
      </c>
      <c r="AA247" s="112" t="s">
        <v>1067</v>
      </c>
      <c r="AB247" s="112" t="s">
        <v>1066</v>
      </c>
      <c r="AC247" s="112" t="s">
        <v>92</v>
      </c>
      <c r="AD247" s="112" t="s">
        <v>1066</v>
      </c>
      <c r="AE247" s="112" t="s">
        <v>1066</v>
      </c>
      <c r="AF247" s="112" t="s">
        <v>1066</v>
      </c>
      <c r="AG247" s="112" t="s">
        <v>1066</v>
      </c>
      <c r="AH247" s="112" t="s">
        <v>1066</v>
      </c>
      <c r="AI247" s="112" t="s">
        <v>785</v>
      </c>
      <c r="AJ247" s="112">
        <v>8862300</v>
      </c>
      <c r="AK247" s="112" t="s">
        <v>1455</v>
      </c>
      <c r="AL247" s="112">
        <v>848993</v>
      </c>
      <c r="AM247" s="112" t="s">
        <v>1066</v>
      </c>
      <c r="AN247" s="112" t="s">
        <v>1066</v>
      </c>
    </row>
    <row r="248" spans="1:40" ht="55.5" customHeight="1" x14ac:dyDescent="0.25">
      <c r="A248" s="124" t="s">
        <v>2109</v>
      </c>
      <c r="B248" s="125">
        <v>2026</v>
      </c>
      <c r="C248" s="125" t="s">
        <v>1449</v>
      </c>
      <c r="D248" s="126">
        <v>46244.660034722219</v>
      </c>
      <c r="E248" s="125">
        <v>7900531033</v>
      </c>
      <c r="F248" s="125" t="s">
        <v>2110</v>
      </c>
      <c r="G248" s="125">
        <v>1</v>
      </c>
      <c r="H248" s="125">
        <v>7900531033</v>
      </c>
      <c r="I248" s="125" t="s">
        <v>2111</v>
      </c>
      <c r="J248" s="125" t="s">
        <v>1066</v>
      </c>
      <c r="K248" s="125" t="s">
        <v>1125</v>
      </c>
      <c r="L248" s="125" t="s">
        <v>1061</v>
      </c>
      <c r="M248" s="125" t="s">
        <v>510</v>
      </c>
      <c r="N248" s="126">
        <v>46644.660034722219</v>
      </c>
      <c r="O248" s="127">
        <v>19002210953</v>
      </c>
      <c r="P248" s="125">
        <v>2.7050000000000001</v>
      </c>
      <c r="Q248" s="125" t="s">
        <v>1062</v>
      </c>
      <c r="R248" s="125" t="s">
        <v>1063</v>
      </c>
      <c r="S248" s="125" t="s">
        <v>1066</v>
      </c>
      <c r="T248" s="125" t="s">
        <v>1066</v>
      </c>
      <c r="U248" s="125" t="s">
        <v>1066</v>
      </c>
      <c r="V248" s="125" t="s">
        <v>1066</v>
      </c>
      <c r="W248" s="125" t="s">
        <v>1066</v>
      </c>
      <c r="X248" s="125" t="s">
        <v>1066</v>
      </c>
      <c r="Y248" s="125" t="s">
        <v>1066</v>
      </c>
      <c r="Z248" s="125" t="s">
        <v>1066</v>
      </c>
      <c r="AA248" s="125" t="s">
        <v>1067</v>
      </c>
      <c r="AB248" s="125" t="s">
        <v>1066</v>
      </c>
      <c r="AC248" s="125" t="s">
        <v>92</v>
      </c>
      <c r="AD248" s="125" t="s">
        <v>1066</v>
      </c>
      <c r="AE248" s="125" t="s">
        <v>1066</v>
      </c>
      <c r="AF248" s="125" t="s">
        <v>1066</v>
      </c>
      <c r="AG248" s="125" t="s">
        <v>1066</v>
      </c>
      <c r="AH248" s="125" t="s">
        <v>1066</v>
      </c>
      <c r="AI248" s="125" t="s">
        <v>785</v>
      </c>
      <c r="AJ248" s="125">
        <v>9033186</v>
      </c>
      <c r="AK248" s="125" t="s">
        <v>1566</v>
      </c>
      <c r="AL248" s="125">
        <v>747064</v>
      </c>
      <c r="AM248" s="125" t="s">
        <v>1066</v>
      </c>
      <c r="AN248" s="125" t="s">
        <v>1066</v>
      </c>
    </row>
    <row r="249" spans="1:40" ht="55.5" customHeight="1" x14ac:dyDescent="0.25">
      <c r="A249" s="111" t="s">
        <v>2112</v>
      </c>
      <c r="B249" s="112">
        <v>2026</v>
      </c>
      <c r="C249" s="112" t="s">
        <v>1089</v>
      </c>
      <c r="D249" s="113">
        <v>46028.41065972222</v>
      </c>
      <c r="E249" s="112">
        <v>7907257059</v>
      </c>
      <c r="F249" s="112" t="s">
        <v>2113</v>
      </c>
      <c r="G249" s="112">
        <v>1</v>
      </c>
      <c r="H249" s="112">
        <v>7907257059</v>
      </c>
      <c r="I249" s="112" t="s">
        <v>2114</v>
      </c>
      <c r="J249" s="112" t="s">
        <v>1092</v>
      </c>
      <c r="K249" s="112" t="s">
        <v>1093</v>
      </c>
      <c r="L249" s="112" t="s">
        <v>1061</v>
      </c>
      <c r="M249" s="112" t="s">
        <v>478</v>
      </c>
      <c r="N249" s="113">
        <v>46428.41065972222</v>
      </c>
      <c r="O249" s="114">
        <v>19002260899</v>
      </c>
      <c r="P249" s="112">
        <v>8.2059999999999995</v>
      </c>
      <c r="Q249" s="112" t="s">
        <v>1062</v>
      </c>
      <c r="R249" s="112" t="s">
        <v>1063</v>
      </c>
      <c r="S249" s="113">
        <v>46038.601550925923</v>
      </c>
      <c r="T249" s="112" t="s">
        <v>2115</v>
      </c>
      <c r="U249" s="112" t="s">
        <v>1065</v>
      </c>
      <c r="V249" s="112" t="s">
        <v>1066</v>
      </c>
      <c r="W249" s="112" t="s">
        <v>1066</v>
      </c>
      <c r="X249" s="112" t="s">
        <v>1066</v>
      </c>
      <c r="Y249" s="112" t="s">
        <v>1066</v>
      </c>
      <c r="Z249" s="112" t="s">
        <v>1066</v>
      </c>
      <c r="AA249" s="112" t="s">
        <v>1067</v>
      </c>
      <c r="AB249" s="112" t="s">
        <v>1066</v>
      </c>
      <c r="AC249" s="112" t="s">
        <v>92</v>
      </c>
      <c r="AD249" s="112" t="s">
        <v>1066</v>
      </c>
      <c r="AE249" s="112" t="s">
        <v>1066</v>
      </c>
      <c r="AF249" s="112" t="s">
        <v>1066</v>
      </c>
      <c r="AG249" s="112" t="s">
        <v>1066</v>
      </c>
      <c r="AH249" s="112" t="s">
        <v>1066</v>
      </c>
      <c r="AI249" s="112" t="s">
        <v>785</v>
      </c>
      <c r="AJ249" s="112">
        <v>8858346</v>
      </c>
      <c r="AK249" s="112" t="s">
        <v>264</v>
      </c>
      <c r="AL249" s="112">
        <v>794961</v>
      </c>
      <c r="AM249" s="112" t="s">
        <v>1066</v>
      </c>
      <c r="AN249" s="112" t="s">
        <v>1066</v>
      </c>
    </row>
    <row r="250" spans="1:40" ht="55.5" customHeight="1" x14ac:dyDescent="0.25">
      <c r="A250" s="124" t="s">
        <v>2116</v>
      </c>
      <c r="B250" s="125">
        <v>2026</v>
      </c>
      <c r="C250" s="125" t="s">
        <v>1449</v>
      </c>
      <c r="D250" s="126">
        <v>46244.660034722219</v>
      </c>
      <c r="E250" s="125">
        <v>7958237186</v>
      </c>
      <c r="F250" s="125" t="s">
        <v>1236</v>
      </c>
      <c r="G250" s="125">
        <v>3</v>
      </c>
      <c r="H250" s="125">
        <v>7958237186</v>
      </c>
      <c r="I250" s="125" t="s">
        <v>2117</v>
      </c>
      <c r="J250" s="125" t="s">
        <v>1066</v>
      </c>
      <c r="K250" s="125" t="s">
        <v>1125</v>
      </c>
      <c r="L250" s="125" t="s">
        <v>1061</v>
      </c>
      <c r="M250" s="125" t="s">
        <v>510</v>
      </c>
      <c r="N250" s="126">
        <v>46644.660034722219</v>
      </c>
      <c r="O250" s="127">
        <v>19002743810</v>
      </c>
      <c r="P250" s="125">
        <v>90</v>
      </c>
      <c r="Q250" s="125" t="s">
        <v>1062</v>
      </c>
      <c r="R250" s="125" t="s">
        <v>1063</v>
      </c>
      <c r="S250" s="125" t="s">
        <v>1066</v>
      </c>
      <c r="T250" s="125" t="s">
        <v>2118</v>
      </c>
      <c r="U250" s="125" t="s">
        <v>1147</v>
      </c>
      <c r="V250" s="125" t="s">
        <v>1066</v>
      </c>
      <c r="W250" s="125" t="s">
        <v>1066</v>
      </c>
      <c r="X250" s="125" t="s">
        <v>1066</v>
      </c>
      <c r="Y250" s="125" t="s">
        <v>1066</v>
      </c>
      <c r="Z250" s="125" t="s">
        <v>1066</v>
      </c>
      <c r="AA250" s="125" t="s">
        <v>1067</v>
      </c>
      <c r="AB250" s="125" t="s">
        <v>1066</v>
      </c>
      <c r="AC250" s="125" t="s">
        <v>92</v>
      </c>
      <c r="AD250" s="125" t="s">
        <v>1066</v>
      </c>
      <c r="AE250" s="125" t="s">
        <v>1066</v>
      </c>
      <c r="AF250" s="125" t="s">
        <v>1066</v>
      </c>
      <c r="AG250" s="125" t="s">
        <v>1066</v>
      </c>
      <c r="AH250" s="125" t="s">
        <v>1066</v>
      </c>
      <c r="AI250" s="125" t="s">
        <v>785</v>
      </c>
      <c r="AJ250" s="125">
        <v>8599455</v>
      </c>
      <c r="AK250" s="125" t="s">
        <v>1438</v>
      </c>
      <c r="AL250" s="125">
        <v>762191</v>
      </c>
      <c r="AM250" s="125" t="s">
        <v>1066</v>
      </c>
      <c r="AN250" s="125" t="s">
        <v>1066</v>
      </c>
    </row>
    <row r="251" spans="1:40" ht="55.5" customHeight="1" x14ac:dyDescent="0.25">
      <c r="A251" s="111" t="s">
        <v>2119</v>
      </c>
      <c r="B251" s="112">
        <v>2026</v>
      </c>
      <c r="C251" s="112" t="s">
        <v>2120</v>
      </c>
      <c r="D251" s="113">
        <v>46142.662962962961</v>
      </c>
      <c r="E251" s="112">
        <v>8801636084</v>
      </c>
      <c r="F251" s="112" t="s">
        <v>682</v>
      </c>
      <c r="G251" s="112">
        <v>2</v>
      </c>
      <c r="H251" s="112">
        <v>5800586084</v>
      </c>
      <c r="I251" s="112" t="s">
        <v>2121</v>
      </c>
      <c r="J251" s="112" t="s">
        <v>1071</v>
      </c>
      <c r="K251" s="112" t="s">
        <v>1261</v>
      </c>
      <c r="L251" s="112" t="s">
        <v>1073</v>
      </c>
      <c r="M251" s="112" t="s">
        <v>478</v>
      </c>
      <c r="N251" s="113">
        <v>46145.662962962961</v>
      </c>
      <c r="O251" s="114">
        <v>19002679240</v>
      </c>
      <c r="P251" s="112">
        <v>5.8890000000000002</v>
      </c>
      <c r="Q251" s="112" t="s">
        <v>1074</v>
      </c>
      <c r="R251" s="112" t="s">
        <v>1075</v>
      </c>
      <c r="S251" s="113">
        <v>46155.431250000001</v>
      </c>
      <c r="T251" s="112" t="s">
        <v>2122</v>
      </c>
      <c r="U251" s="112" t="s">
        <v>1065</v>
      </c>
      <c r="V251" s="112" t="s">
        <v>1066</v>
      </c>
      <c r="W251" s="112" t="s">
        <v>1066</v>
      </c>
      <c r="X251" s="112" t="s">
        <v>1077</v>
      </c>
      <c r="Y251" s="112" t="s">
        <v>1066</v>
      </c>
      <c r="Z251" s="112" t="s">
        <v>1078</v>
      </c>
      <c r="AA251" s="112" t="s">
        <v>1067</v>
      </c>
      <c r="AB251" s="112" t="s">
        <v>1066</v>
      </c>
      <c r="AC251" s="112" t="s">
        <v>92</v>
      </c>
      <c r="AD251" s="112" t="s">
        <v>1066</v>
      </c>
      <c r="AE251" s="112" t="s">
        <v>1066</v>
      </c>
      <c r="AF251" s="112" t="s">
        <v>1066</v>
      </c>
      <c r="AG251" s="112" t="s">
        <v>1066</v>
      </c>
      <c r="AH251" s="112" t="s">
        <v>1066</v>
      </c>
      <c r="AI251" s="112" t="s">
        <v>785</v>
      </c>
      <c r="AJ251" s="112">
        <v>8913318</v>
      </c>
      <c r="AK251" s="112" t="s">
        <v>1311</v>
      </c>
      <c r="AL251" s="112">
        <v>697794</v>
      </c>
      <c r="AM251" s="112" t="s">
        <v>1066</v>
      </c>
      <c r="AN251" s="112" t="s">
        <v>1066</v>
      </c>
    </row>
    <row r="252" spans="1:40" ht="55.5" customHeight="1" x14ac:dyDescent="0.25">
      <c r="A252" s="111" t="s">
        <v>2123</v>
      </c>
      <c r="B252" s="112">
        <v>2026</v>
      </c>
      <c r="C252" s="112" t="s">
        <v>2124</v>
      </c>
      <c r="D252" s="113">
        <v>46071.387685185182</v>
      </c>
      <c r="E252" s="112">
        <v>7900713029</v>
      </c>
      <c r="F252" s="112" t="s">
        <v>294</v>
      </c>
      <c r="G252" s="112">
        <v>2</v>
      </c>
      <c r="H252" s="112">
        <v>7900713029</v>
      </c>
      <c r="I252" s="112" t="s">
        <v>2125</v>
      </c>
      <c r="J252" s="112" t="s">
        <v>1071</v>
      </c>
      <c r="K252" s="112" t="s">
        <v>1399</v>
      </c>
      <c r="L252" s="112" t="s">
        <v>1073</v>
      </c>
      <c r="M252" s="112" t="s">
        <v>478</v>
      </c>
      <c r="N252" s="113">
        <v>46074.387685185182</v>
      </c>
      <c r="O252" s="114">
        <v>19002226142</v>
      </c>
      <c r="P252" s="112">
        <v>0</v>
      </c>
      <c r="Q252" s="112" t="s">
        <v>1062</v>
      </c>
      <c r="R252" s="112" t="s">
        <v>1075</v>
      </c>
      <c r="S252" s="113">
        <v>46087.62777777778</v>
      </c>
      <c r="T252" s="112" t="s">
        <v>2126</v>
      </c>
      <c r="U252" s="112" t="s">
        <v>1065</v>
      </c>
      <c r="V252" s="112" t="s">
        <v>1066</v>
      </c>
      <c r="W252" s="112" t="s">
        <v>1066</v>
      </c>
      <c r="X252" s="112" t="s">
        <v>1066</v>
      </c>
      <c r="Y252" s="112" t="s">
        <v>1066</v>
      </c>
      <c r="Z252" s="112" t="s">
        <v>1066</v>
      </c>
      <c r="AA252" s="112" t="s">
        <v>1067</v>
      </c>
      <c r="AB252" s="112" t="s">
        <v>1066</v>
      </c>
      <c r="AC252" s="112" t="s">
        <v>92</v>
      </c>
      <c r="AD252" s="112" t="s">
        <v>1066</v>
      </c>
      <c r="AE252" s="112" t="s">
        <v>1066</v>
      </c>
      <c r="AF252" s="112" t="s">
        <v>1066</v>
      </c>
      <c r="AG252" s="112" t="s">
        <v>1066</v>
      </c>
      <c r="AH252" s="112" t="s">
        <v>1066</v>
      </c>
      <c r="AI252" s="112" t="s">
        <v>785</v>
      </c>
      <c r="AJ252" s="112">
        <v>8557057</v>
      </c>
      <c r="AK252" s="112" t="s">
        <v>415</v>
      </c>
      <c r="AL252" s="112">
        <v>780406</v>
      </c>
      <c r="AM252" s="112" t="s">
        <v>1066</v>
      </c>
      <c r="AN252" s="112" t="s">
        <v>1066</v>
      </c>
    </row>
    <row r="253" spans="1:40" ht="55.5" customHeight="1" x14ac:dyDescent="0.25">
      <c r="A253" s="111" t="s">
        <v>2127</v>
      </c>
      <c r="B253" s="112">
        <v>2026</v>
      </c>
      <c r="C253" s="112" t="s">
        <v>2128</v>
      </c>
      <c r="D253" s="113">
        <v>46110.332881944443</v>
      </c>
      <c r="E253" s="112">
        <v>7930912039</v>
      </c>
      <c r="F253" s="112" t="s">
        <v>2129</v>
      </c>
      <c r="G253" s="112">
        <v>2</v>
      </c>
      <c r="H253" s="112">
        <v>7930912039</v>
      </c>
      <c r="I253" s="112" t="s">
        <v>2130</v>
      </c>
      <c r="J253" s="112" t="s">
        <v>1071</v>
      </c>
      <c r="K253" s="112" t="s">
        <v>1296</v>
      </c>
      <c r="L253" s="112" t="s">
        <v>1073</v>
      </c>
      <c r="M253" s="112" t="s">
        <v>478</v>
      </c>
      <c r="N253" s="113">
        <v>46113.332881944443</v>
      </c>
      <c r="O253" s="114">
        <v>19002260538</v>
      </c>
      <c r="P253" s="112">
        <v>0</v>
      </c>
      <c r="Q253" s="112" t="s">
        <v>1062</v>
      </c>
      <c r="R253" s="112" t="s">
        <v>1075</v>
      </c>
      <c r="S253" s="113">
        <v>46135.729166666664</v>
      </c>
      <c r="T253" s="112" t="s">
        <v>2131</v>
      </c>
      <c r="U253" s="112" t="s">
        <v>1065</v>
      </c>
      <c r="V253" s="112" t="s">
        <v>1066</v>
      </c>
      <c r="W253" s="112" t="s">
        <v>1066</v>
      </c>
      <c r="X253" s="112" t="s">
        <v>983</v>
      </c>
      <c r="Y253" s="112" t="s">
        <v>1066</v>
      </c>
      <c r="Z253" s="112" t="s">
        <v>1318</v>
      </c>
      <c r="AA253" s="112" t="s">
        <v>1067</v>
      </c>
      <c r="AB253" s="112" t="s">
        <v>1066</v>
      </c>
      <c r="AC253" s="112" t="s">
        <v>92</v>
      </c>
      <c r="AD253" s="112" t="s">
        <v>1066</v>
      </c>
      <c r="AE253" s="112" t="s">
        <v>1066</v>
      </c>
      <c r="AF253" s="112" t="s">
        <v>1066</v>
      </c>
      <c r="AG253" s="112" t="s">
        <v>1066</v>
      </c>
      <c r="AH253" s="112" t="s">
        <v>1066</v>
      </c>
      <c r="AI253" s="112" t="s">
        <v>785</v>
      </c>
      <c r="AJ253" s="112">
        <v>9374635</v>
      </c>
      <c r="AK253" s="112" t="s">
        <v>57</v>
      </c>
      <c r="AL253" s="112">
        <v>820065</v>
      </c>
      <c r="AM253" s="112" t="s">
        <v>1066</v>
      </c>
      <c r="AN253" s="112" t="s">
        <v>1066</v>
      </c>
    </row>
    <row r="254" spans="1:40" ht="55.5" customHeight="1" x14ac:dyDescent="0.25">
      <c r="A254" s="111" t="s">
        <v>2132</v>
      </c>
      <c r="B254" s="112">
        <v>2026</v>
      </c>
      <c r="C254" s="112" t="s">
        <v>1057</v>
      </c>
      <c r="D254" s="113">
        <v>46125.584386574075</v>
      </c>
      <c r="E254" s="112">
        <v>7928248107</v>
      </c>
      <c r="F254" s="112" t="s">
        <v>1740</v>
      </c>
      <c r="G254" s="112">
        <v>3</v>
      </c>
      <c r="H254" s="112">
        <v>7928248107</v>
      </c>
      <c r="I254" s="112" t="s">
        <v>2133</v>
      </c>
      <c r="J254" s="112" t="s">
        <v>1066</v>
      </c>
      <c r="K254" s="112" t="s">
        <v>1125</v>
      </c>
      <c r="L254" s="112" t="s">
        <v>1061</v>
      </c>
      <c r="M254" s="112" t="s">
        <v>478</v>
      </c>
      <c r="N254" s="113">
        <v>46525.584386574075</v>
      </c>
      <c r="O254" s="114">
        <v>19002260503</v>
      </c>
      <c r="P254" s="112">
        <v>53</v>
      </c>
      <c r="Q254" s="112" t="s">
        <v>1062</v>
      </c>
      <c r="R254" s="112" t="s">
        <v>1063</v>
      </c>
      <c r="S254" s="113">
        <v>46162.648611111108</v>
      </c>
      <c r="T254" s="112" t="s">
        <v>2134</v>
      </c>
      <c r="U254" s="112" t="s">
        <v>1065</v>
      </c>
      <c r="V254" s="112" t="s">
        <v>1066</v>
      </c>
      <c r="W254" s="112" t="s">
        <v>1066</v>
      </c>
      <c r="X254" s="112" t="s">
        <v>1066</v>
      </c>
      <c r="Y254" s="112" t="s">
        <v>1066</v>
      </c>
      <c r="Z254" s="112" t="s">
        <v>1066</v>
      </c>
      <c r="AA254" s="112" t="s">
        <v>1067</v>
      </c>
      <c r="AB254" s="112" t="s">
        <v>1066</v>
      </c>
      <c r="AC254" s="112" t="s">
        <v>92</v>
      </c>
      <c r="AD254" s="112" t="s">
        <v>1066</v>
      </c>
      <c r="AE254" s="112" t="s">
        <v>1066</v>
      </c>
      <c r="AF254" s="112" t="s">
        <v>1066</v>
      </c>
      <c r="AG254" s="112" t="s">
        <v>1066</v>
      </c>
      <c r="AH254" s="112" t="s">
        <v>1066</v>
      </c>
      <c r="AI254" s="112" t="s">
        <v>785</v>
      </c>
      <c r="AJ254" s="112">
        <v>8617827</v>
      </c>
      <c r="AK254" s="112" t="s">
        <v>1787</v>
      </c>
      <c r="AL254" s="112">
        <v>642539</v>
      </c>
      <c r="AM254" s="112" t="s">
        <v>1066</v>
      </c>
      <c r="AN254" s="112" t="s">
        <v>1066</v>
      </c>
    </row>
    <row r="255" spans="1:40" ht="55.5" customHeight="1" x14ac:dyDescent="0.25">
      <c r="A255" s="124" t="s">
        <v>402</v>
      </c>
      <c r="B255" s="125">
        <v>2026</v>
      </c>
      <c r="C255" s="125" t="s">
        <v>404</v>
      </c>
      <c r="D255" s="126">
        <v>46241.372928240744</v>
      </c>
      <c r="E255" s="125">
        <v>9000605028</v>
      </c>
      <c r="F255" s="125" t="s">
        <v>43</v>
      </c>
      <c r="G255" s="125">
        <v>2</v>
      </c>
      <c r="H255" s="125">
        <v>7944353028</v>
      </c>
      <c r="I255" s="125" t="s">
        <v>2135</v>
      </c>
      <c r="J255" s="125" t="s">
        <v>1071</v>
      </c>
      <c r="K255" s="125" t="s">
        <v>1457</v>
      </c>
      <c r="L255" s="125" t="s">
        <v>1073</v>
      </c>
      <c r="M255" s="125" t="s">
        <v>510</v>
      </c>
      <c r="N255" s="126">
        <v>46244.372928240744</v>
      </c>
      <c r="O255" s="127">
        <v>19002536010</v>
      </c>
      <c r="P255" s="125">
        <v>1.603</v>
      </c>
      <c r="Q255" s="125" t="s">
        <v>1131</v>
      </c>
      <c r="R255" s="125" t="s">
        <v>1075</v>
      </c>
      <c r="S255" s="125" t="s">
        <v>1066</v>
      </c>
      <c r="T255" s="125" t="s">
        <v>1066</v>
      </c>
      <c r="U255" s="125" t="s">
        <v>1066</v>
      </c>
      <c r="V255" s="125" t="s">
        <v>1066</v>
      </c>
      <c r="W255" s="125" t="s">
        <v>1066</v>
      </c>
      <c r="X255" s="125" t="s">
        <v>1148</v>
      </c>
      <c r="Y255" s="125" t="s">
        <v>1066</v>
      </c>
      <c r="Z255" s="125" t="s">
        <v>1148</v>
      </c>
      <c r="AA255" s="125" t="s">
        <v>1067</v>
      </c>
      <c r="AB255" s="125" t="s">
        <v>1066</v>
      </c>
      <c r="AC255" s="125" t="s">
        <v>92</v>
      </c>
      <c r="AD255" s="125" t="s">
        <v>1066</v>
      </c>
      <c r="AE255" s="125" t="s">
        <v>1066</v>
      </c>
      <c r="AF255" s="125" t="s">
        <v>1066</v>
      </c>
      <c r="AG255" s="125" t="s">
        <v>1066</v>
      </c>
      <c r="AH255" s="125" t="s">
        <v>1066</v>
      </c>
      <c r="AI255" s="125" t="s">
        <v>785</v>
      </c>
      <c r="AJ255" s="125">
        <v>8703467</v>
      </c>
      <c r="AK255" s="125" t="s">
        <v>403</v>
      </c>
      <c r="AL255" s="125">
        <v>881986</v>
      </c>
      <c r="AM255" s="125" t="s">
        <v>1066</v>
      </c>
      <c r="AN255" s="125" t="s">
        <v>1066</v>
      </c>
    </row>
    <row r="256" spans="1:40" ht="55.5" customHeight="1" x14ac:dyDescent="0.25">
      <c r="A256" s="111" t="s">
        <v>2136</v>
      </c>
      <c r="B256" s="112">
        <v>2026</v>
      </c>
      <c r="C256" s="112" t="s">
        <v>1251</v>
      </c>
      <c r="D256" s="113">
        <v>46031.603807870371</v>
      </c>
      <c r="E256" s="112">
        <v>7913660051</v>
      </c>
      <c r="F256" s="112" t="s">
        <v>380</v>
      </c>
      <c r="G256" s="112">
        <v>3</v>
      </c>
      <c r="H256" s="112">
        <v>7913660051</v>
      </c>
      <c r="I256" s="112" t="s">
        <v>2137</v>
      </c>
      <c r="J256" s="112" t="s">
        <v>1059</v>
      </c>
      <c r="K256" s="112" t="s">
        <v>1060</v>
      </c>
      <c r="L256" s="112" t="s">
        <v>1061</v>
      </c>
      <c r="M256" s="112" t="s">
        <v>478</v>
      </c>
      <c r="N256" s="113">
        <v>46431.603807870371</v>
      </c>
      <c r="O256" s="114">
        <v>19002212984</v>
      </c>
      <c r="P256" s="112">
        <v>361</v>
      </c>
      <c r="Q256" s="112" t="s">
        <v>1062</v>
      </c>
      <c r="R256" s="112" t="s">
        <v>1063</v>
      </c>
      <c r="S256" s="113">
        <v>46031.729166666664</v>
      </c>
      <c r="T256" s="112" t="s">
        <v>1253</v>
      </c>
      <c r="U256" s="112" t="s">
        <v>1065</v>
      </c>
      <c r="V256" s="112" t="s">
        <v>1066</v>
      </c>
      <c r="W256" s="112" t="s">
        <v>1066</v>
      </c>
      <c r="X256" s="112" t="s">
        <v>1066</v>
      </c>
      <c r="Y256" s="112" t="s">
        <v>1066</v>
      </c>
      <c r="Z256" s="112" t="s">
        <v>1066</v>
      </c>
      <c r="AA256" s="112" t="s">
        <v>1067</v>
      </c>
      <c r="AB256" s="112" t="s">
        <v>1066</v>
      </c>
      <c r="AC256" s="112" t="s">
        <v>92</v>
      </c>
      <c r="AD256" s="112" t="s">
        <v>1066</v>
      </c>
      <c r="AE256" s="112" t="s">
        <v>1066</v>
      </c>
      <c r="AF256" s="112" t="s">
        <v>1066</v>
      </c>
      <c r="AG256" s="112" t="s">
        <v>1066</v>
      </c>
      <c r="AH256" s="112" t="s">
        <v>1066</v>
      </c>
      <c r="AI256" s="112" t="s">
        <v>785</v>
      </c>
      <c r="AJ256" s="112">
        <v>8591181</v>
      </c>
      <c r="AK256" s="112" t="s">
        <v>2138</v>
      </c>
      <c r="AL256" s="112">
        <v>989362</v>
      </c>
      <c r="AM256" s="112" t="s">
        <v>1066</v>
      </c>
      <c r="AN256" s="112" t="s">
        <v>1066</v>
      </c>
    </row>
    <row r="257" spans="1:40" ht="55.5" customHeight="1" x14ac:dyDescent="0.25">
      <c r="A257" s="111" t="s">
        <v>2139</v>
      </c>
      <c r="B257" s="112">
        <v>2026</v>
      </c>
      <c r="C257" s="112" t="s">
        <v>1057</v>
      </c>
      <c r="D257" s="113">
        <v>46125.614548611113</v>
      </c>
      <c r="E257" s="112">
        <v>7930359149</v>
      </c>
      <c r="F257" s="112" t="s">
        <v>355</v>
      </c>
      <c r="G257" s="112">
        <v>3</v>
      </c>
      <c r="H257" s="112">
        <v>7930359149</v>
      </c>
      <c r="I257" s="112" t="s">
        <v>2140</v>
      </c>
      <c r="J257" s="112" t="s">
        <v>1066</v>
      </c>
      <c r="K257" s="112" t="s">
        <v>1125</v>
      </c>
      <c r="L257" s="112" t="s">
        <v>1061</v>
      </c>
      <c r="M257" s="112" t="s">
        <v>478</v>
      </c>
      <c r="N257" s="113">
        <v>46525.614548611113</v>
      </c>
      <c r="O257" s="114">
        <v>19002210993</v>
      </c>
      <c r="P257" s="112">
        <v>1.3420000000000001</v>
      </c>
      <c r="Q257" s="112" t="s">
        <v>1062</v>
      </c>
      <c r="R257" s="112" t="s">
        <v>1063</v>
      </c>
      <c r="S257" s="113">
        <v>46174.3125</v>
      </c>
      <c r="T257" s="112" t="s">
        <v>1307</v>
      </c>
      <c r="U257" s="112" t="s">
        <v>1065</v>
      </c>
      <c r="V257" s="112" t="s">
        <v>1066</v>
      </c>
      <c r="W257" s="112" t="s">
        <v>1066</v>
      </c>
      <c r="X257" s="112" t="s">
        <v>1066</v>
      </c>
      <c r="Y257" s="112" t="s">
        <v>1066</v>
      </c>
      <c r="Z257" s="112" t="s">
        <v>1066</v>
      </c>
      <c r="AA257" s="112" t="s">
        <v>1067</v>
      </c>
      <c r="AB257" s="112" t="s">
        <v>1066</v>
      </c>
      <c r="AC257" s="112" t="s">
        <v>92</v>
      </c>
      <c r="AD257" s="112" t="s">
        <v>1066</v>
      </c>
      <c r="AE257" s="112" t="s">
        <v>1066</v>
      </c>
      <c r="AF257" s="112" t="s">
        <v>1066</v>
      </c>
      <c r="AG257" s="112" t="s">
        <v>1066</v>
      </c>
      <c r="AH257" s="112" t="s">
        <v>1066</v>
      </c>
      <c r="AI257" s="112" t="s">
        <v>785</v>
      </c>
      <c r="AJ257" s="112">
        <v>8934104</v>
      </c>
      <c r="AK257" s="112" t="s">
        <v>195</v>
      </c>
      <c r="AL257" s="112">
        <v>623917</v>
      </c>
      <c r="AM257" s="112" t="s">
        <v>1066</v>
      </c>
      <c r="AN257" s="112" t="s">
        <v>1066</v>
      </c>
    </row>
    <row r="258" spans="1:40" ht="55.5" customHeight="1" x14ac:dyDescent="0.25">
      <c r="A258" s="111" t="s">
        <v>2141</v>
      </c>
      <c r="B258" s="112">
        <v>2026</v>
      </c>
      <c r="C258" s="112" t="s">
        <v>1057</v>
      </c>
      <c r="D258" s="113">
        <v>46125.614548611113</v>
      </c>
      <c r="E258" s="112">
        <v>7930418006</v>
      </c>
      <c r="F258" s="112" t="s">
        <v>239</v>
      </c>
      <c r="G258" s="112">
        <v>3</v>
      </c>
      <c r="H258" s="112">
        <v>7930418006</v>
      </c>
      <c r="I258" s="112" t="s">
        <v>2142</v>
      </c>
      <c r="J258" s="112" t="s">
        <v>1066</v>
      </c>
      <c r="K258" s="112" t="s">
        <v>1125</v>
      </c>
      <c r="L258" s="112" t="s">
        <v>1061</v>
      </c>
      <c r="M258" s="112" t="s">
        <v>478</v>
      </c>
      <c r="N258" s="113">
        <v>46525.614548611113</v>
      </c>
      <c r="O258" s="114">
        <v>19002208216</v>
      </c>
      <c r="P258" s="112">
        <v>0</v>
      </c>
      <c r="Q258" s="112" t="s">
        <v>1062</v>
      </c>
      <c r="R258" s="112" t="s">
        <v>1063</v>
      </c>
      <c r="S258" s="113">
        <v>46196.729432870372</v>
      </c>
      <c r="T258" s="112" t="s">
        <v>2143</v>
      </c>
      <c r="U258" s="112" t="s">
        <v>1065</v>
      </c>
      <c r="V258" s="112" t="s">
        <v>1066</v>
      </c>
      <c r="W258" s="112" t="s">
        <v>1066</v>
      </c>
      <c r="X258" s="112" t="s">
        <v>1066</v>
      </c>
      <c r="Y258" s="112" t="s">
        <v>1066</v>
      </c>
      <c r="Z258" s="112" t="s">
        <v>1066</v>
      </c>
      <c r="AA258" s="112" t="s">
        <v>1067</v>
      </c>
      <c r="AB258" s="112" t="s">
        <v>1066</v>
      </c>
      <c r="AC258" s="112" t="s">
        <v>92</v>
      </c>
      <c r="AD258" s="112" t="s">
        <v>1066</v>
      </c>
      <c r="AE258" s="112" t="s">
        <v>1066</v>
      </c>
      <c r="AF258" s="112" t="s">
        <v>1066</v>
      </c>
      <c r="AG258" s="112" t="s">
        <v>1066</v>
      </c>
      <c r="AH258" s="112" t="s">
        <v>1066</v>
      </c>
      <c r="AI258" s="112" t="s">
        <v>785</v>
      </c>
      <c r="AJ258" s="112">
        <v>8939963</v>
      </c>
      <c r="AK258" s="112" t="s">
        <v>1243</v>
      </c>
      <c r="AL258" s="112">
        <v>787671</v>
      </c>
      <c r="AM258" s="112" t="s">
        <v>1066</v>
      </c>
      <c r="AN258" s="112" t="s">
        <v>1066</v>
      </c>
    </row>
    <row r="259" spans="1:40" ht="55.5" customHeight="1" x14ac:dyDescent="0.25">
      <c r="A259" s="111" t="s">
        <v>2144</v>
      </c>
      <c r="B259" s="112">
        <v>2026</v>
      </c>
      <c r="C259" s="112" t="s">
        <v>1057</v>
      </c>
      <c r="D259" s="113">
        <v>46125.614548611113</v>
      </c>
      <c r="E259" s="112">
        <v>7900567149</v>
      </c>
      <c r="F259" s="112" t="s">
        <v>355</v>
      </c>
      <c r="G259" s="112">
        <v>3</v>
      </c>
      <c r="H259" s="112">
        <v>7900567149</v>
      </c>
      <c r="I259" s="112" t="s">
        <v>2145</v>
      </c>
      <c r="J259" s="112" t="s">
        <v>1066</v>
      </c>
      <c r="K259" s="112" t="s">
        <v>1125</v>
      </c>
      <c r="L259" s="112" t="s">
        <v>1061</v>
      </c>
      <c r="M259" s="112" t="s">
        <v>478</v>
      </c>
      <c r="N259" s="113">
        <v>46525.614548611113</v>
      </c>
      <c r="O259" s="114">
        <v>19002259176</v>
      </c>
      <c r="P259" s="112">
        <v>501</v>
      </c>
      <c r="Q259" s="112" t="s">
        <v>1062</v>
      </c>
      <c r="R259" s="112" t="s">
        <v>1063</v>
      </c>
      <c r="S259" s="113">
        <v>46174.3125</v>
      </c>
      <c r="T259" s="112" t="s">
        <v>1307</v>
      </c>
      <c r="U259" s="112" t="s">
        <v>1065</v>
      </c>
      <c r="V259" s="112" t="s">
        <v>1066</v>
      </c>
      <c r="W259" s="112" t="s">
        <v>1066</v>
      </c>
      <c r="X259" s="112" t="s">
        <v>1066</v>
      </c>
      <c r="Y259" s="112" t="s">
        <v>1066</v>
      </c>
      <c r="Z259" s="112" t="s">
        <v>1066</v>
      </c>
      <c r="AA259" s="112" t="s">
        <v>1067</v>
      </c>
      <c r="AB259" s="112" t="s">
        <v>1066</v>
      </c>
      <c r="AC259" s="112" t="s">
        <v>92</v>
      </c>
      <c r="AD259" s="112" t="s">
        <v>1066</v>
      </c>
      <c r="AE259" s="112" t="s">
        <v>1066</v>
      </c>
      <c r="AF259" s="112" t="s">
        <v>1066</v>
      </c>
      <c r="AG259" s="112" t="s">
        <v>1066</v>
      </c>
      <c r="AH259" s="112" t="s">
        <v>1066</v>
      </c>
      <c r="AI259" s="112" t="s">
        <v>785</v>
      </c>
      <c r="AJ259" s="112">
        <v>8929815</v>
      </c>
      <c r="AK259" s="112" t="s">
        <v>195</v>
      </c>
      <c r="AL259" s="112">
        <v>625147</v>
      </c>
      <c r="AM259" s="112" t="s">
        <v>1066</v>
      </c>
      <c r="AN259" s="112" t="s">
        <v>1066</v>
      </c>
    </row>
    <row r="260" spans="1:40" ht="55.5" customHeight="1" x14ac:dyDescent="0.25">
      <c r="A260" s="111" t="s">
        <v>2146</v>
      </c>
      <c r="B260" s="112">
        <v>2026</v>
      </c>
      <c r="C260" s="112" t="s">
        <v>1057</v>
      </c>
      <c r="D260" s="113">
        <v>46125.614548611113</v>
      </c>
      <c r="E260" s="112">
        <v>7900888055</v>
      </c>
      <c r="F260" s="112" t="s">
        <v>1415</v>
      </c>
      <c r="G260" s="112">
        <v>3</v>
      </c>
      <c r="H260" s="112">
        <v>7900888055</v>
      </c>
      <c r="I260" s="112" t="s">
        <v>2147</v>
      </c>
      <c r="J260" s="112" t="s">
        <v>1066</v>
      </c>
      <c r="K260" s="112" t="s">
        <v>1125</v>
      </c>
      <c r="L260" s="112" t="s">
        <v>1061</v>
      </c>
      <c r="M260" s="112" t="s">
        <v>478</v>
      </c>
      <c r="N260" s="113">
        <v>46525.614548611113</v>
      </c>
      <c r="O260" s="114">
        <v>19002223299</v>
      </c>
      <c r="P260" s="112">
        <v>0</v>
      </c>
      <c r="Q260" s="112" t="s">
        <v>1062</v>
      </c>
      <c r="R260" s="112" t="s">
        <v>1063</v>
      </c>
      <c r="S260" s="113">
        <v>46174.3125</v>
      </c>
      <c r="T260" s="112" t="s">
        <v>1307</v>
      </c>
      <c r="U260" s="112" t="s">
        <v>1065</v>
      </c>
      <c r="V260" s="112" t="s">
        <v>1066</v>
      </c>
      <c r="W260" s="112" t="s">
        <v>1066</v>
      </c>
      <c r="X260" s="112" t="s">
        <v>1066</v>
      </c>
      <c r="Y260" s="112" t="s">
        <v>1066</v>
      </c>
      <c r="Z260" s="112" t="s">
        <v>1066</v>
      </c>
      <c r="AA260" s="112" t="s">
        <v>1067</v>
      </c>
      <c r="AB260" s="112" t="s">
        <v>1066</v>
      </c>
      <c r="AC260" s="112" t="s">
        <v>92</v>
      </c>
      <c r="AD260" s="112" t="s">
        <v>1066</v>
      </c>
      <c r="AE260" s="112" t="s">
        <v>1066</v>
      </c>
      <c r="AF260" s="112" t="s">
        <v>1066</v>
      </c>
      <c r="AG260" s="112" t="s">
        <v>1066</v>
      </c>
      <c r="AH260" s="112" t="s">
        <v>1066</v>
      </c>
      <c r="AI260" s="112" t="s">
        <v>785</v>
      </c>
      <c r="AJ260" s="112">
        <v>8987759</v>
      </c>
      <c r="AK260" s="112" t="s">
        <v>482</v>
      </c>
      <c r="AL260" s="112">
        <v>669391</v>
      </c>
      <c r="AM260" s="112" t="s">
        <v>1066</v>
      </c>
      <c r="AN260" s="112" t="s">
        <v>1066</v>
      </c>
    </row>
    <row r="261" spans="1:40" ht="55.5" customHeight="1" x14ac:dyDescent="0.25">
      <c r="A261" s="111" t="s">
        <v>2148</v>
      </c>
      <c r="B261" s="112">
        <v>2026</v>
      </c>
      <c r="C261" s="112" t="s">
        <v>2149</v>
      </c>
      <c r="D261" s="113">
        <v>46230.415324074071</v>
      </c>
      <c r="E261" s="112">
        <v>7900002055</v>
      </c>
      <c r="F261" s="112" t="s">
        <v>1950</v>
      </c>
      <c r="G261" s="112">
        <v>3</v>
      </c>
      <c r="H261" s="112">
        <v>7900002055</v>
      </c>
      <c r="I261" s="112" t="s">
        <v>1951</v>
      </c>
      <c r="J261" s="112" t="s">
        <v>1157</v>
      </c>
      <c r="K261" s="112" t="s">
        <v>2150</v>
      </c>
      <c r="L261" s="112" t="s">
        <v>1084</v>
      </c>
      <c r="M261" s="112" t="s">
        <v>478</v>
      </c>
      <c r="N261" s="113">
        <v>46290.415324074071</v>
      </c>
      <c r="O261" s="114">
        <v>19002687298</v>
      </c>
      <c r="P261" s="112">
        <v>1.792</v>
      </c>
      <c r="Q261" s="112" t="s">
        <v>1062</v>
      </c>
      <c r="R261" s="112" t="s">
        <v>1085</v>
      </c>
      <c r="S261" s="113">
        <v>46247.733657407407</v>
      </c>
      <c r="T261" s="112" t="s">
        <v>2151</v>
      </c>
      <c r="U261" s="112" t="s">
        <v>1065</v>
      </c>
      <c r="V261" s="112" t="s">
        <v>1066</v>
      </c>
      <c r="W261" s="112" t="s">
        <v>1066</v>
      </c>
      <c r="X261" s="112" t="s">
        <v>1117</v>
      </c>
      <c r="Y261" s="112" t="s">
        <v>1066</v>
      </c>
      <c r="Z261" s="112" t="s">
        <v>2152</v>
      </c>
      <c r="AA261" s="112" t="s">
        <v>1067</v>
      </c>
      <c r="AB261" s="112" t="s">
        <v>1066</v>
      </c>
      <c r="AC261" s="112" t="s">
        <v>92</v>
      </c>
      <c r="AD261" s="112" t="s">
        <v>1066</v>
      </c>
      <c r="AE261" s="112" t="s">
        <v>1066</v>
      </c>
      <c r="AF261" s="112" t="s">
        <v>1066</v>
      </c>
      <c r="AG261" s="112" t="s">
        <v>1066</v>
      </c>
      <c r="AH261" s="112" t="s">
        <v>1066</v>
      </c>
      <c r="AI261" s="112" t="s">
        <v>785</v>
      </c>
      <c r="AJ261" s="112">
        <v>9025557</v>
      </c>
      <c r="AK261" s="112" t="s">
        <v>482</v>
      </c>
      <c r="AL261" s="112">
        <v>659541</v>
      </c>
      <c r="AM261" s="112" t="s">
        <v>1066</v>
      </c>
      <c r="AN261" s="112" t="s">
        <v>1066</v>
      </c>
    </row>
    <row r="262" spans="1:40" ht="55.5" customHeight="1" x14ac:dyDescent="0.25">
      <c r="A262" s="111" t="s">
        <v>2153</v>
      </c>
      <c r="B262" s="112">
        <v>2026</v>
      </c>
      <c r="C262" s="112" t="s">
        <v>1057</v>
      </c>
      <c r="D262" s="113">
        <v>46125.614548611113</v>
      </c>
      <c r="E262" s="112">
        <v>7922502271</v>
      </c>
      <c r="F262" s="112" t="s">
        <v>2154</v>
      </c>
      <c r="G262" s="112">
        <v>3</v>
      </c>
      <c r="H262" s="112">
        <v>7922502271</v>
      </c>
      <c r="I262" s="112" t="s">
        <v>2155</v>
      </c>
      <c r="J262" s="112" t="s">
        <v>1066</v>
      </c>
      <c r="K262" s="112" t="s">
        <v>1125</v>
      </c>
      <c r="L262" s="112" t="s">
        <v>1061</v>
      </c>
      <c r="M262" s="112" t="s">
        <v>478</v>
      </c>
      <c r="N262" s="113">
        <v>46525.614548611113</v>
      </c>
      <c r="O262" s="114">
        <v>19002218190</v>
      </c>
      <c r="P262" s="112">
        <v>606</v>
      </c>
      <c r="Q262" s="112" t="s">
        <v>1062</v>
      </c>
      <c r="R262" s="112" t="s">
        <v>1063</v>
      </c>
      <c r="S262" s="113">
        <v>46218.729166666664</v>
      </c>
      <c r="T262" s="112" t="s">
        <v>2156</v>
      </c>
      <c r="U262" s="112" t="s">
        <v>1065</v>
      </c>
      <c r="V262" s="112" t="s">
        <v>1066</v>
      </c>
      <c r="W262" s="112" t="s">
        <v>1066</v>
      </c>
      <c r="X262" s="112" t="s">
        <v>1066</v>
      </c>
      <c r="Y262" s="112" t="s">
        <v>1066</v>
      </c>
      <c r="Z262" s="112" t="s">
        <v>1066</v>
      </c>
      <c r="AA262" s="112" t="s">
        <v>1067</v>
      </c>
      <c r="AB262" s="112" t="s">
        <v>1066</v>
      </c>
      <c r="AC262" s="112" t="s">
        <v>92</v>
      </c>
      <c r="AD262" s="112" t="s">
        <v>1066</v>
      </c>
      <c r="AE262" s="112" t="s">
        <v>1066</v>
      </c>
      <c r="AF262" s="112" t="s">
        <v>1066</v>
      </c>
      <c r="AG262" s="112" t="s">
        <v>1066</v>
      </c>
      <c r="AH262" s="112" t="s">
        <v>1066</v>
      </c>
      <c r="AI262" s="112" t="s">
        <v>785</v>
      </c>
      <c r="AJ262" s="112">
        <v>8867406</v>
      </c>
      <c r="AK262" s="112" t="s">
        <v>50</v>
      </c>
      <c r="AL262" s="112">
        <v>778169</v>
      </c>
      <c r="AM262" s="112" t="s">
        <v>1066</v>
      </c>
      <c r="AN262" s="112" t="s">
        <v>1066</v>
      </c>
    </row>
    <row r="263" spans="1:40" ht="55.5" customHeight="1" x14ac:dyDescent="0.25">
      <c r="A263" s="111" t="s">
        <v>2157</v>
      </c>
      <c r="B263" s="112">
        <v>2026</v>
      </c>
      <c r="C263" s="112" t="s">
        <v>2158</v>
      </c>
      <c r="D263" s="113">
        <v>46023.602870370371</v>
      </c>
      <c r="E263" s="112">
        <v>9004494004</v>
      </c>
      <c r="F263" s="112" t="s">
        <v>1665</v>
      </c>
      <c r="G263" s="112">
        <v>2</v>
      </c>
      <c r="H263" s="112">
        <v>7935865004</v>
      </c>
      <c r="I263" s="112" t="s">
        <v>2159</v>
      </c>
      <c r="J263" s="112" t="s">
        <v>1071</v>
      </c>
      <c r="K263" s="112" t="s">
        <v>1130</v>
      </c>
      <c r="L263" s="112" t="s">
        <v>1073</v>
      </c>
      <c r="M263" s="112" t="s">
        <v>478</v>
      </c>
      <c r="N263" s="113">
        <v>46026.602870370371</v>
      </c>
      <c r="O263" s="114">
        <v>19001318873</v>
      </c>
      <c r="P263" s="112">
        <v>0</v>
      </c>
      <c r="Q263" s="112" t="s">
        <v>1131</v>
      </c>
      <c r="R263" s="112" t="s">
        <v>1063</v>
      </c>
      <c r="S263" s="113">
        <v>46028.643055555556</v>
      </c>
      <c r="T263" s="112" t="s">
        <v>2160</v>
      </c>
      <c r="U263" s="112" t="s">
        <v>1065</v>
      </c>
      <c r="V263" s="112" t="s">
        <v>1066</v>
      </c>
      <c r="W263" s="112" t="s">
        <v>1066</v>
      </c>
      <c r="X263" s="112" t="s">
        <v>1117</v>
      </c>
      <c r="Y263" s="112" t="s">
        <v>1066</v>
      </c>
      <c r="Z263" s="112" t="s">
        <v>1133</v>
      </c>
      <c r="AA263" s="112" t="s">
        <v>1067</v>
      </c>
      <c r="AB263" s="112" t="s">
        <v>1066</v>
      </c>
      <c r="AC263" s="112" t="s">
        <v>92</v>
      </c>
      <c r="AD263" s="112" t="s">
        <v>1142</v>
      </c>
      <c r="AE263" s="112" t="s">
        <v>1066</v>
      </c>
      <c r="AF263" s="112" t="s">
        <v>1066</v>
      </c>
      <c r="AG263" s="112" t="s">
        <v>1066</v>
      </c>
      <c r="AH263" s="112" t="s">
        <v>1066</v>
      </c>
      <c r="AI263" s="112" t="s">
        <v>785</v>
      </c>
      <c r="AJ263" s="112">
        <v>9203047</v>
      </c>
      <c r="AK263" s="112" t="s">
        <v>69</v>
      </c>
      <c r="AL263" s="112">
        <v>809047</v>
      </c>
      <c r="AM263" s="112" t="s">
        <v>1066</v>
      </c>
      <c r="AN263" s="112" t="s">
        <v>1066</v>
      </c>
    </row>
    <row r="264" spans="1:40" ht="55.5" customHeight="1" x14ac:dyDescent="0.25">
      <c r="A264" s="111" t="s">
        <v>2161</v>
      </c>
      <c r="B264" s="112">
        <v>2026</v>
      </c>
      <c r="C264" s="112" t="s">
        <v>1089</v>
      </c>
      <c r="D264" s="113">
        <v>46028.41065972222</v>
      </c>
      <c r="E264" s="112">
        <v>7905320122</v>
      </c>
      <c r="F264" s="112" t="s">
        <v>412</v>
      </c>
      <c r="G264" s="112">
        <v>2</v>
      </c>
      <c r="H264" s="112">
        <v>7905320122</v>
      </c>
      <c r="I264" s="112" t="s">
        <v>2162</v>
      </c>
      <c r="J264" s="112" t="s">
        <v>1092</v>
      </c>
      <c r="K264" s="112" t="s">
        <v>1093</v>
      </c>
      <c r="L264" s="112" t="s">
        <v>1061</v>
      </c>
      <c r="M264" s="112" t="s">
        <v>478</v>
      </c>
      <c r="N264" s="113">
        <v>46428.41065972222</v>
      </c>
      <c r="O264" s="114">
        <v>19002214325</v>
      </c>
      <c r="P264" s="112">
        <v>0</v>
      </c>
      <c r="Q264" s="112" t="s">
        <v>1062</v>
      </c>
      <c r="R264" s="112" t="s">
        <v>1063</v>
      </c>
      <c r="S264" s="113">
        <v>46176.415694444448</v>
      </c>
      <c r="T264" s="112" t="s">
        <v>2163</v>
      </c>
      <c r="U264" s="112" t="s">
        <v>1065</v>
      </c>
      <c r="V264" s="112" t="s">
        <v>1066</v>
      </c>
      <c r="W264" s="112" t="s">
        <v>1066</v>
      </c>
      <c r="X264" s="112" t="s">
        <v>1066</v>
      </c>
      <c r="Y264" s="112" t="s">
        <v>1066</v>
      </c>
      <c r="Z264" s="112" t="s">
        <v>1066</v>
      </c>
      <c r="AA264" s="112" t="s">
        <v>1067</v>
      </c>
      <c r="AB264" s="112" t="s">
        <v>1066</v>
      </c>
      <c r="AC264" s="112" t="s">
        <v>92</v>
      </c>
      <c r="AD264" s="112" t="s">
        <v>1066</v>
      </c>
      <c r="AE264" s="112" t="s">
        <v>1066</v>
      </c>
      <c r="AF264" s="112" t="s">
        <v>1066</v>
      </c>
      <c r="AG264" s="112" t="s">
        <v>1066</v>
      </c>
      <c r="AH264" s="112" t="s">
        <v>1066</v>
      </c>
      <c r="AI264" s="112" t="s">
        <v>785</v>
      </c>
      <c r="AJ264" s="112">
        <v>8875822</v>
      </c>
      <c r="AK264" s="112" t="s">
        <v>264</v>
      </c>
      <c r="AL264" s="112">
        <v>790866</v>
      </c>
      <c r="AM264" s="112" t="s">
        <v>1066</v>
      </c>
      <c r="AN264" s="112" t="s">
        <v>1066</v>
      </c>
    </row>
    <row r="265" spans="1:40" ht="55.5" customHeight="1" x14ac:dyDescent="0.25">
      <c r="A265" s="111" t="s">
        <v>2164</v>
      </c>
      <c r="B265" s="112">
        <v>2026</v>
      </c>
      <c r="C265" s="112" t="s">
        <v>2165</v>
      </c>
      <c r="D265" s="113">
        <v>46038.391550925924</v>
      </c>
      <c r="E265" s="112">
        <v>9000227104</v>
      </c>
      <c r="F265" s="112" t="s">
        <v>170</v>
      </c>
      <c r="G265" s="112">
        <v>3</v>
      </c>
      <c r="H265" s="112">
        <v>7900308104</v>
      </c>
      <c r="I265" s="112" t="s">
        <v>2166</v>
      </c>
      <c r="J265" s="112" t="s">
        <v>1071</v>
      </c>
      <c r="K265" s="112" t="s">
        <v>2167</v>
      </c>
      <c r="L265" s="112" t="s">
        <v>1073</v>
      </c>
      <c r="M265" s="112" t="s">
        <v>478</v>
      </c>
      <c r="N265" s="113">
        <v>46110.381388888891</v>
      </c>
      <c r="O265" s="114">
        <v>19000060730</v>
      </c>
      <c r="P265" s="112">
        <v>2.843</v>
      </c>
      <c r="Q265" s="112" t="s">
        <v>1131</v>
      </c>
      <c r="R265" s="112" t="s">
        <v>1085</v>
      </c>
      <c r="S265" s="113">
        <v>46238.729166666664</v>
      </c>
      <c r="T265" s="112" t="s">
        <v>2168</v>
      </c>
      <c r="U265" s="112" t="s">
        <v>1065</v>
      </c>
      <c r="V265" s="112" t="s">
        <v>1066</v>
      </c>
      <c r="W265" s="112" t="s">
        <v>1066</v>
      </c>
      <c r="X265" s="112" t="s">
        <v>1117</v>
      </c>
      <c r="Y265" s="112" t="s">
        <v>1066</v>
      </c>
      <c r="Z265" s="112" t="s">
        <v>1078</v>
      </c>
      <c r="AA265" s="112" t="s">
        <v>1067</v>
      </c>
      <c r="AB265" s="112" t="s">
        <v>1066</v>
      </c>
      <c r="AC265" s="112" t="s">
        <v>92</v>
      </c>
      <c r="AD265" s="112" t="s">
        <v>1142</v>
      </c>
      <c r="AE265" s="112" t="s">
        <v>1066</v>
      </c>
      <c r="AF265" s="112" t="s">
        <v>1066</v>
      </c>
      <c r="AG265" s="112" t="s">
        <v>1066</v>
      </c>
      <c r="AH265" s="112" t="s">
        <v>2169</v>
      </c>
      <c r="AI265" s="112" t="s">
        <v>785</v>
      </c>
      <c r="AJ265" s="112">
        <v>9028573</v>
      </c>
      <c r="AK265" s="112" t="s">
        <v>1688</v>
      </c>
      <c r="AL265" s="112">
        <v>858342</v>
      </c>
      <c r="AM265" s="112" t="s">
        <v>1066</v>
      </c>
      <c r="AN265" s="112" t="s">
        <v>1066</v>
      </c>
    </row>
    <row r="266" spans="1:40" ht="55.5" customHeight="1" x14ac:dyDescent="0.25">
      <c r="A266" s="124" t="s">
        <v>2170</v>
      </c>
      <c r="B266" s="125">
        <v>2026</v>
      </c>
      <c r="C266" s="125" t="s">
        <v>1449</v>
      </c>
      <c r="D266" s="126">
        <v>46244.660034722219</v>
      </c>
      <c r="E266" s="125">
        <v>7925734195</v>
      </c>
      <c r="F266" s="125" t="s">
        <v>170</v>
      </c>
      <c r="G266" s="125">
        <v>3</v>
      </c>
      <c r="H266" s="125">
        <v>7925734195</v>
      </c>
      <c r="I266" s="125" t="s">
        <v>2171</v>
      </c>
      <c r="J266" s="125" t="s">
        <v>1066</v>
      </c>
      <c r="K266" s="125" t="s">
        <v>1125</v>
      </c>
      <c r="L266" s="125" t="s">
        <v>1061</v>
      </c>
      <c r="M266" s="125" t="s">
        <v>510</v>
      </c>
      <c r="N266" s="126">
        <v>46644.660034722219</v>
      </c>
      <c r="O266" s="127">
        <v>19002206169</v>
      </c>
      <c r="P266" s="125">
        <v>1.617</v>
      </c>
      <c r="Q266" s="125" t="s">
        <v>1062</v>
      </c>
      <c r="R266" s="125" t="s">
        <v>1063</v>
      </c>
      <c r="S266" s="125" t="s">
        <v>1066</v>
      </c>
      <c r="T266" s="125" t="s">
        <v>1066</v>
      </c>
      <c r="U266" s="125" t="s">
        <v>1066</v>
      </c>
      <c r="V266" s="125" t="s">
        <v>1066</v>
      </c>
      <c r="W266" s="125" t="s">
        <v>1066</v>
      </c>
      <c r="X266" s="125" t="s">
        <v>1066</v>
      </c>
      <c r="Y266" s="125" t="s">
        <v>1066</v>
      </c>
      <c r="Z266" s="125" t="s">
        <v>1066</v>
      </c>
      <c r="AA266" s="125" t="s">
        <v>1067</v>
      </c>
      <c r="AB266" s="125" t="s">
        <v>1066</v>
      </c>
      <c r="AC266" s="125" t="s">
        <v>92</v>
      </c>
      <c r="AD266" s="125" t="s">
        <v>1066</v>
      </c>
      <c r="AE266" s="125" t="s">
        <v>1066</v>
      </c>
      <c r="AF266" s="125" t="s">
        <v>1066</v>
      </c>
      <c r="AG266" s="125" t="s">
        <v>1066</v>
      </c>
      <c r="AH266" s="125" t="s">
        <v>1066</v>
      </c>
      <c r="AI266" s="125" t="s">
        <v>785</v>
      </c>
      <c r="AJ266" s="125">
        <v>9017887</v>
      </c>
      <c r="AK266" s="125" t="s">
        <v>169</v>
      </c>
      <c r="AL266" s="125">
        <v>889195</v>
      </c>
      <c r="AM266" s="125" t="s">
        <v>1066</v>
      </c>
      <c r="AN266" s="125" t="s">
        <v>1066</v>
      </c>
    </row>
    <row r="267" spans="1:40" ht="55.5" customHeight="1" x14ac:dyDescent="0.25">
      <c r="A267" s="111" t="s">
        <v>2172</v>
      </c>
      <c r="B267" s="112">
        <v>2026</v>
      </c>
      <c r="C267" s="112" t="s">
        <v>1251</v>
      </c>
      <c r="D267" s="113">
        <v>46031.603807870371</v>
      </c>
      <c r="E267" s="112">
        <v>7908209074</v>
      </c>
      <c r="F267" s="112" t="s">
        <v>697</v>
      </c>
      <c r="G267" s="112">
        <v>3</v>
      </c>
      <c r="H267" s="112">
        <v>7908209074</v>
      </c>
      <c r="I267" s="112" t="s">
        <v>2173</v>
      </c>
      <c r="J267" s="112" t="s">
        <v>1059</v>
      </c>
      <c r="K267" s="112" t="s">
        <v>1060</v>
      </c>
      <c r="L267" s="112" t="s">
        <v>1061</v>
      </c>
      <c r="M267" s="112" t="s">
        <v>478</v>
      </c>
      <c r="N267" s="113">
        <v>46431.603807870371</v>
      </c>
      <c r="O267" s="114">
        <v>19002296003</v>
      </c>
      <c r="P267" s="112">
        <v>186</v>
      </c>
      <c r="Q267" s="112" t="s">
        <v>1062</v>
      </c>
      <c r="R267" s="112" t="s">
        <v>1063</v>
      </c>
      <c r="S267" s="113">
        <v>46031.729166666664</v>
      </c>
      <c r="T267" s="112" t="s">
        <v>1253</v>
      </c>
      <c r="U267" s="112" t="s">
        <v>1065</v>
      </c>
      <c r="V267" s="112" t="s">
        <v>1066</v>
      </c>
      <c r="W267" s="112" t="s">
        <v>1066</v>
      </c>
      <c r="X267" s="112" t="s">
        <v>1066</v>
      </c>
      <c r="Y267" s="112" t="s">
        <v>1066</v>
      </c>
      <c r="Z267" s="112" t="s">
        <v>1066</v>
      </c>
      <c r="AA267" s="112" t="s">
        <v>1067</v>
      </c>
      <c r="AB267" s="112" t="s">
        <v>1066</v>
      </c>
      <c r="AC267" s="112" t="s">
        <v>92</v>
      </c>
      <c r="AD267" s="112" t="s">
        <v>1066</v>
      </c>
      <c r="AE267" s="112" t="s">
        <v>1066</v>
      </c>
      <c r="AF267" s="112" t="s">
        <v>1066</v>
      </c>
      <c r="AG267" s="112" t="s">
        <v>1066</v>
      </c>
      <c r="AH267" s="112" t="s">
        <v>1066</v>
      </c>
      <c r="AI267" s="112" t="s">
        <v>785</v>
      </c>
      <c r="AJ267" s="112">
        <v>8706902</v>
      </c>
      <c r="AK267" s="112" t="s">
        <v>41</v>
      </c>
      <c r="AL267" s="112">
        <v>944826</v>
      </c>
      <c r="AM267" s="112" t="s">
        <v>1066</v>
      </c>
      <c r="AN267" s="112" t="s">
        <v>1066</v>
      </c>
    </row>
    <row r="268" spans="1:40" ht="55.5" customHeight="1" x14ac:dyDescent="0.25">
      <c r="A268" s="111" t="s">
        <v>2174</v>
      </c>
      <c r="B268" s="112">
        <v>2026</v>
      </c>
      <c r="C268" s="112" t="s">
        <v>2175</v>
      </c>
      <c r="D268" s="113">
        <v>46108.652233796296</v>
      </c>
      <c r="E268" s="112">
        <v>9001676014</v>
      </c>
      <c r="F268" s="112" t="s">
        <v>219</v>
      </c>
      <c r="G268" s="112">
        <v>3</v>
      </c>
      <c r="H268" s="112">
        <v>7901771014</v>
      </c>
      <c r="I268" s="112" t="s">
        <v>2176</v>
      </c>
      <c r="J268" s="112" t="s">
        <v>1157</v>
      </c>
      <c r="K268" s="112" t="s">
        <v>1417</v>
      </c>
      <c r="L268" s="112" t="s">
        <v>1084</v>
      </c>
      <c r="M268" s="112" t="s">
        <v>478</v>
      </c>
      <c r="N268" s="113">
        <v>46168.652233796296</v>
      </c>
      <c r="O268" s="114">
        <v>19001240352</v>
      </c>
      <c r="P268" s="112">
        <v>534</v>
      </c>
      <c r="Q268" s="112" t="s">
        <v>1131</v>
      </c>
      <c r="R268" s="112" t="s">
        <v>1085</v>
      </c>
      <c r="S268" s="113">
        <v>46121.729166666664</v>
      </c>
      <c r="T268" s="112" t="s">
        <v>2177</v>
      </c>
      <c r="U268" s="112" t="s">
        <v>1065</v>
      </c>
      <c r="V268" s="112" t="s">
        <v>1066</v>
      </c>
      <c r="W268" s="112" t="s">
        <v>1066</v>
      </c>
      <c r="X268" s="112" t="s">
        <v>983</v>
      </c>
      <c r="Y268" s="112" t="s">
        <v>1066</v>
      </c>
      <c r="Z268" s="112" t="s">
        <v>1133</v>
      </c>
      <c r="AA268" s="112" t="s">
        <v>1067</v>
      </c>
      <c r="AB268" s="112" t="s">
        <v>1066</v>
      </c>
      <c r="AC268" s="112" t="s">
        <v>92</v>
      </c>
      <c r="AD268" s="112" t="s">
        <v>1142</v>
      </c>
      <c r="AE268" s="112" t="s">
        <v>1066</v>
      </c>
      <c r="AF268" s="112" t="s">
        <v>1066</v>
      </c>
      <c r="AG268" s="112" t="s">
        <v>1066</v>
      </c>
      <c r="AH268" s="112" t="s">
        <v>1066</v>
      </c>
      <c r="AI268" s="112" t="s">
        <v>785</v>
      </c>
      <c r="AJ268" s="112">
        <v>8862035</v>
      </c>
      <c r="AK268" s="112" t="s">
        <v>164</v>
      </c>
      <c r="AL268" s="112">
        <v>709454</v>
      </c>
      <c r="AM268" s="112" t="s">
        <v>1066</v>
      </c>
      <c r="AN268" s="112" t="s">
        <v>1066</v>
      </c>
    </row>
    <row r="269" spans="1:40" ht="55.5" customHeight="1" x14ac:dyDescent="0.25">
      <c r="A269" s="111" t="s">
        <v>2178</v>
      </c>
      <c r="B269" s="112">
        <v>2026</v>
      </c>
      <c r="C269" s="112" t="s">
        <v>2179</v>
      </c>
      <c r="D269" s="113">
        <v>46135.707129629627</v>
      </c>
      <c r="E269" s="112">
        <v>7911120026</v>
      </c>
      <c r="F269" s="112" t="s">
        <v>136</v>
      </c>
      <c r="G269" s="112">
        <v>2</v>
      </c>
      <c r="H269" s="112">
        <v>7911120026</v>
      </c>
      <c r="I269" s="112" t="s">
        <v>1798</v>
      </c>
      <c r="J269" s="112" t="s">
        <v>1071</v>
      </c>
      <c r="K269" s="112" t="s">
        <v>1072</v>
      </c>
      <c r="L269" s="112" t="s">
        <v>1073</v>
      </c>
      <c r="M269" s="112" t="s">
        <v>478</v>
      </c>
      <c r="N269" s="113">
        <v>46138.707129629627</v>
      </c>
      <c r="O269" s="114">
        <v>19002223423</v>
      </c>
      <c r="P269" s="112">
        <v>5.0279999999999996</v>
      </c>
      <c r="Q269" s="112" t="s">
        <v>1062</v>
      </c>
      <c r="R269" s="112" t="s">
        <v>1324</v>
      </c>
      <c r="S269" s="113">
        <v>46149.72960648148</v>
      </c>
      <c r="T269" s="112" t="s">
        <v>1799</v>
      </c>
      <c r="U269" s="112" t="s">
        <v>1065</v>
      </c>
      <c r="V269" s="112" t="s">
        <v>1066</v>
      </c>
      <c r="W269" s="112" t="s">
        <v>1066</v>
      </c>
      <c r="X269" s="112" t="s">
        <v>983</v>
      </c>
      <c r="Y269" s="112" t="s">
        <v>1066</v>
      </c>
      <c r="Z269" s="112" t="s">
        <v>1078</v>
      </c>
      <c r="AA269" s="112" t="s">
        <v>1067</v>
      </c>
      <c r="AB269" s="112" t="s">
        <v>1066</v>
      </c>
      <c r="AC269" s="112" t="s">
        <v>92</v>
      </c>
      <c r="AD269" s="112" t="s">
        <v>1066</v>
      </c>
      <c r="AE269" s="112" t="s">
        <v>1066</v>
      </c>
      <c r="AF269" s="112" t="s">
        <v>1066</v>
      </c>
      <c r="AG269" s="112" t="s">
        <v>1066</v>
      </c>
      <c r="AH269" s="112" t="s">
        <v>1066</v>
      </c>
      <c r="AI269" s="112" t="s">
        <v>785</v>
      </c>
      <c r="AJ269" s="112">
        <v>8809603</v>
      </c>
      <c r="AK269" s="112" t="s">
        <v>792</v>
      </c>
      <c r="AL269" s="112">
        <v>879271</v>
      </c>
      <c r="AM269" s="112" t="s">
        <v>1066</v>
      </c>
      <c r="AN269" s="112" t="s">
        <v>1066</v>
      </c>
    </row>
    <row r="270" spans="1:40" ht="55.5" customHeight="1" x14ac:dyDescent="0.25">
      <c r="A270" s="111" t="s">
        <v>2180</v>
      </c>
      <c r="B270" s="112">
        <v>2026</v>
      </c>
      <c r="C270" s="112" t="s">
        <v>2181</v>
      </c>
      <c r="D270" s="113">
        <v>46094.736215277779</v>
      </c>
      <c r="E270" s="112">
        <v>7965013080</v>
      </c>
      <c r="F270" s="112" t="s">
        <v>1654</v>
      </c>
      <c r="G270" s="112">
        <v>3</v>
      </c>
      <c r="H270" s="112">
        <v>7965013080</v>
      </c>
      <c r="I270" s="112" t="s">
        <v>2182</v>
      </c>
      <c r="J270" s="112" t="s">
        <v>1059</v>
      </c>
      <c r="K270" s="112" t="s">
        <v>1060</v>
      </c>
      <c r="L270" s="112" t="s">
        <v>1061</v>
      </c>
      <c r="M270" s="112" t="s">
        <v>478</v>
      </c>
      <c r="N270" s="113">
        <v>46494.736215277779</v>
      </c>
      <c r="O270" s="114">
        <v>19002813784</v>
      </c>
      <c r="P270" s="112">
        <v>0</v>
      </c>
      <c r="Q270" s="112" t="s">
        <v>1062</v>
      </c>
      <c r="R270" s="112" t="s">
        <v>1206</v>
      </c>
      <c r="S270" s="113">
        <v>46108.581388888888</v>
      </c>
      <c r="T270" s="112" t="s">
        <v>2183</v>
      </c>
      <c r="U270" s="112" t="s">
        <v>1065</v>
      </c>
      <c r="V270" s="112" t="s">
        <v>1066</v>
      </c>
      <c r="W270" s="112" t="s">
        <v>1066</v>
      </c>
      <c r="X270" s="112" t="s">
        <v>1066</v>
      </c>
      <c r="Y270" s="112" t="s">
        <v>1066</v>
      </c>
      <c r="Z270" s="112" t="s">
        <v>1066</v>
      </c>
      <c r="AA270" s="112" t="s">
        <v>1067</v>
      </c>
      <c r="AB270" s="112" t="s">
        <v>1066</v>
      </c>
      <c r="AC270" s="112" t="s">
        <v>92</v>
      </c>
      <c r="AD270" s="112" t="s">
        <v>1066</v>
      </c>
      <c r="AE270" s="112" t="s">
        <v>1066</v>
      </c>
      <c r="AF270" s="112" t="s">
        <v>1066</v>
      </c>
      <c r="AG270" s="112" t="s">
        <v>1066</v>
      </c>
      <c r="AH270" s="112" t="s">
        <v>1066</v>
      </c>
      <c r="AI270" s="112" t="s">
        <v>785</v>
      </c>
      <c r="AJ270" s="112">
        <v>9260757</v>
      </c>
      <c r="AK270" s="112" t="s">
        <v>1656</v>
      </c>
      <c r="AL270" s="112">
        <v>842334</v>
      </c>
      <c r="AM270" s="112" t="s">
        <v>1066</v>
      </c>
      <c r="AN270" s="112" t="s">
        <v>1066</v>
      </c>
    </row>
    <row r="271" spans="1:40" ht="55.5" customHeight="1" x14ac:dyDescent="0.25">
      <c r="A271" s="115" t="s">
        <v>2184</v>
      </c>
      <c r="B271" s="116">
        <v>2026</v>
      </c>
      <c r="C271" s="116" t="s">
        <v>2185</v>
      </c>
      <c r="D271" s="118">
        <v>46125.905972222223</v>
      </c>
      <c r="E271" s="116">
        <v>9000526015</v>
      </c>
      <c r="F271" s="116" t="s">
        <v>88</v>
      </c>
      <c r="G271" s="116">
        <v>3</v>
      </c>
      <c r="H271" s="116">
        <v>7900525015</v>
      </c>
      <c r="I271" s="116" t="s">
        <v>2186</v>
      </c>
      <c r="J271" s="116" t="s">
        <v>1071</v>
      </c>
      <c r="K271" s="116" t="s">
        <v>1958</v>
      </c>
      <c r="L271" s="116" t="s">
        <v>1073</v>
      </c>
      <c r="M271" s="116" t="s">
        <v>588</v>
      </c>
      <c r="N271" s="118">
        <v>46213.644050925926</v>
      </c>
      <c r="O271" s="119">
        <v>19000063378</v>
      </c>
      <c r="P271" s="116">
        <v>0</v>
      </c>
      <c r="Q271" s="116" t="s">
        <v>1131</v>
      </c>
      <c r="R271" s="116" t="s">
        <v>1075</v>
      </c>
      <c r="S271" s="116" t="s">
        <v>1066</v>
      </c>
      <c r="T271" s="116" t="s">
        <v>1066</v>
      </c>
      <c r="U271" s="116" t="s">
        <v>1066</v>
      </c>
      <c r="V271" s="116" t="s">
        <v>1066</v>
      </c>
      <c r="W271" s="116" t="s">
        <v>1066</v>
      </c>
      <c r="X271" s="116" t="s">
        <v>1100</v>
      </c>
      <c r="Y271" s="116" t="s">
        <v>1066</v>
      </c>
      <c r="Z271" s="116" t="s">
        <v>1174</v>
      </c>
      <c r="AA271" s="116" t="s">
        <v>1067</v>
      </c>
      <c r="AB271" s="116" t="s">
        <v>1066</v>
      </c>
      <c r="AC271" s="116" t="s">
        <v>92</v>
      </c>
      <c r="AD271" s="116" t="s">
        <v>1142</v>
      </c>
      <c r="AE271" s="116" t="s">
        <v>1066</v>
      </c>
      <c r="AF271" s="116" t="s">
        <v>1066</v>
      </c>
      <c r="AG271" s="116" t="s">
        <v>1066</v>
      </c>
      <c r="AH271" s="116" t="s">
        <v>2187</v>
      </c>
      <c r="AI271" s="116" t="s">
        <v>785</v>
      </c>
      <c r="AJ271" s="116">
        <v>8971402</v>
      </c>
      <c r="AK271" s="116" t="s">
        <v>288</v>
      </c>
      <c r="AL271" s="116">
        <v>835984</v>
      </c>
      <c r="AM271" s="116" t="s">
        <v>1066</v>
      </c>
      <c r="AN271" s="116" t="s">
        <v>1066</v>
      </c>
    </row>
    <row r="272" spans="1:40" ht="55.5" customHeight="1" x14ac:dyDescent="0.25">
      <c r="A272" s="124" t="s">
        <v>2188</v>
      </c>
      <c r="B272" s="125">
        <v>2026</v>
      </c>
      <c r="C272" s="125" t="s">
        <v>2189</v>
      </c>
      <c r="D272" s="126">
        <v>46112.40697916667</v>
      </c>
      <c r="E272" s="125">
        <v>8810024021</v>
      </c>
      <c r="F272" s="125" t="s">
        <v>377</v>
      </c>
      <c r="G272" s="125">
        <v>3</v>
      </c>
      <c r="H272" s="125">
        <v>7956992021</v>
      </c>
      <c r="I272" s="125" t="s">
        <v>2190</v>
      </c>
      <c r="J272" s="125" t="s">
        <v>1082</v>
      </c>
      <c r="K272" s="125" t="s">
        <v>1083</v>
      </c>
      <c r="L272" s="125" t="s">
        <v>1084</v>
      </c>
      <c r="M272" s="125" t="s">
        <v>510</v>
      </c>
      <c r="N272" s="126">
        <v>46172.40697916667</v>
      </c>
      <c r="O272" s="127">
        <v>19002742548</v>
      </c>
      <c r="P272" s="125">
        <v>371</v>
      </c>
      <c r="Q272" s="125" t="s">
        <v>1131</v>
      </c>
      <c r="R272" s="125" t="s">
        <v>1297</v>
      </c>
      <c r="S272" s="125" t="s">
        <v>1066</v>
      </c>
      <c r="T272" s="125" t="s">
        <v>2191</v>
      </c>
      <c r="U272" s="125" t="s">
        <v>1559</v>
      </c>
      <c r="V272" s="125" t="s">
        <v>1066</v>
      </c>
      <c r="W272" s="125" t="s">
        <v>1066</v>
      </c>
      <c r="X272" s="125" t="s">
        <v>983</v>
      </c>
      <c r="Y272" s="125" t="s">
        <v>1066</v>
      </c>
      <c r="Z272" s="125" t="s">
        <v>1066</v>
      </c>
      <c r="AA272" s="125" t="s">
        <v>1067</v>
      </c>
      <c r="AB272" s="125" t="s">
        <v>1066</v>
      </c>
      <c r="AC272" s="125" t="s">
        <v>92</v>
      </c>
      <c r="AD272" s="125" t="s">
        <v>1066</v>
      </c>
      <c r="AE272" s="125" t="s">
        <v>1066</v>
      </c>
      <c r="AF272" s="125" t="s">
        <v>1066</v>
      </c>
      <c r="AG272" s="125" t="s">
        <v>1066</v>
      </c>
      <c r="AH272" s="125" t="s">
        <v>1066</v>
      </c>
      <c r="AI272" s="125" t="s">
        <v>785</v>
      </c>
      <c r="AJ272" s="125">
        <v>8600072</v>
      </c>
      <c r="AK272" s="125" t="s">
        <v>223</v>
      </c>
      <c r="AL272" s="125">
        <v>868430</v>
      </c>
      <c r="AM272" s="125" t="s">
        <v>1066</v>
      </c>
      <c r="AN272" s="125" t="s">
        <v>1066</v>
      </c>
    </row>
    <row r="273" spans="1:40" ht="55.5" customHeight="1" x14ac:dyDescent="0.25">
      <c r="A273" s="115" t="s">
        <v>2192</v>
      </c>
      <c r="B273" s="116">
        <v>2026</v>
      </c>
      <c r="C273" s="116" t="s">
        <v>2193</v>
      </c>
      <c r="D273" s="118">
        <v>45839.849699074075</v>
      </c>
      <c r="E273" s="116">
        <v>9030428001</v>
      </c>
      <c r="F273" s="116" t="s">
        <v>274</v>
      </c>
      <c r="G273" s="116">
        <v>3</v>
      </c>
      <c r="H273" s="116">
        <v>7930428001</v>
      </c>
      <c r="I273" s="116" t="s">
        <v>2194</v>
      </c>
      <c r="J273" s="116" t="s">
        <v>1071</v>
      </c>
      <c r="K273" s="116" t="s">
        <v>1323</v>
      </c>
      <c r="L273" s="116" t="s">
        <v>1073</v>
      </c>
      <c r="M273" s="116" t="s">
        <v>588</v>
      </c>
      <c r="N273" s="118">
        <v>46226.430960648147</v>
      </c>
      <c r="O273" s="119">
        <v>19001267857</v>
      </c>
      <c r="P273" s="116">
        <v>0</v>
      </c>
      <c r="Q273" s="116" t="s">
        <v>1131</v>
      </c>
      <c r="R273" s="116" t="s">
        <v>1075</v>
      </c>
      <c r="S273" s="116" t="s">
        <v>1066</v>
      </c>
      <c r="T273" s="116" t="s">
        <v>1066</v>
      </c>
      <c r="U273" s="116" t="s">
        <v>1066</v>
      </c>
      <c r="V273" s="116" t="s">
        <v>1066</v>
      </c>
      <c r="W273" s="116" t="s">
        <v>1066</v>
      </c>
      <c r="X273" s="116" t="s">
        <v>983</v>
      </c>
      <c r="Y273" s="116" t="s">
        <v>1066</v>
      </c>
      <c r="Z273" s="116" t="s">
        <v>1148</v>
      </c>
      <c r="AA273" s="116" t="s">
        <v>1067</v>
      </c>
      <c r="AB273" s="116" t="s">
        <v>1066</v>
      </c>
      <c r="AC273" s="116" t="s">
        <v>92</v>
      </c>
      <c r="AD273" s="116" t="s">
        <v>1142</v>
      </c>
      <c r="AE273" s="116" t="s">
        <v>1066</v>
      </c>
      <c r="AF273" s="116" t="s">
        <v>1066</v>
      </c>
      <c r="AG273" s="116" t="s">
        <v>1066</v>
      </c>
      <c r="AH273" s="116" t="s">
        <v>2195</v>
      </c>
      <c r="AI273" s="116" t="s">
        <v>785</v>
      </c>
      <c r="AJ273" s="116">
        <v>8842597</v>
      </c>
      <c r="AK273" s="116" t="s">
        <v>50</v>
      </c>
      <c r="AL273" s="116">
        <v>793770</v>
      </c>
      <c r="AM273" s="116" t="s">
        <v>1066</v>
      </c>
      <c r="AN273" s="116" t="s">
        <v>1066</v>
      </c>
    </row>
    <row r="274" spans="1:40" ht="55.5" customHeight="1" x14ac:dyDescent="0.25">
      <c r="A274" s="111" t="s">
        <v>2196</v>
      </c>
      <c r="B274" s="112">
        <v>2026</v>
      </c>
      <c r="C274" s="112" t="s">
        <v>2197</v>
      </c>
      <c r="D274" s="113">
        <v>46076.556134259263</v>
      </c>
      <c r="E274" s="112">
        <v>310090015</v>
      </c>
      <c r="F274" s="112" t="s">
        <v>289</v>
      </c>
      <c r="G274" s="112">
        <v>3</v>
      </c>
      <c r="H274" s="112">
        <v>7957466015</v>
      </c>
      <c r="I274" s="112" t="s">
        <v>2198</v>
      </c>
      <c r="J274" s="112" t="s">
        <v>1071</v>
      </c>
      <c r="K274" s="112" t="s">
        <v>1918</v>
      </c>
      <c r="L274" s="112" t="s">
        <v>1073</v>
      </c>
      <c r="M274" s="112" t="s">
        <v>478</v>
      </c>
      <c r="N274" s="113">
        <v>46079.556134259263</v>
      </c>
      <c r="O274" s="114">
        <v>19002744832</v>
      </c>
      <c r="P274" s="112">
        <v>89</v>
      </c>
      <c r="Q274" s="112" t="s">
        <v>1131</v>
      </c>
      <c r="R274" s="112" t="s">
        <v>1075</v>
      </c>
      <c r="S274" s="113">
        <v>46105.729166666664</v>
      </c>
      <c r="T274" s="112" t="s">
        <v>2199</v>
      </c>
      <c r="U274" s="112" t="s">
        <v>1065</v>
      </c>
      <c r="V274" s="112" t="s">
        <v>1066</v>
      </c>
      <c r="W274" s="112" t="s">
        <v>1066</v>
      </c>
      <c r="X274" s="112" t="s">
        <v>1117</v>
      </c>
      <c r="Y274" s="112" t="s">
        <v>1066</v>
      </c>
      <c r="Z274" s="112" t="s">
        <v>1133</v>
      </c>
      <c r="AA274" s="112" t="s">
        <v>1067</v>
      </c>
      <c r="AB274" s="112" t="s">
        <v>1066</v>
      </c>
      <c r="AC274" s="112" t="s">
        <v>92</v>
      </c>
      <c r="AD274" s="112" t="s">
        <v>1066</v>
      </c>
      <c r="AE274" s="112" t="s">
        <v>1066</v>
      </c>
      <c r="AF274" s="112" t="s">
        <v>1066</v>
      </c>
      <c r="AG274" s="112" t="s">
        <v>1066</v>
      </c>
      <c r="AH274" s="112" t="s">
        <v>1066</v>
      </c>
      <c r="AI274" s="112" t="s">
        <v>785</v>
      </c>
      <c r="AJ274" s="112">
        <v>8982725</v>
      </c>
      <c r="AK274" s="112" t="s">
        <v>288</v>
      </c>
      <c r="AL274" s="112">
        <v>830824</v>
      </c>
      <c r="AM274" s="112" t="s">
        <v>1066</v>
      </c>
      <c r="AN274" s="112" t="s">
        <v>1066</v>
      </c>
    </row>
    <row r="275" spans="1:40" ht="55.5" customHeight="1" x14ac:dyDescent="0.25">
      <c r="A275" s="115" t="s">
        <v>2200</v>
      </c>
      <c r="B275" s="116">
        <v>2026</v>
      </c>
      <c r="C275" s="116" t="s">
        <v>2201</v>
      </c>
      <c r="D275" s="118">
        <v>46062.991481481484</v>
      </c>
      <c r="E275" s="116">
        <v>9025744087</v>
      </c>
      <c r="F275" s="116" t="s">
        <v>107</v>
      </c>
      <c r="G275" s="116">
        <v>3</v>
      </c>
      <c r="H275" s="116">
        <v>7925744087</v>
      </c>
      <c r="I275" s="116" t="s">
        <v>2202</v>
      </c>
      <c r="J275" s="116" t="s">
        <v>1071</v>
      </c>
      <c r="K275" s="116" t="s">
        <v>1130</v>
      </c>
      <c r="L275" s="116" t="s">
        <v>1073</v>
      </c>
      <c r="M275" s="116" t="s">
        <v>588</v>
      </c>
      <c r="N275" s="118">
        <v>46114.432384259257</v>
      </c>
      <c r="O275" s="119">
        <v>19001236825</v>
      </c>
      <c r="P275" s="116">
        <v>0</v>
      </c>
      <c r="Q275" s="116" t="s">
        <v>1131</v>
      </c>
      <c r="R275" s="116" t="s">
        <v>1075</v>
      </c>
      <c r="S275" s="116" t="s">
        <v>1066</v>
      </c>
      <c r="T275" s="116" t="s">
        <v>1066</v>
      </c>
      <c r="U275" s="116" t="s">
        <v>1066</v>
      </c>
      <c r="V275" s="116" t="s">
        <v>1066</v>
      </c>
      <c r="W275" s="116" t="s">
        <v>1066</v>
      </c>
      <c r="X275" s="116" t="s">
        <v>1117</v>
      </c>
      <c r="Y275" s="116" t="s">
        <v>1066</v>
      </c>
      <c r="Z275" s="116" t="s">
        <v>1133</v>
      </c>
      <c r="AA275" s="116" t="s">
        <v>1067</v>
      </c>
      <c r="AB275" s="116" t="s">
        <v>1066</v>
      </c>
      <c r="AC275" s="116" t="s">
        <v>92</v>
      </c>
      <c r="AD275" s="116" t="s">
        <v>1142</v>
      </c>
      <c r="AE275" s="116" t="s">
        <v>1066</v>
      </c>
      <c r="AF275" s="116" t="s">
        <v>1066</v>
      </c>
      <c r="AG275" s="116" t="s">
        <v>1066</v>
      </c>
      <c r="AH275" s="116" t="s">
        <v>1066</v>
      </c>
      <c r="AI275" s="116" t="s">
        <v>785</v>
      </c>
      <c r="AJ275" s="116">
        <v>9029671</v>
      </c>
      <c r="AK275" s="116" t="s">
        <v>105</v>
      </c>
      <c r="AL275" s="116">
        <v>727489</v>
      </c>
      <c r="AM275" s="116" t="s">
        <v>1066</v>
      </c>
      <c r="AN275" s="116" t="s">
        <v>1066</v>
      </c>
    </row>
    <row r="276" spans="1:40" ht="55.5" customHeight="1" x14ac:dyDescent="0.25">
      <c r="A276" s="111" t="s">
        <v>2203</v>
      </c>
      <c r="B276" s="112">
        <v>2026</v>
      </c>
      <c r="C276" s="112" t="s">
        <v>2204</v>
      </c>
      <c r="D276" s="113">
        <v>46119.829942129632</v>
      </c>
      <c r="E276" s="112">
        <v>9000605028</v>
      </c>
      <c r="F276" s="112" t="s">
        <v>43</v>
      </c>
      <c r="G276" s="112">
        <v>2</v>
      </c>
      <c r="H276" s="112">
        <v>7944353028</v>
      </c>
      <c r="I276" s="112" t="s">
        <v>2135</v>
      </c>
      <c r="J276" s="112" t="s">
        <v>1071</v>
      </c>
      <c r="K276" s="112" t="s">
        <v>1145</v>
      </c>
      <c r="L276" s="112" t="s">
        <v>1073</v>
      </c>
      <c r="M276" s="112" t="s">
        <v>478</v>
      </c>
      <c r="N276" s="113">
        <v>46122.829942129632</v>
      </c>
      <c r="O276" s="114">
        <v>19002536010</v>
      </c>
      <c r="P276" s="112">
        <v>1.603</v>
      </c>
      <c r="Q276" s="112" t="s">
        <v>1131</v>
      </c>
      <c r="R276" s="112" t="s">
        <v>1075</v>
      </c>
      <c r="S276" s="113">
        <v>46175.377962962964</v>
      </c>
      <c r="T276" s="112" t="s">
        <v>2205</v>
      </c>
      <c r="U276" s="112" t="s">
        <v>1065</v>
      </c>
      <c r="V276" s="112" t="s">
        <v>1066</v>
      </c>
      <c r="W276" s="112" t="s">
        <v>1066</v>
      </c>
      <c r="X276" s="112" t="s">
        <v>983</v>
      </c>
      <c r="Y276" s="112" t="s">
        <v>1066</v>
      </c>
      <c r="Z276" s="112" t="s">
        <v>1148</v>
      </c>
      <c r="AA276" s="112" t="s">
        <v>1067</v>
      </c>
      <c r="AB276" s="112" t="s">
        <v>1066</v>
      </c>
      <c r="AC276" s="112" t="s">
        <v>92</v>
      </c>
      <c r="AD276" s="112" t="s">
        <v>1066</v>
      </c>
      <c r="AE276" s="112" t="s">
        <v>1066</v>
      </c>
      <c r="AF276" s="112" t="s">
        <v>1066</v>
      </c>
      <c r="AG276" s="112" t="s">
        <v>1066</v>
      </c>
      <c r="AH276" s="112" t="s">
        <v>1066</v>
      </c>
      <c r="AI276" s="112" t="s">
        <v>785</v>
      </c>
      <c r="AJ276" s="112">
        <v>8703467</v>
      </c>
      <c r="AK276" s="112" t="s">
        <v>403</v>
      </c>
      <c r="AL276" s="112">
        <v>881986</v>
      </c>
      <c r="AM276" s="112" t="s">
        <v>1066</v>
      </c>
      <c r="AN276" s="112" t="s">
        <v>1066</v>
      </c>
    </row>
    <row r="277" spans="1:40" ht="55.5" customHeight="1" x14ac:dyDescent="0.25">
      <c r="A277" s="111" t="s">
        <v>2206</v>
      </c>
      <c r="B277" s="112">
        <v>2026</v>
      </c>
      <c r="C277" s="112" t="s">
        <v>1213</v>
      </c>
      <c r="D277" s="113">
        <v>46122.549942129626</v>
      </c>
      <c r="E277" s="112">
        <v>7924883090</v>
      </c>
      <c r="F277" s="112" t="s">
        <v>351</v>
      </c>
      <c r="G277" s="112">
        <v>2</v>
      </c>
      <c r="H277" s="112">
        <v>7924883090</v>
      </c>
      <c r="I277" s="112" t="s">
        <v>2207</v>
      </c>
      <c r="J277" s="112" t="s">
        <v>1066</v>
      </c>
      <c r="K277" s="112" t="s">
        <v>1125</v>
      </c>
      <c r="L277" s="112" t="s">
        <v>1061</v>
      </c>
      <c r="M277" s="112" t="s">
        <v>478</v>
      </c>
      <c r="N277" s="113">
        <v>46522.549942129626</v>
      </c>
      <c r="O277" s="114">
        <v>19002205821</v>
      </c>
      <c r="P277" s="112">
        <v>0</v>
      </c>
      <c r="Q277" s="112" t="s">
        <v>1062</v>
      </c>
      <c r="R277" s="112" t="s">
        <v>1063</v>
      </c>
      <c r="S277" s="113">
        <v>46128.49722222222</v>
      </c>
      <c r="T277" s="112" t="s">
        <v>2208</v>
      </c>
      <c r="U277" s="112" t="s">
        <v>1065</v>
      </c>
      <c r="V277" s="112" t="s">
        <v>1066</v>
      </c>
      <c r="W277" s="112" t="s">
        <v>1066</v>
      </c>
      <c r="X277" s="112" t="s">
        <v>1066</v>
      </c>
      <c r="Y277" s="112" t="s">
        <v>1066</v>
      </c>
      <c r="Z277" s="112" t="s">
        <v>1066</v>
      </c>
      <c r="AA277" s="112" t="s">
        <v>1067</v>
      </c>
      <c r="AB277" s="112" t="s">
        <v>1066</v>
      </c>
      <c r="AC277" s="112" t="s">
        <v>92</v>
      </c>
      <c r="AD277" s="112" t="s">
        <v>1066</v>
      </c>
      <c r="AE277" s="112" t="s">
        <v>1066</v>
      </c>
      <c r="AF277" s="112" t="s">
        <v>1066</v>
      </c>
      <c r="AG277" s="112" t="s">
        <v>1066</v>
      </c>
      <c r="AH277" s="112" t="s">
        <v>1066</v>
      </c>
      <c r="AI277" s="112" t="s">
        <v>785</v>
      </c>
      <c r="AJ277" s="112">
        <v>9293024</v>
      </c>
      <c r="AK277" s="112" t="s">
        <v>2209</v>
      </c>
      <c r="AL277" s="112">
        <v>869527</v>
      </c>
      <c r="AM277" s="112" t="s">
        <v>1066</v>
      </c>
      <c r="AN277" s="112" t="s">
        <v>1066</v>
      </c>
    </row>
    <row r="278" spans="1:40" ht="55.5" customHeight="1" x14ac:dyDescent="0.25">
      <c r="A278" s="124" t="s">
        <v>2210</v>
      </c>
      <c r="B278" s="125">
        <v>2026</v>
      </c>
      <c r="C278" s="125" t="s">
        <v>1449</v>
      </c>
      <c r="D278" s="126">
        <v>46244.660034722219</v>
      </c>
      <c r="E278" s="125">
        <v>7900371104</v>
      </c>
      <c r="F278" s="125" t="s">
        <v>170</v>
      </c>
      <c r="G278" s="125">
        <v>3</v>
      </c>
      <c r="H278" s="125">
        <v>7900371104</v>
      </c>
      <c r="I278" s="125" t="s">
        <v>2211</v>
      </c>
      <c r="J278" s="125" t="s">
        <v>1066</v>
      </c>
      <c r="K278" s="125" t="s">
        <v>1125</v>
      </c>
      <c r="L278" s="125" t="s">
        <v>1061</v>
      </c>
      <c r="M278" s="125" t="s">
        <v>510</v>
      </c>
      <c r="N278" s="126">
        <v>46644.660034722219</v>
      </c>
      <c r="O278" s="127">
        <v>19002219626</v>
      </c>
      <c r="P278" s="125">
        <v>159</v>
      </c>
      <c r="Q278" s="125" t="s">
        <v>1062</v>
      </c>
      <c r="R278" s="125" t="s">
        <v>1063</v>
      </c>
      <c r="S278" s="125" t="s">
        <v>1066</v>
      </c>
      <c r="T278" s="125" t="s">
        <v>1066</v>
      </c>
      <c r="U278" s="125" t="s">
        <v>1066</v>
      </c>
      <c r="V278" s="125" t="s">
        <v>1066</v>
      </c>
      <c r="W278" s="125" t="s">
        <v>1066</v>
      </c>
      <c r="X278" s="125" t="s">
        <v>1066</v>
      </c>
      <c r="Y278" s="125" t="s">
        <v>1066</v>
      </c>
      <c r="Z278" s="125" t="s">
        <v>1066</v>
      </c>
      <c r="AA278" s="125" t="s">
        <v>1067</v>
      </c>
      <c r="AB278" s="125" t="s">
        <v>1066</v>
      </c>
      <c r="AC278" s="125" t="s">
        <v>92</v>
      </c>
      <c r="AD278" s="125" t="s">
        <v>1066</v>
      </c>
      <c r="AE278" s="125" t="s">
        <v>1066</v>
      </c>
      <c r="AF278" s="125" t="s">
        <v>1066</v>
      </c>
      <c r="AG278" s="125" t="s">
        <v>1066</v>
      </c>
      <c r="AH278" s="125" t="s">
        <v>1066</v>
      </c>
      <c r="AI278" s="125" t="s">
        <v>785</v>
      </c>
      <c r="AJ278" s="125">
        <v>9027506</v>
      </c>
      <c r="AK278" s="125" t="s">
        <v>1688</v>
      </c>
      <c r="AL278" s="125">
        <v>854535</v>
      </c>
      <c r="AM278" s="125" t="s">
        <v>1066</v>
      </c>
      <c r="AN278" s="125" t="s">
        <v>1066</v>
      </c>
    </row>
    <row r="279" spans="1:40" ht="55.5" customHeight="1" x14ac:dyDescent="0.25">
      <c r="A279" s="124" t="s">
        <v>2212</v>
      </c>
      <c r="B279" s="125">
        <v>2026</v>
      </c>
      <c r="C279" s="125" t="s">
        <v>1210</v>
      </c>
      <c r="D279" s="126">
        <v>46114.608900462961</v>
      </c>
      <c r="E279" s="125">
        <v>7952853077</v>
      </c>
      <c r="F279" s="125" t="s">
        <v>191</v>
      </c>
      <c r="G279" s="125">
        <v>2</v>
      </c>
      <c r="H279" s="125">
        <v>7952853077</v>
      </c>
      <c r="I279" s="125" t="s">
        <v>2213</v>
      </c>
      <c r="J279" s="125" t="s">
        <v>1066</v>
      </c>
      <c r="K279" s="125" t="s">
        <v>1125</v>
      </c>
      <c r="L279" s="125" t="s">
        <v>1061</v>
      </c>
      <c r="M279" s="125" t="s">
        <v>510</v>
      </c>
      <c r="N279" s="126">
        <v>46514.608900462961</v>
      </c>
      <c r="O279" s="127">
        <v>19002682444</v>
      </c>
      <c r="P279" s="125">
        <v>3.1139999999999999</v>
      </c>
      <c r="Q279" s="125" t="s">
        <v>1062</v>
      </c>
      <c r="R279" s="125" t="s">
        <v>1063</v>
      </c>
      <c r="S279" s="125" t="s">
        <v>1066</v>
      </c>
      <c r="T279" s="125" t="s">
        <v>2214</v>
      </c>
      <c r="U279" s="125" t="s">
        <v>1559</v>
      </c>
      <c r="V279" s="125" t="s">
        <v>1066</v>
      </c>
      <c r="W279" s="125" t="s">
        <v>1066</v>
      </c>
      <c r="X279" s="125" t="s">
        <v>1066</v>
      </c>
      <c r="Y279" s="125" t="s">
        <v>1066</v>
      </c>
      <c r="Z279" s="125" t="s">
        <v>1066</v>
      </c>
      <c r="AA279" s="125" t="s">
        <v>1067</v>
      </c>
      <c r="AB279" s="125" t="s">
        <v>1066</v>
      </c>
      <c r="AC279" s="125" t="s">
        <v>92</v>
      </c>
      <c r="AD279" s="125" t="s">
        <v>1066</v>
      </c>
      <c r="AE279" s="125" t="s">
        <v>1066</v>
      </c>
      <c r="AF279" s="125" t="s">
        <v>1066</v>
      </c>
      <c r="AG279" s="125" t="s">
        <v>1066</v>
      </c>
      <c r="AH279" s="125" t="s">
        <v>1066</v>
      </c>
      <c r="AI279" s="125" t="s">
        <v>785</v>
      </c>
      <c r="AJ279" s="125">
        <v>9146855</v>
      </c>
      <c r="AK279" s="125" t="s">
        <v>190</v>
      </c>
      <c r="AL279" s="125">
        <v>888602</v>
      </c>
      <c r="AM279" s="125" t="s">
        <v>1066</v>
      </c>
      <c r="AN279" s="125" t="s">
        <v>1066</v>
      </c>
    </row>
    <row r="280" spans="1:40" ht="55.5" customHeight="1" x14ac:dyDescent="0.25">
      <c r="A280" s="111" t="s">
        <v>2215</v>
      </c>
      <c r="B280" s="112">
        <v>2026</v>
      </c>
      <c r="C280" s="112" t="s">
        <v>1057</v>
      </c>
      <c r="D280" s="113">
        <v>46125.584386574075</v>
      </c>
      <c r="E280" s="112">
        <v>7926242029</v>
      </c>
      <c r="F280" s="112" t="s">
        <v>294</v>
      </c>
      <c r="G280" s="112">
        <v>1</v>
      </c>
      <c r="H280" s="112">
        <v>7926242029</v>
      </c>
      <c r="I280" s="112" t="s">
        <v>2216</v>
      </c>
      <c r="J280" s="112" t="s">
        <v>1066</v>
      </c>
      <c r="K280" s="112" t="s">
        <v>1125</v>
      </c>
      <c r="L280" s="112" t="s">
        <v>1061</v>
      </c>
      <c r="M280" s="112" t="s">
        <v>478</v>
      </c>
      <c r="N280" s="113">
        <v>46525.584386574075</v>
      </c>
      <c r="O280" s="114">
        <v>19002207359</v>
      </c>
      <c r="P280" s="112">
        <v>0</v>
      </c>
      <c r="Q280" s="112" t="s">
        <v>1062</v>
      </c>
      <c r="R280" s="112" t="s">
        <v>1063</v>
      </c>
      <c r="S280" s="113">
        <v>46171.457824074074</v>
      </c>
      <c r="T280" s="112" t="s">
        <v>2217</v>
      </c>
      <c r="U280" s="112" t="s">
        <v>1065</v>
      </c>
      <c r="V280" s="112" t="s">
        <v>1066</v>
      </c>
      <c r="W280" s="112" t="s">
        <v>1066</v>
      </c>
      <c r="X280" s="112" t="s">
        <v>1066</v>
      </c>
      <c r="Y280" s="112" t="s">
        <v>1066</v>
      </c>
      <c r="Z280" s="112" t="s">
        <v>1066</v>
      </c>
      <c r="AA280" s="112" t="s">
        <v>1067</v>
      </c>
      <c r="AB280" s="112" t="s">
        <v>1066</v>
      </c>
      <c r="AC280" s="112" t="s">
        <v>92</v>
      </c>
      <c r="AD280" s="112" t="s">
        <v>1066</v>
      </c>
      <c r="AE280" s="112" t="s">
        <v>1066</v>
      </c>
      <c r="AF280" s="112" t="s">
        <v>1066</v>
      </c>
      <c r="AG280" s="112" t="s">
        <v>1066</v>
      </c>
      <c r="AH280" s="112" t="s">
        <v>1066</v>
      </c>
      <c r="AI280" s="112" t="s">
        <v>785</v>
      </c>
      <c r="AJ280" s="112">
        <v>8576741</v>
      </c>
      <c r="AK280" s="112" t="s">
        <v>415</v>
      </c>
      <c r="AL280" s="112">
        <v>784937</v>
      </c>
      <c r="AM280" s="112" t="s">
        <v>1066</v>
      </c>
      <c r="AN280" s="112" t="s">
        <v>1066</v>
      </c>
    </row>
    <row r="281" spans="1:40" ht="55.5" customHeight="1" x14ac:dyDescent="0.25">
      <c r="A281" s="111" t="s">
        <v>2218</v>
      </c>
      <c r="B281" s="112">
        <v>2026</v>
      </c>
      <c r="C281" s="112" t="s">
        <v>1057</v>
      </c>
      <c r="D281" s="113">
        <v>46122.378541666665</v>
      </c>
      <c r="E281" s="112">
        <v>7934391060</v>
      </c>
      <c r="F281" s="112" t="s">
        <v>406</v>
      </c>
      <c r="G281" s="112">
        <v>1</v>
      </c>
      <c r="H281" s="112">
        <v>7934391060</v>
      </c>
      <c r="I281" s="112" t="s">
        <v>2219</v>
      </c>
      <c r="J281" s="112" t="s">
        <v>1059</v>
      </c>
      <c r="K281" s="112" t="s">
        <v>1060</v>
      </c>
      <c r="L281" s="112" t="s">
        <v>1061</v>
      </c>
      <c r="M281" s="112" t="s">
        <v>478</v>
      </c>
      <c r="N281" s="113">
        <v>46522.378541666665</v>
      </c>
      <c r="O281" s="114">
        <v>19002209591</v>
      </c>
      <c r="P281" s="112">
        <v>0</v>
      </c>
      <c r="Q281" s="112" t="s">
        <v>1062</v>
      </c>
      <c r="R281" s="112" t="s">
        <v>1063</v>
      </c>
      <c r="S281" s="113">
        <v>46149.609722222223</v>
      </c>
      <c r="T281" s="112" t="s">
        <v>2220</v>
      </c>
      <c r="U281" s="112" t="s">
        <v>1065</v>
      </c>
      <c r="V281" s="112" t="s">
        <v>1066</v>
      </c>
      <c r="W281" s="112" t="s">
        <v>1066</v>
      </c>
      <c r="X281" s="112" t="s">
        <v>1066</v>
      </c>
      <c r="Y281" s="112" t="s">
        <v>1066</v>
      </c>
      <c r="Z281" s="112" t="s">
        <v>1066</v>
      </c>
      <c r="AA281" s="112" t="s">
        <v>1067</v>
      </c>
      <c r="AB281" s="112" t="s">
        <v>1066</v>
      </c>
      <c r="AC281" s="112" t="s">
        <v>92</v>
      </c>
      <c r="AD281" s="112" t="s">
        <v>1066</v>
      </c>
      <c r="AE281" s="112" t="s">
        <v>1066</v>
      </c>
      <c r="AF281" s="112" t="s">
        <v>1066</v>
      </c>
      <c r="AG281" s="112" t="s">
        <v>1066</v>
      </c>
      <c r="AH281" s="112" t="s">
        <v>1066</v>
      </c>
      <c r="AI281" s="112" t="s">
        <v>785</v>
      </c>
      <c r="AJ281" s="112">
        <v>9155431</v>
      </c>
      <c r="AK281" s="112" t="s">
        <v>253</v>
      </c>
      <c r="AL281" s="112">
        <v>784734</v>
      </c>
      <c r="AM281" s="112" t="s">
        <v>1066</v>
      </c>
      <c r="AN281" s="112" t="s">
        <v>1066</v>
      </c>
    </row>
    <row r="282" spans="1:40" ht="55.5" customHeight="1" x14ac:dyDescent="0.25">
      <c r="A282" s="111" t="s">
        <v>2221</v>
      </c>
      <c r="B282" s="112">
        <v>2026</v>
      </c>
      <c r="C282" s="112" t="s">
        <v>2222</v>
      </c>
      <c r="D282" s="113">
        <v>46031.360856481479</v>
      </c>
      <c r="E282" s="112">
        <v>9001671014</v>
      </c>
      <c r="F282" s="112" t="s">
        <v>219</v>
      </c>
      <c r="G282" s="112">
        <v>3</v>
      </c>
      <c r="H282" s="112">
        <v>7901195014</v>
      </c>
      <c r="I282" s="112" t="s">
        <v>2223</v>
      </c>
      <c r="J282" s="112" t="s">
        <v>1071</v>
      </c>
      <c r="K282" s="112" t="s">
        <v>1261</v>
      </c>
      <c r="L282" s="112" t="s">
        <v>1073</v>
      </c>
      <c r="M282" s="112" t="s">
        <v>478</v>
      </c>
      <c r="N282" s="113">
        <v>46034.360856481479</v>
      </c>
      <c r="O282" s="114">
        <v>19001190135</v>
      </c>
      <c r="P282" s="112">
        <v>0</v>
      </c>
      <c r="Q282" s="112" t="s">
        <v>1131</v>
      </c>
      <c r="R282" s="112" t="s">
        <v>1075</v>
      </c>
      <c r="S282" s="113">
        <v>46059.465173611112</v>
      </c>
      <c r="T282" s="112" t="s">
        <v>2224</v>
      </c>
      <c r="U282" s="112" t="s">
        <v>1065</v>
      </c>
      <c r="V282" s="112" t="s">
        <v>1066</v>
      </c>
      <c r="W282" s="112" t="s">
        <v>1066</v>
      </c>
      <c r="X282" s="112" t="s">
        <v>1117</v>
      </c>
      <c r="Y282" s="112" t="s">
        <v>1066</v>
      </c>
      <c r="Z282" s="112" t="s">
        <v>1148</v>
      </c>
      <c r="AA282" s="112" t="s">
        <v>1067</v>
      </c>
      <c r="AB282" s="112" t="s">
        <v>1066</v>
      </c>
      <c r="AC282" s="112" t="s">
        <v>92</v>
      </c>
      <c r="AD282" s="112" t="s">
        <v>1142</v>
      </c>
      <c r="AE282" s="112" t="s">
        <v>1066</v>
      </c>
      <c r="AF282" s="112" t="s">
        <v>1066</v>
      </c>
      <c r="AG282" s="112" t="s">
        <v>1066</v>
      </c>
      <c r="AH282" s="112" t="s">
        <v>1066</v>
      </c>
      <c r="AI282" s="112" t="s">
        <v>785</v>
      </c>
      <c r="AJ282" s="112">
        <v>8893510</v>
      </c>
      <c r="AK282" s="112" t="s">
        <v>164</v>
      </c>
      <c r="AL282" s="112">
        <v>666340</v>
      </c>
      <c r="AM282" s="112" t="s">
        <v>1066</v>
      </c>
      <c r="AN282" s="112" t="s">
        <v>1066</v>
      </c>
    </row>
    <row r="283" spans="1:40" ht="55.5" customHeight="1" x14ac:dyDescent="0.25">
      <c r="A283" s="111" t="s">
        <v>2225</v>
      </c>
      <c r="B283" s="112">
        <v>2026</v>
      </c>
      <c r="C283" s="112" t="s">
        <v>2226</v>
      </c>
      <c r="D283" s="113">
        <v>46076.708414351851</v>
      </c>
      <c r="E283" s="112" t="s">
        <v>1066</v>
      </c>
      <c r="F283" s="112" t="s">
        <v>2227</v>
      </c>
      <c r="G283" s="112" t="s">
        <v>1066</v>
      </c>
      <c r="H283" s="112" t="s">
        <v>1066</v>
      </c>
      <c r="I283" s="112" t="s">
        <v>2228</v>
      </c>
      <c r="J283" s="112" t="s">
        <v>1071</v>
      </c>
      <c r="K283" s="112" t="s">
        <v>2229</v>
      </c>
      <c r="L283" s="112" t="s">
        <v>1073</v>
      </c>
      <c r="M283" s="112" t="s">
        <v>478</v>
      </c>
      <c r="N283" s="113">
        <v>46079.708414351851</v>
      </c>
      <c r="O283" s="114">
        <v>19000258475</v>
      </c>
      <c r="P283" s="112">
        <v>0</v>
      </c>
      <c r="Q283" s="112" t="s">
        <v>1757</v>
      </c>
      <c r="R283" s="112" t="s">
        <v>1263</v>
      </c>
      <c r="S283" s="113">
        <v>46134.424803240741</v>
      </c>
      <c r="T283" s="112" t="s">
        <v>2230</v>
      </c>
      <c r="U283" s="112" t="s">
        <v>1065</v>
      </c>
      <c r="V283" s="112" t="s">
        <v>1066</v>
      </c>
      <c r="W283" s="112" t="s">
        <v>1066</v>
      </c>
      <c r="X283" s="112" t="s">
        <v>1066</v>
      </c>
      <c r="Y283" s="112" t="s">
        <v>1066</v>
      </c>
      <c r="Z283" s="112" t="s">
        <v>1066</v>
      </c>
      <c r="AA283" s="112" t="s">
        <v>1067</v>
      </c>
      <c r="AB283" s="112" t="s">
        <v>1066</v>
      </c>
      <c r="AC283" s="112" t="s">
        <v>92</v>
      </c>
      <c r="AD283" s="112" t="s">
        <v>1142</v>
      </c>
      <c r="AE283" s="112" t="s">
        <v>1066</v>
      </c>
      <c r="AF283" s="112" t="s">
        <v>1066</v>
      </c>
      <c r="AG283" s="112" t="s">
        <v>1066</v>
      </c>
      <c r="AH283" s="112" t="s">
        <v>1066</v>
      </c>
      <c r="AI283" s="112" t="s">
        <v>785</v>
      </c>
      <c r="AJ283" s="112">
        <v>9025524</v>
      </c>
      <c r="AK283" s="112" t="s">
        <v>482</v>
      </c>
      <c r="AL283" s="112">
        <v>659535</v>
      </c>
      <c r="AM283" s="112" t="s">
        <v>1066</v>
      </c>
      <c r="AN283" s="112" t="s">
        <v>1066</v>
      </c>
    </row>
    <row r="284" spans="1:40" ht="55.5" customHeight="1" x14ac:dyDescent="0.25">
      <c r="A284" s="111" t="s">
        <v>2231</v>
      </c>
      <c r="B284" s="112">
        <v>2026</v>
      </c>
      <c r="C284" s="112" t="s">
        <v>1240</v>
      </c>
      <c r="D284" s="113">
        <v>46183.597349537034</v>
      </c>
      <c r="E284" s="112">
        <v>7931243015</v>
      </c>
      <c r="F284" s="112" t="s">
        <v>706</v>
      </c>
      <c r="G284" s="112">
        <v>1</v>
      </c>
      <c r="H284" s="112">
        <v>7931243015</v>
      </c>
      <c r="I284" s="112" t="s">
        <v>2232</v>
      </c>
      <c r="J284" s="112" t="s">
        <v>1066</v>
      </c>
      <c r="K284" s="112" t="s">
        <v>1125</v>
      </c>
      <c r="L284" s="112" t="s">
        <v>1061</v>
      </c>
      <c r="M284" s="112" t="s">
        <v>478</v>
      </c>
      <c r="N284" s="113">
        <v>46583.597349537034</v>
      </c>
      <c r="O284" s="114">
        <v>19002203569</v>
      </c>
      <c r="P284" s="112">
        <v>1.7450000000000001</v>
      </c>
      <c r="Q284" s="112" t="s">
        <v>1062</v>
      </c>
      <c r="R284" s="112" t="s">
        <v>1063</v>
      </c>
      <c r="S284" s="113">
        <v>46198.729166666664</v>
      </c>
      <c r="T284" s="112" t="s">
        <v>2233</v>
      </c>
      <c r="U284" s="112" t="s">
        <v>1065</v>
      </c>
      <c r="V284" s="112" t="s">
        <v>1066</v>
      </c>
      <c r="W284" s="112" t="s">
        <v>1066</v>
      </c>
      <c r="X284" s="112" t="s">
        <v>1066</v>
      </c>
      <c r="Y284" s="112" t="s">
        <v>1066</v>
      </c>
      <c r="Z284" s="112" t="s">
        <v>1066</v>
      </c>
      <c r="AA284" s="112" t="s">
        <v>1067</v>
      </c>
      <c r="AB284" s="112" t="s">
        <v>1066</v>
      </c>
      <c r="AC284" s="112" t="s">
        <v>92</v>
      </c>
      <c r="AD284" s="112" t="s">
        <v>1066</v>
      </c>
      <c r="AE284" s="112" t="s">
        <v>1066</v>
      </c>
      <c r="AF284" s="112" t="s">
        <v>1066</v>
      </c>
      <c r="AG284" s="112" t="s">
        <v>1066</v>
      </c>
      <c r="AH284" s="112" t="s">
        <v>1066</v>
      </c>
      <c r="AI284" s="112" t="s">
        <v>785</v>
      </c>
      <c r="AJ284" s="112">
        <v>9006051</v>
      </c>
      <c r="AK284" s="112" t="s">
        <v>288</v>
      </c>
      <c r="AL284" s="112">
        <v>811161</v>
      </c>
      <c r="AM284" s="112" t="s">
        <v>1066</v>
      </c>
      <c r="AN284" s="112" t="s">
        <v>1066</v>
      </c>
    </row>
    <row r="285" spans="1:40" ht="55.5" customHeight="1" x14ac:dyDescent="0.25">
      <c r="A285" s="120" t="s">
        <v>2234</v>
      </c>
      <c r="B285" s="121">
        <v>2026</v>
      </c>
      <c r="C285" s="121" t="s">
        <v>2235</v>
      </c>
      <c r="D285" s="122">
        <v>46225.502592592595</v>
      </c>
      <c r="E285" s="121">
        <v>9000721193</v>
      </c>
      <c r="F285" s="121" t="s">
        <v>370</v>
      </c>
      <c r="G285" s="121">
        <v>2</v>
      </c>
      <c r="H285" s="121">
        <v>7900722193</v>
      </c>
      <c r="I285" s="121" t="s">
        <v>2236</v>
      </c>
      <c r="J285" s="121" t="s">
        <v>1071</v>
      </c>
      <c r="K285" s="121" t="s">
        <v>1130</v>
      </c>
      <c r="L285" s="121" t="s">
        <v>1073</v>
      </c>
      <c r="M285" s="121" t="s">
        <v>1116</v>
      </c>
      <c r="N285" s="122">
        <v>46228.502592592595</v>
      </c>
      <c r="O285" s="123">
        <v>19000021684</v>
      </c>
      <c r="P285" s="121">
        <v>3.2709999999999999</v>
      </c>
      <c r="Q285" s="121" t="s">
        <v>1131</v>
      </c>
      <c r="R285" s="121" t="s">
        <v>1075</v>
      </c>
      <c r="S285" s="122">
        <v>46225.5078125</v>
      </c>
      <c r="T285" s="121" t="s">
        <v>1066</v>
      </c>
      <c r="U285" s="121" t="s">
        <v>1066</v>
      </c>
      <c r="V285" s="121" t="s">
        <v>1066</v>
      </c>
      <c r="W285" s="121" t="s">
        <v>1066</v>
      </c>
      <c r="X285" s="121" t="s">
        <v>1117</v>
      </c>
      <c r="Y285" s="121" t="s">
        <v>1066</v>
      </c>
      <c r="Z285" s="121" t="s">
        <v>1133</v>
      </c>
      <c r="AA285" s="121" t="s">
        <v>1067</v>
      </c>
      <c r="AB285" s="121" t="s">
        <v>1066</v>
      </c>
      <c r="AC285" s="121" t="s">
        <v>92</v>
      </c>
      <c r="AD285" s="121" t="s">
        <v>1142</v>
      </c>
      <c r="AE285" s="121" t="s">
        <v>1066</v>
      </c>
      <c r="AF285" s="121" t="s">
        <v>1066</v>
      </c>
      <c r="AG285" s="121" t="s">
        <v>1066</v>
      </c>
      <c r="AH285" s="121" t="s">
        <v>1066</v>
      </c>
      <c r="AI285" s="121" t="s">
        <v>785</v>
      </c>
      <c r="AJ285" s="121">
        <v>9071636</v>
      </c>
      <c r="AK285" s="121" t="s">
        <v>369</v>
      </c>
      <c r="AL285" s="121">
        <v>967442</v>
      </c>
      <c r="AM285" s="121" t="s">
        <v>1066</v>
      </c>
      <c r="AN285" s="121" t="s">
        <v>1066</v>
      </c>
    </row>
    <row r="286" spans="1:40" ht="55.5" customHeight="1" x14ac:dyDescent="0.25">
      <c r="A286" s="115" t="s">
        <v>2237</v>
      </c>
      <c r="B286" s="116">
        <v>2026</v>
      </c>
      <c r="C286" s="116" t="s">
        <v>2238</v>
      </c>
      <c r="D286" s="118">
        <v>46071.683761574073</v>
      </c>
      <c r="E286" s="116">
        <v>7926442035</v>
      </c>
      <c r="F286" s="116" t="s">
        <v>340</v>
      </c>
      <c r="G286" s="116">
        <v>3</v>
      </c>
      <c r="H286" s="116">
        <v>7926442035</v>
      </c>
      <c r="I286" s="116" t="s">
        <v>2239</v>
      </c>
      <c r="J286" s="116" t="s">
        <v>1071</v>
      </c>
      <c r="K286" s="116" t="s">
        <v>1323</v>
      </c>
      <c r="L286" s="116" t="s">
        <v>1073</v>
      </c>
      <c r="M286" s="116" t="s">
        <v>588</v>
      </c>
      <c r="N286" s="118">
        <v>46102.677141203705</v>
      </c>
      <c r="O286" s="119">
        <v>19002205895</v>
      </c>
      <c r="P286" s="116">
        <v>229</v>
      </c>
      <c r="Q286" s="116" t="s">
        <v>1062</v>
      </c>
      <c r="R286" s="116" t="s">
        <v>1075</v>
      </c>
      <c r="S286" s="116" t="s">
        <v>1066</v>
      </c>
      <c r="T286" s="116" t="s">
        <v>1066</v>
      </c>
      <c r="U286" s="116" t="s">
        <v>1066</v>
      </c>
      <c r="V286" s="116" t="s">
        <v>1066</v>
      </c>
      <c r="W286" s="116" t="s">
        <v>1066</v>
      </c>
      <c r="X286" s="116" t="s">
        <v>983</v>
      </c>
      <c r="Y286" s="116" t="s">
        <v>1066</v>
      </c>
      <c r="Z286" s="116" t="s">
        <v>1318</v>
      </c>
      <c r="AA286" s="116" t="s">
        <v>1067</v>
      </c>
      <c r="AB286" s="116" t="s">
        <v>1066</v>
      </c>
      <c r="AC286" s="116" t="s">
        <v>92</v>
      </c>
      <c r="AD286" s="116" t="s">
        <v>1066</v>
      </c>
      <c r="AE286" s="116" t="s">
        <v>1066</v>
      </c>
      <c r="AF286" s="116" t="s">
        <v>1066</v>
      </c>
      <c r="AG286" s="116" t="s">
        <v>1066</v>
      </c>
      <c r="AH286" s="116" t="s">
        <v>1066</v>
      </c>
      <c r="AI286" s="116" t="s">
        <v>785</v>
      </c>
      <c r="AJ286" s="116">
        <v>8782076</v>
      </c>
      <c r="AK286" s="116" t="s">
        <v>339</v>
      </c>
      <c r="AL286" s="116">
        <v>819553</v>
      </c>
      <c r="AM286" s="116" t="s">
        <v>1066</v>
      </c>
      <c r="AN286" s="116" t="s">
        <v>1066</v>
      </c>
    </row>
    <row r="287" spans="1:40" ht="55.5" customHeight="1" x14ac:dyDescent="0.25">
      <c r="A287" s="111" t="s">
        <v>2240</v>
      </c>
      <c r="B287" s="112">
        <v>2026</v>
      </c>
      <c r="C287" s="112" t="s">
        <v>1057</v>
      </c>
      <c r="D287" s="113">
        <v>46125.584386574075</v>
      </c>
      <c r="E287" s="112">
        <v>7933637076</v>
      </c>
      <c r="F287" s="112" t="s">
        <v>211</v>
      </c>
      <c r="G287" s="112">
        <v>1</v>
      </c>
      <c r="H287" s="112">
        <v>7933637076</v>
      </c>
      <c r="I287" s="112" t="s">
        <v>1802</v>
      </c>
      <c r="J287" s="112" t="s">
        <v>1066</v>
      </c>
      <c r="K287" s="112" t="s">
        <v>1125</v>
      </c>
      <c r="L287" s="112" t="s">
        <v>1061</v>
      </c>
      <c r="M287" s="112" t="s">
        <v>478</v>
      </c>
      <c r="N287" s="113">
        <v>46525.584386574075</v>
      </c>
      <c r="O287" s="114">
        <v>19002208664</v>
      </c>
      <c r="P287" s="112">
        <v>0</v>
      </c>
      <c r="Q287" s="112" t="s">
        <v>1062</v>
      </c>
      <c r="R287" s="112" t="s">
        <v>1063</v>
      </c>
      <c r="S287" s="113">
        <v>46181.728067129632</v>
      </c>
      <c r="T287" s="112" t="s">
        <v>2241</v>
      </c>
      <c r="U287" s="112" t="s">
        <v>1065</v>
      </c>
      <c r="V287" s="112" t="s">
        <v>1066</v>
      </c>
      <c r="W287" s="112" t="s">
        <v>1066</v>
      </c>
      <c r="X287" s="112" t="s">
        <v>1066</v>
      </c>
      <c r="Y287" s="112" t="s">
        <v>1066</v>
      </c>
      <c r="Z287" s="112" t="s">
        <v>1066</v>
      </c>
      <c r="AA287" s="112" t="s">
        <v>1067</v>
      </c>
      <c r="AB287" s="112" t="s">
        <v>1066</v>
      </c>
      <c r="AC287" s="112" t="s">
        <v>92</v>
      </c>
      <c r="AD287" s="112" t="s">
        <v>1066</v>
      </c>
      <c r="AE287" s="112" t="s">
        <v>1066</v>
      </c>
      <c r="AF287" s="112" t="s">
        <v>1066</v>
      </c>
      <c r="AG287" s="112" t="s">
        <v>1066</v>
      </c>
      <c r="AH287" s="112" t="s">
        <v>1066</v>
      </c>
      <c r="AI287" s="112" t="s">
        <v>785</v>
      </c>
      <c r="AJ287" s="112">
        <v>8745948</v>
      </c>
      <c r="AK287" s="112" t="s">
        <v>209</v>
      </c>
      <c r="AL287" s="112">
        <v>689178</v>
      </c>
      <c r="AM287" s="112" t="s">
        <v>1066</v>
      </c>
      <c r="AN287" s="112" t="s">
        <v>1066</v>
      </c>
    </row>
    <row r="288" spans="1:40" ht="55.5" customHeight="1" x14ac:dyDescent="0.25">
      <c r="A288" s="111" t="s">
        <v>2242</v>
      </c>
      <c r="B288" s="112">
        <v>2026</v>
      </c>
      <c r="C288" s="112" t="s">
        <v>1089</v>
      </c>
      <c r="D288" s="113">
        <v>46028.41065972222</v>
      </c>
      <c r="E288" s="112">
        <v>7908712122</v>
      </c>
      <c r="F288" s="112" t="s">
        <v>409</v>
      </c>
      <c r="G288" s="112">
        <v>2</v>
      </c>
      <c r="H288" s="112">
        <v>7908712122</v>
      </c>
      <c r="I288" s="112" t="s">
        <v>2243</v>
      </c>
      <c r="J288" s="112" t="s">
        <v>1092</v>
      </c>
      <c r="K288" s="112" t="s">
        <v>1093</v>
      </c>
      <c r="L288" s="112" t="s">
        <v>1061</v>
      </c>
      <c r="M288" s="112" t="s">
        <v>478</v>
      </c>
      <c r="N288" s="113">
        <v>46428.41065972222</v>
      </c>
      <c r="O288" s="114">
        <v>19002223820</v>
      </c>
      <c r="P288" s="112">
        <v>0</v>
      </c>
      <c r="Q288" s="112" t="s">
        <v>1062</v>
      </c>
      <c r="R288" s="112" t="s">
        <v>1063</v>
      </c>
      <c r="S288" s="113">
        <v>46045.710509259261</v>
      </c>
      <c r="T288" s="112" t="s">
        <v>2244</v>
      </c>
      <c r="U288" s="112" t="s">
        <v>1065</v>
      </c>
      <c r="V288" s="112" t="s">
        <v>1066</v>
      </c>
      <c r="W288" s="112" t="s">
        <v>1066</v>
      </c>
      <c r="X288" s="112" t="s">
        <v>1066</v>
      </c>
      <c r="Y288" s="112" t="s">
        <v>1066</v>
      </c>
      <c r="Z288" s="112" t="s">
        <v>1066</v>
      </c>
      <c r="AA288" s="112" t="s">
        <v>1067</v>
      </c>
      <c r="AB288" s="112" t="s">
        <v>1066</v>
      </c>
      <c r="AC288" s="112" t="s">
        <v>92</v>
      </c>
      <c r="AD288" s="112" t="s">
        <v>1066</v>
      </c>
      <c r="AE288" s="112" t="s">
        <v>1066</v>
      </c>
      <c r="AF288" s="112" t="s">
        <v>1066</v>
      </c>
      <c r="AG288" s="112" t="s">
        <v>1066</v>
      </c>
      <c r="AH288" s="112" t="s">
        <v>1066</v>
      </c>
      <c r="AI288" s="112" t="s">
        <v>785</v>
      </c>
      <c r="AJ288" s="112">
        <v>8872942</v>
      </c>
      <c r="AK288" s="112" t="s">
        <v>264</v>
      </c>
      <c r="AL288" s="112">
        <v>793142</v>
      </c>
      <c r="AM288" s="112" t="s">
        <v>1066</v>
      </c>
      <c r="AN288" s="112" t="s">
        <v>1066</v>
      </c>
    </row>
    <row r="289" spans="1:40" ht="55.5" customHeight="1" x14ac:dyDescent="0.25">
      <c r="A289" s="111" t="s">
        <v>2245</v>
      </c>
      <c r="B289" s="112">
        <v>2026</v>
      </c>
      <c r="C289" s="112" t="s">
        <v>2246</v>
      </c>
      <c r="D289" s="113">
        <v>46050.477175925924</v>
      </c>
      <c r="E289" s="112">
        <v>8807822122</v>
      </c>
      <c r="F289" s="112" t="s">
        <v>1372</v>
      </c>
      <c r="G289" s="112">
        <v>3</v>
      </c>
      <c r="H289" s="112">
        <v>7955936122</v>
      </c>
      <c r="I289" s="112" t="s">
        <v>2247</v>
      </c>
      <c r="J289" s="112" t="s">
        <v>1071</v>
      </c>
      <c r="K289" s="112" t="s">
        <v>1282</v>
      </c>
      <c r="L289" s="112" t="s">
        <v>1073</v>
      </c>
      <c r="M289" s="112" t="s">
        <v>478</v>
      </c>
      <c r="N289" s="113">
        <v>46053.477175925924</v>
      </c>
      <c r="O289" s="114">
        <v>19002743497</v>
      </c>
      <c r="P289" s="112">
        <v>0</v>
      </c>
      <c r="Q289" s="112" t="s">
        <v>1131</v>
      </c>
      <c r="R289" s="112" t="s">
        <v>1075</v>
      </c>
      <c r="S289" s="113">
        <v>46071.659803240742</v>
      </c>
      <c r="T289" s="112" t="s">
        <v>2248</v>
      </c>
      <c r="U289" s="112" t="s">
        <v>1065</v>
      </c>
      <c r="V289" s="112" t="s">
        <v>1066</v>
      </c>
      <c r="W289" s="112" t="s">
        <v>1066</v>
      </c>
      <c r="X289" s="112" t="s">
        <v>983</v>
      </c>
      <c r="Y289" s="112" t="s">
        <v>1066</v>
      </c>
      <c r="Z289" s="112" t="s">
        <v>1078</v>
      </c>
      <c r="AA289" s="112" t="s">
        <v>1067</v>
      </c>
      <c r="AB289" s="112" t="s">
        <v>1066</v>
      </c>
      <c r="AC289" s="112" t="s">
        <v>92</v>
      </c>
      <c r="AD289" s="112" t="s">
        <v>1066</v>
      </c>
      <c r="AE289" s="112" t="s">
        <v>1066</v>
      </c>
      <c r="AF289" s="112" t="s">
        <v>1066</v>
      </c>
      <c r="AG289" s="112" t="s">
        <v>1066</v>
      </c>
      <c r="AH289" s="112" t="s">
        <v>1066</v>
      </c>
      <c r="AI289" s="112" t="s">
        <v>785</v>
      </c>
      <c r="AJ289" s="112">
        <v>8878909</v>
      </c>
      <c r="AK289" s="112" t="s">
        <v>264</v>
      </c>
      <c r="AL289" s="112">
        <v>789931</v>
      </c>
      <c r="AM289" s="112" t="s">
        <v>1066</v>
      </c>
      <c r="AN289" s="112" t="s">
        <v>1066</v>
      </c>
    </row>
    <row r="290" spans="1:40" ht="55.5" customHeight="1" x14ac:dyDescent="0.25">
      <c r="A290" s="111" t="s">
        <v>2249</v>
      </c>
      <c r="B290" s="112">
        <v>2026</v>
      </c>
      <c r="C290" s="112" t="s">
        <v>2250</v>
      </c>
      <c r="D290" s="113">
        <v>46091.69017361111</v>
      </c>
      <c r="E290" s="112" t="s">
        <v>1066</v>
      </c>
      <c r="F290" s="112" t="s">
        <v>2251</v>
      </c>
      <c r="G290" s="112" t="s">
        <v>1066</v>
      </c>
      <c r="H290" s="112" t="s">
        <v>1066</v>
      </c>
      <c r="I290" s="112" t="s">
        <v>2252</v>
      </c>
      <c r="J290" s="112" t="s">
        <v>1059</v>
      </c>
      <c r="K290" s="112" t="s">
        <v>1060</v>
      </c>
      <c r="L290" s="112" t="s">
        <v>1061</v>
      </c>
      <c r="M290" s="112" t="s">
        <v>478</v>
      </c>
      <c r="N290" s="113">
        <v>46491.69017361111</v>
      </c>
      <c r="O290" s="114">
        <v>19000248424</v>
      </c>
      <c r="P290" s="112">
        <v>0</v>
      </c>
      <c r="Q290" s="112" t="s">
        <v>1794</v>
      </c>
      <c r="R290" s="112" t="s">
        <v>1063</v>
      </c>
      <c r="S290" s="113">
        <v>46119.485000000001</v>
      </c>
      <c r="T290" s="112" t="s">
        <v>2253</v>
      </c>
      <c r="U290" s="112" t="s">
        <v>1065</v>
      </c>
      <c r="V290" s="112" t="s">
        <v>1066</v>
      </c>
      <c r="W290" s="112" t="s">
        <v>1066</v>
      </c>
      <c r="X290" s="112" t="s">
        <v>1066</v>
      </c>
      <c r="Y290" s="112" t="s">
        <v>1066</v>
      </c>
      <c r="Z290" s="112" t="s">
        <v>1066</v>
      </c>
      <c r="AA290" s="112" t="s">
        <v>1067</v>
      </c>
      <c r="AB290" s="112" t="s">
        <v>1066</v>
      </c>
      <c r="AC290" s="112" t="s">
        <v>92</v>
      </c>
      <c r="AD290" s="112" t="s">
        <v>1142</v>
      </c>
      <c r="AE290" s="112" t="s">
        <v>1066</v>
      </c>
      <c r="AF290" s="112" t="s">
        <v>1066</v>
      </c>
      <c r="AG290" s="112" t="s">
        <v>1066</v>
      </c>
      <c r="AH290" s="112" t="s">
        <v>1066</v>
      </c>
      <c r="AI290" s="112" t="s">
        <v>785</v>
      </c>
      <c r="AJ290" s="112" t="s">
        <v>1066</v>
      </c>
      <c r="AK290" s="112" t="s">
        <v>1066</v>
      </c>
      <c r="AL290" s="112" t="s">
        <v>1066</v>
      </c>
      <c r="AM290" s="112" t="s">
        <v>1066</v>
      </c>
      <c r="AN290" s="112" t="s">
        <v>1066</v>
      </c>
    </row>
    <row r="291" spans="1:40" ht="55.5" customHeight="1" x14ac:dyDescent="0.25">
      <c r="A291" s="111" t="s">
        <v>2254</v>
      </c>
      <c r="B291" s="112">
        <v>2026</v>
      </c>
      <c r="C291" s="112" t="s">
        <v>1089</v>
      </c>
      <c r="D291" s="113">
        <v>46028.453888888886</v>
      </c>
      <c r="E291" s="112">
        <v>7910016021</v>
      </c>
      <c r="F291" s="112" t="s">
        <v>377</v>
      </c>
      <c r="G291" s="112">
        <v>3</v>
      </c>
      <c r="H291" s="112">
        <v>7910016021</v>
      </c>
      <c r="I291" s="112" t="s">
        <v>2255</v>
      </c>
      <c r="J291" s="112" t="s">
        <v>1092</v>
      </c>
      <c r="K291" s="112" t="s">
        <v>1093</v>
      </c>
      <c r="L291" s="112" t="s">
        <v>1061</v>
      </c>
      <c r="M291" s="112" t="s">
        <v>478</v>
      </c>
      <c r="N291" s="113">
        <v>46428.453888888886</v>
      </c>
      <c r="O291" s="114">
        <v>19002617883</v>
      </c>
      <c r="P291" s="112">
        <v>565</v>
      </c>
      <c r="Q291" s="112" t="s">
        <v>1062</v>
      </c>
      <c r="R291" s="112" t="s">
        <v>1063</v>
      </c>
      <c r="S291" s="113">
        <v>46034.422222222223</v>
      </c>
      <c r="T291" s="112" t="s">
        <v>2256</v>
      </c>
      <c r="U291" s="112" t="s">
        <v>1065</v>
      </c>
      <c r="V291" s="112" t="s">
        <v>1066</v>
      </c>
      <c r="W291" s="112" t="s">
        <v>1066</v>
      </c>
      <c r="X291" s="112" t="s">
        <v>1066</v>
      </c>
      <c r="Y291" s="112" t="s">
        <v>1066</v>
      </c>
      <c r="Z291" s="112" t="s">
        <v>1066</v>
      </c>
      <c r="AA291" s="112" t="s">
        <v>1067</v>
      </c>
      <c r="AB291" s="112" t="s">
        <v>1066</v>
      </c>
      <c r="AC291" s="112" t="s">
        <v>92</v>
      </c>
      <c r="AD291" s="112" t="s">
        <v>1066</v>
      </c>
      <c r="AE291" s="112" t="s">
        <v>1066</v>
      </c>
      <c r="AF291" s="112" t="s">
        <v>1066</v>
      </c>
      <c r="AG291" s="112" t="s">
        <v>1066</v>
      </c>
      <c r="AH291" s="112" t="s">
        <v>1066</v>
      </c>
      <c r="AI291" s="112" t="s">
        <v>785</v>
      </c>
      <c r="AJ291" s="112">
        <v>8598608</v>
      </c>
      <c r="AK291" s="112" t="s">
        <v>223</v>
      </c>
      <c r="AL291" s="112">
        <v>848891</v>
      </c>
      <c r="AM291" s="112" t="s">
        <v>1066</v>
      </c>
      <c r="AN291" s="112" t="s">
        <v>1066</v>
      </c>
    </row>
    <row r="292" spans="1:40" ht="55.5" customHeight="1" x14ac:dyDescent="0.25">
      <c r="A292" s="111" t="s">
        <v>2257</v>
      </c>
      <c r="B292" s="112">
        <v>2026</v>
      </c>
      <c r="C292" s="112" t="s">
        <v>2258</v>
      </c>
      <c r="D292" s="113">
        <v>46026.71670138889</v>
      </c>
      <c r="E292" s="112">
        <v>9001670014</v>
      </c>
      <c r="F292" s="112" t="s">
        <v>314</v>
      </c>
      <c r="G292" s="112">
        <v>3</v>
      </c>
      <c r="H292" s="112">
        <v>7921202014</v>
      </c>
      <c r="I292" s="112" t="s">
        <v>2259</v>
      </c>
      <c r="J292" s="112" t="s">
        <v>1071</v>
      </c>
      <c r="K292" s="112" t="s">
        <v>1261</v>
      </c>
      <c r="L292" s="112" t="s">
        <v>1073</v>
      </c>
      <c r="M292" s="112" t="s">
        <v>478</v>
      </c>
      <c r="N292" s="113">
        <v>46029.71670138889</v>
      </c>
      <c r="O292" s="114">
        <v>19001184321</v>
      </c>
      <c r="P292" s="112">
        <v>548</v>
      </c>
      <c r="Q292" s="112" t="s">
        <v>1131</v>
      </c>
      <c r="R292" s="112" t="s">
        <v>1075</v>
      </c>
      <c r="S292" s="113">
        <v>46057.439143518517</v>
      </c>
      <c r="T292" s="112" t="s">
        <v>2260</v>
      </c>
      <c r="U292" s="112" t="s">
        <v>1065</v>
      </c>
      <c r="V292" s="112" t="s">
        <v>1066</v>
      </c>
      <c r="W292" s="112" t="s">
        <v>1066</v>
      </c>
      <c r="X292" s="112" t="s">
        <v>1117</v>
      </c>
      <c r="Y292" s="112" t="s">
        <v>1066</v>
      </c>
      <c r="Z292" s="112" t="s">
        <v>1148</v>
      </c>
      <c r="AA292" s="112" t="s">
        <v>1067</v>
      </c>
      <c r="AB292" s="112" t="s">
        <v>1066</v>
      </c>
      <c r="AC292" s="112" t="s">
        <v>92</v>
      </c>
      <c r="AD292" s="112" t="s">
        <v>1142</v>
      </c>
      <c r="AE292" s="112" t="s">
        <v>1066</v>
      </c>
      <c r="AF292" s="112" t="s">
        <v>1066</v>
      </c>
      <c r="AG292" s="112" t="s">
        <v>1066</v>
      </c>
      <c r="AH292" s="112" t="s">
        <v>1066</v>
      </c>
      <c r="AI292" s="112" t="s">
        <v>785</v>
      </c>
      <c r="AJ292" s="112">
        <v>8845554</v>
      </c>
      <c r="AK292" s="112" t="s">
        <v>164</v>
      </c>
      <c r="AL292" s="112">
        <v>668309</v>
      </c>
      <c r="AM292" s="112" t="s">
        <v>1066</v>
      </c>
      <c r="AN292" s="112" t="s">
        <v>1066</v>
      </c>
    </row>
    <row r="293" spans="1:40" ht="55.5" customHeight="1" x14ac:dyDescent="0.25">
      <c r="A293" s="111" t="s">
        <v>2261</v>
      </c>
      <c r="B293" s="112">
        <v>2026</v>
      </c>
      <c r="C293" s="112" t="s">
        <v>2262</v>
      </c>
      <c r="D293" s="113">
        <v>46051.3125</v>
      </c>
      <c r="E293" s="112">
        <v>3356549193</v>
      </c>
      <c r="F293" s="112" t="s">
        <v>370</v>
      </c>
      <c r="G293" s="112">
        <v>3</v>
      </c>
      <c r="H293" s="112">
        <v>7956399193</v>
      </c>
      <c r="I293" s="112" t="s">
        <v>2263</v>
      </c>
      <c r="J293" s="112" t="s">
        <v>1071</v>
      </c>
      <c r="K293" s="112" t="s">
        <v>1130</v>
      </c>
      <c r="L293" s="112" t="s">
        <v>1073</v>
      </c>
      <c r="M293" s="112" t="s">
        <v>478</v>
      </c>
      <c r="N293" s="113">
        <v>46054.865833333337</v>
      </c>
      <c r="O293" s="114">
        <v>19002744573</v>
      </c>
      <c r="P293" s="112">
        <v>0</v>
      </c>
      <c r="Q293" s="112" t="s">
        <v>1131</v>
      </c>
      <c r="R293" s="112" t="s">
        <v>1075</v>
      </c>
      <c r="S293" s="113">
        <v>46062.566666666666</v>
      </c>
      <c r="T293" s="112" t="s">
        <v>2264</v>
      </c>
      <c r="U293" s="112" t="s">
        <v>1065</v>
      </c>
      <c r="V293" s="112" t="s">
        <v>1066</v>
      </c>
      <c r="W293" s="112" t="s">
        <v>1066</v>
      </c>
      <c r="X293" s="112" t="s">
        <v>1117</v>
      </c>
      <c r="Y293" s="112" t="s">
        <v>1066</v>
      </c>
      <c r="Z293" s="112" t="s">
        <v>1133</v>
      </c>
      <c r="AA293" s="112" t="s">
        <v>1067</v>
      </c>
      <c r="AB293" s="112" t="s">
        <v>1066</v>
      </c>
      <c r="AC293" s="112" t="s">
        <v>92</v>
      </c>
      <c r="AD293" s="112" t="s">
        <v>1066</v>
      </c>
      <c r="AE293" s="112" t="s">
        <v>1066</v>
      </c>
      <c r="AF293" s="112" t="s">
        <v>1066</v>
      </c>
      <c r="AG293" s="112" t="s">
        <v>1066</v>
      </c>
      <c r="AH293" s="112" t="s">
        <v>1066</v>
      </c>
      <c r="AI293" s="112" t="s">
        <v>785</v>
      </c>
      <c r="AJ293" s="112">
        <v>9106630</v>
      </c>
      <c r="AK293" s="112" t="s">
        <v>369</v>
      </c>
      <c r="AL293" s="112">
        <v>988443</v>
      </c>
      <c r="AM293" s="112" t="s">
        <v>1066</v>
      </c>
      <c r="AN293" s="112" t="s">
        <v>1066</v>
      </c>
    </row>
    <row r="294" spans="1:40" ht="55.5" customHeight="1" x14ac:dyDescent="0.25">
      <c r="A294" s="111" t="s">
        <v>2265</v>
      </c>
      <c r="B294" s="112">
        <v>2026</v>
      </c>
      <c r="C294" s="112" t="s">
        <v>1089</v>
      </c>
      <c r="D294" s="113">
        <v>46028.41065972222</v>
      </c>
      <c r="E294" s="112">
        <v>7931617122</v>
      </c>
      <c r="F294" s="112" t="s">
        <v>1488</v>
      </c>
      <c r="G294" s="112">
        <v>1</v>
      </c>
      <c r="H294" s="112">
        <v>7931617122</v>
      </c>
      <c r="I294" s="112" t="s">
        <v>2266</v>
      </c>
      <c r="J294" s="112" t="s">
        <v>1092</v>
      </c>
      <c r="K294" s="112" t="s">
        <v>1093</v>
      </c>
      <c r="L294" s="112" t="s">
        <v>1061</v>
      </c>
      <c r="M294" s="112" t="s">
        <v>478</v>
      </c>
      <c r="N294" s="113">
        <v>46428.41065972222</v>
      </c>
      <c r="O294" s="114">
        <v>19002613418</v>
      </c>
      <c r="P294" s="112">
        <v>1.2889999999999999</v>
      </c>
      <c r="Q294" s="112" t="s">
        <v>1062</v>
      </c>
      <c r="R294" s="112" t="s">
        <v>1063</v>
      </c>
      <c r="S294" s="113">
        <v>46035.406192129631</v>
      </c>
      <c r="T294" s="112" t="s">
        <v>2267</v>
      </c>
      <c r="U294" s="112" t="s">
        <v>1065</v>
      </c>
      <c r="V294" s="112" t="s">
        <v>1066</v>
      </c>
      <c r="W294" s="112" t="s">
        <v>1066</v>
      </c>
      <c r="X294" s="112" t="s">
        <v>1066</v>
      </c>
      <c r="Y294" s="112" t="s">
        <v>1066</v>
      </c>
      <c r="Z294" s="112" t="s">
        <v>1066</v>
      </c>
      <c r="AA294" s="112" t="s">
        <v>1067</v>
      </c>
      <c r="AB294" s="112" t="s">
        <v>1066</v>
      </c>
      <c r="AC294" s="112" t="s">
        <v>92</v>
      </c>
      <c r="AD294" s="112" t="s">
        <v>1066</v>
      </c>
      <c r="AE294" s="112" t="s">
        <v>1066</v>
      </c>
      <c r="AF294" s="112" t="s">
        <v>1066</v>
      </c>
      <c r="AG294" s="112" t="s">
        <v>1066</v>
      </c>
      <c r="AH294" s="112" t="s">
        <v>1066</v>
      </c>
      <c r="AI294" s="112" t="s">
        <v>785</v>
      </c>
      <c r="AJ294" s="112">
        <v>8873281</v>
      </c>
      <c r="AK294" s="112" t="s">
        <v>264</v>
      </c>
      <c r="AL294" s="112">
        <v>791794</v>
      </c>
      <c r="AM294" s="112" t="s">
        <v>1066</v>
      </c>
      <c r="AN294" s="112" t="s">
        <v>1066</v>
      </c>
    </row>
    <row r="295" spans="1:40" ht="55.5" customHeight="1" x14ac:dyDescent="0.25">
      <c r="A295" s="115" t="s">
        <v>2268</v>
      </c>
      <c r="B295" s="116">
        <v>2026</v>
      </c>
      <c r="C295" s="116" t="s">
        <v>2269</v>
      </c>
      <c r="D295" s="118">
        <v>46184.553738425922</v>
      </c>
      <c r="E295" s="116">
        <v>5700060059</v>
      </c>
      <c r="F295" s="116" t="s">
        <v>2113</v>
      </c>
      <c r="G295" s="116">
        <v>3</v>
      </c>
      <c r="H295" s="116">
        <v>5700060059</v>
      </c>
      <c r="I295" s="116" t="s">
        <v>2270</v>
      </c>
      <c r="J295" s="116" t="s">
        <v>1092</v>
      </c>
      <c r="K295" s="116" t="s">
        <v>2271</v>
      </c>
      <c r="L295" s="116" t="s">
        <v>1073</v>
      </c>
      <c r="M295" s="116" t="s">
        <v>588</v>
      </c>
      <c r="N295" s="118">
        <v>46187.566134259258</v>
      </c>
      <c r="O295" s="119">
        <v>19002389449</v>
      </c>
      <c r="P295" s="116">
        <v>260</v>
      </c>
      <c r="Q295" s="116" t="s">
        <v>2272</v>
      </c>
      <c r="R295" s="116" t="s">
        <v>2273</v>
      </c>
      <c r="S295" s="116" t="s">
        <v>1066</v>
      </c>
      <c r="T295" s="116" t="s">
        <v>1066</v>
      </c>
      <c r="U295" s="116" t="s">
        <v>1066</v>
      </c>
      <c r="V295" s="116" t="s">
        <v>1066</v>
      </c>
      <c r="W295" s="116" t="s">
        <v>1066</v>
      </c>
      <c r="X295" s="116" t="s">
        <v>1066</v>
      </c>
      <c r="Y295" s="116" t="s">
        <v>1066</v>
      </c>
      <c r="Z295" s="116" t="s">
        <v>1066</v>
      </c>
      <c r="AA295" s="116" t="s">
        <v>1067</v>
      </c>
      <c r="AB295" s="116" t="s">
        <v>1066</v>
      </c>
      <c r="AC295" s="116" t="s">
        <v>92</v>
      </c>
      <c r="AD295" s="116" t="s">
        <v>1066</v>
      </c>
      <c r="AE295" s="116" t="s">
        <v>1066</v>
      </c>
      <c r="AF295" s="116" t="s">
        <v>1066</v>
      </c>
      <c r="AG295" s="116" t="s">
        <v>1066</v>
      </c>
      <c r="AH295" s="116" t="s">
        <v>1066</v>
      </c>
      <c r="AI295" s="116" t="s">
        <v>785</v>
      </c>
      <c r="AJ295" s="116">
        <v>8858133</v>
      </c>
      <c r="AK295" s="116" t="s">
        <v>264</v>
      </c>
      <c r="AL295" s="116">
        <v>794005</v>
      </c>
      <c r="AM295" s="116" t="s">
        <v>1066</v>
      </c>
      <c r="AN295" s="116" t="s">
        <v>1066</v>
      </c>
    </row>
    <row r="296" spans="1:40" ht="55.5" customHeight="1" x14ac:dyDescent="0.25">
      <c r="A296" s="115" t="s">
        <v>2274</v>
      </c>
      <c r="B296" s="116">
        <v>2025</v>
      </c>
      <c r="C296" s="116" t="s">
        <v>2275</v>
      </c>
      <c r="D296" s="118">
        <v>45995.63386574074</v>
      </c>
      <c r="E296" s="116">
        <v>7926078046</v>
      </c>
      <c r="F296" s="116" t="s">
        <v>1219</v>
      </c>
      <c r="G296" s="116">
        <v>3</v>
      </c>
      <c r="H296" s="116">
        <v>7926078046</v>
      </c>
      <c r="I296" s="116" t="s">
        <v>1220</v>
      </c>
      <c r="J296" s="116" t="s">
        <v>1157</v>
      </c>
      <c r="K296" s="116" t="s">
        <v>1158</v>
      </c>
      <c r="L296" s="116" t="s">
        <v>1084</v>
      </c>
      <c r="M296" s="116" t="s">
        <v>588</v>
      </c>
      <c r="N296" s="118">
        <v>46172.404849537037</v>
      </c>
      <c r="O296" s="119">
        <v>19002206318</v>
      </c>
      <c r="P296" s="116">
        <v>219</v>
      </c>
      <c r="Q296" s="116" t="s">
        <v>1062</v>
      </c>
      <c r="R296" s="116" t="s">
        <v>1198</v>
      </c>
      <c r="S296" s="116" t="s">
        <v>1066</v>
      </c>
      <c r="T296" s="116" t="s">
        <v>1066</v>
      </c>
      <c r="U296" s="116" t="s">
        <v>1066</v>
      </c>
      <c r="V296" s="116" t="s">
        <v>1066</v>
      </c>
      <c r="W296" s="116" t="s">
        <v>1066</v>
      </c>
      <c r="X296" s="116" t="s">
        <v>1117</v>
      </c>
      <c r="Y296" s="116" t="s">
        <v>1066</v>
      </c>
      <c r="Z296" s="116" t="s">
        <v>1532</v>
      </c>
      <c r="AA296" s="116" t="s">
        <v>1067</v>
      </c>
      <c r="AB296" s="116" t="s">
        <v>1066</v>
      </c>
      <c r="AC296" s="116" t="s">
        <v>92</v>
      </c>
      <c r="AD296" s="116" t="s">
        <v>1066</v>
      </c>
      <c r="AE296" s="116" t="s">
        <v>1066</v>
      </c>
      <c r="AF296" s="116" t="s">
        <v>1066</v>
      </c>
      <c r="AG296" s="116" t="s">
        <v>1066</v>
      </c>
      <c r="AH296" s="116" t="s">
        <v>1066</v>
      </c>
      <c r="AI296" s="116" t="s">
        <v>785</v>
      </c>
      <c r="AJ296" s="116">
        <v>8822512</v>
      </c>
      <c r="AK296" s="116" t="s">
        <v>1221</v>
      </c>
      <c r="AL296" s="116">
        <v>728423</v>
      </c>
      <c r="AM296" s="116" t="s">
        <v>1066</v>
      </c>
      <c r="AN296" s="116" t="s">
        <v>1066</v>
      </c>
    </row>
    <row r="297" spans="1:40" ht="55.5" customHeight="1" x14ac:dyDescent="0.25">
      <c r="A297" s="111" t="s">
        <v>2276</v>
      </c>
      <c r="B297" s="112">
        <v>2026</v>
      </c>
      <c r="C297" s="112" t="s">
        <v>2277</v>
      </c>
      <c r="D297" s="113">
        <v>46117.865231481483</v>
      </c>
      <c r="E297" s="112">
        <v>7927711107</v>
      </c>
      <c r="F297" s="112" t="s">
        <v>1740</v>
      </c>
      <c r="G297" s="112">
        <v>1</v>
      </c>
      <c r="H297" s="112">
        <v>7927711107</v>
      </c>
      <c r="I297" s="112" t="s">
        <v>2278</v>
      </c>
      <c r="J297" s="112" t="s">
        <v>1071</v>
      </c>
      <c r="K297" s="112" t="s">
        <v>2279</v>
      </c>
      <c r="L297" s="112" t="s">
        <v>1073</v>
      </c>
      <c r="M297" s="112" t="s">
        <v>478</v>
      </c>
      <c r="N297" s="113">
        <v>46120.865231481483</v>
      </c>
      <c r="O297" s="114">
        <v>19002203807</v>
      </c>
      <c r="P297" s="112">
        <v>0</v>
      </c>
      <c r="Q297" s="112" t="s">
        <v>1062</v>
      </c>
      <c r="R297" s="112" t="s">
        <v>1075</v>
      </c>
      <c r="S297" s="113">
        <v>46149.426053240742</v>
      </c>
      <c r="T297" s="112" t="s">
        <v>2280</v>
      </c>
      <c r="U297" s="112" t="s">
        <v>1065</v>
      </c>
      <c r="V297" s="112" t="s">
        <v>1066</v>
      </c>
      <c r="W297" s="112" t="s">
        <v>1066</v>
      </c>
      <c r="X297" s="112" t="s">
        <v>983</v>
      </c>
      <c r="Y297" s="112" t="s">
        <v>1066</v>
      </c>
      <c r="Z297" s="112" t="s">
        <v>1318</v>
      </c>
      <c r="AA297" s="112" t="s">
        <v>1067</v>
      </c>
      <c r="AB297" s="112" t="s">
        <v>1066</v>
      </c>
      <c r="AC297" s="112" t="s">
        <v>92</v>
      </c>
      <c r="AD297" s="112" t="s">
        <v>1066</v>
      </c>
      <c r="AE297" s="112" t="s">
        <v>1066</v>
      </c>
      <c r="AF297" s="112" t="s">
        <v>1066</v>
      </c>
      <c r="AG297" s="112" t="s">
        <v>1066</v>
      </c>
      <c r="AH297" s="112" t="s">
        <v>1066</v>
      </c>
      <c r="AI297" s="112" t="s">
        <v>785</v>
      </c>
      <c r="AJ297" s="112">
        <v>8627782</v>
      </c>
      <c r="AK297" s="112" t="s">
        <v>1787</v>
      </c>
      <c r="AL297" s="112">
        <v>624068</v>
      </c>
      <c r="AM297" s="112" t="s">
        <v>1066</v>
      </c>
      <c r="AN297" s="112" t="s">
        <v>1066</v>
      </c>
    </row>
    <row r="298" spans="1:40" ht="55.5" customHeight="1" x14ac:dyDescent="0.25">
      <c r="A298" s="111" t="s">
        <v>2281</v>
      </c>
      <c r="B298" s="112">
        <v>2026</v>
      </c>
      <c r="C298" s="112" t="s">
        <v>1213</v>
      </c>
      <c r="D298" s="113">
        <v>46122.549942129626</v>
      </c>
      <c r="E298" s="112">
        <v>7900559058</v>
      </c>
      <c r="F298" s="112" t="s">
        <v>284</v>
      </c>
      <c r="G298" s="112">
        <v>3</v>
      </c>
      <c r="H298" s="112">
        <v>7900559058</v>
      </c>
      <c r="I298" s="112" t="s">
        <v>2282</v>
      </c>
      <c r="J298" s="112" t="s">
        <v>1066</v>
      </c>
      <c r="K298" s="112" t="s">
        <v>1125</v>
      </c>
      <c r="L298" s="112" t="s">
        <v>1061</v>
      </c>
      <c r="M298" s="112" t="s">
        <v>478</v>
      </c>
      <c r="N298" s="113">
        <v>46522.549942129626</v>
      </c>
      <c r="O298" s="114">
        <v>19002223945</v>
      </c>
      <c r="P298" s="112">
        <v>337</v>
      </c>
      <c r="Q298" s="112" t="s">
        <v>1062</v>
      </c>
      <c r="R298" s="112" t="s">
        <v>1063</v>
      </c>
      <c r="S298" s="113">
        <v>46127.729166666664</v>
      </c>
      <c r="T298" s="112" t="s">
        <v>2283</v>
      </c>
      <c r="U298" s="112" t="s">
        <v>1065</v>
      </c>
      <c r="V298" s="112" t="s">
        <v>1066</v>
      </c>
      <c r="W298" s="112" t="s">
        <v>1066</v>
      </c>
      <c r="X298" s="112" t="s">
        <v>1066</v>
      </c>
      <c r="Y298" s="112" t="s">
        <v>1066</v>
      </c>
      <c r="Z298" s="112" t="s">
        <v>1066</v>
      </c>
      <c r="AA298" s="112" t="s">
        <v>1067</v>
      </c>
      <c r="AB298" s="112" t="s">
        <v>1066</v>
      </c>
      <c r="AC298" s="112" t="s">
        <v>92</v>
      </c>
      <c r="AD298" s="112" t="s">
        <v>1066</v>
      </c>
      <c r="AE298" s="112" t="s">
        <v>1066</v>
      </c>
      <c r="AF298" s="112" t="s">
        <v>1066</v>
      </c>
      <c r="AG298" s="112" t="s">
        <v>1066</v>
      </c>
      <c r="AH298" s="112" t="s">
        <v>1066</v>
      </c>
      <c r="AI298" s="112" t="s">
        <v>785</v>
      </c>
      <c r="AJ298" s="112">
        <v>9209774</v>
      </c>
      <c r="AK298" s="112" t="s">
        <v>283</v>
      </c>
      <c r="AL298" s="112">
        <v>753817</v>
      </c>
      <c r="AM298" s="112" t="s">
        <v>1066</v>
      </c>
      <c r="AN298" s="112" t="s">
        <v>1066</v>
      </c>
    </row>
    <row r="299" spans="1:40" ht="55.5" customHeight="1" x14ac:dyDescent="0.25">
      <c r="A299" s="111" t="s">
        <v>2284</v>
      </c>
      <c r="B299" s="112">
        <v>2026</v>
      </c>
      <c r="C299" s="112" t="s">
        <v>2285</v>
      </c>
      <c r="D299" s="113">
        <v>46155.644675925927</v>
      </c>
      <c r="E299" s="112">
        <v>9000725086</v>
      </c>
      <c r="F299" s="112" t="s">
        <v>682</v>
      </c>
      <c r="G299" s="112">
        <v>2</v>
      </c>
      <c r="H299" s="112">
        <v>7931383086</v>
      </c>
      <c r="I299" s="112" t="s">
        <v>1140</v>
      </c>
      <c r="J299" s="112" t="s">
        <v>1071</v>
      </c>
      <c r="K299" s="112" t="s">
        <v>1261</v>
      </c>
      <c r="L299" s="112" t="s">
        <v>1073</v>
      </c>
      <c r="M299" s="112" t="s">
        <v>478</v>
      </c>
      <c r="N299" s="113">
        <v>46158.644675925927</v>
      </c>
      <c r="O299" s="114">
        <v>19001273811</v>
      </c>
      <c r="P299" s="112">
        <v>1.31</v>
      </c>
      <c r="Q299" s="112" t="s">
        <v>1131</v>
      </c>
      <c r="R299" s="112" t="s">
        <v>1075</v>
      </c>
      <c r="S299" s="113">
        <v>46163.667361111111</v>
      </c>
      <c r="T299" s="112" t="s">
        <v>2286</v>
      </c>
      <c r="U299" s="112" t="s">
        <v>1065</v>
      </c>
      <c r="V299" s="112" t="s">
        <v>1066</v>
      </c>
      <c r="W299" s="112" t="s">
        <v>1066</v>
      </c>
      <c r="X299" s="112" t="s">
        <v>983</v>
      </c>
      <c r="Y299" s="112" t="s">
        <v>1066</v>
      </c>
      <c r="Z299" s="112" t="s">
        <v>1148</v>
      </c>
      <c r="AA299" s="112" t="s">
        <v>1067</v>
      </c>
      <c r="AB299" s="112" t="s">
        <v>1066</v>
      </c>
      <c r="AC299" s="112" t="s">
        <v>92</v>
      </c>
      <c r="AD299" s="112" t="s">
        <v>1142</v>
      </c>
      <c r="AE299" s="112" t="s">
        <v>1066</v>
      </c>
      <c r="AF299" s="112" t="s">
        <v>1066</v>
      </c>
      <c r="AG299" s="112" t="s">
        <v>1066</v>
      </c>
      <c r="AH299" s="112" t="s">
        <v>1066</v>
      </c>
      <c r="AI299" s="112" t="s">
        <v>785</v>
      </c>
      <c r="AJ299" s="112">
        <v>8916641</v>
      </c>
      <c r="AK299" s="112" t="s">
        <v>1143</v>
      </c>
      <c r="AL299" s="112">
        <v>648297</v>
      </c>
      <c r="AM299" s="112" t="s">
        <v>1066</v>
      </c>
      <c r="AN299" s="112" t="s">
        <v>1066</v>
      </c>
    </row>
    <row r="300" spans="1:40" ht="55.5" customHeight="1" x14ac:dyDescent="0.25">
      <c r="A300" s="111" t="s">
        <v>2287</v>
      </c>
      <c r="B300" s="112">
        <v>2026</v>
      </c>
      <c r="C300" s="112" t="s">
        <v>2288</v>
      </c>
      <c r="D300" s="113">
        <v>45968.632465277777</v>
      </c>
      <c r="E300" s="112">
        <v>7965194065</v>
      </c>
      <c r="F300" s="112" t="s">
        <v>2289</v>
      </c>
      <c r="G300" s="112">
        <v>3</v>
      </c>
      <c r="H300" s="112">
        <v>7965164065</v>
      </c>
      <c r="I300" s="112" t="s">
        <v>2290</v>
      </c>
      <c r="J300" s="112" t="s">
        <v>1231</v>
      </c>
      <c r="K300" s="112" t="s">
        <v>1232</v>
      </c>
      <c r="L300" s="112" t="s">
        <v>1084</v>
      </c>
      <c r="M300" s="112" t="s">
        <v>478</v>
      </c>
      <c r="N300" s="113">
        <v>46095.417800925927</v>
      </c>
      <c r="O300" s="114">
        <v>19002811954</v>
      </c>
      <c r="P300" s="112">
        <v>418</v>
      </c>
      <c r="Q300" s="112" t="s">
        <v>1062</v>
      </c>
      <c r="R300" s="112" t="s">
        <v>1206</v>
      </c>
      <c r="S300" s="113">
        <v>46043.729837962965</v>
      </c>
      <c r="T300" s="112" t="s">
        <v>2291</v>
      </c>
      <c r="U300" s="112" t="s">
        <v>1065</v>
      </c>
      <c r="V300" s="112" t="s">
        <v>1066</v>
      </c>
      <c r="W300" s="112" t="s">
        <v>1066</v>
      </c>
      <c r="X300" s="112" t="s">
        <v>983</v>
      </c>
      <c r="Y300" s="112" t="s">
        <v>1066</v>
      </c>
      <c r="Z300" s="112" t="s">
        <v>1066</v>
      </c>
      <c r="AA300" s="112" t="s">
        <v>1067</v>
      </c>
      <c r="AB300" s="112" t="s">
        <v>1066</v>
      </c>
      <c r="AC300" s="112" t="s">
        <v>92</v>
      </c>
      <c r="AD300" s="112" t="s">
        <v>1066</v>
      </c>
      <c r="AE300" s="112" t="s">
        <v>1066</v>
      </c>
      <c r="AF300" s="112" t="s">
        <v>1066</v>
      </c>
      <c r="AG300" s="112" t="s">
        <v>1066</v>
      </c>
      <c r="AH300" s="112" t="s">
        <v>2292</v>
      </c>
      <c r="AI300" s="112" t="s">
        <v>785</v>
      </c>
      <c r="AJ300" s="112">
        <v>9378877</v>
      </c>
      <c r="AK300" s="112" t="s">
        <v>2293</v>
      </c>
      <c r="AL300" s="112">
        <v>858052</v>
      </c>
      <c r="AM300" s="112" t="s">
        <v>1066</v>
      </c>
      <c r="AN300" s="112" t="s">
        <v>1066</v>
      </c>
    </row>
    <row r="301" spans="1:40" ht="55.5" customHeight="1" x14ac:dyDescent="0.25">
      <c r="A301" s="111" t="s">
        <v>2294</v>
      </c>
      <c r="B301" s="112">
        <v>2026</v>
      </c>
      <c r="C301" s="112" t="s">
        <v>2295</v>
      </c>
      <c r="D301" s="113">
        <v>45787.901296296295</v>
      </c>
      <c r="E301" s="112">
        <v>9000699033</v>
      </c>
      <c r="F301" s="112" t="s">
        <v>107</v>
      </c>
      <c r="G301" s="112">
        <v>3</v>
      </c>
      <c r="H301" s="112">
        <v>7900701033</v>
      </c>
      <c r="I301" s="112" t="s">
        <v>2296</v>
      </c>
      <c r="J301" s="112" t="s">
        <v>1071</v>
      </c>
      <c r="K301" s="112" t="s">
        <v>1296</v>
      </c>
      <c r="L301" s="112" t="s">
        <v>1073</v>
      </c>
      <c r="M301" s="112" t="s">
        <v>478</v>
      </c>
      <c r="N301" s="113">
        <v>46046.575416666667</v>
      </c>
      <c r="O301" s="114">
        <v>19000046118</v>
      </c>
      <c r="P301" s="112">
        <v>436</v>
      </c>
      <c r="Q301" s="112" t="s">
        <v>1131</v>
      </c>
      <c r="R301" s="112" t="s">
        <v>1324</v>
      </c>
      <c r="S301" s="113">
        <v>46056.654861111114</v>
      </c>
      <c r="T301" s="112" t="s">
        <v>2297</v>
      </c>
      <c r="U301" s="112" t="s">
        <v>1065</v>
      </c>
      <c r="V301" s="112" t="s">
        <v>1066</v>
      </c>
      <c r="W301" s="112" t="s">
        <v>1066</v>
      </c>
      <c r="X301" s="112" t="s">
        <v>983</v>
      </c>
      <c r="Y301" s="112" t="s">
        <v>1066</v>
      </c>
      <c r="Z301" s="112" t="s">
        <v>1148</v>
      </c>
      <c r="AA301" s="112" t="s">
        <v>1067</v>
      </c>
      <c r="AB301" s="112" t="s">
        <v>1066</v>
      </c>
      <c r="AC301" s="112" t="s">
        <v>92</v>
      </c>
      <c r="AD301" s="112" t="s">
        <v>1142</v>
      </c>
      <c r="AE301" s="112" t="s">
        <v>1066</v>
      </c>
      <c r="AF301" s="112" t="s">
        <v>1066</v>
      </c>
      <c r="AG301" s="112" t="s">
        <v>1066</v>
      </c>
      <c r="AH301" s="112" t="s">
        <v>2298</v>
      </c>
      <c r="AI301" s="112" t="s">
        <v>785</v>
      </c>
      <c r="AJ301" s="112">
        <v>9044983</v>
      </c>
      <c r="AK301" s="112" t="s">
        <v>1566</v>
      </c>
      <c r="AL301" s="112">
        <v>736007</v>
      </c>
      <c r="AM301" s="112" t="s">
        <v>1066</v>
      </c>
      <c r="AN301" s="112" t="s">
        <v>1066</v>
      </c>
    </row>
    <row r="302" spans="1:40" ht="55.5" customHeight="1" x14ac:dyDescent="0.25">
      <c r="A302" s="111" t="s">
        <v>2299</v>
      </c>
      <c r="B302" s="112">
        <v>2026</v>
      </c>
      <c r="C302" s="112" t="s">
        <v>2300</v>
      </c>
      <c r="D302" s="113">
        <v>45939.413368055553</v>
      </c>
      <c r="E302" s="112">
        <v>9003694001</v>
      </c>
      <c r="F302" s="112" t="s">
        <v>274</v>
      </c>
      <c r="G302" s="112" t="s">
        <v>1066</v>
      </c>
      <c r="H302" s="112">
        <v>7903696001</v>
      </c>
      <c r="I302" s="112" t="s">
        <v>2301</v>
      </c>
      <c r="J302" s="112" t="s">
        <v>1071</v>
      </c>
      <c r="K302" s="112" t="s">
        <v>2167</v>
      </c>
      <c r="L302" s="112" t="s">
        <v>1073</v>
      </c>
      <c r="M302" s="112" t="s">
        <v>478</v>
      </c>
      <c r="N302" s="113">
        <v>46171.495706018519</v>
      </c>
      <c r="O302" s="114">
        <v>19002533949</v>
      </c>
      <c r="P302" s="112">
        <v>463</v>
      </c>
      <c r="Q302" s="112" t="s">
        <v>1131</v>
      </c>
      <c r="R302" s="112" t="s">
        <v>1085</v>
      </c>
      <c r="S302" s="113">
        <v>46203.729166666664</v>
      </c>
      <c r="T302" s="112" t="s">
        <v>2302</v>
      </c>
      <c r="U302" s="112" t="s">
        <v>1065</v>
      </c>
      <c r="V302" s="112" t="s">
        <v>1066</v>
      </c>
      <c r="W302" s="112" t="s">
        <v>1066</v>
      </c>
      <c r="X302" s="112" t="s">
        <v>1117</v>
      </c>
      <c r="Y302" s="112" t="s">
        <v>1066</v>
      </c>
      <c r="Z302" s="112" t="s">
        <v>1148</v>
      </c>
      <c r="AA302" s="112" t="s">
        <v>1067</v>
      </c>
      <c r="AB302" s="112" t="s">
        <v>1066</v>
      </c>
      <c r="AC302" s="112" t="s">
        <v>92</v>
      </c>
      <c r="AD302" s="112" t="s">
        <v>1066</v>
      </c>
      <c r="AE302" s="112" t="s">
        <v>1066</v>
      </c>
      <c r="AF302" s="112" t="s">
        <v>1066</v>
      </c>
      <c r="AG302" s="112" t="s">
        <v>1066</v>
      </c>
      <c r="AH302" s="112" t="s">
        <v>2303</v>
      </c>
      <c r="AI302" s="112" t="s">
        <v>785</v>
      </c>
      <c r="AJ302" s="112">
        <v>8845836</v>
      </c>
      <c r="AK302" s="112" t="s">
        <v>50</v>
      </c>
      <c r="AL302" s="112">
        <v>795592</v>
      </c>
      <c r="AM302" s="112" t="s">
        <v>1066</v>
      </c>
      <c r="AN302" s="112" t="s">
        <v>1066</v>
      </c>
    </row>
    <row r="303" spans="1:40" ht="55.5" customHeight="1" x14ac:dyDescent="0.25">
      <c r="A303" s="111" t="s">
        <v>2304</v>
      </c>
      <c r="B303" s="112">
        <v>2026</v>
      </c>
      <c r="C303" s="112" t="s">
        <v>2305</v>
      </c>
      <c r="D303" s="113">
        <v>46059.891805555555</v>
      </c>
      <c r="E303" s="112">
        <v>7935635043</v>
      </c>
      <c r="F303" s="112" t="s">
        <v>52</v>
      </c>
      <c r="G303" s="112">
        <v>3</v>
      </c>
      <c r="H303" s="112">
        <v>7935635043</v>
      </c>
      <c r="I303" s="112" t="s">
        <v>2306</v>
      </c>
      <c r="J303" s="112" t="s">
        <v>1071</v>
      </c>
      <c r="K303" s="112" t="s">
        <v>2307</v>
      </c>
      <c r="L303" s="112" t="s">
        <v>1073</v>
      </c>
      <c r="M303" s="112" t="s">
        <v>478</v>
      </c>
      <c r="N303" s="113">
        <v>46062.891805555555</v>
      </c>
      <c r="O303" s="114">
        <v>19002665986</v>
      </c>
      <c r="P303" s="112">
        <v>218</v>
      </c>
      <c r="Q303" s="112" t="s">
        <v>1062</v>
      </c>
      <c r="R303" s="112" t="s">
        <v>1075</v>
      </c>
      <c r="S303" s="113">
        <v>46076.729675925926</v>
      </c>
      <c r="T303" s="112" t="s">
        <v>2308</v>
      </c>
      <c r="U303" s="112" t="s">
        <v>1065</v>
      </c>
      <c r="V303" s="112" t="s">
        <v>1066</v>
      </c>
      <c r="W303" s="112" t="s">
        <v>1066</v>
      </c>
      <c r="X303" s="112" t="s">
        <v>983</v>
      </c>
      <c r="Y303" s="112" t="s">
        <v>1066</v>
      </c>
      <c r="Z303" s="112" t="s">
        <v>1318</v>
      </c>
      <c r="AA303" s="112" t="s">
        <v>1067</v>
      </c>
      <c r="AB303" s="112" t="s">
        <v>1066</v>
      </c>
      <c r="AC303" s="112" t="s">
        <v>92</v>
      </c>
      <c r="AD303" s="112" t="s">
        <v>1066</v>
      </c>
      <c r="AE303" s="112" t="s">
        <v>1066</v>
      </c>
      <c r="AF303" s="112" t="s">
        <v>1066</v>
      </c>
      <c r="AG303" s="112" t="s">
        <v>1066</v>
      </c>
      <c r="AH303" s="112" t="s">
        <v>1066</v>
      </c>
      <c r="AI303" s="112" t="s">
        <v>785</v>
      </c>
      <c r="AJ303" s="112">
        <v>8764388</v>
      </c>
      <c r="AK303" s="112" t="s">
        <v>49</v>
      </c>
      <c r="AL303" s="112">
        <v>845822</v>
      </c>
      <c r="AM303" s="112" t="s">
        <v>1066</v>
      </c>
      <c r="AN303" s="112" t="s">
        <v>1066</v>
      </c>
    </row>
    <row r="304" spans="1:40" ht="55.5" customHeight="1" x14ac:dyDescent="0.25">
      <c r="A304" s="115" t="s">
        <v>2309</v>
      </c>
      <c r="B304" s="116">
        <v>2026</v>
      </c>
      <c r="C304" s="116" t="s">
        <v>2310</v>
      </c>
      <c r="D304" s="118">
        <v>46230.926863425928</v>
      </c>
      <c r="E304" s="116">
        <v>9000441256</v>
      </c>
      <c r="F304" s="116" t="s">
        <v>136</v>
      </c>
      <c r="G304" s="116">
        <v>2</v>
      </c>
      <c r="H304" s="116">
        <v>5800440256</v>
      </c>
      <c r="I304" s="116" t="s">
        <v>1579</v>
      </c>
      <c r="J304" s="116" t="s">
        <v>1071</v>
      </c>
      <c r="K304" s="116" t="s">
        <v>1619</v>
      </c>
      <c r="L304" s="116" t="s">
        <v>1073</v>
      </c>
      <c r="M304" s="116" t="s">
        <v>588</v>
      </c>
      <c r="N304" s="118">
        <v>46243.601006944446</v>
      </c>
      <c r="O304" s="119">
        <v>19002682289</v>
      </c>
      <c r="P304" s="116">
        <v>2.08</v>
      </c>
      <c r="Q304" s="116" t="s">
        <v>1074</v>
      </c>
      <c r="R304" s="116" t="s">
        <v>1263</v>
      </c>
      <c r="S304" s="116" t="s">
        <v>1066</v>
      </c>
      <c r="T304" s="116" t="s">
        <v>1066</v>
      </c>
      <c r="U304" s="116" t="s">
        <v>1066</v>
      </c>
      <c r="V304" s="116" t="s">
        <v>1066</v>
      </c>
      <c r="W304" s="116" t="s">
        <v>1066</v>
      </c>
      <c r="X304" s="116" t="s">
        <v>1332</v>
      </c>
      <c r="Y304" s="116" t="s">
        <v>1066</v>
      </c>
      <c r="Z304" s="116" t="s">
        <v>2311</v>
      </c>
      <c r="AA304" s="116" t="s">
        <v>1067</v>
      </c>
      <c r="AB304" s="116" t="s">
        <v>1066</v>
      </c>
      <c r="AC304" s="116" t="s">
        <v>92</v>
      </c>
      <c r="AD304" s="116" t="s">
        <v>1066</v>
      </c>
      <c r="AE304" s="116" t="s">
        <v>1066</v>
      </c>
      <c r="AF304" s="116" t="s">
        <v>1066</v>
      </c>
      <c r="AG304" s="116" t="s">
        <v>1066</v>
      </c>
      <c r="AH304" s="116" t="s">
        <v>1066</v>
      </c>
      <c r="AI304" s="116" t="s">
        <v>785</v>
      </c>
      <c r="AJ304" s="116">
        <v>8833252</v>
      </c>
      <c r="AK304" s="116" t="s">
        <v>134</v>
      </c>
      <c r="AL304" s="116">
        <v>999988</v>
      </c>
      <c r="AM304" s="116" t="s">
        <v>1066</v>
      </c>
      <c r="AN304" s="116" t="s">
        <v>1066</v>
      </c>
    </row>
    <row r="305" spans="1:40" ht="55.5" customHeight="1" x14ac:dyDescent="0.25">
      <c r="A305" s="120" t="s">
        <v>2312</v>
      </c>
      <c r="B305" s="121">
        <v>2026</v>
      </c>
      <c r="C305" s="121" t="s">
        <v>1210</v>
      </c>
      <c r="D305" s="122">
        <v>46114.608900462961</v>
      </c>
      <c r="E305" s="121">
        <v>7940411082</v>
      </c>
      <c r="F305" s="121" t="s">
        <v>88</v>
      </c>
      <c r="G305" s="121">
        <v>3</v>
      </c>
      <c r="H305" s="121">
        <v>7940411082</v>
      </c>
      <c r="I305" s="121" t="s">
        <v>2313</v>
      </c>
      <c r="J305" s="121" t="s">
        <v>1066</v>
      </c>
      <c r="K305" s="121" t="s">
        <v>1125</v>
      </c>
      <c r="L305" s="121" t="s">
        <v>1061</v>
      </c>
      <c r="M305" s="121" t="s">
        <v>1116</v>
      </c>
      <c r="N305" s="122">
        <v>46514.608900462961</v>
      </c>
      <c r="O305" s="123">
        <v>19002260397</v>
      </c>
      <c r="P305" s="121">
        <v>186</v>
      </c>
      <c r="Q305" s="121" t="s">
        <v>1062</v>
      </c>
      <c r="R305" s="121" t="s">
        <v>1063</v>
      </c>
      <c r="S305" s="122">
        <v>46223.463495370372</v>
      </c>
      <c r="T305" s="121" t="s">
        <v>1066</v>
      </c>
      <c r="U305" s="121" t="s">
        <v>1066</v>
      </c>
      <c r="V305" s="121" t="s">
        <v>1066</v>
      </c>
      <c r="W305" s="121" t="s">
        <v>1066</v>
      </c>
      <c r="X305" s="121" t="s">
        <v>1066</v>
      </c>
      <c r="Y305" s="121" t="s">
        <v>1066</v>
      </c>
      <c r="Z305" s="121" t="s">
        <v>1066</v>
      </c>
      <c r="AA305" s="121" t="s">
        <v>1067</v>
      </c>
      <c r="AB305" s="121" t="s">
        <v>1066</v>
      </c>
      <c r="AC305" s="121" t="s">
        <v>92</v>
      </c>
      <c r="AD305" s="121" t="s">
        <v>1066</v>
      </c>
      <c r="AE305" s="121" t="s">
        <v>1066</v>
      </c>
      <c r="AF305" s="121" t="s">
        <v>1066</v>
      </c>
      <c r="AG305" s="121" t="s">
        <v>1066</v>
      </c>
      <c r="AH305" s="121" t="s">
        <v>1066</v>
      </c>
      <c r="AI305" s="121" t="s">
        <v>785</v>
      </c>
      <c r="AJ305" s="121">
        <v>8936170</v>
      </c>
      <c r="AK305" s="121" t="s">
        <v>2314</v>
      </c>
      <c r="AL305" s="121">
        <v>943297</v>
      </c>
      <c r="AM305" s="121" t="s">
        <v>1066</v>
      </c>
      <c r="AN305" s="121" t="s">
        <v>1066</v>
      </c>
    </row>
    <row r="306" spans="1:40" ht="55.5" customHeight="1" x14ac:dyDescent="0.25">
      <c r="A306" s="111" t="s">
        <v>2315</v>
      </c>
      <c r="B306" s="112">
        <v>2026</v>
      </c>
      <c r="C306" s="112" t="s">
        <v>1213</v>
      </c>
      <c r="D306" s="113">
        <v>46122.549942129626</v>
      </c>
      <c r="E306" s="112">
        <v>7949829058</v>
      </c>
      <c r="F306" s="112" t="s">
        <v>284</v>
      </c>
      <c r="G306" s="112">
        <v>3</v>
      </c>
      <c r="H306" s="112">
        <v>7949829058</v>
      </c>
      <c r="I306" s="112" t="s">
        <v>2316</v>
      </c>
      <c r="J306" s="112" t="s">
        <v>1066</v>
      </c>
      <c r="K306" s="112" t="s">
        <v>1125</v>
      </c>
      <c r="L306" s="112" t="s">
        <v>1061</v>
      </c>
      <c r="M306" s="112" t="s">
        <v>478</v>
      </c>
      <c r="N306" s="113">
        <v>46522.549942129626</v>
      </c>
      <c r="O306" s="114">
        <v>19002639412</v>
      </c>
      <c r="P306" s="112">
        <v>91</v>
      </c>
      <c r="Q306" s="112" t="s">
        <v>1062</v>
      </c>
      <c r="R306" s="112" t="s">
        <v>1063</v>
      </c>
      <c r="S306" s="113">
        <v>46127.395138888889</v>
      </c>
      <c r="T306" s="112" t="s">
        <v>2317</v>
      </c>
      <c r="U306" s="112" t="s">
        <v>1065</v>
      </c>
      <c r="V306" s="112" t="s">
        <v>1066</v>
      </c>
      <c r="W306" s="112" t="s">
        <v>1066</v>
      </c>
      <c r="X306" s="112" t="s">
        <v>1066</v>
      </c>
      <c r="Y306" s="112" t="s">
        <v>1066</v>
      </c>
      <c r="Z306" s="112" t="s">
        <v>1066</v>
      </c>
      <c r="AA306" s="112" t="s">
        <v>1067</v>
      </c>
      <c r="AB306" s="112" t="s">
        <v>1066</v>
      </c>
      <c r="AC306" s="112" t="s">
        <v>92</v>
      </c>
      <c r="AD306" s="112" t="s">
        <v>1066</v>
      </c>
      <c r="AE306" s="112" t="s">
        <v>1066</v>
      </c>
      <c r="AF306" s="112" t="s">
        <v>1066</v>
      </c>
      <c r="AG306" s="112" t="s">
        <v>1066</v>
      </c>
      <c r="AH306" s="112" t="s">
        <v>1066</v>
      </c>
      <c r="AI306" s="112" t="s">
        <v>785</v>
      </c>
      <c r="AJ306" s="112">
        <v>9207148</v>
      </c>
      <c r="AK306" s="112" t="s">
        <v>283</v>
      </c>
      <c r="AL306" s="112">
        <v>755052</v>
      </c>
      <c r="AM306" s="112" t="s">
        <v>1066</v>
      </c>
      <c r="AN306" s="112" t="s">
        <v>1066</v>
      </c>
    </row>
    <row r="307" spans="1:40" ht="55.5" customHeight="1" x14ac:dyDescent="0.25">
      <c r="A307" s="111" t="s">
        <v>2318</v>
      </c>
      <c r="B307" s="112">
        <v>2026</v>
      </c>
      <c r="C307" s="112" t="s">
        <v>1818</v>
      </c>
      <c r="D307" s="113">
        <v>46192.594305555554</v>
      </c>
      <c r="E307" s="112">
        <v>9000463079</v>
      </c>
      <c r="F307" s="112" t="s">
        <v>360</v>
      </c>
      <c r="G307" s="112">
        <v>3</v>
      </c>
      <c r="H307" s="112">
        <v>7900463079</v>
      </c>
      <c r="I307" s="112" t="s">
        <v>2319</v>
      </c>
      <c r="J307" s="112" t="s">
        <v>1157</v>
      </c>
      <c r="K307" s="112" t="s">
        <v>1158</v>
      </c>
      <c r="L307" s="112" t="s">
        <v>1084</v>
      </c>
      <c r="M307" s="112" t="s">
        <v>478</v>
      </c>
      <c r="N307" s="113">
        <v>46252.594305555554</v>
      </c>
      <c r="O307" s="114">
        <v>19000055368</v>
      </c>
      <c r="P307" s="112">
        <v>290</v>
      </c>
      <c r="Q307" s="112" t="s">
        <v>1131</v>
      </c>
      <c r="R307" s="112" t="s">
        <v>1085</v>
      </c>
      <c r="S307" s="113">
        <v>46218.416666666664</v>
      </c>
      <c r="T307" s="112" t="s">
        <v>2320</v>
      </c>
      <c r="U307" s="112" t="s">
        <v>1065</v>
      </c>
      <c r="V307" s="112" t="s">
        <v>1066</v>
      </c>
      <c r="W307" s="112" t="s">
        <v>1066</v>
      </c>
      <c r="X307" s="112" t="s">
        <v>1117</v>
      </c>
      <c r="Y307" s="112" t="s">
        <v>1066</v>
      </c>
      <c r="Z307" s="112" t="s">
        <v>1148</v>
      </c>
      <c r="AA307" s="112" t="s">
        <v>1067</v>
      </c>
      <c r="AB307" s="112" t="s">
        <v>1066</v>
      </c>
      <c r="AC307" s="112" t="s">
        <v>92</v>
      </c>
      <c r="AD307" s="112" t="s">
        <v>1142</v>
      </c>
      <c r="AE307" s="112" t="s">
        <v>1066</v>
      </c>
      <c r="AF307" s="112" t="s">
        <v>1066</v>
      </c>
      <c r="AG307" s="112" t="s">
        <v>1066</v>
      </c>
      <c r="AH307" s="112" t="s">
        <v>1066</v>
      </c>
      <c r="AI307" s="112" t="s">
        <v>785</v>
      </c>
      <c r="AJ307" s="112">
        <v>9072726</v>
      </c>
      <c r="AK307" s="112" t="s">
        <v>359</v>
      </c>
      <c r="AL307" s="112">
        <v>819022</v>
      </c>
      <c r="AM307" s="112" t="s">
        <v>1066</v>
      </c>
      <c r="AN307" s="112" t="s">
        <v>1066</v>
      </c>
    </row>
    <row r="308" spans="1:40" ht="55.5" customHeight="1" x14ac:dyDescent="0.25">
      <c r="A308" s="111" t="s">
        <v>2321</v>
      </c>
      <c r="B308" s="112">
        <v>2026</v>
      </c>
      <c r="C308" s="112" t="s">
        <v>2322</v>
      </c>
      <c r="D308" s="113">
        <v>46049.505520833336</v>
      </c>
      <c r="E308" s="112">
        <v>9001690022</v>
      </c>
      <c r="F308" s="112" t="s">
        <v>79</v>
      </c>
      <c r="G308" s="112">
        <v>3</v>
      </c>
      <c r="H308" s="112">
        <v>7929376022</v>
      </c>
      <c r="I308" s="112" t="s">
        <v>2061</v>
      </c>
      <c r="J308" s="112" t="s">
        <v>1071</v>
      </c>
      <c r="K308" s="112" t="s">
        <v>1130</v>
      </c>
      <c r="L308" s="112" t="s">
        <v>1073</v>
      </c>
      <c r="M308" s="112" t="s">
        <v>478</v>
      </c>
      <c r="N308" s="113">
        <v>46052.505520833336</v>
      </c>
      <c r="O308" s="114">
        <v>19001269433</v>
      </c>
      <c r="P308" s="112">
        <v>0</v>
      </c>
      <c r="Q308" s="112" t="s">
        <v>1131</v>
      </c>
      <c r="R308" s="112" t="s">
        <v>1063</v>
      </c>
      <c r="S308" s="113">
        <v>46062.631944444445</v>
      </c>
      <c r="T308" s="112" t="s">
        <v>2323</v>
      </c>
      <c r="U308" s="112" t="s">
        <v>1065</v>
      </c>
      <c r="V308" s="112" t="s">
        <v>1066</v>
      </c>
      <c r="W308" s="112" t="s">
        <v>1066</v>
      </c>
      <c r="X308" s="112" t="s">
        <v>1117</v>
      </c>
      <c r="Y308" s="112" t="s">
        <v>1066</v>
      </c>
      <c r="Z308" s="112" t="s">
        <v>1133</v>
      </c>
      <c r="AA308" s="112" t="s">
        <v>1067</v>
      </c>
      <c r="AB308" s="112" t="s">
        <v>1066</v>
      </c>
      <c r="AC308" s="112" t="s">
        <v>92</v>
      </c>
      <c r="AD308" s="112" t="s">
        <v>1142</v>
      </c>
      <c r="AE308" s="112" t="s">
        <v>1066</v>
      </c>
      <c r="AF308" s="112" t="s">
        <v>1066</v>
      </c>
      <c r="AG308" s="112" t="s">
        <v>1066</v>
      </c>
      <c r="AH308" s="112" t="s">
        <v>1066</v>
      </c>
      <c r="AI308" s="112" t="s">
        <v>785</v>
      </c>
      <c r="AJ308" s="112">
        <v>9201747</v>
      </c>
      <c r="AK308" s="112" t="s">
        <v>125</v>
      </c>
      <c r="AL308" s="112">
        <v>858418</v>
      </c>
      <c r="AM308" s="112" t="s">
        <v>1066</v>
      </c>
      <c r="AN308" s="112" t="s">
        <v>1066</v>
      </c>
    </row>
    <row r="309" spans="1:40" ht="55.5" customHeight="1" x14ac:dyDescent="0.25">
      <c r="A309" s="111" t="s">
        <v>2324</v>
      </c>
      <c r="B309" s="112">
        <v>2026</v>
      </c>
      <c r="C309" s="112" t="s">
        <v>1210</v>
      </c>
      <c r="D309" s="113">
        <v>46114.608900462961</v>
      </c>
      <c r="E309" s="112">
        <v>7957018094</v>
      </c>
      <c r="F309" s="112" t="s">
        <v>324</v>
      </c>
      <c r="G309" s="112">
        <v>3</v>
      </c>
      <c r="H309" s="112">
        <v>7957018094</v>
      </c>
      <c r="I309" s="112" t="s">
        <v>2325</v>
      </c>
      <c r="J309" s="112" t="s">
        <v>1066</v>
      </c>
      <c r="K309" s="112" t="s">
        <v>1125</v>
      </c>
      <c r="L309" s="112" t="s">
        <v>1061</v>
      </c>
      <c r="M309" s="112" t="s">
        <v>478</v>
      </c>
      <c r="N309" s="113">
        <v>46514.608900462961</v>
      </c>
      <c r="O309" s="114">
        <v>19002742767</v>
      </c>
      <c r="P309" s="112">
        <v>71</v>
      </c>
      <c r="Q309" s="112" t="s">
        <v>1062</v>
      </c>
      <c r="R309" s="112" t="s">
        <v>1063</v>
      </c>
      <c r="S309" s="113">
        <v>46169.72934027778</v>
      </c>
      <c r="T309" s="112" t="s">
        <v>2326</v>
      </c>
      <c r="U309" s="112" t="s">
        <v>1065</v>
      </c>
      <c r="V309" s="112" t="s">
        <v>1066</v>
      </c>
      <c r="W309" s="112" t="s">
        <v>1066</v>
      </c>
      <c r="X309" s="112" t="s">
        <v>1066</v>
      </c>
      <c r="Y309" s="112" t="s">
        <v>1066</v>
      </c>
      <c r="Z309" s="112" t="s">
        <v>1066</v>
      </c>
      <c r="AA309" s="112" t="s">
        <v>1067</v>
      </c>
      <c r="AB309" s="112" t="s">
        <v>1066</v>
      </c>
      <c r="AC309" s="112" t="s">
        <v>92</v>
      </c>
      <c r="AD309" s="112" t="s">
        <v>1066</v>
      </c>
      <c r="AE309" s="112" t="s">
        <v>1066</v>
      </c>
      <c r="AF309" s="112" t="s">
        <v>1066</v>
      </c>
      <c r="AG309" s="112" t="s">
        <v>1066</v>
      </c>
      <c r="AH309" s="112" t="s">
        <v>1066</v>
      </c>
      <c r="AI309" s="112" t="s">
        <v>785</v>
      </c>
      <c r="AJ309" s="112">
        <v>8639295</v>
      </c>
      <c r="AK309" s="112" t="s">
        <v>224</v>
      </c>
      <c r="AL309" s="112">
        <v>783049</v>
      </c>
      <c r="AM309" s="112" t="s">
        <v>1066</v>
      </c>
      <c r="AN309" s="112" t="s">
        <v>1066</v>
      </c>
    </row>
    <row r="310" spans="1:40" ht="55.5" customHeight="1" x14ac:dyDescent="0.25">
      <c r="A310" s="111" t="s">
        <v>2327</v>
      </c>
      <c r="B310" s="112">
        <v>2026</v>
      </c>
      <c r="C310" s="112" t="s">
        <v>2328</v>
      </c>
      <c r="D310" s="113">
        <v>45656.382395833331</v>
      </c>
      <c r="E310" s="112">
        <v>7934696124</v>
      </c>
      <c r="F310" s="112" t="s">
        <v>1229</v>
      </c>
      <c r="G310" s="112">
        <v>3</v>
      </c>
      <c r="H310" s="112">
        <v>7934696124</v>
      </c>
      <c r="I310" s="112" t="s">
        <v>2329</v>
      </c>
      <c r="J310" s="112" t="s">
        <v>1071</v>
      </c>
      <c r="K310" s="112" t="s">
        <v>1115</v>
      </c>
      <c r="L310" s="112" t="s">
        <v>1073</v>
      </c>
      <c r="M310" s="112" t="s">
        <v>478</v>
      </c>
      <c r="N310" s="113">
        <v>46083.467442129629</v>
      </c>
      <c r="O310" s="114">
        <v>19002607647</v>
      </c>
      <c r="P310" s="112">
        <v>195</v>
      </c>
      <c r="Q310" s="112" t="s">
        <v>1062</v>
      </c>
      <c r="R310" s="112" t="s">
        <v>1085</v>
      </c>
      <c r="S310" s="113">
        <v>46139.612037037034</v>
      </c>
      <c r="T310" s="112" t="s">
        <v>2330</v>
      </c>
      <c r="U310" s="112" t="s">
        <v>1065</v>
      </c>
      <c r="V310" s="112" t="s">
        <v>1066</v>
      </c>
      <c r="W310" s="112" t="s">
        <v>1066</v>
      </c>
      <c r="X310" s="112" t="s">
        <v>1117</v>
      </c>
      <c r="Y310" s="112" t="s">
        <v>1066</v>
      </c>
      <c r="Z310" s="112" t="s">
        <v>1683</v>
      </c>
      <c r="AA310" s="112" t="s">
        <v>1208</v>
      </c>
      <c r="AB310" s="112" t="s">
        <v>1066</v>
      </c>
      <c r="AC310" s="112" t="s">
        <v>92</v>
      </c>
      <c r="AD310" s="112" t="s">
        <v>1066</v>
      </c>
      <c r="AE310" s="112" t="s">
        <v>1066</v>
      </c>
      <c r="AF310" s="112" t="s">
        <v>1066</v>
      </c>
      <c r="AG310" s="112" t="s">
        <v>1066</v>
      </c>
      <c r="AH310" s="112" t="s">
        <v>2331</v>
      </c>
      <c r="AI310" s="112" t="s">
        <v>785</v>
      </c>
      <c r="AJ310" s="112">
        <v>9286302</v>
      </c>
      <c r="AK310" s="112" t="s">
        <v>1234</v>
      </c>
      <c r="AL310" s="112">
        <v>816151</v>
      </c>
      <c r="AM310" s="112" t="s">
        <v>1066</v>
      </c>
      <c r="AN310" s="112" t="s">
        <v>1066</v>
      </c>
    </row>
    <row r="311" spans="1:40" ht="55.5" customHeight="1" x14ac:dyDescent="0.25">
      <c r="A311" s="111" t="s">
        <v>2332</v>
      </c>
      <c r="B311" s="112">
        <v>2026</v>
      </c>
      <c r="C311" s="112" t="s">
        <v>2333</v>
      </c>
      <c r="D311" s="113">
        <v>46122.349768518521</v>
      </c>
      <c r="E311" s="112">
        <v>9000859030</v>
      </c>
      <c r="F311" s="112" t="s">
        <v>1920</v>
      </c>
      <c r="G311" s="112">
        <v>3</v>
      </c>
      <c r="H311" s="112">
        <v>7942706030</v>
      </c>
      <c r="I311" s="112" t="s">
        <v>2334</v>
      </c>
      <c r="J311" s="112" t="s">
        <v>1071</v>
      </c>
      <c r="K311" s="112" t="s">
        <v>1994</v>
      </c>
      <c r="L311" s="112" t="s">
        <v>1073</v>
      </c>
      <c r="M311" s="112" t="s">
        <v>478</v>
      </c>
      <c r="N311" s="113">
        <v>46125.349768518521</v>
      </c>
      <c r="O311" s="114">
        <v>19002535863</v>
      </c>
      <c r="P311" s="112">
        <v>130</v>
      </c>
      <c r="Q311" s="112" t="s">
        <v>1131</v>
      </c>
      <c r="R311" s="112" t="s">
        <v>1075</v>
      </c>
      <c r="S311" s="113">
        <v>46134.429166666669</v>
      </c>
      <c r="T311" s="112" t="s">
        <v>2335</v>
      </c>
      <c r="U311" s="112" t="s">
        <v>1065</v>
      </c>
      <c r="V311" s="112" t="s">
        <v>1066</v>
      </c>
      <c r="W311" s="112" t="s">
        <v>1066</v>
      </c>
      <c r="X311" s="112" t="s">
        <v>1394</v>
      </c>
      <c r="Y311" s="112" t="s">
        <v>1066</v>
      </c>
      <c r="Z311" s="112" t="s">
        <v>1148</v>
      </c>
      <c r="AA311" s="112" t="s">
        <v>1067</v>
      </c>
      <c r="AB311" s="112" t="s">
        <v>1066</v>
      </c>
      <c r="AC311" s="112" t="s">
        <v>92</v>
      </c>
      <c r="AD311" s="112" t="s">
        <v>1066</v>
      </c>
      <c r="AE311" s="112" t="s">
        <v>1066</v>
      </c>
      <c r="AF311" s="112" t="s">
        <v>1066</v>
      </c>
      <c r="AG311" s="112" t="s">
        <v>1066</v>
      </c>
      <c r="AH311" s="112" t="s">
        <v>1066</v>
      </c>
      <c r="AI311" s="112" t="s">
        <v>785</v>
      </c>
      <c r="AJ311" s="112">
        <v>9251880</v>
      </c>
      <c r="AK311" s="112" t="s">
        <v>612</v>
      </c>
      <c r="AL311" s="112">
        <v>806350</v>
      </c>
      <c r="AM311" s="112" t="s">
        <v>1066</v>
      </c>
      <c r="AN311" s="112" t="s">
        <v>1066</v>
      </c>
    </row>
    <row r="312" spans="1:40" ht="55.5" customHeight="1" x14ac:dyDescent="0.25">
      <c r="A312" s="120" t="s">
        <v>2336</v>
      </c>
      <c r="B312" s="121">
        <v>2026</v>
      </c>
      <c r="C312" s="121" t="s">
        <v>1449</v>
      </c>
      <c r="D312" s="122">
        <v>46244.660034722219</v>
      </c>
      <c r="E312" s="121">
        <v>7955666036</v>
      </c>
      <c r="F312" s="121" t="s">
        <v>1679</v>
      </c>
      <c r="G312" s="121">
        <v>1</v>
      </c>
      <c r="H312" s="121">
        <v>7955666036</v>
      </c>
      <c r="I312" s="121" t="s">
        <v>1680</v>
      </c>
      <c r="J312" s="121" t="s">
        <v>1066</v>
      </c>
      <c r="K312" s="121" t="s">
        <v>1125</v>
      </c>
      <c r="L312" s="121" t="s">
        <v>1061</v>
      </c>
      <c r="M312" s="121" t="s">
        <v>1116</v>
      </c>
      <c r="N312" s="122">
        <v>46644.660034722219</v>
      </c>
      <c r="O312" s="123">
        <v>19002744653</v>
      </c>
      <c r="P312" s="121">
        <v>475</v>
      </c>
      <c r="Q312" s="121" t="s">
        <v>1062</v>
      </c>
      <c r="R312" s="121" t="s">
        <v>1063</v>
      </c>
      <c r="S312" s="122">
        <v>46244.692303240743</v>
      </c>
      <c r="T312" s="121" t="s">
        <v>1066</v>
      </c>
      <c r="U312" s="121" t="s">
        <v>1066</v>
      </c>
      <c r="V312" s="121" t="s">
        <v>1066</v>
      </c>
      <c r="W312" s="121" t="s">
        <v>1066</v>
      </c>
      <c r="X312" s="121" t="s">
        <v>1066</v>
      </c>
      <c r="Y312" s="121" t="s">
        <v>1066</v>
      </c>
      <c r="Z312" s="121" t="s">
        <v>1066</v>
      </c>
      <c r="AA312" s="121" t="s">
        <v>1067</v>
      </c>
      <c r="AB312" s="121" t="s">
        <v>1066</v>
      </c>
      <c r="AC312" s="121" t="s">
        <v>92</v>
      </c>
      <c r="AD312" s="121" t="s">
        <v>1066</v>
      </c>
      <c r="AE312" s="121" t="s">
        <v>1066</v>
      </c>
      <c r="AF312" s="121" t="s">
        <v>1066</v>
      </c>
      <c r="AG312" s="121" t="s">
        <v>1066</v>
      </c>
      <c r="AH312" s="121" t="s">
        <v>1066</v>
      </c>
      <c r="AI312" s="121" t="s">
        <v>785</v>
      </c>
      <c r="AJ312" s="121">
        <v>8617391</v>
      </c>
      <c r="AK312" s="121" t="s">
        <v>470</v>
      </c>
      <c r="AL312" s="121">
        <v>704763</v>
      </c>
      <c r="AM312" s="121" t="s">
        <v>1066</v>
      </c>
      <c r="AN312" s="121" t="s">
        <v>1066</v>
      </c>
    </row>
    <row r="313" spans="1:40" ht="55.5" customHeight="1" x14ac:dyDescent="0.25">
      <c r="A313" s="111" t="s">
        <v>2337</v>
      </c>
      <c r="B313" s="112">
        <v>2026</v>
      </c>
      <c r="C313" s="112" t="s">
        <v>1089</v>
      </c>
      <c r="D313" s="113">
        <v>46028.41065972222</v>
      </c>
      <c r="E313" s="112">
        <v>9000339151</v>
      </c>
      <c r="F313" s="112" t="s">
        <v>234</v>
      </c>
      <c r="G313" s="112">
        <v>3</v>
      </c>
      <c r="H313" s="112">
        <v>7900339151</v>
      </c>
      <c r="I313" s="112" t="s">
        <v>2338</v>
      </c>
      <c r="J313" s="112" t="s">
        <v>1092</v>
      </c>
      <c r="K313" s="112" t="s">
        <v>1093</v>
      </c>
      <c r="L313" s="112" t="s">
        <v>1061</v>
      </c>
      <c r="M313" s="112" t="s">
        <v>478</v>
      </c>
      <c r="N313" s="113">
        <v>46428.41065972222</v>
      </c>
      <c r="O313" s="114">
        <v>19000096167</v>
      </c>
      <c r="P313" s="112">
        <v>3.4820000000000002</v>
      </c>
      <c r="Q313" s="112" t="s">
        <v>1131</v>
      </c>
      <c r="R313" s="112" t="s">
        <v>1063</v>
      </c>
      <c r="S313" s="113">
        <v>46078.725798611114</v>
      </c>
      <c r="T313" s="112" t="s">
        <v>2339</v>
      </c>
      <c r="U313" s="112" t="s">
        <v>1065</v>
      </c>
      <c r="V313" s="112" t="s">
        <v>1066</v>
      </c>
      <c r="W313" s="112" t="s">
        <v>1066</v>
      </c>
      <c r="X313" s="112" t="s">
        <v>1066</v>
      </c>
      <c r="Y313" s="112" t="s">
        <v>1066</v>
      </c>
      <c r="Z313" s="112" t="s">
        <v>1066</v>
      </c>
      <c r="AA313" s="112" t="s">
        <v>1067</v>
      </c>
      <c r="AB313" s="112" t="s">
        <v>1066</v>
      </c>
      <c r="AC313" s="112" t="s">
        <v>92</v>
      </c>
      <c r="AD313" s="112" t="s">
        <v>1142</v>
      </c>
      <c r="AE313" s="112" t="s">
        <v>1066</v>
      </c>
      <c r="AF313" s="112" t="s">
        <v>1066</v>
      </c>
      <c r="AG313" s="112" t="s">
        <v>1066</v>
      </c>
      <c r="AH313" s="112" t="s">
        <v>1066</v>
      </c>
      <c r="AI313" s="112" t="s">
        <v>785</v>
      </c>
      <c r="AJ313" s="112">
        <v>8862300</v>
      </c>
      <c r="AK313" s="112" t="s">
        <v>1455</v>
      </c>
      <c r="AL313" s="112">
        <v>848993</v>
      </c>
      <c r="AM313" s="112" t="s">
        <v>1066</v>
      </c>
      <c r="AN313" s="112" t="s">
        <v>1066</v>
      </c>
    </row>
    <row r="314" spans="1:40" ht="55.5" customHeight="1" x14ac:dyDescent="0.25">
      <c r="A314" s="111" t="s">
        <v>2340</v>
      </c>
      <c r="B314" s="112">
        <v>2026</v>
      </c>
      <c r="C314" s="112" t="s">
        <v>2341</v>
      </c>
      <c r="D314" s="113">
        <v>46031.587557870371</v>
      </c>
      <c r="E314" s="112" t="s">
        <v>1066</v>
      </c>
      <c r="F314" s="112" t="s">
        <v>2342</v>
      </c>
      <c r="G314" s="112" t="s">
        <v>1066</v>
      </c>
      <c r="H314" s="112" t="s">
        <v>1066</v>
      </c>
      <c r="I314" s="112" t="s">
        <v>2343</v>
      </c>
      <c r="J314" s="112" t="s">
        <v>1071</v>
      </c>
      <c r="K314" s="112" t="s">
        <v>2229</v>
      </c>
      <c r="L314" s="112" t="s">
        <v>1073</v>
      </c>
      <c r="M314" s="112" t="s">
        <v>478</v>
      </c>
      <c r="N314" s="113">
        <v>46034.587557870371</v>
      </c>
      <c r="O314" s="114">
        <v>19000257386</v>
      </c>
      <c r="P314" s="112">
        <v>0</v>
      </c>
      <c r="Q314" s="112" t="s">
        <v>1757</v>
      </c>
      <c r="R314" s="112" t="s">
        <v>1263</v>
      </c>
      <c r="S314" s="113">
        <v>46104.402962962966</v>
      </c>
      <c r="T314" s="112" t="s">
        <v>2344</v>
      </c>
      <c r="U314" s="112" t="s">
        <v>1065</v>
      </c>
      <c r="V314" s="112" t="s">
        <v>1066</v>
      </c>
      <c r="W314" s="112" t="s">
        <v>1066</v>
      </c>
      <c r="X314" s="112" t="s">
        <v>1066</v>
      </c>
      <c r="Y314" s="112" t="s">
        <v>1066</v>
      </c>
      <c r="Z314" s="112" t="s">
        <v>1066</v>
      </c>
      <c r="AA314" s="112" t="s">
        <v>1067</v>
      </c>
      <c r="AB314" s="112" t="s">
        <v>1066</v>
      </c>
      <c r="AC314" s="112" t="s">
        <v>92</v>
      </c>
      <c r="AD314" s="112" t="s">
        <v>1142</v>
      </c>
      <c r="AE314" s="112" t="s">
        <v>1066</v>
      </c>
      <c r="AF314" s="112" t="s">
        <v>1066</v>
      </c>
      <c r="AG314" s="112" t="s">
        <v>1066</v>
      </c>
      <c r="AH314" s="112" t="s">
        <v>1066</v>
      </c>
      <c r="AI314" s="112" t="s">
        <v>785</v>
      </c>
      <c r="AJ314" s="112">
        <v>8810782</v>
      </c>
      <c r="AK314" s="112" t="s">
        <v>1941</v>
      </c>
      <c r="AL314" s="112">
        <v>729271</v>
      </c>
      <c r="AM314" s="112" t="s">
        <v>1066</v>
      </c>
      <c r="AN314" s="112" t="s">
        <v>1066</v>
      </c>
    </row>
    <row r="315" spans="1:40" ht="55.5" customHeight="1" x14ac:dyDescent="0.25">
      <c r="A315" s="111" t="s">
        <v>2345</v>
      </c>
      <c r="B315" s="112">
        <v>2026</v>
      </c>
      <c r="C315" s="112" t="s">
        <v>1251</v>
      </c>
      <c r="D315" s="113">
        <v>46031.603807870371</v>
      </c>
      <c r="E315" s="112">
        <v>7908195042</v>
      </c>
      <c r="F315" s="112" t="s">
        <v>2346</v>
      </c>
      <c r="G315" s="112">
        <v>3</v>
      </c>
      <c r="H315" s="112">
        <v>7908195042</v>
      </c>
      <c r="I315" s="112" t="s">
        <v>2347</v>
      </c>
      <c r="J315" s="112" t="s">
        <v>1059</v>
      </c>
      <c r="K315" s="112" t="s">
        <v>1060</v>
      </c>
      <c r="L315" s="112" t="s">
        <v>1061</v>
      </c>
      <c r="M315" s="112" t="s">
        <v>478</v>
      </c>
      <c r="N315" s="113">
        <v>46431.603807870371</v>
      </c>
      <c r="O315" s="114">
        <v>19002226143</v>
      </c>
      <c r="P315" s="112">
        <v>123</v>
      </c>
      <c r="Q315" s="112" t="s">
        <v>1062</v>
      </c>
      <c r="R315" s="112" t="s">
        <v>1063</v>
      </c>
      <c r="S315" s="113">
        <v>46031.729166666664</v>
      </c>
      <c r="T315" s="112" t="s">
        <v>1253</v>
      </c>
      <c r="U315" s="112" t="s">
        <v>1065</v>
      </c>
      <c r="V315" s="112" t="s">
        <v>1066</v>
      </c>
      <c r="W315" s="112" t="s">
        <v>1066</v>
      </c>
      <c r="X315" s="112" t="s">
        <v>1066</v>
      </c>
      <c r="Y315" s="112" t="s">
        <v>1066</v>
      </c>
      <c r="Z315" s="112" t="s">
        <v>1066</v>
      </c>
      <c r="AA315" s="112" t="s">
        <v>1067</v>
      </c>
      <c r="AB315" s="112" t="s">
        <v>1066</v>
      </c>
      <c r="AC315" s="112" t="s">
        <v>92</v>
      </c>
      <c r="AD315" s="112" t="s">
        <v>1066</v>
      </c>
      <c r="AE315" s="112" t="s">
        <v>1066</v>
      </c>
      <c r="AF315" s="112" t="s">
        <v>1066</v>
      </c>
      <c r="AG315" s="112" t="s">
        <v>1066</v>
      </c>
      <c r="AH315" s="112" t="s">
        <v>1066</v>
      </c>
      <c r="AI315" s="112" t="s">
        <v>785</v>
      </c>
      <c r="AJ315" s="112">
        <v>8677183</v>
      </c>
      <c r="AK315" s="112" t="s">
        <v>2348</v>
      </c>
      <c r="AL315" s="112">
        <v>694661</v>
      </c>
      <c r="AM315" s="112" t="s">
        <v>1066</v>
      </c>
      <c r="AN315" s="112" t="s">
        <v>1066</v>
      </c>
    </row>
    <row r="316" spans="1:40" ht="55.5" customHeight="1" x14ac:dyDescent="0.25">
      <c r="A316" s="111" t="s">
        <v>2349</v>
      </c>
      <c r="B316" s="112">
        <v>2026</v>
      </c>
      <c r="C316" s="112" t="s">
        <v>1057</v>
      </c>
      <c r="D316" s="113">
        <v>46122.378541666665</v>
      </c>
      <c r="E316" s="112">
        <v>7925722023</v>
      </c>
      <c r="F316" s="112" t="s">
        <v>2350</v>
      </c>
      <c r="G316" s="112">
        <v>1</v>
      </c>
      <c r="H316" s="112">
        <v>7925722023</v>
      </c>
      <c r="I316" s="112" t="s">
        <v>2351</v>
      </c>
      <c r="J316" s="112" t="s">
        <v>1059</v>
      </c>
      <c r="K316" s="112" t="s">
        <v>1060</v>
      </c>
      <c r="L316" s="112" t="s">
        <v>1061</v>
      </c>
      <c r="M316" s="112" t="s">
        <v>478</v>
      </c>
      <c r="N316" s="113">
        <v>46522.378541666665</v>
      </c>
      <c r="O316" s="114">
        <v>19002205355</v>
      </c>
      <c r="P316" s="112">
        <v>2.6589999999999998</v>
      </c>
      <c r="Q316" s="112" t="s">
        <v>1062</v>
      </c>
      <c r="R316" s="112" t="s">
        <v>1063</v>
      </c>
      <c r="S316" s="113">
        <v>46160.729166666664</v>
      </c>
      <c r="T316" s="112" t="s">
        <v>2352</v>
      </c>
      <c r="U316" s="112" t="s">
        <v>1065</v>
      </c>
      <c r="V316" s="112" t="s">
        <v>1066</v>
      </c>
      <c r="W316" s="112" t="s">
        <v>1066</v>
      </c>
      <c r="X316" s="112" t="s">
        <v>1066</v>
      </c>
      <c r="Y316" s="112" t="s">
        <v>1066</v>
      </c>
      <c r="Z316" s="112" t="s">
        <v>1066</v>
      </c>
      <c r="AA316" s="112" t="s">
        <v>1067</v>
      </c>
      <c r="AB316" s="112" t="s">
        <v>1066</v>
      </c>
      <c r="AC316" s="112" t="s">
        <v>92</v>
      </c>
      <c r="AD316" s="112" t="s">
        <v>1066</v>
      </c>
      <c r="AE316" s="112" t="s">
        <v>1066</v>
      </c>
      <c r="AF316" s="112" t="s">
        <v>1066</v>
      </c>
      <c r="AG316" s="112" t="s">
        <v>1066</v>
      </c>
      <c r="AH316" s="112" t="s">
        <v>1066</v>
      </c>
      <c r="AI316" s="112" t="s">
        <v>785</v>
      </c>
      <c r="AJ316" s="112">
        <v>9108822</v>
      </c>
      <c r="AK316" s="112" t="s">
        <v>94</v>
      </c>
      <c r="AL316" s="112">
        <v>777992</v>
      </c>
      <c r="AM316" s="112" t="s">
        <v>1066</v>
      </c>
      <c r="AN316" s="112" t="s">
        <v>1066</v>
      </c>
    </row>
    <row r="317" spans="1:40" ht="55.5" customHeight="1" x14ac:dyDescent="0.25">
      <c r="A317" s="120" t="s">
        <v>2353</v>
      </c>
      <c r="B317" s="121">
        <v>2026</v>
      </c>
      <c r="C317" s="121" t="s">
        <v>1066</v>
      </c>
      <c r="D317" s="122">
        <v>46134.656053240738</v>
      </c>
      <c r="E317" s="121">
        <v>9000666072</v>
      </c>
      <c r="F317" s="121" t="s">
        <v>225</v>
      </c>
      <c r="G317" s="121">
        <v>2</v>
      </c>
      <c r="H317" s="121">
        <v>7900666072</v>
      </c>
      <c r="I317" s="121" t="s">
        <v>2354</v>
      </c>
      <c r="J317" s="121" t="s">
        <v>1071</v>
      </c>
      <c r="K317" s="121" t="s">
        <v>2080</v>
      </c>
      <c r="L317" s="121" t="s">
        <v>1073</v>
      </c>
      <c r="M317" s="121" t="s">
        <v>1116</v>
      </c>
      <c r="N317" s="122">
        <v>46137.656053240738</v>
      </c>
      <c r="O317" s="123">
        <v>19001179572</v>
      </c>
      <c r="P317" s="121">
        <v>1.7070000000000001</v>
      </c>
      <c r="Q317" s="121" t="s">
        <v>1131</v>
      </c>
      <c r="R317" s="121" t="s">
        <v>1324</v>
      </c>
      <c r="S317" s="122">
        <v>46189.683761574073</v>
      </c>
      <c r="T317" s="121" t="s">
        <v>1066</v>
      </c>
      <c r="U317" s="121" t="s">
        <v>1066</v>
      </c>
      <c r="V317" s="121" t="s">
        <v>1066</v>
      </c>
      <c r="W317" s="121" t="s">
        <v>1066</v>
      </c>
      <c r="X317" s="121" t="s">
        <v>983</v>
      </c>
      <c r="Y317" s="121" t="s">
        <v>1066</v>
      </c>
      <c r="Z317" s="121" t="s">
        <v>1148</v>
      </c>
      <c r="AA317" s="121" t="s">
        <v>1067</v>
      </c>
      <c r="AB317" s="121" t="s">
        <v>1066</v>
      </c>
      <c r="AC317" s="121" t="s">
        <v>92</v>
      </c>
      <c r="AD317" s="121" t="s">
        <v>1142</v>
      </c>
      <c r="AE317" s="121" t="s">
        <v>1066</v>
      </c>
      <c r="AF317" s="121" t="s">
        <v>1066</v>
      </c>
      <c r="AG317" s="121" t="s">
        <v>1066</v>
      </c>
      <c r="AH317" s="121" t="s">
        <v>1066</v>
      </c>
      <c r="AI317" s="121" t="s">
        <v>785</v>
      </c>
      <c r="AJ317" s="121">
        <v>8646903</v>
      </c>
      <c r="AK317" s="121" t="s">
        <v>1590</v>
      </c>
      <c r="AL317" s="121">
        <v>904088</v>
      </c>
      <c r="AM317" s="121" t="s">
        <v>1066</v>
      </c>
      <c r="AN317" s="121" t="s">
        <v>1066</v>
      </c>
    </row>
    <row r="318" spans="1:40" ht="55.5" customHeight="1" x14ac:dyDescent="0.25">
      <c r="A318" s="124" t="s">
        <v>2355</v>
      </c>
      <c r="B318" s="125">
        <v>2026</v>
      </c>
      <c r="C318" s="125" t="s">
        <v>1449</v>
      </c>
      <c r="D318" s="126">
        <v>46244.660034722219</v>
      </c>
      <c r="E318" s="125">
        <v>7948484047</v>
      </c>
      <c r="F318" s="125" t="s">
        <v>113</v>
      </c>
      <c r="G318" s="125">
        <v>3</v>
      </c>
      <c r="H318" s="125">
        <v>7948484047</v>
      </c>
      <c r="I318" s="125" t="s">
        <v>2356</v>
      </c>
      <c r="J318" s="125" t="s">
        <v>1066</v>
      </c>
      <c r="K318" s="125" t="s">
        <v>1125</v>
      </c>
      <c r="L318" s="125" t="s">
        <v>1061</v>
      </c>
      <c r="M318" s="125" t="s">
        <v>510</v>
      </c>
      <c r="N318" s="126">
        <v>46644.660034722219</v>
      </c>
      <c r="O318" s="127">
        <v>19002676073</v>
      </c>
      <c r="P318" s="125">
        <v>56</v>
      </c>
      <c r="Q318" s="125" t="s">
        <v>1062</v>
      </c>
      <c r="R318" s="125" t="s">
        <v>1063</v>
      </c>
      <c r="S318" s="125" t="s">
        <v>1066</v>
      </c>
      <c r="T318" s="125" t="s">
        <v>2357</v>
      </c>
      <c r="U318" s="125" t="s">
        <v>1147</v>
      </c>
      <c r="V318" s="125" t="s">
        <v>1066</v>
      </c>
      <c r="W318" s="125" t="s">
        <v>1066</v>
      </c>
      <c r="X318" s="125" t="s">
        <v>1066</v>
      </c>
      <c r="Y318" s="125" t="s">
        <v>1066</v>
      </c>
      <c r="Z318" s="125" t="s">
        <v>1066</v>
      </c>
      <c r="AA318" s="125" t="s">
        <v>1067</v>
      </c>
      <c r="AB318" s="125" t="s">
        <v>1066</v>
      </c>
      <c r="AC318" s="125" t="s">
        <v>92</v>
      </c>
      <c r="AD318" s="125" t="s">
        <v>1066</v>
      </c>
      <c r="AE318" s="125" t="s">
        <v>1066</v>
      </c>
      <c r="AF318" s="125" t="s">
        <v>1066</v>
      </c>
      <c r="AG318" s="125" t="s">
        <v>1066</v>
      </c>
      <c r="AH318" s="125" t="s">
        <v>1066</v>
      </c>
      <c r="AI318" s="125" t="s">
        <v>785</v>
      </c>
      <c r="AJ318" s="125">
        <v>8653677</v>
      </c>
      <c r="AK318" s="125" t="s">
        <v>111</v>
      </c>
      <c r="AL318" s="125">
        <v>691688</v>
      </c>
      <c r="AM318" s="125" t="s">
        <v>1066</v>
      </c>
      <c r="AN318" s="125" t="s">
        <v>1066</v>
      </c>
    </row>
    <row r="319" spans="1:40" ht="55.5" customHeight="1" x14ac:dyDescent="0.25">
      <c r="A319" s="111" t="s">
        <v>2358</v>
      </c>
      <c r="B319" s="112">
        <v>2026</v>
      </c>
      <c r="C319" s="112" t="s">
        <v>1213</v>
      </c>
      <c r="D319" s="113">
        <v>46122.549942129626</v>
      </c>
      <c r="E319" s="112">
        <v>7900285090</v>
      </c>
      <c r="F319" s="112" t="s">
        <v>2359</v>
      </c>
      <c r="G319" s="112">
        <v>1</v>
      </c>
      <c r="H319" s="112">
        <v>7900285090</v>
      </c>
      <c r="I319" s="112" t="s">
        <v>2360</v>
      </c>
      <c r="J319" s="112" t="s">
        <v>1066</v>
      </c>
      <c r="K319" s="112" t="s">
        <v>1125</v>
      </c>
      <c r="L319" s="112" t="s">
        <v>1061</v>
      </c>
      <c r="M319" s="112" t="s">
        <v>478</v>
      </c>
      <c r="N319" s="113">
        <v>46522.549942129626</v>
      </c>
      <c r="O319" s="114">
        <v>19002725167</v>
      </c>
      <c r="P319" s="112">
        <v>1.161</v>
      </c>
      <c r="Q319" s="112" t="s">
        <v>1062</v>
      </c>
      <c r="R319" s="112" t="s">
        <v>1063</v>
      </c>
      <c r="S319" s="113">
        <v>46128.494444444441</v>
      </c>
      <c r="T319" s="112" t="s">
        <v>2361</v>
      </c>
      <c r="U319" s="112" t="s">
        <v>1065</v>
      </c>
      <c r="V319" s="112" t="s">
        <v>1066</v>
      </c>
      <c r="W319" s="112" t="s">
        <v>1066</v>
      </c>
      <c r="X319" s="112" t="s">
        <v>1066</v>
      </c>
      <c r="Y319" s="112" t="s">
        <v>1066</v>
      </c>
      <c r="Z319" s="112" t="s">
        <v>1066</v>
      </c>
      <c r="AA319" s="112" t="s">
        <v>1067</v>
      </c>
      <c r="AB319" s="112" t="s">
        <v>1066</v>
      </c>
      <c r="AC319" s="112" t="s">
        <v>92</v>
      </c>
      <c r="AD319" s="112" t="s">
        <v>1066</v>
      </c>
      <c r="AE319" s="112" t="s">
        <v>1066</v>
      </c>
      <c r="AF319" s="112" t="s">
        <v>1066</v>
      </c>
      <c r="AG319" s="112" t="s">
        <v>1066</v>
      </c>
      <c r="AH319" s="112" t="s">
        <v>1066</v>
      </c>
      <c r="AI319" s="112" t="s">
        <v>785</v>
      </c>
      <c r="AJ319" s="112">
        <v>9293058</v>
      </c>
      <c r="AK319" s="112" t="s">
        <v>2209</v>
      </c>
      <c r="AL319" s="112">
        <v>869516</v>
      </c>
      <c r="AM319" s="112" t="s">
        <v>1066</v>
      </c>
      <c r="AN319" s="112" t="s">
        <v>1066</v>
      </c>
    </row>
    <row r="320" spans="1:40" ht="55.5" customHeight="1" x14ac:dyDescent="0.25">
      <c r="A320" s="111" t="s">
        <v>2362</v>
      </c>
      <c r="B320" s="112">
        <v>2026</v>
      </c>
      <c r="C320" s="112" t="s">
        <v>2363</v>
      </c>
      <c r="D320" s="113">
        <v>46160.454687500001</v>
      </c>
      <c r="E320" s="112">
        <v>9000001032</v>
      </c>
      <c r="F320" s="112" t="s">
        <v>1986</v>
      </c>
      <c r="G320" s="112">
        <v>1</v>
      </c>
      <c r="H320" s="112">
        <v>5843904032</v>
      </c>
      <c r="I320" s="112" t="s">
        <v>2364</v>
      </c>
      <c r="J320" s="112" t="s">
        <v>1071</v>
      </c>
      <c r="K320" s="112" t="s">
        <v>1247</v>
      </c>
      <c r="L320" s="112" t="s">
        <v>1073</v>
      </c>
      <c r="M320" s="112" t="s">
        <v>478</v>
      </c>
      <c r="N320" s="113">
        <v>46163.454687500001</v>
      </c>
      <c r="O320" s="114">
        <v>19002678884</v>
      </c>
      <c r="P320" s="112">
        <v>3.423</v>
      </c>
      <c r="Q320" s="112" t="s">
        <v>1074</v>
      </c>
      <c r="R320" s="112" t="s">
        <v>1075</v>
      </c>
      <c r="S320" s="113">
        <v>46183.478020833332</v>
      </c>
      <c r="T320" s="112" t="s">
        <v>2365</v>
      </c>
      <c r="U320" s="112" t="s">
        <v>1065</v>
      </c>
      <c r="V320" s="112" t="s">
        <v>1066</v>
      </c>
      <c r="W320" s="112" t="s">
        <v>1066</v>
      </c>
      <c r="X320" s="112" t="s">
        <v>1077</v>
      </c>
      <c r="Y320" s="112" t="s">
        <v>1066</v>
      </c>
      <c r="Z320" s="112" t="s">
        <v>1479</v>
      </c>
      <c r="AA320" s="112" t="s">
        <v>1067</v>
      </c>
      <c r="AB320" s="112" t="s">
        <v>1066</v>
      </c>
      <c r="AC320" s="112" t="s">
        <v>92</v>
      </c>
      <c r="AD320" s="112" t="s">
        <v>1066</v>
      </c>
      <c r="AE320" s="112" t="s">
        <v>1066</v>
      </c>
      <c r="AF320" s="112" t="s">
        <v>1066</v>
      </c>
      <c r="AG320" s="112" t="s">
        <v>1066</v>
      </c>
      <c r="AH320" s="112" t="s">
        <v>1066</v>
      </c>
      <c r="AI320" s="112" t="s">
        <v>785</v>
      </c>
      <c r="AJ320" s="112">
        <v>8569284</v>
      </c>
      <c r="AK320" s="112" t="s">
        <v>469</v>
      </c>
      <c r="AL320" s="112">
        <v>626265</v>
      </c>
      <c r="AM320" s="112" t="s">
        <v>1066</v>
      </c>
      <c r="AN320" s="112" t="s">
        <v>1066</v>
      </c>
    </row>
    <row r="321" spans="1:40" ht="55.5" customHeight="1" x14ac:dyDescent="0.25">
      <c r="A321" s="111" t="s">
        <v>2366</v>
      </c>
      <c r="B321" s="112">
        <v>2026</v>
      </c>
      <c r="C321" s="112" t="s">
        <v>1089</v>
      </c>
      <c r="D321" s="113">
        <v>46028.41065972222</v>
      </c>
      <c r="E321" s="112">
        <v>7900543083</v>
      </c>
      <c r="F321" s="112" t="s">
        <v>1090</v>
      </c>
      <c r="G321" s="112">
        <v>2</v>
      </c>
      <c r="H321" s="112">
        <v>7900543083</v>
      </c>
      <c r="I321" s="112" t="s">
        <v>2367</v>
      </c>
      <c r="J321" s="112" t="s">
        <v>1092</v>
      </c>
      <c r="K321" s="112" t="s">
        <v>1093</v>
      </c>
      <c r="L321" s="112" t="s">
        <v>1061</v>
      </c>
      <c r="M321" s="112" t="s">
        <v>478</v>
      </c>
      <c r="N321" s="113">
        <v>46428.41065972222</v>
      </c>
      <c r="O321" s="114">
        <v>19002212249</v>
      </c>
      <c r="P321" s="112">
        <v>1.9530000000000001</v>
      </c>
      <c r="Q321" s="112" t="s">
        <v>1062</v>
      </c>
      <c r="R321" s="112" t="s">
        <v>1063</v>
      </c>
      <c r="S321" s="113">
        <v>46045.473703703705</v>
      </c>
      <c r="T321" s="112" t="s">
        <v>2368</v>
      </c>
      <c r="U321" s="112" t="s">
        <v>1065</v>
      </c>
      <c r="V321" s="112" t="s">
        <v>1066</v>
      </c>
      <c r="W321" s="112" t="s">
        <v>1066</v>
      </c>
      <c r="X321" s="112" t="s">
        <v>1066</v>
      </c>
      <c r="Y321" s="112" t="s">
        <v>1066</v>
      </c>
      <c r="Z321" s="112" t="s">
        <v>1066</v>
      </c>
      <c r="AA321" s="112" t="s">
        <v>1067</v>
      </c>
      <c r="AB321" s="112" t="s">
        <v>1066</v>
      </c>
      <c r="AC321" s="112" t="s">
        <v>92</v>
      </c>
      <c r="AD321" s="112" t="s">
        <v>1066</v>
      </c>
      <c r="AE321" s="112" t="s">
        <v>1066</v>
      </c>
      <c r="AF321" s="112" t="s">
        <v>1066</v>
      </c>
      <c r="AG321" s="112" t="s">
        <v>1066</v>
      </c>
      <c r="AH321" s="112" t="s">
        <v>1066</v>
      </c>
      <c r="AI321" s="112" t="s">
        <v>785</v>
      </c>
      <c r="AJ321" s="112">
        <v>8899173</v>
      </c>
      <c r="AK321" s="112" t="s">
        <v>519</v>
      </c>
      <c r="AL321" s="112">
        <v>831823</v>
      </c>
      <c r="AM321" s="112" t="s">
        <v>1066</v>
      </c>
      <c r="AN321" s="112" t="s">
        <v>1066</v>
      </c>
    </row>
    <row r="322" spans="1:40" ht="55.5" customHeight="1" x14ac:dyDescent="0.25">
      <c r="A322" s="111" t="s">
        <v>2369</v>
      </c>
      <c r="B322" s="112">
        <v>2026</v>
      </c>
      <c r="C322" s="112" t="s">
        <v>2370</v>
      </c>
      <c r="D322" s="113">
        <v>46055.899027777778</v>
      </c>
      <c r="E322" s="112">
        <v>7955686076</v>
      </c>
      <c r="F322" s="112" t="s">
        <v>211</v>
      </c>
      <c r="G322" s="112">
        <v>3</v>
      </c>
      <c r="H322" s="112">
        <v>7955686076</v>
      </c>
      <c r="I322" s="112" t="s">
        <v>1302</v>
      </c>
      <c r="J322" s="112" t="s">
        <v>1071</v>
      </c>
      <c r="K322" s="112" t="s">
        <v>1681</v>
      </c>
      <c r="L322" s="112" t="s">
        <v>1073</v>
      </c>
      <c r="M322" s="112" t="s">
        <v>478</v>
      </c>
      <c r="N322" s="113">
        <v>46058.899027777778</v>
      </c>
      <c r="O322" s="114">
        <v>19002753239</v>
      </c>
      <c r="P322" s="112">
        <v>52</v>
      </c>
      <c r="Q322" s="112" t="s">
        <v>1062</v>
      </c>
      <c r="R322" s="112" t="s">
        <v>1324</v>
      </c>
      <c r="S322" s="113">
        <v>46087.623611111114</v>
      </c>
      <c r="T322" s="112" t="s">
        <v>2371</v>
      </c>
      <c r="U322" s="112" t="s">
        <v>1065</v>
      </c>
      <c r="V322" s="112" t="s">
        <v>1066</v>
      </c>
      <c r="W322" s="112" t="s">
        <v>1066</v>
      </c>
      <c r="X322" s="112" t="s">
        <v>983</v>
      </c>
      <c r="Y322" s="112" t="s">
        <v>1066</v>
      </c>
      <c r="Z322" s="112" t="s">
        <v>1066</v>
      </c>
      <c r="AA322" s="112" t="s">
        <v>1067</v>
      </c>
      <c r="AB322" s="112" t="s">
        <v>1066</v>
      </c>
      <c r="AC322" s="112" t="s">
        <v>92</v>
      </c>
      <c r="AD322" s="112" t="s">
        <v>1066</v>
      </c>
      <c r="AE322" s="112" t="s">
        <v>1066</v>
      </c>
      <c r="AF322" s="112" t="s">
        <v>1066</v>
      </c>
      <c r="AG322" s="112" t="s">
        <v>1066</v>
      </c>
      <c r="AH322" s="112" t="s">
        <v>1066</v>
      </c>
      <c r="AI322" s="112" t="s">
        <v>785</v>
      </c>
      <c r="AJ322" s="112">
        <v>8746912</v>
      </c>
      <c r="AK322" s="112" t="s">
        <v>209</v>
      </c>
      <c r="AL322" s="112">
        <v>689860</v>
      </c>
      <c r="AM322" s="112" t="s">
        <v>1066</v>
      </c>
      <c r="AN322" s="112" t="s">
        <v>1066</v>
      </c>
    </row>
    <row r="323" spans="1:40" ht="55.5" customHeight="1" x14ac:dyDescent="0.25">
      <c r="A323" s="111" t="s">
        <v>2372</v>
      </c>
      <c r="B323" s="112">
        <v>2026</v>
      </c>
      <c r="C323" s="112" t="s">
        <v>2373</v>
      </c>
      <c r="D323" s="113">
        <v>46219.917013888888</v>
      </c>
      <c r="E323" s="112">
        <v>8808260055</v>
      </c>
      <c r="F323" s="112" t="s">
        <v>196</v>
      </c>
      <c r="G323" s="112">
        <v>3</v>
      </c>
      <c r="H323" s="112">
        <v>7949315055</v>
      </c>
      <c r="I323" s="112" t="s">
        <v>2374</v>
      </c>
      <c r="J323" s="112" t="s">
        <v>1071</v>
      </c>
      <c r="K323" s="112" t="s">
        <v>1508</v>
      </c>
      <c r="L323" s="112" t="s">
        <v>1073</v>
      </c>
      <c r="M323" s="112" t="s">
        <v>478</v>
      </c>
      <c r="N323" s="113">
        <v>46222.917013888888</v>
      </c>
      <c r="O323" s="114">
        <v>19002647072</v>
      </c>
      <c r="P323" s="112">
        <v>36</v>
      </c>
      <c r="Q323" s="112" t="s">
        <v>1131</v>
      </c>
      <c r="R323" s="112" t="s">
        <v>1297</v>
      </c>
      <c r="S323" s="113">
        <v>46227.729733796295</v>
      </c>
      <c r="T323" s="112" t="s">
        <v>2375</v>
      </c>
      <c r="U323" s="112" t="s">
        <v>1065</v>
      </c>
      <c r="V323" s="112" t="s">
        <v>1066</v>
      </c>
      <c r="W323" s="112" t="s">
        <v>1066</v>
      </c>
      <c r="X323" s="112" t="s">
        <v>983</v>
      </c>
      <c r="Y323" s="112" t="s">
        <v>1066</v>
      </c>
      <c r="Z323" s="112" t="s">
        <v>1148</v>
      </c>
      <c r="AA323" s="112" t="s">
        <v>1067</v>
      </c>
      <c r="AB323" s="112" t="s">
        <v>1066</v>
      </c>
      <c r="AC323" s="112" t="s">
        <v>92</v>
      </c>
      <c r="AD323" s="112" t="s">
        <v>1066</v>
      </c>
      <c r="AE323" s="112" t="s">
        <v>1066</v>
      </c>
      <c r="AF323" s="112" t="s">
        <v>1066</v>
      </c>
      <c r="AG323" s="112" t="s">
        <v>1066</v>
      </c>
      <c r="AH323" s="112" t="s">
        <v>1066</v>
      </c>
      <c r="AI323" s="112" t="s">
        <v>785</v>
      </c>
      <c r="AJ323" s="112">
        <v>8995650</v>
      </c>
      <c r="AK323" s="112" t="s">
        <v>482</v>
      </c>
      <c r="AL323" s="112">
        <v>647781</v>
      </c>
      <c r="AM323" s="112" t="s">
        <v>1066</v>
      </c>
      <c r="AN323" s="112" t="s">
        <v>1066</v>
      </c>
    </row>
    <row r="324" spans="1:40" ht="55.5" customHeight="1" x14ac:dyDescent="0.25">
      <c r="A324" s="111" t="s">
        <v>2376</v>
      </c>
      <c r="B324" s="112">
        <v>2026</v>
      </c>
      <c r="C324" s="112" t="s">
        <v>1089</v>
      </c>
      <c r="D324" s="113">
        <v>46028.453888888886</v>
      </c>
      <c r="E324" s="112">
        <v>7915026036</v>
      </c>
      <c r="F324" s="112" t="s">
        <v>1852</v>
      </c>
      <c r="G324" s="112">
        <v>3</v>
      </c>
      <c r="H324" s="112">
        <v>7915026036</v>
      </c>
      <c r="I324" s="112" t="s">
        <v>2377</v>
      </c>
      <c r="J324" s="112" t="s">
        <v>1092</v>
      </c>
      <c r="K324" s="112" t="s">
        <v>1093</v>
      </c>
      <c r="L324" s="112" t="s">
        <v>1061</v>
      </c>
      <c r="M324" s="112" t="s">
        <v>478</v>
      </c>
      <c r="N324" s="113">
        <v>46428.453888888886</v>
      </c>
      <c r="O324" s="114">
        <v>19002260199</v>
      </c>
      <c r="P324" s="112">
        <v>274</v>
      </c>
      <c r="Q324" s="112" t="s">
        <v>1062</v>
      </c>
      <c r="R324" s="112" t="s">
        <v>1063</v>
      </c>
      <c r="S324" s="113">
        <v>46035.359027777777</v>
      </c>
      <c r="T324" s="112" t="s">
        <v>2378</v>
      </c>
      <c r="U324" s="112" t="s">
        <v>1065</v>
      </c>
      <c r="V324" s="112" t="s">
        <v>1066</v>
      </c>
      <c r="W324" s="112" t="s">
        <v>1066</v>
      </c>
      <c r="X324" s="112" t="s">
        <v>1066</v>
      </c>
      <c r="Y324" s="112" t="s">
        <v>1066</v>
      </c>
      <c r="Z324" s="112" t="s">
        <v>1066</v>
      </c>
      <c r="AA324" s="112" t="s">
        <v>1067</v>
      </c>
      <c r="AB324" s="112" t="s">
        <v>1066</v>
      </c>
      <c r="AC324" s="112" t="s">
        <v>92</v>
      </c>
      <c r="AD324" s="112" t="s">
        <v>1066</v>
      </c>
      <c r="AE324" s="112" t="s">
        <v>1066</v>
      </c>
      <c r="AF324" s="112" t="s">
        <v>1066</v>
      </c>
      <c r="AG324" s="112" t="s">
        <v>1066</v>
      </c>
      <c r="AH324" s="112" t="s">
        <v>1066</v>
      </c>
      <c r="AI324" s="112" t="s">
        <v>785</v>
      </c>
      <c r="AJ324" s="112">
        <v>8621414</v>
      </c>
      <c r="AK324" s="112" t="s">
        <v>470</v>
      </c>
      <c r="AL324" s="112">
        <v>704134</v>
      </c>
      <c r="AM324" s="112" t="s">
        <v>1066</v>
      </c>
      <c r="AN324" s="112" t="s">
        <v>1066</v>
      </c>
    </row>
    <row r="325" spans="1:40" ht="55.5" customHeight="1" x14ac:dyDescent="0.25">
      <c r="A325" s="120" t="s">
        <v>2379</v>
      </c>
      <c r="B325" s="121">
        <v>2026</v>
      </c>
      <c r="C325" s="121" t="s">
        <v>1210</v>
      </c>
      <c r="D325" s="122">
        <v>46114.608900462961</v>
      </c>
      <c r="E325" s="121">
        <v>7900230155</v>
      </c>
      <c r="F325" s="121" t="s">
        <v>205</v>
      </c>
      <c r="G325" s="121">
        <v>2</v>
      </c>
      <c r="H325" s="121">
        <v>7900230155</v>
      </c>
      <c r="I325" s="121" t="s">
        <v>2380</v>
      </c>
      <c r="J325" s="121" t="s">
        <v>1066</v>
      </c>
      <c r="K325" s="121" t="s">
        <v>1125</v>
      </c>
      <c r="L325" s="121" t="s">
        <v>1061</v>
      </c>
      <c r="M325" s="121" t="s">
        <v>1116</v>
      </c>
      <c r="N325" s="122">
        <v>46514.608900462961</v>
      </c>
      <c r="O325" s="123">
        <v>19002205158</v>
      </c>
      <c r="P325" s="121">
        <v>1.0029999999999999</v>
      </c>
      <c r="Q325" s="121" t="s">
        <v>1062</v>
      </c>
      <c r="R325" s="121" t="s">
        <v>1063</v>
      </c>
      <c r="S325" s="122">
        <v>46253.48060185185</v>
      </c>
      <c r="T325" s="121" t="s">
        <v>1066</v>
      </c>
      <c r="U325" s="121" t="s">
        <v>1066</v>
      </c>
      <c r="V325" s="121" t="s">
        <v>1066</v>
      </c>
      <c r="W325" s="121" t="s">
        <v>1066</v>
      </c>
      <c r="X325" s="121" t="s">
        <v>1066</v>
      </c>
      <c r="Y325" s="121" t="s">
        <v>1066</v>
      </c>
      <c r="Z325" s="121" t="s">
        <v>1066</v>
      </c>
      <c r="AA325" s="121" t="s">
        <v>1067</v>
      </c>
      <c r="AB325" s="121" t="s">
        <v>1066</v>
      </c>
      <c r="AC325" s="121" t="s">
        <v>92</v>
      </c>
      <c r="AD325" s="121" t="s">
        <v>1066</v>
      </c>
      <c r="AE325" s="121" t="s">
        <v>1066</v>
      </c>
      <c r="AF325" s="121" t="s">
        <v>1066</v>
      </c>
      <c r="AG325" s="121" t="s">
        <v>1066</v>
      </c>
      <c r="AH325" s="121" t="s">
        <v>1066</v>
      </c>
      <c r="AI325" s="121" t="s">
        <v>785</v>
      </c>
      <c r="AJ325" s="121">
        <v>9129950</v>
      </c>
      <c r="AK325" s="121" t="s">
        <v>204</v>
      </c>
      <c r="AL325" s="121">
        <v>834706</v>
      </c>
      <c r="AM325" s="121" t="s">
        <v>1066</v>
      </c>
      <c r="AN325" s="121" t="s">
        <v>1066</v>
      </c>
    </row>
    <row r="326" spans="1:40" ht="55.5" customHeight="1" x14ac:dyDescent="0.25">
      <c r="A326" s="111" t="s">
        <v>2381</v>
      </c>
      <c r="B326" s="112">
        <v>2026</v>
      </c>
      <c r="C326" s="112" t="s">
        <v>1057</v>
      </c>
      <c r="D326" s="113">
        <v>46125.614548611113</v>
      </c>
      <c r="E326" s="112">
        <v>7949704122</v>
      </c>
      <c r="F326" s="112" t="s">
        <v>2382</v>
      </c>
      <c r="G326" s="112">
        <v>3</v>
      </c>
      <c r="H326" s="112">
        <v>7949704122</v>
      </c>
      <c r="I326" s="112" t="s">
        <v>2383</v>
      </c>
      <c r="J326" s="112" t="s">
        <v>1066</v>
      </c>
      <c r="K326" s="112" t="s">
        <v>1125</v>
      </c>
      <c r="L326" s="112" t="s">
        <v>1061</v>
      </c>
      <c r="M326" s="112" t="s">
        <v>478</v>
      </c>
      <c r="N326" s="113">
        <v>46525.614548611113</v>
      </c>
      <c r="O326" s="114">
        <v>19002651851</v>
      </c>
      <c r="P326" s="112">
        <v>1.1240000000000001</v>
      </c>
      <c r="Q326" s="112" t="s">
        <v>1062</v>
      </c>
      <c r="R326" s="112" t="s">
        <v>1063</v>
      </c>
      <c r="S326" s="113">
        <v>46146.730381944442</v>
      </c>
      <c r="T326" s="112" t="s">
        <v>2384</v>
      </c>
      <c r="U326" s="112" t="s">
        <v>1065</v>
      </c>
      <c r="V326" s="112" t="s">
        <v>1066</v>
      </c>
      <c r="W326" s="112" t="s">
        <v>1066</v>
      </c>
      <c r="X326" s="112" t="s">
        <v>1066</v>
      </c>
      <c r="Y326" s="112" t="s">
        <v>1066</v>
      </c>
      <c r="Z326" s="112" t="s">
        <v>1066</v>
      </c>
      <c r="AA326" s="112" t="s">
        <v>1067</v>
      </c>
      <c r="AB326" s="112" t="s">
        <v>1066</v>
      </c>
      <c r="AC326" s="112" t="s">
        <v>92</v>
      </c>
      <c r="AD326" s="112" t="s">
        <v>1066</v>
      </c>
      <c r="AE326" s="112" t="s">
        <v>1066</v>
      </c>
      <c r="AF326" s="112" t="s">
        <v>1066</v>
      </c>
      <c r="AG326" s="112" t="s">
        <v>1066</v>
      </c>
      <c r="AH326" s="112" t="s">
        <v>1066</v>
      </c>
      <c r="AI326" s="112" t="s">
        <v>785</v>
      </c>
      <c r="AJ326" s="112">
        <v>8871445</v>
      </c>
      <c r="AK326" s="112" t="s">
        <v>264</v>
      </c>
      <c r="AL326" s="112">
        <v>791767</v>
      </c>
      <c r="AM326" s="112" t="s">
        <v>1066</v>
      </c>
      <c r="AN326" s="112" t="s">
        <v>1066</v>
      </c>
    </row>
    <row r="327" spans="1:40" ht="55.5" customHeight="1" x14ac:dyDescent="0.25">
      <c r="A327" s="124" t="s">
        <v>2385</v>
      </c>
      <c r="B327" s="125">
        <v>2026</v>
      </c>
      <c r="C327" s="125" t="s">
        <v>2386</v>
      </c>
      <c r="D327" s="126">
        <v>46135.701145833336</v>
      </c>
      <c r="E327" s="125">
        <v>7947959026</v>
      </c>
      <c r="F327" s="125" t="s">
        <v>136</v>
      </c>
      <c r="G327" s="125">
        <v>1</v>
      </c>
      <c r="H327" s="125">
        <v>7947959026</v>
      </c>
      <c r="I327" s="125" t="s">
        <v>2387</v>
      </c>
      <c r="J327" s="125" t="s">
        <v>1071</v>
      </c>
      <c r="K327" s="125" t="s">
        <v>1072</v>
      </c>
      <c r="L327" s="125" t="s">
        <v>1073</v>
      </c>
      <c r="M327" s="125" t="s">
        <v>510</v>
      </c>
      <c r="N327" s="126">
        <v>46138.701145833336</v>
      </c>
      <c r="O327" s="127">
        <v>19002727158</v>
      </c>
      <c r="P327" s="125">
        <v>5.3529999999999998</v>
      </c>
      <c r="Q327" s="125" t="s">
        <v>1062</v>
      </c>
      <c r="R327" s="125" t="s">
        <v>1324</v>
      </c>
      <c r="S327" s="125" t="s">
        <v>1066</v>
      </c>
      <c r="T327" s="125" t="s">
        <v>2388</v>
      </c>
      <c r="U327" s="125" t="s">
        <v>621</v>
      </c>
      <c r="V327" s="125" t="s">
        <v>1066</v>
      </c>
      <c r="W327" s="125" t="s">
        <v>1066</v>
      </c>
      <c r="X327" s="125" t="s">
        <v>983</v>
      </c>
      <c r="Y327" s="125" t="s">
        <v>1066</v>
      </c>
      <c r="Z327" s="125" t="s">
        <v>1078</v>
      </c>
      <c r="AA327" s="125" t="s">
        <v>1067</v>
      </c>
      <c r="AB327" s="125" t="s">
        <v>1066</v>
      </c>
      <c r="AC327" s="125" t="s">
        <v>92</v>
      </c>
      <c r="AD327" s="125" t="s">
        <v>1066</v>
      </c>
      <c r="AE327" s="125" t="s">
        <v>1066</v>
      </c>
      <c r="AF327" s="125" t="s">
        <v>1066</v>
      </c>
      <c r="AG327" s="125" t="s">
        <v>1066</v>
      </c>
      <c r="AH327" s="125" t="s">
        <v>1066</v>
      </c>
      <c r="AI327" s="125" t="s">
        <v>785</v>
      </c>
      <c r="AJ327" s="125">
        <v>8814426</v>
      </c>
      <c r="AK327" s="125" t="s">
        <v>792</v>
      </c>
      <c r="AL327" s="125">
        <v>864781</v>
      </c>
      <c r="AM327" s="125" t="s">
        <v>1066</v>
      </c>
      <c r="AN327" s="125" t="s">
        <v>1066</v>
      </c>
    </row>
    <row r="328" spans="1:40" ht="55.5" customHeight="1" x14ac:dyDescent="0.25">
      <c r="A328" s="111" t="s">
        <v>2389</v>
      </c>
      <c r="B328" s="112">
        <v>2026</v>
      </c>
      <c r="C328" s="112" t="s">
        <v>1213</v>
      </c>
      <c r="D328" s="113">
        <v>46122.549942129626</v>
      </c>
      <c r="E328" s="112">
        <v>7935704004</v>
      </c>
      <c r="F328" s="112" t="s">
        <v>2390</v>
      </c>
      <c r="G328" s="112">
        <v>1</v>
      </c>
      <c r="H328" s="112">
        <v>7935704004</v>
      </c>
      <c r="I328" s="112" t="s">
        <v>2391</v>
      </c>
      <c r="J328" s="112" t="s">
        <v>1066</v>
      </c>
      <c r="K328" s="112" t="s">
        <v>1125</v>
      </c>
      <c r="L328" s="112" t="s">
        <v>1061</v>
      </c>
      <c r="M328" s="112" t="s">
        <v>478</v>
      </c>
      <c r="N328" s="113">
        <v>46522.549942129626</v>
      </c>
      <c r="O328" s="114">
        <v>19002260359</v>
      </c>
      <c r="P328" s="112">
        <v>1.643</v>
      </c>
      <c r="Q328" s="112" t="s">
        <v>1062</v>
      </c>
      <c r="R328" s="112" t="s">
        <v>1063</v>
      </c>
      <c r="S328" s="113">
        <v>46125.729166666664</v>
      </c>
      <c r="T328" s="112" t="s">
        <v>2392</v>
      </c>
      <c r="U328" s="112" t="s">
        <v>1065</v>
      </c>
      <c r="V328" s="112" t="s">
        <v>1066</v>
      </c>
      <c r="W328" s="112" t="s">
        <v>1066</v>
      </c>
      <c r="X328" s="112" t="s">
        <v>1066</v>
      </c>
      <c r="Y328" s="112" t="s">
        <v>1066</v>
      </c>
      <c r="Z328" s="112" t="s">
        <v>1066</v>
      </c>
      <c r="AA328" s="112" t="s">
        <v>1067</v>
      </c>
      <c r="AB328" s="112" t="s">
        <v>1066</v>
      </c>
      <c r="AC328" s="112" t="s">
        <v>92</v>
      </c>
      <c r="AD328" s="112" t="s">
        <v>1066</v>
      </c>
      <c r="AE328" s="112" t="s">
        <v>1066</v>
      </c>
      <c r="AF328" s="112" t="s">
        <v>1066</v>
      </c>
      <c r="AG328" s="112" t="s">
        <v>1066</v>
      </c>
      <c r="AH328" s="112" t="s">
        <v>1066</v>
      </c>
      <c r="AI328" s="112" t="s">
        <v>785</v>
      </c>
      <c r="AJ328" s="112">
        <v>9201955</v>
      </c>
      <c r="AK328" s="112" t="s">
        <v>69</v>
      </c>
      <c r="AL328" s="112">
        <v>810765</v>
      </c>
      <c r="AM328" s="112" t="s">
        <v>1066</v>
      </c>
      <c r="AN328" s="112" t="s">
        <v>1066</v>
      </c>
    </row>
    <row r="329" spans="1:40" ht="55.5" customHeight="1" x14ac:dyDescent="0.25">
      <c r="A329" s="111" t="s">
        <v>2393</v>
      </c>
      <c r="B329" s="112">
        <v>2026</v>
      </c>
      <c r="C329" s="112" t="s">
        <v>2394</v>
      </c>
      <c r="D329" s="113">
        <v>46148.445833333331</v>
      </c>
      <c r="E329" s="112">
        <v>9000721193</v>
      </c>
      <c r="F329" s="112" t="s">
        <v>370</v>
      </c>
      <c r="G329" s="112">
        <v>2</v>
      </c>
      <c r="H329" s="112">
        <v>7900722193</v>
      </c>
      <c r="I329" s="112" t="s">
        <v>2236</v>
      </c>
      <c r="J329" s="112" t="s">
        <v>1071</v>
      </c>
      <c r="K329" s="112" t="s">
        <v>1994</v>
      </c>
      <c r="L329" s="112" t="s">
        <v>1073</v>
      </c>
      <c r="M329" s="112" t="s">
        <v>478</v>
      </c>
      <c r="N329" s="113">
        <v>46151.451562499999</v>
      </c>
      <c r="O329" s="114">
        <v>19000021684</v>
      </c>
      <c r="P329" s="112">
        <v>3.2709999999999999</v>
      </c>
      <c r="Q329" s="112" t="s">
        <v>1131</v>
      </c>
      <c r="R329" s="112" t="s">
        <v>1075</v>
      </c>
      <c r="S329" s="113">
        <v>46163.509976851848</v>
      </c>
      <c r="T329" s="112" t="s">
        <v>2395</v>
      </c>
      <c r="U329" s="112" t="s">
        <v>1065</v>
      </c>
      <c r="V329" s="112" t="s">
        <v>1066</v>
      </c>
      <c r="W329" s="112" t="s">
        <v>1066</v>
      </c>
      <c r="X329" s="112" t="s">
        <v>1148</v>
      </c>
      <c r="Y329" s="112" t="s">
        <v>1066</v>
      </c>
      <c r="Z329" s="112" t="s">
        <v>1148</v>
      </c>
      <c r="AA329" s="112" t="s">
        <v>1067</v>
      </c>
      <c r="AB329" s="112" t="s">
        <v>1066</v>
      </c>
      <c r="AC329" s="112" t="s">
        <v>92</v>
      </c>
      <c r="AD329" s="112" t="s">
        <v>1142</v>
      </c>
      <c r="AE329" s="112" t="s">
        <v>1066</v>
      </c>
      <c r="AF329" s="112" t="s">
        <v>1066</v>
      </c>
      <c r="AG329" s="112" t="s">
        <v>1066</v>
      </c>
      <c r="AH329" s="112" t="s">
        <v>2396</v>
      </c>
      <c r="AI329" s="112" t="s">
        <v>785</v>
      </c>
      <c r="AJ329" s="112">
        <v>9071636</v>
      </c>
      <c r="AK329" s="112" t="s">
        <v>369</v>
      </c>
      <c r="AL329" s="112">
        <v>967442</v>
      </c>
      <c r="AM329" s="112" t="s">
        <v>1066</v>
      </c>
      <c r="AN329" s="112" t="s">
        <v>1066</v>
      </c>
    </row>
    <row r="330" spans="1:40" ht="55.5" customHeight="1" x14ac:dyDescent="0.25">
      <c r="A330" s="111" t="s">
        <v>2397</v>
      </c>
      <c r="B330" s="112">
        <v>2026</v>
      </c>
      <c r="C330" s="112" t="s">
        <v>1089</v>
      </c>
      <c r="D330" s="113">
        <v>46028.41065972222</v>
      </c>
      <c r="E330" s="112">
        <v>7931110122</v>
      </c>
      <c r="F330" s="112" t="s">
        <v>2398</v>
      </c>
      <c r="G330" s="112">
        <v>1</v>
      </c>
      <c r="H330" s="112">
        <v>7931110122</v>
      </c>
      <c r="I330" s="112" t="s">
        <v>2399</v>
      </c>
      <c r="J330" s="112" t="s">
        <v>1092</v>
      </c>
      <c r="K330" s="112" t="s">
        <v>1093</v>
      </c>
      <c r="L330" s="112" t="s">
        <v>1061</v>
      </c>
      <c r="M330" s="112" t="s">
        <v>478</v>
      </c>
      <c r="N330" s="113">
        <v>46428.41065972222</v>
      </c>
      <c r="O330" s="114">
        <v>19002607559</v>
      </c>
      <c r="P330" s="112">
        <v>1.4770000000000001</v>
      </c>
      <c r="Q330" s="112" t="s">
        <v>1062</v>
      </c>
      <c r="R330" s="112" t="s">
        <v>1063</v>
      </c>
      <c r="S330" s="113">
        <v>46153.734965277778</v>
      </c>
      <c r="T330" s="112" t="s">
        <v>2400</v>
      </c>
      <c r="U330" s="112" t="s">
        <v>1065</v>
      </c>
      <c r="V330" s="112" t="s">
        <v>1066</v>
      </c>
      <c r="W330" s="112" t="s">
        <v>1066</v>
      </c>
      <c r="X330" s="112" t="s">
        <v>1066</v>
      </c>
      <c r="Y330" s="112" t="s">
        <v>1066</v>
      </c>
      <c r="Z330" s="112" t="s">
        <v>1066</v>
      </c>
      <c r="AA330" s="112" t="s">
        <v>1067</v>
      </c>
      <c r="AB330" s="112" t="s">
        <v>1066</v>
      </c>
      <c r="AC330" s="112" t="s">
        <v>92</v>
      </c>
      <c r="AD330" s="112" t="s">
        <v>1066</v>
      </c>
      <c r="AE330" s="112" t="s">
        <v>1066</v>
      </c>
      <c r="AF330" s="112" t="s">
        <v>1066</v>
      </c>
      <c r="AG330" s="112" t="s">
        <v>1066</v>
      </c>
      <c r="AH330" s="112" t="s">
        <v>1066</v>
      </c>
      <c r="AI330" s="112" t="s">
        <v>785</v>
      </c>
      <c r="AJ330" s="112">
        <v>8863867</v>
      </c>
      <c r="AK330" s="112" t="s">
        <v>264</v>
      </c>
      <c r="AL330" s="112">
        <v>793105</v>
      </c>
      <c r="AM330" s="112" t="s">
        <v>1066</v>
      </c>
      <c r="AN330" s="112" t="s">
        <v>1066</v>
      </c>
    </row>
    <row r="331" spans="1:40" ht="55.5" customHeight="1" x14ac:dyDescent="0.25">
      <c r="A331" s="111" t="s">
        <v>2401</v>
      </c>
      <c r="B331" s="112">
        <v>2026</v>
      </c>
      <c r="C331" s="112" t="s">
        <v>1089</v>
      </c>
      <c r="D331" s="113">
        <v>46028.41065972222</v>
      </c>
      <c r="E331" s="112">
        <v>7908250250</v>
      </c>
      <c r="F331" s="112" t="s">
        <v>52</v>
      </c>
      <c r="G331" s="112">
        <v>2</v>
      </c>
      <c r="H331" s="112">
        <v>7908250250</v>
      </c>
      <c r="I331" s="112" t="s">
        <v>2402</v>
      </c>
      <c r="J331" s="112" t="s">
        <v>1092</v>
      </c>
      <c r="K331" s="112" t="s">
        <v>1093</v>
      </c>
      <c r="L331" s="112" t="s">
        <v>1061</v>
      </c>
      <c r="M331" s="112" t="s">
        <v>478</v>
      </c>
      <c r="N331" s="113">
        <v>46428.41065972222</v>
      </c>
      <c r="O331" s="114">
        <v>19002207339</v>
      </c>
      <c r="P331" s="112">
        <v>1.3340000000000001</v>
      </c>
      <c r="Q331" s="112" t="s">
        <v>1062</v>
      </c>
      <c r="R331" s="112" t="s">
        <v>1063</v>
      </c>
      <c r="S331" s="113">
        <v>46058.593969907408</v>
      </c>
      <c r="T331" s="112" t="s">
        <v>2403</v>
      </c>
      <c r="U331" s="112" t="s">
        <v>1065</v>
      </c>
      <c r="V331" s="112" t="s">
        <v>1066</v>
      </c>
      <c r="W331" s="112" t="s">
        <v>1066</v>
      </c>
      <c r="X331" s="112" t="s">
        <v>1066</v>
      </c>
      <c r="Y331" s="112" t="s">
        <v>1066</v>
      </c>
      <c r="Z331" s="112" t="s">
        <v>1066</v>
      </c>
      <c r="AA331" s="112" t="s">
        <v>1067</v>
      </c>
      <c r="AB331" s="112" t="s">
        <v>1066</v>
      </c>
      <c r="AC331" s="112" t="s">
        <v>92</v>
      </c>
      <c r="AD331" s="112" t="s">
        <v>1066</v>
      </c>
      <c r="AE331" s="112" t="s">
        <v>1066</v>
      </c>
      <c r="AF331" s="112" t="s">
        <v>1066</v>
      </c>
      <c r="AG331" s="112" t="s">
        <v>1066</v>
      </c>
      <c r="AH331" s="112" t="s">
        <v>1066</v>
      </c>
      <c r="AI331" s="112" t="s">
        <v>785</v>
      </c>
      <c r="AJ331" s="112">
        <v>8777986</v>
      </c>
      <c r="AK331" s="112" t="s">
        <v>2404</v>
      </c>
      <c r="AL331" s="112">
        <v>781957</v>
      </c>
      <c r="AM331" s="112" t="s">
        <v>1066</v>
      </c>
      <c r="AN331" s="112" t="s">
        <v>1066</v>
      </c>
    </row>
    <row r="332" spans="1:40" ht="55.5" customHeight="1" x14ac:dyDescent="0.25">
      <c r="A332" s="111" t="s">
        <v>2405</v>
      </c>
      <c r="B332" s="112">
        <v>2026</v>
      </c>
      <c r="C332" s="112" t="s">
        <v>1057</v>
      </c>
      <c r="D332" s="113">
        <v>46125.584386574075</v>
      </c>
      <c r="E332" s="112">
        <v>7900511021</v>
      </c>
      <c r="F332" s="112" t="s">
        <v>294</v>
      </c>
      <c r="G332" s="112">
        <v>1</v>
      </c>
      <c r="H332" s="112">
        <v>7900511021</v>
      </c>
      <c r="I332" s="112" t="s">
        <v>2406</v>
      </c>
      <c r="J332" s="112" t="s">
        <v>1066</v>
      </c>
      <c r="K332" s="112" t="s">
        <v>1125</v>
      </c>
      <c r="L332" s="112" t="s">
        <v>1061</v>
      </c>
      <c r="M332" s="112" t="s">
        <v>478</v>
      </c>
      <c r="N332" s="113">
        <v>46525.584386574075</v>
      </c>
      <c r="O332" s="114">
        <v>19002212022</v>
      </c>
      <c r="P332" s="112">
        <v>1.331</v>
      </c>
      <c r="Q332" s="112" t="s">
        <v>1062</v>
      </c>
      <c r="R332" s="112" t="s">
        <v>1063</v>
      </c>
      <c r="S332" s="113">
        <v>46176.570694444446</v>
      </c>
      <c r="T332" s="112" t="s">
        <v>2407</v>
      </c>
      <c r="U332" s="112" t="s">
        <v>1065</v>
      </c>
      <c r="V332" s="112" t="s">
        <v>1066</v>
      </c>
      <c r="W332" s="112" t="s">
        <v>1066</v>
      </c>
      <c r="X332" s="112" t="s">
        <v>1066</v>
      </c>
      <c r="Y332" s="112" t="s">
        <v>1066</v>
      </c>
      <c r="Z332" s="112" t="s">
        <v>1066</v>
      </c>
      <c r="AA332" s="112" t="s">
        <v>1067</v>
      </c>
      <c r="AB332" s="112" t="s">
        <v>1066</v>
      </c>
      <c r="AC332" s="112" t="s">
        <v>92</v>
      </c>
      <c r="AD332" s="112" t="s">
        <v>1066</v>
      </c>
      <c r="AE332" s="112" t="s">
        <v>1066</v>
      </c>
      <c r="AF332" s="112" t="s">
        <v>1066</v>
      </c>
      <c r="AG332" s="112" t="s">
        <v>1066</v>
      </c>
      <c r="AH332" s="112" t="s">
        <v>1066</v>
      </c>
      <c r="AI332" s="112" t="s">
        <v>785</v>
      </c>
      <c r="AJ332" s="112">
        <v>8604852</v>
      </c>
      <c r="AK332" s="112" t="s">
        <v>223</v>
      </c>
      <c r="AL332" s="112">
        <v>817741</v>
      </c>
      <c r="AM332" s="112" t="s">
        <v>1066</v>
      </c>
      <c r="AN332" s="112" t="s">
        <v>1066</v>
      </c>
    </row>
    <row r="333" spans="1:40" ht="55.5" customHeight="1" x14ac:dyDescent="0.25">
      <c r="A333" s="111" t="s">
        <v>2408</v>
      </c>
      <c r="B333" s="112">
        <v>2026</v>
      </c>
      <c r="C333" s="112" t="s">
        <v>1057</v>
      </c>
      <c r="D333" s="113">
        <v>46125.584386574075</v>
      </c>
      <c r="E333" s="112">
        <v>7925051094</v>
      </c>
      <c r="F333" s="112" t="s">
        <v>249</v>
      </c>
      <c r="G333" s="112">
        <v>2</v>
      </c>
      <c r="H333" s="112">
        <v>7925051094</v>
      </c>
      <c r="I333" s="112" t="s">
        <v>2409</v>
      </c>
      <c r="J333" s="112" t="s">
        <v>1066</v>
      </c>
      <c r="K333" s="112" t="s">
        <v>1125</v>
      </c>
      <c r="L333" s="112" t="s">
        <v>1061</v>
      </c>
      <c r="M333" s="112" t="s">
        <v>478</v>
      </c>
      <c r="N333" s="113">
        <v>46525.584386574075</v>
      </c>
      <c r="O333" s="114">
        <v>19002205178</v>
      </c>
      <c r="P333" s="112">
        <v>647</v>
      </c>
      <c r="Q333" s="112" t="s">
        <v>1062</v>
      </c>
      <c r="R333" s="112" t="s">
        <v>1063</v>
      </c>
      <c r="S333" s="113">
        <v>46171.718923611108</v>
      </c>
      <c r="T333" s="112" t="s">
        <v>2410</v>
      </c>
      <c r="U333" s="112" t="s">
        <v>1065</v>
      </c>
      <c r="V333" s="112" t="s">
        <v>1066</v>
      </c>
      <c r="W333" s="112" t="s">
        <v>1066</v>
      </c>
      <c r="X333" s="112" t="s">
        <v>1066</v>
      </c>
      <c r="Y333" s="112" t="s">
        <v>1066</v>
      </c>
      <c r="Z333" s="112" t="s">
        <v>1066</v>
      </c>
      <c r="AA333" s="112" t="s">
        <v>1067</v>
      </c>
      <c r="AB333" s="112" t="s">
        <v>1066</v>
      </c>
      <c r="AC333" s="112" t="s">
        <v>92</v>
      </c>
      <c r="AD333" s="112" t="s">
        <v>1066</v>
      </c>
      <c r="AE333" s="112" t="s">
        <v>1066</v>
      </c>
      <c r="AF333" s="112" t="s">
        <v>1066</v>
      </c>
      <c r="AG333" s="112" t="s">
        <v>1066</v>
      </c>
      <c r="AH333" s="112" t="s">
        <v>1066</v>
      </c>
      <c r="AI333" s="112" t="s">
        <v>785</v>
      </c>
      <c r="AJ333" s="112">
        <v>8684972</v>
      </c>
      <c r="AK333" s="112" t="s">
        <v>224</v>
      </c>
      <c r="AL333" s="112">
        <v>735809</v>
      </c>
      <c r="AM333" s="112" t="s">
        <v>1066</v>
      </c>
      <c r="AN333" s="112" t="s">
        <v>1066</v>
      </c>
    </row>
    <row r="334" spans="1:40" ht="55.5" customHeight="1" x14ac:dyDescent="0.25">
      <c r="A334" s="111" t="s">
        <v>2411</v>
      </c>
      <c r="B334" s="112">
        <v>2026</v>
      </c>
      <c r="C334" s="112" t="s">
        <v>1057</v>
      </c>
      <c r="D334" s="113">
        <v>46125.614548611113</v>
      </c>
      <c r="E334" s="112">
        <v>7902454122</v>
      </c>
      <c r="F334" s="112" t="s">
        <v>2412</v>
      </c>
      <c r="G334" s="112">
        <v>2</v>
      </c>
      <c r="H334" s="112">
        <v>7902454122</v>
      </c>
      <c r="I334" s="112" t="s">
        <v>2413</v>
      </c>
      <c r="J334" s="112" t="s">
        <v>1066</v>
      </c>
      <c r="K334" s="112" t="s">
        <v>1125</v>
      </c>
      <c r="L334" s="112" t="s">
        <v>1061</v>
      </c>
      <c r="M334" s="112" t="s">
        <v>478</v>
      </c>
      <c r="N334" s="113">
        <v>46525.614548611113</v>
      </c>
      <c r="O334" s="114">
        <v>19002203506</v>
      </c>
      <c r="P334" s="112">
        <v>0</v>
      </c>
      <c r="Q334" s="112" t="s">
        <v>1062</v>
      </c>
      <c r="R334" s="112" t="s">
        <v>1063</v>
      </c>
      <c r="S334" s="113">
        <v>46150.724293981482</v>
      </c>
      <c r="T334" s="112" t="s">
        <v>2414</v>
      </c>
      <c r="U334" s="112" t="s">
        <v>1065</v>
      </c>
      <c r="V334" s="112" t="s">
        <v>1066</v>
      </c>
      <c r="W334" s="112" t="s">
        <v>1066</v>
      </c>
      <c r="X334" s="112" t="s">
        <v>1066</v>
      </c>
      <c r="Y334" s="112" t="s">
        <v>1066</v>
      </c>
      <c r="Z334" s="112" t="s">
        <v>1066</v>
      </c>
      <c r="AA334" s="112" t="s">
        <v>1067</v>
      </c>
      <c r="AB334" s="112" t="s">
        <v>1066</v>
      </c>
      <c r="AC334" s="112" t="s">
        <v>92</v>
      </c>
      <c r="AD334" s="112" t="s">
        <v>1066</v>
      </c>
      <c r="AE334" s="112" t="s">
        <v>1066</v>
      </c>
      <c r="AF334" s="112" t="s">
        <v>1066</v>
      </c>
      <c r="AG334" s="112" t="s">
        <v>1066</v>
      </c>
      <c r="AH334" s="112" t="s">
        <v>1066</v>
      </c>
      <c r="AI334" s="112" t="s">
        <v>785</v>
      </c>
      <c r="AJ334" s="112">
        <v>8867300</v>
      </c>
      <c r="AK334" s="112" t="s">
        <v>264</v>
      </c>
      <c r="AL334" s="112">
        <v>793108</v>
      </c>
      <c r="AM334" s="112" t="s">
        <v>1066</v>
      </c>
      <c r="AN334" s="112" t="s">
        <v>1066</v>
      </c>
    </row>
    <row r="335" spans="1:40" ht="55.5" customHeight="1" x14ac:dyDescent="0.25">
      <c r="A335" s="111" t="s">
        <v>2415</v>
      </c>
      <c r="B335" s="112">
        <v>2026</v>
      </c>
      <c r="C335" s="112" t="s">
        <v>2416</v>
      </c>
      <c r="D335" s="113">
        <v>46173.70684027778</v>
      </c>
      <c r="E335" s="112">
        <v>9001869038</v>
      </c>
      <c r="F335" s="112" t="s">
        <v>2010</v>
      </c>
      <c r="G335" s="112">
        <v>1</v>
      </c>
      <c r="H335" s="112">
        <v>7929658038</v>
      </c>
      <c r="I335" s="112" t="s">
        <v>2417</v>
      </c>
      <c r="J335" s="112" t="s">
        <v>1071</v>
      </c>
      <c r="K335" s="112" t="s">
        <v>1145</v>
      </c>
      <c r="L335" s="112" t="s">
        <v>1073</v>
      </c>
      <c r="M335" s="112" t="s">
        <v>478</v>
      </c>
      <c r="N335" s="113">
        <v>46176.70684027778</v>
      </c>
      <c r="O335" s="114">
        <v>19001285879</v>
      </c>
      <c r="P335" s="112">
        <v>0</v>
      </c>
      <c r="Q335" s="112" t="s">
        <v>1131</v>
      </c>
      <c r="R335" s="112" t="s">
        <v>1075</v>
      </c>
      <c r="S335" s="113">
        <v>46197.729814814818</v>
      </c>
      <c r="T335" s="112" t="s">
        <v>2418</v>
      </c>
      <c r="U335" s="112" t="s">
        <v>1065</v>
      </c>
      <c r="V335" s="112" t="s">
        <v>1066</v>
      </c>
      <c r="W335" s="112" t="s">
        <v>1066</v>
      </c>
      <c r="X335" s="112" t="s">
        <v>983</v>
      </c>
      <c r="Y335" s="112" t="s">
        <v>1066</v>
      </c>
      <c r="Z335" s="112" t="s">
        <v>1148</v>
      </c>
      <c r="AA335" s="112" t="s">
        <v>1067</v>
      </c>
      <c r="AB335" s="112" t="s">
        <v>1066</v>
      </c>
      <c r="AC335" s="112" t="s">
        <v>92</v>
      </c>
      <c r="AD335" s="112" t="s">
        <v>1142</v>
      </c>
      <c r="AE335" s="112" t="s">
        <v>1066</v>
      </c>
      <c r="AF335" s="112" t="s">
        <v>1066</v>
      </c>
      <c r="AG335" s="112" t="s">
        <v>1066</v>
      </c>
      <c r="AH335" s="112" t="s">
        <v>1066</v>
      </c>
      <c r="AI335" s="112" t="s">
        <v>785</v>
      </c>
      <c r="AJ335" s="112">
        <v>8624448</v>
      </c>
      <c r="AK335" s="112" t="s">
        <v>627</v>
      </c>
      <c r="AL335" s="112">
        <v>996974</v>
      </c>
      <c r="AM335" s="112" t="s">
        <v>1066</v>
      </c>
      <c r="AN335" s="112" t="s">
        <v>1066</v>
      </c>
    </row>
    <row r="336" spans="1:40" ht="55.5" customHeight="1" x14ac:dyDescent="0.25">
      <c r="A336" s="111" t="s">
        <v>2419</v>
      </c>
      <c r="B336" s="112">
        <v>2026</v>
      </c>
      <c r="C336" s="112" t="s">
        <v>1188</v>
      </c>
      <c r="D336" s="113">
        <v>46223.459340277775</v>
      </c>
      <c r="E336" s="112">
        <v>7956777003</v>
      </c>
      <c r="F336" s="112" t="s">
        <v>2420</v>
      </c>
      <c r="G336" s="112">
        <v>2</v>
      </c>
      <c r="H336" s="112">
        <v>7956777003</v>
      </c>
      <c r="I336" s="112" t="s">
        <v>2421</v>
      </c>
      <c r="J336" s="112" t="s">
        <v>1092</v>
      </c>
      <c r="K336" s="112" t="s">
        <v>1191</v>
      </c>
      <c r="L336" s="112" t="s">
        <v>1061</v>
      </c>
      <c r="M336" s="112" t="s">
        <v>478</v>
      </c>
      <c r="N336" s="113">
        <v>46623.459340277775</v>
      </c>
      <c r="O336" s="114">
        <v>19002613420</v>
      </c>
      <c r="P336" s="112">
        <v>999</v>
      </c>
      <c r="Q336" s="112" t="s">
        <v>1062</v>
      </c>
      <c r="R336" s="112" t="s">
        <v>1063</v>
      </c>
      <c r="S336" s="113">
        <v>46231.3830787037</v>
      </c>
      <c r="T336" s="112" t="s">
        <v>2422</v>
      </c>
      <c r="U336" s="112" t="s">
        <v>1065</v>
      </c>
      <c r="V336" s="112" t="s">
        <v>1066</v>
      </c>
      <c r="W336" s="112" t="s">
        <v>1066</v>
      </c>
      <c r="X336" s="112" t="s">
        <v>1066</v>
      </c>
      <c r="Y336" s="112" t="s">
        <v>1066</v>
      </c>
      <c r="Z336" s="112" t="s">
        <v>1066</v>
      </c>
      <c r="AA336" s="112" t="s">
        <v>1067</v>
      </c>
      <c r="AB336" s="112" t="s">
        <v>1066</v>
      </c>
      <c r="AC336" s="112" t="s">
        <v>92</v>
      </c>
      <c r="AD336" s="112" t="s">
        <v>1066</v>
      </c>
      <c r="AE336" s="112" t="s">
        <v>1066</v>
      </c>
      <c r="AF336" s="112" t="s">
        <v>1066</v>
      </c>
      <c r="AG336" s="112" t="s">
        <v>1066</v>
      </c>
      <c r="AH336" s="112" t="s">
        <v>1066</v>
      </c>
      <c r="AI336" s="112" t="s">
        <v>785</v>
      </c>
      <c r="AJ336" s="112">
        <v>8703282</v>
      </c>
      <c r="AK336" s="112" t="s">
        <v>210</v>
      </c>
      <c r="AL336" s="112">
        <v>711413</v>
      </c>
      <c r="AM336" s="112" t="s">
        <v>1066</v>
      </c>
      <c r="AN336" s="112" t="s">
        <v>1066</v>
      </c>
    </row>
    <row r="337" spans="1:40" ht="55.5" customHeight="1" x14ac:dyDescent="0.25">
      <c r="A337" s="111" t="s">
        <v>2423</v>
      </c>
      <c r="B337" s="112">
        <v>2026</v>
      </c>
      <c r="C337" s="112" t="s">
        <v>1240</v>
      </c>
      <c r="D337" s="113">
        <v>46183.597349537034</v>
      </c>
      <c r="E337" s="112">
        <v>7900236054</v>
      </c>
      <c r="F337" s="112" t="s">
        <v>279</v>
      </c>
      <c r="G337" s="112">
        <v>1</v>
      </c>
      <c r="H337" s="112">
        <v>7900236054</v>
      </c>
      <c r="I337" s="112" t="s">
        <v>1120</v>
      </c>
      <c r="J337" s="112" t="s">
        <v>1066</v>
      </c>
      <c r="K337" s="112" t="s">
        <v>1125</v>
      </c>
      <c r="L337" s="112" t="s">
        <v>1061</v>
      </c>
      <c r="M337" s="112" t="s">
        <v>478</v>
      </c>
      <c r="N337" s="113">
        <v>46583.597349537034</v>
      </c>
      <c r="O337" s="114">
        <v>19002295988</v>
      </c>
      <c r="P337" s="112">
        <v>957</v>
      </c>
      <c r="Q337" s="112" t="s">
        <v>1062</v>
      </c>
      <c r="R337" s="112" t="s">
        <v>1063</v>
      </c>
      <c r="S337" s="113">
        <v>46126.453645833331</v>
      </c>
      <c r="T337" s="112" t="s">
        <v>1121</v>
      </c>
      <c r="U337" s="112" t="s">
        <v>1065</v>
      </c>
      <c r="V337" s="112" t="s">
        <v>1066</v>
      </c>
      <c r="W337" s="112" t="s">
        <v>1066</v>
      </c>
      <c r="X337" s="112" t="s">
        <v>1066</v>
      </c>
      <c r="Y337" s="112" t="s">
        <v>1066</v>
      </c>
      <c r="Z337" s="112" t="s">
        <v>1066</v>
      </c>
      <c r="AA337" s="112" t="s">
        <v>1067</v>
      </c>
      <c r="AB337" s="112" t="s">
        <v>1066</v>
      </c>
      <c r="AC337" s="112" t="s">
        <v>92</v>
      </c>
      <c r="AD337" s="112" t="s">
        <v>1066</v>
      </c>
      <c r="AE337" s="112" t="s">
        <v>1066</v>
      </c>
      <c r="AF337" s="112" t="s">
        <v>1066</v>
      </c>
      <c r="AG337" s="112" t="s">
        <v>1066</v>
      </c>
      <c r="AH337" s="112" t="s">
        <v>1066</v>
      </c>
      <c r="AI337" s="112" t="s">
        <v>785</v>
      </c>
      <c r="AJ337" s="112">
        <v>8846917</v>
      </c>
      <c r="AK337" s="112" t="s">
        <v>278</v>
      </c>
      <c r="AL337" s="112">
        <v>729961</v>
      </c>
      <c r="AM337" s="112" t="s">
        <v>1066</v>
      </c>
      <c r="AN337" s="112" t="s">
        <v>1066</v>
      </c>
    </row>
    <row r="338" spans="1:40" ht="55.5" customHeight="1" x14ac:dyDescent="0.25">
      <c r="A338" s="124" t="s">
        <v>2424</v>
      </c>
      <c r="B338" s="125">
        <v>2026</v>
      </c>
      <c r="C338" s="125" t="s">
        <v>1449</v>
      </c>
      <c r="D338" s="126">
        <v>46244.660034722219</v>
      </c>
      <c r="E338" s="125">
        <v>7925739016</v>
      </c>
      <c r="F338" s="125" t="s">
        <v>1654</v>
      </c>
      <c r="G338" s="125">
        <v>1</v>
      </c>
      <c r="H338" s="125">
        <v>7925739016</v>
      </c>
      <c r="I338" s="125" t="s">
        <v>2425</v>
      </c>
      <c r="J338" s="125" t="s">
        <v>1066</v>
      </c>
      <c r="K338" s="125" t="s">
        <v>1125</v>
      </c>
      <c r="L338" s="125" t="s">
        <v>1061</v>
      </c>
      <c r="M338" s="125" t="s">
        <v>510</v>
      </c>
      <c r="N338" s="126">
        <v>46644.660034722219</v>
      </c>
      <c r="O338" s="127">
        <v>19002260337</v>
      </c>
      <c r="P338" s="125">
        <v>3.5830000000000002</v>
      </c>
      <c r="Q338" s="125" t="s">
        <v>1062</v>
      </c>
      <c r="R338" s="125" t="s">
        <v>1063</v>
      </c>
      <c r="S338" s="125" t="s">
        <v>1066</v>
      </c>
      <c r="T338" s="125" t="s">
        <v>2426</v>
      </c>
      <c r="U338" s="125" t="s">
        <v>1559</v>
      </c>
      <c r="V338" s="125" t="s">
        <v>1066</v>
      </c>
      <c r="W338" s="125" t="s">
        <v>1066</v>
      </c>
      <c r="X338" s="125" t="s">
        <v>1066</v>
      </c>
      <c r="Y338" s="125" t="s">
        <v>1066</v>
      </c>
      <c r="Z338" s="125" t="s">
        <v>1066</v>
      </c>
      <c r="AA338" s="125" t="s">
        <v>1067</v>
      </c>
      <c r="AB338" s="125" t="s">
        <v>1066</v>
      </c>
      <c r="AC338" s="125" t="s">
        <v>92</v>
      </c>
      <c r="AD338" s="125" t="s">
        <v>1066</v>
      </c>
      <c r="AE338" s="125" t="s">
        <v>1066</v>
      </c>
      <c r="AF338" s="125" t="s">
        <v>1066</v>
      </c>
      <c r="AG338" s="125" t="s">
        <v>1066</v>
      </c>
      <c r="AH338" s="125" t="s">
        <v>1066</v>
      </c>
      <c r="AI338" s="125" t="s">
        <v>785</v>
      </c>
      <c r="AJ338" s="125">
        <v>9219514</v>
      </c>
      <c r="AK338" s="125" t="s">
        <v>537</v>
      </c>
      <c r="AL338" s="125">
        <v>818971</v>
      </c>
      <c r="AM338" s="125" t="s">
        <v>1066</v>
      </c>
      <c r="AN338" s="125" t="s">
        <v>1066</v>
      </c>
    </row>
    <row r="339" spans="1:40" ht="55.5" customHeight="1" x14ac:dyDescent="0.25">
      <c r="A339" s="111" t="s">
        <v>2427</v>
      </c>
      <c r="B339" s="112">
        <v>2026</v>
      </c>
      <c r="C339" s="112" t="s">
        <v>2428</v>
      </c>
      <c r="D339" s="113">
        <v>46026.653969907406</v>
      </c>
      <c r="E339" s="112">
        <v>9000655055</v>
      </c>
      <c r="F339" s="112" t="s">
        <v>2035</v>
      </c>
      <c r="G339" s="112">
        <v>3</v>
      </c>
      <c r="H339" s="112">
        <v>7900654055</v>
      </c>
      <c r="I339" s="112" t="s">
        <v>2429</v>
      </c>
      <c r="J339" s="112" t="s">
        <v>1071</v>
      </c>
      <c r="K339" s="112" t="s">
        <v>1261</v>
      </c>
      <c r="L339" s="112" t="s">
        <v>1073</v>
      </c>
      <c r="M339" s="112" t="s">
        <v>478</v>
      </c>
      <c r="N339" s="113">
        <v>46029.653969907406</v>
      </c>
      <c r="O339" s="114">
        <v>19000118331</v>
      </c>
      <c r="P339" s="112">
        <v>0</v>
      </c>
      <c r="Q339" s="112" t="s">
        <v>1131</v>
      </c>
      <c r="R339" s="112" t="s">
        <v>1075</v>
      </c>
      <c r="S339" s="113">
        <v>46029.461111111108</v>
      </c>
      <c r="T339" s="112" t="s">
        <v>2430</v>
      </c>
      <c r="U339" s="112" t="s">
        <v>1065</v>
      </c>
      <c r="V339" s="112" t="s">
        <v>1066</v>
      </c>
      <c r="W339" s="112" t="s">
        <v>1066</v>
      </c>
      <c r="X339" s="112" t="s">
        <v>1117</v>
      </c>
      <c r="Y339" s="112" t="s">
        <v>1066</v>
      </c>
      <c r="Z339" s="112" t="s">
        <v>1148</v>
      </c>
      <c r="AA339" s="112" t="s">
        <v>1067</v>
      </c>
      <c r="AB339" s="112" t="s">
        <v>1066</v>
      </c>
      <c r="AC339" s="112" t="s">
        <v>92</v>
      </c>
      <c r="AD339" s="112" t="s">
        <v>1142</v>
      </c>
      <c r="AE339" s="112" t="s">
        <v>1066</v>
      </c>
      <c r="AF339" s="112" t="s">
        <v>1066</v>
      </c>
      <c r="AG339" s="112" t="s">
        <v>1066</v>
      </c>
      <c r="AH339" s="112" t="s">
        <v>1066</v>
      </c>
      <c r="AI339" s="112" t="s">
        <v>785</v>
      </c>
      <c r="AJ339" s="112">
        <v>9025467</v>
      </c>
      <c r="AK339" s="112" t="s">
        <v>482</v>
      </c>
      <c r="AL339" s="112">
        <v>659555</v>
      </c>
      <c r="AM339" s="112" t="s">
        <v>1066</v>
      </c>
      <c r="AN339" s="112" t="s">
        <v>1066</v>
      </c>
    </row>
    <row r="340" spans="1:40" ht="55.5" customHeight="1" x14ac:dyDescent="0.25">
      <c r="A340" s="111" t="s">
        <v>2431</v>
      </c>
      <c r="B340" s="112">
        <v>2026</v>
      </c>
      <c r="C340" s="112" t="s">
        <v>1057</v>
      </c>
      <c r="D340" s="113">
        <v>46122.378541666665</v>
      </c>
      <c r="E340" s="112">
        <v>7900490025</v>
      </c>
      <c r="F340" s="112" t="s">
        <v>95</v>
      </c>
      <c r="G340" s="112">
        <v>1</v>
      </c>
      <c r="H340" s="112">
        <v>7900490025</v>
      </c>
      <c r="I340" s="112" t="s">
        <v>2432</v>
      </c>
      <c r="J340" s="112" t="s">
        <v>1059</v>
      </c>
      <c r="K340" s="112" t="s">
        <v>1060</v>
      </c>
      <c r="L340" s="112" t="s">
        <v>1061</v>
      </c>
      <c r="M340" s="112" t="s">
        <v>478</v>
      </c>
      <c r="N340" s="113">
        <v>46522.378541666665</v>
      </c>
      <c r="O340" s="114">
        <v>19002295953</v>
      </c>
      <c r="P340" s="112">
        <v>2.7989999999999999</v>
      </c>
      <c r="Q340" s="112" t="s">
        <v>1062</v>
      </c>
      <c r="R340" s="112" t="s">
        <v>1063</v>
      </c>
      <c r="S340" s="113">
        <v>46150.614583333336</v>
      </c>
      <c r="T340" s="112" t="s">
        <v>2433</v>
      </c>
      <c r="U340" s="112" t="s">
        <v>1065</v>
      </c>
      <c r="V340" s="112" t="s">
        <v>1066</v>
      </c>
      <c r="W340" s="112" t="s">
        <v>1066</v>
      </c>
      <c r="X340" s="112" t="s">
        <v>1066</v>
      </c>
      <c r="Y340" s="112" t="s">
        <v>1066</v>
      </c>
      <c r="Z340" s="112" t="s">
        <v>1066</v>
      </c>
      <c r="AA340" s="112" t="s">
        <v>1067</v>
      </c>
      <c r="AB340" s="112" t="s">
        <v>1066</v>
      </c>
      <c r="AC340" s="112" t="s">
        <v>92</v>
      </c>
      <c r="AD340" s="112" t="s">
        <v>1066</v>
      </c>
      <c r="AE340" s="112" t="s">
        <v>1066</v>
      </c>
      <c r="AF340" s="112" t="s">
        <v>1066</v>
      </c>
      <c r="AG340" s="112" t="s">
        <v>1066</v>
      </c>
      <c r="AH340" s="112" t="s">
        <v>1066</v>
      </c>
      <c r="AI340" s="112" t="s">
        <v>785</v>
      </c>
      <c r="AJ340" s="112">
        <v>9152921</v>
      </c>
      <c r="AK340" s="112" t="s">
        <v>93</v>
      </c>
      <c r="AL340" s="112">
        <v>714249</v>
      </c>
      <c r="AM340" s="112" t="s">
        <v>1066</v>
      </c>
      <c r="AN340" s="112" t="s">
        <v>1066</v>
      </c>
    </row>
    <row r="341" spans="1:40" ht="55.5" customHeight="1" x14ac:dyDescent="0.25">
      <c r="A341" s="111" t="s">
        <v>2434</v>
      </c>
      <c r="B341" s="112">
        <v>2026</v>
      </c>
      <c r="C341" s="112" t="s">
        <v>1213</v>
      </c>
      <c r="D341" s="113">
        <v>46122.549942129626</v>
      </c>
      <c r="E341" s="112">
        <v>7931906018</v>
      </c>
      <c r="F341" s="112" t="s">
        <v>1760</v>
      </c>
      <c r="G341" s="112">
        <v>3</v>
      </c>
      <c r="H341" s="112">
        <v>7931906018</v>
      </c>
      <c r="I341" s="112" t="s">
        <v>2435</v>
      </c>
      <c r="J341" s="112" t="s">
        <v>1066</v>
      </c>
      <c r="K341" s="112" t="s">
        <v>1125</v>
      </c>
      <c r="L341" s="112" t="s">
        <v>1061</v>
      </c>
      <c r="M341" s="112" t="s">
        <v>478</v>
      </c>
      <c r="N341" s="113">
        <v>46522.549942129626</v>
      </c>
      <c r="O341" s="114">
        <v>19002210871</v>
      </c>
      <c r="P341" s="112">
        <v>565</v>
      </c>
      <c r="Q341" s="112" t="s">
        <v>1062</v>
      </c>
      <c r="R341" s="112" t="s">
        <v>1063</v>
      </c>
      <c r="S341" s="113">
        <v>46160.729166666664</v>
      </c>
      <c r="T341" s="112" t="s">
        <v>2436</v>
      </c>
      <c r="U341" s="112" t="s">
        <v>1065</v>
      </c>
      <c r="V341" s="112" t="s">
        <v>1066</v>
      </c>
      <c r="W341" s="112" t="s">
        <v>1066</v>
      </c>
      <c r="X341" s="112" t="s">
        <v>1066</v>
      </c>
      <c r="Y341" s="112" t="s">
        <v>1066</v>
      </c>
      <c r="Z341" s="112" t="s">
        <v>1066</v>
      </c>
      <c r="AA341" s="112" t="s">
        <v>1067</v>
      </c>
      <c r="AB341" s="112" t="s">
        <v>1066</v>
      </c>
      <c r="AC341" s="112" t="s">
        <v>92</v>
      </c>
      <c r="AD341" s="112" t="s">
        <v>1066</v>
      </c>
      <c r="AE341" s="112" t="s">
        <v>1066</v>
      </c>
      <c r="AF341" s="112" t="s">
        <v>1066</v>
      </c>
      <c r="AG341" s="112" t="s">
        <v>1066</v>
      </c>
      <c r="AH341" s="112" t="s">
        <v>1066</v>
      </c>
      <c r="AI341" s="112" t="s">
        <v>785</v>
      </c>
      <c r="AJ341" s="112">
        <v>9007625</v>
      </c>
      <c r="AK341" s="112" t="s">
        <v>1766</v>
      </c>
      <c r="AL341" s="112">
        <v>811981</v>
      </c>
      <c r="AM341" s="112" t="s">
        <v>1066</v>
      </c>
      <c r="AN341" s="112" t="s">
        <v>1066</v>
      </c>
    </row>
    <row r="342" spans="1:40" ht="55.5" customHeight="1" x14ac:dyDescent="0.25">
      <c r="A342" s="111" t="s">
        <v>2437</v>
      </c>
      <c r="B342" s="112">
        <v>2026</v>
      </c>
      <c r="C342" s="112" t="s">
        <v>1057</v>
      </c>
      <c r="D342" s="113">
        <v>46125.614548611113</v>
      </c>
      <c r="E342" s="112">
        <v>7951634086</v>
      </c>
      <c r="F342" s="112" t="s">
        <v>682</v>
      </c>
      <c r="G342" s="112">
        <v>2</v>
      </c>
      <c r="H342" s="112">
        <v>7951634086</v>
      </c>
      <c r="I342" s="112" t="s">
        <v>2438</v>
      </c>
      <c r="J342" s="112" t="s">
        <v>1066</v>
      </c>
      <c r="K342" s="112" t="s">
        <v>1125</v>
      </c>
      <c r="L342" s="112" t="s">
        <v>1061</v>
      </c>
      <c r="M342" s="112" t="s">
        <v>478</v>
      </c>
      <c r="N342" s="113">
        <v>46525.614548611113</v>
      </c>
      <c r="O342" s="114">
        <v>19002703296</v>
      </c>
      <c r="P342" s="112">
        <v>0</v>
      </c>
      <c r="Q342" s="112" t="s">
        <v>1062</v>
      </c>
      <c r="R342" s="112" t="s">
        <v>1063</v>
      </c>
      <c r="S342" s="113">
        <v>46174.3125</v>
      </c>
      <c r="T342" s="112" t="s">
        <v>1307</v>
      </c>
      <c r="U342" s="112" t="s">
        <v>1065</v>
      </c>
      <c r="V342" s="112" t="s">
        <v>1066</v>
      </c>
      <c r="W342" s="112" t="s">
        <v>1066</v>
      </c>
      <c r="X342" s="112" t="s">
        <v>1066</v>
      </c>
      <c r="Y342" s="112" t="s">
        <v>1066</v>
      </c>
      <c r="Z342" s="112" t="s">
        <v>1066</v>
      </c>
      <c r="AA342" s="112" t="s">
        <v>1067</v>
      </c>
      <c r="AB342" s="112" t="s">
        <v>1066</v>
      </c>
      <c r="AC342" s="112" t="s">
        <v>92</v>
      </c>
      <c r="AD342" s="112" t="s">
        <v>1066</v>
      </c>
      <c r="AE342" s="112" t="s">
        <v>1066</v>
      </c>
      <c r="AF342" s="112" t="s">
        <v>1066</v>
      </c>
      <c r="AG342" s="112" t="s">
        <v>1066</v>
      </c>
      <c r="AH342" s="112" t="s">
        <v>1066</v>
      </c>
      <c r="AI342" s="112" t="s">
        <v>785</v>
      </c>
      <c r="AJ342" s="112">
        <v>8917353</v>
      </c>
      <c r="AK342" s="112" t="s">
        <v>1143</v>
      </c>
      <c r="AL342" s="112">
        <v>648097</v>
      </c>
      <c r="AM342" s="112" t="s">
        <v>1066</v>
      </c>
      <c r="AN342" s="112" t="s">
        <v>1066</v>
      </c>
    </row>
    <row r="343" spans="1:40" ht="55.5" customHeight="1" x14ac:dyDescent="0.25">
      <c r="A343" s="111" t="s">
        <v>2439</v>
      </c>
      <c r="B343" s="112">
        <v>2026</v>
      </c>
      <c r="C343" s="112" t="s">
        <v>2440</v>
      </c>
      <c r="D343" s="113">
        <v>46216.590312499997</v>
      </c>
      <c r="E343" s="112">
        <v>7908683122</v>
      </c>
      <c r="F343" s="112" t="s">
        <v>689</v>
      </c>
      <c r="G343" s="112">
        <v>1</v>
      </c>
      <c r="H343" s="112">
        <v>7908683122</v>
      </c>
      <c r="I343" s="112" t="s">
        <v>2441</v>
      </c>
      <c r="J343" s="112" t="s">
        <v>1059</v>
      </c>
      <c r="K343" s="112" t="s">
        <v>2442</v>
      </c>
      <c r="L343" s="112" t="s">
        <v>1061</v>
      </c>
      <c r="M343" s="112" t="s">
        <v>478</v>
      </c>
      <c r="N343" s="113">
        <v>46616.590312499997</v>
      </c>
      <c r="O343" s="114">
        <v>19002295943</v>
      </c>
      <c r="P343" s="112">
        <v>1.8129999999999999</v>
      </c>
      <c r="Q343" s="112" t="s">
        <v>1062</v>
      </c>
      <c r="R343" s="112" t="s">
        <v>1063</v>
      </c>
      <c r="S343" s="113">
        <v>46233.730879629627</v>
      </c>
      <c r="T343" s="112" t="s">
        <v>2443</v>
      </c>
      <c r="U343" s="112" t="s">
        <v>1065</v>
      </c>
      <c r="V343" s="112" t="s">
        <v>1066</v>
      </c>
      <c r="W343" s="112" t="s">
        <v>1066</v>
      </c>
      <c r="X343" s="112" t="s">
        <v>1066</v>
      </c>
      <c r="Y343" s="112" t="s">
        <v>1066</v>
      </c>
      <c r="Z343" s="112" t="s">
        <v>1066</v>
      </c>
      <c r="AA343" s="112" t="s">
        <v>1067</v>
      </c>
      <c r="AB343" s="112" t="s">
        <v>1066</v>
      </c>
      <c r="AC343" s="112" t="s">
        <v>92</v>
      </c>
      <c r="AD343" s="112" t="s">
        <v>1066</v>
      </c>
      <c r="AE343" s="112" t="s">
        <v>1066</v>
      </c>
      <c r="AF343" s="112" t="s">
        <v>1066</v>
      </c>
      <c r="AG343" s="112" t="s">
        <v>1066</v>
      </c>
      <c r="AH343" s="112" t="s">
        <v>1066</v>
      </c>
      <c r="AI343" s="112" t="s">
        <v>785</v>
      </c>
      <c r="AJ343" s="112">
        <v>8875809</v>
      </c>
      <c r="AK343" s="112" t="s">
        <v>264</v>
      </c>
      <c r="AL343" s="112">
        <v>795075</v>
      </c>
      <c r="AM343" s="112" t="s">
        <v>1066</v>
      </c>
      <c r="AN343" s="112" t="s">
        <v>1066</v>
      </c>
    </row>
    <row r="344" spans="1:40" ht="55.5" customHeight="1" x14ac:dyDescent="0.25">
      <c r="A344" s="120" t="s">
        <v>2444</v>
      </c>
      <c r="B344" s="121">
        <v>2026</v>
      </c>
      <c r="C344" s="121" t="s">
        <v>2445</v>
      </c>
      <c r="D344" s="122">
        <v>46186.694490740738</v>
      </c>
      <c r="E344" s="121">
        <v>9000796045</v>
      </c>
      <c r="F344" s="121" t="s">
        <v>2446</v>
      </c>
      <c r="G344" s="121">
        <v>2</v>
      </c>
      <c r="H344" s="121">
        <v>7929383045</v>
      </c>
      <c r="I344" s="121" t="s">
        <v>2447</v>
      </c>
      <c r="J344" s="121" t="s">
        <v>1071</v>
      </c>
      <c r="K344" s="121" t="s">
        <v>1171</v>
      </c>
      <c r="L344" s="121" t="s">
        <v>1073</v>
      </c>
      <c r="M344" s="121" t="s">
        <v>1116</v>
      </c>
      <c r="N344" s="122">
        <v>46189.694490740738</v>
      </c>
      <c r="O344" s="123">
        <v>19001269814</v>
      </c>
      <c r="P344" s="121">
        <v>301</v>
      </c>
      <c r="Q344" s="121" t="s">
        <v>1131</v>
      </c>
      <c r="R344" s="121" t="s">
        <v>1263</v>
      </c>
      <c r="S344" s="122">
        <v>46188.604768518519</v>
      </c>
      <c r="T344" s="121" t="s">
        <v>1066</v>
      </c>
      <c r="U344" s="121" t="s">
        <v>1066</v>
      </c>
      <c r="V344" s="121" t="s">
        <v>1066</v>
      </c>
      <c r="W344" s="121" t="s">
        <v>1066</v>
      </c>
      <c r="X344" s="121" t="s">
        <v>983</v>
      </c>
      <c r="Y344" s="121" t="s">
        <v>1066</v>
      </c>
      <c r="Z344" s="121" t="s">
        <v>1174</v>
      </c>
      <c r="AA344" s="121" t="s">
        <v>1067</v>
      </c>
      <c r="AB344" s="121" t="s">
        <v>1066</v>
      </c>
      <c r="AC344" s="121" t="s">
        <v>92</v>
      </c>
      <c r="AD344" s="121" t="s">
        <v>1142</v>
      </c>
      <c r="AE344" s="121" t="s">
        <v>1066</v>
      </c>
      <c r="AF344" s="121" t="s">
        <v>1066</v>
      </c>
      <c r="AG344" s="121" t="s">
        <v>1066</v>
      </c>
      <c r="AH344" s="121" t="s">
        <v>1066</v>
      </c>
      <c r="AI344" s="121" t="s">
        <v>785</v>
      </c>
      <c r="AJ344" s="121">
        <v>9389001</v>
      </c>
      <c r="AK344" s="121" t="s">
        <v>58</v>
      </c>
      <c r="AL344" s="121">
        <v>837928</v>
      </c>
      <c r="AM344" s="121" t="s">
        <v>1066</v>
      </c>
      <c r="AN344" s="121" t="s">
        <v>1066</v>
      </c>
    </row>
    <row r="345" spans="1:40" ht="55.5" customHeight="1" x14ac:dyDescent="0.25">
      <c r="A345" s="115" t="s">
        <v>2448</v>
      </c>
      <c r="B345" s="116">
        <v>2026</v>
      </c>
      <c r="C345" s="116" t="s">
        <v>2449</v>
      </c>
      <c r="D345" s="118">
        <v>45856.459201388891</v>
      </c>
      <c r="E345" s="116" t="s">
        <v>1066</v>
      </c>
      <c r="F345" s="116" t="s">
        <v>43</v>
      </c>
      <c r="G345" s="116" t="s">
        <v>1066</v>
      </c>
      <c r="H345" s="116">
        <v>5856070091</v>
      </c>
      <c r="I345" s="116" t="s">
        <v>2450</v>
      </c>
      <c r="J345" s="116" t="s">
        <v>1071</v>
      </c>
      <c r="K345" s="116" t="s">
        <v>1197</v>
      </c>
      <c r="L345" s="116" t="s">
        <v>1707</v>
      </c>
      <c r="M345" s="116" t="s">
        <v>588</v>
      </c>
      <c r="N345" s="118">
        <v>46390.719837962963</v>
      </c>
      <c r="O345" s="119">
        <v>19002761168</v>
      </c>
      <c r="P345" s="116">
        <v>0</v>
      </c>
      <c r="Q345" s="116" t="s">
        <v>1074</v>
      </c>
      <c r="R345" s="116" t="s">
        <v>1075</v>
      </c>
      <c r="S345" s="116" t="s">
        <v>1066</v>
      </c>
      <c r="T345" s="116" t="s">
        <v>1066</v>
      </c>
      <c r="U345" s="116" t="s">
        <v>1066</v>
      </c>
      <c r="V345" s="116" t="s">
        <v>1066</v>
      </c>
      <c r="W345" s="116" t="s">
        <v>1066</v>
      </c>
      <c r="X345" s="116" t="s">
        <v>1066</v>
      </c>
      <c r="Y345" s="116" t="s">
        <v>1066</v>
      </c>
      <c r="Z345" s="116" t="s">
        <v>1066</v>
      </c>
      <c r="AA345" s="116" t="s">
        <v>1067</v>
      </c>
      <c r="AB345" s="116" t="s">
        <v>1066</v>
      </c>
      <c r="AC345" s="116" t="s">
        <v>92</v>
      </c>
      <c r="AD345" s="116" t="s">
        <v>1066</v>
      </c>
      <c r="AE345" s="116" t="s">
        <v>1066</v>
      </c>
      <c r="AF345" s="116" t="s">
        <v>1066</v>
      </c>
      <c r="AG345" s="116" t="s">
        <v>1066</v>
      </c>
      <c r="AH345" s="116" t="s">
        <v>2451</v>
      </c>
      <c r="AI345" s="116" t="s">
        <v>785</v>
      </c>
      <c r="AJ345" s="116">
        <v>8717852</v>
      </c>
      <c r="AK345" s="116" t="s">
        <v>40</v>
      </c>
      <c r="AL345" s="116">
        <v>905857</v>
      </c>
      <c r="AM345" s="116" t="s">
        <v>1066</v>
      </c>
      <c r="AN345" s="116" t="s">
        <v>1066</v>
      </c>
    </row>
    <row r="346" spans="1:40" ht="55.5" customHeight="1" x14ac:dyDescent="0.25">
      <c r="A346" s="111" t="s">
        <v>2452</v>
      </c>
      <c r="B346" s="112">
        <v>2026</v>
      </c>
      <c r="C346" s="112" t="s">
        <v>1057</v>
      </c>
      <c r="D346" s="113">
        <v>46125.584386574075</v>
      </c>
      <c r="E346" s="112">
        <v>7915037243</v>
      </c>
      <c r="F346" s="112" t="s">
        <v>2453</v>
      </c>
      <c r="G346" s="112">
        <v>3</v>
      </c>
      <c r="H346" s="112">
        <v>7915037243</v>
      </c>
      <c r="I346" s="112" t="s">
        <v>2454</v>
      </c>
      <c r="J346" s="112" t="s">
        <v>1066</v>
      </c>
      <c r="K346" s="112" t="s">
        <v>1125</v>
      </c>
      <c r="L346" s="112" t="s">
        <v>1061</v>
      </c>
      <c r="M346" s="112" t="s">
        <v>478</v>
      </c>
      <c r="N346" s="113">
        <v>46525.584386574075</v>
      </c>
      <c r="O346" s="114">
        <v>19002720257</v>
      </c>
      <c r="P346" s="112">
        <v>66</v>
      </c>
      <c r="Q346" s="112" t="s">
        <v>1062</v>
      </c>
      <c r="R346" s="112" t="s">
        <v>1063</v>
      </c>
      <c r="S346" s="113">
        <v>46211.656527777777</v>
      </c>
      <c r="T346" s="112" t="s">
        <v>2455</v>
      </c>
      <c r="U346" s="112" t="s">
        <v>1065</v>
      </c>
      <c r="V346" s="112" t="s">
        <v>1066</v>
      </c>
      <c r="W346" s="112" t="s">
        <v>1066</v>
      </c>
      <c r="X346" s="112" t="s">
        <v>1066</v>
      </c>
      <c r="Y346" s="112" t="s">
        <v>1066</v>
      </c>
      <c r="Z346" s="112" t="s">
        <v>1066</v>
      </c>
      <c r="AA346" s="112" t="s">
        <v>1067</v>
      </c>
      <c r="AB346" s="112" t="s">
        <v>1066</v>
      </c>
      <c r="AC346" s="112" t="s">
        <v>92</v>
      </c>
      <c r="AD346" s="112" t="s">
        <v>1066</v>
      </c>
      <c r="AE346" s="112" t="s">
        <v>1066</v>
      </c>
      <c r="AF346" s="112" t="s">
        <v>1066</v>
      </c>
      <c r="AG346" s="112" t="s">
        <v>1066</v>
      </c>
      <c r="AH346" s="112" t="s">
        <v>1066</v>
      </c>
      <c r="AI346" s="112" t="s">
        <v>785</v>
      </c>
      <c r="AJ346" s="112">
        <v>8734374</v>
      </c>
      <c r="AK346" s="112" t="s">
        <v>210</v>
      </c>
      <c r="AL346" s="112">
        <v>757588</v>
      </c>
      <c r="AM346" s="112" t="s">
        <v>1066</v>
      </c>
      <c r="AN346" s="112" t="s">
        <v>1066</v>
      </c>
    </row>
    <row r="347" spans="1:40" ht="55.5" customHeight="1" x14ac:dyDescent="0.25">
      <c r="A347" s="111" t="s">
        <v>2456</v>
      </c>
      <c r="B347" s="112">
        <v>2026</v>
      </c>
      <c r="C347" s="112" t="s">
        <v>1057</v>
      </c>
      <c r="D347" s="113">
        <v>46125.584386574075</v>
      </c>
      <c r="E347" s="112">
        <v>7940259107</v>
      </c>
      <c r="F347" s="112" t="s">
        <v>1740</v>
      </c>
      <c r="G347" s="112">
        <v>3</v>
      </c>
      <c r="H347" s="112">
        <v>7940259107</v>
      </c>
      <c r="I347" s="112" t="s">
        <v>2457</v>
      </c>
      <c r="J347" s="112" t="s">
        <v>1066</v>
      </c>
      <c r="K347" s="112" t="s">
        <v>1125</v>
      </c>
      <c r="L347" s="112" t="s">
        <v>1061</v>
      </c>
      <c r="M347" s="112" t="s">
        <v>478</v>
      </c>
      <c r="N347" s="113">
        <v>46525.584386574075</v>
      </c>
      <c r="O347" s="114">
        <v>19002209015</v>
      </c>
      <c r="P347" s="112">
        <v>109</v>
      </c>
      <c r="Q347" s="112" t="s">
        <v>1062</v>
      </c>
      <c r="R347" s="112" t="s">
        <v>1063</v>
      </c>
      <c r="S347" s="113">
        <v>46162.584872685184</v>
      </c>
      <c r="T347" s="112" t="s">
        <v>2458</v>
      </c>
      <c r="U347" s="112" t="s">
        <v>1065</v>
      </c>
      <c r="V347" s="112" t="s">
        <v>1066</v>
      </c>
      <c r="W347" s="112" t="s">
        <v>1066</v>
      </c>
      <c r="X347" s="112" t="s">
        <v>1066</v>
      </c>
      <c r="Y347" s="112" t="s">
        <v>1066</v>
      </c>
      <c r="Z347" s="112" t="s">
        <v>1066</v>
      </c>
      <c r="AA347" s="112" t="s">
        <v>1067</v>
      </c>
      <c r="AB347" s="112" t="s">
        <v>1066</v>
      </c>
      <c r="AC347" s="112" t="s">
        <v>92</v>
      </c>
      <c r="AD347" s="112" t="s">
        <v>1066</v>
      </c>
      <c r="AE347" s="112" t="s">
        <v>1066</v>
      </c>
      <c r="AF347" s="112" t="s">
        <v>1066</v>
      </c>
      <c r="AG347" s="112" t="s">
        <v>1066</v>
      </c>
      <c r="AH347" s="112" t="s">
        <v>1066</v>
      </c>
      <c r="AI347" s="112" t="s">
        <v>785</v>
      </c>
      <c r="AJ347" s="112">
        <v>8618175</v>
      </c>
      <c r="AK347" s="112" t="s">
        <v>1787</v>
      </c>
      <c r="AL347" s="112">
        <v>620216</v>
      </c>
      <c r="AM347" s="112" t="s">
        <v>1066</v>
      </c>
      <c r="AN347" s="112" t="s">
        <v>1066</v>
      </c>
    </row>
    <row r="348" spans="1:40" ht="55.5" customHeight="1" x14ac:dyDescent="0.25">
      <c r="A348" s="111" t="s">
        <v>2459</v>
      </c>
      <c r="B348" s="112">
        <v>2026</v>
      </c>
      <c r="C348" s="112" t="s">
        <v>2460</v>
      </c>
      <c r="D348" s="113">
        <v>46051.989895833336</v>
      </c>
      <c r="E348" s="112">
        <v>7951455001</v>
      </c>
      <c r="F348" s="112" t="s">
        <v>2024</v>
      </c>
      <c r="G348" s="112">
        <v>3</v>
      </c>
      <c r="H348" s="112">
        <v>7951455001</v>
      </c>
      <c r="I348" s="112" t="s">
        <v>2461</v>
      </c>
      <c r="J348" s="112" t="s">
        <v>1071</v>
      </c>
      <c r="K348" s="112" t="s">
        <v>1619</v>
      </c>
      <c r="L348" s="112" t="s">
        <v>1073</v>
      </c>
      <c r="M348" s="112" t="s">
        <v>478</v>
      </c>
      <c r="N348" s="113">
        <v>46054.989895833336</v>
      </c>
      <c r="O348" s="114">
        <v>19002668192</v>
      </c>
      <c r="P348" s="112">
        <v>43</v>
      </c>
      <c r="Q348" s="112" t="s">
        <v>1062</v>
      </c>
      <c r="R348" s="112" t="s">
        <v>1075</v>
      </c>
      <c r="S348" s="113">
        <v>46108.731666666667</v>
      </c>
      <c r="T348" s="112" t="s">
        <v>2462</v>
      </c>
      <c r="U348" s="112" t="s">
        <v>1065</v>
      </c>
      <c r="V348" s="112" t="s">
        <v>1066</v>
      </c>
      <c r="W348" s="112" t="s">
        <v>1066</v>
      </c>
      <c r="X348" s="112" t="s">
        <v>983</v>
      </c>
      <c r="Y348" s="112" t="s">
        <v>1066</v>
      </c>
      <c r="Z348" s="112" t="s">
        <v>1652</v>
      </c>
      <c r="AA348" s="112" t="s">
        <v>1067</v>
      </c>
      <c r="AB348" s="112" t="s">
        <v>1066</v>
      </c>
      <c r="AC348" s="112" t="s">
        <v>92</v>
      </c>
      <c r="AD348" s="112" t="s">
        <v>1066</v>
      </c>
      <c r="AE348" s="112" t="s">
        <v>1066</v>
      </c>
      <c r="AF348" s="112" t="s">
        <v>1066</v>
      </c>
      <c r="AG348" s="112" t="s">
        <v>1066</v>
      </c>
      <c r="AH348" s="112" t="s">
        <v>1066</v>
      </c>
      <c r="AI348" s="112" t="s">
        <v>785</v>
      </c>
      <c r="AJ348" s="112">
        <v>8838456</v>
      </c>
      <c r="AK348" s="112" t="s">
        <v>50</v>
      </c>
      <c r="AL348" s="112">
        <v>776138</v>
      </c>
      <c r="AM348" s="112" t="s">
        <v>1066</v>
      </c>
      <c r="AN348" s="112" t="s">
        <v>1066</v>
      </c>
    </row>
    <row r="349" spans="1:40" ht="55.5" customHeight="1" x14ac:dyDescent="0.25">
      <c r="A349" s="115" t="s">
        <v>2463</v>
      </c>
      <c r="B349" s="116">
        <v>2026</v>
      </c>
      <c r="C349" s="116" t="s">
        <v>2464</v>
      </c>
      <c r="D349" s="118">
        <v>46097.905671296299</v>
      </c>
      <c r="E349" s="116">
        <v>8800330153</v>
      </c>
      <c r="F349" s="116" t="s">
        <v>2465</v>
      </c>
      <c r="G349" s="116">
        <v>3</v>
      </c>
      <c r="H349" s="116">
        <v>7957920111</v>
      </c>
      <c r="I349" s="116" t="s">
        <v>2466</v>
      </c>
      <c r="J349" s="116" t="s">
        <v>1071</v>
      </c>
      <c r="K349" s="116" t="s">
        <v>1958</v>
      </c>
      <c r="L349" s="116" t="s">
        <v>1073</v>
      </c>
      <c r="M349" s="116" t="s">
        <v>588</v>
      </c>
      <c r="N349" s="118">
        <v>46128.415358796294</v>
      </c>
      <c r="O349" s="119">
        <v>19002736363</v>
      </c>
      <c r="P349" s="116">
        <v>232</v>
      </c>
      <c r="Q349" s="116" t="s">
        <v>1131</v>
      </c>
      <c r="R349" s="116" t="s">
        <v>1075</v>
      </c>
      <c r="S349" s="116" t="s">
        <v>1066</v>
      </c>
      <c r="T349" s="116" t="s">
        <v>1066</v>
      </c>
      <c r="U349" s="116" t="s">
        <v>1066</v>
      </c>
      <c r="V349" s="116" t="s">
        <v>1066</v>
      </c>
      <c r="W349" s="116" t="s">
        <v>1066</v>
      </c>
      <c r="X349" s="116" t="s">
        <v>1117</v>
      </c>
      <c r="Y349" s="116" t="s">
        <v>1066</v>
      </c>
      <c r="Z349" s="116" t="s">
        <v>1148</v>
      </c>
      <c r="AA349" s="116" t="s">
        <v>1067</v>
      </c>
      <c r="AB349" s="116" t="s">
        <v>1066</v>
      </c>
      <c r="AC349" s="116" t="s">
        <v>92</v>
      </c>
      <c r="AD349" s="116" t="s">
        <v>1066</v>
      </c>
      <c r="AE349" s="116" t="s">
        <v>1066</v>
      </c>
      <c r="AF349" s="116" t="s">
        <v>1066</v>
      </c>
      <c r="AG349" s="116" t="s">
        <v>1066</v>
      </c>
      <c r="AH349" s="116" t="s">
        <v>1066</v>
      </c>
      <c r="AI349" s="116" t="s">
        <v>785</v>
      </c>
      <c r="AJ349" s="116">
        <v>9091910</v>
      </c>
      <c r="AK349" s="116" t="s">
        <v>2467</v>
      </c>
      <c r="AL349" s="116">
        <v>729092</v>
      </c>
      <c r="AM349" s="116" t="s">
        <v>1066</v>
      </c>
      <c r="AN349" s="116" t="s">
        <v>1066</v>
      </c>
    </row>
    <row r="350" spans="1:40" ht="55.5" customHeight="1" x14ac:dyDescent="0.25">
      <c r="A350" s="120" t="s">
        <v>2468</v>
      </c>
      <c r="B350" s="121">
        <v>2026</v>
      </c>
      <c r="C350" s="121" t="s">
        <v>2469</v>
      </c>
      <c r="D350" s="122">
        <v>46134.39875</v>
      </c>
      <c r="E350" s="121">
        <v>7921202014</v>
      </c>
      <c r="F350" s="121" t="s">
        <v>314</v>
      </c>
      <c r="G350" s="121">
        <v>3</v>
      </c>
      <c r="H350" s="121">
        <v>7921202014</v>
      </c>
      <c r="I350" s="121" t="s">
        <v>2470</v>
      </c>
      <c r="J350" s="121" t="s">
        <v>1071</v>
      </c>
      <c r="K350" s="121" t="s">
        <v>1379</v>
      </c>
      <c r="L350" s="121" t="s">
        <v>1073</v>
      </c>
      <c r="M350" s="121" t="s">
        <v>1116</v>
      </c>
      <c r="N350" s="122">
        <v>46137.39875</v>
      </c>
      <c r="O350" s="123">
        <v>19002676474</v>
      </c>
      <c r="P350" s="121">
        <v>548</v>
      </c>
      <c r="Q350" s="121" t="s">
        <v>1062</v>
      </c>
      <c r="R350" s="121" t="s">
        <v>1075</v>
      </c>
      <c r="S350" s="122">
        <v>46140.618645833332</v>
      </c>
      <c r="T350" s="121" t="s">
        <v>1066</v>
      </c>
      <c r="U350" s="121" t="s">
        <v>1066</v>
      </c>
      <c r="V350" s="121" t="s">
        <v>1066</v>
      </c>
      <c r="W350" s="121" t="s">
        <v>1066</v>
      </c>
      <c r="X350" s="121" t="s">
        <v>1066</v>
      </c>
      <c r="Y350" s="121" t="s">
        <v>1066</v>
      </c>
      <c r="Z350" s="121" t="s">
        <v>1066</v>
      </c>
      <c r="AA350" s="121" t="s">
        <v>1067</v>
      </c>
      <c r="AB350" s="121" t="s">
        <v>1066</v>
      </c>
      <c r="AC350" s="121" t="s">
        <v>92</v>
      </c>
      <c r="AD350" s="121" t="s">
        <v>1066</v>
      </c>
      <c r="AE350" s="121" t="s">
        <v>1066</v>
      </c>
      <c r="AF350" s="121" t="s">
        <v>1066</v>
      </c>
      <c r="AG350" s="121" t="s">
        <v>1066</v>
      </c>
      <c r="AH350" s="121" t="s">
        <v>1066</v>
      </c>
      <c r="AI350" s="121" t="s">
        <v>785</v>
      </c>
      <c r="AJ350" s="121">
        <v>8845554</v>
      </c>
      <c r="AK350" s="121" t="s">
        <v>164</v>
      </c>
      <c r="AL350" s="121">
        <v>668309</v>
      </c>
      <c r="AM350" s="121" t="s">
        <v>1066</v>
      </c>
      <c r="AN350" s="121" t="s">
        <v>1066</v>
      </c>
    </row>
    <row r="351" spans="1:40" ht="55.5" customHeight="1" x14ac:dyDescent="0.25">
      <c r="A351" s="111" t="s">
        <v>2471</v>
      </c>
      <c r="B351" s="112">
        <v>2026</v>
      </c>
      <c r="C351" s="112" t="s">
        <v>2472</v>
      </c>
      <c r="D351" s="113">
        <v>46049.552453703705</v>
      </c>
      <c r="E351" s="112">
        <v>9001239075</v>
      </c>
      <c r="F351" s="112" t="s">
        <v>1415</v>
      </c>
      <c r="G351" s="112">
        <v>3</v>
      </c>
      <c r="H351" s="112">
        <v>7930429075</v>
      </c>
      <c r="I351" s="112" t="s">
        <v>2473</v>
      </c>
      <c r="J351" s="112" t="s">
        <v>1157</v>
      </c>
      <c r="K351" s="112" t="s">
        <v>1417</v>
      </c>
      <c r="L351" s="112" t="s">
        <v>1084</v>
      </c>
      <c r="M351" s="112" t="s">
        <v>478</v>
      </c>
      <c r="N351" s="113">
        <v>46109.552453703705</v>
      </c>
      <c r="O351" s="114">
        <v>19001265711</v>
      </c>
      <c r="P351" s="112">
        <v>3.0030000000000001</v>
      </c>
      <c r="Q351" s="112" t="s">
        <v>1131</v>
      </c>
      <c r="R351" s="112" t="s">
        <v>1085</v>
      </c>
      <c r="S351" s="113">
        <v>46119.652083333334</v>
      </c>
      <c r="T351" s="112" t="s">
        <v>2474</v>
      </c>
      <c r="U351" s="112" t="s">
        <v>1065</v>
      </c>
      <c r="V351" s="112" t="s">
        <v>1066</v>
      </c>
      <c r="W351" s="112" t="s">
        <v>1066</v>
      </c>
      <c r="X351" s="112" t="s">
        <v>983</v>
      </c>
      <c r="Y351" s="112" t="s">
        <v>1066</v>
      </c>
      <c r="Z351" s="112" t="s">
        <v>1133</v>
      </c>
      <c r="AA351" s="112" t="s">
        <v>1067</v>
      </c>
      <c r="AB351" s="112" t="s">
        <v>1066</v>
      </c>
      <c r="AC351" s="112" t="s">
        <v>92</v>
      </c>
      <c r="AD351" s="112" t="s">
        <v>1142</v>
      </c>
      <c r="AE351" s="112" t="s">
        <v>1066</v>
      </c>
      <c r="AF351" s="112" t="s">
        <v>1066</v>
      </c>
      <c r="AG351" s="112" t="s">
        <v>1066</v>
      </c>
      <c r="AH351" s="112" t="s">
        <v>1066</v>
      </c>
      <c r="AI351" s="112" t="s">
        <v>785</v>
      </c>
      <c r="AJ351" s="112">
        <v>8977199</v>
      </c>
      <c r="AK351" s="112" t="s">
        <v>590</v>
      </c>
      <c r="AL351" s="112">
        <v>740381</v>
      </c>
      <c r="AM351" s="112" t="s">
        <v>1066</v>
      </c>
      <c r="AN351" s="112" t="s">
        <v>1066</v>
      </c>
    </row>
    <row r="352" spans="1:40" ht="55.5" customHeight="1" x14ac:dyDescent="0.25">
      <c r="A352" s="120" t="s">
        <v>2475</v>
      </c>
      <c r="B352" s="121">
        <v>2026</v>
      </c>
      <c r="C352" s="121" t="s">
        <v>1210</v>
      </c>
      <c r="D352" s="122">
        <v>46114.608900462961</v>
      </c>
      <c r="E352" s="121">
        <v>7953610256</v>
      </c>
      <c r="F352" s="121" t="s">
        <v>136</v>
      </c>
      <c r="G352" s="121">
        <v>3</v>
      </c>
      <c r="H352" s="121">
        <v>7953610256</v>
      </c>
      <c r="I352" s="121" t="s">
        <v>2476</v>
      </c>
      <c r="J352" s="121" t="s">
        <v>1066</v>
      </c>
      <c r="K352" s="121" t="s">
        <v>1125</v>
      </c>
      <c r="L352" s="121" t="s">
        <v>1061</v>
      </c>
      <c r="M352" s="121" t="s">
        <v>1116</v>
      </c>
      <c r="N352" s="122">
        <v>46514.608900462961</v>
      </c>
      <c r="O352" s="123">
        <v>19002706608</v>
      </c>
      <c r="P352" s="121">
        <v>0</v>
      </c>
      <c r="Q352" s="121" t="s">
        <v>1062</v>
      </c>
      <c r="R352" s="121" t="s">
        <v>1063</v>
      </c>
      <c r="S352" s="122">
        <v>46226.476620370369</v>
      </c>
      <c r="T352" s="121" t="s">
        <v>1066</v>
      </c>
      <c r="U352" s="121" t="s">
        <v>1066</v>
      </c>
      <c r="V352" s="121" t="s">
        <v>1066</v>
      </c>
      <c r="W352" s="121" t="s">
        <v>1066</v>
      </c>
      <c r="X352" s="121" t="s">
        <v>1066</v>
      </c>
      <c r="Y352" s="121" t="s">
        <v>1066</v>
      </c>
      <c r="Z352" s="121" t="s">
        <v>1066</v>
      </c>
      <c r="AA352" s="121" t="s">
        <v>1067</v>
      </c>
      <c r="AB352" s="121" t="s">
        <v>1066</v>
      </c>
      <c r="AC352" s="121" t="s">
        <v>92</v>
      </c>
      <c r="AD352" s="121" t="s">
        <v>1066</v>
      </c>
      <c r="AE352" s="121" t="s">
        <v>1066</v>
      </c>
      <c r="AF352" s="121" t="s">
        <v>1066</v>
      </c>
      <c r="AG352" s="121" t="s">
        <v>1066</v>
      </c>
      <c r="AH352" s="121" t="s">
        <v>1066</v>
      </c>
      <c r="AI352" s="121" t="s">
        <v>785</v>
      </c>
      <c r="AJ352" s="121">
        <v>8855553</v>
      </c>
      <c r="AK352" s="121" t="s">
        <v>134</v>
      </c>
      <c r="AL352" s="121">
        <v>1068871</v>
      </c>
      <c r="AM352" s="121" t="s">
        <v>1066</v>
      </c>
      <c r="AN352" s="121" t="s">
        <v>1066</v>
      </c>
    </row>
    <row r="353" spans="1:40" ht="55.5" customHeight="1" x14ac:dyDescent="0.25">
      <c r="A353" s="111" t="s">
        <v>2477</v>
      </c>
      <c r="B353" s="112">
        <v>2026</v>
      </c>
      <c r="C353" s="112" t="s">
        <v>1057</v>
      </c>
      <c r="D353" s="113">
        <v>46125.584386574075</v>
      </c>
      <c r="E353" s="112">
        <v>7943907052</v>
      </c>
      <c r="F353" s="112" t="s">
        <v>2346</v>
      </c>
      <c r="G353" s="112">
        <v>3</v>
      </c>
      <c r="H353" s="112">
        <v>7943907052</v>
      </c>
      <c r="I353" s="112" t="s">
        <v>2478</v>
      </c>
      <c r="J353" s="112" t="s">
        <v>1066</v>
      </c>
      <c r="K353" s="112" t="s">
        <v>1125</v>
      </c>
      <c r="L353" s="112" t="s">
        <v>1061</v>
      </c>
      <c r="M353" s="112" t="s">
        <v>478</v>
      </c>
      <c r="N353" s="113">
        <v>46525.584386574075</v>
      </c>
      <c r="O353" s="114">
        <v>19002260772</v>
      </c>
      <c r="P353" s="112">
        <v>63</v>
      </c>
      <c r="Q353" s="112" t="s">
        <v>1062</v>
      </c>
      <c r="R353" s="112" t="s">
        <v>1063</v>
      </c>
      <c r="S353" s="113">
        <v>46146.484027777777</v>
      </c>
      <c r="T353" s="112" t="s">
        <v>2479</v>
      </c>
      <c r="U353" s="112" t="s">
        <v>1065</v>
      </c>
      <c r="V353" s="112" t="s">
        <v>1066</v>
      </c>
      <c r="W353" s="112" t="s">
        <v>1066</v>
      </c>
      <c r="X353" s="112" t="s">
        <v>1066</v>
      </c>
      <c r="Y353" s="112" t="s">
        <v>1066</v>
      </c>
      <c r="Z353" s="112" t="s">
        <v>1066</v>
      </c>
      <c r="AA353" s="112" t="s">
        <v>1067</v>
      </c>
      <c r="AB353" s="112" t="s">
        <v>1066</v>
      </c>
      <c r="AC353" s="112" t="s">
        <v>92</v>
      </c>
      <c r="AD353" s="112" t="s">
        <v>1066</v>
      </c>
      <c r="AE353" s="112" t="s">
        <v>1066</v>
      </c>
      <c r="AF353" s="112" t="s">
        <v>1066</v>
      </c>
      <c r="AG353" s="112" t="s">
        <v>1066</v>
      </c>
      <c r="AH353" s="112" t="s">
        <v>1066</v>
      </c>
      <c r="AI353" s="112" t="s">
        <v>785</v>
      </c>
      <c r="AJ353" s="112">
        <v>8681502</v>
      </c>
      <c r="AK353" s="112" t="s">
        <v>112</v>
      </c>
      <c r="AL353" s="112">
        <v>682457</v>
      </c>
      <c r="AM353" s="112" t="s">
        <v>1066</v>
      </c>
      <c r="AN353" s="112" t="s">
        <v>1066</v>
      </c>
    </row>
    <row r="354" spans="1:40" ht="55.5" customHeight="1" x14ac:dyDescent="0.25">
      <c r="A354" s="111" t="s">
        <v>2480</v>
      </c>
      <c r="B354" s="112">
        <v>2026</v>
      </c>
      <c r="C354" s="112" t="s">
        <v>1057</v>
      </c>
      <c r="D354" s="113">
        <v>46125.584386574075</v>
      </c>
      <c r="E354" s="112">
        <v>7927711107</v>
      </c>
      <c r="F354" s="112" t="s">
        <v>1740</v>
      </c>
      <c r="G354" s="112">
        <v>1</v>
      </c>
      <c r="H354" s="112">
        <v>7927711107</v>
      </c>
      <c r="I354" s="112" t="s">
        <v>2278</v>
      </c>
      <c r="J354" s="112" t="s">
        <v>1066</v>
      </c>
      <c r="K354" s="112" t="s">
        <v>1125</v>
      </c>
      <c r="L354" s="112" t="s">
        <v>1061</v>
      </c>
      <c r="M354" s="112" t="s">
        <v>478</v>
      </c>
      <c r="N354" s="113">
        <v>46525.584386574075</v>
      </c>
      <c r="O354" s="114">
        <v>19002203807</v>
      </c>
      <c r="P354" s="112">
        <v>0</v>
      </c>
      <c r="Q354" s="112" t="s">
        <v>1062</v>
      </c>
      <c r="R354" s="112" t="s">
        <v>1063</v>
      </c>
      <c r="S354" s="113">
        <v>46149.477662037039</v>
      </c>
      <c r="T354" s="112" t="s">
        <v>2481</v>
      </c>
      <c r="U354" s="112" t="s">
        <v>1065</v>
      </c>
      <c r="V354" s="112" t="s">
        <v>1066</v>
      </c>
      <c r="W354" s="112" t="s">
        <v>1066</v>
      </c>
      <c r="X354" s="112" t="s">
        <v>1066</v>
      </c>
      <c r="Y354" s="112" t="s">
        <v>1066</v>
      </c>
      <c r="Z354" s="112" t="s">
        <v>1066</v>
      </c>
      <c r="AA354" s="112" t="s">
        <v>1067</v>
      </c>
      <c r="AB354" s="112" t="s">
        <v>1066</v>
      </c>
      <c r="AC354" s="112" t="s">
        <v>92</v>
      </c>
      <c r="AD354" s="112" t="s">
        <v>1066</v>
      </c>
      <c r="AE354" s="112" t="s">
        <v>1066</v>
      </c>
      <c r="AF354" s="112" t="s">
        <v>1066</v>
      </c>
      <c r="AG354" s="112" t="s">
        <v>1066</v>
      </c>
      <c r="AH354" s="112" t="s">
        <v>1066</v>
      </c>
      <c r="AI354" s="112" t="s">
        <v>785</v>
      </c>
      <c r="AJ354" s="112">
        <v>8627782</v>
      </c>
      <c r="AK354" s="112" t="s">
        <v>1787</v>
      </c>
      <c r="AL354" s="112">
        <v>624068</v>
      </c>
      <c r="AM354" s="112" t="s">
        <v>1066</v>
      </c>
      <c r="AN354" s="112" t="s">
        <v>1066</v>
      </c>
    </row>
    <row r="355" spans="1:40" ht="55.5" customHeight="1" x14ac:dyDescent="0.25">
      <c r="A355" s="115" t="s">
        <v>2482</v>
      </c>
      <c r="B355" s="116">
        <v>2026</v>
      </c>
      <c r="C355" s="116" t="s">
        <v>2483</v>
      </c>
      <c r="D355" s="118">
        <v>46045.39230324074</v>
      </c>
      <c r="E355" s="116">
        <v>6800580127</v>
      </c>
      <c r="F355" s="116" t="s">
        <v>260</v>
      </c>
      <c r="G355" s="116">
        <v>3</v>
      </c>
      <c r="H355" s="116">
        <v>7967181127</v>
      </c>
      <c r="I355" s="116" t="s">
        <v>2484</v>
      </c>
      <c r="J355" s="116" t="s">
        <v>1231</v>
      </c>
      <c r="K355" s="116" t="s">
        <v>1232</v>
      </c>
      <c r="L355" s="116" t="s">
        <v>1084</v>
      </c>
      <c r="M355" s="116" t="s">
        <v>588</v>
      </c>
      <c r="N355" s="118">
        <v>46188.59337962963</v>
      </c>
      <c r="O355" s="119">
        <v>19002819805</v>
      </c>
      <c r="P355" s="116">
        <v>31</v>
      </c>
      <c r="Q355" s="116" t="s">
        <v>1131</v>
      </c>
      <c r="R355" s="116" t="s">
        <v>1206</v>
      </c>
      <c r="S355" s="116" t="s">
        <v>1066</v>
      </c>
      <c r="T355" s="116" t="s">
        <v>1066</v>
      </c>
      <c r="U355" s="116" t="s">
        <v>1066</v>
      </c>
      <c r="V355" s="116" t="s">
        <v>1066</v>
      </c>
      <c r="W355" s="116" t="s">
        <v>1066</v>
      </c>
      <c r="X355" s="116" t="s">
        <v>983</v>
      </c>
      <c r="Y355" s="116" t="s">
        <v>1066</v>
      </c>
      <c r="Z355" s="116" t="s">
        <v>1066</v>
      </c>
      <c r="AA355" s="116" t="s">
        <v>1067</v>
      </c>
      <c r="AB355" s="116" t="s">
        <v>1066</v>
      </c>
      <c r="AC355" s="116" t="s">
        <v>92</v>
      </c>
      <c r="AD355" s="116" t="s">
        <v>1066</v>
      </c>
      <c r="AE355" s="116" t="s">
        <v>1066</v>
      </c>
      <c r="AF355" s="116" t="s">
        <v>1066</v>
      </c>
      <c r="AG355" s="116" t="s">
        <v>1066</v>
      </c>
      <c r="AH355" s="116" t="s">
        <v>2485</v>
      </c>
      <c r="AI355" s="116" t="s">
        <v>785</v>
      </c>
      <c r="AJ355" s="116">
        <v>9275509</v>
      </c>
      <c r="AK355" s="116" t="s">
        <v>258</v>
      </c>
      <c r="AL355" s="116">
        <v>874475</v>
      </c>
      <c r="AM355" s="116" t="s">
        <v>1066</v>
      </c>
      <c r="AN355" s="116" t="s">
        <v>1066</v>
      </c>
    </row>
    <row r="356" spans="1:40" ht="55.5" customHeight="1" x14ac:dyDescent="0.25">
      <c r="A356" s="111" t="s">
        <v>2486</v>
      </c>
      <c r="B356" s="112">
        <v>2026</v>
      </c>
      <c r="C356" s="112" t="s">
        <v>1449</v>
      </c>
      <c r="D356" s="113">
        <v>46244.61346064815</v>
      </c>
      <c r="E356" s="112">
        <v>7955666036</v>
      </c>
      <c r="F356" s="112" t="s">
        <v>1679</v>
      </c>
      <c r="G356" s="112">
        <v>1</v>
      </c>
      <c r="H356" s="112">
        <v>7955666036</v>
      </c>
      <c r="I356" s="112" t="s">
        <v>1680</v>
      </c>
      <c r="J356" s="112" t="s">
        <v>1092</v>
      </c>
      <c r="K356" s="112" t="s">
        <v>1179</v>
      </c>
      <c r="L356" s="112" t="s">
        <v>1061</v>
      </c>
      <c r="M356" s="112" t="s">
        <v>478</v>
      </c>
      <c r="N356" s="113">
        <v>46644.61346064815</v>
      </c>
      <c r="O356" s="114">
        <v>19002744653</v>
      </c>
      <c r="P356" s="112">
        <v>475</v>
      </c>
      <c r="Q356" s="112" t="s">
        <v>1062</v>
      </c>
      <c r="R356" s="112" t="s">
        <v>1063</v>
      </c>
      <c r="S356" s="113">
        <v>46246.731585648151</v>
      </c>
      <c r="T356" s="112" t="s">
        <v>2487</v>
      </c>
      <c r="U356" s="112" t="s">
        <v>1065</v>
      </c>
      <c r="V356" s="112" t="s">
        <v>1066</v>
      </c>
      <c r="W356" s="112" t="s">
        <v>1066</v>
      </c>
      <c r="X356" s="112" t="s">
        <v>1066</v>
      </c>
      <c r="Y356" s="112" t="s">
        <v>1066</v>
      </c>
      <c r="Z356" s="112" t="s">
        <v>1066</v>
      </c>
      <c r="AA356" s="112" t="s">
        <v>1067</v>
      </c>
      <c r="AB356" s="112" t="s">
        <v>1066</v>
      </c>
      <c r="AC356" s="112" t="s">
        <v>92</v>
      </c>
      <c r="AD356" s="112" t="s">
        <v>1066</v>
      </c>
      <c r="AE356" s="112" t="s">
        <v>1066</v>
      </c>
      <c r="AF356" s="112" t="s">
        <v>1066</v>
      </c>
      <c r="AG356" s="112" t="s">
        <v>1066</v>
      </c>
      <c r="AH356" s="112" t="s">
        <v>1066</v>
      </c>
      <c r="AI356" s="112" t="s">
        <v>785</v>
      </c>
      <c r="AJ356" s="112">
        <v>8617391</v>
      </c>
      <c r="AK356" s="112" t="s">
        <v>470</v>
      </c>
      <c r="AL356" s="112">
        <v>704763</v>
      </c>
      <c r="AM356" s="112" t="s">
        <v>1066</v>
      </c>
      <c r="AN356" s="112" t="s">
        <v>1066</v>
      </c>
    </row>
    <row r="357" spans="1:40" ht="55.5" customHeight="1" x14ac:dyDescent="0.25">
      <c r="A357" s="111" t="s">
        <v>2488</v>
      </c>
      <c r="B357" s="112">
        <v>2026</v>
      </c>
      <c r="C357" s="112" t="s">
        <v>1057</v>
      </c>
      <c r="D357" s="113">
        <v>46125.614548611113</v>
      </c>
      <c r="E357" s="112">
        <v>7931629122</v>
      </c>
      <c r="F357" s="112" t="s">
        <v>2489</v>
      </c>
      <c r="G357" s="112">
        <v>2</v>
      </c>
      <c r="H357" s="112">
        <v>7931629122</v>
      </c>
      <c r="I357" s="112" t="s">
        <v>2490</v>
      </c>
      <c r="J357" s="112" t="s">
        <v>1066</v>
      </c>
      <c r="K357" s="112" t="s">
        <v>1125</v>
      </c>
      <c r="L357" s="112" t="s">
        <v>1061</v>
      </c>
      <c r="M357" s="112" t="s">
        <v>478</v>
      </c>
      <c r="N357" s="113">
        <v>46525.614548611113</v>
      </c>
      <c r="O357" s="114">
        <v>19002210672</v>
      </c>
      <c r="P357" s="112">
        <v>0</v>
      </c>
      <c r="Q357" s="112" t="s">
        <v>1062</v>
      </c>
      <c r="R357" s="112" t="s">
        <v>1063</v>
      </c>
      <c r="S357" s="113">
        <v>46174.3125</v>
      </c>
      <c r="T357" s="112" t="s">
        <v>1307</v>
      </c>
      <c r="U357" s="112" t="s">
        <v>1065</v>
      </c>
      <c r="V357" s="112" t="s">
        <v>1066</v>
      </c>
      <c r="W357" s="112" t="s">
        <v>1066</v>
      </c>
      <c r="X357" s="112" t="s">
        <v>1066</v>
      </c>
      <c r="Y357" s="112" t="s">
        <v>1066</v>
      </c>
      <c r="Z357" s="112" t="s">
        <v>1066</v>
      </c>
      <c r="AA357" s="112" t="s">
        <v>1067</v>
      </c>
      <c r="AB357" s="112" t="s">
        <v>1066</v>
      </c>
      <c r="AC357" s="112" t="s">
        <v>92</v>
      </c>
      <c r="AD357" s="112" t="s">
        <v>1066</v>
      </c>
      <c r="AE357" s="112" t="s">
        <v>1066</v>
      </c>
      <c r="AF357" s="112" t="s">
        <v>1066</v>
      </c>
      <c r="AG357" s="112" t="s">
        <v>1066</v>
      </c>
      <c r="AH357" s="112" t="s">
        <v>1066</v>
      </c>
      <c r="AI357" s="112" t="s">
        <v>785</v>
      </c>
      <c r="AJ357" s="112">
        <v>8874770</v>
      </c>
      <c r="AK357" s="112" t="s">
        <v>264</v>
      </c>
      <c r="AL357" s="112">
        <v>793898</v>
      </c>
      <c r="AM357" s="112" t="s">
        <v>1066</v>
      </c>
      <c r="AN357" s="112" t="s">
        <v>1066</v>
      </c>
    </row>
    <row r="358" spans="1:40" ht="55.5" customHeight="1" x14ac:dyDescent="0.25">
      <c r="A358" s="111" t="s">
        <v>2491</v>
      </c>
      <c r="B358" s="112">
        <v>2026</v>
      </c>
      <c r="C358" s="112" t="s">
        <v>2492</v>
      </c>
      <c r="D358" s="113">
        <v>46069.230428240742</v>
      </c>
      <c r="E358" s="112">
        <v>9004519004</v>
      </c>
      <c r="F358" s="112" t="s">
        <v>284</v>
      </c>
      <c r="G358" s="112">
        <v>3</v>
      </c>
      <c r="H358" s="112">
        <v>7942300004</v>
      </c>
      <c r="I358" s="112" t="s">
        <v>2493</v>
      </c>
      <c r="J358" s="112" t="s">
        <v>1071</v>
      </c>
      <c r="K358" s="112" t="s">
        <v>1296</v>
      </c>
      <c r="L358" s="112" t="s">
        <v>1073</v>
      </c>
      <c r="M358" s="112" t="s">
        <v>478</v>
      </c>
      <c r="N358" s="113">
        <v>46072.230428240742</v>
      </c>
      <c r="O358" s="114">
        <v>19001355578</v>
      </c>
      <c r="P358" s="112">
        <v>213</v>
      </c>
      <c r="Q358" s="112" t="s">
        <v>1131</v>
      </c>
      <c r="R358" s="112" t="s">
        <v>1297</v>
      </c>
      <c r="S358" s="113">
        <v>46090.393055555556</v>
      </c>
      <c r="T358" s="112" t="s">
        <v>2494</v>
      </c>
      <c r="U358" s="112" t="s">
        <v>1065</v>
      </c>
      <c r="V358" s="112" t="s">
        <v>1066</v>
      </c>
      <c r="W358" s="112" t="s">
        <v>1066</v>
      </c>
      <c r="X358" s="112" t="s">
        <v>983</v>
      </c>
      <c r="Y358" s="112" t="s">
        <v>1066</v>
      </c>
      <c r="Z358" s="112" t="s">
        <v>1148</v>
      </c>
      <c r="AA358" s="112" t="s">
        <v>1067</v>
      </c>
      <c r="AB358" s="112" t="s">
        <v>1066</v>
      </c>
      <c r="AC358" s="112" t="s">
        <v>92</v>
      </c>
      <c r="AD358" s="112" t="s">
        <v>1142</v>
      </c>
      <c r="AE358" s="112" t="s">
        <v>1066</v>
      </c>
      <c r="AF358" s="112" t="s">
        <v>1066</v>
      </c>
      <c r="AG358" s="112" t="s">
        <v>1066</v>
      </c>
      <c r="AH358" s="112" t="s">
        <v>1066</v>
      </c>
      <c r="AI358" s="112" t="s">
        <v>785</v>
      </c>
      <c r="AJ358" s="112">
        <v>9181496</v>
      </c>
      <c r="AK358" s="112" t="s">
        <v>69</v>
      </c>
      <c r="AL358" s="112">
        <v>755906</v>
      </c>
      <c r="AM358" s="112" t="s">
        <v>1066</v>
      </c>
      <c r="AN358" s="112" t="s">
        <v>1066</v>
      </c>
    </row>
    <row r="359" spans="1:40" ht="55.5" customHeight="1" x14ac:dyDescent="0.25">
      <c r="A359" s="111" t="s">
        <v>2495</v>
      </c>
      <c r="B359" s="112">
        <v>2026</v>
      </c>
      <c r="C359" s="112" t="s">
        <v>2496</v>
      </c>
      <c r="D359" s="113">
        <v>46129.543634259258</v>
      </c>
      <c r="E359" s="112">
        <v>7925126060</v>
      </c>
      <c r="F359" s="112" t="s">
        <v>406</v>
      </c>
      <c r="G359" s="112">
        <v>3</v>
      </c>
      <c r="H359" s="112">
        <v>7925126060</v>
      </c>
      <c r="I359" s="112" t="s">
        <v>2497</v>
      </c>
      <c r="J359" s="112" t="s">
        <v>1071</v>
      </c>
      <c r="K359" s="112" t="s">
        <v>1829</v>
      </c>
      <c r="L359" s="112" t="s">
        <v>1073</v>
      </c>
      <c r="M359" s="112" t="s">
        <v>478</v>
      </c>
      <c r="N359" s="113">
        <v>46132.543634259258</v>
      </c>
      <c r="O359" s="114">
        <v>19002711427</v>
      </c>
      <c r="P359" s="112">
        <v>88</v>
      </c>
      <c r="Q359" s="112" t="s">
        <v>1062</v>
      </c>
      <c r="R359" s="112" t="s">
        <v>1075</v>
      </c>
      <c r="S359" s="113">
        <v>46139.729166666664</v>
      </c>
      <c r="T359" s="112" t="s">
        <v>2498</v>
      </c>
      <c r="U359" s="112" t="s">
        <v>1065</v>
      </c>
      <c r="V359" s="112" t="s">
        <v>1066</v>
      </c>
      <c r="W359" s="112" t="s">
        <v>1066</v>
      </c>
      <c r="X359" s="112" t="s">
        <v>1394</v>
      </c>
      <c r="Y359" s="112" t="s">
        <v>1066</v>
      </c>
      <c r="Z359" s="112" t="s">
        <v>2499</v>
      </c>
      <c r="AA359" s="112" t="s">
        <v>1067</v>
      </c>
      <c r="AB359" s="112" t="s">
        <v>1066</v>
      </c>
      <c r="AC359" s="112" t="s">
        <v>92</v>
      </c>
      <c r="AD359" s="112" t="s">
        <v>1066</v>
      </c>
      <c r="AE359" s="112" t="s">
        <v>1066</v>
      </c>
      <c r="AF359" s="112" t="s">
        <v>1066</v>
      </c>
      <c r="AG359" s="112" t="s">
        <v>1066</v>
      </c>
      <c r="AH359" s="112" t="s">
        <v>1066</v>
      </c>
      <c r="AI359" s="112" t="s">
        <v>785</v>
      </c>
      <c r="AJ359" s="112">
        <v>9153661</v>
      </c>
      <c r="AK359" s="112" t="s">
        <v>253</v>
      </c>
      <c r="AL359" s="112">
        <v>783936</v>
      </c>
      <c r="AM359" s="112" t="s">
        <v>1066</v>
      </c>
      <c r="AN359" s="112" t="s">
        <v>1066</v>
      </c>
    </row>
    <row r="360" spans="1:40" ht="55.5" customHeight="1" x14ac:dyDescent="0.25">
      <c r="A360" s="111" t="s">
        <v>2500</v>
      </c>
      <c r="B360" s="112">
        <v>2026</v>
      </c>
      <c r="C360" s="112" t="s">
        <v>2501</v>
      </c>
      <c r="D360" s="113">
        <v>46130.781238425923</v>
      </c>
      <c r="E360" s="112">
        <v>7924612052</v>
      </c>
      <c r="F360" s="112" t="s">
        <v>1740</v>
      </c>
      <c r="G360" s="112">
        <v>3</v>
      </c>
      <c r="H360" s="112">
        <v>7924612052</v>
      </c>
      <c r="I360" s="112" t="s">
        <v>2502</v>
      </c>
      <c r="J360" s="112" t="s">
        <v>1854</v>
      </c>
      <c r="K360" s="112" t="s">
        <v>1855</v>
      </c>
      <c r="L360" s="112" t="s">
        <v>1073</v>
      </c>
      <c r="M360" s="112" t="s">
        <v>478</v>
      </c>
      <c r="N360" s="113">
        <v>46133.781238425923</v>
      </c>
      <c r="O360" s="114">
        <v>19002205291</v>
      </c>
      <c r="P360" s="112">
        <v>1.044</v>
      </c>
      <c r="Q360" s="112" t="s">
        <v>1062</v>
      </c>
      <c r="R360" s="112" t="s">
        <v>1075</v>
      </c>
      <c r="S360" s="113">
        <v>46139.72896990741</v>
      </c>
      <c r="T360" s="112" t="s">
        <v>2503</v>
      </c>
      <c r="U360" s="112" t="s">
        <v>1065</v>
      </c>
      <c r="V360" s="112" t="s">
        <v>1066</v>
      </c>
      <c r="W360" s="112" t="s">
        <v>1066</v>
      </c>
      <c r="X360" s="112" t="s">
        <v>983</v>
      </c>
      <c r="Y360" s="112" t="s">
        <v>1066</v>
      </c>
      <c r="Z360" s="112" t="s">
        <v>1318</v>
      </c>
      <c r="AA360" s="112" t="s">
        <v>1067</v>
      </c>
      <c r="AB360" s="112" t="s">
        <v>1066</v>
      </c>
      <c r="AC360" s="112" t="s">
        <v>92</v>
      </c>
      <c r="AD360" s="112" t="s">
        <v>1066</v>
      </c>
      <c r="AE360" s="112" t="s">
        <v>1066</v>
      </c>
      <c r="AF360" s="112" t="s">
        <v>1066</v>
      </c>
      <c r="AG360" s="112" t="s">
        <v>1066</v>
      </c>
      <c r="AH360" s="112" t="s">
        <v>1066</v>
      </c>
      <c r="AI360" s="112" t="s">
        <v>785</v>
      </c>
      <c r="AJ360" s="112">
        <v>8668542</v>
      </c>
      <c r="AK360" s="112" t="s">
        <v>112</v>
      </c>
      <c r="AL360" s="112">
        <v>642254</v>
      </c>
      <c r="AM360" s="112" t="s">
        <v>1066</v>
      </c>
      <c r="AN360" s="112" t="s">
        <v>1066</v>
      </c>
    </row>
    <row r="361" spans="1:40" ht="55.5" customHeight="1" x14ac:dyDescent="0.25">
      <c r="A361" s="111" t="s">
        <v>2504</v>
      </c>
      <c r="B361" s="112">
        <v>2026</v>
      </c>
      <c r="C361" s="112" t="s">
        <v>2505</v>
      </c>
      <c r="D361" s="113">
        <v>46114.619317129633</v>
      </c>
      <c r="E361" s="112">
        <v>7923616017</v>
      </c>
      <c r="F361" s="112" t="s">
        <v>101</v>
      </c>
      <c r="G361" s="112">
        <v>1</v>
      </c>
      <c r="H361" s="112">
        <v>7923616017</v>
      </c>
      <c r="I361" s="112" t="s">
        <v>2506</v>
      </c>
      <c r="J361" s="112" t="s">
        <v>1157</v>
      </c>
      <c r="K361" s="112" t="s">
        <v>1158</v>
      </c>
      <c r="L361" s="112" t="s">
        <v>1084</v>
      </c>
      <c r="M361" s="112" t="s">
        <v>478</v>
      </c>
      <c r="N361" s="113">
        <v>46174.619317129633</v>
      </c>
      <c r="O361" s="114">
        <v>19002295930</v>
      </c>
      <c r="P361" s="112">
        <v>12</v>
      </c>
      <c r="Q361" s="112" t="s">
        <v>1062</v>
      </c>
      <c r="R361" s="112" t="s">
        <v>1085</v>
      </c>
      <c r="S361" s="113">
        <v>46206.497384259259</v>
      </c>
      <c r="T361" s="112" t="s">
        <v>2507</v>
      </c>
      <c r="U361" s="112" t="s">
        <v>1065</v>
      </c>
      <c r="V361" s="112" t="s">
        <v>1066</v>
      </c>
      <c r="W361" s="112" t="s">
        <v>1066</v>
      </c>
      <c r="X361" s="112" t="s">
        <v>1117</v>
      </c>
      <c r="Y361" s="112" t="s">
        <v>1066</v>
      </c>
      <c r="Z361" s="112" t="s">
        <v>2152</v>
      </c>
      <c r="AA361" s="112" t="s">
        <v>1067</v>
      </c>
      <c r="AB361" s="112" t="s">
        <v>1066</v>
      </c>
      <c r="AC361" s="112" t="s">
        <v>92</v>
      </c>
      <c r="AD361" s="112" t="s">
        <v>1066</v>
      </c>
      <c r="AE361" s="112" t="s">
        <v>1066</v>
      </c>
      <c r="AF361" s="112" t="s">
        <v>1066</v>
      </c>
      <c r="AG361" s="112" t="s">
        <v>1066</v>
      </c>
      <c r="AH361" s="112" t="s">
        <v>1066</v>
      </c>
      <c r="AI361" s="112" t="s">
        <v>785</v>
      </c>
      <c r="AJ361" s="112">
        <v>8910134</v>
      </c>
      <c r="AK361" s="112" t="s">
        <v>99</v>
      </c>
      <c r="AL361" s="112">
        <v>749587</v>
      </c>
      <c r="AM361" s="112" t="s">
        <v>1066</v>
      </c>
      <c r="AN361" s="112" t="s">
        <v>1066</v>
      </c>
    </row>
    <row r="362" spans="1:40" ht="55.5" customHeight="1" x14ac:dyDescent="0.25">
      <c r="A362" s="124" t="s">
        <v>176</v>
      </c>
      <c r="B362" s="125">
        <v>2026</v>
      </c>
      <c r="C362" s="125" t="s">
        <v>2508</v>
      </c>
      <c r="D362" s="126">
        <v>46183.436412037037</v>
      </c>
      <c r="E362" s="125">
        <v>9000313134</v>
      </c>
      <c r="F362" s="125" t="s">
        <v>60</v>
      </c>
      <c r="G362" s="125">
        <v>3</v>
      </c>
      <c r="H362" s="125">
        <v>7943790134</v>
      </c>
      <c r="I362" s="125" t="s">
        <v>2509</v>
      </c>
      <c r="J362" s="125" t="s">
        <v>1092</v>
      </c>
      <c r="K362" s="125" t="s">
        <v>1392</v>
      </c>
      <c r="L362" s="125" t="s">
        <v>1084</v>
      </c>
      <c r="M362" s="125" t="s">
        <v>510</v>
      </c>
      <c r="N362" s="126">
        <v>46243.436412037037</v>
      </c>
      <c r="O362" s="127">
        <v>19002535990</v>
      </c>
      <c r="P362" s="125">
        <v>0</v>
      </c>
      <c r="Q362" s="125" t="s">
        <v>1131</v>
      </c>
      <c r="R362" s="125" t="s">
        <v>1075</v>
      </c>
      <c r="S362" s="125" t="s">
        <v>1066</v>
      </c>
      <c r="T362" s="125" t="s">
        <v>1066</v>
      </c>
      <c r="U362" s="125" t="s">
        <v>1066</v>
      </c>
      <c r="V362" s="125" t="s">
        <v>1066</v>
      </c>
      <c r="W362" s="125" t="s">
        <v>1066</v>
      </c>
      <c r="X362" s="125" t="s">
        <v>1066</v>
      </c>
      <c r="Y362" s="125" t="s">
        <v>1066</v>
      </c>
      <c r="Z362" s="125" t="s">
        <v>1066</v>
      </c>
      <c r="AA362" s="125" t="s">
        <v>1067</v>
      </c>
      <c r="AB362" s="125" t="s">
        <v>1066</v>
      </c>
      <c r="AC362" s="125" t="s">
        <v>92</v>
      </c>
      <c r="AD362" s="125" t="s">
        <v>1066</v>
      </c>
      <c r="AE362" s="125" t="s">
        <v>1066</v>
      </c>
      <c r="AF362" s="125" t="s">
        <v>1066</v>
      </c>
      <c r="AG362" s="125" t="s">
        <v>1066</v>
      </c>
      <c r="AH362" s="125" t="s">
        <v>1066</v>
      </c>
      <c r="AI362" s="125" t="s">
        <v>785</v>
      </c>
      <c r="AJ362" s="125">
        <v>9405003</v>
      </c>
      <c r="AK362" s="125" t="s">
        <v>177</v>
      </c>
      <c r="AL362" s="125">
        <v>777483</v>
      </c>
      <c r="AM362" s="125" t="s">
        <v>1066</v>
      </c>
      <c r="AN362" s="125" t="s">
        <v>1066</v>
      </c>
    </row>
    <row r="363" spans="1:40" ht="55.5" customHeight="1" x14ac:dyDescent="0.25">
      <c r="A363" s="111" t="s">
        <v>710</v>
      </c>
      <c r="B363" s="112">
        <v>2026</v>
      </c>
      <c r="C363" s="112" t="s">
        <v>712</v>
      </c>
      <c r="D363" s="113">
        <v>46235.354386574072</v>
      </c>
      <c r="E363" s="112">
        <v>9004987001</v>
      </c>
      <c r="F363" s="112" t="s">
        <v>711</v>
      </c>
      <c r="G363" s="112">
        <v>2</v>
      </c>
      <c r="H363" s="112">
        <v>7927601001</v>
      </c>
      <c r="I363" s="112" t="s">
        <v>2510</v>
      </c>
      <c r="J363" s="112" t="s">
        <v>1071</v>
      </c>
      <c r="K363" s="112" t="s">
        <v>1130</v>
      </c>
      <c r="L363" s="112" t="s">
        <v>1073</v>
      </c>
      <c r="M363" s="112" t="s">
        <v>478</v>
      </c>
      <c r="N363" s="113">
        <v>46238.354386574072</v>
      </c>
      <c r="O363" s="114">
        <v>19001270753</v>
      </c>
      <c r="P363" s="112">
        <v>0</v>
      </c>
      <c r="Q363" s="112" t="s">
        <v>1131</v>
      </c>
      <c r="R363" s="112" t="s">
        <v>1075</v>
      </c>
      <c r="S363" s="113">
        <v>46247.522951388892</v>
      </c>
      <c r="T363" s="112" t="s">
        <v>2511</v>
      </c>
      <c r="U363" s="112" t="s">
        <v>1065</v>
      </c>
      <c r="V363" s="112" t="s">
        <v>1066</v>
      </c>
      <c r="W363" s="112" t="s">
        <v>1066</v>
      </c>
      <c r="X363" s="112" t="s">
        <v>1117</v>
      </c>
      <c r="Y363" s="112" t="s">
        <v>1066</v>
      </c>
      <c r="Z363" s="112" t="s">
        <v>1133</v>
      </c>
      <c r="AA363" s="112" t="s">
        <v>1067</v>
      </c>
      <c r="AB363" s="112" t="s">
        <v>1066</v>
      </c>
      <c r="AC363" s="112" t="s">
        <v>92</v>
      </c>
      <c r="AD363" s="112" t="s">
        <v>1142</v>
      </c>
      <c r="AE363" s="112" t="s">
        <v>1066</v>
      </c>
      <c r="AF363" s="112" t="s">
        <v>1066</v>
      </c>
      <c r="AG363" s="112" t="s">
        <v>1066</v>
      </c>
      <c r="AH363" s="112" t="s">
        <v>1066</v>
      </c>
      <c r="AI363" s="112" t="s">
        <v>785</v>
      </c>
      <c r="AJ363" s="112">
        <v>8813270</v>
      </c>
      <c r="AK363" s="112" t="s">
        <v>50</v>
      </c>
      <c r="AL363" s="112">
        <v>783120</v>
      </c>
      <c r="AM363" s="112" t="s">
        <v>1066</v>
      </c>
      <c r="AN363" s="112" t="s">
        <v>1066</v>
      </c>
    </row>
    <row r="364" spans="1:40" ht="55.5" customHeight="1" x14ac:dyDescent="0.25">
      <c r="A364" s="111" t="s">
        <v>2512</v>
      </c>
      <c r="B364" s="112">
        <v>2026</v>
      </c>
      <c r="C364" s="112" t="s">
        <v>1089</v>
      </c>
      <c r="D364" s="113">
        <v>46028.41065972222</v>
      </c>
      <c r="E364" s="112">
        <v>7900045001</v>
      </c>
      <c r="F364" s="112" t="s">
        <v>2513</v>
      </c>
      <c r="G364" s="112">
        <v>1</v>
      </c>
      <c r="H364" s="112">
        <v>7900045001</v>
      </c>
      <c r="I364" s="112" t="s">
        <v>2514</v>
      </c>
      <c r="J364" s="112" t="s">
        <v>1092</v>
      </c>
      <c r="K364" s="112" t="s">
        <v>1093</v>
      </c>
      <c r="L364" s="112" t="s">
        <v>1061</v>
      </c>
      <c r="M364" s="112" t="s">
        <v>478</v>
      </c>
      <c r="N364" s="113">
        <v>46428.41065972222</v>
      </c>
      <c r="O364" s="114">
        <v>19002813256</v>
      </c>
      <c r="P364" s="112">
        <v>2.069</v>
      </c>
      <c r="Q364" s="112" t="s">
        <v>1062</v>
      </c>
      <c r="R364" s="112" t="s">
        <v>1063</v>
      </c>
      <c r="S364" s="113">
        <v>46045.614328703705</v>
      </c>
      <c r="T364" s="112" t="s">
        <v>2515</v>
      </c>
      <c r="U364" s="112" t="s">
        <v>1065</v>
      </c>
      <c r="V364" s="112" t="s">
        <v>1066</v>
      </c>
      <c r="W364" s="112" t="s">
        <v>1066</v>
      </c>
      <c r="X364" s="112" t="s">
        <v>1066</v>
      </c>
      <c r="Y364" s="112" t="s">
        <v>1066</v>
      </c>
      <c r="Z364" s="112" t="s">
        <v>1066</v>
      </c>
      <c r="AA364" s="112" t="s">
        <v>1067</v>
      </c>
      <c r="AB364" s="112" t="s">
        <v>1066</v>
      </c>
      <c r="AC364" s="112" t="s">
        <v>92</v>
      </c>
      <c r="AD364" s="112" t="s">
        <v>1066</v>
      </c>
      <c r="AE364" s="112" t="s">
        <v>1066</v>
      </c>
      <c r="AF364" s="112" t="s">
        <v>1066</v>
      </c>
      <c r="AG364" s="112" t="s">
        <v>1066</v>
      </c>
      <c r="AH364" s="112" t="s">
        <v>1066</v>
      </c>
      <c r="AI364" s="112" t="s">
        <v>785</v>
      </c>
      <c r="AJ364" s="112">
        <v>8815526</v>
      </c>
      <c r="AK364" s="112" t="s">
        <v>50</v>
      </c>
      <c r="AL364" s="112">
        <v>783803</v>
      </c>
      <c r="AM364" s="112" t="s">
        <v>1066</v>
      </c>
      <c r="AN364" s="112" t="s">
        <v>1066</v>
      </c>
    </row>
    <row r="365" spans="1:40" ht="55.5" customHeight="1" x14ac:dyDescent="0.25">
      <c r="A365" s="111" t="s">
        <v>616</v>
      </c>
      <c r="B365" s="112">
        <v>2026</v>
      </c>
      <c r="C365" s="112" t="s">
        <v>617</v>
      </c>
      <c r="D365" s="113">
        <v>46207.782071759262</v>
      </c>
      <c r="E365" s="112">
        <v>7955832052</v>
      </c>
      <c r="F365" s="112" t="s">
        <v>688</v>
      </c>
      <c r="G365" s="112">
        <v>1</v>
      </c>
      <c r="H365" s="112">
        <v>7955832052</v>
      </c>
      <c r="I365" s="112" t="s">
        <v>1895</v>
      </c>
      <c r="J365" s="112" t="s">
        <v>1071</v>
      </c>
      <c r="K365" s="112" t="s">
        <v>2279</v>
      </c>
      <c r="L365" s="112" t="s">
        <v>1073</v>
      </c>
      <c r="M365" s="112" t="s">
        <v>478</v>
      </c>
      <c r="N365" s="113">
        <v>46210.782071759262</v>
      </c>
      <c r="O365" s="114">
        <v>19002742884</v>
      </c>
      <c r="P365" s="112">
        <v>162</v>
      </c>
      <c r="Q365" s="112" t="s">
        <v>1062</v>
      </c>
      <c r="R365" s="112" t="s">
        <v>1075</v>
      </c>
      <c r="S365" s="113">
        <v>46232.581886574073</v>
      </c>
      <c r="T365" s="112" t="s">
        <v>1458</v>
      </c>
      <c r="U365" s="112" t="s">
        <v>1065</v>
      </c>
      <c r="V365" s="112" t="s">
        <v>1066</v>
      </c>
      <c r="W365" s="112" t="s">
        <v>1066</v>
      </c>
      <c r="X365" s="112" t="s">
        <v>983</v>
      </c>
      <c r="Y365" s="112" t="s">
        <v>1066</v>
      </c>
      <c r="Z365" s="112" t="s">
        <v>1318</v>
      </c>
      <c r="AA365" s="112" t="s">
        <v>1067</v>
      </c>
      <c r="AB365" s="112" t="s">
        <v>1066</v>
      </c>
      <c r="AC365" s="112" t="s">
        <v>92</v>
      </c>
      <c r="AD365" s="112" t="s">
        <v>1066</v>
      </c>
      <c r="AE365" s="112" t="s">
        <v>1066</v>
      </c>
      <c r="AF365" s="112" t="s">
        <v>1066</v>
      </c>
      <c r="AG365" s="112" t="s">
        <v>1066</v>
      </c>
      <c r="AH365" s="112" t="s">
        <v>1066</v>
      </c>
      <c r="AI365" s="112" t="s">
        <v>785</v>
      </c>
      <c r="AJ365" s="112">
        <v>8712965</v>
      </c>
      <c r="AK365" s="112" t="s">
        <v>112</v>
      </c>
      <c r="AL365" s="112">
        <v>625463</v>
      </c>
      <c r="AM365" s="112" t="s">
        <v>1066</v>
      </c>
      <c r="AN365" s="112" t="s">
        <v>1066</v>
      </c>
    </row>
    <row r="366" spans="1:40" ht="55.5" customHeight="1" x14ac:dyDescent="0.25">
      <c r="A366" s="111" t="s">
        <v>2516</v>
      </c>
      <c r="B366" s="112">
        <v>2026</v>
      </c>
      <c r="C366" s="112" t="s">
        <v>2517</v>
      </c>
      <c r="D366" s="113">
        <v>46059.710324074076</v>
      </c>
      <c r="E366" s="112">
        <v>9000460025</v>
      </c>
      <c r="F366" s="112" t="s">
        <v>95</v>
      </c>
      <c r="G366" s="112">
        <v>3</v>
      </c>
      <c r="H366" s="112">
        <v>7900414025</v>
      </c>
      <c r="I366" s="112" t="s">
        <v>2518</v>
      </c>
      <c r="J366" s="112" t="s">
        <v>1157</v>
      </c>
      <c r="K366" s="112" t="s">
        <v>1417</v>
      </c>
      <c r="L366" s="112" t="s">
        <v>1084</v>
      </c>
      <c r="M366" s="112" t="s">
        <v>478</v>
      </c>
      <c r="N366" s="113">
        <v>46119.710324074076</v>
      </c>
      <c r="O366" s="114">
        <v>19000026186</v>
      </c>
      <c r="P366" s="112">
        <v>291</v>
      </c>
      <c r="Q366" s="112" t="s">
        <v>1131</v>
      </c>
      <c r="R366" s="112" t="s">
        <v>1063</v>
      </c>
      <c r="S366" s="113">
        <v>46075.595138888886</v>
      </c>
      <c r="T366" s="112" t="s">
        <v>2519</v>
      </c>
      <c r="U366" s="112" t="s">
        <v>1065</v>
      </c>
      <c r="V366" s="112" t="s">
        <v>1066</v>
      </c>
      <c r="W366" s="112" t="s">
        <v>1066</v>
      </c>
      <c r="X366" s="112" t="s">
        <v>983</v>
      </c>
      <c r="Y366" s="112" t="s">
        <v>1066</v>
      </c>
      <c r="Z366" s="112" t="s">
        <v>1148</v>
      </c>
      <c r="AA366" s="112" t="s">
        <v>1067</v>
      </c>
      <c r="AB366" s="112" t="s">
        <v>1066</v>
      </c>
      <c r="AC366" s="112" t="s">
        <v>92</v>
      </c>
      <c r="AD366" s="112" t="s">
        <v>1142</v>
      </c>
      <c r="AE366" s="112" t="s">
        <v>1066</v>
      </c>
      <c r="AF366" s="112" t="s">
        <v>1066</v>
      </c>
      <c r="AG366" s="112" t="s">
        <v>1066</v>
      </c>
      <c r="AH366" s="112" t="s">
        <v>1066</v>
      </c>
      <c r="AI366" s="112" t="s">
        <v>785</v>
      </c>
      <c r="AJ366" s="112">
        <v>9153066</v>
      </c>
      <c r="AK366" s="112" t="s">
        <v>93</v>
      </c>
      <c r="AL366" s="112">
        <v>714202</v>
      </c>
      <c r="AM366" s="112" t="s">
        <v>1066</v>
      </c>
      <c r="AN366" s="112" t="s">
        <v>1066</v>
      </c>
    </row>
    <row r="367" spans="1:40" ht="55.5" customHeight="1" x14ac:dyDescent="0.25">
      <c r="A367" s="111" t="s">
        <v>2520</v>
      </c>
      <c r="B367" s="112">
        <v>2026</v>
      </c>
      <c r="C367" s="112" t="s">
        <v>2006</v>
      </c>
      <c r="D367" s="113">
        <v>46043.568530092591</v>
      </c>
      <c r="E367" s="112">
        <v>9000666072</v>
      </c>
      <c r="F367" s="112" t="s">
        <v>225</v>
      </c>
      <c r="G367" s="112">
        <v>2</v>
      </c>
      <c r="H367" s="112">
        <v>7900666072</v>
      </c>
      <c r="I367" s="112" t="s">
        <v>2354</v>
      </c>
      <c r="J367" s="112" t="s">
        <v>1071</v>
      </c>
      <c r="K367" s="112" t="s">
        <v>1145</v>
      </c>
      <c r="L367" s="112" t="s">
        <v>1073</v>
      </c>
      <c r="M367" s="112" t="s">
        <v>478</v>
      </c>
      <c r="N367" s="113">
        <v>46046.568530092591</v>
      </c>
      <c r="O367" s="114">
        <v>19001179572</v>
      </c>
      <c r="P367" s="112">
        <v>1.7070000000000001</v>
      </c>
      <c r="Q367" s="112" t="s">
        <v>1131</v>
      </c>
      <c r="R367" s="112" t="s">
        <v>1263</v>
      </c>
      <c r="S367" s="113">
        <v>46052.608738425923</v>
      </c>
      <c r="T367" s="112" t="s">
        <v>2521</v>
      </c>
      <c r="U367" s="112" t="s">
        <v>1065</v>
      </c>
      <c r="V367" s="112" t="s">
        <v>1066</v>
      </c>
      <c r="W367" s="112" t="s">
        <v>1066</v>
      </c>
      <c r="X367" s="112" t="s">
        <v>983</v>
      </c>
      <c r="Y367" s="112" t="s">
        <v>1066</v>
      </c>
      <c r="Z367" s="112" t="s">
        <v>1148</v>
      </c>
      <c r="AA367" s="112" t="s">
        <v>1067</v>
      </c>
      <c r="AB367" s="112" t="s">
        <v>1066</v>
      </c>
      <c r="AC367" s="112" t="s">
        <v>92</v>
      </c>
      <c r="AD367" s="112" t="s">
        <v>1142</v>
      </c>
      <c r="AE367" s="112" t="s">
        <v>1066</v>
      </c>
      <c r="AF367" s="112" t="s">
        <v>1066</v>
      </c>
      <c r="AG367" s="112" t="s">
        <v>1066</v>
      </c>
      <c r="AH367" s="112" t="s">
        <v>1066</v>
      </c>
      <c r="AI367" s="112" t="s">
        <v>785</v>
      </c>
      <c r="AJ367" s="112">
        <v>8646903</v>
      </c>
      <c r="AK367" s="112" t="s">
        <v>1590</v>
      </c>
      <c r="AL367" s="112">
        <v>904088</v>
      </c>
      <c r="AM367" s="112" t="s">
        <v>1066</v>
      </c>
      <c r="AN367" s="112" t="s">
        <v>1066</v>
      </c>
    </row>
    <row r="368" spans="1:40" ht="55.5" customHeight="1" x14ac:dyDescent="0.25">
      <c r="A368" s="111" t="s">
        <v>2522</v>
      </c>
      <c r="B368" s="112">
        <v>2026</v>
      </c>
      <c r="C368" s="112" t="s">
        <v>1057</v>
      </c>
      <c r="D368" s="113">
        <v>46125.614548611113</v>
      </c>
      <c r="E368" s="112">
        <v>7931614122</v>
      </c>
      <c r="F368" s="112" t="s">
        <v>1488</v>
      </c>
      <c r="G368" s="112">
        <v>1</v>
      </c>
      <c r="H368" s="112">
        <v>7931614122</v>
      </c>
      <c r="I368" s="112" t="s">
        <v>2523</v>
      </c>
      <c r="J368" s="112" t="s">
        <v>1066</v>
      </c>
      <c r="K368" s="112" t="s">
        <v>1125</v>
      </c>
      <c r="L368" s="112" t="s">
        <v>1061</v>
      </c>
      <c r="M368" s="112" t="s">
        <v>478</v>
      </c>
      <c r="N368" s="113">
        <v>46525.614548611113</v>
      </c>
      <c r="O368" s="114">
        <v>19002208180</v>
      </c>
      <c r="P368" s="112">
        <v>0</v>
      </c>
      <c r="Q368" s="112" t="s">
        <v>1062</v>
      </c>
      <c r="R368" s="112" t="s">
        <v>1063</v>
      </c>
      <c r="S368" s="113">
        <v>46183.472581018519</v>
      </c>
      <c r="T368" s="112" t="s">
        <v>2524</v>
      </c>
      <c r="U368" s="112" t="s">
        <v>1065</v>
      </c>
      <c r="V368" s="112" t="s">
        <v>1066</v>
      </c>
      <c r="W368" s="112" t="s">
        <v>1066</v>
      </c>
      <c r="X368" s="112" t="s">
        <v>1066</v>
      </c>
      <c r="Y368" s="112" t="s">
        <v>1066</v>
      </c>
      <c r="Z368" s="112" t="s">
        <v>1066</v>
      </c>
      <c r="AA368" s="112" t="s">
        <v>1067</v>
      </c>
      <c r="AB368" s="112" t="s">
        <v>1066</v>
      </c>
      <c r="AC368" s="112" t="s">
        <v>92</v>
      </c>
      <c r="AD368" s="112" t="s">
        <v>1066</v>
      </c>
      <c r="AE368" s="112" t="s">
        <v>1066</v>
      </c>
      <c r="AF368" s="112" t="s">
        <v>1066</v>
      </c>
      <c r="AG368" s="112" t="s">
        <v>1066</v>
      </c>
      <c r="AH368" s="112" t="s">
        <v>1066</v>
      </c>
      <c r="AI368" s="112" t="s">
        <v>785</v>
      </c>
      <c r="AJ368" s="112">
        <v>8872914</v>
      </c>
      <c r="AK368" s="112" t="s">
        <v>264</v>
      </c>
      <c r="AL368" s="112">
        <v>791792</v>
      </c>
      <c r="AM368" s="112" t="s">
        <v>1066</v>
      </c>
      <c r="AN368" s="112" t="s">
        <v>1066</v>
      </c>
    </row>
    <row r="369" spans="1:40" ht="55.5" customHeight="1" x14ac:dyDescent="0.25">
      <c r="A369" s="111" t="s">
        <v>662</v>
      </c>
      <c r="B369" s="112">
        <v>2026</v>
      </c>
      <c r="C369" s="112" t="s">
        <v>2525</v>
      </c>
      <c r="D369" s="113">
        <v>46083.6641087963</v>
      </c>
      <c r="E369" s="112">
        <v>7936038076</v>
      </c>
      <c r="F369" s="112" t="s">
        <v>663</v>
      </c>
      <c r="G369" s="112">
        <v>3</v>
      </c>
      <c r="H369" s="112">
        <v>7936038076</v>
      </c>
      <c r="I369" s="112" t="s">
        <v>2526</v>
      </c>
      <c r="J369" s="112" t="s">
        <v>1092</v>
      </c>
      <c r="K369" s="112" t="s">
        <v>1179</v>
      </c>
      <c r="L369" s="112" t="s">
        <v>1073</v>
      </c>
      <c r="M369" s="112" t="s">
        <v>478</v>
      </c>
      <c r="N369" s="113">
        <v>46205.657592592594</v>
      </c>
      <c r="O369" s="114">
        <v>19002208898</v>
      </c>
      <c r="P369" s="112">
        <v>17</v>
      </c>
      <c r="Q369" s="112" t="s">
        <v>1062</v>
      </c>
      <c r="R369" s="112" t="s">
        <v>1075</v>
      </c>
      <c r="S369" s="113">
        <v>46211.568541666667</v>
      </c>
      <c r="T369" s="112" t="s">
        <v>2527</v>
      </c>
      <c r="U369" s="112" t="s">
        <v>1065</v>
      </c>
      <c r="V369" s="112" t="s">
        <v>1066</v>
      </c>
      <c r="W369" s="112" t="s">
        <v>1066</v>
      </c>
      <c r="X369" s="112" t="s">
        <v>1066</v>
      </c>
      <c r="Y369" s="112" t="s">
        <v>1066</v>
      </c>
      <c r="Z369" s="112" t="s">
        <v>1066</v>
      </c>
      <c r="AA369" s="112" t="s">
        <v>1067</v>
      </c>
      <c r="AB369" s="112" t="s">
        <v>1066</v>
      </c>
      <c r="AC369" s="112" t="s">
        <v>92</v>
      </c>
      <c r="AD369" s="112" t="s">
        <v>1066</v>
      </c>
      <c r="AE369" s="112" t="s">
        <v>1066</v>
      </c>
      <c r="AF369" s="112" t="s">
        <v>1066</v>
      </c>
      <c r="AG369" s="112" t="s">
        <v>1066</v>
      </c>
      <c r="AH369" s="112" t="s">
        <v>2528</v>
      </c>
      <c r="AI369" s="112" t="s">
        <v>785</v>
      </c>
      <c r="AJ369" s="112">
        <v>8742101</v>
      </c>
      <c r="AK369" s="112" t="s">
        <v>209</v>
      </c>
      <c r="AL369" s="112">
        <v>666106</v>
      </c>
      <c r="AM369" s="112" t="s">
        <v>1066</v>
      </c>
      <c r="AN369" s="112" t="s">
        <v>1066</v>
      </c>
    </row>
    <row r="370" spans="1:40" ht="55.5" customHeight="1" x14ac:dyDescent="0.25">
      <c r="A370" s="124" t="s">
        <v>2529</v>
      </c>
      <c r="B370" s="125">
        <v>2026</v>
      </c>
      <c r="C370" s="125" t="s">
        <v>1449</v>
      </c>
      <c r="D370" s="126">
        <v>46244.660034722219</v>
      </c>
      <c r="E370" s="125">
        <v>7949644098</v>
      </c>
      <c r="F370" s="125" t="s">
        <v>2530</v>
      </c>
      <c r="G370" s="125">
        <v>3</v>
      </c>
      <c r="H370" s="125">
        <v>7949644098</v>
      </c>
      <c r="I370" s="125" t="s">
        <v>2531</v>
      </c>
      <c r="J370" s="125" t="s">
        <v>1066</v>
      </c>
      <c r="K370" s="125" t="s">
        <v>1125</v>
      </c>
      <c r="L370" s="125" t="s">
        <v>1061</v>
      </c>
      <c r="M370" s="125" t="s">
        <v>510</v>
      </c>
      <c r="N370" s="126">
        <v>46644.660034722219</v>
      </c>
      <c r="O370" s="127">
        <v>19002777113</v>
      </c>
      <c r="P370" s="125">
        <v>176</v>
      </c>
      <c r="Q370" s="125" t="s">
        <v>1062</v>
      </c>
      <c r="R370" s="125" t="s">
        <v>1063</v>
      </c>
      <c r="S370" s="125" t="s">
        <v>1066</v>
      </c>
      <c r="T370" s="125" t="s">
        <v>1066</v>
      </c>
      <c r="U370" s="125" t="s">
        <v>1066</v>
      </c>
      <c r="V370" s="125" t="s">
        <v>1066</v>
      </c>
      <c r="W370" s="125" t="s">
        <v>1066</v>
      </c>
      <c r="X370" s="125" t="s">
        <v>1066</v>
      </c>
      <c r="Y370" s="125" t="s">
        <v>1066</v>
      </c>
      <c r="Z370" s="125" t="s">
        <v>1066</v>
      </c>
      <c r="AA370" s="125" t="s">
        <v>1067</v>
      </c>
      <c r="AB370" s="125" t="s">
        <v>1066</v>
      </c>
      <c r="AC370" s="125" t="s">
        <v>92</v>
      </c>
      <c r="AD370" s="125" t="s">
        <v>1066</v>
      </c>
      <c r="AE370" s="125" t="s">
        <v>1066</v>
      </c>
      <c r="AF370" s="125" t="s">
        <v>1066</v>
      </c>
      <c r="AG370" s="125" t="s">
        <v>1066</v>
      </c>
      <c r="AH370" s="125" t="s">
        <v>1066</v>
      </c>
      <c r="AI370" s="125" t="s">
        <v>785</v>
      </c>
      <c r="AJ370" s="125">
        <v>9301719</v>
      </c>
      <c r="AK370" s="125" t="s">
        <v>2532</v>
      </c>
      <c r="AL370" s="125">
        <v>809975</v>
      </c>
      <c r="AM370" s="125" t="s">
        <v>1066</v>
      </c>
      <c r="AN370" s="125" t="s">
        <v>1066</v>
      </c>
    </row>
    <row r="371" spans="1:40" ht="55.5" customHeight="1" x14ac:dyDescent="0.25">
      <c r="A371" s="111" t="s">
        <v>2533</v>
      </c>
      <c r="B371" s="112">
        <v>2026</v>
      </c>
      <c r="C371" s="112" t="s">
        <v>1240</v>
      </c>
      <c r="D371" s="113">
        <v>46183.597349537034</v>
      </c>
      <c r="E371" s="112">
        <v>7910140070</v>
      </c>
      <c r="F371" s="112" t="s">
        <v>88</v>
      </c>
      <c r="G371" s="112">
        <v>3</v>
      </c>
      <c r="H371" s="112">
        <v>7910140070</v>
      </c>
      <c r="I371" s="112" t="s">
        <v>2534</v>
      </c>
      <c r="J371" s="112" t="s">
        <v>1066</v>
      </c>
      <c r="K371" s="112" t="s">
        <v>1125</v>
      </c>
      <c r="L371" s="112" t="s">
        <v>1061</v>
      </c>
      <c r="M371" s="112" t="s">
        <v>478</v>
      </c>
      <c r="N371" s="113">
        <v>46583.597349537034</v>
      </c>
      <c r="O371" s="114">
        <v>19002223867</v>
      </c>
      <c r="P371" s="112">
        <v>0</v>
      </c>
      <c r="Q371" s="112" t="s">
        <v>1062</v>
      </c>
      <c r="R371" s="112" t="s">
        <v>1063</v>
      </c>
      <c r="S371" s="113">
        <v>46210.73033564815</v>
      </c>
      <c r="T371" s="112" t="s">
        <v>2535</v>
      </c>
      <c r="U371" s="112" t="s">
        <v>1065</v>
      </c>
      <c r="V371" s="112" t="s">
        <v>1066</v>
      </c>
      <c r="W371" s="112" t="s">
        <v>1066</v>
      </c>
      <c r="X371" s="112" t="s">
        <v>1066</v>
      </c>
      <c r="Y371" s="112" t="s">
        <v>1066</v>
      </c>
      <c r="Z371" s="112" t="s">
        <v>1066</v>
      </c>
      <c r="AA371" s="112" t="s">
        <v>1067</v>
      </c>
      <c r="AB371" s="112" t="s">
        <v>1066</v>
      </c>
      <c r="AC371" s="112" t="s">
        <v>92</v>
      </c>
      <c r="AD371" s="112" t="s">
        <v>1066</v>
      </c>
      <c r="AE371" s="112" t="s">
        <v>1066</v>
      </c>
      <c r="AF371" s="112" t="s">
        <v>1066</v>
      </c>
      <c r="AG371" s="112" t="s">
        <v>1066</v>
      </c>
      <c r="AH371" s="112" t="s">
        <v>1066</v>
      </c>
      <c r="AI371" s="112" t="s">
        <v>785</v>
      </c>
      <c r="AJ371" s="112">
        <v>8943697</v>
      </c>
      <c r="AK371" s="112" t="s">
        <v>87</v>
      </c>
      <c r="AL371" s="112">
        <v>863822</v>
      </c>
      <c r="AM371" s="112" t="s">
        <v>1066</v>
      </c>
      <c r="AN371" s="112" t="s">
        <v>1066</v>
      </c>
    </row>
    <row r="372" spans="1:40" ht="55.5" customHeight="1" x14ac:dyDescent="0.25">
      <c r="A372" s="120" t="s">
        <v>2536</v>
      </c>
      <c r="B372" s="121">
        <v>2026</v>
      </c>
      <c r="C372" s="121" t="s">
        <v>2537</v>
      </c>
      <c r="D372" s="122">
        <v>46114.608900462961</v>
      </c>
      <c r="E372" s="121">
        <v>7942481096</v>
      </c>
      <c r="F372" s="121" t="s">
        <v>136</v>
      </c>
      <c r="G372" s="121">
        <v>3</v>
      </c>
      <c r="H372" s="121">
        <v>7942481096</v>
      </c>
      <c r="I372" s="121" t="s">
        <v>2538</v>
      </c>
      <c r="J372" s="121" t="s">
        <v>1066</v>
      </c>
      <c r="K372" s="121" t="s">
        <v>1125</v>
      </c>
      <c r="L372" s="121" t="s">
        <v>1061</v>
      </c>
      <c r="M372" s="121" t="s">
        <v>1116</v>
      </c>
      <c r="N372" s="122">
        <v>46514.608900462961</v>
      </c>
      <c r="O372" s="123">
        <v>19002678795</v>
      </c>
      <c r="P372" s="121">
        <v>135</v>
      </c>
      <c r="Q372" s="121" t="s">
        <v>1062</v>
      </c>
      <c r="R372" s="121" t="s">
        <v>1063</v>
      </c>
      <c r="S372" s="122">
        <v>46223.462881944448</v>
      </c>
      <c r="T372" s="121" t="s">
        <v>2539</v>
      </c>
      <c r="U372" s="121" t="s">
        <v>1625</v>
      </c>
      <c r="V372" s="121" t="s">
        <v>1066</v>
      </c>
      <c r="W372" s="121" t="s">
        <v>1066</v>
      </c>
      <c r="X372" s="121" t="s">
        <v>1066</v>
      </c>
      <c r="Y372" s="121" t="s">
        <v>1066</v>
      </c>
      <c r="Z372" s="121" t="s">
        <v>1066</v>
      </c>
      <c r="AA372" s="121" t="s">
        <v>1067</v>
      </c>
      <c r="AB372" s="121" t="s">
        <v>1066</v>
      </c>
      <c r="AC372" s="121" t="s">
        <v>92</v>
      </c>
      <c r="AD372" s="121" t="s">
        <v>1066</v>
      </c>
      <c r="AE372" s="121" t="s">
        <v>1066</v>
      </c>
      <c r="AF372" s="121" t="s">
        <v>1066</v>
      </c>
      <c r="AG372" s="121" t="s">
        <v>1066</v>
      </c>
      <c r="AH372" s="121" t="s">
        <v>1066</v>
      </c>
      <c r="AI372" s="121" t="s">
        <v>785</v>
      </c>
      <c r="AJ372" s="121">
        <v>8763173</v>
      </c>
      <c r="AK372" s="121" t="s">
        <v>310</v>
      </c>
      <c r="AL372" s="121">
        <v>888431</v>
      </c>
      <c r="AM372" s="121" t="s">
        <v>1066</v>
      </c>
      <c r="AN372" s="121" t="s">
        <v>1066</v>
      </c>
    </row>
    <row r="373" spans="1:40" ht="55.5" customHeight="1" x14ac:dyDescent="0.25">
      <c r="A373" s="124" t="s">
        <v>2540</v>
      </c>
      <c r="B373" s="125">
        <v>2026</v>
      </c>
      <c r="C373" s="125" t="s">
        <v>1210</v>
      </c>
      <c r="D373" s="126">
        <v>46114.608900462961</v>
      </c>
      <c r="E373" s="125">
        <v>7922995039</v>
      </c>
      <c r="F373" s="125" t="s">
        <v>713</v>
      </c>
      <c r="G373" s="125">
        <v>3</v>
      </c>
      <c r="H373" s="125">
        <v>7922995039</v>
      </c>
      <c r="I373" s="125" t="s">
        <v>2541</v>
      </c>
      <c r="J373" s="125" t="s">
        <v>1066</v>
      </c>
      <c r="K373" s="125" t="s">
        <v>1125</v>
      </c>
      <c r="L373" s="125" t="s">
        <v>1061</v>
      </c>
      <c r="M373" s="125" t="s">
        <v>510</v>
      </c>
      <c r="N373" s="126">
        <v>46514.608900462961</v>
      </c>
      <c r="O373" s="127">
        <v>19002203207</v>
      </c>
      <c r="P373" s="125">
        <v>710</v>
      </c>
      <c r="Q373" s="125" t="s">
        <v>1062</v>
      </c>
      <c r="R373" s="125" t="s">
        <v>1063</v>
      </c>
      <c r="S373" s="125" t="s">
        <v>1066</v>
      </c>
      <c r="T373" s="125" t="s">
        <v>1066</v>
      </c>
      <c r="U373" s="125" t="s">
        <v>1066</v>
      </c>
      <c r="V373" s="125" t="s">
        <v>1066</v>
      </c>
      <c r="W373" s="125" t="s">
        <v>1066</v>
      </c>
      <c r="X373" s="125" t="s">
        <v>1066</v>
      </c>
      <c r="Y373" s="125" t="s">
        <v>1066</v>
      </c>
      <c r="Z373" s="125" t="s">
        <v>1066</v>
      </c>
      <c r="AA373" s="125" t="s">
        <v>1067</v>
      </c>
      <c r="AB373" s="125" t="s">
        <v>1066</v>
      </c>
      <c r="AC373" s="125" t="s">
        <v>92</v>
      </c>
      <c r="AD373" s="125" t="s">
        <v>1066</v>
      </c>
      <c r="AE373" s="125" t="s">
        <v>1066</v>
      </c>
      <c r="AF373" s="125" t="s">
        <v>1066</v>
      </c>
      <c r="AG373" s="125" t="s">
        <v>1066</v>
      </c>
      <c r="AH373" s="125" t="s">
        <v>1066</v>
      </c>
      <c r="AI373" s="125" t="s">
        <v>785</v>
      </c>
      <c r="AJ373" s="125">
        <v>9355539</v>
      </c>
      <c r="AK373" s="125" t="s">
        <v>57</v>
      </c>
      <c r="AL373" s="125">
        <v>811927</v>
      </c>
      <c r="AM373" s="125" t="s">
        <v>1066</v>
      </c>
      <c r="AN373" s="125" t="s">
        <v>1066</v>
      </c>
    </row>
    <row r="374" spans="1:40" ht="55.5" customHeight="1" x14ac:dyDescent="0.25">
      <c r="A374" s="111" t="s">
        <v>2542</v>
      </c>
      <c r="B374" s="112">
        <v>2026</v>
      </c>
      <c r="C374" s="112" t="s">
        <v>2543</v>
      </c>
      <c r="D374" s="113">
        <v>45859.528136574074</v>
      </c>
      <c r="E374" s="112">
        <v>9036764032</v>
      </c>
      <c r="F374" s="112" t="s">
        <v>1574</v>
      </c>
      <c r="G374" s="112">
        <v>3</v>
      </c>
      <c r="H374" s="112">
        <v>5836764032</v>
      </c>
      <c r="I374" s="112" t="s">
        <v>2544</v>
      </c>
      <c r="J374" s="112" t="s">
        <v>1071</v>
      </c>
      <c r="K374" s="112" t="s">
        <v>1485</v>
      </c>
      <c r="L374" s="112" t="s">
        <v>1073</v>
      </c>
      <c r="M374" s="112" t="s">
        <v>478</v>
      </c>
      <c r="N374" s="113">
        <v>46143.734583333331</v>
      </c>
      <c r="O374" s="114">
        <v>19002682486</v>
      </c>
      <c r="P374" s="112">
        <v>465</v>
      </c>
      <c r="Q374" s="112" t="s">
        <v>1074</v>
      </c>
      <c r="R374" s="112" t="s">
        <v>1075</v>
      </c>
      <c r="S374" s="113">
        <v>46162.41300925926</v>
      </c>
      <c r="T374" s="112" t="s">
        <v>2545</v>
      </c>
      <c r="U374" s="112" t="s">
        <v>1065</v>
      </c>
      <c r="V374" s="112" t="s">
        <v>1066</v>
      </c>
      <c r="W374" s="112" t="s">
        <v>1066</v>
      </c>
      <c r="X374" s="112" t="s">
        <v>1077</v>
      </c>
      <c r="Y374" s="112" t="s">
        <v>1066</v>
      </c>
      <c r="Z374" s="112" t="s">
        <v>1479</v>
      </c>
      <c r="AA374" s="112" t="s">
        <v>1067</v>
      </c>
      <c r="AB374" s="112" t="s">
        <v>1066</v>
      </c>
      <c r="AC374" s="112" t="s">
        <v>92</v>
      </c>
      <c r="AD374" s="112" t="s">
        <v>1066</v>
      </c>
      <c r="AE374" s="112" t="s">
        <v>1066</v>
      </c>
      <c r="AF374" s="112" t="s">
        <v>1066</v>
      </c>
      <c r="AG374" s="112" t="s">
        <v>1066</v>
      </c>
      <c r="AH374" s="112" t="s">
        <v>2546</v>
      </c>
      <c r="AI374" s="112" t="s">
        <v>785</v>
      </c>
      <c r="AJ374" s="112">
        <v>8568702</v>
      </c>
      <c r="AK374" s="112" t="s">
        <v>469</v>
      </c>
      <c r="AL374" s="112">
        <v>627388</v>
      </c>
      <c r="AM374" s="112" t="s">
        <v>1066</v>
      </c>
      <c r="AN374" s="112" t="s">
        <v>1066</v>
      </c>
    </row>
    <row r="375" spans="1:40" ht="55.5" customHeight="1" x14ac:dyDescent="0.25">
      <c r="A375" s="111" t="s">
        <v>2547</v>
      </c>
      <c r="B375" s="112">
        <v>2026</v>
      </c>
      <c r="C375" s="112" t="s">
        <v>2548</v>
      </c>
      <c r="D375" s="113">
        <v>46043.417581018519</v>
      </c>
      <c r="E375" s="112">
        <v>7900018016</v>
      </c>
      <c r="F375" s="112" t="s">
        <v>1654</v>
      </c>
      <c r="G375" s="112">
        <v>2</v>
      </c>
      <c r="H375" s="112">
        <v>7900018016</v>
      </c>
      <c r="I375" s="112" t="s">
        <v>2549</v>
      </c>
      <c r="J375" s="112" t="s">
        <v>1071</v>
      </c>
      <c r="K375" s="112" t="s">
        <v>1681</v>
      </c>
      <c r="L375" s="112" t="s">
        <v>1073</v>
      </c>
      <c r="M375" s="112" t="s">
        <v>478</v>
      </c>
      <c r="N375" s="113">
        <v>46046.417581018519</v>
      </c>
      <c r="O375" s="114">
        <v>19002223846</v>
      </c>
      <c r="P375" s="112">
        <v>174</v>
      </c>
      <c r="Q375" s="112" t="s">
        <v>1062</v>
      </c>
      <c r="R375" s="112" t="s">
        <v>1324</v>
      </c>
      <c r="S375" s="113">
        <v>46153.729166666664</v>
      </c>
      <c r="T375" s="112" t="s">
        <v>2550</v>
      </c>
      <c r="U375" s="112" t="s">
        <v>1065</v>
      </c>
      <c r="V375" s="112" t="s">
        <v>1066</v>
      </c>
      <c r="W375" s="112" t="s">
        <v>1066</v>
      </c>
      <c r="X375" s="112" t="s">
        <v>983</v>
      </c>
      <c r="Y375" s="112" t="s">
        <v>1066</v>
      </c>
      <c r="Z375" s="112" t="s">
        <v>1066</v>
      </c>
      <c r="AA375" s="112" t="s">
        <v>1067</v>
      </c>
      <c r="AB375" s="112" t="s">
        <v>1066</v>
      </c>
      <c r="AC375" s="112" t="s">
        <v>92</v>
      </c>
      <c r="AD375" s="112" t="s">
        <v>1066</v>
      </c>
      <c r="AE375" s="112" t="s">
        <v>1066</v>
      </c>
      <c r="AF375" s="112" t="s">
        <v>1066</v>
      </c>
      <c r="AG375" s="112" t="s">
        <v>1066</v>
      </c>
      <c r="AH375" s="112" t="s">
        <v>1066</v>
      </c>
      <c r="AI375" s="112" t="s">
        <v>785</v>
      </c>
      <c r="AJ375" s="112">
        <v>9243358</v>
      </c>
      <c r="AK375" s="112" t="s">
        <v>537</v>
      </c>
      <c r="AL375" s="112">
        <v>834945</v>
      </c>
      <c r="AM375" s="112" t="s">
        <v>1066</v>
      </c>
      <c r="AN375" s="112" t="s">
        <v>1066</v>
      </c>
    </row>
    <row r="376" spans="1:40" ht="55.5" customHeight="1" x14ac:dyDescent="0.25">
      <c r="A376" s="111" t="s">
        <v>2551</v>
      </c>
      <c r="B376" s="112">
        <v>2026</v>
      </c>
      <c r="C376" s="112" t="s">
        <v>2552</v>
      </c>
      <c r="D376" s="113">
        <v>46111.902708333335</v>
      </c>
      <c r="E376" s="112">
        <v>7927312010</v>
      </c>
      <c r="F376" s="112" t="s">
        <v>1613</v>
      </c>
      <c r="G376" s="112">
        <v>2</v>
      </c>
      <c r="H376" s="112">
        <v>7927312010</v>
      </c>
      <c r="I376" s="112" t="s">
        <v>2553</v>
      </c>
      <c r="J376" s="112" t="s">
        <v>1071</v>
      </c>
      <c r="K376" s="112" t="s">
        <v>1662</v>
      </c>
      <c r="L376" s="112" t="s">
        <v>1073</v>
      </c>
      <c r="M376" s="112" t="s">
        <v>478</v>
      </c>
      <c r="N376" s="113">
        <v>46114.902708333335</v>
      </c>
      <c r="O376" s="114">
        <v>19002295967</v>
      </c>
      <c r="P376" s="112">
        <v>791</v>
      </c>
      <c r="Q376" s="112" t="s">
        <v>1062</v>
      </c>
      <c r="R376" s="112" t="s">
        <v>1075</v>
      </c>
      <c r="S376" s="113">
        <v>46139.680555555555</v>
      </c>
      <c r="T376" s="112" t="s">
        <v>2554</v>
      </c>
      <c r="U376" s="112" t="s">
        <v>1065</v>
      </c>
      <c r="V376" s="112" t="s">
        <v>1066</v>
      </c>
      <c r="W376" s="112" t="s">
        <v>1066</v>
      </c>
      <c r="X376" s="112" t="s">
        <v>1173</v>
      </c>
      <c r="Y376" s="112" t="s">
        <v>1066</v>
      </c>
      <c r="Z376" s="112" t="s">
        <v>1318</v>
      </c>
      <c r="AA376" s="112" t="s">
        <v>1067</v>
      </c>
      <c r="AB376" s="112" t="s">
        <v>1066</v>
      </c>
      <c r="AC376" s="112" t="s">
        <v>92</v>
      </c>
      <c r="AD376" s="112" t="s">
        <v>1066</v>
      </c>
      <c r="AE376" s="112" t="s">
        <v>1066</v>
      </c>
      <c r="AF376" s="112" t="s">
        <v>1066</v>
      </c>
      <c r="AG376" s="112" t="s">
        <v>1066</v>
      </c>
      <c r="AH376" s="112" t="s">
        <v>1066</v>
      </c>
      <c r="AI376" s="112" t="s">
        <v>785</v>
      </c>
      <c r="AJ376" s="112">
        <v>8910320</v>
      </c>
      <c r="AK376" s="112" t="s">
        <v>1442</v>
      </c>
      <c r="AL376" s="112">
        <v>800224</v>
      </c>
      <c r="AM376" s="112" t="s">
        <v>1066</v>
      </c>
      <c r="AN376" s="112" t="s">
        <v>1066</v>
      </c>
    </row>
    <row r="377" spans="1:40" ht="55.5" customHeight="1" x14ac:dyDescent="0.25">
      <c r="A377" s="124" t="s">
        <v>2555</v>
      </c>
      <c r="B377" s="125">
        <v>2026</v>
      </c>
      <c r="C377" s="125" t="s">
        <v>1210</v>
      </c>
      <c r="D377" s="126">
        <v>46114.608900462961</v>
      </c>
      <c r="E377" s="125">
        <v>7913348136</v>
      </c>
      <c r="F377" s="125" t="s">
        <v>95</v>
      </c>
      <c r="G377" s="125">
        <v>2</v>
      </c>
      <c r="H377" s="125">
        <v>7913348136</v>
      </c>
      <c r="I377" s="125" t="s">
        <v>1317</v>
      </c>
      <c r="J377" s="125" t="s">
        <v>1066</v>
      </c>
      <c r="K377" s="125" t="s">
        <v>1125</v>
      </c>
      <c r="L377" s="125" t="s">
        <v>1061</v>
      </c>
      <c r="M377" s="125" t="s">
        <v>510</v>
      </c>
      <c r="N377" s="126">
        <v>46514.608900462961</v>
      </c>
      <c r="O377" s="127">
        <v>19002205070</v>
      </c>
      <c r="P377" s="125">
        <v>183</v>
      </c>
      <c r="Q377" s="125" t="s">
        <v>1062</v>
      </c>
      <c r="R377" s="125" t="s">
        <v>1063</v>
      </c>
      <c r="S377" s="125" t="s">
        <v>1066</v>
      </c>
      <c r="T377" s="125" t="s">
        <v>1066</v>
      </c>
      <c r="U377" s="125" t="s">
        <v>1066</v>
      </c>
      <c r="V377" s="125" t="s">
        <v>1066</v>
      </c>
      <c r="W377" s="125" t="s">
        <v>1066</v>
      </c>
      <c r="X377" s="125" t="s">
        <v>1066</v>
      </c>
      <c r="Y377" s="125" t="s">
        <v>1066</v>
      </c>
      <c r="Z377" s="125" t="s">
        <v>1066</v>
      </c>
      <c r="AA377" s="125" t="s">
        <v>1067</v>
      </c>
      <c r="AB377" s="125" t="s">
        <v>1066</v>
      </c>
      <c r="AC377" s="125" t="s">
        <v>92</v>
      </c>
      <c r="AD377" s="125" t="s">
        <v>1066</v>
      </c>
      <c r="AE377" s="125" t="s">
        <v>1066</v>
      </c>
      <c r="AF377" s="125" t="s">
        <v>1066</v>
      </c>
      <c r="AG377" s="125" t="s">
        <v>1066</v>
      </c>
      <c r="AH377" s="125" t="s">
        <v>1066</v>
      </c>
      <c r="AI377" s="125" t="s">
        <v>785</v>
      </c>
      <c r="AJ377" s="125">
        <v>9166611</v>
      </c>
      <c r="AK377" s="125" t="s">
        <v>1319</v>
      </c>
      <c r="AL377" s="125">
        <v>680682</v>
      </c>
      <c r="AM377" s="125" t="s">
        <v>1066</v>
      </c>
      <c r="AN377" s="125" t="s">
        <v>1066</v>
      </c>
    </row>
    <row r="378" spans="1:40" ht="55.5" customHeight="1" x14ac:dyDescent="0.25">
      <c r="A378" s="111" t="s">
        <v>2556</v>
      </c>
      <c r="B378" s="112">
        <v>2026</v>
      </c>
      <c r="C378" s="112" t="s">
        <v>1057</v>
      </c>
      <c r="D378" s="113">
        <v>46125.614548611113</v>
      </c>
      <c r="E378" s="112">
        <v>7938136007</v>
      </c>
      <c r="F378" s="112" t="s">
        <v>2557</v>
      </c>
      <c r="G378" s="112">
        <v>3</v>
      </c>
      <c r="H378" s="112">
        <v>7938136007</v>
      </c>
      <c r="I378" s="112" t="s">
        <v>2558</v>
      </c>
      <c r="J378" s="112" t="s">
        <v>1066</v>
      </c>
      <c r="K378" s="112" t="s">
        <v>1125</v>
      </c>
      <c r="L378" s="112" t="s">
        <v>1061</v>
      </c>
      <c r="M378" s="112" t="s">
        <v>478</v>
      </c>
      <c r="N378" s="113">
        <v>46525.614548611113</v>
      </c>
      <c r="O378" s="114">
        <v>19002210557</v>
      </c>
      <c r="P378" s="112">
        <v>0</v>
      </c>
      <c r="Q378" s="112" t="s">
        <v>1062</v>
      </c>
      <c r="R378" s="112" t="s">
        <v>1063</v>
      </c>
      <c r="S378" s="113">
        <v>46197.731203703705</v>
      </c>
      <c r="T378" s="112" t="s">
        <v>2559</v>
      </c>
      <c r="U378" s="112" t="s">
        <v>1065</v>
      </c>
      <c r="V378" s="112" t="s">
        <v>1066</v>
      </c>
      <c r="W378" s="112" t="s">
        <v>1066</v>
      </c>
      <c r="X378" s="112" t="s">
        <v>1066</v>
      </c>
      <c r="Y378" s="112" t="s">
        <v>1066</v>
      </c>
      <c r="Z378" s="112" t="s">
        <v>1066</v>
      </c>
      <c r="AA378" s="112" t="s">
        <v>1067</v>
      </c>
      <c r="AB378" s="112" t="s">
        <v>1066</v>
      </c>
      <c r="AC378" s="112" t="s">
        <v>92</v>
      </c>
      <c r="AD378" s="112" t="s">
        <v>1066</v>
      </c>
      <c r="AE378" s="112" t="s">
        <v>1066</v>
      </c>
      <c r="AF378" s="112" t="s">
        <v>1066</v>
      </c>
      <c r="AG378" s="112" t="s">
        <v>1066</v>
      </c>
      <c r="AH378" s="112" t="s">
        <v>1066</v>
      </c>
      <c r="AI378" s="112" t="s">
        <v>785</v>
      </c>
      <c r="AJ378" s="112">
        <v>8942148</v>
      </c>
      <c r="AK378" s="112" t="s">
        <v>100</v>
      </c>
      <c r="AL378" s="112">
        <v>786447</v>
      </c>
      <c r="AM378" s="112" t="s">
        <v>1066</v>
      </c>
      <c r="AN378" s="112" t="s">
        <v>1066</v>
      </c>
    </row>
    <row r="379" spans="1:40" ht="55.5" customHeight="1" x14ac:dyDescent="0.25">
      <c r="A379" s="111" t="s">
        <v>2560</v>
      </c>
      <c r="B379" s="112">
        <v>2026</v>
      </c>
      <c r="C379" s="112" t="s">
        <v>1188</v>
      </c>
      <c r="D379" s="113">
        <v>46223.460763888892</v>
      </c>
      <c r="E379" s="112">
        <v>7934079003</v>
      </c>
      <c r="F379" s="112" t="s">
        <v>2020</v>
      </c>
      <c r="G379" s="112">
        <v>1</v>
      </c>
      <c r="H379" s="112">
        <v>7934079003</v>
      </c>
      <c r="I379" s="112" t="s">
        <v>2021</v>
      </c>
      <c r="J379" s="112" t="s">
        <v>1092</v>
      </c>
      <c r="K379" s="112" t="s">
        <v>1191</v>
      </c>
      <c r="L379" s="112" t="s">
        <v>1061</v>
      </c>
      <c r="M379" s="112" t="s">
        <v>478</v>
      </c>
      <c r="N379" s="113">
        <v>46623.460763888892</v>
      </c>
      <c r="O379" s="114">
        <v>19002619726</v>
      </c>
      <c r="P379" s="112">
        <v>0</v>
      </c>
      <c r="Q379" s="112" t="s">
        <v>1062</v>
      </c>
      <c r="R379" s="112" t="s">
        <v>1063</v>
      </c>
      <c r="S379" s="113">
        <v>46231.479363425926</v>
      </c>
      <c r="T379" s="112" t="s">
        <v>2561</v>
      </c>
      <c r="U379" s="112" t="s">
        <v>1065</v>
      </c>
      <c r="V379" s="112" t="s">
        <v>1066</v>
      </c>
      <c r="W379" s="112" t="s">
        <v>1066</v>
      </c>
      <c r="X379" s="112" t="s">
        <v>1066</v>
      </c>
      <c r="Y379" s="112" t="s">
        <v>1066</v>
      </c>
      <c r="Z379" s="112" t="s">
        <v>1066</v>
      </c>
      <c r="AA379" s="112" t="s">
        <v>1067</v>
      </c>
      <c r="AB379" s="112" t="s">
        <v>1066</v>
      </c>
      <c r="AC379" s="112" t="s">
        <v>92</v>
      </c>
      <c r="AD379" s="112" t="s">
        <v>1066</v>
      </c>
      <c r="AE379" s="112" t="s">
        <v>1066</v>
      </c>
      <c r="AF379" s="112" t="s">
        <v>1066</v>
      </c>
      <c r="AG379" s="112" t="s">
        <v>1066</v>
      </c>
      <c r="AH379" s="112" t="s">
        <v>1066</v>
      </c>
      <c r="AI379" s="112" t="s">
        <v>785</v>
      </c>
      <c r="AJ379" s="112">
        <v>8703106</v>
      </c>
      <c r="AK379" s="112" t="s">
        <v>210</v>
      </c>
      <c r="AL379" s="112">
        <v>709480</v>
      </c>
      <c r="AM379" s="112" t="s">
        <v>1066</v>
      </c>
      <c r="AN379" s="112" t="s">
        <v>1066</v>
      </c>
    </row>
    <row r="380" spans="1:40" ht="55.5" customHeight="1" x14ac:dyDescent="0.25">
      <c r="A380" s="111" t="s">
        <v>2562</v>
      </c>
      <c r="B380" s="112">
        <v>2026</v>
      </c>
      <c r="C380" s="112" t="s">
        <v>2563</v>
      </c>
      <c r="D380" s="113">
        <v>46036.345995370371</v>
      </c>
      <c r="E380" s="112">
        <v>7900032086</v>
      </c>
      <c r="F380" s="112" t="s">
        <v>314</v>
      </c>
      <c r="G380" s="112">
        <v>3</v>
      </c>
      <c r="H380" s="112">
        <v>7900032086</v>
      </c>
      <c r="I380" s="112" t="s">
        <v>2564</v>
      </c>
      <c r="J380" s="112" t="s">
        <v>1071</v>
      </c>
      <c r="K380" s="112" t="s">
        <v>1072</v>
      </c>
      <c r="L380" s="112" t="s">
        <v>1073</v>
      </c>
      <c r="M380" s="112" t="s">
        <v>478</v>
      </c>
      <c r="N380" s="113">
        <v>46039.345995370371</v>
      </c>
      <c r="O380" s="114">
        <v>19002295961</v>
      </c>
      <c r="P380" s="112">
        <v>0</v>
      </c>
      <c r="Q380" s="112" t="s">
        <v>1062</v>
      </c>
      <c r="R380" s="112" t="s">
        <v>1075</v>
      </c>
      <c r="S380" s="113">
        <v>46056.387824074074</v>
      </c>
      <c r="T380" s="112" t="s">
        <v>2565</v>
      </c>
      <c r="U380" s="112" t="s">
        <v>1065</v>
      </c>
      <c r="V380" s="112" t="s">
        <v>1066</v>
      </c>
      <c r="W380" s="112" t="s">
        <v>1066</v>
      </c>
      <c r="X380" s="112" t="s">
        <v>983</v>
      </c>
      <c r="Y380" s="112" t="s">
        <v>1066</v>
      </c>
      <c r="Z380" s="112" t="s">
        <v>1652</v>
      </c>
      <c r="AA380" s="112" t="s">
        <v>1067</v>
      </c>
      <c r="AB380" s="112" t="s">
        <v>1066</v>
      </c>
      <c r="AC380" s="112" t="s">
        <v>92</v>
      </c>
      <c r="AD380" s="112" t="s">
        <v>1066</v>
      </c>
      <c r="AE380" s="112" t="s">
        <v>1066</v>
      </c>
      <c r="AF380" s="112" t="s">
        <v>1066</v>
      </c>
      <c r="AG380" s="112" t="s">
        <v>1066</v>
      </c>
      <c r="AH380" s="112" t="s">
        <v>1066</v>
      </c>
      <c r="AI380" s="112" t="s">
        <v>785</v>
      </c>
      <c r="AJ380" s="112">
        <v>8916032</v>
      </c>
      <c r="AK380" s="112" t="s">
        <v>1143</v>
      </c>
      <c r="AL380" s="112">
        <v>644734</v>
      </c>
      <c r="AM380" s="112" t="s">
        <v>1066</v>
      </c>
      <c r="AN380" s="112" t="s">
        <v>1066</v>
      </c>
    </row>
    <row r="381" spans="1:40" ht="55.5" customHeight="1" x14ac:dyDescent="0.25">
      <c r="A381" s="115" t="s">
        <v>2566</v>
      </c>
      <c r="B381" s="116">
        <v>2026</v>
      </c>
      <c r="C381" s="116" t="s">
        <v>2567</v>
      </c>
      <c r="D381" s="118">
        <v>46068.857847222222</v>
      </c>
      <c r="E381" s="116">
        <v>7921202014</v>
      </c>
      <c r="F381" s="116" t="s">
        <v>314</v>
      </c>
      <c r="G381" s="116">
        <v>3</v>
      </c>
      <c r="H381" s="116">
        <v>7921202014</v>
      </c>
      <c r="I381" s="116" t="s">
        <v>2568</v>
      </c>
      <c r="J381" s="116" t="s">
        <v>1071</v>
      </c>
      <c r="K381" s="116" t="s">
        <v>1110</v>
      </c>
      <c r="L381" s="116" t="s">
        <v>1073</v>
      </c>
      <c r="M381" s="116" t="s">
        <v>588</v>
      </c>
      <c r="N381" s="118">
        <v>46214.427233796298</v>
      </c>
      <c r="O381" s="119">
        <v>19001187643</v>
      </c>
      <c r="P381" s="116">
        <v>548</v>
      </c>
      <c r="Q381" s="116" t="s">
        <v>983</v>
      </c>
      <c r="R381" s="116" t="s">
        <v>1075</v>
      </c>
      <c r="S381" s="116" t="s">
        <v>1066</v>
      </c>
      <c r="T381" s="116" t="s">
        <v>1066</v>
      </c>
      <c r="U381" s="116" t="s">
        <v>1066</v>
      </c>
      <c r="V381" s="116" t="s">
        <v>1066</v>
      </c>
      <c r="W381" s="116" t="s">
        <v>1066</v>
      </c>
      <c r="X381" s="116" t="s">
        <v>1066</v>
      </c>
      <c r="Y381" s="116" t="s">
        <v>1066</v>
      </c>
      <c r="Z381" s="116" t="s">
        <v>1066</v>
      </c>
      <c r="AA381" s="116" t="s">
        <v>1067</v>
      </c>
      <c r="AB381" s="116" t="s">
        <v>1066</v>
      </c>
      <c r="AC381" s="116" t="s">
        <v>92</v>
      </c>
      <c r="AD381" s="116" t="s">
        <v>1142</v>
      </c>
      <c r="AE381" s="116" t="s">
        <v>1066</v>
      </c>
      <c r="AF381" s="116" t="s">
        <v>1066</v>
      </c>
      <c r="AG381" s="116" t="s">
        <v>1066</v>
      </c>
      <c r="AH381" s="116" t="s">
        <v>2569</v>
      </c>
      <c r="AI381" s="116" t="s">
        <v>785</v>
      </c>
      <c r="AJ381" s="116" t="s">
        <v>1066</v>
      </c>
      <c r="AK381" s="116" t="s">
        <v>1066</v>
      </c>
      <c r="AL381" s="116" t="s">
        <v>1066</v>
      </c>
      <c r="AM381" s="116" t="s">
        <v>1066</v>
      </c>
      <c r="AN381" s="116" t="s">
        <v>1066</v>
      </c>
    </row>
    <row r="382" spans="1:40" ht="55.5" customHeight="1" x14ac:dyDescent="0.25">
      <c r="A382" s="111" t="s">
        <v>2570</v>
      </c>
      <c r="B382" s="112">
        <v>2026</v>
      </c>
      <c r="C382" s="112" t="s">
        <v>2571</v>
      </c>
      <c r="D382" s="113">
        <v>46077.599270833336</v>
      </c>
      <c r="E382" s="112" t="s">
        <v>1066</v>
      </c>
      <c r="F382" s="112" t="s">
        <v>2572</v>
      </c>
      <c r="G382" s="112" t="s">
        <v>1066</v>
      </c>
      <c r="H382" s="112" t="s">
        <v>1066</v>
      </c>
      <c r="I382" s="112" t="s">
        <v>2573</v>
      </c>
      <c r="J382" s="112" t="s">
        <v>1059</v>
      </c>
      <c r="K382" s="112" t="s">
        <v>1060</v>
      </c>
      <c r="L382" s="112" t="s">
        <v>1061</v>
      </c>
      <c r="M382" s="112" t="s">
        <v>478</v>
      </c>
      <c r="N382" s="113">
        <v>46477.599270833336</v>
      </c>
      <c r="O382" s="114">
        <v>19000248429</v>
      </c>
      <c r="P382" s="112">
        <v>0</v>
      </c>
      <c r="Q382" s="112" t="s">
        <v>1794</v>
      </c>
      <c r="R382" s="112" t="s">
        <v>1063</v>
      </c>
      <c r="S382" s="113">
        <v>46084.733912037038</v>
      </c>
      <c r="T382" s="112" t="s">
        <v>2574</v>
      </c>
      <c r="U382" s="112" t="s">
        <v>1065</v>
      </c>
      <c r="V382" s="112" t="s">
        <v>1066</v>
      </c>
      <c r="W382" s="112" t="s">
        <v>1066</v>
      </c>
      <c r="X382" s="112" t="s">
        <v>1066</v>
      </c>
      <c r="Y382" s="112" t="s">
        <v>1066</v>
      </c>
      <c r="Z382" s="112" t="s">
        <v>1066</v>
      </c>
      <c r="AA382" s="112" t="s">
        <v>1067</v>
      </c>
      <c r="AB382" s="112" t="s">
        <v>1066</v>
      </c>
      <c r="AC382" s="112" t="s">
        <v>92</v>
      </c>
      <c r="AD382" s="112" t="s">
        <v>1066</v>
      </c>
      <c r="AE382" s="112" t="s">
        <v>1066</v>
      </c>
      <c r="AF382" s="112" t="s">
        <v>1066</v>
      </c>
      <c r="AG382" s="112" t="s">
        <v>1066</v>
      </c>
      <c r="AH382" s="112" t="s">
        <v>1066</v>
      </c>
      <c r="AI382" s="112" t="s">
        <v>785</v>
      </c>
      <c r="AJ382" s="112" t="s">
        <v>1066</v>
      </c>
      <c r="AK382" s="112" t="s">
        <v>1066</v>
      </c>
      <c r="AL382" s="112" t="s">
        <v>1066</v>
      </c>
      <c r="AM382" s="112" t="s">
        <v>1066</v>
      </c>
      <c r="AN382" s="112" t="s">
        <v>1066</v>
      </c>
    </row>
    <row r="383" spans="1:40" ht="55.5" customHeight="1" x14ac:dyDescent="0.25">
      <c r="A383" s="111" t="s">
        <v>2575</v>
      </c>
      <c r="B383" s="112">
        <v>2026</v>
      </c>
      <c r="C383" s="112" t="s">
        <v>1210</v>
      </c>
      <c r="D383" s="113">
        <v>46114.608900462961</v>
      </c>
      <c r="E383" s="112">
        <v>7944239196</v>
      </c>
      <c r="F383" s="112" t="s">
        <v>234</v>
      </c>
      <c r="G383" s="112">
        <v>3</v>
      </c>
      <c r="H383" s="112">
        <v>7944239196</v>
      </c>
      <c r="I383" s="112" t="s">
        <v>2576</v>
      </c>
      <c r="J383" s="112" t="s">
        <v>1066</v>
      </c>
      <c r="K383" s="112" t="s">
        <v>1125</v>
      </c>
      <c r="L383" s="112" t="s">
        <v>1061</v>
      </c>
      <c r="M383" s="112" t="s">
        <v>478</v>
      </c>
      <c r="N383" s="113">
        <v>46514.608900462961</v>
      </c>
      <c r="O383" s="114">
        <v>19002212529</v>
      </c>
      <c r="P383" s="112">
        <v>113</v>
      </c>
      <c r="Q383" s="112" t="s">
        <v>1062</v>
      </c>
      <c r="R383" s="112" t="s">
        <v>1063</v>
      </c>
      <c r="S383" s="113">
        <v>46190.463425925926</v>
      </c>
      <c r="T383" s="112" t="s">
        <v>2577</v>
      </c>
      <c r="U383" s="112" t="s">
        <v>1065</v>
      </c>
      <c r="V383" s="112" t="s">
        <v>1066</v>
      </c>
      <c r="W383" s="112" t="s">
        <v>1066</v>
      </c>
      <c r="X383" s="112" t="s">
        <v>1066</v>
      </c>
      <c r="Y383" s="112" t="s">
        <v>1066</v>
      </c>
      <c r="Z383" s="112" t="s">
        <v>1066</v>
      </c>
      <c r="AA383" s="112" t="s">
        <v>1067</v>
      </c>
      <c r="AB383" s="112" t="s">
        <v>1066</v>
      </c>
      <c r="AC383" s="112" t="s">
        <v>92</v>
      </c>
      <c r="AD383" s="112" t="s">
        <v>1066</v>
      </c>
      <c r="AE383" s="112" t="s">
        <v>1066</v>
      </c>
      <c r="AF383" s="112" t="s">
        <v>1066</v>
      </c>
      <c r="AG383" s="112" t="s">
        <v>1066</v>
      </c>
      <c r="AH383" s="112" t="s">
        <v>1066</v>
      </c>
      <c r="AI383" s="112" t="s">
        <v>785</v>
      </c>
      <c r="AJ383" s="112">
        <v>8859926</v>
      </c>
      <c r="AK383" s="112" t="s">
        <v>233</v>
      </c>
      <c r="AL383" s="112">
        <v>876051</v>
      </c>
      <c r="AM383" s="112" t="s">
        <v>1066</v>
      </c>
      <c r="AN383" s="112" t="s">
        <v>1066</v>
      </c>
    </row>
    <row r="384" spans="1:40" ht="55.5" customHeight="1" x14ac:dyDescent="0.25">
      <c r="A384" s="111" t="s">
        <v>2578</v>
      </c>
      <c r="B384" s="112">
        <v>2026</v>
      </c>
      <c r="C384" s="112" t="s">
        <v>1213</v>
      </c>
      <c r="D384" s="113">
        <v>46122.549942129626</v>
      </c>
      <c r="E384" s="112">
        <v>7930264015</v>
      </c>
      <c r="F384" s="112" t="s">
        <v>88</v>
      </c>
      <c r="G384" s="112">
        <v>1</v>
      </c>
      <c r="H384" s="112">
        <v>7930264015</v>
      </c>
      <c r="I384" s="112" t="s">
        <v>2579</v>
      </c>
      <c r="J384" s="112" t="s">
        <v>1066</v>
      </c>
      <c r="K384" s="112" t="s">
        <v>1125</v>
      </c>
      <c r="L384" s="112" t="s">
        <v>1061</v>
      </c>
      <c r="M384" s="112" t="s">
        <v>478</v>
      </c>
      <c r="N384" s="113">
        <v>46522.549942129626</v>
      </c>
      <c r="O384" s="114">
        <v>19002207674</v>
      </c>
      <c r="P384" s="112">
        <v>0</v>
      </c>
      <c r="Q384" s="112" t="s">
        <v>1062</v>
      </c>
      <c r="R384" s="112" t="s">
        <v>1063</v>
      </c>
      <c r="S384" s="113">
        <v>46142.729166666664</v>
      </c>
      <c r="T384" s="112" t="s">
        <v>2580</v>
      </c>
      <c r="U384" s="112" t="s">
        <v>1065</v>
      </c>
      <c r="V384" s="112" t="s">
        <v>1066</v>
      </c>
      <c r="W384" s="112" t="s">
        <v>1066</v>
      </c>
      <c r="X384" s="112" t="s">
        <v>1066</v>
      </c>
      <c r="Y384" s="112" t="s">
        <v>1066</v>
      </c>
      <c r="Z384" s="112" t="s">
        <v>1066</v>
      </c>
      <c r="AA384" s="112" t="s">
        <v>1067</v>
      </c>
      <c r="AB384" s="112" t="s">
        <v>1066</v>
      </c>
      <c r="AC384" s="112" t="s">
        <v>92</v>
      </c>
      <c r="AD384" s="112" t="s">
        <v>1066</v>
      </c>
      <c r="AE384" s="112" t="s">
        <v>1066</v>
      </c>
      <c r="AF384" s="112" t="s">
        <v>1066</v>
      </c>
      <c r="AG384" s="112" t="s">
        <v>1066</v>
      </c>
      <c r="AH384" s="112" t="s">
        <v>1066</v>
      </c>
      <c r="AI384" s="112" t="s">
        <v>785</v>
      </c>
      <c r="AJ384" s="112">
        <v>8982315</v>
      </c>
      <c r="AK384" s="112" t="s">
        <v>288</v>
      </c>
      <c r="AL384" s="112">
        <v>811962</v>
      </c>
      <c r="AM384" s="112" t="s">
        <v>1066</v>
      </c>
      <c r="AN384" s="112" t="s">
        <v>1066</v>
      </c>
    </row>
    <row r="385" spans="1:40" ht="55.5" customHeight="1" x14ac:dyDescent="0.25">
      <c r="A385" s="111" t="s">
        <v>2581</v>
      </c>
      <c r="B385" s="112">
        <v>2026</v>
      </c>
      <c r="C385" s="112" t="s">
        <v>1057</v>
      </c>
      <c r="D385" s="113">
        <v>46125.614548611113</v>
      </c>
      <c r="E385" s="112">
        <v>7905502059</v>
      </c>
      <c r="F385" s="112" t="s">
        <v>2582</v>
      </c>
      <c r="G385" s="112">
        <v>1</v>
      </c>
      <c r="H385" s="112">
        <v>7905502059</v>
      </c>
      <c r="I385" s="112" t="s">
        <v>2583</v>
      </c>
      <c r="J385" s="112" t="s">
        <v>1066</v>
      </c>
      <c r="K385" s="112" t="s">
        <v>1125</v>
      </c>
      <c r="L385" s="112" t="s">
        <v>1061</v>
      </c>
      <c r="M385" s="112" t="s">
        <v>478</v>
      </c>
      <c r="N385" s="113">
        <v>46525.614548611113</v>
      </c>
      <c r="O385" s="114">
        <v>19002204909</v>
      </c>
      <c r="P385" s="112">
        <v>0</v>
      </c>
      <c r="Q385" s="112" t="s">
        <v>1062</v>
      </c>
      <c r="R385" s="112" t="s">
        <v>1063</v>
      </c>
      <c r="S385" s="113">
        <v>46176.429097222222</v>
      </c>
      <c r="T385" s="112" t="s">
        <v>2584</v>
      </c>
      <c r="U385" s="112" t="s">
        <v>1065</v>
      </c>
      <c r="V385" s="112" t="s">
        <v>1066</v>
      </c>
      <c r="W385" s="112" t="s">
        <v>1066</v>
      </c>
      <c r="X385" s="112" t="s">
        <v>1066</v>
      </c>
      <c r="Y385" s="112" t="s">
        <v>1066</v>
      </c>
      <c r="Z385" s="112" t="s">
        <v>1066</v>
      </c>
      <c r="AA385" s="112" t="s">
        <v>1067</v>
      </c>
      <c r="AB385" s="112" t="s">
        <v>1066</v>
      </c>
      <c r="AC385" s="112" t="s">
        <v>92</v>
      </c>
      <c r="AD385" s="112" t="s">
        <v>1066</v>
      </c>
      <c r="AE385" s="112" t="s">
        <v>1066</v>
      </c>
      <c r="AF385" s="112" t="s">
        <v>1066</v>
      </c>
      <c r="AG385" s="112" t="s">
        <v>1066</v>
      </c>
      <c r="AH385" s="112" t="s">
        <v>1066</v>
      </c>
      <c r="AI385" s="112" t="s">
        <v>785</v>
      </c>
      <c r="AJ385" s="112">
        <v>8856048</v>
      </c>
      <c r="AK385" s="112" t="s">
        <v>264</v>
      </c>
      <c r="AL385" s="112">
        <v>793682</v>
      </c>
      <c r="AM385" s="112" t="s">
        <v>1066</v>
      </c>
      <c r="AN385" s="112" t="s">
        <v>1066</v>
      </c>
    </row>
    <row r="386" spans="1:40" ht="55.5" customHeight="1" x14ac:dyDescent="0.25">
      <c r="A386" s="120" t="s">
        <v>2585</v>
      </c>
      <c r="B386" s="121">
        <v>2026</v>
      </c>
      <c r="C386" s="121" t="s">
        <v>2586</v>
      </c>
      <c r="D386" s="122">
        <v>46063.634629629632</v>
      </c>
      <c r="E386" s="121">
        <v>7900543083</v>
      </c>
      <c r="F386" s="121" t="s">
        <v>1090</v>
      </c>
      <c r="G386" s="121">
        <v>2</v>
      </c>
      <c r="H386" s="121">
        <v>7900543083</v>
      </c>
      <c r="I386" s="121" t="s">
        <v>2367</v>
      </c>
      <c r="J386" s="121" t="s">
        <v>1071</v>
      </c>
      <c r="K386" s="121" t="s">
        <v>1323</v>
      </c>
      <c r="L386" s="121" t="s">
        <v>1073</v>
      </c>
      <c r="M386" s="121" t="s">
        <v>1116</v>
      </c>
      <c r="N386" s="122">
        <v>46066.634629629632</v>
      </c>
      <c r="O386" s="123">
        <v>19002212249</v>
      </c>
      <c r="P386" s="121">
        <v>1.9530000000000001</v>
      </c>
      <c r="Q386" s="121" t="s">
        <v>1062</v>
      </c>
      <c r="R386" s="121" t="s">
        <v>1324</v>
      </c>
      <c r="S386" s="122">
        <v>46071.606874999998</v>
      </c>
      <c r="T386" s="121" t="s">
        <v>1066</v>
      </c>
      <c r="U386" s="121" t="s">
        <v>1066</v>
      </c>
      <c r="V386" s="121" t="s">
        <v>1066</v>
      </c>
      <c r="W386" s="121" t="s">
        <v>1066</v>
      </c>
      <c r="X386" s="121" t="s">
        <v>983</v>
      </c>
      <c r="Y386" s="121" t="s">
        <v>1066</v>
      </c>
      <c r="Z386" s="121" t="s">
        <v>1409</v>
      </c>
      <c r="AA386" s="121" t="s">
        <v>1067</v>
      </c>
      <c r="AB386" s="121" t="s">
        <v>1066</v>
      </c>
      <c r="AC386" s="121" t="s">
        <v>92</v>
      </c>
      <c r="AD386" s="121" t="s">
        <v>1066</v>
      </c>
      <c r="AE386" s="121" t="s">
        <v>1066</v>
      </c>
      <c r="AF386" s="121" t="s">
        <v>1066</v>
      </c>
      <c r="AG386" s="121" t="s">
        <v>1066</v>
      </c>
      <c r="AH386" s="121" t="s">
        <v>1066</v>
      </c>
      <c r="AI386" s="121" t="s">
        <v>785</v>
      </c>
      <c r="AJ386" s="121">
        <v>8899173</v>
      </c>
      <c r="AK386" s="121" t="s">
        <v>519</v>
      </c>
      <c r="AL386" s="121">
        <v>831823</v>
      </c>
      <c r="AM386" s="121" t="s">
        <v>1066</v>
      </c>
      <c r="AN386" s="121" t="s">
        <v>1066</v>
      </c>
    </row>
    <row r="387" spans="1:40" ht="55.5" customHeight="1" x14ac:dyDescent="0.25">
      <c r="A387" s="111" t="s">
        <v>2587</v>
      </c>
      <c r="B387" s="112">
        <v>2026</v>
      </c>
      <c r="C387" s="112" t="s">
        <v>2588</v>
      </c>
      <c r="D387" s="113">
        <v>46135.666747685187</v>
      </c>
      <c r="E387" s="112">
        <v>7900654055</v>
      </c>
      <c r="F387" s="112" t="s">
        <v>2035</v>
      </c>
      <c r="G387" s="112">
        <v>3</v>
      </c>
      <c r="H387" s="112">
        <v>7900654055</v>
      </c>
      <c r="I387" s="112" t="s">
        <v>2036</v>
      </c>
      <c r="J387" s="112" t="s">
        <v>1071</v>
      </c>
      <c r="K387" s="112" t="s">
        <v>1379</v>
      </c>
      <c r="L387" s="112" t="s">
        <v>1073</v>
      </c>
      <c r="M387" s="112" t="s">
        <v>478</v>
      </c>
      <c r="N387" s="113">
        <v>46138.666747685187</v>
      </c>
      <c r="O387" s="114">
        <v>19002674373</v>
      </c>
      <c r="P387" s="112">
        <v>0</v>
      </c>
      <c r="Q387" s="112" t="s">
        <v>1062</v>
      </c>
      <c r="R387" s="112" t="s">
        <v>1075</v>
      </c>
      <c r="S387" s="113">
        <v>46163.694791666669</v>
      </c>
      <c r="T387" s="112" t="s">
        <v>2589</v>
      </c>
      <c r="U387" s="112" t="s">
        <v>1065</v>
      </c>
      <c r="V387" s="112" t="s">
        <v>1066</v>
      </c>
      <c r="W387" s="112" t="s">
        <v>1066</v>
      </c>
      <c r="X387" s="112" t="s">
        <v>1066</v>
      </c>
      <c r="Y387" s="112" t="s">
        <v>1066</v>
      </c>
      <c r="Z387" s="112" t="s">
        <v>1066</v>
      </c>
      <c r="AA387" s="112" t="s">
        <v>1067</v>
      </c>
      <c r="AB387" s="112" t="s">
        <v>1066</v>
      </c>
      <c r="AC387" s="112" t="s">
        <v>92</v>
      </c>
      <c r="AD387" s="112" t="s">
        <v>1066</v>
      </c>
      <c r="AE387" s="112" t="s">
        <v>1066</v>
      </c>
      <c r="AF387" s="112" t="s">
        <v>1066</v>
      </c>
      <c r="AG387" s="112" t="s">
        <v>1066</v>
      </c>
      <c r="AH387" s="112" t="s">
        <v>1066</v>
      </c>
      <c r="AI387" s="112" t="s">
        <v>785</v>
      </c>
      <c r="AJ387" s="112">
        <v>9025467</v>
      </c>
      <c r="AK387" s="112" t="s">
        <v>482</v>
      </c>
      <c r="AL387" s="112">
        <v>659555</v>
      </c>
      <c r="AM387" s="112" t="s">
        <v>1066</v>
      </c>
      <c r="AN387" s="112" t="s">
        <v>1066</v>
      </c>
    </row>
    <row r="388" spans="1:40" ht="55.5" customHeight="1" x14ac:dyDescent="0.25">
      <c r="A388" s="111" t="s">
        <v>2590</v>
      </c>
      <c r="B388" s="112">
        <v>2026</v>
      </c>
      <c r="C388" s="112" t="s">
        <v>2591</v>
      </c>
      <c r="D388" s="113">
        <v>46077.598032407404</v>
      </c>
      <c r="E388" s="112" t="s">
        <v>1066</v>
      </c>
      <c r="F388" s="112" t="s">
        <v>2592</v>
      </c>
      <c r="G388" s="112" t="s">
        <v>1066</v>
      </c>
      <c r="H388" s="112" t="s">
        <v>1066</v>
      </c>
      <c r="I388" s="112" t="s">
        <v>2593</v>
      </c>
      <c r="J388" s="112" t="s">
        <v>1059</v>
      </c>
      <c r="K388" s="112" t="s">
        <v>1060</v>
      </c>
      <c r="L388" s="112" t="s">
        <v>1061</v>
      </c>
      <c r="M388" s="112" t="s">
        <v>478</v>
      </c>
      <c r="N388" s="113">
        <v>46477.598032407404</v>
      </c>
      <c r="O388" s="114">
        <v>19000248419</v>
      </c>
      <c r="P388" s="112">
        <v>0</v>
      </c>
      <c r="Q388" s="112" t="s">
        <v>1794</v>
      </c>
      <c r="R388" s="112" t="s">
        <v>1063</v>
      </c>
      <c r="S388" s="113">
        <v>46083.732418981483</v>
      </c>
      <c r="T388" s="112" t="s">
        <v>2594</v>
      </c>
      <c r="U388" s="112" t="s">
        <v>1065</v>
      </c>
      <c r="V388" s="112" t="s">
        <v>1066</v>
      </c>
      <c r="W388" s="112" t="s">
        <v>1066</v>
      </c>
      <c r="X388" s="112" t="s">
        <v>1066</v>
      </c>
      <c r="Y388" s="112" t="s">
        <v>1066</v>
      </c>
      <c r="Z388" s="112" t="s">
        <v>1066</v>
      </c>
      <c r="AA388" s="112" t="s">
        <v>1067</v>
      </c>
      <c r="AB388" s="112" t="s">
        <v>1066</v>
      </c>
      <c r="AC388" s="112" t="s">
        <v>92</v>
      </c>
      <c r="AD388" s="112" t="s">
        <v>1142</v>
      </c>
      <c r="AE388" s="112" t="s">
        <v>1066</v>
      </c>
      <c r="AF388" s="112" t="s">
        <v>1066</v>
      </c>
      <c r="AG388" s="112" t="s">
        <v>1066</v>
      </c>
      <c r="AH388" s="112" t="s">
        <v>1066</v>
      </c>
      <c r="AI388" s="112" t="s">
        <v>785</v>
      </c>
      <c r="AJ388" s="112" t="s">
        <v>1066</v>
      </c>
      <c r="AK388" s="112" t="s">
        <v>1066</v>
      </c>
      <c r="AL388" s="112" t="s">
        <v>1066</v>
      </c>
      <c r="AM388" s="112" t="s">
        <v>1066</v>
      </c>
      <c r="AN388" s="112" t="s">
        <v>1066</v>
      </c>
    </row>
    <row r="389" spans="1:40" ht="55.5" customHeight="1" x14ac:dyDescent="0.25">
      <c r="A389" s="111" t="s">
        <v>2595</v>
      </c>
      <c r="B389" s="112">
        <v>2026</v>
      </c>
      <c r="C389" s="112" t="s">
        <v>1057</v>
      </c>
      <c r="D389" s="113">
        <v>46122.378541666665</v>
      </c>
      <c r="E389" s="112">
        <v>7925719023</v>
      </c>
      <c r="F389" s="112" t="s">
        <v>2596</v>
      </c>
      <c r="G389" s="112">
        <v>3</v>
      </c>
      <c r="H389" s="112">
        <v>7925719023</v>
      </c>
      <c r="I389" s="112" t="s">
        <v>2597</v>
      </c>
      <c r="J389" s="112" t="s">
        <v>1059</v>
      </c>
      <c r="K389" s="112" t="s">
        <v>1060</v>
      </c>
      <c r="L389" s="112" t="s">
        <v>1061</v>
      </c>
      <c r="M389" s="112" t="s">
        <v>478</v>
      </c>
      <c r="N389" s="113">
        <v>46522.378541666665</v>
      </c>
      <c r="O389" s="114">
        <v>19002220231</v>
      </c>
      <c r="P389" s="112">
        <v>0</v>
      </c>
      <c r="Q389" s="112" t="s">
        <v>1062</v>
      </c>
      <c r="R389" s="112" t="s">
        <v>1063</v>
      </c>
      <c r="S389" s="113">
        <v>46160.397916666669</v>
      </c>
      <c r="T389" s="112" t="s">
        <v>2598</v>
      </c>
      <c r="U389" s="112" t="s">
        <v>1065</v>
      </c>
      <c r="V389" s="112" t="s">
        <v>1066</v>
      </c>
      <c r="W389" s="112" t="s">
        <v>1066</v>
      </c>
      <c r="X389" s="112" t="s">
        <v>1066</v>
      </c>
      <c r="Y389" s="112" t="s">
        <v>1066</v>
      </c>
      <c r="Z389" s="112" t="s">
        <v>1066</v>
      </c>
      <c r="AA389" s="112" t="s">
        <v>1067</v>
      </c>
      <c r="AB389" s="112" t="s">
        <v>1066</v>
      </c>
      <c r="AC389" s="112" t="s">
        <v>92</v>
      </c>
      <c r="AD389" s="112" t="s">
        <v>1066</v>
      </c>
      <c r="AE389" s="112" t="s">
        <v>1066</v>
      </c>
      <c r="AF389" s="112" t="s">
        <v>1066</v>
      </c>
      <c r="AG389" s="112" t="s">
        <v>1066</v>
      </c>
      <c r="AH389" s="112" t="s">
        <v>1066</v>
      </c>
      <c r="AI389" s="112" t="s">
        <v>785</v>
      </c>
      <c r="AJ389" s="112">
        <v>9108676</v>
      </c>
      <c r="AK389" s="112" t="s">
        <v>94</v>
      </c>
      <c r="AL389" s="112">
        <v>777990</v>
      </c>
      <c r="AM389" s="112" t="s">
        <v>1066</v>
      </c>
      <c r="AN389" s="112" t="s">
        <v>1066</v>
      </c>
    </row>
    <row r="390" spans="1:40" ht="55.5" customHeight="1" x14ac:dyDescent="0.25">
      <c r="A390" s="111" t="s">
        <v>2599</v>
      </c>
      <c r="B390" s="112">
        <v>2026</v>
      </c>
      <c r="C390" s="112" t="s">
        <v>2600</v>
      </c>
      <c r="D390" s="113">
        <v>46131.394467592596</v>
      </c>
      <c r="E390" s="112" t="s">
        <v>1066</v>
      </c>
      <c r="F390" s="112" t="s">
        <v>2601</v>
      </c>
      <c r="G390" s="112" t="s">
        <v>1066</v>
      </c>
      <c r="H390" s="112" t="s">
        <v>1066</v>
      </c>
      <c r="I390" s="112" t="s">
        <v>2602</v>
      </c>
      <c r="J390" s="112" t="s">
        <v>1071</v>
      </c>
      <c r="K390" s="112" t="s">
        <v>1072</v>
      </c>
      <c r="L390" s="112" t="s">
        <v>1073</v>
      </c>
      <c r="M390" s="112" t="s">
        <v>478</v>
      </c>
      <c r="N390" s="113">
        <v>46134.394467592596</v>
      </c>
      <c r="O390" s="114">
        <v>19000248476</v>
      </c>
      <c r="P390" s="112">
        <v>0</v>
      </c>
      <c r="Q390" s="112" t="s">
        <v>1794</v>
      </c>
      <c r="R390" s="112" t="s">
        <v>1324</v>
      </c>
      <c r="S390" s="113">
        <v>46234.729432870372</v>
      </c>
      <c r="T390" s="112" t="s">
        <v>2603</v>
      </c>
      <c r="U390" s="112" t="s">
        <v>1065</v>
      </c>
      <c r="V390" s="112" t="s">
        <v>1066</v>
      </c>
      <c r="W390" s="112" t="s">
        <v>1066</v>
      </c>
      <c r="X390" s="112" t="s">
        <v>2604</v>
      </c>
      <c r="Y390" s="112" t="s">
        <v>1066</v>
      </c>
      <c r="Z390" s="112" t="s">
        <v>2605</v>
      </c>
      <c r="AA390" s="112" t="s">
        <v>1067</v>
      </c>
      <c r="AB390" s="112" t="s">
        <v>1066</v>
      </c>
      <c r="AC390" s="112" t="s">
        <v>92</v>
      </c>
      <c r="AD390" s="112" t="s">
        <v>1142</v>
      </c>
      <c r="AE390" s="112" t="s">
        <v>1066</v>
      </c>
      <c r="AF390" s="112" t="s">
        <v>1066</v>
      </c>
      <c r="AG390" s="112" t="s">
        <v>1066</v>
      </c>
      <c r="AH390" s="112" t="s">
        <v>1066</v>
      </c>
      <c r="AI390" s="112" t="s">
        <v>785</v>
      </c>
      <c r="AJ390" s="112" t="s">
        <v>1066</v>
      </c>
      <c r="AK390" s="112" t="s">
        <v>1066</v>
      </c>
      <c r="AL390" s="112" t="s">
        <v>1066</v>
      </c>
      <c r="AM390" s="112" t="s">
        <v>1066</v>
      </c>
      <c r="AN390" s="112" t="s">
        <v>1066</v>
      </c>
    </row>
    <row r="391" spans="1:40" ht="55.5" customHeight="1" x14ac:dyDescent="0.25">
      <c r="A391" s="111" t="s">
        <v>2606</v>
      </c>
      <c r="B391" s="112">
        <v>2026</v>
      </c>
      <c r="C391" s="112" t="s">
        <v>2607</v>
      </c>
      <c r="D391" s="113">
        <v>46161.330405092594</v>
      </c>
      <c r="E391" s="112">
        <v>8800674086</v>
      </c>
      <c r="F391" s="112" t="s">
        <v>314</v>
      </c>
      <c r="G391" s="112">
        <v>3</v>
      </c>
      <c r="H391" s="112">
        <v>7900032086</v>
      </c>
      <c r="I391" s="112" t="s">
        <v>2608</v>
      </c>
      <c r="J391" s="112" t="s">
        <v>1071</v>
      </c>
      <c r="K391" s="112" t="s">
        <v>1130</v>
      </c>
      <c r="L391" s="112" t="s">
        <v>1073</v>
      </c>
      <c r="M391" s="112" t="s">
        <v>478</v>
      </c>
      <c r="N391" s="113">
        <v>46164.330405092594</v>
      </c>
      <c r="O391" s="114">
        <v>19000126747</v>
      </c>
      <c r="P391" s="112">
        <v>13</v>
      </c>
      <c r="Q391" s="112" t="s">
        <v>1131</v>
      </c>
      <c r="R391" s="112" t="s">
        <v>1075</v>
      </c>
      <c r="S391" s="113">
        <v>46163.664583333331</v>
      </c>
      <c r="T391" s="112" t="s">
        <v>2609</v>
      </c>
      <c r="U391" s="112" t="s">
        <v>1065</v>
      </c>
      <c r="V391" s="112" t="s">
        <v>1066</v>
      </c>
      <c r="W391" s="112" t="s">
        <v>1066</v>
      </c>
      <c r="X391" s="112" t="s">
        <v>1394</v>
      </c>
      <c r="Y391" s="112" t="s">
        <v>1066</v>
      </c>
      <c r="Z391" s="112" t="s">
        <v>1133</v>
      </c>
      <c r="AA391" s="112" t="s">
        <v>1067</v>
      </c>
      <c r="AB391" s="112" t="s">
        <v>1066</v>
      </c>
      <c r="AC391" s="112" t="s">
        <v>92</v>
      </c>
      <c r="AD391" s="112" t="s">
        <v>1142</v>
      </c>
      <c r="AE391" s="112" t="s">
        <v>1066</v>
      </c>
      <c r="AF391" s="112" t="s">
        <v>1066</v>
      </c>
      <c r="AG391" s="112" t="s">
        <v>1066</v>
      </c>
      <c r="AH391" s="112" t="s">
        <v>1066</v>
      </c>
      <c r="AI391" s="112" t="s">
        <v>785</v>
      </c>
      <c r="AJ391" s="112">
        <v>8916032</v>
      </c>
      <c r="AK391" s="112" t="s">
        <v>1143</v>
      </c>
      <c r="AL391" s="112">
        <v>644734</v>
      </c>
      <c r="AM391" s="112" t="s">
        <v>1066</v>
      </c>
      <c r="AN391" s="112" t="s">
        <v>1066</v>
      </c>
    </row>
    <row r="392" spans="1:40" ht="55.5" customHeight="1" x14ac:dyDescent="0.25">
      <c r="A392" s="111" t="s">
        <v>2610</v>
      </c>
      <c r="B392" s="112">
        <v>2026</v>
      </c>
      <c r="C392" s="112" t="s">
        <v>712</v>
      </c>
      <c r="D392" s="113">
        <v>46110.706122685187</v>
      </c>
      <c r="E392" s="112">
        <v>6800025193</v>
      </c>
      <c r="F392" s="112" t="s">
        <v>370</v>
      </c>
      <c r="G392" s="112">
        <v>3</v>
      </c>
      <c r="H392" s="112">
        <v>7955886193</v>
      </c>
      <c r="I392" s="112" t="s">
        <v>2611</v>
      </c>
      <c r="J392" s="112" t="s">
        <v>1071</v>
      </c>
      <c r="K392" s="112" t="s">
        <v>1130</v>
      </c>
      <c r="L392" s="112" t="s">
        <v>1073</v>
      </c>
      <c r="M392" s="112" t="s">
        <v>478</v>
      </c>
      <c r="N392" s="113">
        <v>46113.706122685187</v>
      </c>
      <c r="O392" s="114">
        <v>19002730781</v>
      </c>
      <c r="P392" s="112">
        <v>77</v>
      </c>
      <c r="Q392" s="112" t="s">
        <v>1131</v>
      </c>
      <c r="R392" s="112" t="s">
        <v>1075</v>
      </c>
      <c r="S392" s="113">
        <v>46112.729166666664</v>
      </c>
      <c r="T392" s="112" t="s">
        <v>2612</v>
      </c>
      <c r="U392" s="112" t="s">
        <v>1065</v>
      </c>
      <c r="V392" s="112" t="s">
        <v>1066</v>
      </c>
      <c r="W392" s="112" t="s">
        <v>1066</v>
      </c>
      <c r="X392" s="112" t="s">
        <v>1117</v>
      </c>
      <c r="Y392" s="112" t="s">
        <v>1066</v>
      </c>
      <c r="Z392" s="112" t="s">
        <v>1133</v>
      </c>
      <c r="AA392" s="112" t="s">
        <v>1067</v>
      </c>
      <c r="AB392" s="112" t="s">
        <v>1066</v>
      </c>
      <c r="AC392" s="112" t="s">
        <v>92</v>
      </c>
      <c r="AD392" s="112" t="s">
        <v>1066</v>
      </c>
      <c r="AE392" s="112" t="s">
        <v>1066</v>
      </c>
      <c r="AF392" s="112" t="s">
        <v>1066</v>
      </c>
      <c r="AG392" s="112" t="s">
        <v>1066</v>
      </c>
      <c r="AH392" s="112" t="s">
        <v>1066</v>
      </c>
      <c r="AI392" s="112" t="s">
        <v>785</v>
      </c>
      <c r="AJ392" s="112">
        <v>9082195</v>
      </c>
      <c r="AK392" s="112" t="s">
        <v>369</v>
      </c>
      <c r="AL392" s="112">
        <v>978301</v>
      </c>
      <c r="AM392" s="112" t="s">
        <v>1066</v>
      </c>
      <c r="AN392" s="112" t="s">
        <v>1066</v>
      </c>
    </row>
    <row r="393" spans="1:40" ht="55.5" customHeight="1" x14ac:dyDescent="0.25">
      <c r="A393" s="111" t="s">
        <v>2613</v>
      </c>
      <c r="B393" s="112">
        <v>2026</v>
      </c>
      <c r="C393" s="112" t="s">
        <v>1057</v>
      </c>
      <c r="D393" s="113">
        <v>46125.614548611113</v>
      </c>
      <c r="E393" s="112">
        <v>7910063075</v>
      </c>
      <c r="F393" s="112" t="s">
        <v>1415</v>
      </c>
      <c r="G393" s="112">
        <v>3</v>
      </c>
      <c r="H393" s="112">
        <v>7910063075</v>
      </c>
      <c r="I393" s="112" t="s">
        <v>2614</v>
      </c>
      <c r="J393" s="112" t="s">
        <v>1066</v>
      </c>
      <c r="K393" s="112" t="s">
        <v>1125</v>
      </c>
      <c r="L393" s="112" t="s">
        <v>1061</v>
      </c>
      <c r="M393" s="112" t="s">
        <v>478</v>
      </c>
      <c r="N393" s="113">
        <v>46525.614548611113</v>
      </c>
      <c r="O393" s="114">
        <v>19002777109</v>
      </c>
      <c r="P393" s="112">
        <v>94</v>
      </c>
      <c r="Q393" s="112" t="s">
        <v>1062</v>
      </c>
      <c r="R393" s="112" t="s">
        <v>1063</v>
      </c>
      <c r="S393" s="113">
        <v>46174.3125</v>
      </c>
      <c r="T393" s="112" t="s">
        <v>1307</v>
      </c>
      <c r="U393" s="112" t="s">
        <v>1065</v>
      </c>
      <c r="V393" s="112" t="s">
        <v>1066</v>
      </c>
      <c r="W393" s="112" t="s">
        <v>1066</v>
      </c>
      <c r="X393" s="112" t="s">
        <v>1066</v>
      </c>
      <c r="Y393" s="112" t="s">
        <v>1066</v>
      </c>
      <c r="Z393" s="112" t="s">
        <v>1066</v>
      </c>
      <c r="AA393" s="112" t="s">
        <v>1067</v>
      </c>
      <c r="AB393" s="112" t="s">
        <v>1066</v>
      </c>
      <c r="AC393" s="112" t="s">
        <v>92</v>
      </c>
      <c r="AD393" s="112" t="s">
        <v>1066</v>
      </c>
      <c r="AE393" s="112" t="s">
        <v>1066</v>
      </c>
      <c r="AF393" s="112" t="s">
        <v>1066</v>
      </c>
      <c r="AG393" s="112" t="s">
        <v>1066</v>
      </c>
      <c r="AH393" s="112" t="s">
        <v>1066</v>
      </c>
      <c r="AI393" s="112" t="s">
        <v>785</v>
      </c>
      <c r="AJ393" s="112">
        <v>8980764</v>
      </c>
      <c r="AK393" s="112" t="s">
        <v>590</v>
      </c>
      <c r="AL393" s="112">
        <v>730810</v>
      </c>
      <c r="AM393" s="112" t="s">
        <v>1066</v>
      </c>
      <c r="AN393" s="112" t="s">
        <v>1066</v>
      </c>
    </row>
    <row r="394" spans="1:40" ht="55.5" customHeight="1" x14ac:dyDescent="0.25">
      <c r="A394" s="115" t="s">
        <v>2615</v>
      </c>
      <c r="B394" s="116">
        <v>2026</v>
      </c>
      <c r="C394" s="116" t="s">
        <v>2616</v>
      </c>
      <c r="D394" s="118">
        <v>46111.708703703705</v>
      </c>
      <c r="E394" s="116">
        <v>9004985001</v>
      </c>
      <c r="F394" s="116" t="s">
        <v>160</v>
      </c>
      <c r="G394" s="116">
        <v>2</v>
      </c>
      <c r="H394" s="116">
        <v>7927413001</v>
      </c>
      <c r="I394" s="116" t="s">
        <v>2617</v>
      </c>
      <c r="J394" s="116" t="s">
        <v>1071</v>
      </c>
      <c r="K394" s="116" t="s">
        <v>2618</v>
      </c>
      <c r="L394" s="116" t="s">
        <v>1073</v>
      </c>
      <c r="M394" s="116" t="s">
        <v>588</v>
      </c>
      <c r="N394" s="118">
        <v>46138.428518518522</v>
      </c>
      <c r="O394" s="119">
        <v>19001268212</v>
      </c>
      <c r="P394" s="116">
        <v>203</v>
      </c>
      <c r="Q394" s="116" t="s">
        <v>1131</v>
      </c>
      <c r="R394" s="116" t="s">
        <v>1075</v>
      </c>
      <c r="S394" s="116" t="s">
        <v>1066</v>
      </c>
      <c r="T394" s="116" t="s">
        <v>1066</v>
      </c>
      <c r="U394" s="116" t="s">
        <v>1066</v>
      </c>
      <c r="V394" s="116" t="s">
        <v>1066</v>
      </c>
      <c r="W394" s="116" t="s">
        <v>1066</v>
      </c>
      <c r="X394" s="116" t="s">
        <v>1117</v>
      </c>
      <c r="Y394" s="116" t="s">
        <v>1066</v>
      </c>
      <c r="Z394" s="116" t="s">
        <v>1133</v>
      </c>
      <c r="AA394" s="116" t="s">
        <v>1067</v>
      </c>
      <c r="AB394" s="116" t="s">
        <v>1066</v>
      </c>
      <c r="AC394" s="116" t="s">
        <v>92</v>
      </c>
      <c r="AD394" s="116" t="s">
        <v>1142</v>
      </c>
      <c r="AE394" s="116" t="s">
        <v>1066</v>
      </c>
      <c r="AF394" s="116" t="s">
        <v>1066</v>
      </c>
      <c r="AG394" s="116" t="s">
        <v>1066</v>
      </c>
      <c r="AH394" s="116" t="s">
        <v>1066</v>
      </c>
      <c r="AI394" s="116" t="s">
        <v>785</v>
      </c>
      <c r="AJ394" s="116">
        <v>8828052</v>
      </c>
      <c r="AK394" s="116" t="s">
        <v>50</v>
      </c>
      <c r="AL394" s="116">
        <v>787930</v>
      </c>
      <c r="AM394" s="116" t="s">
        <v>1066</v>
      </c>
      <c r="AN394" s="116" t="s">
        <v>1066</v>
      </c>
    </row>
    <row r="395" spans="1:40" ht="55.5" customHeight="1" x14ac:dyDescent="0.25">
      <c r="A395" s="111" t="s">
        <v>618</v>
      </c>
      <c r="B395" s="112">
        <v>2026</v>
      </c>
      <c r="C395" s="112" t="s">
        <v>619</v>
      </c>
      <c r="D395" s="113">
        <v>46188.506793981483</v>
      </c>
      <c r="E395" s="112">
        <v>9002494003</v>
      </c>
      <c r="F395" s="112" t="s">
        <v>702</v>
      </c>
      <c r="G395" s="112">
        <v>2</v>
      </c>
      <c r="H395" s="112">
        <v>7902098003</v>
      </c>
      <c r="I395" s="112" t="s">
        <v>2619</v>
      </c>
      <c r="J395" s="112" t="s">
        <v>1071</v>
      </c>
      <c r="K395" s="112" t="s">
        <v>2618</v>
      </c>
      <c r="L395" s="112" t="s">
        <v>1073</v>
      </c>
      <c r="M395" s="112" t="s">
        <v>478</v>
      </c>
      <c r="N395" s="113">
        <v>46191.506793981483</v>
      </c>
      <c r="O395" s="114">
        <v>19000076840</v>
      </c>
      <c r="P395" s="112">
        <v>131</v>
      </c>
      <c r="Q395" s="112" t="s">
        <v>1131</v>
      </c>
      <c r="R395" s="112" t="s">
        <v>1075</v>
      </c>
      <c r="S395" s="113">
        <v>46245.729328703703</v>
      </c>
      <c r="T395" s="112" t="s">
        <v>2620</v>
      </c>
      <c r="U395" s="112" t="s">
        <v>1065</v>
      </c>
      <c r="V395" s="112" t="s">
        <v>1066</v>
      </c>
      <c r="W395" s="112" t="s">
        <v>1066</v>
      </c>
      <c r="X395" s="112" t="s">
        <v>983</v>
      </c>
      <c r="Y395" s="112" t="s">
        <v>1066</v>
      </c>
      <c r="Z395" s="112" t="s">
        <v>1148</v>
      </c>
      <c r="AA395" s="112" t="s">
        <v>1067</v>
      </c>
      <c r="AB395" s="112" t="s">
        <v>1066</v>
      </c>
      <c r="AC395" s="112" t="s">
        <v>92</v>
      </c>
      <c r="AD395" s="112" t="s">
        <v>1142</v>
      </c>
      <c r="AE395" s="112" t="s">
        <v>1066</v>
      </c>
      <c r="AF395" s="112" t="s">
        <v>1066</v>
      </c>
      <c r="AG395" s="112" t="s">
        <v>1066</v>
      </c>
      <c r="AH395" s="112" t="s">
        <v>1066</v>
      </c>
      <c r="AI395" s="112" t="s">
        <v>785</v>
      </c>
      <c r="AJ395" s="112">
        <v>8711395</v>
      </c>
      <c r="AK395" s="112" t="s">
        <v>210</v>
      </c>
      <c r="AL395" s="112">
        <v>712012</v>
      </c>
      <c r="AM395" s="112" t="s">
        <v>1066</v>
      </c>
      <c r="AN395" s="112" t="s">
        <v>1066</v>
      </c>
    </row>
    <row r="396" spans="1:40" ht="55.5" customHeight="1" x14ac:dyDescent="0.25">
      <c r="A396" s="111" t="s">
        <v>2621</v>
      </c>
      <c r="B396" s="112">
        <v>2026</v>
      </c>
      <c r="C396" s="112" t="s">
        <v>1089</v>
      </c>
      <c r="D396" s="113">
        <v>46028.41065972222</v>
      </c>
      <c r="E396" s="112">
        <v>7908690013</v>
      </c>
      <c r="F396" s="112" t="s">
        <v>1294</v>
      </c>
      <c r="G396" s="112">
        <v>3</v>
      </c>
      <c r="H396" s="112">
        <v>7908690013</v>
      </c>
      <c r="I396" s="112" t="s">
        <v>2622</v>
      </c>
      <c r="J396" s="112" t="s">
        <v>1092</v>
      </c>
      <c r="K396" s="112" t="s">
        <v>1093</v>
      </c>
      <c r="L396" s="112" t="s">
        <v>1061</v>
      </c>
      <c r="M396" s="112" t="s">
        <v>478</v>
      </c>
      <c r="N396" s="113">
        <v>46428.41065972222</v>
      </c>
      <c r="O396" s="114">
        <v>19002213174</v>
      </c>
      <c r="P396" s="112">
        <v>1.9650000000000001</v>
      </c>
      <c r="Q396" s="112" t="s">
        <v>1062</v>
      </c>
      <c r="R396" s="112" t="s">
        <v>1063</v>
      </c>
      <c r="S396" s="113">
        <v>46030.453472222223</v>
      </c>
      <c r="T396" s="112" t="s">
        <v>2623</v>
      </c>
      <c r="U396" s="112" t="s">
        <v>1065</v>
      </c>
      <c r="V396" s="112" t="s">
        <v>1066</v>
      </c>
      <c r="W396" s="112" t="s">
        <v>1066</v>
      </c>
      <c r="X396" s="112" t="s">
        <v>1066</v>
      </c>
      <c r="Y396" s="112" t="s">
        <v>1066</v>
      </c>
      <c r="Z396" s="112" t="s">
        <v>1066</v>
      </c>
      <c r="AA396" s="112" t="s">
        <v>1067</v>
      </c>
      <c r="AB396" s="112" t="s">
        <v>1066</v>
      </c>
      <c r="AC396" s="112" t="s">
        <v>92</v>
      </c>
      <c r="AD396" s="112" t="s">
        <v>1066</v>
      </c>
      <c r="AE396" s="112" t="s">
        <v>1066</v>
      </c>
      <c r="AF396" s="112" t="s">
        <v>1066</v>
      </c>
      <c r="AG396" s="112" t="s">
        <v>1066</v>
      </c>
      <c r="AH396" s="112" t="s">
        <v>1066</v>
      </c>
      <c r="AI396" s="112" t="s">
        <v>785</v>
      </c>
      <c r="AJ396" s="112">
        <v>8872581</v>
      </c>
      <c r="AK396" s="112" t="s">
        <v>117</v>
      </c>
      <c r="AL396" s="112">
        <v>731017</v>
      </c>
      <c r="AM396" s="112" t="s">
        <v>1066</v>
      </c>
      <c r="AN396" s="112" t="s">
        <v>1066</v>
      </c>
    </row>
    <row r="397" spans="1:40" ht="55.5" customHeight="1" x14ac:dyDescent="0.25">
      <c r="A397" s="111" t="s">
        <v>2624</v>
      </c>
      <c r="B397" s="112">
        <v>2026</v>
      </c>
      <c r="C397" s="112" t="s">
        <v>1089</v>
      </c>
      <c r="D397" s="113">
        <v>46028.41065972222</v>
      </c>
      <c r="E397" s="112">
        <v>7900198151</v>
      </c>
      <c r="F397" s="112" t="s">
        <v>234</v>
      </c>
      <c r="G397" s="112">
        <v>3</v>
      </c>
      <c r="H397" s="112">
        <v>7900198151</v>
      </c>
      <c r="I397" s="112" t="s">
        <v>2625</v>
      </c>
      <c r="J397" s="112" t="s">
        <v>1092</v>
      </c>
      <c r="K397" s="112" t="s">
        <v>1093</v>
      </c>
      <c r="L397" s="112" t="s">
        <v>1061</v>
      </c>
      <c r="M397" s="112" t="s">
        <v>478</v>
      </c>
      <c r="N397" s="113">
        <v>46428.41065972222</v>
      </c>
      <c r="O397" s="114">
        <v>19002261153</v>
      </c>
      <c r="P397" s="112">
        <v>2.0099999999999998</v>
      </c>
      <c r="Q397" s="112" t="s">
        <v>1062</v>
      </c>
      <c r="R397" s="112" t="s">
        <v>1063</v>
      </c>
      <c r="S397" s="113">
        <v>46078.479884259257</v>
      </c>
      <c r="T397" s="112" t="s">
        <v>2626</v>
      </c>
      <c r="U397" s="112" t="s">
        <v>1065</v>
      </c>
      <c r="V397" s="112" t="s">
        <v>1066</v>
      </c>
      <c r="W397" s="112" t="s">
        <v>1066</v>
      </c>
      <c r="X397" s="112" t="s">
        <v>1066</v>
      </c>
      <c r="Y397" s="112" t="s">
        <v>1066</v>
      </c>
      <c r="Z397" s="112" t="s">
        <v>1066</v>
      </c>
      <c r="AA397" s="112" t="s">
        <v>1067</v>
      </c>
      <c r="AB397" s="112" t="s">
        <v>1066</v>
      </c>
      <c r="AC397" s="112" t="s">
        <v>92</v>
      </c>
      <c r="AD397" s="112" t="s">
        <v>1066</v>
      </c>
      <c r="AE397" s="112" t="s">
        <v>1066</v>
      </c>
      <c r="AF397" s="112" t="s">
        <v>1066</v>
      </c>
      <c r="AG397" s="112" t="s">
        <v>1066</v>
      </c>
      <c r="AH397" s="112" t="s">
        <v>1066</v>
      </c>
      <c r="AI397" s="112" t="s">
        <v>785</v>
      </c>
      <c r="AJ397" s="112">
        <v>8863457</v>
      </c>
      <c r="AK397" s="112" t="s">
        <v>1455</v>
      </c>
      <c r="AL397" s="112">
        <v>854571</v>
      </c>
      <c r="AM397" s="112" t="s">
        <v>1066</v>
      </c>
      <c r="AN397" s="112" t="s">
        <v>1066</v>
      </c>
    </row>
    <row r="398" spans="1:40" ht="55.5" customHeight="1" x14ac:dyDescent="0.25">
      <c r="A398" s="111" t="s">
        <v>2627</v>
      </c>
      <c r="B398" s="112">
        <v>2026</v>
      </c>
      <c r="C398" s="112" t="s">
        <v>1251</v>
      </c>
      <c r="D398" s="113">
        <v>46031.603807870371</v>
      </c>
      <c r="E398" s="112">
        <v>7900280041</v>
      </c>
      <c r="F398" s="112" t="s">
        <v>186</v>
      </c>
      <c r="G398" s="112">
        <v>2</v>
      </c>
      <c r="H398" s="112">
        <v>7900280041</v>
      </c>
      <c r="I398" s="112" t="s">
        <v>1322</v>
      </c>
      <c r="J398" s="112" t="s">
        <v>1059</v>
      </c>
      <c r="K398" s="112" t="s">
        <v>1060</v>
      </c>
      <c r="L398" s="112" t="s">
        <v>1061</v>
      </c>
      <c r="M398" s="112" t="s">
        <v>478</v>
      </c>
      <c r="N398" s="113">
        <v>46431.603807870371</v>
      </c>
      <c r="O398" s="114">
        <v>19002295933</v>
      </c>
      <c r="P398" s="112">
        <v>7</v>
      </c>
      <c r="Q398" s="112" t="s">
        <v>1062</v>
      </c>
      <c r="R398" s="112" t="s">
        <v>1063</v>
      </c>
      <c r="S398" s="113">
        <v>46031.729166666664</v>
      </c>
      <c r="T398" s="112" t="s">
        <v>1253</v>
      </c>
      <c r="U398" s="112" t="s">
        <v>1065</v>
      </c>
      <c r="V398" s="112" t="s">
        <v>1066</v>
      </c>
      <c r="W398" s="112" t="s">
        <v>1066</v>
      </c>
      <c r="X398" s="112" t="s">
        <v>1066</v>
      </c>
      <c r="Y398" s="112" t="s">
        <v>1066</v>
      </c>
      <c r="Z398" s="112" t="s">
        <v>1066</v>
      </c>
      <c r="AA398" s="112" t="s">
        <v>1067</v>
      </c>
      <c r="AB398" s="112" t="s">
        <v>1066</v>
      </c>
      <c r="AC398" s="112" t="s">
        <v>92</v>
      </c>
      <c r="AD398" s="112" t="s">
        <v>1066</v>
      </c>
      <c r="AE398" s="112" t="s">
        <v>1066</v>
      </c>
      <c r="AF398" s="112" t="s">
        <v>1066</v>
      </c>
      <c r="AG398" s="112" t="s">
        <v>1066</v>
      </c>
      <c r="AH398" s="112" t="s">
        <v>1066</v>
      </c>
      <c r="AI398" s="112" t="s">
        <v>785</v>
      </c>
      <c r="AJ398" s="112">
        <v>8771845</v>
      </c>
      <c r="AK398" s="112" t="s">
        <v>1326</v>
      </c>
      <c r="AL398" s="112">
        <v>727448</v>
      </c>
      <c r="AM398" s="112" t="s">
        <v>1066</v>
      </c>
      <c r="AN398" s="112" t="s">
        <v>1066</v>
      </c>
    </row>
    <row r="399" spans="1:40" ht="55.5" customHeight="1" x14ac:dyDescent="0.25">
      <c r="A399" s="111" t="s">
        <v>2628</v>
      </c>
      <c r="B399" s="112">
        <v>2026</v>
      </c>
      <c r="C399" s="112" t="s">
        <v>2629</v>
      </c>
      <c r="D399" s="113">
        <v>46056.645555555559</v>
      </c>
      <c r="E399" s="112">
        <v>9010063075</v>
      </c>
      <c r="F399" s="112" t="s">
        <v>1415</v>
      </c>
      <c r="G399" s="112">
        <v>3</v>
      </c>
      <c r="H399" s="112">
        <v>7910063075</v>
      </c>
      <c r="I399" s="112" t="s">
        <v>2630</v>
      </c>
      <c r="J399" s="112" t="s">
        <v>1157</v>
      </c>
      <c r="K399" s="112" t="s">
        <v>1417</v>
      </c>
      <c r="L399" s="112" t="s">
        <v>1084</v>
      </c>
      <c r="M399" s="112" t="s">
        <v>478</v>
      </c>
      <c r="N399" s="113">
        <v>46116.645555555559</v>
      </c>
      <c r="O399" s="114">
        <v>19000118454</v>
      </c>
      <c r="P399" s="112">
        <v>94</v>
      </c>
      <c r="Q399" s="112" t="s">
        <v>1131</v>
      </c>
      <c r="R399" s="112" t="s">
        <v>1085</v>
      </c>
      <c r="S399" s="113">
        <v>46098.747511574074</v>
      </c>
      <c r="T399" s="112" t="s">
        <v>2631</v>
      </c>
      <c r="U399" s="112" t="s">
        <v>1065</v>
      </c>
      <c r="V399" s="112" t="s">
        <v>1066</v>
      </c>
      <c r="W399" s="112" t="s">
        <v>1066</v>
      </c>
      <c r="X399" s="112" t="s">
        <v>1066</v>
      </c>
      <c r="Y399" s="112" t="s">
        <v>1066</v>
      </c>
      <c r="Z399" s="112" t="s">
        <v>1066</v>
      </c>
      <c r="AA399" s="112" t="s">
        <v>1067</v>
      </c>
      <c r="AB399" s="112" t="s">
        <v>1066</v>
      </c>
      <c r="AC399" s="112" t="s">
        <v>92</v>
      </c>
      <c r="AD399" s="112" t="s">
        <v>1142</v>
      </c>
      <c r="AE399" s="112" t="s">
        <v>1066</v>
      </c>
      <c r="AF399" s="112" t="s">
        <v>1066</v>
      </c>
      <c r="AG399" s="112" t="s">
        <v>1066</v>
      </c>
      <c r="AH399" s="112" t="s">
        <v>1066</v>
      </c>
      <c r="AI399" s="112" t="s">
        <v>785</v>
      </c>
      <c r="AJ399" s="112">
        <v>8980764</v>
      </c>
      <c r="AK399" s="112" t="s">
        <v>590</v>
      </c>
      <c r="AL399" s="112">
        <v>730810</v>
      </c>
      <c r="AM399" s="112" t="s">
        <v>1066</v>
      </c>
      <c r="AN399" s="112" t="s">
        <v>1066</v>
      </c>
    </row>
    <row r="400" spans="1:40" ht="55.5" customHeight="1" x14ac:dyDescent="0.25">
      <c r="A400" s="111" t="s">
        <v>2632</v>
      </c>
      <c r="B400" s="112">
        <v>2026</v>
      </c>
      <c r="C400" s="112" t="s">
        <v>2633</v>
      </c>
      <c r="D400" s="113">
        <v>46167.706990740742</v>
      </c>
      <c r="E400" s="112">
        <v>9000532077</v>
      </c>
      <c r="F400" s="112" t="s">
        <v>191</v>
      </c>
      <c r="G400" s="112">
        <v>2</v>
      </c>
      <c r="H400" s="112">
        <v>7924895077</v>
      </c>
      <c r="I400" s="112" t="s">
        <v>2634</v>
      </c>
      <c r="J400" s="112" t="s">
        <v>1071</v>
      </c>
      <c r="K400" s="112" t="s">
        <v>1829</v>
      </c>
      <c r="L400" s="112" t="s">
        <v>1073</v>
      </c>
      <c r="M400" s="112" t="s">
        <v>478</v>
      </c>
      <c r="N400" s="113">
        <v>46170.706990740742</v>
      </c>
      <c r="O400" s="114">
        <v>19001244069</v>
      </c>
      <c r="P400" s="112">
        <v>483</v>
      </c>
      <c r="Q400" s="112" t="s">
        <v>1131</v>
      </c>
      <c r="R400" s="112" t="s">
        <v>1324</v>
      </c>
      <c r="S400" s="113">
        <v>46216.740648148145</v>
      </c>
      <c r="T400" s="112" t="s">
        <v>2635</v>
      </c>
      <c r="U400" s="112" t="s">
        <v>1065</v>
      </c>
      <c r="V400" s="112" t="s">
        <v>1066</v>
      </c>
      <c r="W400" s="112" t="s">
        <v>1066</v>
      </c>
      <c r="X400" s="112" t="s">
        <v>983</v>
      </c>
      <c r="Y400" s="112" t="s">
        <v>1066</v>
      </c>
      <c r="Z400" s="112" t="s">
        <v>1148</v>
      </c>
      <c r="AA400" s="112" t="s">
        <v>1067</v>
      </c>
      <c r="AB400" s="112" t="s">
        <v>1066</v>
      </c>
      <c r="AC400" s="112" t="s">
        <v>92</v>
      </c>
      <c r="AD400" s="112" t="s">
        <v>1142</v>
      </c>
      <c r="AE400" s="112" t="s">
        <v>1066</v>
      </c>
      <c r="AF400" s="112" t="s">
        <v>1066</v>
      </c>
      <c r="AG400" s="112" t="s">
        <v>1066</v>
      </c>
      <c r="AH400" s="112" t="s">
        <v>1066</v>
      </c>
      <c r="AI400" s="112" t="s">
        <v>785</v>
      </c>
      <c r="AJ400" s="112">
        <v>9123794</v>
      </c>
      <c r="AK400" s="112" t="s">
        <v>190</v>
      </c>
      <c r="AL400" s="112">
        <v>918985</v>
      </c>
      <c r="AM400" s="112" t="s">
        <v>1066</v>
      </c>
      <c r="AN400" s="112" t="s">
        <v>1066</v>
      </c>
    </row>
    <row r="401" spans="1:40" ht="55.5" customHeight="1" x14ac:dyDescent="0.25">
      <c r="A401" s="111" t="s">
        <v>2636</v>
      </c>
      <c r="B401" s="112">
        <v>2026</v>
      </c>
      <c r="C401" s="112" t="s">
        <v>1089</v>
      </c>
      <c r="D401" s="113">
        <v>46028.453888888886</v>
      </c>
      <c r="E401" s="112">
        <v>7936793032</v>
      </c>
      <c r="F401" s="112" t="s">
        <v>2637</v>
      </c>
      <c r="G401" s="112">
        <v>1</v>
      </c>
      <c r="H401" s="112">
        <v>7936793032</v>
      </c>
      <c r="I401" s="112" t="s">
        <v>2638</v>
      </c>
      <c r="J401" s="112" t="s">
        <v>1092</v>
      </c>
      <c r="K401" s="112" t="s">
        <v>1093</v>
      </c>
      <c r="L401" s="112" t="s">
        <v>1061</v>
      </c>
      <c r="M401" s="112" t="s">
        <v>478</v>
      </c>
      <c r="N401" s="113">
        <v>46428.453888888886</v>
      </c>
      <c r="O401" s="114">
        <v>19002260465</v>
      </c>
      <c r="P401" s="112">
        <v>0</v>
      </c>
      <c r="Q401" s="112" t="s">
        <v>1062</v>
      </c>
      <c r="R401" s="112" t="s">
        <v>1063</v>
      </c>
      <c r="S401" s="113">
        <v>46035.363888888889</v>
      </c>
      <c r="T401" s="112" t="s">
        <v>2639</v>
      </c>
      <c r="U401" s="112" t="s">
        <v>1065</v>
      </c>
      <c r="V401" s="112" t="s">
        <v>1066</v>
      </c>
      <c r="W401" s="112" t="s">
        <v>1066</v>
      </c>
      <c r="X401" s="112" t="s">
        <v>1066</v>
      </c>
      <c r="Y401" s="112" t="s">
        <v>1066</v>
      </c>
      <c r="Z401" s="112" t="s">
        <v>1066</v>
      </c>
      <c r="AA401" s="112" t="s">
        <v>1067</v>
      </c>
      <c r="AB401" s="112" t="s">
        <v>1066</v>
      </c>
      <c r="AC401" s="112" t="s">
        <v>92</v>
      </c>
      <c r="AD401" s="112" t="s">
        <v>1066</v>
      </c>
      <c r="AE401" s="112" t="s">
        <v>1066</v>
      </c>
      <c r="AF401" s="112" t="s">
        <v>1066</v>
      </c>
      <c r="AG401" s="112" t="s">
        <v>1066</v>
      </c>
      <c r="AH401" s="112" t="s">
        <v>1066</v>
      </c>
      <c r="AI401" s="112" t="s">
        <v>785</v>
      </c>
      <c r="AJ401" s="112">
        <v>8564174</v>
      </c>
      <c r="AK401" s="112" t="s">
        <v>469</v>
      </c>
      <c r="AL401" s="112">
        <v>652609</v>
      </c>
      <c r="AM401" s="112" t="s">
        <v>1066</v>
      </c>
      <c r="AN401" s="112" t="s">
        <v>1066</v>
      </c>
    </row>
    <row r="402" spans="1:40" ht="55.5" customHeight="1" x14ac:dyDescent="0.25">
      <c r="A402" s="124" t="s">
        <v>2640</v>
      </c>
      <c r="B402" s="125">
        <v>2026</v>
      </c>
      <c r="C402" s="125" t="s">
        <v>1210</v>
      </c>
      <c r="D402" s="126">
        <v>46114.608900462961</v>
      </c>
      <c r="E402" s="125">
        <v>7936134193</v>
      </c>
      <c r="F402" s="125" t="s">
        <v>370</v>
      </c>
      <c r="G402" s="125">
        <v>2</v>
      </c>
      <c r="H402" s="125">
        <v>7936134193</v>
      </c>
      <c r="I402" s="125" t="s">
        <v>2641</v>
      </c>
      <c r="J402" s="125" t="s">
        <v>1066</v>
      </c>
      <c r="K402" s="125" t="s">
        <v>1125</v>
      </c>
      <c r="L402" s="125" t="s">
        <v>1061</v>
      </c>
      <c r="M402" s="125" t="s">
        <v>510</v>
      </c>
      <c r="N402" s="126">
        <v>46514.608900462961</v>
      </c>
      <c r="O402" s="127">
        <v>19002260800</v>
      </c>
      <c r="P402" s="125">
        <v>0</v>
      </c>
      <c r="Q402" s="125" t="s">
        <v>1062</v>
      </c>
      <c r="R402" s="125" t="s">
        <v>1063</v>
      </c>
      <c r="S402" s="125" t="s">
        <v>1066</v>
      </c>
      <c r="T402" s="125" t="s">
        <v>1066</v>
      </c>
      <c r="U402" s="125" t="s">
        <v>1066</v>
      </c>
      <c r="V402" s="125" t="s">
        <v>1066</v>
      </c>
      <c r="W402" s="125" t="s">
        <v>1066</v>
      </c>
      <c r="X402" s="125" t="s">
        <v>1066</v>
      </c>
      <c r="Y402" s="125" t="s">
        <v>1066</v>
      </c>
      <c r="Z402" s="125" t="s">
        <v>1066</v>
      </c>
      <c r="AA402" s="125" t="s">
        <v>1067</v>
      </c>
      <c r="AB402" s="125" t="s">
        <v>1066</v>
      </c>
      <c r="AC402" s="125" t="s">
        <v>92</v>
      </c>
      <c r="AD402" s="125" t="s">
        <v>1066</v>
      </c>
      <c r="AE402" s="125" t="s">
        <v>1066</v>
      </c>
      <c r="AF402" s="125" t="s">
        <v>1066</v>
      </c>
      <c r="AG402" s="125" t="s">
        <v>1066</v>
      </c>
      <c r="AH402" s="125" t="s">
        <v>1066</v>
      </c>
      <c r="AI402" s="125" t="s">
        <v>785</v>
      </c>
      <c r="AJ402" s="125">
        <v>9101989</v>
      </c>
      <c r="AK402" s="125" t="s">
        <v>369</v>
      </c>
      <c r="AL402" s="125">
        <v>979100</v>
      </c>
      <c r="AM402" s="125" t="s">
        <v>1066</v>
      </c>
      <c r="AN402" s="125" t="s">
        <v>1066</v>
      </c>
    </row>
    <row r="403" spans="1:40" ht="55.5" customHeight="1" x14ac:dyDescent="0.25">
      <c r="A403" s="111" t="s">
        <v>2642</v>
      </c>
      <c r="B403" s="112">
        <v>2026</v>
      </c>
      <c r="C403" s="112" t="s">
        <v>1213</v>
      </c>
      <c r="D403" s="113">
        <v>46122.549942129626</v>
      </c>
      <c r="E403" s="112">
        <v>7925880056</v>
      </c>
      <c r="F403" s="112" t="s">
        <v>284</v>
      </c>
      <c r="G403" s="112">
        <v>2</v>
      </c>
      <c r="H403" s="112">
        <v>7925880056</v>
      </c>
      <c r="I403" s="112" t="s">
        <v>2643</v>
      </c>
      <c r="J403" s="112" t="s">
        <v>1066</v>
      </c>
      <c r="K403" s="112" t="s">
        <v>1125</v>
      </c>
      <c r="L403" s="112" t="s">
        <v>1061</v>
      </c>
      <c r="M403" s="112" t="s">
        <v>478</v>
      </c>
      <c r="N403" s="113">
        <v>46522.549942129626</v>
      </c>
      <c r="O403" s="114">
        <v>19002203869</v>
      </c>
      <c r="P403" s="112">
        <v>682</v>
      </c>
      <c r="Q403" s="112" t="s">
        <v>1062</v>
      </c>
      <c r="R403" s="112" t="s">
        <v>1063</v>
      </c>
      <c r="S403" s="113">
        <v>46153.427870370368</v>
      </c>
      <c r="T403" s="112" t="s">
        <v>2644</v>
      </c>
      <c r="U403" s="112" t="s">
        <v>1065</v>
      </c>
      <c r="V403" s="112" t="s">
        <v>1066</v>
      </c>
      <c r="W403" s="112" t="s">
        <v>1066</v>
      </c>
      <c r="X403" s="112" t="s">
        <v>1066</v>
      </c>
      <c r="Y403" s="112" t="s">
        <v>1066</v>
      </c>
      <c r="Z403" s="112" t="s">
        <v>1066</v>
      </c>
      <c r="AA403" s="112" t="s">
        <v>1067</v>
      </c>
      <c r="AB403" s="112" t="s">
        <v>1066</v>
      </c>
      <c r="AC403" s="112" t="s">
        <v>92</v>
      </c>
      <c r="AD403" s="112" t="s">
        <v>1066</v>
      </c>
      <c r="AE403" s="112" t="s">
        <v>1066</v>
      </c>
      <c r="AF403" s="112" t="s">
        <v>1066</v>
      </c>
      <c r="AG403" s="112" t="s">
        <v>1066</v>
      </c>
      <c r="AH403" s="112" t="s">
        <v>1066</v>
      </c>
      <c r="AI403" s="112" t="s">
        <v>785</v>
      </c>
      <c r="AJ403" s="112">
        <v>9222044</v>
      </c>
      <c r="AK403" s="112" t="s">
        <v>2645</v>
      </c>
      <c r="AL403" s="112">
        <v>787611</v>
      </c>
      <c r="AM403" s="112" t="s">
        <v>1066</v>
      </c>
      <c r="AN403" s="112" t="s">
        <v>1066</v>
      </c>
    </row>
    <row r="404" spans="1:40" ht="55.5" customHeight="1" x14ac:dyDescent="0.25">
      <c r="A404" s="111" t="s">
        <v>2646</v>
      </c>
      <c r="B404" s="112">
        <v>2026</v>
      </c>
      <c r="C404" s="112" t="s">
        <v>1251</v>
      </c>
      <c r="D404" s="113">
        <v>46031.603807870371</v>
      </c>
      <c r="E404" s="112">
        <v>7902097003</v>
      </c>
      <c r="F404" s="112" t="s">
        <v>1285</v>
      </c>
      <c r="G404" s="112">
        <v>1</v>
      </c>
      <c r="H404" s="112">
        <v>7902097003</v>
      </c>
      <c r="I404" s="112" t="s">
        <v>2647</v>
      </c>
      <c r="J404" s="112" t="s">
        <v>1059</v>
      </c>
      <c r="K404" s="112" t="s">
        <v>1060</v>
      </c>
      <c r="L404" s="112" t="s">
        <v>1061</v>
      </c>
      <c r="M404" s="112" t="s">
        <v>478</v>
      </c>
      <c r="N404" s="113">
        <v>46431.603807870371</v>
      </c>
      <c r="O404" s="114">
        <v>19002206791</v>
      </c>
      <c r="P404" s="112">
        <v>0</v>
      </c>
      <c r="Q404" s="112" t="s">
        <v>1062</v>
      </c>
      <c r="R404" s="112" t="s">
        <v>1063</v>
      </c>
      <c r="S404" s="113">
        <v>46031.729166666664</v>
      </c>
      <c r="T404" s="112" t="s">
        <v>1253</v>
      </c>
      <c r="U404" s="112" t="s">
        <v>1065</v>
      </c>
      <c r="V404" s="112" t="s">
        <v>1066</v>
      </c>
      <c r="W404" s="112" t="s">
        <v>1066</v>
      </c>
      <c r="X404" s="112" t="s">
        <v>1066</v>
      </c>
      <c r="Y404" s="112" t="s">
        <v>1066</v>
      </c>
      <c r="Z404" s="112" t="s">
        <v>1066</v>
      </c>
      <c r="AA404" s="112" t="s">
        <v>1067</v>
      </c>
      <c r="AB404" s="112" t="s">
        <v>1066</v>
      </c>
      <c r="AC404" s="112" t="s">
        <v>92</v>
      </c>
      <c r="AD404" s="112" t="s">
        <v>1066</v>
      </c>
      <c r="AE404" s="112" t="s">
        <v>1066</v>
      </c>
      <c r="AF404" s="112" t="s">
        <v>1066</v>
      </c>
      <c r="AG404" s="112" t="s">
        <v>1066</v>
      </c>
      <c r="AH404" s="112" t="s">
        <v>1066</v>
      </c>
      <c r="AI404" s="112" t="s">
        <v>785</v>
      </c>
      <c r="AJ404" s="112">
        <v>8702752</v>
      </c>
      <c r="AK404" s="112" t="s">
        <v>210</v>
      </c>
      <c r="AL404" s="112">
        <v>709613</v>
      </c>
      <c r="AM404" s="112" t="s">
        <v>1066</v>
      </c>
      <c r="AN404" s="112" t="s">
        <v>1066</v>
      </c>
    </row>
    <row r="405" spans="1:40" ht="55.5" customHeight="1" x14ac:dyDescent="0.25">
      <c r="A405" s="111" t="s">
        <v>2648</v>
      </c>
      <c r="B405" s="112">
        <v>2026</v>
      </c>
      <c r="C405" s="112" t="s">
        <v>1057</v>
      </c>
      <c r="D405" s="113">
        <v>46122.378541666665</v>
      </c>
      <c r="E405" s="112">
        <v>7900403078</v>
      </c>
      <c r="F405" s="112" t="s">
        <v>360</v>
      </c>
      <c r="G405" s="112">
        <v>3</v>
      </c>
      <c r="H405" s="112">
        <v>7900403078</v>
      </c>
      <c r="I405" s="112" t="s">
        <v>2649</v>
      </c>
      <c r="J405" s="112" t="s">
        <v>1059</v>
      </c>
      <c r="K405" s="112" t="s">
        <v>1060</v>
      </c>
      <c r="L405" s="112" t="s">
        <v>1061</v>
      </c>
      <c r="M405" s="112" t="s">
        <v>478</v>
      </c>
      <c r="N405" s="113">
        <v>46522.378541666665</v>
      </c>
      <c r="O405" s="114">
        <v>19002206676</v>
      </c>
      <c r="P405" s="112">
        <v>0</v>
      </c>
      <c r="Q405" s="112" t="s">
        <v>1062</v>
      </c>
      <c r="R405" s="112" t="s">
        <v>1063</v>
      </c>
      <c r="S405" s="113">
        <v>46162.729166666664</v>
      </c>
      <c r="T405" s="112" t="s">
        <v>2650</v>
      </c>
      <c r="U405" s="112" t="s">
        <v>1065</v>
      </c>
      <c r="V405" s="112" t="s">
        <v>1066</v>
      </c>
      <c r="W405" s="112" t="s">
        <v>1066</v>
      </c>
      <c r="X405" s="112" t="s">
        <v>1066</v>
      </c>
      <c r="Y405" s="112" t="s">
        <v>1066</v>
      </c>
      <c r="Z405" s="112" t="s">
        <v>1066</v>
      </c>
      <c r="AA405" s="112" t="s">
        <v>1067</v>
      </c>
      <c r="AB405" s="112" t="s">
        <v>1066</v>
      </c>
      <c r="AC405" s="112" t="s">
        <v>92</v>
      </c>
      <c r="AD405" s="112" t="s">
        <v>1066</v>
      </c>
      <c r="AE405" s="112" t="s">
        <v>1066</v>
      </c>
      <c r="AF405" s="112" t="s">
        <v>1066</v>
      </c>
      <c r="AG405" s="112" t="s">
        <v>1066</v>
      </c>
      <c r="AH405" s="112" t="s">
        <v>1066</v>
      </c>
      <c r="AI405" s="112" t="s">
        <v>785</v>
      </c>
      <c r="AJ405" s="112">
        <v>9069760</v>
      </c>
      <c r="AK405" s="112" t="s">
        <v>396</v>
      </c>
      <c r="AL405" s="112">
        <v>855074</v>
      </c>
      <c r="AM405" s="112" t="s">
        <v>1066</v>
      </c>
      <c r="AN405" s="112" t="s">
        <v>1066</v>
      </c>
    </row>
    <row r="406" spans="1:40" ht="55.5" customHeight="1" x14ac:dyDescent="0.25">
      <c r="A406" s="124" t="s">
        <v>2651</v>
      </c>
      <c r="B406" s="125">
        <v>2026</v>
      </c>
      <c r="C406" s="125" t="s">
        <v>2652</v>
      </c>
      <c r="D406" s="126">
        <v>46155.373310185183</v>
      </c>
      <c r="E406" s="125">
        <v>9020790038</v>
      </c>
      <c r="F406" s="125" t="s">
        <v>674</v>
      </c>
      <c r="G406" s="125">
        <v>2</v>
      </c>
      <c r="H406" s="125">
        <v>9020790038</v>
      </c>
      <c r="I406" s="125" t="s">
        <v>2653</v>
      </c>
      <c r="J406" s="125" t="s">
        <v>1231</v>
      </c>
      <c r="K406" s="125" t="s">
        <v>1494</v>
      </c>
      <c r="L406" s="125" t="s">
        <v>1084</v>
      </c>
      <c r="M406" s="125" t="s">
        <v>510</v>
      </c>
      <c r="N406" s="126">
        <v>46235.702048611114</v>
      </c>
      <c r="O406" s="127">
        <v>19001227777</v>
      </c>
      <c r="P406" s="125">
        <v>34</v>
      </c>
      <c r="Q406" s="125" t="s">
        <v>1262</v>
      </c>
      <c r="R406" s="125" t="s">
        <v>1198</v>
      </c>
      <c r="S406" s="125" t="s">
        <v>1066</v>
      </c>
      <c r="T406" s="125" t="s">
        <v>1066</v>
      </c>
      <c r="U406" s="125" t="s">
        <v>1066</v>
      </c>
      <c r="V406" s="125" t="s">
        <v>1066</v>
      </c>
      <c r="W406" s="125" t="s">
        <v>1066</v>
      </c>
      <c r="X406" s="125" t="s">
        <v>1066</v>
      </c>
      <c r="Y406" s="125" t="s">
        <v>1066</v>
      </c>
      <c r="Z406" s="125" t="s">
        <v>1066</v>
      </c>
      <c r="AA406" s="125" t="s">
        <v>1067</v>
      </c>
      <c r="AB406" s="125" t="s">
        <v>1066</v>
      </c>
      <c r="AC406" s="125" t="s">
        <v>92</v>
      </c>
      <c r="AD406" s="125" t="s">
        <v>1142</v>
      </c>
      <c r="AE406" s="125" t="s">
        <v>1066</v>
      </c>
      <c r="AF406" s="125" t="s">
        <v>1066</v>
      </c>
      <c r="AG406" s="125" t="s">
        <v>1066</v>
      </c>
      <c r="AH406" s="125" t="s">
        <v>2654</v>
      </c>
      <c r="AI406" s="125" t="s">
        <v>785</v>
      </c>
      <c r="AJ406" s="125">
        <v>8622255</v>
      </c>
      <c r="AK406" s="125" t="s">
        <v>627</v>
      </c>
      <c r="AL406" s="125">
        <v>995867</v>
      </c>
      <c r="AM406" s="125" t="s">
        <v>1497</v>
      </c>
      <c r="AN406" s="125" t="s">
        <v>1066</v>
      </c>
    </row>
    <row r="407" spans="1:40" ht="55.5" customHeight="1" x14ac:dyDescent="0.25">
      <c r="A407" s="111" t="s">
        <v>2655</v>
      </c>
      <c r="B407" s="112">
        <v>2026</v>
      </c>
      <c r="C407" s="112" t="s">
        <v>2656</v>
      </c>
      <c r="D407" s="113">
        <v>46057.382280092592</v>
      </c>
      <c r="E407" s="112">
        <v>9001181075</v>
      </c>
      <c r="F407" s="112" t="s">
        <v>1415</v>
      </c>
      <c r="G407" s="112">
        <v>3</v>
      </c>
      <c r="H407" s="112">
        <v>7901184075</v>
      </c>
      <c r="I407" s="112" t="s">
        <v>2657</v>
      </c>
      <c r="J407" s="112" t="s">
        <v>1157</v>
      </c>
      <c r="K407" s="112" t="s">
        <v>1417</v>
      </c>
      <c r="L407" s="112" t="s">
        <v>1084</v>
      </c>
      <c r="M407" s="112" t="s">
        <v>478</v>
      </c>
      <c r="N407" s="113">
        <v>46117.382280092592</v>
      </c>
      <c r="O407" s="114">
        <v>19000116890</v>
      </c>
      <c r="P407" s="112">
        <v>306</v>
      </c>
      <c r="Q407" s="112" t="s">
        <v>1131</v>
      </c>
      <c r="R407" s="112" t="s">
        <v>1085</v>
      </c>
      <c r="S407" s="113">
        <v>46120.63958333333</v>
      </c>
      <c r="T407" s="112" t="s">
        <v>2658</v>
      </c>
      <c r="U407" s="112" t="s">
        <v>1065</v>
      </c>
      <c r="V407" s="112" t="s">
        <v>1066</v>
      </c>
      <c r="W407" s="112" t="s">
        <v>1066</v>
      </c>
      <c r="X407" s="112" t="s">
        <v>983</v>
      </c>
      <c r="Y407" s="112" t="s">
        <v>1066</v>
      </c>
      <c r="Z407" s="112" t="s">
        <v>1133</v>
      </c>
      <c r="AA407" s="112" t="s">
        <v>1067</v>
      </c>
      <c r="AB407" s="112" t="s">
        <v>1066</v>
      </c>
      <c r="AC407" s="112" t="s">
        <v>92</v>
      </c>
      <c r="AD407" s="112" t="s">
        <v>1142</v>
      </c>
      <c r="AE407" s="112" t="s">
        <v>1066</v>
      </c>
      <c r="AF407" s="112" t="s">
        <v>1066</v>
      </c>
      <c r="AG407" s="112" t="s">
        <v>1066</v>
      </c>
      <c r="AH407" s="112" t="s">
        <v>1066</v>
      </c>
      <c r="AI407" s="112" t="s">
        <v>785</v>
      </c>
      <c r="AJ407" s="112">
        <v>8976793</v>
      </c>
      <c r="AK407" s="112" t="s">
        <v>590</v>
      </c>
      <c r="AL407" s="112">
        <v>708031</v>
      </c>
      <c r="AM407" s="112" t="s">
        <v>1066</v>
      </c>
      <c r="AN407" s="112" t="s">
        <v>1066</v>
      </c>
    </row>
    <row r="408" spans="1:40" ht="55.5" customHeight="1" x14ac:dyDescent="0.25">
      <c r="A408" s="111" t="s">
        <v>2659</v>
      </c>
      <c r="B408" s="112">
        <v>2026</v>
      </c>
      <c r="C408" s="112" t="s">
        <v>1057</v>
      </c>
      <c r="D408" s="113">
        <v>46125.614548611113</v>
      </c>
      <c r="E408" s="112">
        <v>7950310122</v>
      </c>
      <c r="F408" s="112" t="s">
        <v>2382</v>
      </c>
      <c r="G408" s="112">
        <v>3</v>
      </c>
      <c r="H408" s="112">
        <v>7950310122</v>
      </c>
      <c r="I408" s="112" t="s">
        <v>2660</v>
      </c>
      <c r="J408" s="112" t="s">
        <v>1066</v>
      </c>
      <c r="K408" s="112" t="s">
        <v>1125</v>
      </c>
      <c r="L408" s="112" t="s">
        <v>1061</v>
      </c>
      <c r="M408" s="112" t="s">
        <v>478</v>
      </c>
      <c r="N408" s="113">
        <v>46525.614548611113</v>
      </c>
      <c r="O408" s="114">
        <v>19002651852</v>
      </c>
      <c r="P408" s="112">
        <v>0</v>
      </c>
      <c r="Q408" s="112" t="s">
        <v>1062</v>
      </c>
      <c r="R408" s="112" t="s">
        <v>1063</v>
      </c>
      <c r="S408" s="113">
        <v>46146.447824074072</v>
      </c>
      <c r="T408" s="112" t="s">
        <v>2661</v>
      </c>
      <c r="U408" s="112" t="s">
        <v>1065</v>
      </c>
      <c r="V408" s="112" t="s">
        <v>1066</v>
      </c>
      <c r="W408" s="112" t="s">
        <v>1066</v>
      </c>
      <c r="X408" s="112" t="s">
        <v>1066</v>
      </c>
      <c r="Y408" s="112" t="s">
        <v>1066</v>
      </c>
      <c r="Z408" s="112" t="s">
        <v>1066</v>
      </c>
      <c r="AA408" s="112" t="s">
        <v>1067</v>
      </c>
      <c r="AB408" s="112" t="s">
        <v>1066</v>
      </c>
      <c r="AC408" s="112" t="s">
        <v>92</v>
      </c>
      <c r="AD408" s="112" t="s">
        <v>1066</v>
      </c>
      <c r="AE408" s="112" t="s">
        <v>1066</v>
      </c>
      <c r="AF408" s="112" t="s">
        <v>1066</v>
      </c>
      <c r="AG408" s="112" t="s">
        <v>1066</v>
      </c>
      <c r="AH408" s="112" t="s">
        <v>1066</v>
      </c>
      <c r="AI408" s="112" t="s">
        <v>785</v>
      </c>
      <c r="AJ408" s="112">
        <v>8870171</v>
      </c>
      <c r="AK408" s="112" t="s">
        <v>264</v>
      </c>
      <c r="AL408" s="112">
        <v>791766</v>
      </c>
      <c r="AM408" s="112" t="s">
        <v>1066</v>
      </c>
      <c r="AN408" s="112" t="s">
        <v>1066</v>
      </c>
    </row>
    <row r="409" spans="1:40" ht="55.5" customHeight="1" x14ac:dyDescent="0.25">
      <c r="A409" s="111" t="s">
        <v>2662</v>
      </c>
      <c r="B409" s="112">
        <v>2026</v>
      </c>
      <c r="C409" s="112" t="s">
        <v>2663</v>
      </c>
      <c r="D409" s="113">
        <v>46041.73133101852</v>
      </c>
      <c r="E409" s="112">
        <v>3100036094</v>
      </c>
      <c r="F409" s="112" t="s">
        <v>2664</v>
      </c>
      <c r="G409" s="112">
        <v>3</v>
      </c>
      <c r="H409" s="112">
        <v>7955790094</v>
      </c>
      <c r="I409" s="112" t="s">
        <v>2665</v>
      </c>
      <c r="J409" s="112" t="s">
        <v>1157</v>
      </c>
      <c r="K409" s="112" t="s">
        <v>1417</v>
      </c>
      <c r="L409" s="112" t="s">
        <v>1084</v>
      </c>
      <c r="M409" s="112" t="s">
        <v>478</v>
      </c>
      <c r="N409" s="113">
        <v>46101.73133101852</v>
      </c>
      <c r="O409" s="114">
        <v>19002744568</v>
      </c>
      <c r="P409" s="112">
        <v>131</v>
      </c>
      <c r="Q409" s="112" t="s">
        <v>1131</v>
      </c>
      <c r="R409" s="112" t="s">
        <v>1085</v>
      </c>
      <c r="S409" s="113">
        <v>46101.476539351854</v>
      </c>
      <c r="T409" s="112" t="s">
        <v>2666</v>
      </c>
      <c r="U409" s="112" t="s">
        <v>1065</v>
      </c>
      <c r="V409" s="112" t="s">
        <v>1066</v>
      </c>
      <c r="W409" s="112" t="s">
        <v>1066</v>
      </c>
      <c r="X409" s="112" t="s">
        <v>983</v>
      </c>
      <c r="Y409" s="112" t="s">
        <v>1066</v>
      </c>
      <c r="Z409" s="112" t="s">
        <v>1133</v>
      </c>
      <c r="AA409" s="112" t="s">
        <v>1067</v>
      </c>
      <c r="AB409" s="112" t="s">
        <v>1066</v>
      </c>
      <c r="AC409" s="112" t="s">
        <v>92</v>
      </c>
      <c r="AD409" s="112" t="s">
        <v>1066</v>
      </c>
      <c r="AE409" s="112" t="s">
        <v>1066</v>
      </c>
      <c r="AF409" s="112" t="s">
        <v>1066</v>
      </c>
      <c r="AG409" s="112" t="s">
        <v>1066</v>
      </c>
      <c r="AH409" s="112" t="s">
        <v>1066</v>
      </c>
      <c r="AI409" s="112" t="s">
        <v>785</v>
      </c>
      <c r="AJ409" s="112">
        <v>8667887</v>
      </c>
      <c r="AK409" s="112" t="s">
        <v>224</v>
      </c>
      <c r="AL409" s="112">
        <v>767886</v>
      </c>
      <c r="AM409" s="112" t="s">
        <v>1066</v>
      </c>
      <c r="AN409" s="112" t="s">
        <v>1066</v>
      </c>
    </row>
    <row r="410" spans="1:40" ht="55.5" customHeight="1" x14ac:dyDescent="0.25">
      <c r="A410" s="111" t="s">
        <v>2667</v>
      </c>
      <c r="B410" s="112">
        <v>2026</v>
      </c>
      <c r="C410" s="112" t="s">
        <v>2668</v>
      </c>
      <c r="D410" s="113">
        <v>46118.538807870369</v>
      </c>
      <c r="E410" s="112">
        <v>7958549025</v>
      </c>
      <c r="F410" s="112" t="s">
        <v>148</v>
      </c>
      <c r="G410" s="112">
        <v>3</v>
      </c>
      <c r="H410" s="112">
        <v>7958549025</v>
      </c>
      <c r="I410" s="112" t="s">
        <v>2669</v>
      </c>
      <c r="J410" s="112" t="s">
        <v>1071</v>
      </c>
      <c r="K410" s="112" t="s">
        <v>1829</v>
      </c>
      <c r="L410" s="112" t="s">
        <v>1073</v>
      </c>
      <c r="M410" s="112" t="s">
        <v>478</v>
      </c>
      <c r="N410" s="113">
        <v>46121.538807870369</v>
      </c>
      <c r="O410" s="114">
        <v>19002770869</v>
      </c>
      <c r="P410" s="112">
        <v>6</v>
      </c>
      <c r="Q410" s="112" t="s">
        <v>1062</v>
      </c>
      <c r="R410" s="112" t="s">
        <v>1075</v>
      </c>
      <c r="S410" s="113">
        <v>46150.615972222222</v>
      </c>
      <c r="T410" s="112" t="s">
        <v>2670</v>
      </c>
      <c r="U410" s="112" t="s">
        <v>1065</v>
      </c>
      <c r="V410" s="112" t="s">
        <v>1066</v>
      </c>
      <c r="W410" s="112" t="s">
        <v>1066</v>
      </c>
      <c r="X410" s="112" t="s">
        <v>1394</v>
      </c>
      <c r="Y410" s="112" t="s">
        <v>1066</v>
      </c>
      <c r="Z410" s="112" t="s">
        <v>2499</v>
      </c>
      <c r="AA410" s="112" t="s">
        <v>1067</v>
      </c>
      <c r="AB410" s="112" t="s">
        <v>1066</v>
      </c>
      <c r="AC410" s="112" t="s">
        <v>92</v>
      </c>
      <c r="AD410" s="112" t="s">
        <v>1066</v>
      </c>
      <c r="AE410" s="112" t="s">
        <v>1066</v>
      </c>
      <c r="AF410" s="112" t="s">
        <v>1066</v>
      </c>
      <c r="AG410" s="112" t="s">
        <v>1066</v>
      </c>
      <c r="AH410" s="112" t="s">
        <v>1066</v>
      </c>
      <c r="AI410" s="112" t="s">
        <v>785</v>
      </c>
      <c r="AJ410" s="112">
        <v>9154007</v>
      </c>
      <c r="AK410" s="112" t="s">
        <v>93</v>
      </c>
      <c r="AL410" s="112">
        <v>744584</v>
      </c>
      <c r="AM410" s="112" t="s">
        <v>1066</v>
      </c>
      <c r="AN410" s="112" t="s">
        <v>1066</v>
      </c>
    </row>
    <row r="411" spans="1:40" ht="55.5" customHeight="1" x14ac:dyDescent="0.25">
      <c r="A411" s="124" t="s">
        <v>2671</v>
      </c>
      <c r="B411" s="125">
        <v>2026</v>
      </c>
      <c r="C411" s="125" t="s">
        <v>2672</v>
      </c>
      <c r="D411" s="126">
        <v>46149.649618055555</v>
      </c>
      <c r="E411" s="125">
        <v>3355260038</v>
      </c>
      <c r="F411" s="125" t="s">
        <v>674</v>
      </c>
      <c r="G411" s="125">
        <v>3</v>
      </c>
      <c r="H411" s="125" t="s">
        <v>1066</v>
      </c>
      <c r="I411" s="125" t="s">
        <v>2673</v>
      </c>
      <c r="J411" s="125" t="s">
        <v>1231</v>
      </c>
      <c r="K411" s="125" t="s">
        <v>1494</v>
      </c>
      <c r="L411" s="125" t="s">
        <v>1084</v>
      </c>
      <c r="M411" s="125" t="s">
        <v>510</v>
      </c>
      <c r="N411" s="126">
        <v>46258.606631944444</v>
      </c>
      <c r="O411" s="127">
        <v>19002832175</v>
      </c>
      <c r="P411" s="125">
        <v>0</v>
      </c>
      <c r="Q411" s="125" t="s">
        <v>1262</v>
      </c>
      <c r="R411" s="125" t="s">
        <v>1206</v>
      </c>
      <c r="S411" s="125" t="s">
        <v>1066</v>
      </c>
      <c r="T411" s="125" t="s">
        <v>2674</v>
      </c>
      <c r="U411" s="125" t="s">
        <v>1147</v>
      </c>
      <c r="V411" s="125" t="s">
        <v>1066</v>
      </c>
      <c r="W411" s="125" t="s">
        <v>1066</v>
      </c>
      <c r="X411" s="125" t="s">
        <v>1066</v>
      </c>
      <c r="Y411" s="125" t="s">
        <v>1066</v>
      </c>
      <c r="Z411" s="125" t="s">
        <v>1066</v>
      </c>
      <c r="AA411" s="125" t="s">
        <v>1067</v>
      </c>
      <c r="AB411" s="125" t="s">
        <v>1066</v>
      </c>
      <c r="AC411" s="125" t="s">
        <v>92</v>
      </c>
      <c r="AD411" s="125" t="s">
        <v>1066</v>
      </c>
      <c r="AE411" s="125" t="s">
        <v>1066</v>
      </c>
      <c r="AF411" s="125" t="s">
        <v>1066</v>
      </c>
      <c r="AG411" s="125" t="s">
        <v>1066</v>
      </c>
      <c r="AH411" s="125" t="s">
        <v>2675</v>
      </c>
      <c r="AI411" s="125" t="s">
        <v>785</v>
      </c>
      <c r="AJ411" s="125">
        <v>8626472</v>
      </c>
      <c r="AK411" s="125" t="s">
        <v>627</v>
      </c>
      <c r="AL411" s="125">
        <v>998650</v>
      </c>
      <c r="AM411" s="125" t="s">
        <v>2676</v>
      </c>
      <c r="AN411" s="125" t="s">
        <v>2677</v>
      </c>
    </row>
    <row r="412" spans="1:40" ht="55.5" customHeight="1" x14ac:dyDescent="0.25">
      <c r="A412" s="120" t="s">
        <v>1336</v>
      </c>
      <c r="B412" s="121">
        <v>2026</v>
      </c>
      <c r="C412" s="121" t="s">
        <v>1334</v>
      </c>
      <c r="D412" s="122">
        <v>46037.716249999998</v>
      </c>
      <c r="E412" s="121">
        <v>7901151022</v>
      </c>
      <c r="F412" s="121" t="s">
        <v>79</v>
      </c>
      <c r="G412" s="121">
        <v>2</v>
      </c>
      <c r="H412" s="121">
        <v>7901151022</v>
      </c>
      <c r="I412" s="121" t="s">
        <v>1335</v>
      </c>
      <c r="J412" s="121" t="s">
        <v>1092</v>
      </c>
      <c r="K412" s="121" t="s">
        <v>1179</v>
      </c>
      <c r="L412" s="121" t="s">
        <v>1061</v>
      </c>
      <c r="M412" s="121" t="s">
        <v>1116</v>
      </c>
      <c r="N412" s="122">
        <v>46476.894189814811</v>
      </c>
      <c r="O412" s="123">
        <v>19002296001</v>
      </c>
      <c r="P412" s="121">
        <v>411</v>
      </c>
      <c r="Q412" s="121" t="s">
        <v>1062</v>
      </c>
      <c r="R412" s="121" t="s">
        <v>1063</v>
      </c>
      <c r="S412" s="122">
        <v>46077.68482638889</v>
      </c>
      <c r="T412" s="121" t="s">
        <v>1066</v>
      </c>
      <c r="U412" s="121" t="s">
        <v>1066</v>
      </c>
      <c r="V412" s="121" t="s">
        <v>1066</v>
      </c>
      <c r="W412" s="121" t="s">
        <v>1066</v>
      </c>
      <c r="X412" s="121" t="s">
        <v>1066</v>
      </c>
      <c r="Y412" s="121" t="s">
        <v>1066</v>
      </c>
      <c r="Z412" s="121" t="s">
        <v>1066</v>
      </c>
      <c r="AA412" s="121" t="s">
        <v>1067</v>
      </c>
      <c r="AB412" s="121" t="s">
        <v>1066</v>
      </c>
      <c r="AC412" s="121" t="s">
        <v>92</v>
      </c>
      <c r="AD412" s="121" t="s">
        <v>1066</v>
      </c>
      <c r="AE412" s="121" t="s">
        <v>1066</v>
      </c>
      <c r="AF412" s="121" t="s">
        <v>1066</v>
      </c>
      <c r="AG412" s="121" t="s">
        <v>1066</v>
      </c>
      <c r="AH412" s="121" t="s">
        <v>1066</v>
      </c>
      <c r="AI412" s="121" t="s">
        <v>785</v>
      </c>
      <c r="AJ412" s="121">
        <v>9194020</v>
      </c>
      <c r="AK412" s="121" t="s">
        <v>125</v>
      </c>
      <c r="AL412" s="121">
        <v>831996</v>
      </c>
      <c r="AM412" s="121" t="s">
        <v>1066</v>
      </c>
      <c r="AN412" s="121" t="s">
        <v>1066</v>
      </c>
    </row>
    <row r="413" spans="1:40" ht="55.5" customHeight="1" x14ac:dyDescent="0.25">
      <c r="A413" s="120" t="s">
        <v>2678</v>
      </c>
      <c r="B413" s="121">
        <v>2026</v>
      </c>
      <c r="C413" s="121" t="s">
        <v>712</v>
      </c>
      <c r="D413" s="122">
        <v>46029.405439814815</v>
      </c>
      <c r="E413" s="121">
        <v>309059122</v>
      </c>
      <c r="F413" s="121" t="s">
        <v>1884</v>
      </c>
      <c r="G413" s="121">
        <v>2</v>
      </c>
      <c r="H413" s="121">
        <v>7956939122</v>
      </c>
      <c r="I413" s="121" t="s">
        <v>1885</v>
      </c>
      <c r="J413" s="121" t="s">
        <v>1071</v>
      </c>
      <c r="K413" s="121" t="s">
        <v>1130</v>
      </c>
      <c r="L413" s="121" t="s">
        <v>1073</v>
      </c>
      <c r="M413" s="121" t="s">
        <v>1116</v>
      </c>
      <c r="N413" s="122">
        <v>46032.405439814815</v>
      </c>
      <c r="O413" s="123">
        <v>19002737843</v>
      </c>
      <c r="P413" s="121">
        <v>563</v>
      </c>
      <c r="Q413" s="121" t="s">
        <v>1131</v>
      </c>
      <c r="R413" s="121" t="s">
        <v>1063</v>
      </c>
      <c r="S413" s="122">
        <v>46094.506550925929</v>
      </c>
      <c r="T413" s="121" t="s">
        <v>1066</v>
      </c>
      <c r="U413" s="121" t="s">
        <v>1066</v>
      </c>
      <c r="V413" s="121" t="s">
        <v>1066</v>
      </c>
      <c r="W413" s="121" t="s">
        <v>1066</v>
      </c>
      <c r="X413" s="121" t="s">
        <v>1117</v>
      </c>
      <c r="Y413" s="121" t="s">
        <v>1066</v>
      </c>
      <c r="Z413" s="121" t="s">
        <v>1133</v>
      </c>
      <c r="AA413" s="121" t="s">
        <v>1067</v>
      </c>
      <c r="AB413" s="121" t="s">
        <v>1066</v>
      </c>
      <c r="AC413" s="121" t="s">
        <v>92</v>
      </c>
      <c r="AD413" s="121" t="s">
        <v>1066</v>
      </c>
      <c r="AE413" s="121" t="s">
        <v>1066</v>
      </c>
      <c r="AF413" s="121" t="s">
        <v>1066</v>
      </c>
      <c r="AG413" s="121" t="s">
        <v>1066</v>
      </c>
      <c r="AH413" s="121" t="s">
        <v>1066</v>
      </c>
      <c r="AI413" s="121" t="s">
        <v>785</v>
      </c>
      <c r="AJ413" s="121">
        <v>8875675</v>
      </c>
      <c r="AK413" s="121" t="s">
        <v>264</v>
      </c>
      <c r="AL413" s="121">
        <v>795027</v>
      </c>
      <c r="AM413" s="121" t="s">
        <v>1066</v>
      </c>
      <c r="AN413" s="121" t="s">
        <v>1066</v>
      </c>
    </row>
    <row r="414" spans="1:40" ht="55.5" customHeight="1" x14ac:dyDescent="0.25">
      <c r="A414" s="111" t="s">
        <v>2679</v>
      </c>
      <c r="B414" s="112">
        <v>2026</v>
      </c>
      <c r="C414" s="112" t="s">
        <v>1057</v>
      </c>
      <c r="D414" s="113">
        <v>46125.614548611113</v>
      </c>
      <c r="E414" s="112">
        <v>7927312010</v>
      </c>
      <c r="F414" s="112" t="s">
        <v>1613</v>
      </c>
      <c r="G414" s="112">
        <v>2</v>
      </c>
      <c r="H414" s="112">
        <v>7927312010</v>
      </c>
      <c r="I414" s="112" t="s">
        <v>2553</v>
      </c>
      <c r="J414" s="112" t="s">
        <v>1066</v>
      </c>
      <c r="K414" s="112" t="s">
        <v>1125</v>
      </c>
      <c r="L414" s="112" t="s">
        <v>1061</v>
      </c>
      <c r="M414" s="112" t="s">
        <v>478</v>
      </c>
      <c r="N414" s="113">
        <v>46525.614548611113</v>
      </c>
      <c r="O414" s="114">
        <v>19002295967</v>
      </c>
      <c r="P414" s="112">
        <v>791</v>
      </c>
      <c r="Q414" s="112" t="s">
        <v>1062</v>
      </c>
      <c r="R414" s="112" t="s">
        <v>1063</v>
      </c>
      <c r="S414" s="113">
        <v>46174.3125</v>
      </c>
      <c r="T414" s="112" t="s">
        <v>1307</v>
      </c>
      <c r="U414" s="112" t="s">
        <v>1065</v>
      </c>
      <c r="V414" s="112" t="s">
        <v>1066</v>
      </c>
      <c r="W414" s="112" t="s">
        <v>1066</v>
      </c>
      <c r="X414" s="112" t="s">
        <v>1066</v>
      </c>
      <c r="Y414" s="112" t="s">
        <v>1066</v>
      </c>
      <c r="Z414" s="112" t="s">
        <v>1066</v>
      </c>
      <c r="AA414" s="112" t="s">
        <v>1067</v>
      </c>
      <c r="AB414" s="112" t="s">
        <v>1066</v>
      </c>
      <c r="AC414" s="112" t="s">
        <v>92</v>
      </c>
      <c r="AD414" s="112" t="s">
        <v>1066</v>
      </c>
      <c r="AE414" s="112" t="s">
        <v>1066</v>
      </c>
      <c r="AF414" s="112" t="s">
        <v>1066</v>
      </c>
      <c r="AG414" s="112" t="s">
        <v>1066</v>
      </c>
      <c r="AH414" s="112" t="s">
        <v>1066</v>
      </c>
      <c r="AI414" s="112" t="s">
        <v>785</v>
      </c>
      <c r="AJ414" s="112">
        <v>8910320</v>
      </c>
      <c r="AK414" s="112" t="s">
        <v>1442</v>
      </c>
      <c r="AL414" s="112">
        <v>800224</v>
      </c>
      <c r="AM414" s="112" t="s">
        <v>1066</v>
      </c>
      <c r="AN414" s="112" t="s">
        <v>1066</v>
      </c>
    </row>
    <row r="415" spans="1:40" ht="55.5" customHeight="1" x14ac:dyDescent="0.25">
      <c r="A415" s="124" t="s">
        <v>2680</v>
      </c>
      <c r="B415" s="125">
        <v>2026</v>
      </c>
      <c r="C415" s="125" t="s">
        <v>1449</v>
      </c>
      <c r="D415" s="126">
        <v>46244.660034722219</v>
      </c>
      <c r="E415" s="125">
        <v>7930908109</v>
      </c>
      <c r="F415" s="125" t="s">
        <v>351</v>
      </c>
      <c r="G415" s="125">
        <v>1</v>
      </c>
      <c r="H415" s="125">
        <v>7930908109</v>
      </c>
      <c r="I415" s="125" t="s">
        <v>2681</v>
      </c>
      <c r="J415" s="125" t="s">
        <v>1066</v>
      </c>
      <c r="K415" s="125" t="s">
        <v>1125</v>
      </c>
      <c r="L415" s="125" t="s">
        <v>1061</v>
      </c>
      <c r="M415" s="125" t="s">
        <v>510</v>
      </c>
      <c r="N415" s="126">
        <v>46644.660034722219</v>
      </c>
      <c r="O415" s="127">
        <v>19002260345</v>
      </c>
      <c r="P415" s="125">
        <v>221</v>
      </c>
      <c r="Q415" s="125" t="s">
        <v>1062</v>
      </c>
      <c r="R415" s="125" t="s">
        <v>1063</v>
      </c>
      <c r="S415" s="125" t="s">
        <v>1066</v>
      </c>
      <c r="T415" s="125" t="s">
        <v>1066</v>
      </c>
      <c r="U415" s="125" t="s">
        <v>1066</v>
      </c>
      <c r="V415" s="125" t="s">
        <v>1066</v>
      </c>
      <c r="W415" s="125" t="s">
        <v>1066</v>
      </c>
      <c r="X415" s="125" t="s">
        <v>1066</v>
      </c>
      <c r="Y415" s="125" t="s">
        <v>1066</v>
      </c>
      <c r="Z415" s="125" t="s">
        <v>1066</v>
      </c>
      <c r="AA415" s="125" t="s">
        <v>1067</v>
      </c>
      <c r="AB415" s="125" t="s">
        <v>1066</v>
      </c>
      <c r="AC415" s="125" t="s">
        <v>92</v>
      </c>
      <c r="AD415" s="125" t="s">
        <v>1066</v>
      </c>
      <c r="AE415" s="125" t="s">
        <v>1066</v>
      </c>
      <c r="AF415" s="125" t="s">
        <v>1066</v>
      </c>
      <c r="AG415" s="125" t="s">
        <v>1066</v>
      </c>
      <c r="AH415" s="125" t="s">
        <v>1066</v>
      </c>
      <c r="AI415" s="125" t="s">
        <v>785</v>
      </c>
      <c r="AJ415" s="125">
        <v>9290965</v>
      </c>
      <c r="AK415" s="125" t="s">
        <v>1216</v>
      </c>
      <c r="AL415" s="125">
        <v>840289</v>
      </c>
      <c r="AM415" s="125" t="s">
        <v>1066</v>
      </c>
      <c r="AN415" s="125" t="s">
        <v>1066</v>
      </c>
    </row>
    <row r="416" spans="1:40" ht="55.5" customHeight="1" x14ac:dyDescent="0.25">
      <c r="A416" s="111" t="s">
        <v>2682</v>
      </c>
      <c r="B416" s="112">
        <v>2026</v>
      </c>
      <c r="C416" s="112" t="s">
        <v>2683</v>
      </c>
      <c r="D416" s="113">
        <v>46136.452106481483</v>
      </c>
      <c r="E416" s="112">
        <v>320035016</v>
      </c>
      <c r="F416" s="112" t="s">
        <v>1654</v>
      </c>
      <c r="G416" s="112">
        <v>3</v>
      </c>
      <c r="H416" s="112">
        <v>320035016</v>
      </c>
      <c r="I416" s="112" t="s">
        <v>2684</v>
      </c>
      <c r="J416" s="112" t="s">
        <v>1082</v>
      </c>
      <c r="K416" s="112" t="s">
        <v>1083</v>
      </c>
      <c r="L416" s="112" t="s">
        <v>1084</v>
      </c>
      <c r="M416" s="112" t="s">
        <v>478</v>
      </c>
      <c r="N416" s="113">
        <v>46196.452106481483</v>
      </c>
      <c r="O416" s="114">
        <v>19000592147</v>
      </c>
      <c r="P416" s="112">
        <v>1</v>
      </c>
      <c r="Q416" s="112" t="s">
        <v>1262</v>
      </c>
      <c r="R416" s="112" t="s">
        <v>1085</v>
      </c>
      <c r="S416" s="113">
        <v>46210.702951388892</v>
      </c>
      <c r="T416" s="112" t="s">
        <v>2685</v>
      </c>
      <c r="U416" s="112" t="s">
        <v>1065</v>
      </c>
      <c r="V416" s="112" t="s">
        <v>1066</v>
      </c>
      <c r="W416" s="112" t="s">
        <v>1066</v>
      </c>
      <c r="X416" s="112" t="s">
        <v>1318</v>
      </c>
      <c r="Y416" s="112" t="s">
        <v>1066</v>
      </c>
      <c r="Z416" s="112" t="s">
        <v>2042</v>
      </c>
      <c r="AA416" s="112" t="s">
        <v>1067</v>
      </c>
      <c r="AB416" s="112" t="s">
        <v>1066</v>
      </c>
      <c r="AC416" s="112" t="s">
        <v>92</v>
      </c>
      <c r="AD416" s="112" t="s">
        <v>1142</v>
      </c>
      <c r="AE416" s="112" t="s">
        <v>1066</v>
      </c>
      <c r="AF416" s="112" t="s">
        <v>1066</v>
      </c>
      <c r="AG416" s="112" t="s">
        <v>1066</v>
      </c>
      <c r="AH416" s="112" t="s">
        <v>1066</v>
      </c>
      <c r="AI416" s="112" t="s">
        <v>785</v>
      </c>
      <c r="AJ416" s="112">
        <v>9216227</v>
      </c>
      <c r="AK416" s="112" t="s">
        <v>537</v>
      </c>
      <c r="AL416" s="112">
        <v>814840</v>
      </c>
      <c r="AM416" s="112" t="s">
        <v>2686</v>
      </c>
      <c r="AN416" s="112" t="s">
        <v>1269</v>
      </c>
    </row>
    <row r="417" spans="1:40" ht="55.5" customHeight="1" x14ac:dyDescent="0.25">
      <c r="A417" s="111" t="s">
        <v>2687</v>
      </c>
      <c r="B417" s="112">
        <v>2026</v>
      </c>
      <c r="C417" s="112" t="s">
        <v>2688</v>
      </c>
      <c r="D417" s="113">
        <v>46098.646111111113</v>
      </c>
      <c r="E417" s="112">
        <v>9000888055</v>
      </c>
      <c r="F417" s="112" t="s">
        <v>1415</v>
      </c>
      <c r="G417" s="112">
        <v>3</v>
      </c>
      <c r="H417" s="112">
        <v>7900888055</v>
      </c>
      <c r="I417" s="112" t="s">
        <v>2689</v>
      </c>
      <c r="J417" s="112" t="s">
        <v>1082</v>
      </c>
      <c r="K417" s="112" t="s">
        <v>1083</v>
      </c>
      <c r="L417" s="112" t="s">
        <v>1084</v>
      </c>
      <c r="M417" s="112" t="s">
        <v>478</v>
      </c>
      <c r="N417" s="113">
        <v>46158.646111111113</v>
      </c>
      <c r="O417" s="114">
        <v>19001233803</v>
      </c>
      <c r="P417" s="112">
        <v>0</v>
      </c>
      <c r="Q417" s="112" t="s">
        <v>1131</v>
      </c>
      <c r="R417" s="112" t="s">
        <v>1085</v>
      </c>
      <c r="S417" s="113">
        <v>46107.448229166665</v>
      </c>
      <c r="T417" s="112" t="s">
        <v>2690</v>
      </c>
      <c r="U417" s="112" t="s">
        <v>1065</v>
      </c>
      <c r="V417" s="112" t="s">
        <v>1066</v>
      </c>
      <c r="W417" s="112" t="s">
        <v>1066</v>
      </c>
      <c r="X417" s="112" t="s">
        <v>983</v>
      </c>
      <c r="Y417" s="112" t="s">
        <v>1066</v>
      </c>
      <c r="Z417" s="112" t="s">
        <v>1066</v>
      </c>
      <c r="AA417" s="112" t="s">
        <v>1067</v>
      </c>
      <c r="AB417" s="112" t="s">
        <v>1066</v>
      </c>
      <c r="AC417" s="112" t="s">
        <v>92</v>
      </c>
      <c r="AD417" s="112" t="s">
        <v>1142</v>
      </c>
      <c r="AE417" s="112" t="s">
        <v>1066</v>
      </c>
      <c r="AF417" s="112" t="s">
        <v>1066</v>
      </c>
      <c r="AG417" s="112" t="s">
        <v>1066</v>
      </c>
      <c r="AH417" s="112" t="s">
        <v>1066</v>
      </c>
      <c r="AI417" s="112" t="s">
        <v>785</v>
      </c>
      <c r="AJ417" s="112">
        <v>8987759</v>
      </c>
      <c r="AK417" s="112" t="s">
        <v>482</v>
      </c>
      <c r="AL417" s="112">
        <v>669391</v>
      </c>
      <c r="AM417" s="112" t="s">
        <v>1066</v>
      </c>
      <c r="AN417" s="112" t="s">
        <v>1066</v>
      </c>
    </row>
    <row r="418" spans="1:40" ht="55.5" customHeight="1" x14ac:dyDescent="0.25">
      <c r="A418" s="115" t="s">
        <v>2691</v>
      </c>
      <c r="B418" s="116">
        <v>2026</v>
      </c>
      <c r="C418" s="116" t="s">
        <v>2692</v>
      </c>
      <c r="D418" s="118">
        <v>46069.238310185188</v>
      </c>
      <c r="E418" s="116">
        <v>8800246256</v>
      </c>
      <c r="F418" s="116" t="s">
        <v>136</v>
      </c>
      <c r="G418" s="116">
        <v>3</v>
      </c>
      <c r="H418" s="116">
        <v>7953610256</v>
      </c>
      <c r="I418" s="116" t="s">
        <v>2693</v>
      </c>
      <c r="J418" s="116" t="s">
        <v>1071</v>
      </c>
      <c r="K418" s="116" t="s">
        <v>2694</v>
      </c>
      <c r="L418" s="116" t="s">
        <v>1073</v>
      </c>
      <c r="M418" s="116" t="s">
        <v>588</v>
      </c>
      <c r="N418" s="118">
        <v>46102.672673611109</v>
      </c>
      <c r="O418" s="119">
        <v>19002706214</v>
      </c>
      <c r="P418" s="116">
        <v>5</v>
      </c>
      <c r="Q418" s="116" t="s">
        <v>1131</v>
      </c>
      <c r="R418" s="116" t="s">
        <v>1075</v>
      </c>
      <c r="S418" s="116" t="s">
        <v>1066</v>
      </c>
      <c r="T418" s="116" t="s">
        <v>1066</v>
      </c>
      <c r="U418" s="116" t="s">
        <v>1066</v>
      </c>
      <c r="V418" s="116" t="s">
        <v>1066</v>
      </c>
      <c r="W418" s="116" t="s">
        <v>1066</v>
      </c>
      <c r="X418" s="116" t="s">
        <v>983</v>
      </c>
      <c r="Y418" s="116" t="s">
        <v>1066</v>
      </c>
      <c r="Z418" s="116" t="s">
        <v>1148</v>
      </c>
      <c r="AA418" s="116" t="s">
        <v>1067</v>
      </c>
      <c r="AB418" s="116" t="s">
        <v>1066</v>
      </c>
      <c r="AC418" s="116" t="s">
        <v>92</v>
      </c>
      <c r="AD418" s="116" t="s">
        <v>1066</v>
      </c>
      <c r="AE418" s="116" t="s">
        <v>1066</v>
      </c>
      <c r="AF418" s="116" t="s">
        <v>1066</v>
      </c>
      <c r="AG418" s="116" t="s">
        <v>1066</v>
      </c>
      <c r="AH418" s="116" t="s">
        <v>1066</v>
      </c>
      <c r="AI418" s="116" t="s">
        <v>785</v>
      </c>
      <c r="AJ418" s="116">
        <v>8855553</v>
      </c>
      <c r="AK418" s="116" t="s">
        <v>134</v>
      </c>
      <c r="AL418" s="116">
        <v>1068871</v>
      </c>
      <c r="AM418" s="116" t="s">
        <v>1066</v>
      </c>
      <c r="AN418" s="116" t="s">
        <v>1066</v>
      </c>
    </row>
    <row r="419" spans="1:40" ht="55.5" customHeight="1" x14ac:dyDescent="0.25">
      <c r="A419" s="111" t="s">
        <v>2695</v>
      </c>
      <c r="B419" s="112">
        <v>2026</v>
      </c>
      <c r="C419" s="112" t="s">
        <v>1057</v>
      </c>
      <c r="D419" s="113">
        <v>46125.584386574075</v>
      </c>
      <c r="E419" s="112">
        <v>7902098003</v>
      </c>
      <c r="F419" s="112" t="s">
        <v>702</v>
      </c>
      <c r="G419" s="112">
        <v>1</v>
      </c>
      <c r="H419" s="112">
        <v>7902098003</v>
      </c>
      <c r="I419" s="112" t="s">
        <v>2696</v>
      </c>
      <c r="J419" s="112" t="s">
        <v>1066</v>
      </c>
      <c r="K419" s="112" t="s">
        <v>1125</v>
      </c>
      <c r="L419" s="112" t="s">
        <v>1061</v>
      </c>
      <c r="M419" s="112" t="s">
        <v>478</v>
      </c>
      <c r="N419" s="113">
        <v>46525.584386574075</v>
      </c>
      <c r="O419" s="114">
        <v>19002215031</v>
      </c>
      <c r="P419" s="112">
        <v>131</v>
      </c>
      <c r="Q419" s="112" t="s">
        <v>1062</v>
      </c>
      <c r="R419" s="112" t="s">
        <v>1063</v>
      </c>
      <c r="S419" s="113">
        <v>46155.727696759262</v>
      </c>
      <c r="T419" s="112" t="s">
        <v>2697</v>
      </c>
      <c r="U419" s="112" t="s">
        <v>1065</v>
      </c>
      <c r="V419" s="112" t="s">
        <v>1066</v>
      </c>
      <c r="W419" s="112" t="s">
        <v>1066</v>
      </c>
      <c r="X419" s="112" t="s">
        <v>1066</v>
      </c>
      <c r="Y419" s="112" t="s">
        <v>1066</v>
      </c>
      <c r="Z419" s="112" t="s">
        <v>1066</v>
      </c>
      <c r="AA419" s="112" t="s">
        <v>1067</v>
      </c>
      <c r="AB419" s="112" t="s">
        <v>1066</v>
      </c>
      <c r="AC419" s="112" t="s">
        <v>92</v>
      </c>
      <c r="AD419" s="112" t="s">
        <v>1066</v>
      </c>
      <c r="AE419" s="112" t="s">
        <v>1066</v>
      </c>
      <c r="AF419" s="112" t="s">
        <v>1066</v>
      </c>
      <c r="AG419" s="112" t="s">
        <v>1066</v>
      </c>
      <c r="AH419" s="112" t="s">
        <v>1066</v>
      </c>
      <c r="AI419" s="112" t="s">
        <v>785</v>
      </c>
      <c r="AJ419" s="112">
        <v>8711395</v>
      </c>
      <c r="AK419" s="112" t="s">
        <v>210</v>
      </c>
      <c r="AL419" s="112">
        <v>712012</v>
      </c>
      <c r="AM419" s="112" t="s">
        <v>1066</v>
      </c>
      <c r="AN419" s="112" t="s">
        <v>1066</v>
      </c>
    </row>
    <row r="420" spans="1:40" ht="55.5" customHeight="1" x14ac:dyDescent="0.25">
      <c r="A420" s="120" t="s">
        <v>2698</v>
      </c>
      <c r="B420" s="121">
        <v>2026</v>
      </c>
      <c r="C420" s="121" t="s">
        <v>2699</v>
      </c>
      <c r="D420" s="122">
        <v>46149.408726851849</v>
      </c>
      <c r="E420" s="121">
        <v>9008203091</v>
      </c>
      <c r="F420" s="121" t="s">
        <v>1483</v>
      </c>
      <c r="G420" s="121">
        <v>3</v>
      </c>
      <c r="H420" s="121">
        <v>7908203091</v>
      </c>
      <c r="I420" s="121" t="s">
        <v>1484</v>
      </c>
      <c r="J420" s="121" t="s">
        <v>1071</v>
      </c>
      <c r="K420" s="121" t="s">
        <v>2080</v>
      </c>
      <c r="L420" s="121" t="s">
        <v>1073</v>
      </c>
      <c r="M420" s="121" t="s">
        <v>1116</v>
      </c>
      <c r="N420" s="122">
        <v>46152.408726851849</v>
      </c>
      <c r="O420" s="123">
        <v>19000138438</v>
      </c>
      <c r="P420" s="121">
        <v>123</v>
      </c>
      <c r="Q420" s="121" t="s">
        <v>1131</v>
      </c>
      <c r="R420" s="121" t="s">
        <v>1297</v>
      </c>
      <c r="S420" s="122">
        <v>46153.63212962963</v>
      </c>
      <c r="T420" s="121" t="s">
        <v>1066</v>
      </c>
      <c r="U420" s="121" t="s">
        <v>1066</v>
      </c>
      <c r="V420" s="121" t="s">
        <v>1066</v>
      </c>
      <c r="W420" s="121" t="s">
        <v>1066</v>
      </c>
      <c r="X420" s="121" t="s">
        <v>983</v>
      </c>
      <c r="Y420" s="121" t="s">
        <v>1066</v>
      </c>
      <c r="Z420" s="121" t="s">
        <v>1148</v>
      </c>
      <c r="AA420" s="121" t="s">
        <v>1067</v>
      </c>
      <c r="AB420" s="121" t="s">
        <v>1066</v>
      </c>
      <c r="AC420" s="121" t="s">
        <v>92</v>
      </c>
      <c r="AD420" s="121" t="s">
        <v>1142</v>
      </c>
      <c r="AE420" s="121" t="s">
        <v>1066</v>
      </c>
      <c r="AF420" s="121" t="s">
        <v>1066</v>
      </c>
      <c r="AG420" s="121" t="s">
        <v>1066</v>
      </c>
      <c r="AH420" s="121" t="s">
        <v>1066</v>
      </c>
      <c r="AI420" s="121" t="s">
        <v>785</v>
      </c>
      <c r="AJ420" s="121">
        <v>8725519</v>
      </c>
      <c r="AK420" s="121" t="s">
        <v>40</v>
      </c>
      <c r="AL420" s="121">
        <v>914621</v>
      </c>
      <c r="AM420" s="121" t="s">
        <v>1066</v>
      </c>
      <c r="AN420" s="121" t="s">
        <v>1066</v>
      </c>
    </row>
    <row r="421" spans="1:40" ht="55.5" customHeight="1" x14ac:dyDescent="0.25">
      <c r="A421" s="111" t="s">
        <v>2700</v>
      </c>
      <c r="B421" s="112">
        <v>2026</v>
      </c>
      <c r="C421" s="112" t="s">
        <v>1089</v>
      </c>
      <c r="D421" s="113">
        <v>46028.41065972222</v>
      </c>
      <c r="E421" s="112">
        <v>7908249152</v>
      </c>
      <c r="F421" s="112" t="s">
        <v>52</v>
      </c>
      <c r="G421" s="112">
        <v>3</v>
      </c>
      <c r="H421" s="112">
        <v>7908249152</v>
      </c>
      <c r="I421" s="112" t="s">
        <v>2701</v>
      </c>
      <c r="J421" s="112" t="s">
        <v>1092</v>
      </c>
      <c r="K421" s="112" t="s">
        <v>1093</v>
      </c>
      <c r="L421" s="112" t="s">
        <v>1061</v>
      </c>
      <c r="M421" s="112" t="s">
        <v>478</v>
      </c>
      <c r="N421" s="113">
        <v>46428.41065972222</v>
      </c>
      <c r="O421" s="114">
        <v>19002206576</v>
      </c>
      <c r="P421" s="112">
        <v>234</v>
      </c>
      <c r="Q421" s="112" t="s">
        <v>1062</v>
      </c>
      <c r="R421" s="112" t="s">
        <v>1063</v>
      </c>
      <c r="S421" s="113">
        <v>46058.730173611111</v>
      </c>
      <c r="T421" s="112" t="s">
        <v>2702</v>
      </c>
      <c r="U421" s="112" t="s">
        <v>1065</v>
      </c>
      <c r="V421" s="112" t="s">
        <v>1066</v>
      </c>
      <c r="W421" s="112" t="s">
        <v>1066</v>
      </c>
      <c r="X421" s="112" t="s">
        <v>1066</v>
      </c>
      <c r="Y421" s="112" t="s">
        <v>1066</v>
      </c>
      <c r="Z421" s="112" t="s">
        <v>1066</v>
      </c>
      <c r="AA421" s="112" t="s">
        <v>1067</v>
      </c>
      <c r="AB421" s="112" t="s">
        <v>1066</v>
      </c>
      <c r="AC421" s="112" t="s">
        <v>92</v>
      </c>
      <c r="AD421" s="112" t="s">
        <v>1066</v>
      </c>
      <c r="AE421" s="112" t="s">
        <v>1066</v>
      </c>
      <c r="AF421" s="112" t="s">
        <v>1066</v>
      </c>
      <c r="AG421" s="112" t="s">
        <v>1066</v>
      </c>
      <c r="AH421" s="112" t="s">
        <v>1066</v>
      </c>
      <c r="AI421" s="112" t="s">
        <v>785</v>
      </c>
      <c r="AJ421" s="112">
        <v>8737798</v>
      </c>
      <c r="AK421" s="112" t="s">
        <v>306</v>
      </c>
      <c r="AL421" s="112">
        <v>805385</v>
      </c>
      <c r="AM421" s="112" t="s">
        <v>1066</v>
      </c>
      <c r="AN421" s="112" t="s">
        <v>1066</v>
      </c>
    </row>
    <row r="422" spans="1:40" ht="55.5" customHeight="1" x14ac:dyDescent="0.25">
      <c r="A422" s="111" t="s">
        <v>2703</v>
      </c>
      <c r="B422" s="112">
        <v>2026</v>
      </c>
      <c r="C422" s="112" t="s">
        <v>1251</v>
      </c>
      <c r="D422" s="113">
        <v>46031.603807870371</v>
      </c>
      <c r="E422" s="112">
        <v>7925096042</v>
      </c>
      <c r="F422" s="112" t="s">
        <v>2704</v>
      </c>
      <c r="G422" s="112">
        <v>1</v>
      </c>
      <c r="H422" s="112">
        <v>7925096042</v>
      </c>
      <c r="I422" s="112" t="s">
        <v>2705</v>
      </c>
      <c r="J422" s="112" t="s">
        <v>1059</v>
      </c>
      <c r="K422" s="112" t="s">
        <v>1060</v>
      </c>
      <c r="L422" s="112" t="s">
        <v>1061</v>
      </c>
      <c r="M422" s="112" t="s">
        <v>478</v>
      </c>
      <c r="N422" s="113">
        <v>46431.603807870371</v>
      </c>
      <c r="O422" s="114">
        <v>19002205754</v>
      </c>
      <c r="P422" s="112">
        <v>0</v>
      </c>
      <c r="Q422" s="112" t="s">
        <v>1062</v>
      </c>
      <c r="R422" s="112" t="s">
        <v>1063</v>
      </c>
      <c r="S422" s="113">
        <v>46031.729166666664</v>
      </c>
      <c r="T422" s="112" t="s">
        <v>1253</v>
      </c>
      <c r="U422" s="112" t="s">
        <v>1065</v>
      </c>
      <c r="V422" s="112" t="s">
        <v>1066</v>
      </c>
      <c r="W422" s="112" t="s">
        <v>1066</v>
      </c>
      <c r="X422" s="112" t="s">
        <v>1066</v>
      </c>
      <c r="Y422" s="112" t="s">
        <v>1066</v>
      </c>
      <c r="Z422" s="112" t="s">
        <v>1066</v>
      </c>
      <c r="AA422" s="112" t="s">
        <v>1067</v>
      </c>
      <c r="AB422" s="112" t="s">
        <v>1066</v>
      </c>
      <c r="AC422" s="112" t="s">
        <v>92</v>
      </c>
      <c r="AD422" s="112" t="s">
        <v>1066</v>
      </c>
      <c r="AE422" s="112" t="s">
        <v>1066</v>
      </c>
      <c r="AF422" s="112" t="s">
        <v>1066</v>
      </c>
      <c r="AG422" s="112" t="s">
        <v>1066</v>
      </c>
      <c r="AH422" s="112" t="s">
        <v>1066</v>
      </c>
      <c r="AI422" s="112" t="s">
        <v>785</v>
      </c>
      <c r="AJ422" s="112">
        <v>8685931</v>
      </c>
      <c r="AK422" s="112" t="s">
        <v>2348</v>
      </c>
      <c r="AL422" s="112">
        <v>700110</v>
      </c>
      <c r="AM422" s="112" t="s">
        <v>1066</v>
      </c>
      <c r="AN422" s="112" t="s">
        <v>1066</v>
      </c>
    </row>
    <row r="423" spans="1:40" ht="55.5" customHeight="1" x14ac:dyDescent="0.25">
      <c r="A423" s="111" t="s">
        <v>2706</v>
      </c>
      <c r="B423" s="112">
        <v>2026</v>
      </c>
      <c r="C423" s="112" t="s">
        <v>1057</v>
      </c>
      <c r="D423" s="113">
        <v>46125.584386574075</v>
      </c>
      <c r="E423" s="112">
        <v>7933992003</v>
      </c>
      <c r="F423" s="112" t="s">
        <v>2707</v>
      </c>
      <c r="G423" s="112">
        <v>1</v>
      </c>
      <c r="H423" s="112">
        <v>7933992003</v>
      </c>
      <c r="I423" s="112" t="s">
        <v>2708</v>
      </c>
      <c r="J423" s="112" t="s">
        <v>1066</v>
      </c>
      <c r="K423" s="112" t="s">
        <v>1125</v>
      </c>
      <c r="L423" s="112" t="s">
        <v>1061</v>
      </c>
      <c r="M423" s="112" t="s">
        <v>478</v>
      </c>
      <c r="N423" s="113">
        <v>46525.584386574075</v>
      </c>
      <c r="O423" s="114">
        <v>19002679811</v>
      </c>
      <c r="P423" s="112">
        <v>0</v>
      </c>
      <c r="Q423" s="112" t="s">
        <v>1062</v>
      </c>
      <c r="R423" s="112" t="s">
        <v>1063</v>
      </c>
      <c r="S423" s="113">
        <v>46154.619884259257</v>
      </c>
      <c r="T423" s="112" t="s">
        <v>2709</v>
      </c>
      <c r="U423" s="112" t="s">
        <v>1065</v>
      </c>
      <c r="V423" s="112" t="s">
        <v>1066</v>
      </c>
      <c r="W423" s="112" t="s">
        <v>1066</v>
      </c>
      <c r="X423" s="112" t="s">
        <v>1066</v>
      </c>
      <c r="Y423" s="112" t="s">
        <v>1066</v>
      </c>
      <c r="Z423" s="112" t="s">
        <v>1066</v>
      </c>
      <c r="AA423" s="112" t="s">
        <v>1067</v>
      </c>
      <c r="AB423" s="112" t="s">
        <v>1066</v>
      </c>
      <c r="AC423" s="112" t="s">
        <v>92</v>
      </c>
      <c r="AD423" s="112" t="s">
        <v>1066</v>
      </c>
      <c r="AE423" s="112" t="s">
        <v>1066</v>
      </c>
      <c r="AF423" s="112" t="s">
        <v>1066</v>
      </c>
      <c r="AG423" s="112" t="s">
        <v>1066</v>
      </c>
      <c r="AH423" s="112" t="s">
        <v>1066</v>
      </c>
      <c r="AI423" s="112" t="s">
        <v>785</v>
      </c>
      <c r="AJ423" s="112">
        <v>8703723</v>
      </c>
      <c r="AK423" s="112" t="s">
        <v>210</v>
      </c>
      <c r="AL423" s="112">
        <v>707708</v>
      </c>
      <c r="AM423" s="112" t="s">
        <v>1066</v>
      </c>
      <c r="AN423" s="112" t="s">
        <v>1066</v>
      </c>
    </row>
    <row r="424" spans="1:40" ht="55.5" customHeight="1" x14ac:dyDescent="0.25">
      <c r="A424" s="124" t="s">
        <v>124</v>
      </c>
      <c r="B424" s="125">
        <v>2026</v>
      </c>
      <c r="C424" s="125" t="s">
        <v>2710</v>
      </c>
      <c r="D424" s="126">
        <v>46106.609872685185</v>
      </c>
      <c r="E424" s="125">
        <v>9001690022</v>
      </c>
      <c r="F424" s="125" t="s">
        <v>79</v>
      </c>
      <c r="G424" s="125">
        <v>3</v>
      </c>
      <c r="H424" s="125">
        <v>7929376022</v>
      </c>
      <c r="I424" s="125" t="s">
        <v>2061</v>
      </c>
      <c r="J424" s="125" t="s">
        <v>1066</v>
      </c>
      <c r="K424" s="125" t="s">
        <v>2062</v>
      </c>
      <c r="L424" s="125" t="s">
        <v>1073</v>
      </c>
      <c r="M424" s="125" t="s">
        <v>510</v>
      </c>
      <c r="N424" s="126">
        <v>46250.730104166665</v>
      </c>
      <c r="O424" s="127">
        <v>19001269433</v>
      </c>
      <c r="P424" s="125">
        <v>0</v>
      </c>
      <c r="Q424" s="125" t="s">
        <v>1131</v>
      </c>
      <c r="R424" s="125" t="s">
        <v>1075</v>
      </c>
      <c r="S424" s="125" t="s">
        <v>1066</v>
      </c>
      <c r="T424" s="125" t="s">
        <v>1066</v>
      </c>
      <c r="U424" s="125" t="s">
        <v>1066</v>
      </c>
      <c r="V424" s="125" t="s">
        <v>1066</v>
      </c>
      <c r="W424" s="125" t="s">
        <v>1066</v>
      </c>
      <c r="X424" s="125" t="s">
        <v>1066</v>
      </c>
      <c r="Y424" s="125" t="s">
        <v>1066</v>
      </c>
      <c r="Z424" s="125" t="s">
        <v>1066</v>
      </c>
      <c r="AA424" s="125" t="s">
        <v>1067</v>
      </c>
      <c r="AB424" s="125" t="s">
        <v>1066</v>
      </c>
      <c r="AC424" s="125" t="s">
        <v>92</v>
      </c>
      <c r="AD424" s="125" t="s">
        <v>1142</v>
      </c>
      <c r="AE424" s="125" t="s">
        <v>1066</v>
      </c>
      <c r="AF424" s="125" t="s">
        <v>1066</v>
      </c>
      <c r="AG424" s="125" t="s">
        <v>1066</v>
      </c>
      <c r="AH424" s="125" t="s">
        <v>2059</v>
      </c>
      <c r="AI424" s="125" t="s">
        <v>785</v>
      </c>
      <c r="AJ424" s="125">
        <v>9201747</v>
      </c>
      <c r="AK424" s="125" t="s">
        <v>125</v>
      </c>
      <c r="AL424" s="125">
        <v>858418</v>
      </c>
      <c r="AM424" s="125" t="s">
        <v>1066</v>
      </c>
      <c r="AN424" s="125" t="s">
        <v>1066</v>
      </c>
    </row>
    <row r="425" spans="1:40" ht="55.5" customHeight="1" x14ac:dyDescent="0.25">
      <c r="A425" s="124" t="s">
        <v>2711</v>
      </c>
      <c r="B425" s="125">
        <v>2026</v>
      </c>
      <c r="C425" s="125" t="s">
        <v>2712</v>
      </c>
      <c r="D425" s="126">
        <v>46239.986932870372</v>
      </c>
      <c r="E425" s="125">
        <v>9004968001</v>
      </c>
      <c r="F425" s="125" t="s">
        <v>2713</v>
      </c>
      <c r="G425" s="125">
        <v>2</v>
      </c>
      <c r="H425" s="125">
        <v>5823916001</v>
      </c>
      <c r="I425" s="125" t="s">
        <v>2714</v>
      </c>
      <c r="J425" s="125" t="s">
        <v>1071</v>
      </c>
      <c r="K425" s="125" t="s">
        <v>1130</v>
      </c>
      <c r="L425" s="125" t="s">
        <v>1084</v>
      </c>
      <c r="M425" s="125" t="s">
        <v>510</v>
      </c>
      <c r="N425" s="126">
        <v>46299.986932870372</v>
      </c>
      <c r="O425" s="127">
        <v>19002317774</v>
      </c>
      <c r="P425" s="125">
        <v>314</v>
      </c>
      <c r="Q425" s="125" t="s">
        <v>1074</v>
      </c>
      <c r="R425" s="125" t="s">
        <v>1063</v>
      </c>
      <c r="S425" s="125" t="s">
        <v>1066</v>
      </c>
      <c r="T425" s="125" t="s">
        <v>2715</v>
      </c>
      <c r="U425" s="125" t="s">
        <v>1559</v>
      </c>
      <c r="V425" s="125" t="s">
        <v>1066</v>
      </c>
      <c r="W425" s="125" t="s">
        <v>1066</v>
      </c>
      <c r="X425" s="125" t="s">
        <v>1726</v>
      </c>
      <c r="Y425" s="125" t="s">
        <v>1066</v>
      </c>
      <c r="Z425" s="125" t="s">
        <v>1479</v>
      </c>
      <c r="AA425" s="125" t="s">
        <v>1067</v>
      </c>
      <c r="AB425" s="125" t="s">
        <v>1066</v>
      </c>
      <c r="AC425" s="125" t="s">
        <v>92</v>
      </c>
      <c r="AD425" s="125" t="s">
        <v>1066</v>
      </c>
      <c r="AE425" s="125" t="s">
        <v>1066</v>
      </c>
      <c r="AF425" s="125" t="s">
        <v>1066</v>
      </c>
      <c r="AG425" s="125" t="s">
        <v>1066</v>
      </c>
      <c r="AH425" s="125" t="s">
        <v>1066</v>
      </c>
      <c r="AI425" s="125" t="s">
        <v>785</v>
      </c>
      <c r="AJ425" s="125">
        <v>8811083</v>
      </c>
      <c r="AK425" s="125" t="s">
        <v>50</v>
      </c>
      <c r="AL425" s="125">
        <v>784564</v>
      </c>
      <c r="AM425" s="125" t="s">
        <v>1066</v>
      </c>
      <c r="AN425" s="125" t="s">
        <v>1066</v>
      </c>
    </row>
    <row r="426" spans="1:40" ht="55.5" customHeight="1" x14ac:dyDescent="0.25">
      <c r="A426" s="111" t="s">
        <v>2716</v>
      </c>
      <c r="B426" s="112">
        <v>2026</v>
      </c>
      <c r="C426" s="112" t="s">
        <v>2717</v>
      </c>
      <c r="D426" s="113">
        <v>46073.365740740737</v>
      </c>
      <c r="E426" s="112" t="s">
        <v>2078</v>
      </c>
      <c r="F426" s="112" t="s">
        <v>2078</v>
      </c>
      <c r="G426" s="112">
        <v>2</v>
      </c>
      <c r="H426" s="112">
        <v>7929763027</v>
      </c>
      <c r="I426" s="112" t="s">
        <v>2079</v>
      </c>
      <c r="J426" s="112" t="s">
        <v>1157</v>
      </c>
      <c r="K426" s="112" t="s">
        <v>1417</v>
      </c>
      <c r="L426" s="112" t="s">
        <v>1084</v>
      </c>
      <c r="M426" s="112" t="s">
        <v>478</v>
      </c>
      <c r="N426" s="113">
        <v>46133.365740740737</v>
      </c>
      <c r="O426" s="114">
        <v>19002810720</v>
      </c>
      <c r="P426" s="112">
        <v>1.609</v>
      </c>
      <c r="Q426" s="112" t="s">
        <v>1131</v>
      </c>
      <c r="R426" s="112" t="s">
        <v>1085</v>
      </c>
      <c r="S426" s="113">
        <v>46087.695138888892</v>
      </c>
      <c r="T426" s="112" t="s">
        <v>2718</v>
      </c>
      <c r="U426" s="112" t="s">
        <v>1065</v>
      </c>
      <c r="V426" s="112" t="s">
        <v>1066</v>
      </c>
      <c r="W426" s="112" t="s">
        <v>1066</v>
      </c>
      <c r="X426" s="112" t="s">
        <v>983</v>
      </c>
      <c r="Y426" s="112" t="s">
        <v>1066</v>
      </c>
      <c r="Z426" s="112" t="s">
        <v>1133</v>
      </c>
      <c r="AA426" s="112" t="s">
        <v>1208</v>
      </c>
      <c r="AB426" s="112" t="s">
        <v>1066</v>
      </c>
      <c r="AC426" s="112" t="s">
        <v>92</v>
      </c>
      <c r="AD426" s="112" t="s">
        <v>1066</v>
      </c>
      <c r="AE426" s="112" t="s">
        <v>1066</v>
      </c>
      <c r="AF426" s="112" t="s">
        <v>1066</v>
      </c>
      <c r="AG426" s="112" t="s">
        <v>1066</v>
      </c>
      <c r="AH426" s="112" t="s">
        <v>1066</v>
      </c>
      <c r="AI426" s="112" t="s">
        <v>785</v>
      </c>
      <c r="AJ426" s="112">
        <v>8658621</v>
      </c>
      <c r="AK426" s="112" t="s">
        <v>2081</v>
      </c>
      <c r="AL426" s="112">
        <v>991723</v>
      </c>
      <c r="AM426" s="112" t="s">
        <v>1066</v>
      </c>
      <c r="AN426" s="112" t="s">
        <v>1066</v>
      </c>
    </row>
    <row r="427" spans="1:40" ht="55.5" customHeight="1" x14ac:dyDescent="0.25">
      <c r="A427" s="124" t="s">
        <v>411</v>
      </c>
      <c r="B427" s="125">
        <v>2026</v>
      </c>
      <c r="C427" s="125" t="s">
        <v>2719</v>
      </c>
      <c r="D427" s="126">
        <v>46250.571319444447</v>
      </c>
      <c r="E427" s="125">
        <v>7905320122</v>
      </c>
      <c r="F427" s="125" t="s">
        <v>412</v>
      </c>
      <c r="G427" s="125">
        <v>2</v>
      </c>
      <c r="H427" s="125">
        <v>7905320122</v>
      </c>
      <c r="I427" s="125" t="s">
        <v>2162</v>
      </c>
      <c r="J427" s="125" t="s">
        <v>1071</v>
      </c>
      <c r="K427" s="125" t="s">
        <v>1072</v>
      </c>
      <c r="L427" s="125" t="s">
        <v>1073</v>
      </c>
      <c r="M427" s="125" t="s">
        <v>510</v>
      </c>
      <c r="N427" s="126">
        <v>46253.571319444447</v>
      </c>
      <c r="O427" s="127">
        <v>19002214325</v>
      </c>
      <c r="P427" s="125">
        <v>0</v>
      </c>
      <c r="Q427" s="125" t="s">
        <v>1062</v>
      </c>
      <c r="R427" s="125" t="s">
        <v>1075</v>
      </c>
      <c r="S427" s="125" t="s">
        <v>1066</v>
      </c>
      <c r="T427" s="125" t="s">
        <v>1066</v>
      </c>
      <c r="U427" s="125" t="s">
        <v>1066</v>
      </c>
      <c r="V427" s="125" t="s">
        <v>1066</v>
      </c>
      <c r="W427" s="125" t="s">
        <v>1066</v>
      </c>
      <c r="X427" s="125" t="s">
        <v>983</v>
      </c>
      <c r="Y427" s="125" t="s">
        <v>1066</v>
      </c>
      <c r="Z427" s="125" t="s">
        <v>1078</v>
      </c>
      <c r="AA427" s="125" t="s">
        <v>1067</v>
      </c>
      <c r="AB427" s="125" t="s">
        <v>1066</v>
      </c>
      <c r="AC427" s="125" t="s">
        <v>92</v>
      </c>
      <c r="AD427" s="125" t="s">
        <v>1066</v>
      </c>
      <c r="AE427" s="125" t="s">
        <v>1066</v>
      </c>
      <c r="AF427" s="125" t="s">
        <v>1066</v>
      </c>
      <c r="AG427" s="125" t="s">
        <v>1066</v>
      </c>
      <c r="AH427" s="125" t="s">
        <v>1066</v>
      </c>
      <c r="AI427" s="125" t="s">
        <v>785</v>
      </c>
      <c r="AJ427" s="125">
        <v>8875822</v>
      </c>
      <c r="AK427" s="125" t="s">
        <v>264</v>
      </c>
      <c r="AL427" s="125">
        <v>790866</v>
      </c>
      <c r="AM427" s="125" t="s">
        <v>1066</v>
      </c>
      <c r="AN427" s="125" t="s">
        <v>1066</v>
      </c>
    </row>
    <row r="428" spans="1:40" ht="55.5" customHeight="1" x14ac:dyDescent="0.25">
      <c r="A428" s="111" t="s">
        <v>2720</v>
      </c>
      <c r="B428" s="112">
        <v>2026</v>
      </c>
      <c r="C428" s="112" t="s">
        <v>1210</v>
      </c>
      <c r="D428" s="113">
        <v>46114.608900462961</v>
      </c>
      <c r="E428" s="112">
        <v>7929534082</v>
      </c>
      <c r="F428" s="112" t="s">
        <v>88</v>
      </c>
      <c r="G428" s="112">
        <v>3</v>
      </c>
      <c r="H428" s="112">
        <v>7929534082</v>
      </c>
      <c r="I428" s="112" t="s">
        <v>2721</v>
      </c>
      <c r="J428" s="112" t="s">
        <v>1066</v>
      </c>
      <c r="K428" s="112" t="s">
        <v>1125</v>
      </c>
      <c r="L428" s="112" t="s">
        <v>1061</v>
      </c>
      <c r="M428" s="112" t="s">
        <v>478</v>
      </c>
      <c r="N428" s="113">
        <v>46514.608900462961</v>
      </c>
      <c r="O428" s="114">
        <v>19002209850</v>
      </c>
      <c r="P428" s="112">
        <v>1.0660000000000001</v>
      </c>
      <c r="Q428" s="112" t="s">
        <v>1062</v>
      </c>
      <c r="R428" s="112" t="s">
        <v>1063</v>
      </c>
      <c r="S428" s="113">
        <v>46189.72928240741</v>
      </c>
      <c r="T428" s="112" t="s">
        <v>2722</v>
      </c>
      <c r="U428" s="112" t="s">
        <v>1065</v>
      </c>
      <c r="V428" s="112" t="s">
        <v>1066</v>
      </c>
      <c r="W428" s="112" t="s">
        <v>1066</v>
      </c>
      <c r="X428" s="112" t="s">
        <v>1066</v>
      </c>
      <c r="Y428" s="112" t="s">
        <v>1066</v>
      </c>
      <c r="Z428" s="112" t="s">
        <v>1066</v>
      </c>
      <c r="AA428" s="112" t="s">
        <v>1067</v>
      </c>
      <c r="AB428" s="112" t="s">
        <v>1066</v>
      </c>
      <c r="AC428" s="112" t="s">
        <v>92</v>
      </c>
      <c r="AD428" s="112" t="s">
        <v>1066</v>
      </c>
      <c r="AE428" s="112" t="s">
        <v>1066</v>
      </c>
      <c r="AF428" s="112" t="s">
        <v>1066</v>
      </c>
      <c r="AG428" s="112" t="s">
        <v>1066</v>
      </c>
      <c r="AH428" s="112" t="s">
        <v>1066</v>
      </c>
      <c r="AI428" s="112" t="s">
        <v>785</v>
      </c>
      <c r="AJ428" s="112">
        <v>8928082</v>
      </c>
      <c r="AK428" s="112" t="s">
        <v>2314</v>
      </c>
      <c r="AL428" s="112">
        <v>954104</v>
      </c>
      <c r="AM428" s="112" t="s">
        <v>1066</v>
      </c>
      <c r="AN428" s="112" t="s">
        <v>1066</v>
      </c>
    </row>
    <row r="429" spans="1:40" ht="55.5" customHeight="1" x14ac:dyDescent="0.25">
      <c r="A429" s="124" t="s">
        <v>2723</v>
      </c>
      <c r="B429" s="125">
        <v>2026</v>
      </c>
      <c r="C429" s="125" t="s">
        <v>2724</v>
      </c>
      <c r="D429" s="126">
        <v>46243.427986111114</v>
      </c>
      <c r="E429" s="125" t="s">
        <v>1066</v>
      </c>
      <c r="F429" s="125" t="s">
        <v>2725</v>
      </c>
      <c r="G429" s="125" t="s">
        <v>1066</v>
      </c>
      <c r="H429" s="125" t="s">
        <v>2726</v>
      </c>
      <c r="I429" s="125" t="s">
        <v>2727</v>
      </c>
      <c r="J429" s="125" t="s">
        <v>1071</v>
      </c>
      <c r="K429" s="125" t="s">
        <v>1619</v>
      </c>
      <c r="L429" s="125" t="s">
        <v>1073</v>
      </c>
      <c r="M429" s="125" t="s">
        <v>510</v>
      </c>
      <c r="N429" s="126">
        <v>46246.427986111114</v>
      </c>
      <c r="O429" s="127">
        <v>19002465824</v>
      </c>
      <c r="P429" s="125">
        <v>0</v>
      </c>
      <c r="Q429" s="125" t="s">
        <v>1700</v>
      </c>
      <c r="R429" s="125" t="s">
        <v>1263</v>
      </c>
      <c r="S429" s="125" t="s">
        <v>1066</v>
      </c>
      <c r="T429" s="125" t="s">
        <v>1066</v>
      </c>
      <c r="U429" s="125" t="s">
        <v>1066</v>
      </c>
      <c r="V429" s="125" t="s">
        <v>1066</v>
      </c>
      <c r="W429" s="125" t="s">
        <v>1066</v>
      </c>
      <c r="X429" s="125" t="s">
        <v>983</v>
      </c>
      <c r="Y429" s="125" t="s">
        <v>1066</v>
      </c>
      <c r="Z429" s="125" t="s">
        <v>1299</v>
      </c>
      <c r="AA429" s="125" t="s">
        <v>1067</v>
      </c>
      <c r="AB429" s="125" t="s">
        <v>1066</v>
      </c>
      <c r="AC429" s="125" t="s">
        <v>92</v>
      </c>
      <c r="AD429" s="125" t="s">
        <v>1066</v>
      </c>
      <c r="AE429" s="125" t="s">
        <v>1066</v>
      </c>
      <c r="AF429" s="125" t="s">
        <v>1066</v>
      </c>
      <c r="AG429" s="125" t="s">
        <v>1066</v>
      </c>
      <c r="AH429" s="125" t="s">
        <v>1066</v>
      </c>
      <c r="AI429" s="125" t="s">
        <v>785</v>
      </c>
      <c r="AJ429" s="125">
        <v>-390</v>
      </c>
      <c r="AK429" s="125" t="s">
        <v>415</v>
      </c>
      <c r="AL429" s="125">
        <v>-29886</v>
      </c>
      <c r="AM429" s="125" t="s">
        <v>1066</v>
      </c>
      <c r="AN429" s="125" t="s">
        <v>1066</v>
      </c>
    </row>
    <row r="430" spans="1:40" ht="55.5" customHeight="1" x14ac:dyDescent="0.25">
      <c r="A430" s="120" t="s">
        <v>2728</v>
      </c>
      <c r="B430" s="121">
        <v>2026</v>
      </c>
      <c r="C430" s="121" t="s">
        <v>2729</v>
      </c>
      <c r="D430" s="122">
        <v>46028.41065972222</v>
      </c>
      <c r="E430" s="121">
        <v>7937520122</v>
      </c>
      <c r="F430" s="121" t="s">
        <v>412</v>
      </c>
      <c r="G430" s="121">
        <v>3</v>
      </c>
      <c r="H430" s="121">
        <v>7937520122</v>
      </c>
      <c r="I430" s="121" t="s">
        <v>2730</v>
      </c>
      <c r="J430" s="121" t="s">
        <v>1092</v>
      </c>
      <c r="K430" s="121" t="s">
        <v>1093</v>
      </c>
      <c r="L430" s="121" t="s">
        <v>1061</v>
      </c>
      <c r="M430" s="121" t="s">
        <v>1116</v>
      </c>
      <c r="N430" s="122">
        <v>46428.41065972222</v>
      </c>
      <c r="O430" s="123">
        <v>19002210012</v>
      </c>
      <c r="P430" s="121">
        <v>339</v>
      </c>
      <c r="Q430" s="121" t="s">
        <v>1062</v>
      </c>
      <c r="R430" s="121" t="s">
        <v>1063</v>
      </c>
      <c r="S430" s="122">
        <v>46171.429212962961</v>
      </c>
      <c r="T430" s="121" t="s">
        <v>1066</v>
      </c>
      <c r="U430" s="121" t="s">
        <v>1066</v>
      </c>
      <c r="V430" s="121" t="s">
        <v>1066</v>
      </c>
      <c r="W430" s="121" t="s">
        <v>1066</v>
      </c>
      <c r="X430" s="121" t="s">
        <v>1066</v>
      </c>
      <c r="Y430" s="121" t="s">
        <v>1066</v>
      </c>
      <c r="Z430" s="121" t="s">
        <v>1066</v>
      </c>
      <c r="AA430" s="121" t="s">
        <v>1067</v>
      </c>
      <c r="AB430" s="121" t="s">
        <v>1066</v>
      </c>
      <c r="AC430" s="121" t="s">
        <v>92</v>
      </c>
      <c r="AD430" s="121" t="s">
        <v>1066</v>
      </c>
      <c r="AE430" s="121" t="s">
        <v>1066</v>
      </c>
      <c r="AF430" s="121" t="s">
        <v>1066</v>
      </c>
      <c r="AG430" s="121" t="s">
        <v>1066</v>
      </c>
      <c r="AH430" s="121" t="s">
        <v>1066</v>
      </c>
      <c r="AI430" s="121" t="s">
        <v>785</v>
      </c>
      <c r="AJ430" s="121">
        <v>8878016</v>
      </c>
      <c r="AK430" s="121" t="s">
        <v>264</v>
      </c>
      <c r="AL430" s="121">
        <v>790244</v>
      </c>
      <c r="AM430" s="121" t="s">
        <v>1066</v>
      </c>
      <c r="AN430" s="121" t="s">
        <v>1066</v>
      </c>
    </row>
    <row r="431" spans="1:40" ht="55.5" customHeight="1" x14ac:dyDescent="0.25">
      <c r="A431" s="111" t="s">
        <v>2731</v>
      </c>
      <c r="B431" s="112">
        <v>2026</v>
      </c>
      <c r="C431" s="112" t="s">
        <v>2732</v>
      </c>
      <c r="D431" s="113">
        <v>46199.839872685188</v>
      </c>
      <c r="E431" s="112">
        <v>9000688026</v>
      </c>
      <c r="F431" s="112" t="s">
        <v>234</v>
      </c>
      <c r="G431" s="112">
        <v>3</v>
      </c>
      <c r="H431" s="112">
        <v>7927661026</v>
      </c>
      <c r="I431" s="112" t="s">
        <v>1661</v>
      </c>
      <c r="J431" s="112" t="s">
        <v>1071</v>
      </c>
      <c r="K431" s="112" t="s">
        <v>1130</v>
      </c>
      <c r="L431" s="112" t="s">
        <v>1073</v>
      </c>
      <c r="M431" s="112" t="s">
        <v>478</v>
      </c>
      <c r="N431" s="113">
        <v>46202.839872685188</v>
      </c>
      <c r="O431" s="114">
        <v>19001269200</v>
      </c>
      <c r="P431" s="112">
        <v>296</v>
      </c>
      <c r="Q431" s="112" t="s">
        <v>1131</v>
      </c>
      <c r="R431" s="112" t="s">
        <v>1075</v>
      </c>
      <c r="S431" s="113">
        <v>46057.69258101852</v>
      </c>
      <c r="T431" s="112" t="s">
        <v>2733</v>
      </c>
      <c r="U431" s="112" t="s">
        <v>1065</v>
      </c>
      <c r="V431" s="112" t="s">
        <v>1066</v>
      </c>
      <c r="W431" s="112" t="s">
        <v>1066</v>
      </c>
      <c r="X431" s="112" t="s">
        <v>1117</v>
      </c>
      <c r="Y431" s="112" t="s">
        <v>1066</v>
      </c>
      <c r="Z431" s="112" t="s">
        <v>1133</v>
      </c>
      <c r="AA431" s="112" t="s">
        <v>1067</v>
      </c>
      <c r="AB431" s="112" t="s">
        <v>1066</v>
      </c>
      <c r="AC431" s="112" t="s">
        <v>92</v>
      </c>
      <c r="AD431" s="112" t="s">
        <v>1142</v>
      </c>
      <c r="AE431" s="112" t="s">
        <v>1066</v>
      </c>
      <c r="AF431" s="112" t="s">
        <v>1066</v>
      </c>
      <c r="AG431" s="112" t="s">
        <v>1066</v>
      </c>
      <c r="AH431" s="112" t="s">
        <v>1066</v>
      </c>
      <c r="AI431" s="112" t="s">
        <v>785</v>
      </c>
      <c r="AJ431" s="112">
        <v>8839412</v>
      </c>
      <c r="AK431" s="112" t="s">
        <v>792</v>
      </c>
      <c r="AL431" s="112">
        <v>861966</v>
      </c>
      <c r="AM431" s="112" t="s">
        <v>1066</v>
      </c>
      <c r="AN431" s="112" t="s">
        <v>1066</v>
      </c>
    </row>
    <row r="432" spans="1:40" ht="55.5" customHeight="1" x14ac:dyDescent="0.25">
      <c r="A432" s="111" t="s">
        <v>2734</v>
      </c>
      <c r="B432" s="112">
        <v>2026</v>
      </c>
      <c r="C432" s="112" t="s">
        <v>1057</v>
      </c>
      <c r="D432" s="113">
        <v>46122.378541666665</v>
      </c>
      <c r="E432" s="112">
        <v>7934678004</v>
      </c>
      <c r="F432" s="112" t="s">
        <v>2735</v>
      </c>
      <c r="G432" s="112" t="s">
        <v>1066</v>
      </c>
      <c r="H432" s="112">
        <v>7934678004</v>
      </c>
      <c r="I432" s="112" t="s">
        <v>2736</v>
      </c>
      <c r="J432" s="112" t="s">
        <v>1059</v>
      </c>
      <c r="K432" s="112" t="s">
        <v>1060</v>
      </c>
      <c r="L432" s="112" t="s">
        <v>1061</v>
      </c>
      <c r="M432" s="112" t="s">
        <v>478</v>
      </c>
      <c r="N432" s="113">
        <v>46522.378541666665</v>
      </c>
      <c r="O432" s="114">
        <v>19002210361</v>
      </c>
      <c r="P432" s="112">
        <v>0</v>
      </c>
      <c r="Q432" s="112" t="s">
        <v>1062</v>
      </c>
      <c r="R432" s="112" t="s">
        <v>1063</v>
      </c>
      <c r="S432" s="113">
        <v>46132.729166666664</v>
      </c>
      <c r="T432" s="112" t="s">
        <v>2737</v>
      </c>
      <c r="U432" s="112" t="s">
        <v>1065</v>
      </c>
      <c r="V432" s="112" t="s">
        <v>1066</v>
      </c>
      <c r="W432" s="112" t="s">
        <v>1066</v>
      </c>
      <c r="X432" s="112" t="s">
        <v>1066</v>
      </c>
      <c r="Y432" s="112" t="s">
        <v>1066</v>
      </c>
      <c r="Z432" s="112" t="s">
        <v>1066</v>
      </c>
      <c r="AA432" s="112" t="s">
        <v>1067</v>
      </c>
      <c r="AB432" s="112" t="s">
        <v>1066</v>
      </c>
      <c r="AC432" s="112" t="s">
        <v>92</v>
      </c>
      <c r="AD432" s="112" t="s">
        <v>1066</v>
      </c>
      <c r="AE432" s="112" t="s">
        <v>1066</v>
      </c>
      <c r="AF432" s="112" t="s">
        <v>1066</v>
      </c>
      <c r="AG432" s="112" t="s">
        <v>1066</v>
      </c>
      <c r="AH432" s="112" t="s">
        <v>1066</v>
      </c>
      <c r="AI432" s="112" t="s">
        <v>785</v>
      </c>
      <c r="AJ432" s="112">
        <v>9204245</v>
      </c>
      <c r="AK432" s="112" t="s">
        <v>69</v>
      </c>
      <c r="AL432" s="112">
        <v>807132</v>
      </c>
      <c r="AM432" s="112" t="s">
        <v>1066</v>
      </c>
      <c r="AN432" s="112" t="s">
        <v>1066</v>
      </c>
    </row>
    <row r="433" spans="1:40" ht="55.5" customHeight="1" x14ac:dyDescent="0.25">
      <c r="A433" s="111" t="s">
        <v>2738</v>
      </c>
      <c r="B433" s="112">
        <v>2026</v>
      </c>
      <c r="C433" s="112" t="s">
        <v>1213</v>
      </c>
      <c r="D433" s="113">
        <v>46122.549942129626</v>
      </c>
      <c r="E433" s="112">
        <v>7925733015</v>
      </c>
      <c r="F433" s="112" t="s">
        <v>289</v>
      </c>
      <c r="G433" s="112">
        <v>3</v>
      </c>
      <c r="H433" s="112">
        <v>7925733015</v>
      </c>
      <c r="I433" s="112" t="s">
        <v>2739</v>
      </c>
      <c r="J433" s="112" t="s">
        <v>1066</v>
      </c>
      <c r="K433" s="112" t="s">
        <v>1125</v>
      </c>
      <c r="L433" s="112" t="s">
        <v>1061</v>
      </c>
      <c r="M433" s="112" t="s">
        <v>478</v>
      </c>
      <c r="N433" s="113">
        <v>46522.549942129626</v>
      </c>
      <c r="O433" s="114">
        <v>19002260336</v>
      </c>
      <c r="P433" s="112">
        <v>365</v>
      </c>
      <c r="Q433" s="112" t="s">
        <v>1062</v>
      </c>
      <c r="R433" s="112" t="s">
        <v>1063</v>
      </c>
      <c r="S433" s="113">
        <v>46142.729166666664</v>
      </c>
      <c r="T433" s="112" t="s">
        <v>2740</v>
      </c>
      <c r="U433" s="112" t="s">
        <v>1065</v>
      </c>
      <c r="V433" s="112" t="s">
        <v>1066</v>
      </c>
      <c r="W433" s="112" t="s">
        <v>1066</v>
      </c>
      <c r="X433" s="112" t="s">
        <v>1066</v>
      </c>
      <c r="Y433" s="112" t="s">
        <v>1066</v>
      </c>
      <c r="Z433" s="112" t="s">
        <v>1066</v>
      </c>
      <c r="AA433" s="112" t="s">
        <v>1067</v>
      </c>
      <c r="AB433" s="112" t="s">
        <v>1066</v>
      </c>
      <c r="AC433" s="112" t="s">
        <v>92</v>
      </c>
      <c r="AD433" s="112" t="s">
        <v>1066</v>
      </c>
      <c r="AE433" s="112" t="s">
        <v>1066</v>
      </c>
      <c r="AF433" s="112" t="s">
        <v>1066</v>
      </c>
      <c r="AG433" s="112" t="s">
        <v>1066</v>
      </c>
      <c r="AH433" s="112" t="s">
        <v>1066</v>
      </c>
      <c r="AI433" s="112" t="s">
        <v>785</v>
      </c>
      <c r="AJ433" s="112">
        <v>8984037</v>
      </c>
      <c r="AK433" s="112" t="s">
        <v>288</v>
      </c>
      <c r="AL433" s="112">
        <v>813445</v>
      </c>
      <c r="AM433" s="112" t="s">
        <v>1066</v>
      </c>
      <c r="AN433" s="112" t="s">
        <v>1066</v>
      </c>
    </row>
    <row r="434" spans="1:40" ht="55.5" customHeight="1" x14ac:dyDescent="0.25">
      <c r="A434" s="111" t="s">
        <v>2741</v>
      </c>
      <c r="B434" s="112">
        <v>2026</v>
      </c>
      <c r="C434" s="112" t="s">
        <v>1057</v>
      </c>
      <c r="D434" s="113">
        <v>46125.584386574075</v>
      </c>
      <c r="E434" s="112">
        <v>7902099003</v>
      </c>
      <c r="F434" s="112" t="s">
        <v>2742</v>
      </c>
      <c r="G434" s="112">
        <v>1</v>
      </c>
      <c r="H434" s="112">
        <v>7902099003</v>
      </c>
      <c r="I434" s="112" t="s">
        <v>2743</v>
      </c>
      <c r="J434" s="112" t="s">
        <v>1066</v>
      </c>
      <c r="K434" s="112" t="s">
        <v>1125</v>
      </c>
      <c r="L434" s="112" t="s">
        <v>1061</v>
      </c>
      <c r="M434" s="112" t="s">
        <v>478</v>
      </c>
      <c r="N434" s="113">
        <v>46525.584386574075</v>
      </c>
      <c r="O434" s="114">
        <v>19002219987</v>
      </c>
      <c r="P434" s="112">
        <v>2.1819999999999999</v>
      </c>
      <c r="Q434" s="112" t="s">
        <v>1062</v>
      </c>
      <c r="R434" s="112" t="s">
        <v>1063</v>
      </c>
      <c r="S434" s="113">
        <v>46140.478703703702</v>
      </c>
      <c r="T434" s="112" t="s">
        <v>2744</v>
      </c>
      <c r="U434" s="112" t="s">
        <v>1065</v>
      </c>
      <c r="V434" s="112" t="s">
        <v>1066</v>
      </c>
      <c r="W434" s="112" t="s">
        <v>1066</v>
      </c>
      <c r="X434" s="112" t="s">
        <v>1066</v>
      </c>
      <c r="Y434" s="112" t="s">
        <v>1066</v>
      </c>
      <c r="Z434" s="112" t="s">
        <v>1066</v>
      </c>
      <c r="AA434" s="112" t="s">
        <v>1067</v>
      </c>
      <c r="AB434" s="112" t="s">
        <v>1066</v>
      </c>
      <c r="AC434" s="112" t="s">
        <v>92</v>
      </c>
      <c r="AD434" s="112" t="s">
        <v>1066</v>
      </c>
      <c r="AE434" s="112" t="s">
        <v>1066</v>
      </c>
      <c r="AF434" s="112" t="s">
        <v>1066</v>
      </c>
      <c r="AG434" s="112" t="s">
        <v>1066</v>
      </c>
      <c r="AH434" s="112" t="s">
        <v>1066</v>
      </c>
      <c r="AI434" s="112" t="s">
        <v>785</v>
      </c>
      <c r="AJ434" s="112">
        <v>8702130</v>
      </c>
      <c r="AK434" s="112" t="s">
        <v>210</v>
      </c>
      <c r="AL434" s="112">
        <v>711822</v>
      </c>
      <c r="AM434" s="112" t="s">
        <v>1066</v>
      </c>
      <c r="AN434" s="112" t="s">
        <v>1066</v>
      </c>
    </row>
    <row r="435" spans="1:40" ht="55.5" customHeight="1" x14ac:dyDescent="0.25">
      <c r="A435" s="124" t="s">
        <v>2745</v>
      </c>
      <c r="B435" s="125">
        <v>2026</v>
      </c>
      <c r="C435" s="125" t="s">
        <v>1449</v>
      </c>
      <c r="D435" s="126">
        <v>46244.660034722219</v>
      </c>
      <c r="E435" s="125">
        <v>7928246076</v>
      </c>
      <c r="F435" s="125" t="s">
        <v>663</v>
      </c>
      <c r="G435" s="125">
        <v>2</v>
      </c>
      <c r="H435" s="125">
        <v>7928246076</v>
      </c>
      <c r="I435" s="125" t="s">
        <v>2746</v>
      </c>
      <c r="J435" s="125" t="s">
        <v>1066</v>
      </c>
      <c r="K435" s="125" t="s">
        <v>1125</v>
      </c>
      <c r="L435" s="125" t="s">
        <v>1061</v>
      </c>
      <c r="M435" s="125" t="s">
        <v>510</v>
      </c>
      <c r="N435" s="126">
        <v>46644.660034722219</v>
      </c>
      <c r="O435" s="127">
        <v>19002204924</v>
      </c>
      <c r="P435" s="125">
        <v>474</v>
      </c>
      <c r="Q435" s="125" t="s">
        <v>1062</v>
      </c>
      <c r="R435" s="125" t="s">
        <v>1063</v>
      </c>
      <c r="S435" s="125" t="s">
        <v>1066</v>
      </c>
      <c r="T435" s="125" t="s">
        <v>2747</v>
      </c>
      <c r="U435" s="125" t="s">
        <v>1147</v>
      </c>
      <c r="V435" s="125" t="s">
        <v>1066</v>
      </c>
      <c r="W435" s="125" t="s">
        <v>1066</v>
      </c>
      <c r="X435" s="125" t="s">
        <v>1066</v>
      </c>
      <c r="Y435" s="125" t="s">
        <v>1066</v>
      </c>
      <c r="Z435" s="125" t="s">
        <v>1066</v>
      </c>
      <c r="AA435" s="125" t="s">
        <v>1067</v>
      </c>
      <c r="AB435" s="125" t="s">
        <v>1066</v>
      </c>
      <c r="AC435" s="125" t="s">
        <v>92</v>
      </c>
      <c r="AD435" s="125" t="s">
        <v>1066</v>
      </c>
      <c r="AE435" s="125" t="s">
        <v>1066</v>
      </c>
      <c r="AF435" s="125" t="s">
        <v>1066</v>
      </c>
      <c r="AG435" s="125" t="s">
        <v>1066</v>
      </c>
      <c r="AH435" s="125" t="s">
        <v>1066</v>
      </c>
      <c r="AI435" s="125" t="s">
        <v>785</v>
      </c>
      <c r="AJ435" s="125">
        <v>8713596</v>
      </c>
      <c r="AK435" s="125" t="s">
        <v>209</v>
      </c>
      <c r="AL435" s="125">
        <v>697333</v>
      </c>
      <c r="AM435" s="125" t="s">
        <v>1066</v>
      </c>
      <c r="AN435" s="125" t="s">
        <v>1066</v>
      </c>
    </row>
    <row r="436" spans="1:40" ht="55.5" customHeight="1" x14ac:dyDescent="0.25">
      <c r="A436" s="111" t="s">
        <v>2748</v>
      </c>
      <c r="B436" s="112">
        <v>2026</v>
      </c>
      <c r="C436" s="112" t="s">
        <v>1089</v>
      </c>
      <c r="D436" s="113">
        <v>46028.41065972222</v>
      </c>
      <c r="E436" s="112">
        <v>7910140070</v>
      </c>
      <c r="F436" s="112" t="s">
        <v>418</v>
      </c>
      <c r="G436" s="112">
        <v>3</v>
      </c>
      <c r="H436" s="112">
        <v>7910140070</v>
      </c>
      <c r="I436" s="112" t="s">
        <v>2534</v>
      </c>
      <c r="J436" s="112" t="s">
        <v>1092</v>
      </c>
      <c r="K436" s="112" t="s">
        <v>1093</v>
      </c>
      <c r="L436" s="112" t="s">
        <v>1061</v>
      </c>
      <c r="M436" s="112" t="s">
        <v>478</v>
      </c>
      <c r="N436" s="113">
        <v>46428.41065972222</v>
      </c>
      <c r="O436" s="114">
        <v>19002223867</v>
      </c>
      <c r="P436" s="112">
        <v>0</v>
      </c>
      <c r="Q436" s="112" t="s">
        <v>1062</v>
      </c>
      <c r="R436" s="112" t="s">
        <v>1063</v>
      </c>
      <c r="S436" s="113">
        <v>46210.73033564815</v>
      </c>
      <c r="T436" s="112" t="s">
        <v>2535</v>
      </c>
      <c r="U436" s="112" t="s">
        <v>1065</v>
      </c>
      <c r="V436" s="112" t="s">
        <v>1066</v>
      </c>
      <c r="W436" s="112" t="s">
        <v>1066</v>
      </c>
      <c r="X436" s="112" t="s">
        <v>1066</v>
      </c>
      <c r="Y436" s="112" t="s">
        <v>1066</v>
      </c>
      <c r="Z436" s="112" t="s">
        <v>1066</v>
      </c>
      <c r="AA436" s="112" t="s">
        <v>1067</v>
      </c>
      <c r="AB436" s="112" t="s">
        <v>1066</v>
      </c>
      <c r="AC436" s="112" t="s">
        <v>92</v>
      </c>
      <c r="AD436" s="112" t="s">
        <v>1066</v>
      </c>
      <c r="AE436" s="112" t="s">
        <v>1066</v>
      </c>
      <c r="AF436" s="112" t="s">
        <v>1066</v>
      </c>
      <c r="AG436" s="112" t="s">
        <v>1066</v>
      </c>
      <c r="AH436" s="112" t="s">
        <v>1066</v>
      </c>
      <c r="AI436" s="112" t="s">
        <v>785</v>
      </c>
      <c r="AJ436" s="112">
        <v>8943697</v>
      </c>
      <c r="AK436" s="112" t="s">
        <v>87</v>
      </c>
      <c r="AL436" s="112">
        <v>863822</v>
      </c>
      <c r="AM436" s="112" t="s">
        <v>1066</v>
      </c>
      <c r="AN436" s="112" t="s">
        <v>1066</v>
      </c>
    </row>
    <row r="437" spans="1:40" ht="55.5" customHeight="1" x14ac:dyDescent="0.25">
      <c r="A437" s="111" t="s">
        <v>2749</v>
      </c>
      <c r="B437" s="112">
        <v>2026</v>
      </c>
      <c r="C437" s="112" t="s">
        <v>1089</v>
      </c>
      <c r="D437" s="113">
        <v>46028.41065972222</v>
      </c>
      <c r="E437" s="112">
        <v>7900356059</v>
      </c>
      <c r="F437" s="112" t="s">
        <v>691</v>
      </c>
      <c r="G437" s="112">
        <v>1</v>
      </c>
      <c r="H437" s="112">
        <v>7900356059</v>
      </c>
      <c r="I437" s="112" t="s">
        <v>2750</v>
      </c>
      <c r="J437" s="112" t="s">
        <v>1092</v>
      </c>
      <c r="K437" s="112" t="s">
        <v>1093</v>
      </c>
      <c r="L437" s="112" t="s">
        <v>1061</v>
      </c>
      <c r="M437" s="112" t="s">
        <v>478</v>
      </c>
      <c r="N437" s="113">
        <v>46428.41065972222</v>
      </c>
      <c r="O437" s="114">
        <v>19002223856</v>
      </c>
      <c r="P437" s="112">
        <v>9.2129999999999992</v>
      </c>
      <c r="Q437" s="112" t="s">
        <v>1062</v>
      </c>
      <c r="R437" s="112" t="s">
        <v>1063</v>
      </c>
      <c r="S437" s="113">
        <v>46037.730995370373</v>
      </c>
      <c r="T437" s="112" t="s">
        <v>2751</v>
      </c>
      <c r="U437" s="112" t="s">
        <v>1065</v>
      </c>
      <c r="V437" s="112" t="s">
        <v>1066</v>
      </c>
      <c r="W437" s="112" t="s">
        <v>1066</v>
      </c>
      <c r="X437" s="112" t="s">
        <v>1066</v>
      </c>
      <c r="Y437" s="112" t="s">
        <v>1066</v>
      </c>
      <c r="Z437" s="112" t="s">
        <v>1066</v>
      </c>
      <c r="AA437" s="112" t="s">
        <v>1067</v>
      </c>
      <c r="AB437" s="112" t="s">
        <v>1066</v>
      </c>
      <c r="AC437" s="112" t="s">
        <v>92</v>
      </c>
      <c r="AD437" s="112" t="s">
        <v>1066</v>
      </c>
      <c r="AE437" s="112" t="s">
        <v>1066</v>
      </c>
      <c r="AF437" s="112" t="s">
        <v>1066</v>
      </c>
      <c r="AG437" s="112" t="s">
        <v>1066</v>
      </c>
      <c r="AH437" s="112" t="s">
        <v>1066</v>
      </c>
      <c r="AI437" s="112" t="s">
        <v>785</v>
      </c>
      <c r="AJ437" s="112">
        <v>8855954</v>
      </c>
      <c r="AK437" s="112" t="s">
        <v>264</v>
      </c>
      <c r="AL437" s="112">
        <v>792959</v>
      </c>
      <c r="AM437" s="112" t="s">
        <v>1066</v>
      </c>
      <c r="AN437" s="112" t="s">
        <v>1066</v>
      </c>
    </row>
    <row r="438" spans="1:40" ht="55.5" customHeight="1" x14ac:dyDescent="0.25">
      <c r="A438" s="120" t="s">
        <v>2752</v>
      </c>
      <c r="B438" s="121">
        <v>2026</v>
      </c>
      <c r="C438" s="121" t="s">
        <v>2753</v>
      </c>
      <c r="D438" s="122">
        <v>46053.479849537034</v>
      </c>
      <c r="E438" s="121">
        <v>9000732193</v>
      </c>
      <c r="F438" s="121" t="s">
        <v>370</v>
      </c>
      <c r="G438" s="121">
        <v>2</v>
      </c>
      <c r="H438" s="121">
        <v>7942731193</v>
      </c>
      <c r="I438" s="121" t="s">
        <v>1828</v>
      </c>
      <c r="J438" s="121" t="s">
        <v>1071</v>
      </c>
      <c r="K438" s="121" t="s">
        <v>1605</v>
      </c>
      <c r="L438" s="121" t="s">
        <v>1073</v>
      </c>
      <c r="M438" s="121" t="s">
        <v>1116</v>
      </c>
      <c r="N438" s="122">
        <v>46056.479849537034</v>
      </c>
      <c r="O438" s="123">
        <v>19002498569</v>
      </c>
      <c r="P438" s="121">
        <v>3.1669999999999998</v>
      </c>
      <c r="Q438" s="121" t="s">
        <v>1131</v>
      </c>
      <c r="R438" s="121" t="s">
        <v>1075</v>
      </c>
      <c r="S438" s="122">
        <v>46056.591006944444</v>
      </c>
      <c r="T438" s="121" t="s">
        <v>1066</v>
      </c>
      <c r="U438" s="121" t="s">
        <v>1066</v>
      </c>
      <c r="V438" s="121" t="s">
        <v>1066</v>
      </c>
      <c r="W438" s="121" t="s">
        <v>1066</v>
      </c>
      <c r="X438" s="121" t="s">
        <v>983</v>
      </c>
      <c r="Y438" s="121" t="s">
        <v>1066</v>
      </c>
      <c r="Z438" s="121" t="s">
        <v>1133</v>
      </c>
      <c r="AA438" s="121" t="s">
        <v>1067</v>
      </c>
      <c r="AB438" s="121" t="s">
        <v>1066</v>
      </c>
      <c r="AC438" s="121" t="s">
        <v>92</v>
      </c>
      <c r="AD438" s="121" t="s">
        <v>1066</v>
      </c>
      <c r="AE438" s="121" t="s">
        <v>1066</v>
      </c>
      <c r="AF438" s="121" t="s">
        <v>1066</v>
      </c>
      <c r="AG438" s="121" t="s">
        <v>1066</v>
      </c>
      <c r="AH438" s="121" t="s">
        <v>1066</v>
      </c>
      <c r="AI438" s="121" t="s">
        <v>785</v>
      </c>
      <c r="AJ438" s="121">
        <v>9102000</v>
      </c>
      <c r="AK438" s="121" t="s">
        <v>369</v>
      </c>
      <c r="AL438" s="121">
        <v>979032</v>
      </c>
      <c r="AM438" s="121" t="s">
        <v>1066</v>
      </c>
      <c r="AN438" s="121" t="s">
        <v>1066</v>
      </c>
    </row>
    <row r="439" spans="1:40" ht="55.5" customHeight="1" x14ac:dyDescent="0.25">
      <c r="A439" s="111" t="s">
        <v>2754</v>
      </c>
      <c r="B439" s="112">
        <v>2026</v>
      </c>
      <c r="C439" s="112" t="s">
        <v>1210</v>
      </c>
      <c r="D439" s="113">
        <v>46114.608900462961</v>
      </c>
      <c r="E439" s="112">
        <v>7928757019</v>
      </c>
      <c r="F439" s="112" t="s">
        <v>1177</v>
      </c>
      <c r="G439" s="112">
        <v>2</v>
      </c>
      <c r="H439" s="112">
        <v>7928757019</v>
      </c>
      <c r="I439" s="112" t="s">
        <v>2755</v>
      </c>
      <c r="J439" s="112" t="s">
        <v>1066</v>
      </c>
      <c r="K439" s="112" t="s">
        <v>1125</v>
      </c>
      <c r="L439" s="112" t="s">
        <v>1061</v>
      </c>
      <c r="M439" s="112" t="s">
        <v>478</v>
      </c>
      <c r="N439" s="113">
        <v>46514.608900462961</v>
      </c>
      <c r="O439" s="114">
        <v>19002209862</v>
      </c>
      <c r="P439" s="112">
        <v>448</v>
      </c>
      <c r="Q439" s="112" t="s">
        <v>1062</v>
      </c>
      <c r="R439" s="112" t="s">
        <v>1063</v>
      </c>
      <c r="S439" s="113">
        <v>46161.485509259262</v>
      </c>
      <c r="T439" s="112" t="s">
        <v>2756</v>
      </c>
      <c r="U439" s="112" t="s">
        <v>1065</v>
      </c>
      <c r="V439" s="112" t="s">
        <v>1066</v>
      </c>
      <c r="W439" s="112" t="s">
        <v>1066</v>
      </c>
      <c r="X439" s="112" t="s">
        <v>1066</v>
      </c>
      <c r="Y439" s="112" t="s">
        <v>1066</v>
      </c>
      <c r="Z439" s="112" t="s">
        <v>1066</v>
      </c>
      <c r="AA439" s="112" t="s">
        <v>1067</v>
      </c>
      <c r="AB439" s="112" t="s">
        <v>1066</v>
      </c>
      <c r="AC439" s="112" t="s">
        <v>92</v>
      </c>
      <c r="AD439" s="112" t="s">
        <v>1066</v>
      </c>
      <c r="AE439" s="112" t="s">
        <v>1066</v>
      </c>
      <c r="AF439" s="112" t="s">
        <v>1066</v>
      </c>
      <c r="AG439" s="112" t="s">
        <v>1066</v>
      </c>
      <c r="AH439" s="112" t="s">
        <v>1066</v>
      </c>
      <c r="AI439" s="112" t="s">
        <v>785</v>
      </c>
      <c r="AJ439" s="112">
        <v>9185688</v>
      </c>
      <c r="AK439" s="112" t="s">
        <v>1181</v>
      </c>
      <c r="AL439" s="112">
        <v>879019</v>
      </c>
      <c r="AM439" s="112" t="s">
        <v>1066</v>
      </c>
      <c r="AN439" s="112" t="s">
        <v>1066</v>
      </c>
    </row>
    <row r="440" spans="1:40" ht="55.5" customHeight="1" x14ac:dyDescent="0.25">
      <c r="A440" s="111" t="s">
        <v>2757</v>
      </c>
      <c r="B440" s="112">
        <v>2026</v>
      </c>
      <c r="C440" s="112" t="s">
        <v>1213</v>
      </c>
      <c r="D440" s="113">
        <v>46122.549942129626</v>
      </c>
      <c r="E440" s="112">
        <v>7930262058</v>
      </c>
      <c r="F440" s="112" t="s">
        <v>284</v>
      </c>
      <c r="G440" s="112">
        <v>3</v>
      </c>
      <c r="H440" s="112">
        <v>7930262058</v>
      </c>
      <c r="I440" s="112" t="s">
        <v>2758</v>
      </c>
      <c r="J440" s="112" t="s">
        <v>1066</v>
      </c>
      <c r="K440" s="112" t="s">
        <v>1125</v>
      </c>
      <c r="L440" s="112" t="s">
        <v>1061</v>
      </c>
      <c r="M440" s="112" t="s">
        <v>478</v>
      </c>
      <c r="N440" s="113">
        <v>46522.549942129626</v>
      </c>
      <c r="O440" s="114">
        <v>19002210161</v>
      </c>
      <c r="P440" s="112">
        <v>233</v>
      </c>
      <c r="Q440" s="112" t="s">
        <v>1062</v>
      </c>
      <c r="R440" s="112" t="s">
        <v>1063</v>
      </c>
      <c r="S440" s="113">
        <v>46127.40347222222</v>
      </c>
      <c r="T440" s="112" t="s">
        <v>2759</v>
      </c>
      <c r="U440" s="112" t="s">
        <v>1065</v>
      </c>
      <c r="V440" s="112" t="s">
        <v>1066</v>
      </c>
      <c r="W440" s="112" t="s">
        <v>1066</v>
      </c>
      <c r="X440" s="112" t="s">
        <v>1066</v>
      </c>
      <c r="Y440" s="112" t="s">
        <v>1066</v>
      </c>
      <c r="Z440" s="112" t="s">
        <v>1066</v>
      </c>
      <c r="AA440" s="112" t="s">
        <v>1067</v>
      </c>
      <c r="AB440" s="112" t="s">
        <v>1066</v>
      </c>
      <c r="AC440" s="112" t="s">
        <v>92</v>
      </c>
      <c r="AD440" s="112" t="s">
        <v>1066</v>
      </c>
      <c r="AE440" s="112" t="s">
        <v>1066</v>
      </c>
      <c r="AF440" s="112" t="s">
        <v>1066</v>
      </c>
      <c r="AG440" s="112" t="s">
        <v>1066</v>
      </c>
      <c r="AH440" s="112" t="s">
        <v>1066</v>
      </c>
      <c r="AI440" s="112" t="s">
        <v>785</v>
      </c>
      <c r="AJ440" s="112">
        <v>9215870</v>
      </c>
      <c r="AK440" s="112" t="s">
        <v>283</v>
      </c>
      <c r="AL440" s="112">
        <v>738872</v>
      </c>
      <c r="AM440" s="112" t="s">
        <v>1066</v>
      </c>
      <c r="AN440" s="112" t="s">
        <v>1066</v>
      </c>
    </row>
    <row r="441" spans="1:40" ht="55.5" customHeight="1" x14ac:dyDescent="0.25">
      <c r="A441" s="111" t="s">
        <v>2760</v>
      </c>
      <c r="B441" s="112">
        <v>2026</v>
      </c>
      <c r="C441" s="112" t="s">
        <v>2761</v>
      </c>
      <c r="D441" s="113">
        <v>46056.81826388889</v>
      </c>
      <c r="E441" s="112">
        <v>7901830094</v>
      </c>
      <c r="F441" s="112" t="s">
        <v>249</v>
      </c>
      <c r="G441" s="112">
        <v>3</v>
      </c>
      <c r="H441" s="112">
        <v>7901830094</v>
      </c>
      <c r="I441" s="112" t="s">
        <v>1420</v>
      </c>
      <c r="J441" s="112" t="s">
        <v>1071</v>
      </c>
      <c r="K441" s="112" t="s">
        <v>1681</v>
      </c>
      <c r="L441" s="112" t="s">
        <v>1073</v>
      </c>
      <c r="M441" s="112" t="s">
        <v>478</v>
      </c>
      <c r="N441" s="113">
        <v>46061.628171296295</v>
      </c>
      <c r="O441" s="114">
        <v>19002223724</v>
      </c>
      <c r="P441" s="112">
        <v>206</v>
      </c>
      <c r="Q441" s="112" t="s">
        <v>1062</v>
      </c>
      <c r="R441" s="112" t="s">
        <v>1297</v>
      </c>
      <c r="S441" s="113">
        <v>46101.696597222224</v>
      </c>
      <c r="T441" s="112" t="s">
        <v>2762</v>
      </c>
      <c r="U441" s="112" t="s">
        <v>1065</v>
      </c>
      <c r="V441" s="112" t="s">
        <v>1066</v>
      </c>
      <c r="W441" s="112" t="s">
        <v>1066</v>
      </c>
      <c r="X441" s="112" t="s">
        <v>983</v>
      </c>
      <c r="Y441" s="112" t="s">
        <v>1066</v>
      </c>
      <c r="Z441" s="112" t="s">
        <v>1532</v>
      </c>
      <c r="AA441" s="112" t="s">
        <v>1208</v>
      </c>
      <c r="AB441" s="112" t="s">
        <v>1066</v>
      </c>
      <c r="AC441" s="112" t="s">
        <v>92</v>
      </c>
      <c r="AD441" s="112" t="s">
        <v>1066</v>
      </c>
      <c r="AE441" s="112" t="s">
        <v>1066</v>
      </c>
      <c r="AF441" s="112" t="s">
        <v>1066</v>
      </c>
      <c r="AG441" s="112" t="s">
        <v>1066</v>
      </c>
      <c r="AH441" s="112" t="s">
        <v>2763</v>
      </c>
      <c r="AI441" s="112" t="s">
        <v>785</v>
      </c>
      <c r="AJ441" s="112">
        <v>8675493</v>
      </c>
      <c r="AK441" s="112" t="s">
        <v>224</v>
      </c>
      <c r="AL441" s="112">
        <v>752295</v>
      </c>
      <c r="AM441" s="112" t="s">
        <v>1066</v>
      </c>
      <c r="AN441" s="112" t="s">
        <v>1066</v>
      </c>
    </row>
    <row r="442" spans="1:40" ht="55.5" customHeight="1" x14ac:dyDescent="0.25">
      <c r="A442" s="111" t="s">
        <v>2764</v>
      </c>
      <c r="B442" s="112">
        <v>2026</v>
      </c>
      <c r="C442" s="112" t="s">
        <v>1057</v>
      </c>
      <c r="D442" s="113">
        <v>46125.584386574075</v>
      </c>
      <c r="E442" s="112">
        <v>7940275094</v>
      </c>
      <c r="F442" s="112" t="s">
        <v>249</v>
      </c>
      <c r="G442" s="112">
        <v>3</v>
      </c>
      <c r="H442" s="112">
        <v>7940275094</v>
      </c>
      <c r="I442" s="112" t="s">
        <v>2765</v>
      </c>
      <c r="J442" s="112" t="s">
        <v>1066</v>
      </c>
      <c r="K442" s="112" t="s">
        <v>1125</v>
      </c>
      <c r="L442" s="112" t="s">
        <v>1061</v>
      </c>
      <c r="M442" s="112" t="s">
        <v>478</v>
      </c>
      <c r="N442" s="113">
        <v>46525.584386574075</v>
      </c>
      <c r="O442" s="114">
        <v>19002209308</v>
      </c>
      <c r="P442" s="112">
        <v>120</v>
      </c>
      <c r="Q442" s="112" t="s">
        <v>1062</v>
      </c>
      <c r="R442" s="112" t="s">
        <v>1063</v>
      </c>
      <c r="S442" s="113">
        <v>46136.730694444443</v>
      </c>
      <c r="T442" s="112" t="s">
        <v>2766</v>
      </c>
      <c r="U442" s="112" t="s">
        <v>1065</v>
      </c>
      <c r="V442" s="112" t="s">
        <v>1066</v>
      </c>
      <c r="W442" s="112" t="s">
        <v>1066</v>
      </c>
      <c r="X442" s="112" t="s">
        <v>1066</v>
      </c>
      <c r="Y442" s="112" t="s">
        <v>1066</v>
      </c>
      <c r="Z442" s="112" t="s">
        <v>1066</v>
      </c>
      <c r="AA442" s="112" t="s">
        <v>1067</v>
      </c>
      <c r="AB442" s="112" t="s">
        <v>1066</v>
      </c>
      <c r="AC442" s="112" t="s">
        <v>92</v>
      </c>
      <c r="AD442" s="112" t="s">
        <v>1066</v>
      </c>
      <c r="AE442" s="112" t="s">
        <v>1066</v>
      </c>
      <c r="AF442" s="112" t="s">
        <v>1066</v>
      </c>
      <c r="AG442" s="112" t="s">
        <v>1066</v>
      </c>
      <c r="AH442" s="112" t="s">
        <v>1066</v>
      </c>
      <c r="AI442" s="112" t="s">
        <v>785</v>
      </c>
      <c r="AJ442" s="112">
        <v>8660648</v>
      </c>
      <c r="AK442" s="112" t="s">
        <v>224</v>
      </c>
      <c r="AL442" s="112">
        <v>747564</v>
      </c>
      <c r="AM442" s="112" t="s">
        <v>1066</v>
      </c>
      <c r="AN442" s="112" t="s">
        <v>1066</v>
      </c>
    </row>
    <row r="443" spans="1:40" ht="55.5" customHeight="1" x14ac:dyDescent="0.25">
      <c r="A443" s="111" t="s">
        <v>2767</v>
      </c>
      <c r="B443" s="112">
        <v>2026</v>
      </c>
      <c r="C443" s="112" t="s">
        <v>1057</v>
      </c>
      <c r="D443" s="113">
        <v>46125.614548611113</v>
      </c>
      <c r="E443" s="112">
        <v>7925563149</v>
      </c>
      <c r="F443" s="112" t="s">
        <v>196</v>
      </c>
      <c r="G443" s="112">
        <v>3</v>
      </c>
      <c r="H443" s="112">
        <v>7925563149</v>
      </c>
      <c r="I443" s="112" t="s">
        <v>2768</v>
      </c>
      <c r="J443" s="112" t="s">
        <v>1066</v>
      </c>
      <c r="K443" s="112" t="s">
        <v>1125</v>
      </c>
      <c r="L443" s="112" t="s">
        <v>1061</v>
      </c>
      <c r="M443" s="112" t="s">
        <v>478</v>
      </c>
      <c r="N443" s="113">
        <v>46525.614548611113</v>
      </c>
      <c r="O443" s="114">
        <v>19002223292</v>
      </c>
      <c r="P443" s="112">
        <v>1.6060000000000001</v>
      </c>
      <c r="Q443" s="112" t="s">
        <v>1062</v>
      </c>
      <c r="R443" s="112" t="s">
        <v>1063</v>
      </c>
      <c r="S443" s="113">
        <v>46174.3125</v>
      </c>
      <c r="T443" s="112" t="s">
        <v>1307</v>
      </c>
      <c r="U443" s="112" t="s">
        <v>1065</v>
      </c>
      <c r="V443" s="112" t="s">
        <v>1066</v>
      </c>
      <c r="W443" s="112" t="s">
        <v>1066</v>
      </c>
      <c r="X443" s="112" t="s">
        <v>1066</v>
      </c>
      <c r="Y443" s="112" t="s">
        <v>1066</v>
      </c>
      <c r="Z443" s="112" t="s">
        <v>1066</v>
      </c>
      <c r="AA443" s="112" t="s">
        <v>1067</v>
      </c>
      <c r="AB443" s="112" t="s">
        <v>1066</v>
      </c>
      <c r="AC443" s="112" t="s">
        <v>92</v>
      </c>
      <c r="AD443" s="112" t="s">
        <v>1066</v>
      </c>
      <c r="AE443" s="112" t="s">
        <v>1066</v>
      </c>
      <c r="AF443" s="112" t="s">
        <v>1066</v>
      </c>
      <c r="AG443" s="112" t="s">
        <v>1066</v>
      </c>
      <c r="AH443" s="112" t="s">
        <v>1066</v>
      </c>
      <c r="AI443" s="112" t="s">
        <v>785</v>
      </c>
      <c r="AJ443" s="112">
        <v>8986329</v>
      </c>
      <c r="AK443" s="112" t="s">
        <v>195</v>
      </c>
      <c r="AL443" s="112">
        <v>633773</v>
      </c>
      <c r="AM443" s="112" t="s">
        <v>1066</v>
      </c>
      <c r="AN443" s="112" t="s">
        <v>1066</v>
      </c>
    </row>
    <row r="444" spans="1:40" ht="55.5" customHeight="1" x14ac:dyDescent="0.25">
      <c r="A444" s="115" t="s">
        <v>587</v>
      </c>
      <c r="B444" s="116">
        <v>2026</v>
      </c>
      <c r="C444" s="116" t="s">
        <v>2769</v>
      </c>
      <c r="D444" s="118">
        <v>45929.635717592595</v>
      </c>
      <c r="E444" s="116">
        <v>8859726047</v>
      </c>
      <c r="F444" s="116" t="s">
        <v>113</v>
      </c>
      <c r="G444" s="116">
        <v>3</v>
      </c>
      <c r="H444" s="116">
        <v>7908196047</v>
      </c>
      <c r="I444" s="116" t="s">
        <v>2770</v>
      </c>
      <c r="J444" s="116" t="s">
        <v>1231</v>
      </c>
      <c r="K444" s="116" t="s">
        <v>1232</v>
      </c>
      <c r="L444" s="116" t="s">
        <v>1084</v>
      </c>
      <c r="M444" s="116" t="s">
        <v>588</v>
      </c>
      <c r="N444" s="118">
        <v>46297.704039351855</v>
      </c>
      <c r="O444" s="119">
        <v>19000282287</v>
      </c>
      <c r="P444" s="116">
        <v>111</v>
      </c>
      <c r="Q444" s="116" t="s">
        <v>1131</v>
      </c>
      <c r="R444" s="116" t="s">
        <v>1075</v>
      </c>
      <c r="S444" s="116" t="s">
        <v>1066</v>
      </c>
      <c r="T444" s="116" t="s">
        <v>1066</v>
      </c>
      <c r="U444" s="116" t="s">
        <v>1066</v>
      </c>
      <c r="V444" s="116" t="s">
        <v>1066</v>
      </c>
      <c r="W444" s="116" t="s">
        <v>1066</v>
      </c>
      <c r="X444" s="116" t="s">
        <v>983</v>
      </c>
      <c r="Y444" s="116" t="s">
        <v>1066</v>
      </c>
      <c r="Z444" s="116" t="s">
        <v>1066</v>
      </c>
      <c r="AA444" s="116" t="s">
        <v>1067</v>
      </c>
      <c r="AB444" s="116" t="s">
        <v>1066</v>
      </c>
      <c r="AC444" s="116" t="s">
        <v>92</v>
      </c>
      <c r="AD444" s="116" t="s">
        <v>1142</v>
      </c>
      <c r="AE444" s="116" t="s">
        <v>1066</v>
      </c>
      <c r="AF444" s="116" t="s">
        <v>1066</v>
      </c>
      <c r="AG444" s="116" t="s">
        <v>1066</v>
      </c>
      <c r="AH444" s="116" t="s">
        <v>2771</v>
      </c>
      <c r="AI444" s="116" t="s">
        <v>785</v>
      </c>
      <c r="AJ444" s="116">
        <v>8657287</v>
      </c>
      <c r="AK444" s="116" t="s">
        <v>111</v>
      </c>
      <c r="AL444" s="116">
        <v>698485</v>
      </c>
      <c r="AM444" s="116" t="s">
        <v>1066</v>
      </c>
      <c r="AN444" s="116" t="s">
        <v>1066</v>
      </c>
    </row>
    <row r="445" spans="1:40" ht="55.5" customHeight="1" x14ac:dyDescent="0.25">
      <c r="A445" s="111" t="s">
        <v>2772</v>
      </c>
      <c r="B445" s="112">
        <v>2026</v>
      </c>
      <c r="C445" s="112" t="s">
        <v>1089</v>
      </c>
      <c r="D445" s="113">
        <v>46028.41065972222</v>
      </c>
      <c r="E445" s="112">
        <v>7900061092</v>
      </c>
      <c r="F445" s="112" t="s">
        <v>1090</v>
      </c>
      <c r="G445" s="112">
        <v>2</v>
      </c>
      <c r="H445" s="112">
        <v>7900061092</v>
      </c>
      <c r="I445" s="112" t="s">
        <v>2773</v>
      </c>
      <c r="J445" s="112" t="s">
        <v>1092</v>
      </c>
      <c r="K445" s="112" t="s">
        <v>1093</v>
      </c>
      <c r="L445" s="112" t="s">
        <v>1061</v>
      </c>
      <c r="M445" s="112" t="s">
        <v>478</v>
      </c>
      <c r="N445" s="113">
        <v>46428.41065972222</v>
      </c>
      <c r="O445" s="114">
        <v>19002260855</v>
      </c>
      <c r="P445" s="112">
        <v>0</v>
      </c>
      <c r="Q445" s="112" t="s">
        <v>1062</v>
      </c>
      <c r="R445" s="112" t="s">
        <v>1063</v>
      </c>
      <c r="S445" s="113">
        <v>46085.475763888891</v>
      </c>
      <c r="T445" s="112" t="s">
        <v>2774</v>
      </c>
      <c r="U445" s="112" t="s">
        <v>1065</v>
      </c>
      <c r="V445" s="112" t="s">
        <v>1066</v>
      </c>
      <c r="W445" s="112" t="s">
        <v>1066</v>
      </c>
      <c r="X445" s="112" t="s">
        <v>1066</v>
      </c>
      <c r="Y445" s="112" t="s">
        <v>1066</v>
      </c>
      <c r="Z445" s="112" t="s">
        <v>1066</v>
      </c>
      <c r="AA445" s="112" t="s">
        <v>1067</v>
      </c>
      <c r="AB445" s="112" t="s">
        <v>1066</v>
      </c>
      <c r="AC445" s="112" t="s">
        <v>92</v>
      </c>
      <c r="AD445" s="112" t="s">
        <v>1066</v>
      </c>
      <c r="AE445" s="112" t="s">
        <v>1066</v>
      </c>
      <c r="AF445" s="112" t="s">
        <v>1066</v>
      </c>
      <c r="AG445" s="112" t="s">
        <v>1066</v>
      </c>
      <c r="AH445" s="112" t="s">
        <v>1066</v>
      </c>
      <c r="AI445" s="112" t="s">
        <v>785</v>
      </c>
      <c r="AJ445" s="112">
        <v>8893663</v>
      </c>
      <c r="AK445" s="112" t="s">
        <v>1095</v>
      </c>
      <c r="AL445" s="112">
        <v>856532</v>
      </c>
      <c r="AM445" s="112" t="s">
        <v>1066</v>
      </c>
      <c r="AN445" s="112" t="s">
        <v>1066</v>
      </c>
    </row>
    <row r="446" spans="1:40" ht="55.5" customHeight="1" x14ac:dyDescent="0.25">
      <c r="A446" s="111" t="s">
        <v>2775</v>
      </c>
      <c r="B446" s="112">
        <v>2026</v>
      </c>
      <c r="C446" s="112" t="s">
        <v>1057</v>
      </c>
      <c r="D446" s="113">
        <v>46125.584386574075</v>
      </c>
      <c r="E446" s="112">
        <v>7900696029</v>
      </c>
      <c r="F446" s="112" t="s">
        <v>1150</v>
      </c>
      <c r="G446" s="112">
        <v>3</v>
      </c>
      <c r="H446" s="112">
        <v>7900696029</v>
      </c>
      <c r="I446" s="112" t="s">
        <v>2776</v>
      </c>
      <c r="J446" s="112" t="s">
        <v>1066</v>
      </c>
      <c r="K446" s="112" t="s">
        <v>1125</v>
      </c>
      <c r="L446" s="112" t="s">
        <v>1061</v>
      </c>
      <c r="M446" s="112" t="s">
        <v>478</v>
      </c>
      <c r="N446" s="113">
        <v>46525.584386574075</v>
      </c>
      <c r="O446" s="114">
        <v>19002786454</v>
      </c>
      <c r="P446" s="112">
        <v>251</v>
      </c>
      <c r="Q446" s="112" t="s">
        <v>1062</v>
      </c>
      <c r="R446" s="112" t="s">
        <v>1063</v>
      </c>
      <c r="S446" s="113">
        <v>46171.455694444441</v>
      </c>
      <c r="T446" s="112" t="s">
        <v>2777</v>
      </c>
      <c r="U446" s="112" t="s">
        <v>1065</v>
      </c>
      <c r="V446" s="112" t="s">
        <v>1066</v>
      </c>
      <c r="W446" s="112" t="s">
        <v>1066</v>
      </c>
      <c r="X446" s="112" t="s">
        <v>1066</v>
      </c>
      <c r="Y446" s="112" t="s">
        <v>1066</v>
      </c>
      <c r="Z446" s="112" t="s">
        <v>1066</v>
      </c>
      <c r="AA446" s="112" t="s">
        <v>1067</v>
      </c>
      <c r="AB446" s="112" t="s">
        <v>1066</v>
      </c>
      <c r="AC446" s="112" t="s">
        <v>92</v>
      </c>
      <c r="AD446" s="112" t="s">
        <v>1066</v>
      </c>
      <c r="AE446" s="112" t="s">
        <v>1066</v>
      </c>
      <c r="AF446" s="112" t="s">
        <v>1066</v>
      </c>
      <c r="AG446" s="112" t="s">
        <v>1066</v>
      </c>
      <c r="AH446" s="112" t="s">
        <v>1066</v>
      </c>
      <c r="AI446" s="112" t="s">
        <v>785</v>
      </c>
      <c r="AJ446" s="112">
        <v>8555955</v>
      </c>
      <c r="AK446" s="112" t="s">
        <v>415</v>
      </c>
      <c r="AL446" s="112">
        <v>781471</v>
      </c>
      <c r="AM446" s="112" t="s">
        <v>1066</v>
      </c>
      <c r="AN446" s="112" t="s">
        <v>1066</v>
      </c>
    </row>
    <row r="447" spans="1:40" ht="55.5" customHeight="1" x14ac:dyDescent="0.25">
      <c r="A447" s="111" t="s">
        <v>2778</v>
      </c>
      <c r="B447" s="112">
        <v>2026</v>
      </c>
      <c r="C447" s="112" t="s">
        <v>2779</v>
      </c>
      <c r="D447" s="113">
        <v>46146.743506944447</v>
      </c>
      <c r="E447" s="112">
        <v>310098001</v>
      </c>
      <c r="F447" s="112" t="s">
        <v>2024</v>
      </c>
      <c r="G447" s="112">
        <v>3</v>
      </c>
      <c r="H447" s="112">
        <v>5863887001</v>
      </c>
      <c r="I447" s="112" t="s">
        <v>2025</v>
      </c>
      <c r="J447" s="112" t="s">
        <v>1071</v>
      </c>
      <c r="K447" s="112" t="s">
        <v>1247</v>
      </c>
      <c r="L447" s="112" t="s">
        <v>1073</v>
      </c>
      <c r="M447" s="112" t="s">
        <v>478</v>
      </c>
      <c r="N447" s="113">
        <v>46149.743506944447</v>
      </c>
      <c r="O447" s="114">
        <v>19002803203</v>
      </c>
      <c r="P447" s="112">
        <v>35</v>
      </c>
      <c r="Q447" s="112" t="s">
        <v>1074</v>
      </c>
      <c r="R447" s="112" t="s">
        <v>1324</v>
      </c>
      <c r="S447" s="113">
        <v>46161.729166666664</v>
      </c>
      <c r="T447" s="112" t="s">
        <v>2780</v>
      </c>
      <c r="U447" s="112" t="s">
        <v>1065</v>
      </c>
      <c r="V447" s="112" t="s">
        <v>1066</v>
      </c>
      <c r="W447" s="112" t="s">
        <v>1066</v>
      </c>
      <c r="X447" s="112" t="s">
        <v>1077</v>
      </c>
      <c r="Y447" s="112" t="s">
        <v>1066</v>
      </c>
      <c r="Z447" s="112" t="s">
        <v>1479</v>
      </c>
      <c r="AA447" s="112" t="s">
        <v>1067</v>
      </c>
      <c r="AB447" s="112" t="s">
        <v>1066</v>
      </c>
      <c r="AC447" s="112" t="s">
        <v>92</v>
      </c>
      <c r="AD447" s="112" t="s">
        <v>1066</v>
      </c>
      <c r="AE447" s="112" t="s">
        <v>1066</v>
      </c>
      <c r="AF447" s="112" t="s">
        <v>1066</v>
      </c>
      <c r="AG447" s="112" t="s">
        <v>1066</v>
      </c>
      <c r="AH447" s="112" t="s">
        <v>1066</v>
      </c>
      <c r="AI447" s="112" t="s">
        <v>785</v>
      </c>
      <c r="AJ447" s="112">
        <v>8850006</v>
      </c>
      <c r="AK447" s="112" t="s">
        <v>50</v>
      </c>
      <c r="AL447" s="112">
        <v>771817</v>
      </c>
      <c r="AM447" s="112" t="s">
        <v>1066</v>
      </c>
      <c r="AN447" s="112" t="s">
        <v>1066</v>
      </c>
    </row>
    <row r="448" spans="1:40" ht="55.5" customHeight="1" x14ac:dyDescent="0.25">
      <c r="A448" s="124" t="s">
        <v>2781</v>
      </c>
      <c r="B448" s="125">
        <v>2026</v>
      </c>
      <c r="C448" s="125" t="s">
        <v>2782</v>
      </c>
      <c r="D448" s="126">
        <v>46245.423900462964</v>
      </c>
      <c r="E448" s="125">
        <v>7909577092</v>
      </c>
      <c r="F448" s="125" t="s">
        <v>1090</v>
      </c>
      <c r="G448" s="125">
        <v>2</v>
      </c>
      <c r="H448" s="125">
        <v>7909577092</v>
      </c>
      <c r="I448" s="125" t="s">
        <v>1091</v>
      </c>
      <c r="J448" s="125" t="s">
        <v>1059</v>
      </c>
      <c r="K448" s="125" t="s">
        <v>2442</v>
      </c>
      <c r="L448" s="125" t="s">
        <v>1061</v>
      </c>
      <c r="M448" s="125" t="s">
        <v>510</v>
      </c>
      <c r="N448" s="126">
        <v>46653.724733796298</v>
      </c>
      <c r="O448" s="127">
        <v>19002295963</v>
      </c>
      <c r="P448" s="125">
        <v>2.0070000000000001</v>
      </c>
      <c r="Q448" s="125" t="s">
        <v>1062</v>
      </c>
      <c r="R448" s="125" t="s">
        <v>2783</v>
      </c>
      <c r="S448" s="125" t="s">
        <v>1066</v>
      </c>
      <c r="T448" s="125" t="s">
        <v>1066</v>
      </c>
      <c r="U448" s="125" t="s">
        <v>1066</v>
      </c>
      <c r="V448" s="125" t="s">
        <v>1066</v>
      </c>
      <c r="W448" s="125" t="s">
        <v>1066</v>
      </c>
      <c r="X448" s="125" t="s">
        <v>1066</v>
      </c>
      <c r="Y448" s="125" t="s">
        <v>1066</v>
      </c>
      <c r="Z448" s="125" t="s">
        <v>1318</v>
      </c>
      <c r="AA448" s="125" t="s">
        <v>1067</v>
      </c>
      <c r="AB448" s="125" t="s">
        <v>1066</v>
      </c>
      <c r="AC448" s="125" t="s">
        <v>92</v>
      </c>
      <c r="AD448" s="125" t="s">
        <v>1066</v>
      </c>
      <c r="AE448" s="125" t="s">
        <v>1066</v>
      </c>
      <c r="AF448" s="125" t="s">
        <v>1066</v>
      </c>
      <c r="AG448" s="125" t="s">
        <v>1066</v>
      </c>
      <c r="AH448" s="125" t="s">
        <v>2784</v>
      </c>
      <c r="AI448" s="125" t="s">
        <v>785</v>
      </c>
      <c r="AJ448" s="125">
        <v>8896369</v>
      </c>
      <c r="AK448" s="125" t="s">
        <v>1095</v>
      </c>
      <c r="AL448" s="125">
        <v>863365</v>
      </c>
      <c r="AM448" s="125" t="s">
        <v>1066</v>
      </c>
      <c r="AN448" s="125" t="s">
        <v>1066</v>
      </c>
    </row>
    <row r="449" spans="1:40" ht="55.5" customHeight="1" x14ac:dyDescent="0.25">
      <c r="A449" s="111" t="s">
        <v>2785</v>
      </c>
      <c r="B449" s="112">
        <v>2026</v>
      </c>
      <c r="C449" s="112" t="s">
        <v>1089</v>
      </c>
      <c r="D449" s="113">
        <v>46028.41065972222</v>
      </c>
      <c r="E449" s="112">
        <v>7908256086</v>
      </c>
      <c r="F449" s="112" t="s">
        <v>153</v>
      </c>
      <c r="G449" s="112">
        <v>2</v>
      </c>
      <c r="H449" s="112">
        <v>7908256086</v>
      </c>
      <c r="I449" s="112" t="s">
        <v>2786</v>
      </c>
      <c r="J449" s="112" t="s">
        <v>1092</v>
      </c>
      <c r="K449" s="112" t="s">
        <v>1093</v>
      </c>
      <c r="L449" s="112" t="s">
        <v>1061</v>
      </c>
      <c r="M449" s="112" t="s">
        <v>478</v>
      </c>
      <c r="N449" s="113">
        <v>46428.41065972222</v>
      </c>
      <c r="O449" s="114">
        <v>19002261293</v>
      </c>
      <c r="P449" s="112">
        <v>0</v>
      </c>
      <c r="Q449" s="112" t="s">
        <v>1062</v>
      </c>
      <c r="R449" s="112" t="s">
        <v>1063</v>
      </c>
      <c r="S449" s="113">
        <v>46157.690821759257</v>
      </c>
      <c r="T449" s="112" t="s">
        <v>2787</v>
      </c>
      <c r="U449" s="112" t="s">
        <v>1065</v>
      </c>
      <c r="V449" s="112" t="s">
        <v>1066</v>
      </c>
      <c r="W449" s="112" t="s">
        <v>1066</v>
      </c>
      <c r="X449" s="112" t="s">
        <v>1066</v>
      </c>
      <c r="Y449" s="112" t="s">
        <v>1066</v>
      </c>
      <c r="Z449" s="112" t="s">
        <v>1066</v>
      </c>
      <c r="AA449" s="112" t="s">
        <v>1067</v>
      </c>
      <c r="AB449" s="112" t="s">
        <v>1066</v>
      </c>
      <c r="AC449" s="112" t="s">
        <v>92</v>
      </c>
      <c r="AD449" s="112" t="s">
        <v>1066</v>
      </c>
      <c r="AE449" s="112" t="s">
        <v>1066</v>
      </c>
      <c r="AF449" s="112" t="s">
        <v>1066</v>
      </c>
      <c r="AG449" s="112" t="s">
        <v>1066</v>
      </c>
      <c r="AH449" s="112" t="s">
        <v>1066</v>
      </c>
      <c r="AI449" s="112" t="s">
        <v>785</v>
      </c>
      <c r="AJ449" s="112">
        <v>8919870</v>
      </c>
      <c r="AK449" s="112" t="s">
        <v>1143</v>
      </c>
      <c r="AL449" s="112">
        <v>662428</v>
      </c>
      <c r="AM449" s="112" t="s">
        <v>1066</v>
      </c>
      <c r="AN449" s="112" t="s">
        <v>1066</v>
      </c>
    </row>
    <row r="450" spans="1:40" ht="55.5" customHeight="1" x14ac:dyDescent="0.25">
      <c r="A450" s="111" t="s">
        <v>2788</v>
      </c>
      <c r="B450" s="112">
        <v>2026</v>
      </c>
      <c r="C450" s="112" t="s">
        <v>1089</v>
      </c>
      <c r="D450" s="113">
        <v>46028.41065972222</v>
      </c>
      <c r="E450" s="112">
        <v>7902931001</v>
      </c>
      <c r="F450" s="112" t="s">
        <v>2713</v>
      </c>
      <c r="G450" s="112">
        <v>2</v>
      </c>
      <c r="H450" s="112">
        <v>7902931001</v>
      </c>
      <c r="I450" s="112" t="s">
        <v>2789</v>
      </c>
      <c r="J450" s="112" t="s">
        <v>1092</v>
      </c>
      <c r="K450" s="112" t="s">
        <v>1093</v>
      </c>
      <c r="L450" s="112" t="s">
        <v>1061</v>
      </c>
      <c r="M450" s="112" t="s">
        <v>478</v>
      </c>
      <c r="N450" s="113">
        <v>46428.41065972222</v>
      </c>
      <c r="O450" s="114">
        <v>19002679810</v>
      </c>
      <c r="P450" s="112">
        <v>1.885</v>
      </c>
      <c r="Q450" s="112" t="s">
        <v>1062</v>
      </c>
      <c r="R450" s="112" t="s">
        <v>1063</v>
      </c>
      <c r="S450" s="113">
        <v>46043.617893518516</v>
      </c>
      <c r="T450" s="112" t="s">
        <v>2790</v>
      </c>
      <c r="U450" s="112" t="s">
        <v>1065</v>
      </c>
      <c r="V450" s="112" t="s">
        <v>1066</v>
      </c>
      <c r="W450" s="112" t="s">
        <v>1066</v>
      </c>
      <c r="X450" s="112" t="s">
        <v>1066</v>
      </c>
      <c r="Y450" s="112" t="s">
        <v>1066</v>
      </c>
      <c r="Z450" s="112" t="s">
        <v>1066</v>
      </c>
      <c r="AA450" s="112" t="s">
        <v>1067</v>
      </c>
      <c r="AB450" s="112" t="s">
        <v>1066</v>
      </c>
      <c r="AC450" s="112" t="s">
        <v>92</v>
      </c>
      <c r="AD450" s="112" t="s">
        <v>1066</v>
      </c>
      <c r="AE450" s="112" t="s">
        <v>1066</v>
      </c>
      <c r="AF450" s="112" t="s">
        <v>1066</v>
      </c>
      <c r="AG450" s="112" t="s">
        <v>1066</v>
      </c>
      <c r="AH450" s="112" t="s">
        <v>1066</v>
      </c>
      <c r="AI450" s="112" t="s">
        <v>785</v>
      </c>
      <c r="AJ450" s="112">
        <v>8812616</v>
      </c>
      <c r="AK450" s="112" t="s">
        <v>50</v>
      </c>
      <c r="AL450" s="112">
        <v>784237</v>
      </c>
      <c r="AM450" s="112" t="s">
        <v>1066</v>
      </c>
      <c r="AN450" s="112" t="s">
        <v>1066</v>
      </c>
    </row>
    <row r="451" spans="1:40" ht="55.5" customHeight="1" x14ac:dyDescent="0.25">
      <c r="A451" s="111" t="s">
        <v>2791</v>
      </c>
      <c r="B451" s="112">
        <v>2026</v>
      </c>
      <c r="C451" s="112" t="s">
        <v>2792</v>
      </c>
      <c r="D451" s="113">
        <v>46006.380462962959</v>
      </c>
      <c r="E451" s="112" t="s">
        <v>1066</v>
      </c>
      <c r="F451" s="112" t="s">
        <v>1346</v>
      </c>
      <c r="G451" s="112" t="s">
        <v>1066</v>
      </c>
      <c r="H451" s="112">
        <v>7921040031</v>
      </c>
      <c r="I451" s="112" t="s">
        <v>2793</v>
      </c>
      <c r="J451" s="112" t="s">
        <v>1092</v>
      </c>
      <c r="K451" s="112" t="s">
        <v>1093</v>
      </c>
      <c r="L451" s="112" t="s">
        <v>2002</v>
      </c>
      <c r="M451" s="112" t="s">
        <v>478</v>
      </c>
      <c r="N451" s="113">
        <v>46084.380462962959</v>
      </c>
      <c r="O451" s="114">
        <v>19002214531</v>
      </c>
      <c r="P451" s="112">
        <v>0</v>
      </c>
      <c r="Q451" s="112" t="s">
        <v>1062</v>
      </c>
      <c r="R451" s="112" t="s">
        <v>1085</v>
      </c>
      <c r="S451" s="113">
        <v>46064.395138888889</v>
      </c>
      <c r="T451" s="112" t="s">
        <v>2794</v>
      </c>
      <c r="U451" s="112" t="s">
        <v>1065</v>
      </c>
      <c r="V451" s="112" t="s">
        <v>1066</v>
      </c>
      <c r="W451" s="112" t="s">
        <v>1066</v>
      </c>
      <c r="X451" s="112" t="s">
        <v>1066</v>
      </c>
      <c r="Y451" s="112" t="s">
        <v>1066</v>
      </c>
      <c r="Z451" s="112" t="s">
        <v>1066</v>
      </c>
      <c r="AA451" s="112" t="s">
        <v>1067</v>
      </c>
      <c r="AB451" s="112" t="s">
        <v>1066</v>
      </c>
      <c r="AC451" s="112" t="s">
        <v>92</v>
      </c>
      <c r="AD451" s="112" t="s">
        <v>1066</v>
      </c>
      <c r="AE451" s="112" t="s">
        <v>1066</v>
      </c>
      <c r="AF451" s="112" t="s">
        <v>1066</v>
      </c>
      <c r="AG451" s="112" t="s">
        <v>1066</v>
      </c>
      <c r="AH451" s="112" t="s">
        <v>1066</v>
      </c>
      <c r="AI451" s="112" t="s">
        <v>785</v>
      </c>
      <c r="AJ451" s="112">
        <v>8965141</v>
      </c>
      <c r="AK451" s="112" t="s">
        <v>502</v>
      </c>
      <c r="AL451" s="112">
        <v>770359</v>
      </c>
      <c r="AM451" s="112" t="s">
        <v>1066</v>
      </c>
      <c r="AN451" s="112" t="s">
        <v>1066</v>
      </c>
    </row>
    <row r="452" spans="1:40" ht="55.5" customHeight="1" x14ac:dyDescent="0.25">
      <c r="A452" s="111" t="s">
        <v>2795</v>
      </c>
      <c r="B452" s="112">
        <v>2026</v>
      </c>
      <c r="C452" s="112" t="s">
        <v>1057</v>
      </c>
      <c r="D452" s="113">
        <v>46125.614548611113</v>
      </c>
      <c r="E452" s="112">
        <v>7905363122</v>
      </c>
      <c r="F452" s="112" t="s">
        <v>2796</v>
      </c>
      <c r="G452" s="112">
        <v>2</v>
      </c>
      <c r="H452" s="112">
        <v>7905363122</v>
      </c>
      <c r="I452" s="112" t="s">
        <v>2797</v>
      </c>
      <c r="J452" s="112" t="s">
        <v>1066</v>
      </c>
      <c r="K452" s="112" t="s">
        <v>1125</v>
      </c>
      <c r="L452" s="112" t="s">
        <v>1061</v>
      </c>
      <c r="M452" s="112" t="s">
        <v>478</v>
      </c>
      <c r="N452" s="113">
        <v>46525.614548611113</v>
      </c>
      <c r="O452" s="114">
        <v>19002295958</v>
      </c>
      <c r="P452" s="112">
        <v>0</v>
      </c>
      <c r="Q452" s="112" t="s">
        <v>1062</v>
      </c>
      <c r="R452" s="112" t="s">
        <v>1063</v>
      </c>
      <c r="S452" s="113">
        <v>46199.729050925926</v>
      </c>
      <c r="T452" s="112" t="s">
        <v>2798</v>
      </c>
      <c r="U452" s="112" t="s">
        <v>1065</v>
      </c>
      <c r="V452" s="112" t="s">
        <v>1066</v>
      </c>
      <c r="W452" s="112" t="s">
        <v>1066</v>
      </c>
      <c r="X452" s="112" t="s">
        <v>1066</v>
      </c>
      <c r="Y452" s="112" t="s">
        <v>1066</v>
      </c>
      <c r="Z452" s="112" t="s">
        <v>1066</v>
      </c>
      <c r="AA452" s="112" t="s">
        <v>1067</v>
      </c>
      <c r="AB452" s="112" t="s">
        <v>1066</v>
      </c>
      <c r="AC452" s="112" t="s">
        <v>92</v>
      </c>
      <c r="AD452" s="112" t="s">
        <v>1066</v>
      </c>
      <c r="AE452" s="112" t="s">
        <v>1066</v>
      </c>
      <c r="AF452" s="112" t="s">
        <v>1066</v>
      </c>
      <c r="AG452" s="112" t="s">
        <v>1066</v>
      </c>
      <c r="AH452" s="112" t="s">
        <v>1066</v>
      </c>
      <c r="AI452" s="112" t="s">
        <v>785</v>
      </c>
      <c r="AJ452" s="112">
        <v>8870056</v>
      </c>
      <c r="AK452" s="112" t="s">
        <v>264</v>
      </c>
      <c r="AL452" s="112">
        <v>791682</v>
      </c>
      <c r="AM452" s="112" t="s">
        <v>1066</v>
      </c>
      <c r="AN452" s="112" t="s">
        <v>1066</v>
      </c>
    </row>
    <row r="453" spans="1:40" ht="55.5" customHeight="1" x14ac:dyDescent="0.25">
      <c r="A453" s="111" t="s">
        <v>680</v>
      </c>
      <c r="B453" s="112">
        <v>2026</v>
      </c>
      <c r="C453" s="112" t="s">
        <v>681</v>
      </c>
      <c r="D453" s="113">
        <v>46183.632048611114</v>
      </c>
      <c r="E453" s="112">
        <v>9001284040</v>
      </c>
      <c r="F453" s="112" t="s">
        <v>284</v>
      </c>
      <c r="G453" s="112">
        <v>3</v>
      </c>
      <c r="H453" s="112">
        <v>7925713040</v>
      </c>
      <c r="I453" s="112" t="s">
        <v>2074</v>
      </c>
      <c r="J453" s="112" t="s">
        <v>1071</v>
      </c>
      <c r="K453" s="112" t="s">
        <v>2694</v>
      </c>
      <c r="L453" s="112" t="s">
        <v>1073</v>
      </c>
      <c r="M453" s="112" t="s">
        <v>478</v>
      </c>
      <c r="N453" s="113">
        <v>46186.632048611114</v>
      </c>
      <c r="O453" s="114">
        <v>19001240587</v>
      </c>
      <c r="P453" s="112">
        <v>1.1020000000000001</v>
      </c>
      <c r="Q453" s="112" t="s">
        <v>1131</v>
      </c>
      <c r="R453" s="112" t="s">
        <v>1075</v>
      </c>
      <c r="S453" s="113">
        <v>46220.459027777775</v>
      </c>
      <c r="T453" s="112" t="s">
        <v>2799</v>
      </c>
      <c r="U453" s="112" t="s">
        <v>1065</v>
      </c>
      <c r="V453" s="112" t="s">
        <v>1066</v>
      </c>
      <c r="W453" s="112" t="s">
        <v>1066</v>
      </c>
      <c r="X453" s="112" t="s">
        <v>983</v>
      </c>
      <c r="Y453" s="112" t="s">
        <v>1066</v>
      </c>
      <c r="Z453" s="112" t="s">
        <v>1148</v>
      </c>
      <c r="AA453" s="112" t="s">
        <v>1067</v>
      </c>
      <c r="AB453" s="112" t="s">
        <v>1066</v>
      </c>
      <c r="AC453" s="112" t="s">
        <v>92</v>
      </c>
      <c r="AD453" s="112" t="s">
        <v>1142</v>
      </c>
      <c r="AE453" s="112" t="s">
        <v>1066</v>
      </c>
      <c r="AF453" s="112" t="s">
        <v>1066</v>
      </c>
      <c r="AG453" s="112" t="s">
        <v>1066</v>
      </c>
      <c r="AH453" s="112" t="s">
        <v>1066</v>
      </c>
      <c r="AI453" s="112" t="s">
        <v>785</v>
      </c>
      <c r="AJ453" s="112">
        <v>9243192</v>
      </c>
      <c r="AK453" s="112" t="s">
        <v>521</v>
      </c>
      <c r="AL453" s="112">
        <v>753963</v>
      </c>
      <c r="AM453" s="112" t="s">
        <v>1066</v>
      </c>
      <c r="AN453" s="112" t="s">
        <v>1066</v>
      </c>
    </row>
    <row r="454" spans="1:40" ht="55.5" customHeight="1" x14ac:dyDescent="0.25">
      <c r="A454" s="111" t="s">
        <v>2800</v>
      </c>
      <c r="B454" s="112">
        <v>2026</v>
      </c>
      <c r="C454" s="112" t="s">
        <v>2801</v>
      </c>
      <c r="D454" s="113">
        <v>46079.547013888892</v>
      </c>
      <c r="E454" s="112">
        <v>8800932085</v>
      </c>
      <c r="F454" s="112" t="s">
        <v>153</v>
      </c>
      <c r="G454" s="112">
        <v>2</v>
      </c>
      <c r="H454" s="112">
        <v>7957126085</v>
      </c>
      <c r="I454" s="112" t="s">
        <v>2802</v>
      </c>
      <c r="J454" s="112" t="s">
        <v>1157</v>
      </c>
      <c r="K454" s="112" t="s">
        <v>1417</v>
      </c>
      <c r="L454" s="112" t="s">
        <v>1084</v>
      </c>
      <c r="M454" s="112" t="s">
        <v>478</v>
      </c>
      <c r="N454" s="113">
        <v>46139.547013888892</v>
      </c>
      <c r="O454" s="114">
        <v>19002739004</v>
      </c>
      <c r="P454" s="112">
        <v>1.5289999999999999</v>
      </c>
      <c r="Q454" s="112" t="s">
        <v>1131</v>
      </c>
      <c r="R454" s="112" t="s">
        <v>1085</v>
      </c>
      <c r="S454" s="113">
        <v>46205.672465277778</v>
      </c>
      <c r="T454" s="112" t="s">
        <v>2803</v>
      </c>
      <c r="U454" s="112" t="s">
        <v>1065</v>
      </c>
      <c r="V454" s="112" t="s">
        <v>1066</v>
      </c>
      <c r="W454" s="112" t="s">
        <v>1066</v>
      </c>
      <c r="X454" s="112" t="s">
        <v>983</v>
      </c>
      <c r="Y454" s="112" t="s">
        <v>1066</v>
      </c>
      <c r="Z454" s="112" t="s">
        <v>1133</v>
      </c>
      <c r="AA454" s="112" t="s">
        <v>1067</v>
      </c>
      <c r="AB454" s="112" t="s">
        <v>1066</v>
      </c>
      <c r="AC454" s="112" t="s">
        <v>92</v>
      </c>
      <c r="AD454" s="112" t="s">
        <v>1066</v>
      </c>
      <c r="AE454" s="112" t="s">
        <v>1066</v>
      </c>
      <c r="AF454" s="112" t="s">
        <v>1066</v>
      </c>
      <c r="AG454" s="112" t="s">
        <v>1066</v>
      </c>
      <c r="AH454" s="112" t="s">
        <v>1066</v>
      </c>
      <c r="AI454" s="112" t="s">
        <v>785</v>
      </c>
      <c r="AJ454" s="112">
        <v>8893131</v>
      </c>
      <c r="AK454" s="112" t="s">
        <v>579</v>
      </c>
      <c r="AL454" s="112">
        <v>720258</v>
      </c>
      <c r="AM454" s="112" t="s">
        <v>1066</v>
      </c>
      <c r="AN454" s="112" t="s">
        <v>1066</v>
      </c>
    </row>
    <row r="455" spans="1:40" ht="55.5" customHeight="1" x14ac:dyDescent="0.25">
      <c r="A455" s="111" t="s">
        <v>2804</v>
      </c>
      <c r="B455" s="112">
        <v>2026</v>
      </c>
      <c r="C455" s="112" t="s">
        <v>1057</v>
      </c>
      <c r="D455" s="113">
        <v>46125.584386574075</v>
      </c>
      <c r="E455" s="112">
        <v>7926241200</v>
      </c>
      <c r="F455" s="112" t="s">
        <v>294</v>
      </c>
      <c r="G455" s="112">
        <v>2</v>
      </c>
      <c r="H455" s="112">
        <v>7926241200</v>
      </c>
      <c r="I455" s="112" t="s">
        <v>2805</v>
      </c>
      <c r="J455" s="112" t="s">
        <v>1066</v>
      </c>
      <c r="K455" s="112" t="s">
        <v>1125</v>
      </c>
      <c r="L455" s="112" t="s">
        <v>1061</v>
      </c>
      <c r="M455" s="112" t="s">
        <v>478</v>
      </c>
      <c r="N455" s="113">
        <v>46525.584386574075</v>
      </c>
      <c r="O455" s="114">
        <v>19002208430</v>
      </c>
      <c r="P455" s="112">
        <v>504</v>
      </c>
      <c r="Q455" s="112" t="s">
        <v>1062</v>
      </c>
      <c r="R455" s="112" t="s">
        <v>1063</v>
      </c>
      <c r="S455" s="113">
        <v>46171.47042824074</v>
      </c>
      <c r="T455" s="112" t="s">
        <v>2806</v>
      </c>
      <c r="U455" s="112" t="s">
        <v>1065</v>
      </c>
      <c r="V455" s="112" t="s">
        <v>1066</v>
      </c>
      <c r="W455" s="112" t="s">
        <v>1066</v>
      </c>
      <c r="X455" s="112" t="s">
        <v>1066</v>
      </c>
      <c r="Y455" s="112" t="s">
        <v>1066</v>
      </c>
      <c r="Z455" s="112" t="s">
        <v>1066</v>
      </c>
      <c r="AA455" s="112" t="s">
        <v>1067</v>
      </c>
      <c r="AB455" s="112" t="s">
        <v>1066</v>
      </c>
      <c r="AC455" s="112" t="s">
        <v>92</v>
      </c>
      <c r="AD455" s="112" t="s">
        <v>1066</v>
      </c>
      <c r="AE455" s="112" t="s">
        <v>1066</v>
      </c>
      <c r="AF455" s="112" t="s">
        <v>1066</v>
      </c>
      <c r="AG455" s="112" t="s">
        <v>1066</v>
      </c>
      <c r="AH455" s="112" t="s">
        <v>1066</v>
      </c>
      <c r="AI455" s="112" t="s">
        <v>785</v>
      </c>
      <c r="AJ455" s="112">
        <v>8587470</v>
      </c>
      <c r="AK455" s="112" t="s">
        <v>293</v>
      </c>
      <c r="AL455" s="112">
        <v>796868</v>
      </c>
      <c r="AM455" s="112" t="s">
        <v>1066</v>
      </c>
      <c r="AN455" s="112" t="s">
        <v>1066</v>
      </c>
    </row>
    <row r="456" spans="1:40" ht="55.5" customHeight="1" x14ac:dyDescent="0.25">
      <c r="A456" s="111" t="s">
        <v>2807</v>
      </c>
      <c r="B456" s="112">
        <v>2026</v>
      </c>
      <c r="C456" s="112" t="s">
        <v>1057</v>
      </c>
      <c r="D456" s="113">
        <v>46125.614548611113</v>
      </c>
      <c r="E456" s="112">
        <v>7900663086</v>
      </c>
      <c r="F456" s="112" t="s">
        <v>355</v>
      </c>
      <c r="G456" s="112">
        <v>3</v>
      </c>
      <c r="H456" s="112">
        <v>7900663086</v>
      </c>
      <c r="I456" s="112" t="s">
        <v>2808</v>
      </c>
      <c r="J456" s="112" t="s">
        <v>1066</v>
      </c>
      <c r="K456" s="112" t="s">
        <v>1125</v>
      </c>
      <c r="L456" s="112" t="s">
        <v>1061</v>
      </c>
      <c r="M456" s="112" t="s">
        <v>478</v>
      </c>
      <c r="N456" s="113">
        <v>46525.614548611113</v>
      </c>
      <c r="O456" s="114">
        <v>19002295951</v>
      </c>
      <c r="P456" s="112">
        <v>667</v>
      </c>
      <c r="Q456" s="112" t="s">
        <v>1062</v>
      </c>
      <c r="R456" s="112" t="s">
        <v>1063</v>
      </c>
      <c r="S456" s="113">
        <v>46174.3125</v>
      </c>
      <c r="T456" s="112" t="s">
        <v>1307</v>
      </c>
      <c r="U456" s="112" t="s">
        <v>1065</v>
      </c>
      <c r="V456" s="112" t="s">
        <v>1066</v>
      </c>
      <c r="W456" s="112" t="s">
        <v>1066</v>
      </c>
      <c r="X456" s="112" t="s">
        <v>1066</v>
      </c>
      <c r="Y456" s="112" t="s">
        <v>1066</v>
      </c>
      <c r="Z456" s="112" t="s">
        <v>1066</v>
      </c>
      <c r="AA456" s="112" t="s">
        <v>1067</v>
      </c>
      <c r="AB456" s="112" t="s">
        <v>1066</v>
      </c>
      <c r="AC456" s="112" t="s">
        <v>92</v>
      </c>
      <c r="AD456" s="112" t="s">
        <v>1066</v>
      </c>
      <c r="AE456" s="112" t="s">
        <v>1066</v>
      </c>
      <c r="AF456" s="112" t="s">
        <v>1066</v>
      </c>
      <c r="AG456" s="112" t="s">
        <v>1066</v>
      </c>
      <c r="AH456" s="112" t="s">
        <v>1066</v>
      </c>
      <c r="AI456" s="112" t="s">
        <v>785</v>
      </c>
      <c r="AJ456" s="112">
        <v>8917108</v>
      </c>
      <c r="AK456" s="112" t="s">
        <v>1143</v>
      </c>
      <c r="AL456" s="112">
        <v>643347</v>
      </c>
      <c r="AM456" s="112" t="s">
        <v>1066</v>
      </c>
      <c r="AN456" s="112" t="s">
        <v>1066</v>
      </c>
    </row>
    <row r="457" spans="1:40" ht="55.5" customHeight="1" x14ac:dyDescent="0.25">
      <c r="A457" s="111" t="s">
        <v>2809</v>
      </c>
      <c r="B457" s="112">
        <v>2026</v>
      </c>
      <c r="C457" s="112" t="s">
        <v>2810</v>
      </c>
      <c r="D457" s="113">
        <v>46178.075092592589</v>
      </c>
      <c r="E457" s="112">
        <v>6810117037</v>
      </c>
      <c r="F457" s="112" t="s">
        <v>2453</v>
      </c>
      <c r="G457" s="112">
        <v>3</v>
      </c>
      <c r="H457" s="112">
        <v>7960798037</v>
      </c>
      <c r="I457" s="112" t="s">
        <v>2811</v>
      </c>
      <c r="J457" s="112" t="s">
        <v>1071</v>
      </c>
      <c r="K457" s="112" t="s">
        <v>1145</v>
      </c>
      <c r="L457" s="112" t="s">
        <v>1073</v>
      </c>
      <c r="M457" s="112" t="s">
        <v>478</v>
      </c>
      <c r="N457" s="113">
        <v>46181.075092592589</v>
      </c>
      <c r="O457" s="114">
        <v>19002804162</v>
      </c>
      <c r="P457" s="112">
        <v>40</v>
      </c>
      <c r="Q457" s="112" t="s">
        <v>1131</v>
      </c>
      <c r="R457" s="112" t="s">
        <v>1063</v>
      </c>
      <c r="S457" s="113">
        <v>46192.501354166663</v>
      </c>
      <c r="T457" s="112" t="s">
        <v>2812</v>
      </c>
      <c r="U457" s="112" t="s">
        <v>1065</v>
      </c>
      <c r="V457" s="112" t="s">
        <v>1066</v>
      </c>
      <c r="W457" s="112" t="s">
        <v>1066</v>
      </c>
      <c r="X457" s="112" t="s">
        <v>983</v>
      </c>
      <c r="Y457" s="112" t="s">
        <v>1066</v>
      </c>
      <c r="Z457" s="112" t="s">
        <v>1148</v>
      </c>
      <c r="AA457" s="112" t="s">
        <v>1067</v>
      </c>
      <c r="AB457" s="112" t="s">
        <v>1066</v>
      </c>
      <c r="AC457" s="112" t="s">
        <v>92</v>
      </c>
      <c r="AD457" s="112" t="s">
        <v>1066</v>
      </c>
      <c r="AE457" s="112" t="s">
        <v>1066</v>
      </c>
      <c r="AF457" s="112" t="s">
        <v>1066</v>
      </c>
      <c r="AG457" s="112" t="s">
        <v>1066</v>
      </c>
      <c r="AH457" s="112" t="s">
        <v>1066</v>
      </c>
      <c r="AI457" s="112" t="s">
        <v>785</v>
      </c>
      <c r="AJ457" s="112">
        <v>8756824</v>
      </c>
      <c r="AK457" s="112" t="s">
        <v>1160</v>
      </c>
      <c r="AL457" s="112">
        <v>746267</v>
      </c>
      <c r="AM457" s="112" t="s">
        <v>1066</v>
      </c>
      <c r="AN457" s="112" t="s">
        <v>1066</v>
      </c>
    </row>
    <row r="458" spans="1:40" ht="55.5" customHeight="1" x14ac:dyDescent="0.25">
      <c r="A458" s="111" t="s">
        <v>2813</v>
      </c>
      <c r="B458" s="112">
        <v>2026</v>
      </c>
      <c r="C458" s="112" t="s">
        <v>1089</v>
      </c>
      <c r="D458" s="113">
        <v>46028.453888888886</v>
      </c>
      <c r="E458" s="112">
        <v>7913659027</v>
      </c>
      <c r="F458" s="112" t="s">
        <v>674</v>
      </c>
      <c r="G458" s="112">
        <v>1</v>
      </c>
      <c r="H458" s="112">
        <v>7913659027</v>
      </c>
      <c r="I458" s="112" t="s">
        <v>2814</v>
      </c>
      <c r="J458" s="112" t="s">
        <v>1092</v>
      </c>
      <c r="K458" s="112" t="s">
        <v>1093</v>
      </c>
      <c r="L458" s="112" t="s">
        <v>1061</v>
      </c>
      <c r="M458" s="112" t="s">
        <v>478</v>
      </c>
      <c r="N458" s="113">
        <v>46428.453888888886</v>
      </c>
      <c r="O458" s="114">
        <v>19002295997</v>
      </c>
      <c r="P458" s="112">
        <v>770</v>
      </c>
      <c r="Q458" s="112" t="s">
        <v>1062</v>
      </c>
      <c r="R458" s="112" t="s">
        <v>1063</v>
      </c>
      <c r="S458" s="113">
        <v>46051.433333333334</v>
      </c>
      <c r="T458" s="112" t="s">
        <v>2815</v>
      </c>
      <c r="U458" s="112" t="s">
        <v>1065</v>
      </c>
      <c r="V458" s="112" t="s">
        <v>1066</v>
      </c>
      <c r="W458" s="112" t="s">
        <v>1066</v>
      </c>
      <c r="X458" s="112" t="s">
        <v>1066</v>
      </c>
      <c r="Y458" s="112" t="s">
        <v>1066</v>
      </c>
      <c r="Z458" s="112" t="s">
        <v>1066</v>
      </c>
      <c r="AA458" s="112" t="s">
        <v>1067</v>
      </c>
      <c r="AB458" s="112" t="s">
        <v>1066</v>
      </c>
      <c r="AC458" s="112" t="s">
        <v>92</v>
      </c>
      <c r="AD458" s="112" t="s">
        <v>1066</v>
      </c>
      <c r="AE458" s="112" t="s">
        <v>1066</v>
      </c>
      <c r="AF458" s="112" t="s">
        <v>1066</v>
      </c>
      <c r="AG458" s="112" t="s">
        <v>1066</v>
      </c>
      <c r="AH458" s="112" t="s">
        <v>1066</v>
      </c>
      <c r="AI458" s="112" t="s">
        <v>785</v>
      </c>
      <c r="AJ458" s="112">
        <v>8658591</v>
      </c>
      <c r="AK458" s="112" t="s">
        <v>2081</v>
      </c>
      <c r="AL458" s="112">
        <v>991717</v>
      </c>
      <c r="AM458" s="112" t="s">
        <v>1066</v>
      </c>
      <c r="AN458" s="112" t="s">
        <v>1066</v>
      </c>
    </row>
    <row r="459" spans="1:40" ht="55.5" customHeight="1" x14ac:dyDescent="0.25">
      <c r="A459" s="111" t="s">
        <v>2816</v>
      </c>
      <c r="B459" s="112">
        <v>2026</v>
      </c>
      <c r="C459" s="112" t="s">
        <v>2817</v>
      </c>
      <c r="D459" s="113">
        <v>46152.384641203702</v>
      </c>
      <c r="E459" s="112">
        <v>7925107033</v>
      </c>
      <c r="F459" s="112" t="s">
        <v>1564</v>
      </c>
      <c r="G459" s="112">
        <v>2</v>
      </c>
      <c r="H459" s="112">
        <v>7925107033</v>
      </c>
      <c r="I459" s="112" t="s">
        <v>2818</v>
      </c>
      <c r="J459" s="112" t="s">
        <v>1071</v>
      </c>
      <c r="K459" s="112" t="s">
        <v>2819</v>
      </c>
      <c r="L459" s="112" t="s">
        <v>1073</v>
      </c>
      <c r="M459" s="112" t="s">
        <v>478</v>
      </c>
      <c r="N459" s="113">
        <v>46155.384641203702</v>
      </c>
      <c r="O459" s="114">
        <v>19002213287</v>
      </c>
      <c r="P459" s="112">
        <v>0</v>
      </c>
      <c r="Q459" s="112" t="s">
        <v>1062</v>
      </c>
      <c r="R459" s="112" t="s">
        <v>1075</v>
      </c>
      <c r="S459" s="113">
        <v>46197.663888888892</v>
      </c>
      <c r="T459" s="112" t="s">
        <v>2820</v>
      </c>
      <c r="U459" s="112" t="s">
        <v>1065</v>
      </c>
      <c r="V459" s="112" t="s">
        <v>1066</v>
      </c>
      <c r="W459" s="112" t="s">
        <v>1066</v>
      </c>
      <c r="X459" s="112" t="s">
        <v>2026</v>
      </c>
      <c r="Y459" s="112" t="s">
        <v>1066</v>
      </c>
      <c r="Z459" s="112" t="s">
        <v>1804</v>
      </c>
      <c r="AA459" s="112" t="s">
        <v>1067</v>
      </c>
      <c r="AB459" s="112" t="s">
        <v>1066</v>
      </c>
      <c r="AC459" s="112" t="s">
        <v>92</v>
      </c>
      <c r="AD459" s="112" t="s">
        <v>1066</v>
      </c>
      <c r="AE459" s="112" t="s">
        <v>1066</v>
      </c>
      <c r="AF459" s="112" t="s">
        <v>1066</v>
      </c>
      <c r="AG459" s="112" t="s">
        <v>1066</v>
      </c>
      <c r="AH459" s="112" t="s">
        <v>1066</v>
      </c>
      <c r="AI459" s="112" t="s">
        <v>785</v>
      </c>
      <c r="AJ459" s="112">
        <v>9033118</v>
      </c>
      <c r="AK459" s="112" t="s">
        <v>1566</v>
      </c>
      <c r="AL459" s="112">
        <v>747070</v>
      </c>
      <c r="AM459" s="112" t="s">
        <v>1066</v>
      </c>
      <c r="AN459" s="112" t="s">
        <v>1066</v>
      </c>
    </row>
    <row r="460" spans="1:40" ht="55.5" customHeight="1" x14ac:dyDescent="0.25">
      <c r="A460" s="111" t="s">
        <v>2821</v>
      </c>
      <c r="B460" s="112">
        <v>2026</v>
      </c>
      <c r="C460" s="112" t="s">
        <v>1240</v>
      </c>
      <c r="D460" s="113">
        <v>46183.597349537034</v>
      </c>
      <c r="E460" s="112">
        <v>7834814098</v>
      </c>
      <c r="F460" s="112" t="s">
        <v>2530</v>
      </c>
      <c r="G460" s="112">
        <v>3</v>
      </c>
      <c r="H460" s="112">
        <v>7834814098</v>
      </c>
      <c r="I460" s="112" t="s">
        <v>2822</v>
      </c>
      <c r="J460" s="112" t="s">
        <v>1066</v>
      </c>
      <c r="K460" s="112" t="s">
        <v>1125</v>
      </c>
      <c r="L460" s="112" t="s">
        <v>1061</v>
      </c>
      <c r="M460" s="112" t="s">
        <v>478</v>
      </c>
      <c r="N460" s="113">
        <v>46583.597349537034</v>
      </c>
      <c r="O460" s="114">
        <v>19002607667</v>
      </c>
      <c r="P460" s="112">
        <v>150</v>
      </c>
      <c r="Q460" s="112" t="s">
        <v>1062</v>
      </c>
      <c r="R460" s="112" t="s">
        <v>1063</v>
      </c>
      <c r="S460" s="113">
        <v>46198.729166666664</v>
      </c>
      <c r="T460" s="112" t="s">
        <v>2823</v>
      </c>
      <c r="U460" s="112" t="s">
        <v>1065</v>
      </c>
      <c r="V460" s="112" t="s">
        <v>1066</v>
      </c>
      <c r="W460" s="112" t="s">
        <v>1066</v>
      </c>
      <c r="X460" s="112" t="s">
        <v>1066</v>
      </c>
      <c r="Y460" s="112" t="s">
        <v>1066</v>
      </c>
      <c r="Z460" s="112" t="s">
        <v>1066</v>
      </c>
      <c r="AA460" s="112" t="s">
        <v>1067</v>
      </c>
      <c r="AB460" s="112" t="s">
        <v>1066</v>
      </c>
      <c r="AC460" s="112" t="s">
        <v>92</v>
      </c>
      <c r="AD460" s="112" t="s">
        <v>1066</v>
      </c>
      <c r="AE460" s="112" t="s">
        <v>1066</v>
      </c>
      <c r="AF460" s="112" t="s">
        <v>1066</v>
      </c>
      <c r="AG460" s="112" t="s">
        <v>1066</v>
      </c>
      <c r="AH460" s="112" t="s">
        <v>1066</v>
      </c>
      <c r="AI460" s="112" t="s">
        <v>785</v>
      </c>
      <c r="AJ460" s="112">
        <v>9301777</v>
      </c>
      <c r="AK460" s="112" t="s">
        <v>2532</v>
      </c>
      <c r="AL460" s="112">
        <v>810014</v>
      </c>
      <c r="AM460" s="112" t="s">
        <v>1066</v>
      </c>
      <c r="AN460" s="112" t="s">
        <v>1066</v>
      </c>
    </row>
    <row r="461" spans="1:40" ht="55.5" customHeight="1" x14ac:dyDescent="0.25">
      <c r="A461" s="111" t="s">
        <v>2824</v>
      </c>
      <c r="B461" s="112">
        <v>2026</v>
      </c>
      <c r="C461" s="112" t="s">
        <v>1089</v>
      </c>
      <c r="D461" s="113">
        <v>46028.41065972222</v>
      </c>
      <c r="E461" s="112">
        <v>7900014152</v>
      </c>
      <c r="F461" s="112" t="s">
        <v>52</v>
      </c>
      <c r="G461" s="112">
        <v>3</v>
      </c>
      <c r="H461" s="112">
        <v>7900014152</v>
      </c>
      <c r="I461" s="112" t="s">
        <v>2825</v>
      </c>
      <c r="J461" s="112" t="s">
        <v>1092</v>
      </c>
      <c r="K461" s="112" t="s">
        <v>1093</v>
      </c>
      <c r="L461" s="112" t="s">
        <v>1061</v>
      </c>
      <c r="M461" s="112" t="s">
        <v>478</v>
      </c>
      <c r="N461" s="113">
        <v>46428.41065972222</v>
      </c>
      <c r="O461" s="114">
        <v>19002225753</v>
      </c>
      <c r="P461" s="112">
        <v>769</v>
      </c>
      <c r="Q461" s="112" t="s">
        <v>1062</v>
      </c>
      <c r="R461" s="112" t="s">
        <v>1063</v>
      </c>
      <c r="S461" s="113">
        <v>46044.727071759262</v>
      </c>
      <c r="T461" s="112" t="s">
        <v>2826</v>
      </c>
      <c r="U461" s="112" t="s">
        <v>1065</v>
      </c>
      <c r="V461" s="112" t="s">
        <v>1066</v>
      </c>
      <c r="W461" s="112" t="s">
        <v>1066</v>
      </c>
      <c r="X461" s="112" t="s">
        <v>1066</v>
      </c>
      <c r="Y461" s="112" t="s">
        <v>1066</v>
      </c>
      <c r="Z461" s="112" t="s">
        <v>1066</v>
      </c>
      <c r="AA461" s="112" t="s">
        <v>1067</v>
      </c>
      <c r="AB461" s="112" t="s">
        <v>1066</v>
      </c>
      <c r="AC461" s="112" t="s">
        <v>92</v>
      </c>
      <c r="AD461" s="112" t="s">
        <v>1066</v>
      </c>
      <c r="AE461" s="112" t="s">
        <v>1066</v>
      </c>
      <c r="AF461" s="112" t="s">
        <v>1066</v>
      </c>
      <c r="AG461" s="112" t="s">
        <v>1066</v>
      </c>
      <c r="AH461" s="112" t="s">
        <v>1066</v>
      </c>
      <c r="AI461" s="112" t="s">
        <v>785</v>
      </c>
      <c r="AJ461" s="112">
        <v>8733593</v>
      </c>
      <c r="AK461" s="112" t="s">
        <v>306</v>
      </c>
      <c r="AL461" s="112">
        <v>835132</v>
      </c>
      <c r="AM461" s="112" t="s">
        <v>1066</v>
      </c>
      <c r="AN461" s="112" t="s">
        <v>1066</v>
      </c>
    </row>
    <row r="462" spans="1:40" ht="55.5" customHeight="1" x14ac:dyDescent="0.25">
      <c r="A462" s="111" t="s">
        <v>2827</v>
      </c>
      <c r="B462" s="112">
        <v>2026</v>
      </c>
      <c r="C462" s="112" t="s">
        <v>2828</v>
      </c>
      <c r="D462" s="113">
        <v>46196.201296296298</v>
      </c>
      <c r="E462" s="112">
        <v>7931220060</v>
      </c>
      <c r="F462" s="112" t="s">
        <v>406</v>
      </c>
      <c r="G462" s="112">
        <v>2</v>
      </c>
      <c r="H462" s="112">
        <v>7931220060</v>
      </c>
      <c r="I462" s="112" t="s">
        <v>2829</v>
      </c>
      <c r="J462" s="112" t="s">
        <v>1071</v>
      </c>
      <c r="K462" s="112" t="s">
        <v>2694</v>
      </c>
      <c r="L462" s="112" t="s">
        <v>1073</v>
      </c>
      <c r="M462" s="112" t="s">
        <v>478</v>
      </c>
      <c r="N462" s="113">
        <v>46199.201296296298</v>
      </c>
      <c r="O462" s="114">
        <v>19002260551</v>
      </c>
      <c r="P462" s="112">
        <v>1.4770000000000001</v>
      </c>
      <c r="Q462" s="112" t="s">
        <v>1062</v>
      </c>
      <c r="R462" s="112" t="s">
        <v>1297</v>
      </c>
      <c r="S462" s="113">
        <v>46199.48847222222</v>
      </c>
      <c r="T462" s="112" t="s">
        <v>2830</v>
      </c>
      <c r="U462" s="112" t="s">
        <v>1065</v>
      </c>
      <c r="V462" s="112" t="s">
        <v>1066</v>
      </c>
      <c r="W462" s="112" t="s">
        <v>1066</v>
      </c>
      <c r="X462" s="112" t="s">
        <v>983</v>
      </c>
      <c r="Y462" s="112" t="s">
        <v>1066</v>
      </c>
      <c r="Z462" s="112" t="s">
        <v>2831</v>
      </c>
      <c r="AA462" s="112" t="s">
        <v>1067</v>
      </c>
      <c r="AB462" s="112" t="s">
        <v>1066</v>
      </c>
      <c r="AC462" s="112" t="s">
        <v>92</v>
      </c>
      <c r="AD462" s="112" t="s">
        <v>1066</v>
      </c>
      <c r="AE462" s="112" t="s">
        <v>1066</v>
      </c>
      <c r="AF462" s="112" t="s">
        <v>1066</v>
      </c>
      <c r="AG462" s="112" t="s">
        <v>1066</v>
      </c>
      <c r="AH462" s="112" t="s">
        <v>1066</v>
      </c>
      <c r="AI462" s="112" t="s">
        <v>785</v>
      </c>
      <c r="AJ462" s="112">
        <v>9155021</v>
      </c>
      <c r="AK462" s="112" t="s">
        <v>253</v>
      </c>
      <c r="AL462" s="112">
        <v>783916</v>
      </c>
      <c r="AM462" s="112" t="s">
        <v>1066</v>
      </c>
      <c r="AN462" s="112" t="s">
        <v>1066</v>
      </c>
    </row>
    <row r="463" spans="1:40" ht="55.5" customHeight="1" x14ac:dyDescent="0.25">
      <c r="A463" s="120" t="s">
        <v>2832</v>
      </c>
      <c r="B463" s="121">
        <v>2026</v>
      </c>
      <c r="C463" s="121" t="s">
        <v>2833</v>
      </c>
      <c r="D463" s="122">
        <v>46041.654872685183</v>
      </c>
      <c r="E463" s="121">
        <v>7927396052</v>
      </c>
      <c r="F463" s="121" t="s">
        <v>181</v>
      </c>
      <c r="G463" s="121">
        <v>3</v>
      </c>
      <c r="H463" s="121">
        <v>7927396052</v>
      </c>
      <c r="I463" s="121" t="s">
        <v>2834</v>
      </c>
      <c r="J463" s="121" t="s">
        <v>1071</v>
      </c>
      <c r="K463" s="121" t="s">
        <v>2279</v>
      </c>
      <c r="L463" s="121" t="s">
        <v>1073</v>
      </c>
      <c r="M463" s="121" t="s">
        <v>1116</v>
      </c>
      <c r="N463" s="122">
        <v>46044.654872685183</v>
      </c>
      <c r="O463" s="123">
        <v>19002203189</v>
      </c>
      <c r="P463" s="121">
        <v>0</v>
      </c>
      <c r="Q463" s="121" t="s">
        <v>1062</v>
      </c>
      <c r="R463" s="121" t="s">
        <v>1075</v>
      </c>
      <c r="S463" s="122">
        <v>46083.88559027778</v>
      </c>
      <c r="T463" s="121" t="s">
        <v>1066</v>
      </c>
      <c r="U463" s="121" t="s">
        <v>1066</v>
      </c>
      <c r="V463" s="121" t="s">
        <v>1066</v>
      </c>
      <c r="W463" s="121" t="s">
        <v>1066</v>
      </c>
      <c r="X463" s="121" t="s">
        <v>983</v>
      </c>
      <c r="Y463" s="121" t="s">
        <v>1066</v>
      </c>
      <c r="Z463" s="121" t="s">
        <v>2835</v>
      </c>
      <c r="AA463" s="121" t="s">
        <v>1067</v>
      </c>
      <c r="AB463" s="121" t="s">
        <v>1066</v>
      </c>
      <c r="AC463" s="121" t="s">
        <v>92</v>
      </c>
      <c r="AD463" s="121" t="s">
        <v>1066</v>
      </c>
      <c r="AE463" s="121" t="s">
        <v>1066</v>
      </c>
      <c r="AF463" s="121" t="s">
        <v>1066</v>
      </c>
      <c r="AG463" s="121" t="s">
        <v>1066</v>
      </c>
      <c r="AH463" s="121" t="s">
        <v>1066</v>
      </c>
      <c r="AI463" s="121" t="s">
        <v>785</v>
      </c>
      <c r="AJ463" s="121">
        <v>8723117</v>
      </c>
      <c r="AK463" s="121" t="s">
        <v>112</v>
      </c>
      <c r="AL463" s="121">
        <v>645740</v>
      </c>
      <c r="AM463" s="121" t="s">
        <v>1066</v>
      </c>
      <c r="AN463" s="121" t="s">
        <v>1066</v>
      </c>
    </row>
    <row r="464" spans="1:40" ht="55.5" customHeight="1" x14ac:dyDescent="0.25">
      <c r="A464" s="111" t="s">
        <v>2836</v>
      </c>
      <c r="B464" s="112">
        <v>2026</v>
      </c>
      <c r="C464" s="112" t="s">
        <v>1089</v>
      </c>
      <c r="D464" s="113">
        <v>46028.41065972222</v>
      </c>
      <c r="E464" s="112">
        <v>7919265012</v>
      </c>
      <c r="F464" s="112" t="s">
        <v>314</v>
      </c>
      <c r="G464" s="112">
        <v>2</v>
      </c>
      <c r="H464" s="112">
        <v>7919265012</v>
      </c>
      <c r="I464" s="112" t="s">
        <v>1503</v>
      </c>
      <c r="J464" s="112" t="s">
        <v>1092</v>
      </c>
      <c r="K464" s="112" t="s">
        <v>1093</v>
      </c>
      <c r="L464" s="112" t="s">
        <v>1061</v>
      </c>
      <c r="M464" s="112" t="s">
        <v>478</v>
      </c>
      <c r="N464" s="113">
        <v>46428.41065972222</v>
      </c>
      <c r="O464" s="114">
        <v>19002295991</v>
      </c>
      <c r="P464" s="112">
        <v>789</v>
      </c>
      <c r="Q464" s="112" t="s">
        <v>1062</v>
      </c>
      <c r="R464" s="112" t="s">
        <v>1063</v>
      </c>
      <c r="S464" s="113">
        <v>46063.472916666666</v>
      </c>
      <c r="T464" s="112" t="s">
        <v>2837</v>
      </c>
      <c r="U464" s="112" t="s">
        <v>1065</v>
      </c>
      <c r="V464" s="112" t="s">
        <v>1066</v>
      </c>
      <c r="W464" s="112" t="s">
        <v>1066</v>
      </c>
      <c r="X464" s="112" t="s">
        <v>1066</v>
      </c>
      <c r="Y464" s="112" t="s">
        <v>1066</v>
      </c>
      <c r="Z464" s="112" t="s">
        <v>1066</v>
      </c>
      <c r="AA464" s="112" t="s">
        <v>1067</v>
      </c>
      <c r="AB464" s="112" t="s">
        <v>1066</v>
      </c>
      <c r="AC464" s="112" t="s">
        <v>92</v>
      </c>
      <c r="AD464" s="112" t="s">
        <v>1066</v>
      </c>
      <c r="AE464" s="112" t="s">
        <v>1066</v>
      </c>
      <c r="AF464" s="112" t="s">
        <v>1066</v>
      </c>
      <c r="AG464" s="112" t="s">
        <v>1066</v>
      </c>
      <c r="AH464" s="112" t="s">
        <v>1066</v>
      </c>
      <c r="AI464" s="112" t="s">
        <v>785</v>
      </c>
      <c r="AJ464" s="112">
        <v>8833257</v>
      </c>
      <c r="AK464" s="112" t="s">
        <v>1505</v>
      </c>
      <c r="AL464" s="112">
        <v>680018</v>
      </c>
      <c r="AM464" s="112" t="s">
        <v>1066</v>
      </c>
      <c r="AN464" s="112" t="s">
        <v>1066</v>
      </c>
    </row>
    <row r="465" spans="1:40" ht="55.5" customHeight="1" x14ac:dyDescent="0.25">
      <c r="A465" s="111" t="s">
        <v>2838</v>
      </c>
      <c r="B465" s="112">
        <v>2026</v>
      </c>
      <c r="C465" s="112" t="s">
        <v>1057</v>
      </c>
      <c r="D465" s="113">
        <v>46125.584386574075</v>
      </c>
      <c r="E465" s="112">
        <v>7928242097</v>
      </c>
      <c r="F465" s="112" t="s">
        <v>1574</v>
      </c>
      <c r="G465" s="112">
        <v>3</v>
      </c>
      <c r="H465" s="112">
        <v>7928242097</v>
      </c>
      <c r="I465" s="112" t="s">
        <v>2839</v>
      </c>
      <c r="J465" s="112" t="s">
        <v>1066</v>
      </c>
      <c r="K465" s="112" t="s">
        <v>1125</v>
      </c>
      <c r="L465" s="112" t="s">
        <v>1061</v>
      </c>
      <c r="M465" s="112" t="s">
        <v>478</v>
      </c>
      <c r="N465" s="113">
        <v>46525.584386574075</v>
      </c>
      <c r="O465" s="114">
        <v>19002210311</v>
      </c>
      <c r="P465" s="112">
        <v>123</v>
      </c>
      <c r="Q465" s="112" t="s">
        <v>1062</v>
      </c>
      <c r="R465" s="112" t="s">
        <v>1063</v>
      </c>
      <c r="S465" s="113">
        <v>46161.419120370374</v>
      </c>
      <c r="T465" s="112" t="s">
        <v>2840</v>
      </c>
      <c r="U465" s="112" t="s">
        <v>1065</v>
      </c>
      <c r="V465" s="112" t="s">
        <v>1066</v>
      </c>
      <c r="W465" s="112" t="s">
        <v>1066</v>
      </c>
      <c r="X465" s="112" t="s">
        <v>1066</v>
      </c>
      <c r="Y465" s="112" t="s">
        <v>1066</v>
      </c>
      <c r="Z465" s="112" t="s">
        <v>1066</v>
      </c>
      <c r="AA465" s="112" t="s">
        <v>1067</v>
      </c>
      <c r="AB465" s="112" t="s">
        <v>1066</v>
      </c>
      <c r="AC465" s="112" t="s">
        <v>92</v>
      </c>
      <c r="AD465" s="112" t="s">
        <v>1066</v>
      </c>
      <c r="AE465" s="112" t="s">
        <v>1066</v>
      </c>
      <c r="AF465" s="112" t="s">
        <v>1066</v>
      </c>
      <c r="AG465" s="112" t="s">
        <v>1066</v>
      </c>
      <c r="AH465" s="112" t="s">
        <v>1066</v>
      </c>
      <c r="AI465" s="112" t="s">
        <v>785</v>
      </c>
      <c r="AJ465" s="112">
        <v>8608268</v>
      </c>
      <c r="AK465" s="112" t="s">
        <v>2841</v>
      </c>
      <c r="AL465" s="112">
        <v>685160</v>
      </c>
      <c r="AM465" s="112" t="s">
        <v>1066</v>
      </c>
      <c r="AN465" s="112" t="s">
        <v>1066</v>
      </c>
    </row>
    <row r="466" spans="1:40" ht="55.5" customHeight="1" x14ac:dyDescent="0.25">
      <c r="A466" s="111" t="s">
        <v>665</v>
      </c>
      <c r="B466" s="112">
        <v>2026</v>
      </c>
      <c r="C466" s="112" t="s">
        <v>2842</v>
      </c>
      <c r="D466" s="113">
        <v>45849.444525462961</v>
      </c>
      <c r="E466" s="112">
        <v>3333967116</v>
      </c>
      <c r="F466" s="112" t="s">
        <v>43</v>
      </c>
      <c r="G466" s="112">
        <v>3</v>
      </c>
      <c r="H466" s="112">
        <v>7955520116</v>
      </c>
      <c r="I466" s="112" t="s">
        <v>2843</v>
      </c>
      <c r="J466" s="112" t="s">
        <v>1071</v>
      </c>
      <c r="K466" s="112" t="s">
        <v>1197</v>
      </c>
      <c r="L466" s="112" t="s">
        <v>1073</v>
      </c>
      <c r="M466" s="112" t="s">
        <v>478</v>
      </c>
      <c r="N466" s="113">
        <v>46205.655428240738</v>
      </c>
      <c r="O466" s="114">
        <v>19002744575</v>
      </c>
      <c r="P466" s="112">
        <v>0</v>
      </c>
      <c r="Q466" s="112" t="s">
        <v>1131</v>
      </c>
      <c r="R466" s="112" t="s">
        <v>1075</v>
      </c>
      <c r="S466" s="113">
        <v>46211.332685185182</v>
      </c>
      <c r="T466" s="112" t="s">
        <v>2844</v>
      </c>
      <c r="U466" s="112" t="s">
        <v>1065</v>
      </c>
      <c r="V466" s="112" t="s">
        <v>1066</v>
      </c>
      <c r="W466" s="112" t="s">
        <v>1066</v>
      </c>
      <c r="X466" s="112" t="s">
        <v>1066</v>
      </c>
      <c r="Y466" s="112" t="s">
        <v>1066</v>
      </c>
      <c r="Z466" s="112" t="s">
        <v>1066</v>
      </c>
      <c r="AA466" s="112" t="s">
        <v>1067</v>
      </c>
      <c r="AB466" s="112" t="s">
        <v>1066</v>
      </c>
      <c r="AC466" s="112" t="s">
        <v>92</v>
      </c>
      <c r="AD466" s="112" t="s">
        <v>1066</v>
      </c>
      <c r="AE466" s="112" t="s">
        <v>1066</v>
      </c>
      <c r="AF466" s="112" t="s">
        <v>1066</v>
      </c>
      <c r="AG466" s="112" t="s">
        <v>1066</v>
      </c>
      <c r="AH466" s="112" t="s">
        <v>2845</v>
      </c>
      <c r="AI466" s="112" t="s">
        <v>785</v>
      </c>
      <c r="AJ466" s="112">
        <v>8713185</v>
      </c>
      <c r="AK466" s="112" t="s">
        <v>215</v>
      </c>
      <c r="AL466" s="112">
        <v>854311</v>
      </c>
      <c r="AM466" s="112" t="s">
        <v>1066</v>
      </c>
      <c r="AN466" s="112" t="s">
        <v>1066</v>
      </c>
    </row>
    <row r="467" spans="1:40" ht="55.5" customHeight="1" x14ac:dyDescent="0.25">
      <c r="A467" s="124" t="s">
        <v>382</v>
      </c>
      <c r="B467" s="125">
        <v>2026</v>
      </c>
      <c r="C467" s="125" t="s">
        <v>384</v>
      </c>
      <c r="D467" s="126">
        <v>46243.505856481483</v>
      </c>
      <c r="E467" s="125">
        <v>8813381004</v>
      </c>
      <c r="F467" s="125" t="s">
        <v>383</v>
      </c>
      <c r="G467" s="125">
        <v>2</v>
      </c>
      <c r="H467" s="125">
        <v>7909594004</v>
      </c>
      <c r="I467" s="125" t="s">
        <v>2846</v>
      </c>
      <c r="J467" s="125" t="s">
        <v>1071</v>
      </c>
      <c r="K467" s="125" t="s">
        <v>1130</v>
      </c>
      <c r="L467" s="125" t="s">
        <v>1073</v>
      </c>
      <c r="M467" s="125" t="s">
        <v>510</v>
      </c>
      <c r="N467" s="126">
        <v>46246.505856481483</v>
      </c>
      <c r="O467" s="127">
        <v>19000009592</v>
      </c>
      <c r="P467" s="125">
        <v>2.7730000000000001</v>
      </c>
      <c r="Q467" s="125" t="s">
        <v>1131</v>
      </c>
      <c r="R467" s="125" t="s">
        <v>1075</v>
      </c>
      <c r="S467" s="125" t="s">
        <v>1066</v>
      </c>
      <c r="T467" s="125" t="s">
        <v>2847</v>
      </c>
      <c r="U467" s="125" t="s">
        <v>1559</v>
      </c>
      <c r="V467" s="125" t="s">
        <v>1066</v>
      </c>
      <c r="W467" s="125" t="s">
        <v>1066</v>
      </c>
      <c r="X467" s="125" t="s">
        <v>1394</v>
      </c>
      <c r="Y467" s="125" t="s">
        <v>1066</v>
      </c>
      <c r="Z467" s="125" t="s">
        <v>1133</v>
      </c>
      <c r="AA467" s="125" t="s">
        <v>1067</v>
      </c>
      <c r="AB467" s="125" t="s">
        <v>1066</v>
      </c>
      <c r="AC467" s="125" t="s">
        <v>92</v>
      </c>
      <c r="AD467" s="125" t="s">
        <v>1142</v>
      </c>
      <c r="AE467" s="125" t="s">
        <v>1066</v>
      </c>
      <c r="AF467" s="125" t="s">
        <v>1066</v>
      </c>
      <c r="AG467" s="125" t="s">
        <v>1066</v>
      </c>
      <c r="AH467" s="125" t="s">
        <v>1066</v>
      </c>
      <c r="AI467" s="125" t="s">
        <v>785</v>
      </c>
      <c r="AJ467" s="125">
        <v>9207527</v>
      </c>
      <c r="AK467" s="125" t="s">
        <v>69</v>
      </c>
      <c r="AL467" s="125">
        <v>810163</v>
      </c>
      <c r="AM467" s="125" t="s">
        <v>1066</v>
      </c>
      <c r="AN467" s="125" t="s">
        <v>1066</v>
      </c>
    </row>
    <row r="468" spans="1:40" ht="55.5" customHeight="1" x14ac:dyDescent="0.25">
      <c r="A468" s="124" t="s">
        <v>2848</v>
      </c>
      <c r="B468" s="125">
        <v>2026</v>
      </c>
      <c r="C468" s="125" t="s">
        <v>2849</v>
      </c>
      <c r="D468" s="126">
        <v>46254.355497685188</v>
      </c>
      <c r="E468" s="125">
        <v>9004972271</v>
      </c>
      <c r="F468" s="125" t="s">
        <v>2154</v>
      </c>
      <c r="G468" s="125">
        <v>3</v>
      </c>
      <c r="H468" s="125">
        <v>7922502271</v>
      </c>
      <c r="I468" s="125" t="s">
        <v>2850</v>
      </c>
      <c r="J468" s="125" t="s">
        <v>1157</v>
      </c>
      <c r="K468" s="125" t="s">
        <v>1158</v>
      </c>
      <c r="L468" s="125" t="s">
        <v>1084</v>
      </c>
      <c r="M468" s="125" t="s">
        <v>510</v>
      </c>
      <c r="N468" s="126">
        <v>46314.355497685188</v>
      </c>
      <c r="O468" s="127">
        <v>19001234671</v>
      </c>
      <c r="P468" s="125">
        <v>606</v>
      </c>
      <c r="Q468" s="125" t="s">
        <v>1131</v>
      </c>
      <c r="R468" s="125" t="s">
        <v>1085</v>
      </c>
      <c r="S468" s="125" t="s">
        <v>1066</v>
      </c>
      <c r="T468" s="125" t="s">
        <v>1066</v>
      </c>
      <c r="U468" s="125" t="s">
        <v>1066</v>
      </c>
      <c r="V468" s="125" t="s">
        <v>1066</v>
      </c>
      <c r="W468" s="125" t="s">
        <v>1066</v>
      </c>
      <c r="X468" s="125" t="s">
        <v>1117</v>
      </c>
      <c r="Y468" s="125" t="s">
        <v>1066</v>
      </c>
      <c r="Z468" s="125" t="s">
        <v>1148</v>
      </c>
      <c r="AA468" s="125" t="s">
        <v>1067</v>
      </c>
      <c r="AB468" s="125" t="s">
        <v>1066</v>
      </c>
      <c r="AC468" s="125" t="s">
        <v>92</v>
      </c>
      <c r="AD468" s="125" t="s">
        <v>1142</v>
      </c>
      <c r="AE468" s="125" t="s">
        <v>1066</v>
      </c>
      <c r="AF468" s="125" t="s">
        <v>1066</v>
      </c>
      <c r="AG468" s="125" t="s">
        <v>1066</v>
      </c>
      <c r="AH468" s="125" t="s">
        <v>1066</v>
      </c>
      <c r="AI468" s="125" t="s">
        <v>785</v>
      </c>
      <c r="AJ468" s="125">
        <v>8867406</v>
      </c>
      <c r="AK468" s="125" t="s">
        <v>50</v>
      </c>
      <c r="AL468" s="125">
        <v>778169</v>
      </c>
      <c r="AM468" s="125" t="s">
        <v>1066</v>
      </c>
      <c r="AN468" s="125" t="s">
        <v>1066</v>
      </c>
    </row>
    <row r="469" spans="1:40" ht="55.5" customHeight="1" x14ac:dyDescent="0.25">
      <c r="A469" s="111" t="s">
        <v>2851</v>
      </c>
      <c r="B469" s="112">
        <v>2026</v>
      </c>
      <c r="C469" s="112" t="s">
        <v>1089</v>
      </c>
      <c r="D469" s="113">
        <v>46028.41065972222</v>
      </c>
      <c r="E469" s="112">
        <v>7900367152</v>
      </c>
      <c r="F469" s="112" t="s">
        <v>52</v>
      </c>
      <c r="G469" s="112">
        <v>3</v>
      </c>
      <c r="H469" s="112">
        <v>7900367152</v>
      </c>
      <c r="I469" s="112" t="s">
        <v>2852</v>
      </c>
      <c r="J469" s="112" t="s">
        <v>1092</v>
      </c>
      <c r="K469" s="112" t="s">
        <v>1093</v>
      </c>
      <c r="L469" s="112" t="s">
        <v>1061</v>
      </c>
      <c r="M469" s="112" t="s">
        <v>478</v>
      </c>
      <c r="N469" s="113">
        <v>46428.41065972222</v>
      </c>
      <c r="O469" s="114">
        <v>19002204744</v>
      </c>
      <c r="P469" s="112">
        <v>176</v>
      </c>
      <c r="Q469" s="112" t="s">
        <v>1062</v>
      </c>
      <c r="R469" s="112" t="s">
        <v>1063</v>
      </c>
      <c r="S469" s="113">
        <v>46044.441678240742</v>
      </c>
      <c r="T469" s="112" t="s">
        <v>2853</v>
      </c>
      <c r="U469" s="112" t="s">
        <v>1065</v>
      </c>
      <c r="V469" s="112" t="s">
        <v>1066</v>
      </c>
      <c r="W469" s="112" t="s">
        <v>1066</v>
      </c>
      <c r="X469" s="112" t="s">
        <v>1066</v>
      </c>
      <c r="Y469" s="112" t="s">
        <v>1066</v>
      </c>
      <c r="Z469" s="112" t="s">
        <v>1066</v>
      </c>
      <c r="AA469" s="112" t="s">
        <v>1067</v>
      </c>
      <c r="AB469" s="112" t="s">
        <v>1066</v>
      </c>
      <c r="AC469" s="112" t="s">
        <v>92</v>
      </c>
      <c r="AD469" s="112" t="s">
        <v>1066</v>
      </c>
      <c r="AE469" s="112" t="s">
        <v>1066</v>
      </c>
      <c r="AF469" s="112" t="s">
        <v>1066</v>
      </c>
      <c r="AG469" s="112" t="s">
        <v>1066</v>
      </c>
      <c r="AH469" s="112" t="s">
        <v>1066</v>
      </c>
      <c r="AI469" s="112" t="s">
        <v>785</v>
      </c>
      <c r="AJ469" s="112">
        <v>8732075</v>
      </c>
      <c r="AK469" s="112" t="s">
        <v>306</v>
      </c>
      <c r="AL469" s="112">
        <v>814656</v>
      </c>
      <c r="AM469" s="112" t="s">
        <v>1066</v>
      </c>
      <c r="AN469" s="112" t="s">
        <v>1066</v>
      </c>
    </row>
    <row r="470" spans="1:40" ht="55.5" customHeight="1" x14ac:dyDescent="0.25">
      <c r="A470" s="111" t="s">
        <v>2854</v>
      </c>
      <c r="B470" s="112">
        <v>2026</v>
      </c>
      <c r="C470" s="112" t="s">
        <v>2855</v>
      </c>
      <c r="D470" s="113">
        <v>46031.660682870373</v>
      </c>
      <c r="E470" s="112" t="s">
        <v>1066</v>
      </c>
      <c r="F470" s="112" t="s">
        <v>1792</v>
      </c>
      <c r="G470" s="112" t="s">
        <v>1066</v>
      </c>
      <c r="H470" s="112" t="s">
        <v>1066</v>
      </c>
      <c r="I470" s="112" t="s">
        <v>1793</v>
      </c>
      <c r="J470" s="112" t="s">
        <v>1092</v>
      </c>
      <c r="K470" s="112" t="s">
        <v>1179</v>
      </c>
      <c r="L470" s="112" t="s">
        <v>1061</v>
      </c>
      <c r="M470" s="112" t="s">
        <v>478</v>
      </c>
      <c r="N470" s="113">
        <v>46431.660682870373</v>
      </c>
      <c r="O470" s="114">
        <v>19001297210</v>
      </c>
      <c r="P470" s="112">
        <v>0</v>
      </c>
      <c r="Q470" s="112" t="s">
        <v>1794</v>
      </c>
      <c r="R470" s="112" t="s">
        <v>1063</v>
      </c>
      <c r="S470" s="113">
        <v>46190.729328703703</v>
      </c>
      <c r="T470" s="112" t="s">
        <v>2856</v>
      </c>
      <c r="U470" s="112" t="s">
        <v>1065</v>
      </c>
      <c r="V470" s="112" t="s">
        <v>1066</v>
      </c>
      <c r="W470" s="112" t="s">
        <v>1066</v>
      </c>
      <c r="X470" s="112" t="s">
        <v>1066</v>
      </c>
      <c r="Y470" s="112" t="s">
        <v>1066</v>
      </c>
      <c r="Z470" s="112" t="s">
        <v>1066</v>
      </c>
      <c r="AA470" s="112" t="s">
        <v>1067</v>
      </c>
      <c r="AB470" s="112" t="s">
        <v>1066</v>
      </c>
      <c r="AC470" s="112" t="s">
        <v>92</v>
      </c>
      <c r="AD470" s="112" t="s">
        <v>1066</v>
      </c>
      <c r="AE470" s="112" t="s">
        <v>1066</v>
      </c>
      <c r="AF470" s="112" t="s">
        <v>1066</v>
      </c>
      <c r="AG470" s="112" t="s">
        <v>1066</v>
      </c>
      <c r="AH470" s="112" t="s">
        <v>1066</v>
      </c>
      <c r="AI470" s="112" t="s">
        <v>785</v>
      </c>
      <c r="AJ470" s="112" t="s">
        <v>1066</v>
      </c>
      <c r="AK470" s="112" t="s">
        <v>1066</v>
      </c>
      <c r="AL470" s="112" t="s">
        <v>1066</v>
      </c>
      <c r="AM470" s="112" t="s">
        <v>1066</v>
      </c>
      <c r="AN470" s="112" t="s">
        <v>1066</v>
      </c>
    </row>
    <row r="471" spans="1:40" ht="55.5" customHeight="1" x14ac:dyDescent="0.25">
      <c r="A471" s="111" t="s">
        <v>2857</v>
      </c>
      <c r="B471" s="112">
        <v>2026</v>
      </c>
      <c r="C471" s="112" t="s">
        <v>1057</v>
      </c>
      <c r="D471" s="113">
        <v>46125.584386574075</v>
      </c>
      <c r="E471" s="112">
        <v>7927396052</v>
      </c>
      <c r="F471" s="112" t="s">
        <v>181</v>
      </c>
      <c r="G471" s="112">
        <v>3</v>
      </c>
      <c r="H471" s="112">
        <v>7927396052</v>
      </c>
      <c r="I471" s="112" t="s">
        <v>2834</v>
      </c>
      <c r="J471" s="112" t="s">
        <v>1066</v>
      </c>
      <c r="K471" s="112" t="s">
        <v>1125</v>
      </c>
      <c r="L471" s="112" t="s">
        <v>1061</v>
      </c>
      <c r="M471" s="112" t="s">
        <v>478</v>
      </c>
      <c r="N471" s="113">
        <v>46525.584386574075</v>
      </c>
      <c r="O471" s="114">
        <v>19002203189</v>
      </c>
      <c r="P471" s="112">
        <v>0</v>
      </c>
      <c r="Q471" s="112" t="s">
        <v>1062</v>
      </c>
      <c r="R471" s="112" t="s">
        <v>1063</v>
      </c>
      <c r="S471" s="113">
        <v>46247.728692129633</v>
      </c>
      <c r="T471" s="112" t="s">
        <v>2858</v>
      </c>
      <c r="U471" s="112" t="s">
        <v>1065</v>
      </c>
      <c r="V471" s="112" t="s">
        <v>1066</v>
      </c>
      <c r="W471" s="112" t="s">
        <v>1066</v>
      </c>
      <c r="X471" s="112" t="s">
        <v>1066</v>
      </c>
      <c r="Y471" s="112" t="s">
        <v>1066</v>
      </c>
      <c r="Z471" s="112" t="s">
        <v>1066</v>
      </c>
      <c r="AA471" s="112" t="s">
        <v>1067</v>
      </c>
      <c r="AB471" s="112" t="s">
        <v>1066</v>
      </c>
      <c r="AC471" s="112" t="s">
        <v>92</v>
      </c>
      <c r="AD471" s="112" t="s">
        <v>1066</v>
      </c>
      <c r="AE471" s="112" t="s">
        <v>1066</v>
      </c>
      <c r="AF471" s="112" t="s">
        <v>1066</v>
      </c>
      <c r="AG471" s="112" t="s">
        <v>1066</v>
      </c>
      <c r="AH471" s="112" t="s">
        <v>1066</v>
      </c>
      <c r="AI471" s="112" t="s">
        <v>785</v>
      </c>
      <c r="AJ471" s="112">
        <v>8723117</v>
      </c>
      <c r="AK471" s="112" t="s">
        <v>112</v>
      </c>
      <c r="AL471" s="112">
        <v>645740</v>
      </c>
      <c r="AM471" s="112" t="s">
        <v>1066</v>
      </c>
      <c r="AN471" s="112" t="s">
        <v>1066</v>
      </c>
    </row>
    <row r="472" spans="1:40" ht="55.5" customHeight="1" x14ac:dyDescent="0.25">
      <c r="A472" s="115" t="s">
        <v>2859</v>
      </c>
      <c r="B472" s="116">
        <v>2026</v>
      </c>
      <c r="C472" s="116" t="s">
        <v>2860</v>
      </c>
      <c r="D472" s="118">
        <v>46169.961527777778</v>
      </c>
      <c r="E472" s="116">
        <v>310098001</v>
      </c>
      <c r="F472" s="116" t="s">
        <v>2024</v>
      </c>
      <c r="G472" s="116">
        <v>3</v>
      </c>
      <c r="H472" s="116">
        <v>5863887001</v>
      </c>
      <c r="I472" s="116" t="s">
        <v>2861</v>
      </c>
      <c r="J472" s="116" t="s">
        <v>1071</v>
      </c>
      <c r="K472" s="116" t="s">
        <v>1072</v>
      </c>
      <c r="L472" s="116" t="s">
        <v>1707</v>
      </c>
      <c r="M472" s="116" t="s">
        <v>588</v>
      </c>
      <c r="N472" s="118">
        <v>46349.965289351851</v>
      </c>
      <c r="O472" s="119">
        <v>19002819635</v>
      </c>
      <c r="P472" s="116">
        <v>35</v>
      </c>
      <c r="Q472" s="116" t="s">
        <v>1074</v>
      </c>
      <c r="R472" s="116" t="s">
        <v>1198</v>
      </c>
      <c r="S472" s="116" t="s">
        <v>1066</v>
      </c>
      <c r="T472" s="116" t="s">
        <v>1066</v>
      </c>
      <c r="U472" s="116" t="s">
        <v>1066</v>
      </c>
      <c r="V472" s="116" t="s">
        <v>1066</v>
      </c>
      <c r="W472" s="116" t="s">
        <v>1066</v>
      </c>
      <c r="X472" s="116" t="s">
        <v>1726</v>
      </c>
      <c r="Y472" s="116" t="s">
        <v>1066</v>
      </c>
      <c r="Z472" s="116" t="s">
        <v>1078</v>
      </c>
      <c r="AA472" s="116" t="s">
        <v>1067</v>
      </c>
      <c r="AB472" s="116" t="s">
        <v>1066</v>
      </c>
      <c r="AC472" s="116" t="s">
        <v>92</v>
      </c>
      <c r="AD472" s="116" t="s">
        <v>1066</v>
      </c>
      <c r="AE472" s="116" t="s">
        <v>1066</v>
      </c>
      <c r="AF472" s="116" t="s">
        <v>1066</v>
      </c>
      <c r="AG472" s="116" t="s">
        <v>1066</v>
      </c>
      <c r="AH472" s="116" t="s">
        <v>1066</v>
      </c>
      <c r="AI472" s="116" t="s">
        <v>785</v>
      </c>
      <c r="AJ472" s="116">
        <v>8850006</v>
      </c>
      <c r="AK472" s="116" t="s">
        <v>50</v>
      </c>
      <c r="AL472" s="116">
        <v>771817</v>
      </c>
      <c r="AM472" s="116" t="s">
        <v>1066</v>
      </c>
      <c r="AN472" s="116" t="s">
        <v>1066</v>
      </c>
    </row>
    <row r="473" spans="1:40" ht="55.5" customHeight="1" x14ac:dyDescent="0.25">
      <c r="A473" s="115" t="s">
        <v>2862</v>
      </c>
      <c r="B473" s="116">
        <v>2026</v>
      </c>
      <c r="C473" s="116" t="s">
        <v>2863</v>
      </c>
      <c r="D473" s="118">
        <v>45984.908599537041</v>
      </c>
      <c r="E473" s="116">
        <v>8800157070</v>
      </c>
      <c r="F473" s="116" t="s">
        <v>418</v>
      </c>
      <c r="G473" s="116">
        <v>3</v>
      </c>
      <c r="H473" s="116">
        <v>7947203070</v>
      </c>
      <c r="I473" s="116" t="s">
        <v>2864</v>
      </c>
      <c r="J473" s="116" t="s">
        <v>1071</v>
      </c>
      <c r="K473" s="116" t="s">
        <v>1580</v>
      </c>
      <c r="L473" s="116" t="s">
        <v>1073</v>
      </c>
      <c r="M473" s="116" t="s">
        <v>588</v>
      </c>
      <c r="N473" s="118">
        <v>46214.425625000003</v>
      </c>
      <c r="O473" s="119">
        <v>19002641084</v>
      </c>
      <c r="P473" s="116">
        <v>1.776</v>
      </c>
      <c r="Q473" s="116" t="s">
        <v>1131</v>
      </c>
      <c r="R473" s="116" t="s">
        <v>1075</v>
      </c>
      <c r="S473" s="116" t="s">
        <v>1066</v>
      </c>
      <c r="T473" s="116" t="s">
        <v>1066</v>
      </c>
      <c r="U473" s="116" t="s">
        <v>1066</v>
      </c>
      <c r="V473" s="116" t="s">
        <v>1066</v>
      </c>
      <c r="W473" s="116" t="s">
        <v>1066</v>
      </c>
      <c r="X473" s="116" t="s">
        <v>983</v>
      </c>
      <c r="Y473" s="116" t="s">
        <v>1066</v>
      </c>
      <c r="Z473" s="116" t="s">
        <v>1148</v>
      </c>
      <c r="AA473" s="116" t="s">
        <v>1067</v>
      </c>
      <c r="AB473" s="116" t="s">
        <v>1066</v>
      </c>
      <c r="AC473" s="116" t="s">
        <v>92</v>
      </c>
      <c r="AD473" s="116" t="s">
        <v>1066</v>
      </c>
      <c r="AE473" s="116" t="s">
        <v>1066</v>
      </c>
      <c r="AF473" s="116" t="s">
        <v>1066</v>
      </c>
      <c r="AG473" s="116" t="s">
        <v>1066</v>
      </c>
      <c r="AH473" s="116" t="s">
        <v>2865</v>
      </c>
      <c r="AI473" s="116" t="s">
        <v>785</v>
      </c>
      <c r="AJ473" s="116">
        <v>8950905</v>
      </c>
      <c r="AK473" s="116" t="s">
        <v>87</v>
      </c>
      <c r="AL473" s="116">
        <v>851948</v>
      </c>
      <c r="AM473" s="116" t="s">
        <v>1066</v>
      </c>
      <c r="AN473" s="116" t="s">
        <v>1066</v>
      </c>
    </row>
    <row r="474" spans="1:40" ht="55.5" customHeight="1" x14ac:dyDescent="0.25">
      <c r="A474" s="124" t="s">
        <v>425</v>
      </c>
      <c r="B474" s="125">
        <v>2026</v>
      </c>
      <c r="C474" s="125" t="s">
        <v>2866</v>
      </c>
      <c r="D474" s="126">
        <v>46247.556990740741</v>
      </c>
      <c r="E474" s="125">
        <v>9002702257</v>
      </c>
      <c r="F474" s="125" t="s">
        <v>136</v>
      </c>
      <c r="G474" s="125">
        <v>3</v>
      </c>
      <c r="H474" s="125">
        <v>7902702257</v>
      </c>
      <c r="I474" s="125" t="s">
        <v>2867</v>
      </c>
      <c r="J474" s="125" t="s">
        <v>1071</v>
      </c>
      <c r="K474" s="125" t="s">
        <v>1261</v>
      </c>
      <c r="L474" s="125" t="s">
        <v>1073</v>
      </c>
      <c r="M474" s="125" t="s">
        <v>510</v>
      </c>
      <c r="N474" s="126">
        <v>46250.556990740741</v>
      </c>
      <c r="O474" s="127">
        <v>19001231622</v>
      </c>
      <c r="P474" s="125">
        <v>690</v>
      </c>
      <c r="Q474" s="125" t="s">
        <v>1131</v>
      </c>
      <c r="R474" s="125" t="s">
        <v>1075</v>
      </c>
      <c r="S474" s="125" t="s">
        <v>1066</v>
      </c>
      <c r="T474" s="125" t="s">
        <v>1066</v>
      </c>
      <c r="U474" s="125" t="s">
        <v>1066</v>
      </c>
      <c r="V474" s="125" t="s">
        <v>1066</v>
      </c>
      <c r="W474" s="125" t="s">
        <v>1066</v>
      </c>
      <c r="X474" s="125" t="s">
        <v>1117</v>
      </c>
      <c r="Y474" s="125" t="s">
        <v>1066</v>
      </c>
      <c r="Z474" s="125" t="s">
        <v>1148</v>
      </c>
      <c r="AA474" s="125" t="s">
        <v>1067</v>
      </c>
      <c r="AB474" s="125" t="s">
        <v>1066</v>
      </c>
      <c r="AC474" s="125" t="s">
        <v>92</v>
      </c>
      <c r="AD474" s="125" t="s">
        <v>1142</v>
      </c>
      <c r="AE474" s="125" t="s">
        <v>1066</v>
      </c>
      <c r="AF474" s="125" t="s">
        <v>1066</v>
      </c>
      <c r="AG474" s="125" t="s">
        <v>1066</v>
      </c>
      <c r="AH474" s="125" t="s">
        <v>1066</v>
      </c>
      <c r="AI474" s="125" t="s">
        <v>785</v>
      </c>
      <c r="AJ474" s="125">
        <v>8873862</v>
      </c>
      <c r="AK474" s="125" t="s">
        <v>426</v>
      </c>
      <c r="AL474" s="125">
        <v>977733</v>
      </c>
      <c r="AM474" s="125" t="s">
        <v>1066</v>
      </c>
      <c r="AN474" s="125" t="s">
        <v>1066</v>
      </c>
    </row>
    <row r="475" spans="1:40" ht="55.5" customHeight="1" x14ac:dyDescent="0.25">
      <c r="A475" s="111" t="s">
        <v>2868</v>
      </c>
      <c r="B475" s="112">
        <v>2026</v>
      </c>
      <c r="C475" s="112" t="s">
        <v>1089</v>
      </c>
      <c r="D475" s="113">
        <v>46028.41065972222</v>
      </c>
      <c r="E475" s="112">
        <v>7900651085</v>
      </c>
      <c r="F475" s="112" t="s">
        <v>153</v>
      </c>
      <c r="G475" s="112">
        <v>2</v>
      </c>
      <c r="H475" s="112">
        <v>7900651085</v>
      </c>
      <c r="I475" s="112" t="s">
        <v>2869</v>
      </c>
      <c r="J475" s="112" t="s">
        <v>1092</v>
      </c>
      <c r="K475" s="112" t="s">
        <v>1093</v>
      </c>
      <c r="L475" s="112" t="s">
        <v>1061</v>
      </c>
      <c r="M475" s="112" t="s">
        <v>478</v>
      </c>
      <c r="N475" s="113">
        <v>46428.41065972222</v>
      </c>
      <c r="O475" s="114">
        <v>19002259110</v>
      </c>
      <c r="P475" s="112">
        <v>163</v>
      </c>
      <c r="Q475" s="112" t="s">
        <v>1062</v>
      </c>
      <c r="R475" s="112" t="s">
        <v>1063</v>
      </c>
      <c r="S475" s="113">
        <v>46183.353703703702</v>
      </c>
      <c r="T475" s="112" t="s">
        <v>2870</v>
      </c>
      <c r="U475" s="112" t="s">
        <v>1065</v>
      </c>
      <c r="V475" s="112" t="s">
        <v>1066</v>
      </c>
      <c r="W475" s="112" t="s">
        <v>1066</v>
      </c>
      <c r="X475" s="112" t="s">
        <v>1066</v>
      </c>
      <c r="Y475" s="112" t="s">
        <v>1066</v>
      </c>
      <c r="Z475" s="112" t="s">
        <v>1066</v>
      </c>
      <c r="AA475" s="112" t="s">
        <v>1067</v>
      </c>
      <c r="AB475" s="112" t="s">
        <v>1066</v>
      </c>
      <c r="AC475" s="112" t="s">
        <v>92</v>
      </c>
      <c r="AD475" s="112" t="s">
        <v>1066</v>
      </c>
      <c r="AE475" s="112" t="s">
        <v>1066</v>
      </c>
      <c r="AF475" s="112" t="s">
        <v>1066</v>
      </c>
      <c r="AG475" s="112" t="s">
        <v>1066</v>
      </c>
      <c r="AH475" s="112" t="s">
        <v>1066</v>
      </c>
      <c r="AI475" s="112" t="s">
        <v>785</v>
      </c>
      <c r="AJ475" s="112">
        <v>8898258</v>
      </c>
      <c r="AK475" s="112" t="s">
        <v>579</v>
      </c>
      <c r="AL475" s="112">
        <v>714341</v>
      </c>
      <c r="AM475" s="112" t="s">
        <v>1066</v>
      </c>
      <c r="AN475" s="112" t="s">
        <v>1066</v>
      </c>
    </row>
    <row r="476" spans="1:40" ht="55.5" customHeight="1" x14ac:dyDescent="0.25">
      <c r="A476" s="111" t="s">
        <v>2871</v>
      </c>
      <c r="B476" s="112">
        <v>2026</v>
      </c>
      <c r="C476" s="112" t="s">
        <v>2872</v>
      </c>
      <c r="D476" s="113">
        <v>46082.005023148151</v>
      </c>
      <c r="E476" s="112">
        <v>9000078007</v>
      </c>
      <c r="F476" s="112" t="s">
        <v>2873</v>
      </c>
      <c r="G476" s="112">
        <v>2</v>
      </c>
      <c r="H476" s="112">
        <v>7925325007</v>
      </c>
      <c r="I476" s="112" t="s">
        <v>2874</v>
      </c>
      <c r="J476" s="112" t="s">
        <v>1071</v>
      </c>
      <c r="K476" s="112" t="s">
        <v>1282</v>
      </c>
      <c r="L476" s="112" t="s">
        <v>1073</v>
      </c>
      <c r="M476" s="112" t="s">
        <v>478</v>
      </c>
      <c r="N476" s="113">
        <v>46085.005023148151</v>
      </c>
      <c r="O476" s="114">
        <v>19001235572</v>
      </c>
      <c r="P476" s="112">
        <v>0</v>
      </c>
      <c r="Q476" s="112" t="s">
        <v>1131</v>
      </c>
      <c r="R476" s="112" t="s">
        <v>1297</v>
      </c>
      <c r="S476" s="113">
        <v>46127.74722222222</v>
      </c>
      <c r="T476" s="112" t="s">
        <v>2875</v>
      </c>
      <c r="U476" s="112" t="s">
        <v>1065</v>
      </c>
      <c r="V476" s="112" t="s">
        <v>1066</v>
      </c>
      <c r="W476" s="112" t="s">
        <v>1066</v>
      </c>
      <c r="X476" s="112" t="s">
        <v>983</v>
      </c>
      <c r="Y476" s="112" t="s">
        <v>1066</v>
      </c>
      <c r="Z476" s="112" t="s">
        <v>1078</v>
      </c>
      <c r="AA476" s="112" t="s">
        <v>1067</v>
      </c>
      <c r="AB476" s="112" t="s">
        <v>1066</v>
      </c>
      <c r="AC476" s="112" t="s">
        <v>92</v>
      </c>
      <c r="AD476" s="112" t="s">
        <v>1142</v>
      </c>
      <c r="AE476" s="112" t="s">
        <v>1066</v>
      </c>
      <c r="AF476" s="112" t="s">
        <v>1066</v>
      </c>
      <c r="AG476" s="112" t="s">
        <v>1066</v>
      </c>
      <c r="AH476" s="112" t="s">
        <v>1066</v>
      </c>
      <c r="AI476" s="112" t="s">
        <v>785</v>
      </c>
      <c r="AJ476" s="112">
        <v>8941753</v>
      </c>
      <c r="AK476" s="112" t="s">
        <v>100</v>
      </c>
      <c r="AL476" s="112">
        <v>785549</v>
      </c>
      <c r="AM476" s="112" t="s">
        <v>1066</v>
      </c>
      <c r="AN476" s="112" t="s">
        <v>1066</v>
      </c>
    </row>
    <row r="477" spans="1:40" ht="55.5" customHeight="1" x14ac:dyDescent="0.25">
      <c r="A477" s="124" t="s">
        <v>252</v>
      </c>
      <c r="B477" s="125">
        <v>2026</v>
      </c>
      <c r="C477" s="125" t="s">
        <v>2876</v>
      </c>
      <c r="D477" s="126">
        <v>46246.479675925926</v>
      </c>
      <c r="E477" s="125">
        <v>9001931060</v>
      </c>
      <c r="F477" s="125" t="s">
        <v>254</v>
      </c>
      <c r="G477" s="125">
        <v>3</v>
      </c>
      <c r="H477" s="125">
        <v>5844630060</v>
      </c>
      <c r="I477" s="125" t="s">
        <v>2877</v>
      </c>
      <c r="J477" s="125" t="s">
        <v>1071</v>
      </c>
      <c r="K477" s="125" t="s">
        <v>1072</v>
      </c>
      <c r="L477" s="125" t="s">
        <v>1073</v>
      </c>
      <c r="M477" s="125" t="s">
        <v>510</v>
      </c>
      <c r="N477" s="126">
        <v>46249.479675925926</v>
      </c>
      <c r="O477" s="127">
        <v>19002680096</v>
      </c>
      <c r="P477" s="125">
        <v>726</v>
      </c>
      <c r="Q477" s="125" t="s">
        <v>1074</v>
      </c>
      <c r="R477" s="125" t="s">
        <v>1075</v>
      </c>
      <c r="S477" s="125" t="s">
        <v>1066</v>
      </c>
      <c r="T477" s="125" t="s">
        <v>1066</v>
      </c>
      <c r="U477" s="125" t="s">
        <v>1066</v>
      </c>
      <c r="V477" s="125" t="s">
        <v>1066</v>
      </c>
      <c r="W477" s="125" t="s">
        <v>1066</v>
      </c>
      <c r="X477" s="125" t="s">
        <v>1077</v>
      </c>
      <c r="Y477" s="125" t="s">
        <v>1066</v>
      </c>
      <c r="Z477" s="125" t="s">
        <v>1078</v>
      </c>
      <c r="AA477" s="125" t="s">
        <v>1067</v>
      </c>
      <c r="AB477" s="125" t="s">
        <v>1066</v>
      </c>
      <c r="AC477" s="125" t="s">
        <v>92</v>
      </c>
      <c r="AD477" s="125" t="s">
        <v>1066</v>
      </c>
      <c r="AE477" s="125" t="s">
        <v>1066</v>
      </c>
      <c r="AF477" s="125" t="s">
        <v>1066</v>
      </c>
      <c r="AG477" s="125" t="s">
        <v>1066</v>
      </c>
      <c r="AH477" s="125" t="s">
        <v>1066</v>
      </c>
      <c r="AI477" s="125" t="s">
        <v>785</v>
      </c>
      <c r="AJ477" s="125">
        <v>9144437</v>
      </c>
      <c r="AK477" s="125" t="s">
        <v>253</v>
      </c>
      <c r="AL477" s="125">
        <v>792803</v>
      </c>
      <c r="AM477" s="125" t="s">
        <v>1066</v>
      </c>
      <c r="AN477" s="125" t="s">
        <v>1066</v>
      </c>
    </row>
    <row r="478" spans="1:40" ht="55.5" customHeight="1" x14ac:dyDescent="0.25">
      <c r="A478" s="111" t="s">
        <v>2878</v>
      </c>
      <c r="B478" s="112">
        <v>2026</v>
      </c>
      <c r="C478" s="112" t="s">
        <v>2879</v>
      </c>
      <c r="D478" s="113">
        <v>46223.455462962964</v>
      </c>
      <c r="E478" s="112">
        <v>7937109003</v>
      </c>
      <c r="F478" s="112" t="s">
        <v>2420</v>
      </c>
      <c r="G478" s="112">
        <v>2</v>
      </c>
      <c r="H478" s="112">
        <v>7937109003</v>
      </c>
      <c r="I478" s="112" t="s">
        <v>2880</v>
      </c>
      <c r="J478" s="112" t="s">
        <v>1092</v>
      </c>
      <c r="K478" s="112" t="s">
        <v>1191</v>
      </c>
      <c r="L478" s="112" t="s">
        <v>1061</v>
      </c>
      <c r="M478" s="112" t="s">
        <v>478</v>
      </c>
      <c r="N478" s="113">
        <v>46623.455462962964</v>
      </c>
      <c r="O478" s="114">
        <v>19002204959</v>
      </c>
      <c r="P478" s="112">
        <v>3.1589999999999998</v>
      </c>
      <c r="Q478" s="112" t="s">
        <v>1062</v>
      </c>
      <c r="R478" s="112" t="s">
        <v>1063</v>
      </c>
      <c r="S478" s="113">
        <v>46231.728703703702</v>
      </c>
      <c r="T478" s="112" t="s">
        <v>2881</v>
      </c>
      <c r="U478" s="112" t="s">
        <v>1065</v>
      </c>
      <c r="V478" s="112" t="s">
        <v>1066</v>
      </c>
      <c r="W478" s="112" t="s">
        <v>1066</v>
      </c>
      <c r="X478" s="112" t="s">
        <v>1066</v>
      </c>
      <c r="Y478" s="112" t="s">
        <v>1066</v>
      </c>
      <c r="Z478" s="112" t="s">
        <v>1066</v>
      </c>
      <c r="AA478" s="112" t="s">
        <v>1067</v>
      </c>
      <c r="AB478" s="112" t="s">
        <v>1066</v>
      </c>
      <c r="AC478" s="112" t="s">
        <v>92</v>
      </c>
      <c r="AD478" s="112" t="s">
        <v>1066</v>
      </c>
      <c r="AE478" s="112" t="s">
        <v>1066</v>
      </c>
      <c r="AF478" s="112" t="s">
        <v>1066</v>
      </c>
      <c r="AG478" s="112" t="s">
        <v>1066</v>
      </c>
      <c r="AH478" s="112" t="s">
        <v>1066</v>
      </c>
      <c r="AI478" s="112" t="s">
        <v>785</v>
      </c>
      <c r="AJ478" s="112">
        <v>8703856</v>
      </c>
      <c r="AK478" s="112" t="s">
        <v>210</v>
      </c>
      <c r="AL478" s="112">
        <v>711652</v>
      </c>
      <c r="AM478" s="112" t="s">
        <v>1066</v>
      </c>
      <c r="AN478" s="112" t="s">
        <v>1066</v>
      </c>
    </row>
    <row r="479" spans="1:40" ht="55.5" customHeight="1" x14ac:dyDescent="0.25">
      <c r="A479" s="115" t="s">
        <v>2882</v>
      </c>
      <c r="B479" s="116">
        <v>2026</v>
      </c>
      <c r="C479" s="116" t="s">
        <v>2883</v>
      </c>
      <c r="D479" s="118">
        <v>45842.592083333337</v>
      </c>
      <c r="E479" s="116">
        <v>9026789001</v>
      </c>
      <c r="F479" s="116" t="s">
        <v>200</v>
      </c>
      <c r="G479" s="116">
        <v>2</v>
      </c>
      <c r="H479" s="116">
        <v>5860621001</v>
      </c>
      <c r="I479" s="116" t="s">
        <v>2884</v>
      </c>
      <c r="J479" s="116" t="s">
        <v>1231</v>
      </c>
      <c r="K479" s="116" t="s">
        <v>1232</v>
      </c>
      <c r="L479" s="116" t="s">
        <v>1084</v>
      </c>
      <c r="M479" s="116" t="s">
        <v>588</v>
      </c>
      <c r="N479" s="118">
        <v>46172.408333333333</v>
      </c>
      <c r="O479" s="119">
        <v>19002788887</v>
      </c>
      <c r="P479" s="116">
        <v>104</v>
      </c>
      <c r="Q479" s="116" t="s">
        <v>1074</v>
      </c>
      <c r="R479" s="116" t="s">
        <v>1206</v>
      </c>
      <c r="S479" s="116" t="s">
        <v>1066</v>
      </c>
      <c r="T479" s="116" t="s">
        <v>1066</v>
      </c>
      <c r="U479" s="116" t="s">
        <v>1066</v>
      </c>
      <c r="V479" s="116" t="s">
        <v>1066</v>
      </c>
      <c r="W479" s="116" t="s">
        <v>1066</v>
      </c>
      <c r="X479" s="116" t="s">
        <v>1077</v>
      </c>
      <c r="Y479" s="116" t="s">
        <v>1066</v>
      </c>
      <c r="Z479" s="116" t="s">
        <v>1066</v>
      </c>
      <c r="AA479" s="116" t="s">
        <v>1067</v>
      </c>
      <c r="AB479" s="116" t="s">
        <v>1066</v>
      </c>
      <c r="AC479" s="116" t="s">
        <v>92</v>
      </c>
      <c r="AD479" s="116" t="s">
        <v>1066</v>
      </c>
      <c r="AE479" s="116" t="s">
        <v>1066</v>
      </c>
      <c r="AF479" s="116" t="s">
        <v>1066</v>
      </c>
      <c r="AG479" s="116" t="s">
        <v>1066</v>
      </c>
      <c r="AH479" s="116" t="s">
        <v>2885</v>
      </c>
      <c r="AI479" s="116" t="s">
        <v>785</v>
      </c>
      <c r="AJ479" s="116">
        <v>8877090</v>
      </c>
      <c r="AK479" s="116" t="s">
        <v>50</v>
      </c>
      <c r="AL479" s="116">
        <v>752964</v>
      </c>
      <c r="AM479" s="116" t="s">
        <v>1066</v>
      </c>
      <c r="AN479" s="116" t="s">
        <v>1066</v>
      </c>
    </row>
    <row r="480" spans="1:40" ht="55.5" customHeight="1" x14ac:dyDescent="0.25">
      <c r="A480" s="115" t="s">
        <v>2886</v>
      </c>
      <c r="B480" s="116">
        <v>2026</v>
      </c>
      <c r="C480" s="116" t="s">
        <v>2887</v>
      </c>
      <c r="D480" s="118">
        <v>46118.668622685182</v>
      </c>
      <c r="E480" s="116">
        <v>7959680004</v>
      </c>
      <c r="F480" s="116" t="s">
        <v>2888</v>
      </c>
      <c r="G480" s="116">
        <v>1</v>
      </c>
      <c r="H480" s="116">
        <v>7959680004</v>
      </c>
      <c r="I480" s="116" t="s">
        <v>2889</v>
      </c>
      <c r="J480" s="116" t="s">
        <v>1071</v>
      </c>
      <c r="K480" s="116" t="s">
        <v>1379</v>
      </c>
      <c r="L480" s="116" t="s">
        <v>1073</v>
      </c>
      <c r="M480" s="116" t="s">
        <v>588</v>
      </c>
      <c r="N480" s="118">
        <v>46123.567719907405</v>
      </c>
      <c r="O480" s="119">
        <v>19002799482</v>
      </c>
      <c r="P480" s="116">
        <v>0</v>
      </c>
      <c r="Q480" s="116" t="s">
        <v>1062</v>
      </c>
      <c r="R480" s="116" t="s">
        <v>1075</v>
      </c>
      <c r="S480" s="116" t="s">
        <v>1066</v>
      </c>
      <c r="T480" s="116" t="s">
        <v>1066</v>
      </c>
      <c r="U480" s="116" t="s">
        <v>1066</v>
      </c>
      <c r="V480" s="116" t="s">
        <v>1066</v>
      </c>
      <c r="W480" s="116" t="s">
        <v>1066</v>
      </c>
      <c r="X480" s="116" t="s">
        <v>1066</v>
      </c>
      <c r="Y480" s="116" t="s">
        <v>1066</v>
      </c>
      <c r="Z480" s="116" t="s">
        <v>1066</v>
      </c>
      <c r="AA480" s="116" t="s">
        <v>1067</v>
      </c>
      <c r="AB480" s="116" t="s">
        <v>1066</v>
      </c>
      <c r="AC480" s="116" t="s">
        <v>92</v>
      </c>
      <c r="AD480" s="116" t="s">
        <v>1066</v>
      </c>
      <c r="AE480" s="116" t="s">
        <v>1066</v>
      </c>
      <c r="AF480" s="116" t="s">
        <v>1066</v>
      </c>
      <c r="AG480" s="116" t="s">
        <v>1066</v>
      </c>
      <c r="AH480" s="116" t="s">
        <v>1066</v>
      </c>
      <c r="AI480" s="116" t="s">
        <v>785</v>
      </c>
      <c r="AJ480" s="116">
        <v>9205420</v>
      </c>
      <c r="AK480" s="116" t="s">
        <v>69</v>
      </c>
      <c r="AL480" s="116">
        <v>806599</v>
      </c>
      <c r="AM480" s="116" t="s">
        <v>1066</v>
      </c>
      <c r="AN480" s="116" t="s">
        <v>1066</v>
      </c>
    </row>
    <row r="481" spans="1:40" ht="55.5" customHeight="1" x14ac:dyDescent="0.25">
      <c r="A481" s="111" t="s">
        <v>2890</v>
      </c>
      <c r="B481" s="112">
        <v>2026</v>
      </c>
      <c r="C481" s="112" t="s">
        <v>1057</v>
      </c>
      <c r="D481" s="113">
        <v>46125.614548611113</v>
      </c>
      <c r="E481" s="112">
        <v>7931601122</v>
      </c>
      <c r="F481" s="112" t="s">
        <v>2489</v>
      </c>
      <c r="G481" s="112">
        <v>1</v>
      </c>
      <c r="H481" s="112">
        <v>7931601122</v>
      </c>
      <c r="I481" s="112" t="s">
        <v>2891</v>
      </c>
      <c r="J481" s="112" t="s">
        <v>1066</v>
      </c>
      <c r="K481" s="112" t="s">
        <v>1125</v>
      </c>
      <c r="L481" s="112" t="s">
        <v>1061</v>
      </c>
      <c r="M481" s="112" t="s">
        <v>478</v>
      </c>
      <c r="N481" s="113">
        <v>46525.614548611113</v>
      </c>
      <c r="O481" s="114">
        <v>19002204447</v>
      </c>
      <c r="P481" s="112">
        <v>2.8439999999999999</v>
      </c>
      <c r="Q481" s="112" t="s">
        <v>1062</v>
      </c>
      <c r="R481" s="112" t="s">
        <v>1063</v>
      </c>
      <c r="S481" s="113">
        <v>46183.51185185185</v>
      </c>
      <c r="T481" s="112" t="s">
        <v>2892</v>
      </c>
      <c r="U481" s="112" t="s">
        <v>1065</v>
      </c>
      <c r="V481" s="112" t="s">
        <v>1066</v>
      </c>
      <c r="W481" s="112" t="s">
        <v>1066</v>
      </c>
      <c r="X481" s="112" t="s">
        <v>1066</v>
      </c>
      <c r="Y481" s="112" t="s">
        <v>1066</v>
      </c>
      <c r="Z481" s="112" t="s">
        <v>1066</v>
      </c>
      <c r="AA481" s="112" t="s">
        <v>1067</v>
      </c>
      <c r="AB481" s="112" t="s">
        <v>1066</v>
      </c>
      <c r="AC481" s="112" t="s">
        <v>92</v>
      </c>
      <c r="AD481" s="112" t="s">
        <v>1066</v>
      </c>
      <c r="AE481" s="112" t="s">
        <v>1066</v>
      </c>
      <c r="AF481" s="112" t="s">
        <v>1066</v>
      </c>
      <c r="AG481" s="112" t="s">
        <v>1066</v>
      </c>
      <c r="AH481" s="112" t="s">
        <v>1066</v>
      </c>
      <c r="AI481" s="112" t="s">
        <v>785</v>
      </c>
      <c r="AJ481" s="112">
        <v>8874814</v>
      </c>
      <c r="AK481" s="112" t="s">
        <v>264</v>
      </c>
      <c r="AL481" s="112">
        <v>794013</v>
      </c>
      <c r="AM481" s="112" t="s">
        <v>1066</v>
      </c>
      <c r="AN481" s="112" t="s">
        <v>1066</v>
      </c>
    </row>
    <row r="482" spans="1:40" ht="55.5" customHeight="1" x14ac:dyDescent="0.25">
      <c r="A482" s="111" t="s">
        <v>2893</v>
      </c>
      <c r="B482" s="112">
        <v>2026</v>
      </c>
      <c r="C482" s="112" t="s">
        <v>1089</v>
      </c>
      <c r="D482" s="113">
        <v>46028.453888888886</v>
      </c>
      <c r="E482" s="112">
        <v>7915025186</v>
      </c>
      <c r="F482" s="112" t="s">
        <v>1236</v>
      </c>
      <c r="G482" s="112">
        <v>3</v>
      </c>
      <c r="H482" s="112">
        <v>7915025186</v>
      </c>
      <c r="I482" s="112" t="s">
        <v>2894</v>
      </c>
      <c r="J482" s="112" t="s">
        <v>1092</v>
      </c>
      <c r="K482" s="112" t="s">
        <v>1093</v>
      </c>
      <c r="L482" s="112" t="s">
        <v>1061</v>
      </c>
      <c r="M482" s="112" t="s">
        <v>478</v>
      </c>
      <c r="N482" s="113">
        <v>46428.453888888886</v>
      </c>
      <c r="O482" s="114">
        <v>19002295971</v>
      </c>
      <c r="P482" s="112">
        <v>154</v>
      </c>
      <c r="Q482" s="112" t="s">
        <v>1062</v>
      </c>
      <c r="R482" s="112" t="s">
        <v>1063</v>
      </c>
      <c r="S482" s="113">
        <v>46034.425694444442</v>
      </c>
      <c r="T482" s="112" t="s">
        <v>2895</v>
      </c>
      <c r="U482" s="112" t="s">
        <v>1065</v>
      </c>
      <c r="V482" s="112" t="s">
        <v>1066</v>
      </c>
      <c r="W482" s="112" t="s">
        <v>1066</v>
      </c>
      <c r="X482" s="112" t="s">
        <v>1066</v>
      </c>
      <c r="Y482" s="112" t="s">
        <v>1066</v>
      </c>
      <c r="Z482" s="112" t="s">
        <v>1066</v>
      </c>
      <c r="AA482" s="112" t="s">
        <v>1067</v>
      </c>
      <c r="AB482" s="112" t="s">
        <v>1066</v>
      </c>
      <c r="AC482" s="112" t="s">
        <v>92</v>
      </c>
      <c r="AD482" s="112" t="s">
        <v>1066</v>
      </c>
      <c r="AE482" s="112" t="s">
        <v>1066</v>
      </c>
      <c r="AF482" s="112" t="s">
        <v>1066</v>
      </c>
      <c r="AG482" s="112" t="s">
        <v>1066</v>
      </c>
      <c r="AH482" s="112" t="s">
        <v>1066</v>
      </c>
      <c r="AI482" s="112" t="s">
        <v>785</v>
      </c>
      <c r="AJ482" s="112">
        <v>8613441</v>
      </c>
      <c r="AK482" s="112" t="s">
        <v>1438</v>
      </c>
      <c r="AL482" s="112">
        <v>757473</v>
      </c>
      <c r="AM482" s="112" t="s">
        <v>1066</v>
      </c>
      <c r="AN482" s="112" t="s">
        <v>1066</v>
      </c>
    </row>
    <row r="483" spans="1:40" ht="55.5" customHeight="1" x14ac:dyDescent="0.25">
      <c r="A483" s="111" t="s">
        <v>2896</v>
      </c>
      <c r="B483" s="112">
        <v>2026</v>
      </c>
      <c r="C483" s="112" t="s">
        <v>1251</v>
      </c>
      <c r="D483" s="113">
        <v>46031.603807870371</v>
      </c>
      <c r="E483" s="112">
        <v>7908199076</v>
      </c>
      <c r="F483" s="112" t="s">
        <v>663</v>
      </c>
      <c r="G483" s="112">
        <v>3</v>
      </c>
      <c r="H483" s="112">
        <v>7908199076</v>
      </c>
      <c r="I483" s="112" t="s">
        <v>2897</v>
      </c>
      <c r="J483" s="112" t="s">
        <v>1059</v>
      </c>
      <c r="K483" s="112" t="s">
        <v>1060</v>
      </c>
      <c r="L483" s="112" t="s">
        <v>1061</v>
      </c>
      <c r="M483" s="112" t="s">
        <v>478</v>
      </c>
      <c r="N483" s="113">
        <v>46431.603807870371</v>
      </c>
      <c r="O483" s="114">
        <v>19002763452</v>
      </c>
      <c r="P483" s="112">
        <v>142</v>
      </c>
      <c r="Q483" s="112" t="s">
        <v>1062</v>
      </c>
      <c r="R483" s="112" t="s">
        <v>1063</v>
      </c>
      <c r="S483" s="113">
        <v>46031.729166666664</v>
      </c>
      <c r="T483" s="112" t="s">
        <v>1253</v>
      </c>
      <c r="U483" s="112" t="s">
        <v>1065</v>
      </c>
      <c r="V483" s="112" t="s">
        <v>1066</v>
      </c>
      <c r="W483" s="112" t="s">
        <v>1066</v>
      </c>
      <c r="X483" s="112" t="s">
        <v>1066</v>
      </c>
      <c r="Y483" s="112" t="s">
        <v>1066</v>
      </c>
      <c r="Z483" s="112" t="s">
        <v>1066</v>
      </c>
      <c r="AA483" s="112" t="s">
        <v>1067</v>
      </c>
      <c r="AB483" s="112" t="s">
        <v>1066</v>
      </c>
      <c r="AC483" s="112" t="s">
        <v>92</v>
      </c>
      <c r="AD483" s="112" t="s">
        <v>1066</v>
      </c>
      <c r="AE483" s="112" t="s">
        <v>1066</v>
      </c>
      <c r="AF483" s="112" t="s">
        <v>1066</v>
      </c>
      <c r="AG483" s="112" t="s">
        <v>1066</v>
      </c>
      <c r="AH483" s="112" t="s">
        <v>1066</v>
      </c>
      <c r="AI483" s="112" t="s">
        <v>785</v>
      </c>
      <c r="AJ483" s="112">
        <v>8718138</v>
      </c>
      <c r="AK483" s="112" t="s">
        <v>209</v>
      </c>
      <c r="AL483" s="112">
        <v>694432</v>
      </c>
      <c r="AM483" s="112" t="s">
        <v>1066</v>
      </c>
      <c r="AN483" s="112" t="s">
        <v>1066</v>
      </c>
    </row>
    <row r="484" spans="1:40" ht="55.5" customHeight="1" x14ac:dyDescent="0.25">
      <c r="A484" s="111" t="s">
        <v>2898</v>
      </c>
      <c r="B484" s="112">
        <v>2026</v>
      </c>
      <c r="C484" s="112" t="s">
        <v>2899</v>
      </c>
      <c r="D484" s="113">
        <v>46042.354409722226</v>
      </c>
      <c r="E484" s="112">
        <v>9000227104</v>
      </c>
      <c r="F484" s="112" t="s">
        <v>170</v>
      </c>
      <c r="G484" s="112">
        <v>3</v>
      </c>
      <c r="H484" s="112">
        <v>7900308104</v>
      </c>
      <c r="I484" s="112" t="s">
        <v>2166</v>
      </c>
      <c r="J484" s="112" t="s">
        <v>1066</v>
      </c>
      <c r="K484" s="112" t="s">
        <v>2062</v>
      </c>
      <c r="L484" s="112" t="s">
        <v>1073</v>
      </c>
      <c r="M484" s="112" t="s">
        <v>478</v>
      </c>
      <c r="N484" s="113">
        <v>46045.354409722226</v>
      </c>
      <c r="O484" s="114">
        <v>19000060730</v>
      </c>
      <c r="P484" s="112">
        <v>2.843</v>
      </c>
      <c r="Q484" s="112" t="s">
        <v>1131</v>
      </c>
      <c r="R484" s="112" t="s">
        <v>1324</v>
      </c>
      <c r="S484" s="113">
        <v>46044.42083333333</v>
      </c>
      <c r="T484" s="112" t="s">
        <v>2900</v>
      </c>
      <c r="U484" s="112" t="s">
        <v>1065</v>
      </c>
      <c r="V484" s="112" t="s">
        <v>1066</v>
      </c>
      <c r="W484" s="112" t="s">
        <v>1066</v>
      </c>
      <c r="X484" s="112" t="s">
        <v>983</v>
      </c>
      <c r="Y484" s="112" t="s">
        <v>1066</v>
      </c>
      <c r="Z484" s="112" t="s">
        <v>1066</v>
      </c>
      <c r="AA484" s="112" t="s">
        <v>1067</v>
      </c>
      <c r="AB484" s="112" t="s">
        <v>1066</v>
      </c>
      <c r="AC484" s="112" t="s">
        <v>92</v>
      </c>
      <c r="AD484" s="112" t="s">
        <v>1142</v>
      </c>
      <c r="AE484" s="112" t="s">
        <v>1066</v>
      </c>
      <c r="AF484" s="112" t="s">
        <v>1066</v>
      </c>
      <c r="AG484" s="112" t="s">
        <v>1066</v>
      </c>
      <c r="AH484" s="112" t="s">
        <v>1066</v>
      </c>
      <c r="AI484" s="112" t="s">
        <v>785</v>
      </c>
      <c r="AJ484" s="112">
        <v>9028573</v>
      </c>
      <c r="AK484" s="112" t="s">
        <v>1688</v>
      </c>
      <c r="AL484" s="112">
        <v>858342</v>
      </c>
      <c r="AM484" s="112" t="s">
        <v>1066</v>
      </c>
      <c r="AN484" s="112" t="s">
        <v>1066</v>
      </c>
    </row>
    <row r="485" spans="1:40" ht="55.5" customHeight="1" x14ac:dyDescent="0.25">
      <c r="A485" s="111" t="s">
        <v>2901</v>
      </c>
      <c r="B485" s="112">
        <v>2026</v>
      </c>
      <c r="C485" s="112" t="s">
        <v>1213</v>
      </c>
      <c r="D485" s="113">
        <v>46122.549942129626</v>
      </c>
      <c r="E485" s="112">
        <v>7964716048</v>
      </c>
      <c r="F485" s="112" t="s">
        <v>1807</v>
      </c>
      <c r="G485" s="112">
        <v>1</v>
      </c>
      <c r="H485" s="112">
        <v>7964716048</v>
      </c>
      <c r="I485" s="112" t="s">
        <v>2902</v>
      </c>
      <c r="J485" s="112" t="s">
        <v>1066</v>
      </c>
      <c r="K485" s="112" t="s">
        <v>1125</v>
      </c>
      <c r="L485" s="112" t="s">
        <v>1061</v>
      </c>
      <c r="M485" s="112" t="s">
        <v>478</v>
      </c>
      <c r="N485" s="113">
        <v>46522.549942129626</v>
      </c>
      <c r="O485" s="114">
        <v>19002679992</v>
      </c>
      <c r="P485" s="112">
        <v>1.7250000000000001</v>
      </c>
      <c r="Q485" s="112" t="s">
        <v>1062</v>
      </c>
      <c r="R485" s="112" t="s">
        <v>1063</v>
      </c>
      <c r="S485" s="113">
        <v>46156.474999999999</v>
      </c>
      <c r="T485" s="112" t="s">
        <v>2903</v>
      </c>
      <c r="U485" s="112" t="s">
        <v>1065</v>
      </c>
      <c r="V485" s="112" t="s">
        <v>1066</v>
      </c>
      <c r="W485" s="112" t="s">
        <v>1066</v>
      </c>
      <c r="X485" s="112" t="s">
        <v>1066</v>
      </c>
      <c r="Y485" s="112" t="s">
        <v>1066</v>
      </c>
      <c r="Z485" s="112" t="s">
        <v>1066</v>
      </c>
      <c r="AA485" s="112" t="s">
        <v>1067</v>
      </c>
      <c r="AB485" s="112" t="s">
        <v>1066</v>
      </c>
      <c r="AC485" s="112" t="s">
        <v>92</v>
      </c>
      <c r="AD485" s="112" t="s">
        <v>1066</v>
      </c>
      <c r="AE485" s="112" t="s">
        <v>1066</v>
      </c>
      <c r="AF485" s="112" t="s">
        <v>1066</v>
      </c>
      <c r="AG485" s="112" t="s">
        <v>1066</v>
      </c>
      <c r="AH485" s="112" t="s">
        <v>1066</v>
      </c>
      <c r="AI485" s="112" t="s">
        <v>785</v>
      </c>
      <c r="AJ485" s="112">
        <v>9009246</v>
      </c>
      <c r="AK485" s="112" t="s">
        <v>1811</v>
      </c>
      <c r="AL485" s="112">
        <v>775682</v>
      </c>
      <c r="AM485" s="112" t="s">
        <v>1066</v>
      </c>
      <c r="AN485" s="112" t="s">
        <v>1066</v>
      </c>
    </row>
    <row r="486" spans="1:40" ht="55.5" customHeight="1" x14ac:dyDescent="0.25">
      <c r="A486" s="111" t="s">
        <v>2904</v>
      </c>
      <c r="B486" s="112">
        <v>2026</v>
      </c>
      <c r="C486" s="112" t="s">
        <v>2905</v>
      </c>
      <c r="D486" s="113">
        <v>46055.429155092592</v>
      </c>
      <c r="E486" s="112">
        <v>7908253086</v>
      </c>
      <c r="F486" s="112" t="s">
        <v>682</v>
      </c>
      <c r="G486" s="112">
        <v>2</v>
      </c>
      <c r="H486" s="112">
        <v>7908253086</v>
      </c>
      <c r="I486" s="112" t="s">
        <v>2906</v>
      </c>
      <c r="J486" s="112" t="s">
        <v>1071</v>
      </c>
      <c r="K486" s="112" t="s">
        <v>1650</v>
      </c>
      <c r="L486" s="112" t="s">
        <v>1084</v>
      </c>
      <c r="M486" s="112" t="s">
        <v>478</v>
      </c>
      <c r="N486" s="113">
        <v>46115.429155092592</v>
      </c>
      <c r="O486" s="114">
        <v>19002261028</v>
      </c>
      <c r="P486" s="112">
        <v>174</v>
      </c>
      <c r="Q486" s="112" t="s">
        <v>1062</v>
      </c>
      <c r="R486" s="112" t="s">
        <v>1075</v>
      </c>
      <c r="S486" s="113">
        <v>46078.650659722225</v>
      </c>
      <c r="T486" s="112" t="s">
        <v>2907</v>
      </c>
      <c r="U486" s="112" t="s">
        <v>1065</v>
      </c>
      <c r="V486" s="112" t="s">
        <v>1066</v>
      </c>
      <c r="W486" s="112" t="s">
        <v>1066</v>
      </c>
      <c r="X486" s="112" t="s">
        <v>1066</v>
      </c>
      <c r="Y486" s="112" t="s">
        <v>1066</v>
      </c>
      <c r="Z486" s="112" t="s">
        <v>1066</v>
      </c>
      <c r="AA486" s="112" t="s">
        <v>1067</v>
      </c>
      <c r="AB486" s="112" t="s">
        <v>1066</v>
      </c>
      <c r="AC486" s="112" t="s">
        <v>92</v>
      </c>
      <c r="AD486" s="112" t="s">
        <v>1066</v>
      </c>
      <c r="AE486" s="112" t="s">
        <v>1066</v>
      </c>
      <c r="AF486" s="112" t="s">
        <v>1066</v>
      </c>
      <c r="AG486" s="112" t="s">
        <v>1066</v>
      </c>
      <c r="AH486" s="112" t="s">
        <v>1066</v>
      </c>
      <c r="AI486" s="112" t="s">
        <v>785</v>
      </c>
      <c r="AJ486" s="112">
        <v>8919693</v>
      </c>
      <c r="AK486" s="112" t="s">
        <v>1143</v>
      </c>
      <c r="AL486" s="112">
        <v>662357</v>
      </c>
      <c r="AM486" s="112" t="s">
        <v>1066</v>
      </c>
      <c r="AN486" s="112" t="s">
        <v>1066</v>
      </c>
    </row>
    <row r="487" spans="1:40" ht="55.5" customHeight="1" x14ac:dyDescent="0.25">
      <c r="A487" s="111" t="s">
        <v>2908</v>
      </c>
      <c r="B487" s="112">
        <v>2026</v>
      </c>
      <c r="C487" s="112" t="s">
        <v>2909</v>
      </c>
      <c r="D487" s="113">
        <v>46136.447662037041</v>
      </c>
      <c r="E487" s="112">
        <v>9029377080</v>
      </c>
      <c r="F487" s="112" t="s">
        <v>1654</v>
      </c>
      <c r="G487" s="112">
        <v>2</v>
      </c>
      <c r="H487" s="112">
        <v>5855063080</v>
      </c>
      <c r="I487" s="112" t="s">
        <v>2910</v>
      </c>
      <c r="J487" s="112" t="s">
        <v>1082</v>
      </c>
      <c r="K487" s="112" t="s">
        <v>1083</v>
      </c>
      <c r="L487" s="112" t="s">
        <v>1084</v>
      </c>
      <c r="M487" s="112" t="s">
        <v>478</v>
      </c>
      <c r="N487" s="113">
        <v>46196.447662037041</v>
      </c>
      <c r="O487" s="114">
        <v>19002794492</v>
      </c>
      <c r="P487" s="112">
        <v>2.9820000000000002</v>
      </c>
      <c r="Q487" s="112" t="s">
        <v>1074</v>
      </c>
      <c r="R487" s="112" t="s">
        <v>1085</v>
      </c>
      <c r="S487" s="113">
        <v>46148.607638888891</v>
      </c>
      <c r="T487" s="112" t="s">
        <v>2911</v>
      </c>
      <c r="U487" s="112" t="s">
        <v>1065</v>
      </c>
      <c r="V487" s="112" t="s">
        <v>1066</v>
      </c>
      <c r="W487" s="112" t="s">
        <v>1066</v>
      </c>
      <c r="X487" s="112" t="s">
        <v>1077</v>
      </c>
      <c r="Y487" s="112" t="s">
        <v>1066</v>
      </c>
      <c r="Z487" s="112" t="s">
        <v>2311</v>
      </c>
      <c r="AA487" s="112" t="s">
        <v>1067</v>
      </c>
      <c r="AB487" s="112" t="s">
        <v>1066</v>
      </c>
      <c r="AC487" s="112" t="s">
        <v>92</v>
      </c>
      <c r="AD487" s="112" t="s">
        <v>1066</v>
      </c>
      <c r="AE487" s="112" t="s">
        <v>1066</v>
      </c>
      <c r="AF487" s="112" t="s">
        <v>1066</v>
      </c>
      <c r="AG487" s="112" t="s">
        <v>1066</v>
      </c>
      <c r="AH487" s="112" t="s">
        <v>1066</v>
      </c>
      <c r="AI487" s="112" t="s">
        <v>785</v>
      </c>
      <c r="AJ487" s="112">
        <v>9245329</v>
      </c>
      <c r="AK487" s="112" t="s">
        <v>1656</v>
      </c>
      <c r="AL487" s="112">
        <v>852067</v>
      </c>
      <c r="AM487" s="112" t="s">
        <v>1066</v>
      </c>
      <c r="AN487" s="112" t="s">
        <v>1066</v>
      </c>
    </row>
    <row r="488" spans="1:40" ht="55.5" customHeight="1" x14ac:dyDescent="0.25">
      <c r="A488" s="111" t="s">
        <v>2912</v>
      </c>
      <c r="B488" s="112">
        <v>2026</v>
      </c>
      <c r="C488" s="112" t="s">
        <v>2913</v>
      </c>
      <c r="D488" s="113">
        <v>46117.846886574072</v>
      </c>
      <c r="E488" s="112">
        <v>7961515047</v>
      </c>
      <c r="F488" s="112" t="s">
        <v>386</v>
      </c>
      <c r="G488" s="112">
        <v>3</v>
      </c>
      <c r="H488" s="112">
        <v>7961515047</v>
      </c>
      <c r="I488" s="112" t="s">
        <v>2914</v>
      </c>
      <c r="J488" s="112" t="s">
        <v>1071</v>
      </c>
      <c r="K488" s="112" t="s">
        <v>2279</v>
      </c>
      <c r="L488" s="112" t="s">
        <v>1073</v>
      </c>
      <c r="M488" s="112" t="s">
        <v>478</v>
      </c>
      <c r="N488" s="113">
        <v>46120.846886574072</v>
      </c>
      <c r="O488" s="114">
        <v>19002788865</v>
      </c>
      <c r="P488" s="112">
        <v>917</v>
      </c>
      <c r="Q488" s="112" t="s">
        <v>1062</v>
      </c>
      <c r="R488" s="112" t="s">
        <v>1075</v>
      </c>
      <c r="S488" s="113">
        <v>46135.729710648149</v>
      </c>
      <c r="T488" s="112" t="s">
        <v>2915</v>
      </c>
      <c r="U488" s="112" t="s">
        <v>1065</v>
      </c>
      <c r="V488" s="112" t="s">
        <v>1066</v>
      </c>
      <c r="W488" s="112" t="s">
        <v>1066</v>
      </c>
      <c r="X488" s="112" t="s">
        <v>983</v>
      </c>
      <c r="Y488" s="112" t="s">
        <v>1066</v>
      </c>
      <c r="Z488" s="112" t="s">
        <v>2916</v>
      </c>
      <c r="AA488" s="112" t="s">
        <v>1067</v>
      </c>
      <c r="AB488" s="112" t="s">
        <v>1066</v>
      </c>
      <c r="AC488" s="112" t="s">
        <v>92</v>
      </c>
      <c r="AD488" s="112" t="s">
        <v>1066</v>
      </c>
      <c r="AE488" s="112" t="s">
        <v>1066</v>
      </c>
      <c r="AF488" s="112" t="s">
        <v>1066</v>
      </c>
      <c r="AG488" s="112" t="s">
        <v>1066</v>
      </c>
      <c r="AH488" s="112" t="s">
        <v>1066</v>
      </c>
      <c r="AI488" s="112" t="s">
        <v>785</v>
      </c>
      <c r="AJ488" s="112">
        <v>8657994</v>
      </c>
      <c r="AK488" s="112" t="s">
        <v>111</v>
      </c>
      <c r="AL488" s="112">
        <v>698996</v>
      </c>
      <c r="AM488" s="112" t="s">
        <v>1066</v>
      </c>
      <c r="AN488" s="112" t="s">
        <v>1066</v>
      </c>
    </row>
    <row r="489" spans="1:40" ht="55.5" customHeight="1" x14ac:dyDescent="0.25">
      <c r="A489" s="120" t="s">
        <v>2917</v>
      </c>
      <c r="B489" s="121">
        <v>2026</v>
      </c>
      <c r="C489" s="121" t="s">
        <v>2918</v>
      </c>
      <c r="D489" s="122">
        <v>46169.947928240741</v>
      </c>
      <c r="E489" s="121">
        <v>310098001</v>
      </c>
      <c r="F489" s="121" t="s">
        <v>2024</v>
      </c>
      <c r="G489" s="121">
        <v>3</v>
      </c>
      <c r="H489" s="121">
        <v>5863887001</v>
      </c>
      <c r="I489" s="121" t="s">
        <v>2861</v>
      </c>
      <c r="J489" s="121" t="s">
        <v>1071</v>
      </c>
      <c r="K489" s="121" t="s">
        <v>1072</v>
      </c>
      <c r="L489" s="121" t="s">
        <v>1073</v>
      </c>
      <c r="M489" s="121" t="s">
        <v>1116</v>
      </c>
      <c r="N489" s="122">
        <v>46172.947928240741</v>
      </c>
      <c r="O489" s="123">
        <v>19002819635</v>
      </c>
      <c r="P489" s="121">
        <v>35</v>
      </c>
      <c r="Q489" s="121" t="s">
        <v>1074</v>
      </c>
      <c r="R489" s="121" t="s">
        <v>1263</v>
      </c>
      <c r="S489" s="122">
        <v>46183.658402777779</v>
      </c>
      <c r="T489" s="121" t="s">
        <v>1066</v>
      </c>
      <c r="U489" s="121" t="s">
        <v>1066</v>
      </c>
      <c r="V489" s="121" t="s">
        <v>1066</v>
      </c>
      <c r="W489" s="121" t="s">
        <v>1066</v>
      </c>
      <c r="X489" s="121" t="s">
        <v>1726</v>
      </c>
      <c r="Y489" s="121" t="s">
        <v>1066</v>
      </c>
      <c r="Z489" s="121" t="s">
        <v>1078</v>
      </c>
      <c r="AA489" s="121" t="s">
        <v>1067</v>
      </c>
      <c r="AB489" s="121" t="s">
        <v>1066</v>
      </c>
      <c r="AC489" s="121" t="s">
        <v>92</v>
      </c>
      <c r="AD489" s="121" t="s">
        <v>1066</v>
      </c>
      <c r="AE489" s="121" t="s">
        <v>1066</v>
      </c>
      <c r="AF489" s="121" t="s">
        <v>1066</v>
      </c>
      <c r="AG489" s="121" t="s">
        <v>1066</v>
      </c>
      <c r="AH489" s="121" t="s">
        <v>1066</v>
      </c>
      <c r="AI489" s="121" t="s">
        <v>785</v>
      </c>
      <c r="AJ489" s="121">
        <v>8850006</v>
      </c>
      <c r="AK489" s="121" t="s">
        <v>50</v>
      </c>
      <c r="AL489" s="121">
        <v>771817</v>
      </c>
      <c r="AM489" s="121" t="s">
        <v>1066</v>
      </c>
      <c r="AN489" s="121" t="s">
        <v>1066</v>
      </c>
    </row>
    <row r="490" spans="1:40" ht="55.5" customHeight="1" x14ac:dyDescent="0.25">
      <c r="A490" s="111" t="s">
        <v>2919</v>
      </c>
      <c r="B490" s="112">
        <v>2026</v>
      </c>
      <c r="C490" s="112" t="s">
        <v>1251</v>
      </c>
      <c r="D490" s="113">
        <v>46031.603807870371</v>
      </c>
      <c r="E490" s="112">
        <v>7913668072</v>
      </c>
      <c r="F490" s="112" t="s">
        <v>225</v>
      </c>
      <c r="G490" s="112">
        <v>2</v>
      </c>
      <c r="H490" s="112">
        <v>7913668072</v>
      </c>
      <c r="I490" s="112" t="s">
        <v>2920</v>
      </c>
      <c r="J490" s="112" t="s">
        <v>1059</v>
      </c>
      <c r="K490" s="112" t="s">
        <v>1060</v>
      </c>
      <c r="L490" s="112" t="s">
        <v>1061</v>
      </c>
      <c r="M490" s="112" t="s">
        <v>478</v>
      </c>
      <c r="N490" s="113">
        <v>46431.603807870371</v>
      </c>
      <c r="O490" s="114">
        <v>19002260287</v>
      </c>
      <c r="P490" s="112">
        <v>234</v>
      </c>
      <c r="Q490" s="112" t="s">
        <v>1062</v>
      </c>
      <c r="R490" s="112" t="s">
        <v>1063</v>
      </c>
      <c r="S490" s="113">
        <v>46031.729166666664</v>
      </c>
      <c r="T490" s="112" t="s">
        <v>1253</v>
      </c>
      <c r="U490" s="112" t="s">
        <v>1065</v>
      </c>
      <c r="V490" s="112" t="s">
        <v>1066</v>
      </c>
      <c r="W490" s="112" t="s">
        <v>1066</v>
      </c>
      <c r="X490" s="112" t="s">
        <v>1066</v>
      </c>
      <c r="Y490" s="112" t="s">
        <v>1066</v>
      </c>
      <c r="Z490" s="112" t="s">
        <v>1066</v>
      </c>
      <c r="AA490" s="112" t="s">
        <v>1067</v>
      </c>
      <c r="AB490" s="112" t="s">
        <v>1066</v>
      </c>
      <c r="AC490" s="112" t="s">
        <v>92</v>
      </c>
      <c r="AD490" s="112" t="s">
        <v>1066</v>
      </c>
      <c r="AE490" s="112" t="s">
        <v>1066</v>
      </c>
      <c r="AF490" s="112" t="s">
        <v>1066</v>
      </c>
      <c r="AG490" s="112" t="s">
        <v>1066</v>
      </c>
      <c r="AH490" s="112" t="s">
        <v>1066</v>
      </c>
      <c r="AI490" s="112" t="s">
        <v>785</v>
      </c>
      <c r="AJ490" s="112">
        <v>8647191</v>
      </c>
      <c r="AK490" s="112" t="s">
        <v>1590</v>
      </c>
      <c r="AL490" s="112">
        <v>904147</v>
      </c>
      <c r="AM490" s="112" t="s">
        <v>1066</v>
      </c>
      <c r="AN490" s="112" t="s">
        <v>1066</v>
      </c>
    </row>
    <row r="491" spans="1:40" ht="55.5" customHeight="1" x14ac:dyDescent="0.25">
      <c r="A491" s="111" t="s">
        <v>2921</v>
      </c>
      <c r="B491" s="112">
        <v>2026</v>
      </c>
      <c r="C491" s="112" t="s">
        <v>2922</v>
      </c>
      <c r="D491" s="113">
        <v>46085.368877314817</v>
      </c>
      <c r="E491" s="112">
        <v>7908308006</v>
      </c>
      <c r="F491" s="112" t="s">
        <v>239</v>
      </c>
      <c r="G491" s="112">
        <v>3</v>
      </c>
      <c r="H491" s="112">
        <v>7908308006</v>
      </c>
      <c r="I491" s="112" t="s">
        <v>1241</v>
      </c>
      <c r="J491" s="112" t="s">
        <v>1071</v>
      </c>
      <c r="K491" s="112" t="s">
        <v>1282</v>
      </c>
      <c r="L491" s="112" t="s">
        <v>1073</v>
      </c>
      <c r="M491" s="112" t="s">
        <v>478</v>
      </c>
      <c r="N491" s="113">
        <v>46088.368877314817</v>
      </c>
      <c r="O491" s="114">
        <v>19002260308</v>
      </c>
      <c r="P491" s="112">
        <v>141</v>
      </c>
      <c r="Q491" s="112" t="s">
        <v>1062</v>
      </c>
      <c r="R491" s="112" t="s">
        <v>1075</v>
      </c>
      <c r="S491" s="113">
        <v>46106.356562499997</v>
      </c>
      <c r="T491" s="112" t="s">
        <v>2923</v>
      </c>
      <c r="U491" s="112" t="s">
        <v>1065</v>
      </c>
      <c r="V491" s="112" t="s">
        <v>1066</v>
      </c>
      <c r="W491" s="112" t="s">
        <v>1066</v>
      </c>
      <c r="X491" s="112" t="s">
        <v>983</v>
      </c>
      <c r="Y491" s="112" t="s">
        <v>1066</v>
      </c>
      <c r="Z491" s="112" t="s">
        <v>1078</v>
      </c>
      <c r="AA491" s="112" t="s">
        <v>1067</v>
      </c>
      <c r="AB491" s="112" t="s">
        <v>1066</v>
      </c>
      <c r="AC491" s="112" t="s">
        <v>92</v>
      </c>
      <c r="AD491" s="112" t="s">
        <v>1066</v>
      </c>
      <c r="AE491" s="112" t="s">
        <v>1066</v>
      </c>
      <c r="AF491" s="112" t="s">
        <v>1066</v>
      </c>
      <c r="AG491" s="112" t="s">
        <v>1066</v>
      </c>
      <c r="AH491" s="112" t="s">
        <v>1066</v>
      </c>
      <c r="AI491" s="112" t="s">
        <v>785</v>
      </c>
      <c r="AJ491" s="112">
        <v>8931122</v>
      </c>
      <c r="AK491" s="112" t="s">
        <v>1243</v>
      </c>
      <c r="AL491" s="112">
        <v>789367</v>
      </c>
      <c r="AM491" s="112" t="s">
        <v>1066</v>
      </c>
      <c r="AN491" s="112" t="s">
        <v>1066</v>
      </c>
    </row>
    <row r="492" spans="1:40" ht="55.5" customHeight="1" x14ac:dyDescent="0.25">
      <c r="A492" s="111" t="s">
        <v>2924</v>
      </c>
      <c r="B492" s="112">
        <v>2026</v>
      </c>
      <c r="C492" s="112" t="s">
        <v>2925</v>
      </c>
      <c r="D492" s="113">
        <v>46045.394178240742</v>
      </c>
      <c r="E492" s="112">
        <v>3300050030</v>
      </c>
      <c r="F492" s="112" t="s">
        <v>1920</v>
      </c>
      <c r="G492" s="112">
        <v>3</v>
      </c>
      <c r="H492" s="112">
        <v>5857855056</v>
      </c>
      <c r="I492" s="112" t="s">
        <v>2926</v>
      </c>
      <c r="J492" s="112" t="s">
        <v>1231</v>
      </c>
      <c r="K492" s="112" t="s">
        <v>1232</v>
      </c>
      <c r="L492" s="112" t="s">
        <v>1084</v>
      </c>
      <c r="M492" s="112" t="s">
        <v>478</v>
      </c>
      <c r="N492" s="113">
        <v>46122.361180555556</v>
      </c>
      <c r="O492" s="114">
        <v>19002813850</v>
      </c>
      <c r="P492" s="112">
        <v>566</v>
      </c>
      <c r="Q492" s="112" t="s">
        <v>1074</v>
      </c>
      <c r="R492" s="112" t="s">
        <v>1206</v>
      </c>
      <c r="S492" s="113">
        <v>46073.729351851849</v>
      </c>
      <c r="T492" s="112" t="s">
        <v>2927</v>
      </c>
      <c r="U492" s="112" t="s">
        <v>1065</v>
      </c>
      <c r="V492" s="112" t="s">
        <v>1066</v>
      </c>
      <c r="W492" s="112" t="s">
        <v>1066</v>
      </c>
      <c r="X492" s="112" t="s">
        <v>1077</v>
      </c>
      <c r="Y492" s="112" t="s">
        <v>1066</v>
      </c>
      <c r="Z492" s="112" t="s">
        <v>1066</v>
      </c>
      <c r="AA492" s="112" t="s">
        <v>1208</v>
      </c>
      <c r="AB492" s="112" t="s">
        <v>1066</v>
      </c>
      <c r="AC492" s="112" t="s">
        <v>92</v>
      </c>
      <c r="AD492" s="112" t="s">
        <v>1066</v>
      </c>
      <c r="AE492" s="112" t="s">
        <v>1066</v>
      </c>
      <c r="AF492" s="112" t="s">
        <v>1066</v>
      </c>
      <c r="AG492" s="112" t="s">
        <v>1066</v>
      </c>
      <c r="AH492" s="112" t="s">
        <v>2928</v>
      </c>
      <c r="AI492" s="112" t="s">
        <v>785</v>
      </c>
      <c r="AJ492" s="112">
        <v>9255490</v>
      </c>
      <c r="AK492" s="112" t="s">
        <v>612</v>
      </c>
      <c r="AL492" s="112">
        <v>800643</v>
      </c>
      <c r="AM492" s="112" t="s">
        <v>1066</v>
      </c>
      <c r="AN492" s="112" t="s">
        <v>1066</v>
      </c>
    </row>
    <row r="493" spans="1:40" ht="55.5" customHeight="1" x14ac:dyDescent="0.25">
      <c r="A493" s="111" t="s">
        <v>2929</v>
      </c>
      <c r="B493" s="112">
        <v>2026</v>
      </c>
      <c r="C493" s="112" t="s">
        <v>1089</v>
      </c>
      <c r="D493" s="113">
        <v>46028.453888888886</v>
      </c>
      <c r="E493" s="112">
        <v>7915028003</v>
      </c>
      <c r="F493" s="112" t="s">
        <v>1189</v>
      </c>
      <c r="G493" s="112">
        <v>3</v>
      </c>
      <c r="H493" s="112">
        <v>7915028003</v>
      </c>
      <c r="I493" s="112" t="s">
        <v>2930</v>
      </c>
      <c r="J493" s="112" t="s">
        <v>1092</v>
      </c>
      <c r="K493" s="112" t="s">
        <v>1093</v>
      </c>
      <c r="L493" s="112" t="s">
        <v>1061</v>
      </c>
      <c r="M493" s="112" t="s">
        <v>478</v>
      </c>
      <c r="N493" s="113">
        <v>46428.453888888886</v>
      </c>
      <c r="O493" s="114">
        <v>19002203704</v>
      </c>
      <c r="P493" s="112">
        <v>0</v>
      </c>
      <c r="Q493" s="112" t="s">
        <v>1062</v>
      </c>
      <c r="R493" s="112" t="s">
        <v>1063</v>
      </c>
      <c r="S493" s="113">
        <v>46051.456944444442</v>
      </c>
      <c r="T493" s="112" t="s">
        <v>2931</v>
      </c>
      <c r="U493" s="112" t="s">
        <v>1065</v>
      </c>
      <c r="V493" s="112" t="s">
        <v>1066</v>
      </c>
      <c r="W493" s="112" t="s">
        <v>1066</v>
      </c>
      <c r="X493" s="112" t="s">
        <v>1066</v>
      </c>
      <c r="Y493" s="112" t="s">
        <v>1066</v>
      </c>
      <c r="Z493" s="112" t="s">
        <v>1066</v>
      </c>
      <c r="AA493" s="112" t="s">
        <v>1067</v>
      </c>
      <c r="AB493" s="112" t="s">
        <v>1066</v>
      </c>
      <c r="AC493" s="112" t="s">
        <v>92</v>
      </c>
      <c r="AD493" s="112" t="s">
        <v>1066</v>
      </c>
      <c r="AE493" s="112" t="s">
        <v>1066</v>
      </c>
      <c r="AF493" s="112" t="s">
        <v>1066</v>
      </c>
      <c r="AG493" s="112" t="s">
        <v>1066</v>
      </c>
      <c r="AH493" s="112" t="s">
        <v>1066</v>
      </c>
      <c r="AI493" s="112" t="s">
        <v>785</v>
      </c>
      <c r="AJ493" s="112">
        <v>8702732</v>
      </c>
      <c r="AK493" s="112" t="s">
        <v>210</v>
      </c>
      <c r="AL493" s="112">
        <v>710695</v>
      </c>
      <c r="AM493" s="112" t="s">
        <v>1066</v>
      </c>
      <c r="AN493" s="112" t="s">
        <v>1066</v>
      </c>
    </row>
    <row r="494" spans="1:40" ht="55.5" customHeight="1" x14ac:dyDescent="0.25">
      <c r="A494" s="124" t="s">
        <v>2932</v>
      </c>
      <c r="B494" s="125">
        <v>2026</v>
      </c>
      <c r="C494" s="125" t="s">
        <v>1210</v>
      </c>
      <c r="D494" s="126">
        <v>46114.608900462961</v>
      </c>
      <c r="E494" s="125">
        <v>7900535058</v>
      </c>
      <c r="F494" s="125" t="s">
        <v>284</v>
      </c>
      <c r="G494" s="125">
        <v>3</v>
      </c>
      <c r="H494" s="125">
        <v>7900535058</v>
      </c>
      <c r="I494" s="125" t="s">
        <v>2933</v>
      </c>
      <c r="J494" s="125" t="s">
        <v>1066</v>
      </c>
      <c r="K494" s="125" t="s">
        <v>1125</v>
      </c>
      <c r="L494" s="125" t="s">
        <v>1061</v>
      </c>
      <c r="M494" s="125" t="s">
        <v>510</v>
      </c>
      <c r="N494" s="126">
        <v>46514.608900462961</v>
      </c>
      <c r="O494" s="127">
        <v>19002259282</v>
      </c>
      <c r="P494" s="125">
        <v>501</v>
      </c>
      <c r="Q494" s="125" t="s">
        <v>1062</v>
      </c>
      <c r="R494" s="125" t="s">
        <v>1063</v>
      </c>
      <c r="S494" s="125" t="s">
        <v>1066</v>
      </c>
      <c r="T494" s="125" t="s">
        <v>1066</v>
      </c>
      <c r="U494" s="125" t="s">
        <v>1066</v>
      </c>
      <c r="V494" s="125" t="s">
        <v>1066</v>
      </c>
      <c r="W494" s="125" t="s">
        <v>1066</v>
      </c>
      <c r="X494" s="125" t="s">
        <v>1066</v>
      </c>
      <c r="Y494" s="125" t="s">
        <v>1066</v>
      </c>
      <c r="Z494" s="125" t="s">
        <v>1066</v>
      </c>
      <c r="AA494" s="125" t="s">
        <v>1067</v>
      </c>
      <c r="AB494" s="125" t="s">
        <v>1066</v>
      </c>
      <c r="AC494" s="125" t="s">
        <v>92</v>
      </c>
      <c r="AD494" s="125" t="s">
        <v>1066</v>
      </c>
      <c r="AE494" s="125" t="s">
        <v>1066</v>
      </c>
      <c r="AF494" s="125" t="s">
        <v>1066</v>
      </c>
      <c r="AG494" s="125" t="s">
        <v>1066</v>
      </c>
      <c r="AH494" s="125" t="s">
        <v>1066</v>
      </c>
      <c r="AI494" s="125" t="s">
        <v>785</v>
      </c>
      <c r="AJ494" s="125">
        <v>9212030</v>
      </c>
      <c r="AK494" s="125" t="s">
        <v>283</v>
      </c>
      <c r="AL494" s="125">
        <v>750473</v>
      </c>
      <c r="AM494" s="125" t="s">
        <v>1066</v>
      </c>
      <c r="AN494" s="125" t="s">
        <v>1066</v>
      </c>
    </row>
    <row r="495" spans="1:40" ht="55.5" customHeight="1" x14ac:dyDescent="0.25">
      <c r="A495" s="111" t="s">
        <v>2934</v>
      </c>
      <c r="B495" s="112">
        <v>2026</v>
      </c>
      <c r="C495" s="112" t="s">
        <v>2935</v>
      </c>
      <c r="D495" s="113">
        <v>46212.673217592594</v>
      </c>
      <c r="E495" s="112">
        <v>9005013001</v>
      </c>
      <c r="F495" s="112" t="s">
        <v>200</v>
      </c>
      <c r="G495" s="112">
        <v>2</v>
      </c>
      <c r="H495" s="112">
        <v>5836448001</v>
      </c>
      <c r="I495" s="112" t="s">
        <v>2936</v>
      </c>
      <c r="J495" s="112" t="s">
        <v>1092</v>
      </c>
      <c r="K495" s="112" t="s">
        <v>1330</v>
      </c>
      <c r="L495" s="112" t="s">
        <v>1061</v>
      </c>
      <c r="M495" s="112" t="s">
        <v>478</v>
      </c>
      <c r="N495" s="113">
        <v>46612.673217592594</v>
      </c>
      <c r="O495" s="114">
        <v>19002680172</v>
      </c>
      <c r="P495" s="112">
        <v>150</v>
      </c>
      <c r="Q495" s="112" t="s">
        <v>1074</v>
      </c>
      <c r="R495" s="112" t="s">
        <v>1063</v>
      </c>
      <c r="S495" s="113">
        <v>46230.729166666664</v>
      </c>
      <c r="T495" s="112" t="s">
        <v>2937</v>
      </c>
      <c r="U495" s="112" t="s">
        <v>1065</v>
      </c>
      <c r="V495" s="112" t="s">
        <v>1066</v>
      </c>
      <c r="W495" s="112" t="s">
        <v>1066</v>
      </c>
      <c r="X495" s="112" t="s">
        <v>1332</v>
      </c>
      <c r="Y495" s="112" t="s">
        <v>1066</v>
      </c>
      <c r="Z495" s="112" t="s">
        <v>1066</v>
      </c>
      <c r="AA495" s="112" t="s">
        <v>1067</v>
      </c>
      <c r="AB495" s="112" t="s">
        <v>1066</v>
      </c>
      <c r="AC495" s="112" t="s">
        <v>92</v>
      </c>
      <c r="AD495" s="112" t="s">
        <v>1066</v>
      </c>
      <c r="AE495" s="112" t="s">
        <v>1066</v>
      </c>
      <c r="AF495" s="112" t="s">
        <v>1066</v>
      </c>
      <c r="AG495" s="112" t="s">
        <v>1066</v>
      </c>
      <c r="AH495" s="112" t="s">
        <v>1066</v>
      </c>
      <c r="AI495" s="112" t="s">
        <v>785</v>
      </c>
      <c r="AJ495" s="112">
        <v>8872760</v>
      </c>
      <c r="AK495" s="112" t="s">
        <v>50</v>
      </c>
      <c r="AL495" s="112">
        <v>754291</v>
      </c>
      <c r="AM495" s="112" t="s">
        <v>1066</v>
      </c>
      <c r="AN495" s="112" t="s">
        <v>1066</v>
      </c>
    </row>
    <row r="496" spans="1:40" ht="55.5" customHeight="1" x14ac:dyDescent="0.25">
      <c r="A496" s="115" t="s">
        <v>2938</v>
      </c>
      <c r="B496" s="116">
        <v>2026</v>
      </c>
      <c r="C496" s="116" t="s">
        <v>2939</v>
      </c>
      <c r="D496" s="118">
        <v>46033.994293981479</v>
      </c>
      <c r="E496" s="116" t="s">
        <v>1066</v>
      </c>
      <c r="F496" s="116" t="s">
        <v>2940</v>
      </c>
      <c r="G496" s="116" t="s">
        <v>1066</v>
      </c>
      <c r="H496" s="116" t="s">
        <v>2941</v>
      </c>
      <c r="I496" s="116" t="s">
        <v>2942</v>
      </c>
      <c r="J496" s="116" t="s">
        <v>1071</v>
      </c>
      <c r="K496" s="116" t="s">
        <v>1110</v>
      </c>
      <c r="L496" s="116" t="s">
        <v>1073</v>
      </c>
      <c r="M496" s="116" t="s">
        <v>588</v>
      </c>
      <c r="N496" s="118">
        <v>46037.626122685186</v>
      </c>
      <c r="O496" s="119">
        <v>19002323341</v>
      </c>
      <c r="P496" s="116">
        <v>0</v>
      </c>
      <c r="Q496" s="116" t="s">
        <v>1700</v>
      </c>
      <c r="R496" s="116" t="s">
        <v>1263</v>
      </c>
      <c r="S496" s="116" t="s">
        <v>1066</v>
      </c>
      <c r="T496" s="116" t="s">
        <v>1066</v>
      </c>
      <c r="U496" s="116" t="s">
        <v>1066</v>
      </c>
      <c r="V496" s="116" t="s">
        <v>1066</v>
      </c>
      <c r="W496" s="116" t="s">
        <v>1066</v>
      </c>
      <c r="X496" s="116" t="s">
        <v>1066</v>
      </c>
      <c r="Y496" s="116" t="s">
        <v>1066</v>
      </c>
      <c r="Z496" s="116" t="s">
        <v>1066</v>
      </c>
      <c r="AA496" s="116" t="s">
        <v>1067</v>
      </c>
      <c r="AB496" s="116" t="s">
        <v>1066</v>
      </c>
      <c r="AC496" s="116" t="s">
        <v>92</v>
      </c>
      <c r="AD496" s="116" t="s">
        <v>1066</v>
      </c>
      <c r="AE496" s="116" t="s">
        <v>1066</v>
      </c>
      <c r="AF496" s="116" t="s">
        <v>1066</v>
      </c>
      <c r="AG496" s="116" t="s">
        <v>1066</v>
      </c>
      <c r="AH496" s="116" t="s">
        <v>1066</v>
      </c>
      <c r="AI496" s="116" t="s">
        <v>785</v>
      </c>
      <c r="AJ496" s="116" t="s">
        <v>1066</v>
      </c>
      <c r="AK496" s="116" t="s">
        <v>1066</v>
      </c>
      <c r="AL496" s="116" t="s">
        <v>1066</v>
      </c>
      <c r="AM496" s="116" t="s">
        <v>1066</v>
      </c>
      <c r="AN496" s="116" t="s">
        <v>1066</v>
      </c>
    </row>
    <row r="497" spans="1:40" ht="55.5" customHeight="1" x14ac:dyDescent="0.25">
      <c r="A497" s="111" t="s">
        <v>2943</v>
      </c>
      <c r="B497" s="112">
        <v>2026</v>
      </c>
      <c r="C497" s="112" t="s">
        <v>2944</v>
      </c>
      <c r="D497" s="113">
        <v>46030.313819444447</v>
      </c>
      <c r="E497" s="112">
        <v>9007738059</v>
      </c>
      <c r="F497" s="112" t="s">
        <v>2945</v>
      </c>
      <c r="G497" s="112">
        <v>2</v>
      </c>
      <c r="H497" s="112">
        <v>7931608059</v>
      </c>
      <c r="I497" s="112" t="s">
        <v>2946</v>
      </c>
      <c r="J497" s="112" t="s">
        <v>1071</v>
      </c>
      <c r="K497" s="112" t="s">
        <v>1662</v>
      </c>
      <c r="L497" s="112" t="s">
        <v>1073</v>
      </c>
      <c r="M497" s="112" t="s">
        <v>478</v>
      </c>
      <c r="N497" s="113">
        <v>46033.313819444447</v>
      </c>
      <c r="O497" s="114">
        <v>19001276971</v>
      </c>
      <c r="P497" s="112">
        <v>0</v>
      </c>
      <c r="Q497" s="112" t="s">
        <v>1131</v>
      </c>
      <c r="R497" s="112" t="s">
        <v>1075</v>
      </c>
      <c r="S497" s="113">
        <v>46044.477303240739</v>
      </c>
      <c r="T497" s="112" t="s">
        <v>2947</v>
      </c>
      <c r="U497" s="112" t="s">
        <v>1065</v>
      </c>
      <c r="V497" s="112" t="s">
        <v>1066</v>
      </c>
      <c r="W497" s="112" t="s">
        <v>1066</v>
      </c>
      <c r="X497" s="112" t="s">
        <v>983</v>
      </c>
      <c r="Y497" s="112" t="s">
        <v>1066</v>
      </c>
      <c r="Z497" s="112" t="s">
        <v>1148</v>
      </c>
      <c r="AA497" s="112" t="s">
        <v>1067</v>
      </c>
      <c r="AB497" s="112" t="s">
        <v>1066</v>
      </c>
      <c r="AC497" s="112" t="s">
        <v>92</v>
      </c>
      <c r="AD497" s="112" t="s">
        <v>1142</v>
      </c>
      <c r="AE497" s="112" t="s">
        <v>1066</v>
      </c>
      <c r="AF497" s="112" t="s">
        <v>1066</v>
      </c>
      <c r="AG497" s="112" t="s">
        <v>1066</v>
      </c>
      <c r="AH497" s="112" t="s">
        <v>1066</v>
      </c>
      <c r="AI497" s="112" t="s">
        <v>785</v>
      </c>
      <c r="AJ497" s="112">
        <v>8854562</v>
      </c>
      <c r="AK497" s="112" t="s">
        <v>264</v>
      </c>
      <c r="AL497" s="112">
        <v>796503</v>
      </c>
      <c r="AM497" s="112" t="s">
        <v>1066</v>
      </c>
      <c r="AN497" s="112" t="s">
        <v>1066</v>
      </c>
    </row>
    <row r="498" spans="1:40" ht="55.5" customHeight="1" x14ac:dyDescent="0.25">
      <c r="A498" s="111" t="s">
        <v>2948</v>
      </c>
      <c r="B498" s="112">
        <v>2026</v>
      </c>
      <c r="C498" s="112" t="s">
        <v>2949</v>
      </c>
      <c r="D498" s="113">
        <v>46104.343854166669</v>
      </c>
      <c r="E498" s="112">
        <v>2900612008</v>
      </c>
      <c r="F498" s="112" t="s">
        <v>2045</v>
      </c>
      <c r="G498" s="112">
        <v>2</v>
      </c>
      <c r="H498" s="112">
        <v>7963253008</v>
      </c>
      <c r="I498" s="112" t="s">
        <v>2950</v>
      </c>
      <c r="J498" s="112" t="s">
        <v>1231</v>
      </c>
      <c r="K498" s="112" t="s">
        <v>1232</v>
      </c>
      <c r="L498" s="112" t="s">
        <v>1084</v>
      </c>
      <c r="M498" s="112" t="s">
        <v>478</v>
      </c>
      <c r="N498" s="113">
        <v>46167.625891203701</v>
      </c>
      <c r="O498" s="114">
        <v>19002832849</v>
      </c>
      <c r="P498" s="112">
        <v>50</v>
      </c>
      <c r="Q498" s="112" t="s">
        <v>1131</v>
      </c>
      <c r="R498" s="112" t="s">
        <v>2951</v>
      </c>
      <c r="S498" s="113">
        <v>46135.508888888886</v>
      </c>
      <c r="T498" s="112" t="s">
        <v>2952</v>
      </c>
      <c r="U498" s="112" t="s">
        <v>1065</v>
      </c>
      <c r="V498" s="112" t="s">
        <v>1066</v>
      </c>
      <c r="W498" s="112" t="s">
        <v>1066</v>
      </c>
      <c r="X498" s="112" t="s">
        <v>983</v>
      </c>
      <c r="Y498" s="112" t="s">
        <v>1066</v>
      </c>
      <c r="Z498" s="112" t="s">
        <v>1066</v>
      </c>
      <c r="AA498" s="112" t="s">
        <v>1067</v>
      </c>
      <c r="AB498" s="112" t="s">
        <v>1066</v>
      </c>
      <c r="AC498" s="112" t="s">
        <v>92</v>
      </c>
      <c r="AD498" s="112" t="s">
        <v>1066</v>
      </c>
      <c r="AE498" s="112" t="s">
        <v>1066</v>
      </c>
      <c r="AF498" s="112" t="s">
        <v>1066</v>
      </c>
      <c r="AG498" s="112" t="s">
        <v>1066</v>
      </c>
      <c r="AH498" s="112" t="s">
        <v>2953</v>
      </c>
      <c r="AI498" s="112" t="s">
        <v>785</v>
      </c>
      <c r="AJ498" s="112">
        <v>8944794</v>
      </c>
      <c r="AK498" s="112" t="s">
        <v>2954</v>
      </c>
      <c r="AL498" s="112">
        <v>764593</v>
      </c>
      <c r="AM498" s="112" t="s">
        <v>1066</v>
      </c>
      <c r="AN498" s="112" t="s">
        <v>1066</v>
      </c>
    </row>
    <row r="499" spans="1:40" ht="55.5" customHeight="1" x14ac:dyDescent="0.25">
      <c r="A499" s="120" t="s">
        <v>2955</v>
      </c>
      <c r="B499" s="121">
        <v>2026</v>
      </c>
      <c r="C499" s="121" t="s">
        <v>2956</v>
      </c>
      <c r="D499" s="122">
        <v>46046.744363425925</v>
      </c>
      <c r="E499" s="121" t="s">
        <v>1066</v>
      </c>
      <c r="F499" s="121" t="s">
        <v>1654</v>
      </c>
      <c r="G499" s="121" t="s">
        <v>1066</v>
      </c>
      <c r="H499" s="121">
        <v>5800366016</v>
      </c>
      <c r="I499" s="121" t="s">
        <v>2957</v>
      </c>
      <c r="J499" s="121" t="s">
        <v>1071</v>
      </c>
      <c r="K499" s="121" t="s">
        <v>2958</v>
      </c>
      <c r="L499" s="121" t="s">
        <v>1073</v>
      </c>
      <c r="M499" s="121" t="s">
        <v>1116</v>
      </c>
      <c r="N499" s="122">
        <v>46049.744363425925</v>
      </c>
      <c r="O499" s="123">
        <v>19002682934</v>
      </c>
      <c r="P499" s="121">
        <v>0</v>
      </c>
      <c r="Q499" s="121" t="s">
        <v>1074</v>
      </c>
      <c r="R499" s="121" t="s">
        <v>1263</v>
      </c>
      <c r="S499" s="122">
        <v>46056.682962962965</v>
      </c>
      <c r="T499" s="121" t="s">
        <v>1066</v>
      </c>
      <c r="U499" s="121" t="s">
        <v>1066</v>
      </c>
      <c r="V499" s="121" t="s">
        <v>1066</v>
      </c>
      <c r="W499" s="121" t="s">
        <v>1066</v>
      </c>
      <c r="X499" s="121" t="s">
        <v>1077</v>
      </c>
      <c r="Y499" s="121" t="s">
        <v>1066</v>
      </c>
      <c r="Z499" s="121" t="s">
        <v>1479</v>
      </c>
      <c r="AA499" s="121" t="s">
        <v>1067</v>
      </c>
      <c r="AB499" s="121" t="s">
        <v>1066</v>
      </c>
      <c r="AC499" s="121" t="s">
        <v>92</v>
      </c>
      <c r="AD499" s="121" t="s">
        <v>1066</v>
      </c>
      <c r="AE499" s="121" t="s">
        <v>1066</v>
      </c>
      <c r="AF499" s="121" t="s">
        <v>1066</v>
      </c>
      <c r="AG499" s="121" t="s">
        <v>1066</v>
      </c>
      <c r="AH499" s="121" t="s">
        <v>1066</v>
      </c>
      <c r="AI499" s="121" t="s">
        <v>785</v>
      </c>
      <c r="AJ499" s="121">
        <v>9241712</v>
      </c>
      <c r="AK499" s="121" t="s">
        <v>537</v>
      </c>
      <c r="AL499" s="121">
        <v>834683</v>
      </c>
      <c r="AM499" s="121" t="s">
        <v>1066</v>
      </c>
      <c r="AN499" s="121" t="s">
        <v>1066</v>
      </c>
    </row>
    <row r="500" spans="1:40" ht="55.5" customHeight="1" x14ac:dyDescent="0.25">
      <c r="A500" s="111" t="s">
        <v>2959</v>
      </c>
      <c r="B500" s="112">
        <v>2026</v>
      </c>
      <c r="C500" s="112" t="s">
        <v>1210</v>
      </c>
      <c r="D500" s="113">
        <v>46114.608900462961</v>
      </c>
      <c r="E500" s="112">
        <v>7933724257</v>
      </c>
      <c r="F500" s="112" t="s">
        <v>136</v>
      </c>
      <c r="G500" s="112">
        <v>3</v>
      </c>
      <c r="H500" s="112">
        <v>7933724257</v>
      </c>
      <c r="I500" s="112" t="s">
        <v>2960</v>
      </c>
      <c r="J500" s="112" t="s">
        <v>1066</v>
      </c>
      <c r="K500" s="112" t="s">
        <v>1125</v>
      </c>
      <c r="L500" s="112" t="s">
        <v>1061</v>
      </c>
      <c r="M500" s="112" t="s">
        <v>478</v>
      </c>
      <c r="N500" s="113">
        <v>46514.608900462961</v>
      </c>
      <c r="O500" s="114">
        <v>19002207520</v>
      </c>
      <c r="P500" s="112">
        <v>43</v>
      </c>
      <c r="Q500" s="112" t="s">
        <v>1062</v>
      </c>
      <c r="R500" s="112" t="s">
        <v>1063</v>
      </c>
      <c r="S500" s="113">
        <v>46184.729351851849</v>
      </c>
      <c r="T500" s="112" t="s">
        <v>2961</v>
      </c>
      <c r="U500" s="112" t="s">
        <v>1065</v>
      </c>
      <c r="V500" s="112" t="s">
        <v>1066</v>
      </c>
      <c r="W500" s="112" t="s">
        <v>1066</v>
      </c>
      <c r="X500" s="112" t="s">
        <v>1066</v>
      </c>
      <c r="Y500" s="112" t="s">
        <v>1066</v>
      </c>
      <c r="Z500" s="112" t="s">
        <v>1066</v>
      </c>
      <c r="AA500" s="112" t="s">
        <v>1067</v>
      </c>
      <c r="AB500" s="112" t="s">
        <v>1066</v>
      </c>
      <c r="AC500" s="112" t="s">
        <v>92</v>
      </c>
      <c r="AD500" s="112" t="s">
        <v>1066</v>
      </c>
      <c r="AE500" s="112" t="s">
        <v>1066</v>
      </c>
      <c r="AF500" s="112" t="s">
        <v>1066</v>
      </c>
      <c r="AG500" s="112" t="s">
        <v>1066</v>
      </c>
      <c r="AH500" s="112" t="s">
        <v>1066</v>
      </c>
      <c r="AI500" s="112" t="s">
        <v>785</v>
      </c>
      <c r="AJ500" s="112">
        <v>8872297</v>
      </c>
      <c r="AK500" s="112" t="s">
        <v>426</v>
      </c>
      <c r="AL500" s="112">
        <v>975681</v>
      </c>
      <c r="AM500" s="112" t="s">
        <v>1066</v>
      </c>
      <c r="AN500" s="112" t="s">
        <v>1066</v>
      </c>
    </row>
    <row r="501" spans="1:40" ht="55.5" customHeight="1" x14ac:dyDescent="0.25">
      <c r="A501" s="111" t="s">
        <v>2962</v>
      </c>
      <c r="B501" s="112">
        <v>2026</v>
      </c>
      <c r="C501" s="112" t="s">
        <v>1057</v>
      </c>
      <c r="D501" s="113">
        <v>46125.584386574075</v>
      </c>
      <c r="E501" s="112">
        <v>7926252094</v>
      </c>
      <c r="F501" s="112" t="s">
        <v>302</v>
      </c>
      <c r="G501" s="112">
        <v>1</v>
      </c>
      <c r="H501" s="112">
        <v>7926252094</v>
      </c>
      <c r="I501" s="112" t="s">
        <v>2963</v>
      </c>
      <c r="J501" s="112" t="s">
        <v>1066</v>
      </c>
      <c r="K501" s="112" t="s">
        <v>1125</v>
      </c>
      <c r="L501" s="112" t="s">
        <v>1061</v>
      </c>
      <c r="M501" s="112" t="s">
        <v>478</v>
      </c>
      <c r="N501" s="113">
        <v>46525.584386574075</v>
      </c>
      <c r="O501" s="114">
        <v>19002203741</v>
      </c>
      <c r="P501" s="112">
        <v>347</v>
      </c>
      <c r="Q501" s="112" t="s">
        <v>1062</v>
      </c>
      <c r="R501" s="112" t="s">
        <v>1063</v>
      </c>
      <c r="S501" s="113">
        <v>46171.480706018519</v>
      </c>
      <c r="T501" s="112" t="s">
        <v>2964</v>
      </c>
      <c r="U501" s="112" t="s">
        <v>1065</v>
      </c>
      <c r="V501" s="112" t="s">
        <v>1066</v>
      </c>
      <c r="W501" s="112" t="s">
        <v>1066</v>
      </c>
      <c r="X501" s="112" t="s">
        <v>1066</v>
      </c>
      <c r="Y501" s="112" t="s">
        <v>1066</v>
      </c>
      <c r="Z501" s="112" t="s">
        <v>1066</v>
      </c>
      <c r="AA501" s="112" t="s">
        <v>1067</v>
      </c>
      <c r="AB501" s="112" t="s">
        <v>1066</v>
      </c>
      <c r="AC501" s="112" t="s">
        <v>92</v>
      </c>
      <c r="AD501" s="112" t="s">
        <v>1066</v>
      </c>
      <c r="AE501" s="112" t="s">
        <v>1066</v>
      </c>
      <c r="AF501" s="112" t="s">
        <v>1066</v>
      </c>
      <c r="AG501" s="112" t="s">
        <v>1066</v>
      </c>
      <c r="AH501" s="112" t="s">
        <v>1066</v>
      </c>
      <c r="AI501" s="112" t="s">
        <v>785</v>
      </c>
      <c r="AJ501" s="112">
        <v>8664532</v>
      </c>
      <c r="AK501" s="112" t="s">
        <v>224</v>
      </c>
      <c r="AL501" s="112">
        <v>782364</v>
      </c>
      <c r="AM501" s="112" t="s">
        <v>1066</v>
      </c>
      <c r="AN501" s="112" t="s">
        <v>1066</v>
      </c>
    </row>
    <row r="502" spans="1:40" ht="55.5" customHeight="1" x14ac:dyDescent="0.25">
      <c r="A502" s="124" t="s">
        <v>2965</v>
      </c>
      <c r="B502" s="125">
        <v>2026</v>
      </c>
      <c r="C502" s="125" t="s">
        <v>1449</v>
      </c>
      <c r="D502" s="126">
        <v>46244.660034722219</v>
      </c>
      <c r="E502" s="125">
        <v>7924620047</v>
      </c>
      <c r="F502" s="125" t="s">
        <v>386</v>
      </c>
      <c r="G502" s="125">
        <v>3</v>
      </c>
      <c r="H502" s="125">
        <v>7924620047</v>
      </c>
      <c r="I502" s="125" t="s">
        <v>2966</v>
      </c>
      <c r="J502" s="125" t="s">
        <v>1066</v>
      </c>
      <c r="K502" s="125" t="s">
        <v>1125</v>
      </c>
      <c r="L502" s="125" t="s">
        <v>1061</v>
      </c>
      <c r="M502" s="125" t="s">
        <v>510</v>
      </c>
      <c r="N502" s="126">
        <v>46644.660034722219</v>
      </c>
      <c r="O502" s="127">
        <v>19002220150</v>
      </c>
      <c r="P502" s="125">
        <v>214</v>
      </c>
      <c r="Q502" s="125" t="s">
        <v>1062</v>
      </c>
      <c r="R502" s="125" t="s">
        <v>1063</v>
      </c>
      <c r="S502" s="125" t="s">
        <v>1066</v>
      </c>
      <c r="T502" s="125" t="s">
        <v>2967</v>
      </c>
      <c r="U502" s="125" t="s">
        <v>1147</v>
      </c>
      <c r="V502" s="125" t="s">
        <v>1066</v>
      </c>
      <c r="W502" s="125" t="s">
        <v>1066</v>
      </c>
      <c r="X502" s="125" t="s">
        <v>1066</v>
      </c>
      <c r="Y502" s="125" t="s">
        <v>1066</v>
      </c>
      <c r="Z502" s="125" t="s">
        <v>1066</v>
      </c>
      <c r="AA502" s="125" t="s">
        <v>1067</v>
      </c>
      <c r="AB502" s="125" t="s">
        <v>1066</v>
      </c>
      <c r="AC502" s="125" t="s">
        <v>92</v>
      </c>
      <c r="AD502" s="125" t="s">
        <v>1066</v>
      </c>
      <c r="AE502" s="125" t="s">
        <v>1066</v>
      </c>
      <c r="AF502" s="125" t="s">
        <v>1066</v>
      </c>
      <c r="AG502" s="125" t="s">
        <v>1066</v>
      </c>
      <c r="AH502" s="125" t="s">
        <v>1066</v>
      </c>
      <c r="AI502" s="125" t="s">
        <v>785</v>
      </c>
      <c r="AJ502" s="125">
        <v>8656174</v>
      </c>
      <c r="AK502" s="125" t="s">
        <v>111</v>
      </c>
      <c r="AL502" s="125">
        <v>699259</v>
      </c>
      <c r="AM502" s="125" t="s">
        <v>1066</v>
      </c>
      <c r="AN502" s="125" t="s">
        <v>1066</v>
      </c>
    </row>
    <row r="503" spans="1:40" ht="55.5" customHeight="1" x14ac:dyDescent="0.25">
      <c r="A503" s="111" t="s">
        <v>2968</v>
      </c>
      <c r="B503" s="112">
        <v>2026</v>
      </c>
      <c r="C503" s="112" t="s">
        <v>2969</v>
      </c>
      <c r="D503" s="113">
        <v>46083.590289351851</v>
      </c>
      <c r="E503" s="112">
        <v>7925871077</v>
      </c>
      <c r="F503" s="112" t="s">
        <v>191</v>
      </c>
      <c r="G503" s="112">
        <v>2</v>
      </c>
      <c r="H503" s="112">
        <v>7925871077</v>
      </c>
      <c r="I503" s="112" t="s">
        <v>2970</v>
      </c>
      <c r="J503" s="112" t="s">
        <v>1092</v>
      </c>
      <c r="K503" s="112" t="s">
        <v>1179</v>
      </c>
      <c r="L503" s="112" t="s">
        <v>1061</v>
      </c>
      <c r="M503" s="112" t="s">
        <v>478</v>
      </c>
      <c r="N503" s="113">
        <v>46483.590289351851</v>
      </c>
      <c r="O503" s="114">
        <v>19002205254</v>
      </c>
      <c r="P503" s="112">
        <v>2.8679999999999999</v>
      </c>
      <c r="Q503" s="112" t="s">
        <v>1062</v>
      </c>
      <c r="R503" s="112" t="s">
        <v>1063</v>
      </c>
      <c r="S503" s="113">
        <v>46093.478958333333</v>
      </c>
      <c r="T503" s="112" t="s">
        <v>2971</v>
      </c>
      <c r="U503" s="112" t="s">
        <v>1065</v>
      </c>
      <c r="V503" s="112" t="s">
        <v>1066</v>
      </c>
      <c r="W503" s="112" t="s">
        <v>1066</v>
      </c>
      <c r="X503" s="112" t="s">
        <v>1066</v>
      </c>
      <c r="Y503" s="112" t="s">
        <v>1066</v>
      </c>
      <c r="Z503" s="112" t="s">
        <v>1066</v>
      </c>
      <c r="AA503" s="112" t="s">
        <v>1067</v>
      </c>
      <c r="AB503" s="112" t="s">
        <v>1066</v>
      </c>
      <c r="AC503" s="112" t="s">
        <v>92</v>
      </c>
      <c r="AD503" s="112" t="s">
        <v>1066</v>
      </c>
      <c r="AE503" s="112" t="s">
        <v>1066</v>
      </c>
      <c r="AF503" s="112" t="s">
        <v>1066</v>
      </c>
      <c r="AG503" s="112" t="s">
        <v>1066</v>
      </c>
      <c r="AH503" s="112" t="s">
        <v>1066</v>
      </c>
      <c r="AI503" s="112" t="s">
        <v>785</v>
      </c>
      <c r="AJ503" s="112">
        <v>9145475</v>
      </c>
      <c r="AK503" s="112" t="s">
        <v>190</v>
      </c>
      <c r="AL503" s="112">
        <v>905716</v>
      </c>
      <c r="AM503" s="112" t="s">
        <v>1066</v>
      </c>
      <c r="AN503" s="112" t="s">
        <v>1066</v>
      </c>
    </row>
    <row r="504" spans="1:40" ht="55.5" customHeight="1" x14ac:dyDescent="0.25">
      <c r="A504" s="111" t="s">
        <v>2972</v>
      </c>
      <c r="B504" s="112">
        <v>2026</v>
      </c>
      <c r="C504" s="112" t="s">
        <v>1213</v>
      </c>
      <c r="D504" s="113">
        <v>46122.549942129626</v>
      </c>
      <c r="E504" s="112">
        <v>7925731057</v>
      </c>
      <c r="F504" s="112" t="s">
        <v>284</v>
      </c>
      <c r="G504" s="112">
        <v>1</v>
      </c>
      <c r="H504" s="112">
        <v>7925731057</v>
      </c>
      <c r="I504" s="112" t="s">
        <v>2973</v>
      </c>
      <c r="J504" s="112" t="s">
        <v>1066</v>
      </c>
      <c r="K504" s="112" t="s">
        <v>1125</v>
      </c>
      <c r="L504" s="112" t="s">
        <v>1061</v>
      </c>
      <c r="M504" s="112" t="s">
        <v>478</v>
      </c>
      <c r="N504" s="113">
        <v>46522.549942129626</v>
      </c>
      <c r="O504" s="114">
        <v>19002205879</v>
      </c>
      <c r="P504" s="112">
        <v>3.254</v>
      </c>
      <c r="Q504" s="112" t="s">
        <v>1062</v>
      </c>
      <c r="R504" s="112" t="s">
        <v>1063</v>
      </c>
      <c r="S504" s="113">
        <v>46147.575694444444</v>
      </c>
      <c r="T504" s="112" t="s">
        <v>2974</v>
      </c>
      <c r="U504" s="112" t="s">
        <v>1065</v>
      </c>
      <c r="V504" s="112" t="s">
        <v>1066</v>
      </c>
      <c r="W504" s="112" t="s">
        <v>1066</v>
      </c>
      <c r="X504" s="112" t="s">
        <v>1066</v>
      </c>
      <c r="Y504" s="112" t="s">
        <v>1066</v>
      </c>
      <c r="Z504" s="112" t="s">
        <v>1066</v>
      </c>
      <c r="AA504" s="112" t="s">
        <v>1067</v>
      </c>
      <c r="AB504" s="112" t="s">
        <v>1066</v>
      </c>
      <c r="AC504" s="112" t="s">
        <v>92</v>
      </c>
      <c r="AD504" s="112" t="s">
        <v>1066</v>
      </c>
      <c r="AE504" s="112" t="s">
        <v>1066</v>
      </c>
      <c r="AF504" s="112" t="s">
        <v>1066</v>
      </c>
      <c r="AG504" s="112" t="s">
        <v>1066</v>
      </c>
      <c r="AH504" s="112" t="s">
        <v>1066</v>
      </c>
      <c r="AI504" s="112" t="s">
        <v>785</v>
      </c>
      <c r="AJ504" s="112">
        <v>9205176</v>
      </c>
      <c r="AK504" s="112" t="s">
        <v>69</v>
      </c>
      <c r="AL504" s="112">
        <v>793344</v>
      </c>
      <c r="AM504" s="112" t="s">
        <v>1066</v>
      </c>
      <c r="AN504" s="112" t="s">
        <v>1066</v>
      </c>
    </row>
    <row r="505" spans="1:40" ht="55.5" customHeight="1" x14ac:dyDescent="0.25">
      <c r="A505" s="111" t="s">
        <v>2975</v>
      </c>
      <c r="B505" s="112">
        <v>2026</v>
      </c>
      <c r="C505" s="112" t="s">
        <v>1057</v>
      </c>
      <c r="D505" s="113">
        <v>46125.584386574075</v>
      </c>
      <c r="E505" s="112">
        <v>7940258139</v>
      </c>
      <c r="F505" s="112" t="s">
        <v>1740</v>
      </c>
      <c r="G505" s="112">
        <v>3</v>
      </c>
      <c r="H505" s="112">
        <v>7940258139</v>
      </c>
      <c r="I505" s="112" t="s">
        <v>2976</v>
      </c>
      <c r="J505" s="112" t="s">
        <v>1066</v>
      </c>
      <c r="K505" s="112" t="s">
        <v>1125</v>
      </c>
      <c r="L505" s="112" t="s">
        <v>1061</v>
      </c>
      <c r="M505" s="112" t="s">
        <v>478</v>
      </c>
      <c r="N505" s="113">
        <v>46525.584386574075</v>
      </c>
      <c r="O505" s="114">
        <v>19002209466</v>
      </c>
      <c r="P505" s="112">
        <v>897</v>
      </c>
      <c r="Q505" s="112" t="s">
        <v>1062</v>
      </c>
      <c r="R505" s="112" t="s">
        <v>1063</v>
      </c>
      <c r="S505" s="113">
        <v>46149.723402777781</v>
      </c>
      <c r="T505" s="112" t="s">
        <v>2977</v>
      </c>
      <c r="U505" s="112" t="s">
        <v>1065</v>
      </c>
      <c r="V505" s="112" t="s">
        <v>1066</v>
      </c>
      <c r="W505" s="112" t="s">
        <v>1066</v>
      </c>
      <c r="X505" s="112" t="s">
        <v>1066</v>
      </c>
      <c r="Y505" s="112" t="s">
        <v>1066</v>
      </c>
      <c r="Z505" s="112" t="s">
        <v>1066</v>
      </c>
      <c r="AA505" s="112" t="s">
        <v>1067</v>
      </c>
      <c r="AB505" s="112" t="s">
        <v>1066</v>
      </c>
      <c r="AC505" s="112" t="s">
        <v>92</v>
      </c>
      <c r="AD505" s="112" t="s">
        <v>1066</v>
      </c>
      <c r="AE505" s="112" t="s">
        <v>1066</v>
      </c>
      <c r="AF505" s="112" t="s">
        <v>1066</v>
      </c>
      <c r="AG505" s="112" t="s">
        <v>1066</v>
      </c>
      <c r="AH505" s="112" t="s">
        <v>1066</v>
      </c>
      <c r="AI505" s="112" t="s">
        <v>785</v>
      </c>
      <c r="AJ505" s="112">
        <v>8646936</v>
      </c>
      <c r="AK505" s="112" t="s">
        <v>1787</v>
      </c>
      <c r="AL505" s="112">
        <v>636233</v>
      </c>
      <c r="AM505" s="112" t="s">
        <v>1066</v>
      </c>
      <c r="AN505" s="112" t="s">
        <v>1066</v>
      </c>
    </row>
    <row r="506" spans="1:40" ht="55.5" customHeight="1" x14ac:dyDescent="0.25">
      <c r="A506" s="111" t="s">
        <v>2978</v>
      </c>
      <c r="B506" s="112">
        <v>2026</v>
      </c>
      <c r="C506" s="112" t="s">
        <v>1057</v>
      </c>
      <c r="D506" s="113">
        <v>46125.584386574075</v>
      </c>
      <c r="E506" s="112">
        <v>7900388094</v>
      </c>
      <c r="F506" s="112" t="s">
        <v>302</v>
      </c>
      <c r="G506" s="112">
        <v>2</v>
      </c>
      <c r="H506" s="112">
        <v>7900388094</v>
      </c>
      <c r="I506" s="112" t="s">
        <v>2979</v>
      </c>
      <c r="J506" s="112" t="s">
        <v>1066</v>
      </c>
      <c r="K506" s="112" t="s">
        <v>1125</v>
      </c>
      <c r="L506" s="112" t="s">
        <v>1061</v>
      </c>
      <c r="M506" s="112" t="s">
        <v>478</v>
      </c>
      <c r="N506" s="113">
        <v>46525.584386574075</v>
      </c>
      <c r="O506" s="114">
        <v>19002209328</v>
      </c>
      <c r="P506" s="112">
        <v>1.7869999999999999</v>
      </c>
      <c r="Q506" s="112" t="s">
        <v>1062</v>
      </c>
      <c r="R506" s="112" t="s">
        <v>1063</v>
      </c>
      <c r="S506" s="113">
        <v>46176.323229166665</v>
      </c>
      <c r="T506" s="112" t="s">
        <v>2980</v>
      </c>
      <c r="U506" s="112" t="s">
        <v>1065</v>
      </c>
      <c r="V506" s="112" t="s">
        <v>1066</v>
      </c>
      <c r="W506" s="112" t="s">
        <v>1066</v>
      </c>
      <c r="X506" s="112" t="s">
        <v>1066</v>
      </c>
      <c r="Y506" s="112" t="s">
        <v>1066</v>
      </c>
      <c r="Z506" s="112" t="s">
        <v>1066</v>
      </c>
      <c r="AA506" s="112" t="s">
        <v>1067</v>
      </c>
      <c r="AB506" s="112" t="s">
        <v>1066</v>
      </c>
      <c r="AC506" s="112" t="s">
        <v>92</v>
      </c>
      <c r="AD506" s="112" t="s">
        <v>1066</v>
      </c>
      <c r="AE506" s="112" t="s">
        <v>1066</v>
      </c>
      <c r="AF506" s="112" t="s">
        <v>1066</v>
      </c>
      <c r="AG506" s="112" t="s">
        <v>1066</v>
      </c>
      <c r="AH506" s="112" t="s">
        <v>1066</v>
      </c>
      <c r="AI506" s="112" t="s">
        <v>785</v>
      </c>
      <c r="AJ506" s="112">
        <v>8670130</v>
      </c>
      <c r="AK506" s="112" t="s">
        <v>224</v>
      </c>
      <c r="AL506" s="112">
        <v>791356</v>
      </c>
      <c r="AM506" s="112" t="s">
        <v>1066</v>
      </c>
      <c r="AN506" s="112" t="s">
        <v>1066</v>
      </c>
    </row>
    <row r="507" spans="1:40" ht="55.5" customHeight="1" x14ac:dyDescent="0.25">
      <c r="A507" s="120" t="s">
        <v>2981</v>
      </c>
      <c r="B507" s="121">
        <v>2026</v>
      </c>
      <c r="C507" s="121" t="s">
        <v>2982</v>
      </c>
      <c r="D507" s="122">
        <v>46234.437326388892</v>
      </c>
      <c r="E507" s="121">
        <v>9029377080</v>
      </c>
      <c r="F507" s="121" t="s">
        <v>1654</v>
      </c>
      <c r="G507" s="121">
        <v>2</v>
      </c>
      <c r="H507" s="121">
        <v>5855063080</v>
      </c>
      <c r="I507" s="121" t="s">
        <v>2983</v>
      </c>
      <c r="J507" s="121" t="s">
        <v>1071</v>
      </c>
      <c r="K507" s="121" t="s">
        <v>1247</v>
      </c>
      <c r="L507" s="121" t="s">
        <v>1073</v>
      </c>
      <c r="M507" s="121" t="s">
        <v>1116</v>
      </c>
      <c r="N507" s="122">
        <v>46237.437326388892</v>
      </c>
      <c r="O507" s="123">
        <v>19002711812</v>
      </c>
      <c r="P507" s="121">
        <v>2.9820000000000002</v>
      </c>
      <c r="Q507" s="121" t="s">
        <v>1074</v>
      </c>
      <c r="R507" s="121" t="s">
        <v>1263</v>
      </c>
      <c r="S507" s="122">
        <v>46245.769178240742</v>
      </c>
      <c r="T507" s="121" t="s">
        <v>1066</v>
      </c>
      <c r="U507" s="121" t="s">
        <v>1066</v>
      </c>
      <c r="V507" s="121" t="s">
        <v>1066</v>
      </c>
      <c r="W507" s="121" t="s">
        <v>1066</v>
      </c>
      <c r="X507" s="121" t="s">
        <v>2984</v>
      </c>
      <c r="Y507" s="121" t="s">
        <v>1066</v>
      </c>
      <c r="Z507" s="121" t="s">
        <v>1479</v>
      </c>
      <c r="AA507" s="121" t="s">
        <v>1067</v>
      </c>
      <c r="AB507" s="121" t="s">
        <v>1066</v>
      </c>
      <c r="AC507" s="121" t="s">
        <v>92</v>
      </c>
      <c r="AD507" s="121" t="s">
        <v>1066</v>
      </c>
      <c r="AE507" s="121" t="s">
        <v>1066</v>
      </c>
      <c r="AF507" s="121" t="s">
        <v>1066</v>
      </c>
      <c r="AG507" s="121" t="s">
        <v>1066</v>
      </c>
      <c r="AH507" s="121" t="s">
        <v>1066</v>
      </c>
      <c r="AI507" s="121" t="s">
        <v>785</v>
      </c>
      <c r="AJ507" s="121">
        <v>9245329</v>
      </c>
      <c r="AK507" s="121" t="s">
        <v>1656</v>
      </c>
      <c r="AL507" s="121">
        <v>852067</v>
      </c>
      <c r="AM507" s="121" t="s">
        <v>1066</v>
      </c>
      <c r="AN507" s="121" t="s">
        <v>1066</v>
      </c>
    </row>
    <row r="508" spans="1:40" ht="55.5" customHeight="1" x14ac:dyDescent="0.25">
      <c r="A508" s="124" t="s">
        <v>2985</v>
      </c>
      <c r="B508" s="125">
        <v>2026</v>
      </c>
      <c r="C508" s="125" t="s">
        <v>2986</v>
      </c>
      <c r="D508" s="126">
        <v>46247.388229166667</v>
      </c>
      <c r="E508" s="125">
        <v>7924115034</v>
      </c>
      <c r="F508" s="125" t="s">
        <v>390</v>
      </c>
      <c r="G508" s="125">
        <v>2</v>
      </c>
      <c r="H508" s="125">
        <v>7924115034</v>
      </c>
      <c r="I508" s="125" t="s">
        <v>2987</v>
      </c>
      <c r="J508" s="125" t="s">
        <v>1854</v>
      </c>
      <c r="K508" s="125" t="s">
        <v>2988</v>
      </c>
      <c r="L508" s="125" t="s">
        <v>1073</v>
      </c>
      <c r="M508" s="125" t="s">
        <v>510</v>
      </c>
      <c r="N508" s="126">
        <v>46250.388229166667</v>
      </c>
      <c r="O508" s="127">
        <v>19002213257</v>
      </c>
      <c r="P508" s="125">
        <v>1.4119999999999999</v>
      </c>
      <c r="Q508" s="125" t="s">
        <v>1062</v>
      </c>
      <c r="R508" s="125" t="s">
        <v>1063</v>
      </c>
      <c r="S508" s="125" t="s">
        <v>1066</v>
      </c>
      <c r="T508" s="125" t="s">
        <v>1066</v>
      </c>
      <c r="U508" s="125" t="s">
        <v>1066</v>
      </c>
      <c r="V508" s="125" t="s">
        <v>1066</v>
      </c>
      <c r="W508" s="125" t="s">
        <v>1066</v>
      </c>
      <c r="X508" s="125" t="s">
        <v>1117</v>
      </c>
      <c r="Y508" s="125" t="s">
        <v>1066</v>
      </c>
      <c r="Z508" s="125" t="s">
        <v>2989</v>
      </c>
      <c r="AA508" s="125" t="s">
        <v>1067</v>
      </c>
      <c r="AB508" s="125" t="s">
        <v>1066</v>
      </c>
      <c r="AC508" s="125" t="s">
        <v>92</v>
      </c>
      <c r="AD508" s="125" t="s">
        <v>1066</v>
      </c>
      <c r="AE508" s="125" t="s">
        <v>1066</v>
      </c>
      <c r="AF508" s="125" t="s">
        <v>1066</v>
      </c>
      <c r="AG508" s="125" t="s">
        <v>1066</v>
      </c>
      <c r="AH508" s="125" t="s">
        <v>1066</v>
      </c>
      <c r="AI508" s="125" t="s">
        <v>785</v>
      </c>
      <c r="AJ508" s="125">
        <v>9056525</v>
      </c>
      <c r="AK508" s="125" t="s">
        <v>1226</v>
      </c>
      <c r="AL508" s="125">
        <v>774121</v>
      </c>
      <c r="AM508" s="125" t="s">
        <v>1066</v>
      </c>
      <c r="AN508" s="125" t="s">
        <v>1066</v>
      </c>
    </row>
    <row r="509" spans="1:40" ht="55.5" customHeight="1" x14ac:dyDescent="0.25">
      <c r="A509" s="111" t="s">
        <v>2990</v>
      </c>
      <c r="B509" s="112">
        <v>2026</v>
      </c>
      <c r="C509" s="112" t="s">
        <v>2991</v>
      </c>
      <c r="D509" s="113">
        <v>46048.330081018517</v>
      </c>
      <c r="E509" s="112">
        <v>8857203122</v>
      </c>
      <c r="F509" s="112" t="s">
        <v>1884</v>
      </c>
      <c r="G509" s="112">
        <v>2</v>
      </c>
      <c r="H509" s="112">
        <v>7956903122</v>
      </c>
      <c r="I509" s="112" t="s">
        <v>2992</v>
      </c>
      <c r="J509" s="112" t="s">
        <v>1157</v>
      </c>
      <c r="K509" s="112" t="s">
        <v>1158</v>
      </c>
      <c r="L509" s="112" t="s">
        <v>1084</v>
      </c>
      <c r="M509" s="112" t="s">
        <v>478</v>
      </c>
      <c r="N509" s="113">
        <v>46108.330081018517</v>
      </c>
      <c r="O509" s="114">
        <v>19002736902</v>
      </c>
      <c r="P509" s="112">
        <v>1.77</v>
      </c>
      <c r="Q509" s="112" t="s">
        <v>1131</v>
      </c>
      <c r="R509" s="112" t="s">
        <v>1085</v>
      </c>
      <c r="S509" s="113">
        <v>46134.727777777778</v>
      </c>
      <c r="T509" s="112" t="s">
        <v>2993</v>
      </c>
      <c r="U509" s="112" t="s">
        <v>1065</v>
      </c>
      <c r="V509" s="112" t="s">
        <v>1066</v>
      </c>
      <c r="W509" s="112" t="s">
        <v>1066</v>
      </c>
      <c r="X509" s="112" t="s">
        <v>1117</v>
      </c>
      <c r="Y509" s="112" t="s">
        <v>1066</v>
      </c>
      <c r="Z509" s="112" t="s">
        <v>1148</v>
      </c>
      <c r="AA509" s="112" t="s">
        <v>1067</v>
      </c>
      <c r="AB509" s="112" t="s">
        <v>1066</v>
      </c>
      <c r="AC509" s="112" t="s">
        <v>92</v>
      </c>
      <c r="AD509" s="112" t="s">
        <v>1066</v>
      </c>
      <c r="AE509" s="112" t="s">
        <v>1066</v>
      </c>
      <c r="AF509" s="112" t="s">
        <v>1066</v>
      </c>
      <c r="AG509" s="112" t="s">
        <v>1066</v>
      </c>
      <c r="AH509" s="112" t="s">
        <v>1066</v>
      </c>
      <c r="AI509" s="112" t="s">
        <v>785</v>
      </c>
      <c r="AJ509" s="112">
        <v>8873502</v>
      </c>
      <c r="AK509" s="112" t="s">
        <v>264</v>
      </c>
      <c r="AL509" s="112">
        <v>795745</v>
      </c>
      <c r="AM509" s="112" t="s">
        <v>1066</v>
      </c>
      <c r="AN509" s="112" t="s">
        <v>1066</v>
      </c>
    </row>
    <row r="510" spans="1:40" ht="55.5" customHeight="1" x14ac:dyDescent="0.25">
      <c r="A510" s="111" t="s">
        <v>2994</v>
      </c>
      <c r="B510" s="112">
        <v>2026</v>
      </c>
      <c r="C510" s="112" t="s">
        <v>2995</v>
      </c>
      <c r="D510" s="113">
        <v>46083.356840277775</v>
      </c>
      <c r="E510" s="112">
        <v>7963661046</v>
      </c>
      <c r="F510" s="112" t="s">
        <v>1219</v>
      </c>
      <c r="G510" s="112">
        <v>1</v>
      </c>
      <c r="H510" s="112">
        <v>7963661046</v>
      </c>
      <c r="I510" s="112" t="s">
        <v>2996</v>
      </c>
      <c r="J510" s="112" t="s">
        <v>1071</v>
      </c>
      <c r="K510" s="112" t="s">
        <v>1508</v>
      </c>
      <c r="L510" s="112" t="s">
        <v>1073</v>
      </c>
      <c r="M510" s="112" t="s">
        <v>478</v>
      </c>
      <c r="N510" s="113">
        <v>46086.356840277775</v>
      </c>
      <c r="O510" s="114">
        <v>19002823822</v>
      </c>
      <c r="P510" s="112">
        <v>1</v>
      </c>
      <c r="Q510" s="112" t="s">
        <v>1062</v>
      </c>
      <c r="R510" s="112" t="s">
        <v>1075</v>
      </c>
      <c r="S510" s="113">
        <v>46097.672835648147</v>
      </c>
      <c r="T510" s="112" t="s">
        <v>2997</v>
      </c>
      <c r="U510" s="112" t="s">
        <v>1065</v>
      </c>
      <c r="V510" s="112" t="s">
        <v>1066</v>
      </c>
      <c r="W510" s="112" t="s">
        <v>1066</v>
      </c>
      <c r="X510" s="112" t="s">
        <v>1117</v>
      </c>
      <c r="Y510" s="112" t="s">
        <v>1066</v>
      </c>
      <c r="Z510" s="112" t="s">
        <v>2835</v>
      </c>
      <c r="AA510" s="112" t="s">
        <v>1067</v>
      </c>
      <c r="AB510" s="112" t="s">
        <v>1066</v>
      </c>
      <c r="AC510" s="112" t="s">
        <v>92</v>
      </c>
      <c r="AD510" s="112" t="s">
        <v>1066</v>
      </c>
      <c r="AE510" s="112" t="s">
        <v>1066</v>
      </c>
      <c r="AF510" s="112" t="s">
        <v>1066</v>
      </c>
      <c r="AG510" s="112" t="s">
        <v>1066</v>
      </c>
      <c r="AH510" s="112" t="s">
        <v>1066</v>
      </c>
      <c r="AI510" s="112" t="s">
        <v>785</v>
      </c>
      <c r="AJ510" s="112">
        <v>8830255</v>
      </c>
      <c r="AK510" s="112" t="s">
        <v>1221</v>
      </c>
      <c r="AL510" s="112">
        <v>728313</v>
      </c>
      <c r="AM510" s="112" t="s">
        <v>1066</v>
      </c>
      <c r="AN510" s="112" t="s">
        <v>1066</v>
      </c>
    </row>
    <row r="511" spans="1:40" ht="55.5" customHeight="1" x14ac:dyDescent="0.25">
      <c r="A511" s="111" t="s">
        <v>2998</v>
      </c>
      <c r="B511" s="112">
        <v>2026</v>
      </c>
      <c r="C511" s="112" t="s">
        <v>1251</v>
      </c>
      <c r="D511" s="113">
        <v>46031.603807870371</v>
      </c>
      <c r="E511" s="112">
        <v>7915036003</v>
      </c>
      <c r="F511" s="112" t="s">
        <v>249</v>
      </c>
      <c r="G511" s="112">
        <v>3</v>
      </c>
      <c r="H511" s="112">
        <v>7915036003</v>
      </c>
      <c r="I511" s="112" t="s">
        <v>2999</v>
      </c>
      <c r="J511" s="112" t="s">
        <v>1059</v>
      </c>
      <c r="K511" s="112" t="s">
        <v>1060</v>
      </c>
      <c r="L511" s="112" t="s">
        <v>1061</v>
      </c>
      <c r="M511" s="112" t="s">
        <v>478</v>
      </c>
      <c r="N511" s="113">
        <v>46431.603807870371</v>
      </c>
      <c r="O511" s="114">
        <v>19002220349</v>
      </c>
      <c r="P511" s="112">
        <v>107</v>
      </c>
      <c r="Q511" s="112" t="s">
        <v>1062</v>
      </c>
      <c r="R511" s="112" t="s">
        <v>1063</v>
      </c>
      <c r="S511" s="113">
        <v>46031.729166666664</v>
      </c>
      <c r="T511" s="112" t="s">
        <v>1253</v>
      </c>
      <c r="U511" s="112" t="s">
        <v>1065</v>
      </c>
      <c r="V511" s="112" t="s">
        <v>1066</v>
      </c>
      <c r="W511" s="112" t="s">
        <v>1066</v>
      </c>
      <c r="X511" s="112" t="s">
        <v>1066</v>
      </c>
      <c r="Y511" s="112" t="s">
        <v>1066</v>
      </c>
      <c r="Z511" s="112" t="s">
        <v>1066</v>
      </c>
      <c r="AA511" s="112" t="s">
        <v>1067</v>
      </c>
      <c r="AB511" s="112" t="s">
        <v>1066</v>
      </c>
      <c r="AC511" s="112" t="s">
        <v>92</v>
      </c>
      <c r="AD511" s="112" t="s">
        <v>1066</v>
      </c>
      <c r="AE511" s="112" t="s">
        <v>1066</v>
      </c>
      <c r="AF511" s="112" t="s">
        <v>1066</v>
      </c>
      <c r="AG511" s="112" t="s">
        <v>1066</v>
      </c>
      <c r="AH511" s="112" t="s">
        <v>1066</v>
      </c>
      <c r="AI511" s="112" t="s">
        <v>785</v>
      </c>
      <c r="AJ511" s="112">
        <v>8695318</v>
      </c>
      <c r="AK511" s="112" t="s">
        <v>210</v>
      </c>
      <c r="AL511" s="112">
        <v>720816</v>
      </c>
      <c r="AM511" s="112" t="s">
        <v>1066</v>
      </c>
      <c r="AN511" s="112" t="s">
        <v>1066</v>
      </c>
    </row>
    <row r="512" spans="1:40" ht="55.5" customHeight="1" x14ac:dyDescent="0.25">
      <c r="A512" s="111" t="s">
        <v>3000</v>
      </c>
      <c r="B512" s="112">
        <v>2026</v>
      </c>
      <c r="C512" s="112" t="s">
        <v>3001</v>
      </c>
      <c r="D512" s="113">
        <v>46137.614259259259</v>
      </c>
      <c r="E512" s="112">
        <v>9032450001</v>
      </c>
      <c r="F512" s="112" t="s">
        <v>1104</v>
      </c>
      <c r="G512" s="112">
        <v>3</v>
      </c>
      <c r="H512" s="112">
        <v>5847496001</v>
      </c>
      <c r="I512" s="112" t="s">
        <v>3002</v>
      </c>
      <c r="J512" s="112" t="s">
        <v>1071</v>
      </c>
      <c r="K512" s="112" t="s">
        <v>1130</v>
      </c>
      <c r="L512" s="112" t="s">
        <v>1073</v>
      </c>
      <c r="M512" s="112" t="s">
        <v>478</v>
      </c>
      <c r="N512" s="113">
        <v>46140.614259259259</v>
      </c>
      <c r="O512" s="114">
        <v>19002705549</v>
      </c>
      <c r="P512" s="112">
        <v>269</v>
      </c>
      <c r="Q512" s="112" t="s">
        <v>1074</v>
      </c>
      <c r="R512" s="112" t="s">
        <v>1324</v>
      </c>
      <c r="S512" s="113">
        <v>46139.708333333336</v>
      </c>
      <c r="T512" s="112" t="s">
        <v>3003</v>
      </c>
      <c r="U512" s="112" t="s">
        <v>1065</v>
      </c>
      <c r="V512" s="112" t="s">
        <v>1066</v>
      </c>
      <c r="W512" s="112" t="s">
        <v>1066</v>
      </c>
      <c r="X512" s="112" t="s">
        <v>1318</v>
      </c>
      <c r="Y512" s="112" t="s">
        <v>1066</v>
      </c>
      <c r="Z512" s="112" t="s">
        <v>1479</v>
      </c>
      <c r="AA512" s="112" t="s">
        <v>1067</v>
      </c>
      <c r="AB512" s="112" t="s">
        <v>1066</v>
      </c>
      <c r="AC512" s="112" t="s">
        <v>92</v>
      </c>
      <c r="AD512" s="112" t="s">
        <v>1066</v>
      </c>
      <c r="AE512" s="112" t="s">
        <v>1066</v>
      </c>
      <c r="AF512" s="112" t="s">
        <v>1066</v>
      </c>
      <c r="AG512" s="112" t="s">
        <v>1066</v>
      </c>
      <c r="AH512" s="112" t="s">
        <v>1066</v>
      </c>
      <c r="AI512" s="112" t="s">
        <v>785</v>
      </c>
      <c r="AJ512" s="112">
        <v>8817965</v>
      </c>
      <c r="AK512" s="112" t="s">
        <v>50</v>
      </c>
      <c r="AL512" s="112">
        <v>804887</v>
      </c>
      <c r="AM512" s="112" t="s">
        <v>1066</v>
      </c>
      <c r="AN512" s="112" t="s">
        <v>1066</v>
      </c>
    </row>
    <row r="513" spans="1:40" ht="55.5" customHeight="1" x14ac:dyDescent="0.25">
      <c r="A513" s="111" t="s">
        <v>3004</v>
      </c>
      <c r="B513" s="112">
        <v>2026</v>
      </c>
      <c r="C513" s="112" t="s">
        <v>3005</v>
      </c>
      <c r="D513" s="113">
        <v>46111.653437499997</v>
      </c>
      <c r="E513" s="112">
        <v>8822365086</v>
      </c>
      <c r="F513" s="112" t="s">
        <v>355</v>
      </c>
      <c r="G513" s="112">
        <v>3</v>
      </c>
      <c r="H513" s="112">
        <v>7946687086</v>
      </c>
      <c r="I513" s="112" t="s">
        <v>3006</v>
      </c>
      <c r="J513" s="112" t="s">
        <v>1082</v>
      </c>
      <c r="K513" s="112" t="s">
        <v>1083</v>
      </c>
      <c r="L513" s="112" t="s">
        <v>1084</v>
      </c>
      <c r="M513" s="112" t="s">
        <v>478</v>
      </c>
      <c r="N513" s="113">
        <v>46171.653437499997</v>
      </c>
      <c r="O513" s="114">
        <v>19002622045</v>
      </c>
      <c r="P513" s="112">
        <v>108</v>
      </c>
      <c r="Q513" s="112" t="s">
        <v>1131</v>
      </c>
      <c r="R513" s="112" t="s">
        <v>1085</v>
      </c>
      <c r="S513" s="113">
        <v>46141.729131944441</v>
      </c>
      <c r="T513" s="112" t="s">
        <v>3007</v>
      </c>
      <c r="U513" s="112" t="s">
        <v>1065</v>
      </c>
      <c r="V513" s="112" t="s">
        <v>1066</v>
      </c>
      <c r="W513" s="112" t="s">
        <v>1066</v>
      </c>
      <c r="X513" s="112" t="s">
        <v>983</v>
      </c>
      <c r="Y513" s="112" t="s">
        <v>1066</v>
      </c>
      <c r="Z513" s="112" t="s">
        <v>1066</v>
      </c>
      <c r="AA513" s="112" t="s">
        <v>1067</v>
      </c>
      <c r="AB513" s="112" t="s">
        <v>1066</v>
      </c>
      <c r="AC513" s="112" t="s">
        <v>92</v>
      </c>
      <c r="AD513" s="112" t="s">
        <v>1066</v>
      </c>
      <c r="AE513" s="112" t="s">
        <v>1066</v>
      </c>
      <c r="AF513" s="112" t="s">
        <v>1066</v>
      </c>
      <c r="AG513" s="112" t="s">
        <v>1066</v>
      </c>
      <c r="AH513" s="112" t="s">
        <v>1066</v>
      </c>
      <c r="AI513" s="112" t="s">
        <v>785</v>
      </c>
      <c r="AJ513" s="112">
        <v>8927851</v>
      </c>
      <c r="AK513" s="112" t="s">
        <v>1143</v>
      </c>
      <c r="AL513" s="112">
        <v>626004</v>
      </c>
      <c r="AM513" s="112" t="s">
        <v>1066</v>
      </c>
      <c r="AN513" s="112" t="s">
        <v>1066</v>
      </c>
    </row>
    <row r="514" spans="1:40" ht="55.5" customHeight="1" x14ac:dyDescent="0.25">
      <c r="A514" s="111" t="s">
        <v>3008</v>
      </c>
      <c r="B514" s="112">
        <v>2026</v>
      </c>
      <c r="C514" s="112" t="s">
        <v>1213</v>
      </c>
      <c r="D514" s="113">
        <v>46122.549942129626</v>
      </c>
      <c r="E514" s="112">
        <v>7903565004</v>
      </c>
      <c r="F514" s="112" t="s">
        <v>70</v>
      </c>
      <c r="G514" s="112">
        <v>1</v>
      </c>
      <c r="H514" s="112">
        <v>7903565004</v>
      </c>
      <c r="I514" s="112" t="s">
        <v>3009</v>
      </c>
      <c r="J514" s="112" t="s">
        <v>1066</v>
      </c>
      <c r="K514" s="112" t="s">
        <v>1125</v>
      </c>
      <c r="L514" s="112" t="s">
        <v>1061</v>
      </c>
      <c r="M514" s="112" t="s">
        <v>478</v>
      </c>
      <c r="N514" s="113">
        <v>46522.549942129626</v>
      </c>
      <c r="O514" s="114">
        <v>19002213826</v>
      </c>
      <c r="P514" s="112">
        <v>3.0030000000000001</v>
      </c>
      <c r="Q514" s="112" t="s">
        <v>1062</v>
      </c>
      <c r="R514" s="112" t="s">
        <v>1063</v>
      </c>
      <c r="S514" s="113">
        <v>46126.729166666664</v>
      </c>
      <c r="T514" s="112" t="s">
        <v>3010</v>
      </c>
      <c r="U514" s="112" t="s">
        <v>1065</v>
      </c>
      <c r="V514" s="112" t="s">
        <v>1066</v>
      </c>
      <c r="W514" s="112" t="s">
        <v>1066</v>
      </c>
      <c r="X514" s="112" t="s">
        <v>1066</v>
      </c>
      <c r="Y514" s="112" t="s">
        <v>1066</v>
      </c>
      <c r="Z514" s="112" t="s">
        <v>1066</v>
      </c>
      <c r="AA514" s="112" t="s">
        <v>1067</v>
      </c>
      <c r="AB514" s="112" t="s">
        <v>1066</v>
      </c>
      <c r="AC514" s="112" t="s">
        <v>92</v>
      </c>
      <c r="AD514" s="112" t="s">
        <v>1066</v>
      </c>
      <c r="AE514" s="112" t="s">
        <v>1066</v>
      </c>
      <c r="AF514" s="112" t="s">
        <v>1066</v>
      </c>
      <c r="AG514" s="112" t="s">
        <v>1066</v>
      </c>
      <c r="AH514" s="112" t="s">
        <v>1066</v>
      </c>
      <c r="AI514" s="112" t="s">
        <v>785</v>
      </c>
      <c r="AJ514" s="112">
        <v>9205474</v>
      </c>
      <c r="AK514" s="112" t="s">
        <v>69</v>
      </c>
      <c r="AL514" s="112">
        <v>806871</v>
      </c>
      <c r="AM514" s="112" t="s">
        <v>1066</v>
      </c>
      <c r="AN514" s="112" t="s">
        <v>1066</v>
      </c>
    </row>
    <row r="515" spans="1:40" ht="55.5" customHeight="1" x14ac:dyDescent="0.25">
      <c r="A515" s="111" t="s">
        <v>3011</v>
      </c>
      <c r="B515" s="112">
        <v>2026</v>
      </c>
      <c r="C515" s="112" t="s">
        <v>1213</v>
      </c>
      <c r="D515" s="113">
        <v>46122.549942129626</v>
      </c>
      <c r="E515" s="112">
        <v>7922965090</v>
      </c>
      <c r="F515" s="112" t="s">
        <v>351</v>
      </c>
      <c r="G515" s="112">
        <v>2</v>
      </c>
      <c r="H515" s="112">
        <v>7922965090</v>
      </c>
      <c r="I515" s="112" t="s">
        <v>3012</v>
      </c>
      <c r="J515" s="112" t="s">
        <v>1066</v>
      </c>
      <c r="K515" s="112" t="s">
        <v>1125</v>
      </c>
      <c r="L515" s="112" t="s">
        <v>1061</v>
      </c>
      <c r="M515" s="112" t="s">
        <v>478</v>
      </c>
      <c r="N515" s="113">
        <v>46522.549942129626</v>
      </c>
      <c r="O515" s="114">
        <v>19002206814</v>
      </c>
      <c r="P515" s="112">
        <v>341</v>
      </c>
      <c r="Q515" s="112" t="s">
        <v>1062</v>
      </c>
      <c r="R515" s="112" t="s">
        <v>1063</v>
      </c>
      <c r="S515" s="113">
        <v>46128.498611111114</v>
      </c>
      <c r="T515" s="112" t="s">
        <v>3013</v>
      </c>
      <c r="U515" s="112" t="s">
        <v>1065</v>
      </c>
      <c r="V515" s="112" t="s">
        <v>1066</v>
      </c>
      <c r="W515" s="112" t="s">
        <v>1066</v>
      </c>
      <c r="X515" s="112" t="s">
        <v>1066</v>
      </c>
      <c r="Y515" s="112" t="s">
        <v>1066</v>
      </c>
      <c r="Z515" s="112" t="s">
        <v>1066</v>
      </c>
      <c r="AA515" s="112" t="s">
        <v>1067</v>
      </c>
      <c r="AB515" s="112" t="s">
        <v>1066</v>
      </c>
      <c r="AC515" s="112" t="s">
        <v>92</v>
      </c>
      <c r="AD515" s="112" t="s">
        <v>1066</v>
      </c>
      <c r="AE515" s="112" t="s">
        <v>1066</v>
      </c>
      <c r="AF515" s="112" t="s">
        <v>1066</v>
      </c>
      <c r="AG515" s="112" t="s">
        <v>1066</v>
      </c>
      <c r="AH515" s="112" t="s">
        <v>1066</v>
      </c>
      <c r="AI515" s="112" t="s">
        <v>785</v>
      </c>
      <c r="AJ515" s="112">
        <v>9299128</v>
      </c>
      <c r="AK515" s="112" t="s">
        <v>2209</v>
      </c>
      <c r="AL515" s="112">
        <v>855669</v>
      </c>
      <c r="AM515" s="112" t="s">
        <v>1066</v>
      </c>
      <c r="AN515" s="112" t="s">
        <v>1066</v>
      </c>
    </row>
    <row r="516" spans="1:40" ht="55.5" customHeight="1" x14ac:dyDescent="0.25">
      <c r="A516" s="115" t="s">
        <v>1998</v>
      </c>
      <c r="B516" s="116">
        <v>2026</v>
      </c>
      <c r="C516" s="116" t="s">
        <v>3014</v>
      </c>
      <c r="D516" s="118">
        <v>46145.684791666667</v>
      </c>
      <c r="E516" s="116">
        <v>8800947086</v>
      </c>
      <c r="F516" s="116" t="s">
        <v>682</v>
      </c>
      <c r="G516" s="116">
        <v>2</v>
      </c>
      <c r="H516" s="116">
        <v>5851753086</v>
      </c>
      <c r="I516" s="116" t="s">
        <v>1996</v>
      </c>
      <c r="J516" s="116" t="s">
        <v>1071</v>
      </c>
      <c r="K516" s="116" t="s">
        <v>1261</v>
      </c>
      <c r="L516" s="116" t="s">
        <v>1073</v>
      </c>
      <c r="M516" s="116" t="s">
        <v>588</v>
      </c>
      <c r="N516" s="118">
        <v>46166.651724537034</v>
      </c>
      <c r="O516" s="119">
        <v>19002689509</v>
      </c>
      <c r="P516" s="116">
        <v>1.329</v>
      </c>
      <c r="Q516" s="116" t="s">
        <v>1074</v>
      </c>
      <c r="R516" s="116" t="s">
        <v>1075</v>
      </c>
      <c r="S516" s="116" t="s">
        <v>1066</v>
      </c>
      <c r="T516" s="116" t="s">
        <v>1066</v>
      </c>
      <c r="U516" s="116" t="s">
        <v>1066</v>
      </c>
      <c r="V516" s="116" t="s">
        <v>1066</v>
      </c>
      <c r="W516" s="116" t="s">
        <v>1066</v>
      </c>
      <c r="X516" s="116" t="s">
        <v>1077</v>
      </c>
      <c r="Y516" s="116" t="s">
        <v>1066</v>
      </c>
      <c r="Z516" s="116" t="s">
        <v>1078</v>
      </c>
      <c r="AA516" s="116" t="s">
        <v>1067</v>
      </c>
      <c r="AB516" s="116" t="s">
        <v>1066</v>
      </c>
      <c r="AC516" s="116" t="s">
        <v>92</v>
      </c>
      <c r="AD516" s="116" t="s">
        <v>1066</v>
      </c>
      <c r="AE516" s="116" t="s">
        <v>1066</v>
      </c>
      <c r="AF516" s="116" t="s">
        <v>1066</v>
      </c>
      <c r="AG516" s="116" t="s">
        <v>1066</v>
      </c>
      <c r="AH516" s="116" t="s">
        <v>1066</v>
      </c>
      <c r="AI516" s="116" t="s">
        <v>785</v>
      </c>
      <c r="AJ516" s="116">
        <v>8916495</v>
      </c>
      <c r="AK516" s="116" t="s">
        <v>1143</v>
      </c>
      <c r="AL516" s="116">
        <v>649373</v>
      </c>
      <c r="AM516" s="116" t="s">
        <v>1066</v>
      </c>
      <c r="AN516" s="116" t="s">
        <v>1066</v>
      </c>
    </row>
    <row r="517" spans="1:40" ht="55.5" customHeight="1" x14ac:dyDescent="0.25">
      <c r="A517" s="111" t="s">
        <v>3015</v>
      </c>
      <c r="B517" s="112">
        <v>2026</v>
      </c>
      <c r="C517" s="112" t="s">
        <v>1213</v>
      </c>
      <c r="D517" s="113">
        <v>46122.549942129626</v>
      </c>
      <c r="E517" s="112">
        <v>7935863004</v>
      </c>
      <c r="F517" s="112" t="s">
        <v>3016</v>
      </c>
      <c r="G517" s="112">
        <v>1</v>
      </c>
      <c r="H517" s="112">
        <v>7935863004</v>
      </c>
      <c r="I517" s="112" t="s">
        <v>3017</v>
      </c>
      <c r="J517" s="112" t="s">
        <v>1066</v>
      </c>
      <c r="K517" s="112" t="s">
        <v>1125</v>
      </c>
      <c r="L517" s="112" t="s">
        <v>1061</v>
      </c>
      <c r="M517" s="112" t="s">
        <v>478</v>
      </c>
      <c r="N517" s="113">
        <v>46522.549942129626</v>
      </c>
      <c r="O517" s="114">
        <v>19002207731</v>
      </c>
      <c r="P517" s="112">
        <v>0</v>
      </c>
      <c r="Q517" s="112" t="s">
        <v>1062</v>
      </c>
      <c r="R517" s="112" t="s">
        <v>1063</v>
      </c>
      <c r="S517" s="113">
        <v>46132.729166666664</v>
      </c>
      <c r="T517" s="112" t="s">
        <v>3018</v>
      </c>
      <c r="U517" s="112" t="s">
        <v>1065</v>
      </c>
      <c r="V517" s="112" t="s">
        <v>1066</v>
      </c>
      <c r="W517" s="112" t="s">
        <v>1066</v>
      </c>
      <c r="X517" s="112" t="s">
        <v>1066</v>
      </c>
      <c r="Y517" s="112" t="s">
        <v>1066</v>
      </c>
      <c r="Z517" s="112" t="s">
        <v>1066</v>
      </c>
      <c r="AA517" s="112" t="s">
        <v>1067</v>
      </c>
      <c r="AB517" s="112" t="s">
        <v>1066</v>
      </c>
      <c r="AC517" s="112" t="s">
        <v>92</v>
      </c>
      <c r="AD517" s="112" t="s">
        <v>1066</v>
      </c>
      <c r="AE517" s="112" t="s">
        <v>1066</v>
      </c>
      <c r="AF517" s="112" t="s">
        <v>1066</v>
      </c>
      <c r="AG517" s="112" t="s">
        <v>1066</v>
      </c>
      <c r="AH517" s="112" t="s">
        <v>1066</v>
      </c>
      <c r="AI517" s="112" t="s">
        <v>785</v>
      </c>
      <c r="AJ517" s="112">
        <v>9201638</v>
      </c>
      <c r="AK517" s="112" t="s">
        <v>69</v>
      </c>
      <c r="AL517" s="112">
        <v>808715</v>
      </c>
      <c r="AM517" s="112" t="s">
        <v>1066</v>
      </c>
      <c r="AN517" s="112" t="s">
        <v>1066</v>
      </c>
    </row>
    <row r="518" spans="1:40" ht="55.5" customHeight="1" x14ac:dyDescent="0.25">
      <c r="A518" s="111" t="s">
        <v>3019</v>
      </c>
      <c r="B518" s="112">
        <v>2026</v>
      </c>
      <c r="C518" s="112" t="s">
        <v>1057</v>
      </c>
      <c r="D518" s="113">
        <v>46125.584386574075</v>
      </c>
      <c r="E518" s="112">
        <v>7902096003</v>
      </c>
      <c r="F518" s="112" t="s">
        <v>1736</v>
      </c>
      <c r="G518" s="112">
        <v>2</v>
      </c>
      <c r="H518" s="112">
        <v>7902096003</v>
      </c>
      <c r="I518" s="112" t="s">
        <v>3020</v>
      </c>
      <c r="J518" s="112" t="s">
        <v>1066</v>
      </c>
      <c r="K518" s="112" t="s">
        <v>1125</v>
      </c>
      <c r="L518" s="112" t="s">
        <v>1061</v>
      </c>
      <c r="M518" s="112" t="s">
        <v>478</v>
      </c>
      <c r="N518" s="113">
        <v>46525.584386574075</v>
      </c>
      <c r="O518" s="114">
        <v>19002225243</v>
      </c>
      <c r="P518" s="112">
        <v>1.7070000000000001</v>
      </c>
      <c r="Q518" s="112" t="s">
        <v>1062</v>
      </c>
      <c r="R518" s="112" t="s">
        <v>1063</v>
      </c>
      <c r="S518" s="113">
        <v>46154.727129629631</v>
      </c>
      <c r="T518" s="112" t="s">
        <v>3021</v>
      </c>
      <c r="U518" s="112" t="s">
        <v>1065</v>
      </c>
      <c r="V518" s="112" t="s">
        <v>1066</v>
      </c>
      <c r="W518" s="112" t="s">
        <v>1066</v>
      </c>
      <c r="X518" s="112" t="s">
        <v>1066</v>
      </c>
      <c r="Y518" s="112" t="s">
        <v>1066</v>
      </c>
      <c r="Z518" s="112" t="s">
        <v>1066</v>
      </c>
      <c r="AA518" s="112" t="s">
        <v>1067</v>
      </c>
      <c r="AB518" s="112" t="s">
        <v>1066</v>
      </c>
      <c r="AC518" s="112" t="s">
        <v>92</v>
      </c>
      <c r="AD518" s="112" t="s">
        <v>1066</v>
      </c>
      <c r="AE518" s="112" t="s">
        <v>1066</v>
      </c>
      <c r="AF518" s="112" t="s">
        <v>1066</v>
      </c>
      <c r="AG518" s="112" t="s">
        <v>1066</v>
      </c>
      <c r="AH518" s="112" t="s">
        <v>1066</v>
      </c>
      <c r="AI518" s="112" t="s">
        <v>785</v>
      </c>
      <c r="AJ518" s="112">
        <v>8703040</v>
      </c>
      <c r="AK518" s="112" t="s">
        <v>210</v>
      </c>
      <c r="AL518" s="112">
        <v>708361</v>
      </c>
      <c r="AM518" s="112" t="s">
        <v>1066</v>
      </c>
      <c r="AN518" s="112" t="s">
        <v>1066</v>
      </c>
    </row>
    <row r="519" spans="1:40" ht="55.5" customHeight="1" x14ac:dyDescent="0.25">
      <c r="A519" s="124" t="s">
        <v>3022</v>
      </c>
      <c r="B519" s="125">
        <v>2026</v>
      </c>
      <c r="C519" s="125" t="s">
        <v>1449</v>
      </c>
      <c r="D519" s="126">
        <v>46244.660034722219</v>
      </c>
      <c r="E519" s="125">
        <v>7908710028</v>
      </c>
      <c r="F519" s="125" t="s">
        <v>3023</v>
      </c>
      <c r="G519" s="125">
        <v>2</v>
      </c>
      <c r="H519" s="125">
        <v>7908710028</v>
      </c>
      <c r="I519" s="125" t="s">
        <v>3024</v>
      </c>
      <c r="J519" s="125" t="s">
        <v>1066</v>
      </c>
      <c r="K519" s="125" t="s">
        <v>1125</v>
      </c>
      <c r="L519" s="125" t="s">
        <v>1061</v>
      </c>
      <c r="M519" s="125" t="s">
        <v>510</v>
      </c>
      <c r="N519" s="126">
        <v>46644.660034722219</v>
      </c>
      <c r="O519" s="125">
        <v>7908710028</v>
      </c>
      <c r="P519" s="125">
        <v>0</v>
      </c>
      <c r="Q519" s="125" t="s">
        <v>983</v>
      </c>
      <c r="R519" s="125" t="s">
        <v>1063</v>
      </c>
      <c r="S519" s="125" t="s">
        <v>1066</v>
      </c>
      <c r="T519" s="125" t="s">
        <v>1066</v>
      </c>
      <c r="U519" s="125" t="s">
        <v>1066</v>
      </c>
      <c r="V519" s="125" t="s">
        <v>1066</v>
      </c>
      <c r="W519" s="125" t="s">
        <v>1066</v>
      </c>
      <c r="X519" s="125" t="s">
        <v>1066</v>
      </c>
      <c r="Y519" s="125" t="s">
        <v>1066</v>
      </c>
      <c r="Z519" s="125" t="s">
        <v>1066</v>
      </c>
      <c r="AA519" s="125" t="s">
        <v>1067</v>
      </c>
      <c r="AB519" s="125" t="s">
        <v>1066</v>
      </c>
      <c r="AC519" s="125" t="s">
        <v>92</v>
      </c>
      <c r="AD519" s="125" t="s">
        <v>1142</v>
      </c>
      <c r="AE519" s="125" t="s">
        <v>1066</v>
      </c>
      <c r="AF519" s="125" t="s">
        <v>1066</v>
      </c>
      <c r="AG519" s="125" t="s">
        <v>1066</v>
      </c>
      <c r="AH519" s="125" t="s">
        <v>1066</v>
      </c>
      <c r="AI519" s="125" t="s">
        <v>785</v>
      </c>
      <c r="AJ519" s="125" t="s">
        <v>1066</v>
      </c>
      <c r="AK519" s="125" t="s">
        <v>1066</v>
      </c>
      <c r="AL519" s="125" t="s">
        <v>1066</v>
      </c>
      <c r="AM519" s="125" t="s">
        <v>1066</v>
      </c>
      <c r="AN519" s="125" t="s">
        <v>1066</v>
      </c>
    </row>
    <row r="520" spans="1:40" ht="55.5" customHeight="1" x14ac:dyDescent="0.25">
      <c r="A520" s="111" t="s">
        <v>3025</v>
      </c>
      <c r="B520" s="112">
        <v>2026</v>
      </c>
      <c r="C520" s="112" t="s">
        <v>3026</v>
      </c>
      <c r="D520" s="113">
        <v>46058.653726851851</v>
      </c>
      <c r="E520" s="112">
        <v>9000545083</v>
      </c>
      <c r="F520" s="112" t="s">
        <v>1090</v>
      </c>
      <c r="G520" s="112">
        <v>2</v>
      </c>
      <c r="H520" s="112">
        <v>7900543083</v>
      </c>
      <c r="I520" s="112" t="s">
        <v>3027</v>
      </c>
      <c r="J520" s="112" t="s">
        <v>1071</v>
      </c>
      <c r="K520" s="112" t="s">
        <v>1099</v>
      </c>
      <c r="L520" s="112" t="s">
        <v>1073</v>
      </c>
      <c r="M520" s="112" t="s">
        <v>478</v>
      </c>
      <c r="N520" s="113">
        <v>46061.653726851851</v>
      </c>
      <c r="O520" s="114">
        <v>19000094215</v>
      </c>
      <c r="P520" s="112">
        <v>1.9530000000000001</v>
      </c>
      <c r="Q520" s="112" t="s">
        <v>1131</v>
      </c>
      <c r="R520" s="112" t="s">
        <v>1075</v>
      </c>
      <c r="S520" s="113">
        <v>46118.726851851854</v>
      </c>
      <c r="T520" s="112" t="s">
        <v>3028</v>
      </c>
      <c r="U520" s="112" t="s">
        <v>1065</v>
      </c>
      <c r="V520" s="112" t="s">
        <v>1066</v>
      </c>
      <c r="W520" s="112" t="s">
        <v>1066</v>
      </c>
      <c r="X520" s="112" t="s">
        <v>1117</v>
      </c>
      <c r="Y520" s="112" t="s">
        <v>1066</v>
      </c>
      <c r="Z520" s="112" t="s">
        <v>1078</v>
      </c>
      <c r="AA520" s="112" t="s">
        <v>1067</v>
      </c>
      <c r="AB520" s="112" t="s">
        <v>1066</v>
      </c>
      <c r="AC520" s="112" t="s">
        <v>92</v>
      </c>
      <c r="AD520" s="112" t="s">
        <v>1142</v>
      </c>
      <c r="AE520" s="112" t="s">
        <v>1066</v>
      </c>
      <c r="AF520" s="112" t="s">
        <v>1066</v>
      </c>
      <c r="AG520" s="112" t="s">
        <v>1066</v>
      </c>
      <c r="AH520" s="112" t="s">
        <v>1066</v>
      </c>
      <c r="AI520" s="112" t="s">
        <v>785</v>
      </c>
      <c r="AJ520" s="112">
        <v>8899173</v>
      </c>
      <c r="AK520" s="112" t="s">
        <v>519</v>
      </c>
      <c r="AL520" s="112">
        <v>831823</v>
      </c>
      <c r="AM520" s="112" t="s">
        <v>1066</v>
      </c>
      <c r="AN520" s="112" t="s">
        <v>1066</v>
      </c>
    </row>
    <row r="521" spans="1:40" ht="55.5" customHeight="1" x14ac:dyDescent="0.25">
      <c r="A521" s="111" t="s">
        <v>642</v>
      </c>
      <c r="B521" s="112">
        <v>2026</v>
      </c>
      <c r="C521" s="112" t="s">
        <v>643</v>
      </c>
      <c r="D521" s="113">
        <v>46213.613379629627</v>
      </c>
      <c r="E521" s="112">
        <v>7908683122</v>
      </c>
      <c r="F521" s="112" t="s">
        <v>689</v>
      </c>
      <c r="G521" s="112">
        <v>1</v>
      </c>
      <c r="H521" s="112">
        <v>7908683122</v>
      </c>
      <c r="I521" s="112" t="s">
        <v>2441</v>
      </c>
      <c r="J521" s="112" t="s">
        <v>1071</v>
      </c>
      <c r="K521" s="112" t="s">
        <v>1282</v>
      </c>
      <c r="L521" s="112" t="s">
        <v>1073</v>
      </c>
      <c r="M521" s="112" t="s">
        <v>478</v>
      </c>
      <c r="N521" s="113">
        <v>46216.613379629627</v>
      </c>
      <c r="O521" s="114">
        <v>19002295943</v>
      </c>
      <c r="P521" s="112">
        <v>1.8129999999999999</v>
      </c>
      <c r="Q521" s="112" t="s">
        <v>1062</v>
      </c>
      <c r="R521" s="112" t="s">
        <v>1075</v>
      </c>
      <c r="S521" s="113">
        <v>46233.730879629627</v>
      </c>
      <c r="T521" s="112" t="s">
        <v>2443</v>
      </c>
      <c r="U521" s="112" t="s">
        <v>1065</v>
      </c>
      <c r="V521" s="112" t="s">
        <v>1066</v>
      </c>
      <c r="W521" s="112" t="s">
        <v>1066</v>
      </c>
      <c r="X521" s="112" t="s">
        <v>1117</v>
      </c>
      <c r="Y521" s="112" t="s">
        <v>1066</v>
      </c>
      <c r="Z521" s="112" t="s">
        <v>1620</v>
      </c>
      <c r="AA521" s="112" t="s">
        <v>1067</v>
      </c>
      <c r="AB521" s="112" t="s">
        <v>1066</v>
      </c>
      <c r="AC521" s="112" t="s">
        <v>92</v>
      </c>
      <c r="AD521" s="112" t="s">
        <v>1066</v>
      </c>
      <c r="AE521" s="112" t="s">
        <v>1066</v>
      </c>
      <c r="AF521" s="112" t="s">
        <v>1066</v>
      </c>
      <c r="AG521" s="112" t="s">
        <v>1066</v>
      </c>
      <c r="AH521" s="112" t="s">
        <v>1066</v>
      </c>
      <c r="AI521" s="112" t="s">
        <v>785</v>
      </c>
      <c r="AJ521" s="112">
        <v>8875809</v>
      </c>
      <c r="AK521" s="112" t="s">
        <v>264</v>
      </c>
      <c r="AL521" s="112">
        <v>795075</v>
      </c>
      <c r="AM521" s="112" t="s">
        <v>1066</v>
      </c>
      <c r="AN521" s="112" t="s">
        <v>1066</v>
      </c>
    </row>
    <row r="522" spans="1:40" ht="55.5" customHeight="1" x14ac:dyDescent="0.25">
      <c r="A522" s="111" t="s">
        <v>3029</v>
      </c>
      <c r="B522" s="112">
        <v>2026</v>
      </c>
      <c r="C522" s="112" t="s">
        <v>3030</v>
      </c>
      <c r="D522" s="113">
        <v>46063.676180555558</v>
      </c>
      <c r="E522" s="112">
        <v>3300718015</v>
      </c>
      <c r="F522" s="112" t="s">
        <v>418</v>
      </c>
      <c r="G522" s="112">
        <v>3</v>
      </c>
      <c r="H522" s="112">
        <v>7965133015</v>
      </c>
      <c r="I522" s="112" t="s">
        <v>3031</v>
      </c>
      <c r="J522" s="112" t="s">
        <v>1231</v>
      </c>
      <c r="K522" s="112" t="s">
        <v>1232</v>
      </c>
      <c r="L522" s="112" t="s">
        <v>1084</v>
      </c>
      <c r="M522" s="112" t="s">
        <v>478</v>
      </c>
      <c r="N522" s="113">
        <v>46152.620555555557</v>
      </c>
      <c r="O522" s="114">
        <v>19002819204</v>
      </c>
      <c r="P522" s="112">
        <v>3</v>
      </c>
      <c r="Q522" s="112" t="s">
        <v>1131</v>
      </c>
      <c r="R522" s="112" t="s">
        <v>1206</v>
      </c>
      <c r="S522" s="113">
        <v>46101.729166666664</v>
      </c>
      <c r="T522" s="112" t="s">
        <v>3032</v>
      </c>
      <c r="U522" s="112" t="s">
        <v>1065</v>
      </c>
      <c r="V522" s="112" t="s">
        <v>1066</v>
      </c>
      <c r="W522" s="112" t="s">
        <v>1066</v>
      </c>
      <c r="X522" s="112" t="s">
        <v>983</v>
      </c>
      <c r="Y522" s="112" t="s">
        <v>1066</v>
      </c>
      <c r="Z522" s="112" t="s">
        <v>1066</v>
      </c>
      <c r="AA522" s="112" t="s">
        <v>1208</v>
      </c>
      <c r="AB522" s="112" t="s">
        <v>1066</v>
      </c>
      <c r="AC522" s="112" t="s">
        <v>92</v>
      </c>
      <c r="AD522" s="112" t="s">
        <v>1066</v>
      </c>
      <c r="AE522" s="112" t="s">
        <v>1066</v>
      </c>
      <c r="AF522" s="112" t="s">
        <v>1066</v>
      </c>
      <c r="AG522" s="112" t="s">
        <v>1066</v>
      </c>
      <c r="AH522" s="112" t="s">
        <v>3033</v>
      </c>
      <c r="AI522" s="112" t="s">
        <v>785</v>
      </c>
      <c r="AJ522" s="112">
        <v>9004553</v>
      </c>
      <c r="AK522" s="112" t="s">
        <v>288</v>
      </c>
      <c r="AL522" s="112">
        <v>811394</v>
      </c>
      <c r="AM522" s="112" t="s">
        <v>1066</v>
      </c>
      <c r="AN522" s="112" t="s">
        <v>1066</v>
      </c>
    </row>
    <row r="523" spans="1:40" ht="55.5" customHeight="1" x14ac:dyDescent="0.25">
      <c r="A523" s="111" t="s">
        <v>3034</v>
      </c>
      <c r="B523" s="112">
        <v>2026</v>
      </c>
      <c r="C523" s="112" t="s">
        <v>3035</v>
      </c>
      <c r="D523" s="113">
        <v>46052.527418981481</v>
      </c>
      <c r="E523" s="112">
        <v>8800383155</v>
      </c>
      <c r="F523" s="112" t="s">
        <v>3036</v>
      </c>
      <c r="G523" s="112">
        <v>3</v>
      </c>
      <c r="H523" s="112">
        <v>7957089155</v>
      </c>
      <c r="I523" s="112" t="s">
        <v>3037</v>
      </c>
      <c r="J523" s="112" t="s">
        <v>1071</v>
      </c>
      <c r="K523" s="112" t="s">
        <v>1605</v>
      </c>
      <c r="L523" s="112" t="s">
        <v>1073</v>
      </c>
      <c r="M523" s="112" t="s">
        <v>478</v>
      </c>
      <c r="N523" s="113">
        <v>46055.527418981481</v>
      </c>
      <c r="O523" s="114">
        <v>19002744826</v>
      </c>
      <c r="P523" s="112">
        <v>275</v>
      </c>
      <c r="Q523" s="112" t="s">
        <v>1131</v>
      </c>
      <c r="R523" s="112" t="s">
        <v>1075</v>
      </c>
      <c r="S523" s="113">
        <v>46056.647222222222</v>
      </c>
      <c r="T523" s="112" t="s">
        <v>3038</v>
      </c>
      <c r="U523" s="112" t="s">
        <v>1065</v>
      </c>
      <c r="V523" s="112" t="s">
        <v>1066</v>
      </c>
      <c r="W523" s="112" t="s">
        <v>1066</v>
      </c>
      <c r="X523" s="112" t="s">
        <v>983</v>
      </c>
      <c r="Y523" s="112" t="s">
        <v>1066</v>
      </c>
      <c r="Z523" s="112" t="s">
        <v>1133</v>
      </c>
      <c r="AA523" s="112" t="s">
        <v>1067</v>
      </c>
      <c r="AB523" s="112" t="s">
        <v>1066</v>
      </c>
      <c r="AC523" s="112" t="s">
        <v>92</v>
      </c>
      <c r="AD523" s="112" t="s">
        <v>1066</v>
      </c>
      <c r="AE523" s="112" t="s">
        <v>1066</v>
      </c>
      <c r="AF523" s="112" t="s">
        <v>1066</v>
      </c>
      <c r="AG523" s="112" t="s">
        <v>1066</v>
      </c>
      <c r="AH523" s="112" t="s">
        <v>1066</v>
      </c>
      <c r="AI523" s="112" t="s">
        <v>785</v>
      </c>
      <c r="AJ523" s="112">
        <v>9122269</v>
      </c>
      <c r="AK523" s="112" t="s">
        <v>204</v>
      </c>
      <c r="AL523" s="112">
        <v>820794</v>
      </c>
      <c r="AM523" s="112" t="s">
        <v>1066</v>
      </c>
      <c r="AN523" s="112" t="s">
        <v>1066</v>
      </c>
    </row>
    <row r="524" spans="1:40" ht="55.5" customHeight="1" x14ac:dyDescent="0.25">
      <c r="A524" s="111" t="s">
        <v>3039</v>
      </c>
      <c r="B524" s="112">
        <v>2026</v>
      </c>
      <c r="C524" s="112" t="s">
        <v>3040</v>
      </c>
      <c r="D524" s="113">
        <v>46095.088888888888</v>
      </c>
      <c r="E524" s="112">
        <v>9000825016</v>
      </c>
      <c r="F524" s="112" t="s">
        <v>1654</v>
      </c>
      <c r="G524" s="112">
        <v>3</v>
      </c>
      <c r="H524" s="112">
        <v>7925732016</v>
      </c>
      <c r="I524" s="112" t="s">
        <v>3041</v>
      </c>
      <c r="J524" s="112" t="s">
        <v>1071</v>
      </c>
      <c r="K524" s="112" t="s">
        <v>1130</v>
      </c>
      <c r="L524" s="112" t="s">
        <v>1073</v>
      </c>
      <c r="M524" s="112" t="s">
        <v>478</v>
      </c>
      <c r="N524" s="113">
        <v>46098.088888888888</v>
      </c>
      <c r="O524" s="114">
        <v>19001239483</v>
      </c>
      <c r="P524" s="112">
        <v>463</v>
      </c>
      <c r="Q524" s="112" t="s">
        <v>1131</v>
      </c>
      <c r="R524" s="112" t="s">
        <v>1075</v>
      </c>
      <c r="S524" s="113">
        <v>46101.729166666664</v>
      </c>
      <c r="T524" s="112" t="s">
        <v>3042</v>
      </c>
      <c r="U524" s="112" t="s">
        <v>1065</v>
      </c>
      <c r="V524" s="112" t="s">
        <v>1066</v>
      </c>
      <c r="W524" s="112" t="s">
        <v>1066</v>
      </c>
      <c r="X524" s="112" t="s">
        <v>1117</v>
      </c>
      <c r="Y524" s="112" t="s">
        <v>1066</v>
      </c>
      <c r="Z524" s="112" t="s">
        <v>1133</v>
      </c>
      <c r="AA524" s="112" t="s">
        <v>1067</v>
      </c>
      <c r="AB524" s="112" t="s">
        <v>1066</v>
      </c>
      <c r="AC524" s="112" t="s">
        <v>92</v>
      </c>
      <c r="AD524" s="112" t="s">
        <v>1142</v>
      </c>
      <c r="AE524" s="112" t="s">
        <v>1066</v>
      </c>
      <c r="AF524" s="112" t="s">
        <v>1066</v>
      </c>
      <c r="AG524" s="112" t="s">
        <v>1066</v>
      </c>
      <c r="AH524" s="112" t="s">
        <v>1066</v>
      </c>
      <c r="AI524" s="112" t="s">
        <v>785</v>
      </c>
      <c r="AJ524" s="112">
        <v>9216317</v>
      </c>
      <c r="AK524" s="112" t="s">
        <v>537</v>
      </c>
      <c r="AL524" s="112">
        <v>815633</v>
      </c>
      <c r="AM524" s="112" t="s">
        <v>1066</v>
      </c>
      <c r="AN524" s="112" t="s">
        <v>1066</v>
      </c>
    </row>
    <row r="525" spans="1:40" ht="55.5" customHeight="1" x14ac:dyDescent="0.25">
      <c r="A525" s="111" t="s">
        <v>3043</v>
      </c>
      <c r="B525" s="112">
        <v>2026</v>
      </c>
      <c r="C525" s="112" t="s">
        <v>1057</v>
      </c>
      <c r="D525" s="113">
        <v>46125.584386574075</v>
      </c>
      <c r="E525" s="112">
        <v>7925082052</v>
      </c>
      <c r="F525" s="112" t="s">
        <v>3044</v>
      </c>
      <c r="G525" s="112">
        <v>1</v>
      </c>
      <c r="H525" s="112">
        <v>7925082052</v>
      </c>
      <c r="I525" s="112" t="s">
        <v>3045</v>
      </c>
      <c r="J525" s="112" t="s">
        <v>1066</v>
      </c>
      <c r="K525" s="112" t="s">
        <v>1125</v>
      </c>
      <c r="L525" s="112" t="s">
        <v>1061</v>
      </c>
      <c r="M525" s="112" t="s">
        <v>478</v>
      </c>
      <c r="N525" s="113">
        <v>46525.584386574075</v>
      </c>
      <c r="O525" s="114">
        <v>19002210200</v>
      </c>
      <c r="P525" s="112">
        <v>1.415</v>
      </c>
      <c r="Q525" s="112" t="s">
        <v>1062</v>
      </c>
      <c r="R525" s="112" t="s">
        <v>1063</v>
      </c>
      <c r="S525" s="113">
        <v>46146.656759259262</v>
      </c>
      <c r="T525" s="112" t="s">
        <v>3046</v>
      </c>
      <c r="U525" s="112" t="s">
        <v>1065</v>
      </c>
      <c r="V525" s="112" t="s">
        <v>1066</v>
      </c>
      <c r="W525" s="112" t="s">
        <v>1066</v>
      </c>
      <c r="X525" s="112" t="s">
        <v>1066</v>
      </c>
      <c r="Y525" s="112" t="s">
        <v>1066</v>
      </c>
      <c r="Z525" s="112" t="s">
        <v>1066</v>
      </c>
      <c r="AA525" s="112" t="s">
        <v>1067</v>
      </c>
      <c r="AB525" s="112" t="s">
        <v>1066</v>
      </c>
      <c r="AC525" s="112" t="s">
        <v>92</v>
      </c>
      <c r="AD525" s="112" t="s">
        <v>1066</v>
      </c>
      <c r="AE525" s="112" t="s">
        <v>1066</v>
      </c>
      <c r="AF525" s="112" t="s">
        <v>1066</v>
      </c>
      <c r="AG525" s="112" t="s">
        <v>1066</v>
      </c>
      <c r="AH525" s="112" t="s">
        <v>1066</v>
      </c>
      <c r="AI525" s="112" t="s">
        <v>785</v>
      </c>
      <c r="AJ525" s="112">
        <v>8694972</v>
      </c>
      <c r="AK525" s="112" t="s">
        <v>112</v>
      </c>
      <c r="AL525" s="112">
        <v>660501</v>
      </c>
      <c r="AM525" s="112" t="s">
        <v>1066</v>
      </c>
      <c r="AN525" s="112" t="s">
        <v>1066</v>
      </c>
    </row>
    <row r="526" spans="1:40" ht="55.5" customHeight="1" x14ac:dyDescent="0.25">
      <c r="A526" s="111" t="s">
        <v>3047</v>
      </c>
      <c r="B526" s="112">
        <v>2026</v>
      </c>
      <c r="C526" s="112" t="s">
        <v>3048</v>
      </c>
      <c r="D526" s="113">
        <v>46174.367511574077</v>
      </c>
      <c r="E526" s="112">
        <v>9000314189</v>
      </c>
      <c r="F526" s="112" t="s">
        <v>2024</v>
      </c>
      <c r="G526" s="112">
        <v>3</v>
      </c>
      <c r="H526" s="112">
        <v>5854782001</v>
      </c>
      <c r="I526" s="112" t="s">
        <v>3049</v>
      </c>
      <c r="J526" s="112" t="s">
        <v>1157</v>
      </c>
      <c r="K526" s="112" t="s">
        <v>1158</v>
      </c>
      <c r="L526" s="112" t="s">
        <v>1084</v>
      </c>
      <c r="M526" s="112" t="s">
        <v>478</v>
      </c>
      <c r="N526" s="113">
        <v>46234.367511574077</v>
      </c>
      <c r="O526" s="114">
        <v>19002740081</v>
      </c>
      <c r="P526" s="112">
        <v>329</v>
      </c>
      <c r="Q526" s="112" t="s">
        <v>1074</v>
      </c>
      <c r="R526" s="112" t="s">
        <v>1085</v>
      </c>
      <c r="S526" s="113">
        <v>46174.646527777775</v>
      </c>
      <c r="T526" s="112" t="s">
        <v>3050</v>
      </c>
      <c r="U526" s="112" t="s">
        <v>1065</v>
      </c>
      <c r="V526" s="112" t="s">
        <v>1066</v>
      </c>
      <c r="W526" s="112" t="s">
        <v>1066</v>
      </c>
      <c r="X526" s="112" t="s">
        <v>1318</v>
      </c>
      <c r="Y526" s="112" t="s">
        <v>1066</v>
      </c>
      <c r="Z526" s="112" t="s">
        <v>3051</v>
      </c>
      <c r="AA526" s="112" t="s">
        <v>1067</v>
      </c>
      <c r="AB526" s="112" t="s">
        <v>1066</v>
      </c>
      <c r="AC526" s="112" t="s">
        <v>92</v>
      </c>
      <c r="AD526" s="112" t="s">
        <v>1066</v>
      </c>
      <c r="AE526" s="112" t="s">
        <v>1066</v>
      </c>
      <c r="AF526" s="112" t="s">
        <v>1066</v>
      </c>
      <c r="AG526" s="112" t="s">
        <v>1066</v>
      </c>
      <c r="AH526" s="112" t="s">
        <v>1066</v>
      </c>
      <c r="AI526" s="112" t="s">
        <v>785</v>
      </c>
      <c r="AJ526" s="112">
        <v>8819651</v>
      </c>
      <c r="AK526" s="112" t="s">
        <v>50</v>
      </c>
      <c r="AL526" s="112">
        <v>777037</v>
      </c>
      <c r="AM526" s="112" t="s">
        <v>1066</v>
      </c>
      <c r="AN526" s="112" t="s">
        <v>1066</v>
      </c>
    </row>
    <row r="527" spans="1:40" ht="55.5" customHeight="1" x14ac:dyDescent="0.25">
      <c r="A527" s="111" t="s">
        <v>650</v>
      </c>
      <c r="B527" s="112">
        <v>2026</v>
      </c>
      <c r="C527" s="112" t="s">
        <v>651</v>
      </c>
      <c r="D527" s="113">
        <v>46219.539421296293</v>
      </c>
      <c r="E527" s="112">
        <v>6828393119</v>
      </c>
      <c r="F527" s="112" t="s">
        <v>351</v>
      </c>
      <c r="G527" s="112">
        <v>3</v>
      </c>
      <c r="H527" s="112">
        <v>7962734119</v>
      </c>
      <c r="I527" s="112" t="s">
        <v>3052</v>
      </c>
      <c r="J527" s="112" t="s">
        <v>1071</v>
      </c>
      <c r="K527" s="112" t="s">
        <v>1809</v>
      </c>
      <c r="L527" s="112" t="s">
        <v>1073</v>
      </c>
      <c r="M527" s="112" t="s">
        <v>478</v>
      </c>
      <c r="N527" s="113">
        <v>46222.539421296293</v>
      </c>
      <c r="O527" s="114">
        <v>19002819804</v>
      </c>
      <c r="P527" s="112">
        <v>648</v>
      </c>
      <c r="Q527" s="112" t="s">
        <v>1131</v>
      </c>
      <c r="R527" s="112" t="s">
        <v>1075</v>
      </c>
      <c r="S527" s="113">
        <v>46230.633333333331</v>
      </c>
      <c r="T527" s="112" t="s">
        <v>3053</v>
      </c>
      <c r="U527" s="112" t="s">
        <v>1065</v>
      </c>
      <c r="V527" s="112" t="s">
        <v>1066</v>
      </c>
      <c r="W527" s="112" t="s">
        <v>1066</v>
      </c>
      <c r="X527" s="112" t="s">
        <v>1117</v>
      </c>
      <c r="Y527" s="112" t="s">
        <v>1066</v>
      </c>
      <c r="Z527" s="112" t="s">
        <v>1078</v>
      </c>
      <c r="AA527" s="112" t="s">
        <v>1067</v>
      </c>
      <c r="AB527" s="112" t="s">
        <v>1066</v>
      </c>
      <c r="AC527" s="112" t="s">
        <v>92</v>
      </c>
      <c r="AD527" s="112" t="s">
        <v>1066</v>
      </c>
      <c r="AE527" s="112" t="s">
        <v>1066</v>
      </c>
      <c r="AF527" s="112" t="s">
        <v>1066</v>
      </c>
      <c r="AG527" s="112" t="s">
        <v>1066</v>
      </c>
      <c r="AH527" s="112" t="s">
        <v>1066</v>
      </c>
      <c r="AI527" s="112" t="s">
        <v>785</v>
      </c>
      <c r="AJ527" s="112">
        <v>9327390</v>
      </c>
      <c r="AK527" s="112" t="s">
        <v>350</v>
      </c>
      <c r="AL527" s="112">
        <v>825695</v>
      </c>
      <c r="AM527" s="112" t="s">
        <v>1066</v>
      </c>
      <c r="AN527" s="112" t="s">
        <v>1066</v>
      </c>
    </row>
    <row r="528" spans="1:40" ht="55.5" customHeight="1" x14ac:dyDescent="0.25">
      <c r="A528" s="111" t="s">
        <v>3054</v>
      </c>
      <c r="B528" s="112">
        <v>2026</v>
      </c>
      <c r="C528" s="112" t="s">
        <v>1213</v>
      </c>
      <c r="D528" s="113">
        <v>46122.549942129626</v>
      </c>
      <c r="E528" s="112">
        <v>7949644098</v>
      </c>
      <c r="F528" s="112" t="s">
        <v>2530</v>
      </c>
      <c r="G528" s="112">
        <v>3</v>
      </c>
      <c r="H528" s="112">
        <v>7949644098</v>
      </c>
      <c r="I528" s="112" t="s">
        <v>2531</v>
      </c>
      <c r="J528" s="112" t="s">
        <v>1066</v>
      </c>
      <c r="K528" s="112" t="s">
        <v>1125</v>
      </c>
      <c r="L528" s="112" t="s">
        <v>1061</v>
      </c>
      <c r="M528" s="112" t="s">
        <v>478</v>
      </c>
      <c r="N528" s="113">
        <v>46522.549942129626</v>
      </c>
      <c r="O528" s="114">
        <v>19002777113</v>
      </c>
      <c r="P528" s="112">
        <v>176</v>
      </c>
      <c r="Q528" s="112" t="s">
        <v>1062</v>
      </c>
      <c r="R528" s="112" t="s">
        <v>1063</v>
      </c>
      <c r="S528" s="113">
        <v>46129.487500000003</v>
      </c>
      <c r="T528" s="112" t="s">
        <v>3055</v>
      </c>
      <c r="U528" s="112" t="s">
        <v>1065</v>
      </c>
      <c r="V528" s="112" t="s">
        <v>1066</v>
      </c>
      <c r="W528" s="112" t="s">
        <v>1066</v>
      </c>
      <c r="X528" s="112" t="s">
        <v>1066</v>
      </c>
      <c r="Y528" s="112" t="s">
        <v>1066</v>
      </c>
      <c r="Z528" s="112" t="s">
        <v>1066</v>
      </c>
      <c r="AA528" s="112" t="s">
        <v>1067</v>
      </c>
      <c r="AB528" s="112" t="s">
        <v>1066</v>
      </c>
      <c r="AC528" s="112" t="s">
        <v>92</v>
      </c>
      <c r="AD528" s="112" t="s">
        <v>1066</v>
      </c>
      <c r="AE528" s="112" t="s">
        <v>1066</v>
      </c>
      <c r="AF528" s="112" t="s">
        <v>1066</v>
      </c>
      <c r="AG528" s="112" t="s">
        <v>1066</v>
      </c>
      <c r="AH528" s="112" t="s">
        <v>1066</v>
      </c>
      <c r="AI528" s="112" t="s">
        <v>785</v>
      </c>
      <c r="AJ528" s="112">
        <v>9301719</v>
      </c>
      <c r="AK528" s="112" t="s">
        <v>2532</v>
      </c>
      <c r="AL528" s="112">
        <v>809975</v>
      </c>
      <c r="AM528" s="112" t="s">
        <v>1066</v>
      </c>
      <c r="AN528" s="112" t="s">
        <v>1066</v>
      </c>
    </row>
    <row r="529" spans="1:40" ht="55.5" customHeight="1" x14ac:dyDescent="0.25">
      <c r="A529" s="120" t="s">
        <v>3056</v>
      </c>
      <c r="B529" s="121">
        <v>2026</v>
      </c>
      <c r="C529" s="121" t="s">
        <v>3057</v>
      </c>
      <c r="D529" s="122">
        <v>46102.471435185187</v>
      </c>
      <c r="E529" s="121">
        <v>7957021094</v>
      </c>
      <c r="F529" s="121" t="s">
        <v>302</v>
      </c>
      <c r="G529" s="121">
        <v>3</v>
      </c>
      <c r="H529" s="121">
        <v>7957021094</v>
      </c>
      <c r="I529" s="121" t="s">
        <v>3058</v>
      </c>
      <c r="J529" s="121" t="s">
        <v>1071</v>
      </c>
      <c r="K529" s="121" t="s">
        <v>1457</v>
      </c>
      <c r="L529" s="121" t="s">
        <v>1073</v>
      </c>
      <c r="M529" s="121" t="s">
        <v>1116</v>
      </c>
      <c r="N529" s="122">
        <v>46105.471435185187</v>
      </c>
      <c r="O529" s="123">
        <v>19002742765</v>
      </c>
      <c r="P529" s="121">
        <v>116</v>
      </c>
      <c r="Q529" s="121" t="s">
        <v>1062</v>
      </c>
      <c r="R529" s="121" t="s">
        <v>1297</v>
      </c>
      <c r="S529" s="122">
        <v>46103.607777777775</v>
      </c>
      <c r="T529" s="121" t="s">
        <v>1066</v>
      </c>
      <c r="U529" s="121" t="s">
        <v>1066</v>
      </c>
      <c r="V529" s="121" t="s">
        <v>1066</v>
      </c>
      <c r="W529" s="121" t="s">
        <v>1066</v>
      </c>
      <c r="X529" s="121" t="s">
        <v>983</v>
      </c>
      <c r="Y529" s="121" t="s">
        <v>1066</v>
      </c>
      <c r="Z529" s="121" t="s">
        <v>3059</v>
      </c>
      <c r="AA529" s="121" t="s">
        <v>1067</v>
      </c>
      <c r="AB529" s="121" t="s">
        <v>1066</v>
      </c>
      <c r="AC529" s="121" t="s">
        <v>92</v>
      </c>
      <c r="AD529" s="121" t="s">
        <v>1066</v>
      </c>
      <c r="AE529" s="121" t="s">
        <v>1066</v>
      </c>
      <c r="AF529" s="121" t="s">
        <v>1066</v>
      </c>
      <c r="AG529" s="121" t="s">
        <v>1066</v>
      </c>
      <c r="AH529" s="121" t="s">
        <v>1066</v>
      </c>
      <c r="AI529" s="121" t="s">
        <v>785</v>
      </c>
      <c r="AJ529" s="121">
        <v>8670289</v>
      </c>
      <c r="AK529" s="121" t="s">
        <v>224</v>
      </c>
      <c r="AL529" s="121">
        <v>770758</v>
      </c>
      <c r="AM529" s="121" t="s">
        <v>1066</v>
      </c>
      <c r="AN529" s="121" t="s">
        <v>1066</v>
      </c>
    </row>
    <row r="530" spans="1:40" ht="55.5" customHeight="1" x14ac:dyDescent="0.25">
      <c r="A530" s="111" t="s">
        <v>3060</v>
      </c>
      <c r="B530" s="112">
        <v>2026</v>
      </c>
      <c r="C530" s="112" t="s">
        <v>1210</v>
      </c>
      <c r="D530" s="113">
        <v>46114.608900462961</v>
      </c>
      <c r="E530" s="112">
        <v>7944996027</v>
      </c>
      <c r="F530" s="112" t="s">
        <v>674</v>
      </c>
      <c r="G530" s="112">
        <v>3</v>
      </c>
      <c r="H530" s="112">
        <v>7944996027</v>
      </c>
      <c r="I530" s="112" t="s">
        <v>3061</v>
      </c>
      <c r="J530" s="112" t="s">
        <v>1066</v>
      </c>
      <c r="K530" s="112" t="s">
        <v>1125</v>
      </c>
      <c r="L530" s="112" t="s">
        <v>1061</v>
      </c>
      <c r="M530" s="112" t="s">
        <v>478</v>
      </c>
      <c r="N530" s="113">
        <v>46514.608900462961</v>
      </c>
      <c r="O530" s="114">
        <v>19002651620</v>
      </c>
      <c r="P530" s="112">
        <v>0</v>
      </c>
      <c r="Q530" s="112" t="s">
        <v>1062</v>
      </c>
      <c r="R530" s="112" t="s">
        <v>1063</v>
      </c>
      <c r="S530" s="113">
        <v>46248.479398148149</v>
      </c>
      <c r="T530" s="112" t="s">
        <v>3062</v>
      </c>
      <c r="U530" s="112" t="s">
        <v>1065</v>
      </c>
      <c r="V530" s="112" t="s">
        <v>1066</v>
      </c>
      <c r="W530" s="112" t="s">
        <v>1066</v>
      </c>
      <c r="X530" s="112" t="s">
        <v>1066</v>
      </c>
      <c r="Y530" s="112" t="s">
        <v>1066</v>
      </c>
      <c r="Z530" s="112" t="s">
        <v>1066</v>
      </c>
      <c r="AA530" s="112" t="s">
        <v>1067</v>
      </c>
      <c r="AB530" s="112" t="s">
        <v>1066</v>
      </c>
      <c r="AC530" s="112" t="s">
        <v>92</v>
      </c>
      <c r="AD530" s="112" t="s">
        <v>1066</v>
      </c>
      <c r="AE530" s="112" t="s">
        <v>1066</v>
      </c>
      <c r="AF530" s="112" t="s">
        <v>1066</v>
      </c>
      <c r="AG530" s="112" t="s">
        <v>1066</v>
      </c>
      <c r="AH530" s="112" t="s">
        <v>1066</v>
      </c>
      <c r="AI530" s="112" t="s">
        <v>785</v>
      </c>
      <c r="AJ530" s="112">
        <v>8673606</v>
      </c>
      <c r="AK530" s="112" t="s">
        <v>2081</v>
      </c>
      <c r="AL530" s="112">
        <v>990484</v>
      </c>
      <c r="AM530" s="112" t="s">
        <v>1066</v>
      </c>
      <c r="AN530" s="112" t="s">
        <v>1066</v>
      </c>
    </row>
    <row r="531" spans="1:40" ht="55.5" customHeight="1" x14ac:dyDescent="0.25">
      <c r="A531" s="111" t="s">
        <v>3063</v>
      </c>
      <c r="B531" s="112">
        <v>2026</v>
      </c>
      <c r="C531" s="112" t="s">
        <v>1057</v>
      </c>
      <c r="D531" s="113">
        <v>46125.584386574075</v>
      </c>
      <c r="E531" s="112">
        <v>7901575052</v>
      </c>
      <c r="F531" s="112" t="s">
        <v>1123</v>
      </c>
      <c r="G531" s="112">
        <v>3</v>
      </c>
      <c r="H531" s="112">
        <v>7901575052</v>
      </c>
      <c r="I531" s="112" t="s">
        <v>3064</v>
      </c>
      <c r="J531" s="112" t="s">
        <v>1066</v>
      </c>
      <c r="K531" s="112" t="s">
        <v>1125</v>
      </c>
      <c r="L531" s="112" t="s">
        <v>1061</v>
      </c>
      <c r="M531" s="112" t="s">
        <v>478</v>
      </c>
      <c r="N531" s="113">
        <v>46525.584386574075</v>
      </c>
      <c r="O531" s="114">
        <v>19002214070</v>
      </c>
      <c r="P531" s="112">
        <v>239</v>
      </c>
      <c r="Q531" s="112" t="s">
        <v>1062</v>
      </c>
      <c r="R531" s="112" t="s">
        <v>1063</v>
      </c>
      <c r="S531" s="113">
        <v>46204.465752314813</v>
      </c>
      <c r="T531" s="112" t="s">
        <v>3065</v>
      </c>
      <c r="U531" s="112" t="s">
        <v>1065</v>
      </c>
      <c r="V531" s="112" t="s">
        <v>1066</v>
      </c>
      <c r="W531" s="112" t="s">
        <v>1066</v>
      </c>
      <c r="X531" s="112" t="s">
        <v>1066</v>
      </c>
      <c r="Y531" s="112" t="s">
        <v>1066</v>
      </c>
      <c r="Z531" s="112" t="s">
        <v>1066</v>
      </c>
      <c r="AA531" s="112" t="s">
        <v>1067</v>
      </c>
      <c r="AB531" s="112" t="s">
        <v>1066</v>
      </c>
      <c r="AC531" s="112" t="s">
        <v>92</v>
      </c>
      <c r="AD531" s="112" t="s">
        <v>1066</v>
      </c>
      <c r="AE531" s="112" t="s">
        <v>1066</v>
      </c>
      <c r="AF531" s="112" t="s">
        <v>1066</v>
      </c>
      <c r="AG531" s="112" t="s">
        <v>1066</v>
      </c>
      <c r="AH531" s="112" t="s">
        <v>1066</v>
      </c>
      <c r="AI531" s="112" t="s">
        <v>785</v>
      </c>
      <c r="AJ531" s="112">
        <v>8696368</v>
      </c>
      <c r="AK531" s="112" t="s">
        <v>112</v>
      </c>
      <c r="AL531" s="112">
        <v>633408</v>
      </c>
      <c r="AM531" s="112" t="s">
        <v>1066</v>
      </c>
      <c r="AN531" s="112" t="s">
        <v>1066</v>
      </c>
    </row>
    <row r="532" spans="1:40" ht="55.5" customHeight="1" x14ac:dyDescent="0.25">
      <c r="A532" s="111" t="s">
        <v>3066</v>
      </c>
      <c r="B532" s="112">
        <v>2026</v>
      </c>
      <c r="C532" s="112" t="s">
        <v>3067</v>
      </c>
      <c r="D532" s="113">
        <v>46173.756886574076</v>
      </c>
      <c r="E532" s="112">
        <v>9004026004</v>
      </c>
      <c r="F532" s="112" t="s">
        <v>70</v>
      </c>
      <c r="G532" s="112">
        <v>2</v>
      </c>
      <c r="H532" s="112">
        <v>7903572004</v>
      </c>
      <c r="I532" s="112" t="s">
        <v>3068</v>
      </c>
      <c r="J532" s="112" t="s">
        <v>1071</v>
      </c>
      <c r="K532" s="112" t="s">
        <v>1296</v>
      </c>
      <c r="L532" s="112" t="s">
        <v>1073</v>
      </c>
      <c r="M532" s="112" t="s">
        <v>478</v>
      </c>
      <c r="N532" s="113">
        <v>46176.756886574076</v>
      </c>
      <c r="O532" s="114">
        <v>19000009604</v>
      </c>
      <c r="P532" s="112">
        <v>0</v>
      </c>
      <c r="Q532" s="112" t="s">
        <v>1131</v>
      </c>
      <c r="R532" s="112" t="s">
        <v>1075</v>
      </c>
      <c r="S532" s="113">
        <v>46176.313379629632</v>
      </c>
      <c r="T532" s="112" t="s">
        <v>3069</v>
      </c>
      <c r="U532" s="112" t="s">
        <v>1065</v>
      </c>
      <c r="V532" s="112" t="s">
        <v>1066</v>
      </c>
      <c r="W532" s="112" t="s">
        <v>1066</v>
      </c>
      <c r="X532" s="112" t="s">
        <v>1394</v>
      </c>
      <c r="Y532" s="112" t="s">
        <v>1066</v>
      </c>
      <c r="Z532" s="112" t="s">
        <v>1148</v>
      </c>
      <c r="AA532" s="112" t="s">
        <v>1067</v>
      </c>
      <c r="AB532" s="112" t="s">
        <v>1066</v>
      </c>
      <c r="AC532" s="112" t="s">
        <v>92</v>
      </c>
      <c r="AD532" s="112" t="s">
        <v>1142</v>
      </c>
      <c r="AE532" s="112" t="s">
        <v>1066</v>
      </c>
      <c r="AF532" s="112" t="s">
        <v>1066</v>
      </c>
      <c r="AG532" s="112" t="s">
        <v>1066</v>
      </c>
      <c r="AH532" s="112" t="s">
        <v>1066</v>
      </c>
      <c r="AI532" s="112" t="s">
        <v>785</v>
      </c>
      <c r="AJ532" s="112">
        <v>9204439</v>
      </c>
      <c r="AK532" s="112" t="s">
        <v>69</v>
      </c>
      <c r="AL532" s="112">
        <v>808712</v>
      </c>
      <c r="AM532" s="112" t="s">
        <v>1066</v>
      </c>
      <c r="AN532" s="112" t="s">
        <v>1066</v>
      </c>
    </row>
    <row r="533" spans="1:40" ht="55.5" customHeight="1" x14ac:dyDescent="0.25">
      <c r="A533" s="111" t="s">
        <v>3070</v>
      </c>
      <c r="B533" s="112">
        <v>2026</v>
      </c>
      <c r="C533" s="112" t="s">
        <v>1251</v>
      </c>
      <c r="D533" s="113">
        <v>46031.603807870371</v>
      </c>
      <c r="E533" s="112">
        <v>7929658038</v>
      </c>
      <c r="F533" s="112" t="s">
        <v>2010</v>
      </c>
      <c r="G533" s="112">
        <v>1</v>
      </c>
      <c r="H533" s="112">
        <v>7929658038</v>
      </c>
      <c r="I533" s="112" t="s">
        <v>3071</v>
      </c>
      <c r="J533" s="112" t="s">
        <v>1059</v>
      </c>
      <c r="K533" s="112" t="s">
        <v>1060</v>
      </c>
      <c r="L533" s="112" t="s">
        <v>1061</v>
      </c>
      <c r="M533" s="112" t="s">
        <v>478</v>
      </c>
      <c r="N533" s="113">
        <v>46431.603807870371</v>
      </c>
      <c r="O533" s="114">
        <v>19002204049</v>
      </c>
      <c r="P533" s="112">
        <v>0</v>
      </c>
      <c r="Q533" s="112" t="s">
        <v>1062</v>
      </c>
      <c r="R533" s="112" t="s">
        <v>1063</v>
      </c>
      <c r="S533" s="113">
        <v>46031.729166666664</v>
      </c>
      <c r="T533" s="112" t="s">
        <v>1253</v>
      </c>
      <c r="U533" s="112" t="s">
        <v>1065</v>
      </c>
      <c r="V533" s="112" t="s">
        <v>1066</v>
      </c>
      <c r="W533" s="112" t="s">
        <v>1066</v>
      </c>
      <c r="X533" s="112" t="s">
        <v>1066</v>
      </c>
      <c r="Y533" s="112" t="s">
        <v>1066</v>
      </c>
      <c r="Z533" s="112" t="s">
        <v>1066</v>
      </c>
      <c r="AA533" s="112" t="s">
        <v>1067</v>
      </c>
      <c r="AB533" s="112" t="s">
        <v>1066</v>
      </c>
      <c r="AC533" s="112" t="s">
        <v>92</v>
      </c>
      <c r="AD533" s="112" t="s">
        <v>1066</v>
      </c>
      <c r="AE533" s="112" t="s">
        <v>1066</v>
      </c>
      <c r="AF533" s="112" t="s">
        <v>1066</v>
      </c>
      <c r="AG533" s="112" t="s">
        <v>1066</v>
      </c>
      <c r="AH533" s="112" t="s">
        <v>1066</v>
      </c>
      <c r="AI533" s="112" t="s">
        <v>785</v>
      </c>
      <c r="AJ533" s="112">
        <v>8624448</v>
      </c>
      <c r="AK533" s="112" t="s">
        <v>627</v>
      </c>
      <c r="AL533" s="112">
        <v>996974</v>
      </c>
      <c r="AM533" s="112" t="s">
        <v>1066</v>
      </c>
      <c r="AN533" s="112" t="s">
        <v>1066</v>
      </c>
    </row>
    <row r="534" spans="1:40" ht="55.5" customHeight="1" x14ac:dyDescent="0.25">
      <c r="A534" s="111" t="s">
        <v>3072</v>
      </c>
      <c r="B534" s="112">
        <v>2026</v>
      </c>
      <c r="C534" s="112" t="s">
        <v>3073</v>
      </c>
      <c r="D534" s="113">
        <v>46111.328750000001</v>
      </c>
      <c r="E534" s="112" t="s">
        <v>1066</v>
      </c>
      <c r="F534" s="112" t="s">
        <v>2251</v>
      </c>
      <c r="G534" s="112" t="s">
        <v>1066</v>
      </c>
      <c r="H534" s="112" t="s">
        <v>1066</v>
      </c>
      <c r="I534" s="112" t="s">
        <v>2252</v>
      </c>
      <c r="J534" s="112" t="s">
        <v>1071</v>
      </c>
      <c r="K534" s="112" t="s">
        <v>1072</v>
      </c>
      <c r="L534" s="112" t="s">
        <v>1073</v>
      </c>
      <c r="M534" s="112" t="s">
        <v>478</v>
      </c>
      <c r="N534" s="113">
        <v>46114.328750000001</v>
      </c>
      <c r="O534" s="114">
        <v>19000248424</v>
      </c>
      <c r="P534" s="112">
        <v>0</v>
      </c>
      <c r="Q534" s="112" t="s">
        <v>1794</v>
      </c>
      <c r="R534" s="112" t="s">
        <v>1324</v>
      </c>
      <c r="S534" s="113">
        <v>46204.729166666664</v>
      </c>
      <c r="T534" s="112" t="s">
        <v>3074</v>
      </c>
      <c r="U534" s="112" t="s">
        <v>1065</v>
      </c>
      <c r="V534" s="112" t="s">
        <v>1066</v>
      </c>
      <c r="W534" s="112" t="s">
        <v>1066</v>
      </c>
      <c r="X534" s="112" t="s">
        <v>2604</v>
      </c>
      <c r="Y534" s="112" t="s">
        <v>1066</v>
      </c>
      <c r="Z534" s="112" t="s">
        <v>2605</v>
      </c>
      <c r="AA534" s="112" t="s">
        <v>1067</v>
      </c>
      <c r="AB534" s="112" t="s">
        <v>1066</v>
      </c>
      <c r="AC534" s="112" t="s">
        <v>92</v>
      </c>
      <c r="AD534" s="112" t="s">
        <v>1142</v>
      </c>
      <c r="AE534" s="112" t="s">
        <v>1066</v>
      </c>
      <c r="AF534" s="112" t="s">
        <v>1066</v>
      </c>
      <c r="AG534" s="112" t="s">
        <v>1066</v>
      </c>
      <c r="AH534" s="112" t="s">
        <v>1066</v>
      </c>
      <c r="AI534" s="112" t="s">
        <v>785</v>
      </c>
      <c r="AJ534" s="112" t="s">
        <v>1066</v>
      </c>
      <c r="AK534" s="112" t="s">
        <v>1066</v>
      </c>
      <c r="AL534" s="112" t="s">
        <v>1066</v>
      </c>
      <c r="AM534" s="112" t="s">
        <v>1066</v>
      </c>
      <c r="AN534" s="112" t="s">
        <v>1066</v>
      </c>
    </row>
    <row r="535" spans="1:40" ht="55.5" customHeight="1" x14ac:dyDescent="0.25">
      <c r="A535" s="111" t="s">
        <v>3075</v>
      </c>
      <c r="B535" s="112">
        <v>2026</v>
      </c>
      <c r="C535" s="112" t="s">
        <v>1057</v>
      </c>
      <c r="D535" s="113">
        <v>46122.378541666665</v>
      </c>
      <c r="E535" s="112">
        <v>7934170045</v>
      </c>
      <c r="F535" s="112" t="s">
        <v>3076</v>
      </c>
      <c r="G535" s="112">
        <v>2</v>
      </c>
      <c r="H535" s="112">
        <v>7934170045</v>
      </c>
      <c r="I535" s="112" t="s">
        <v>3077</v>
      </c>
      <c r="J535" s="112" t="s">
        <v>1059</v>
      </c>
      <c r="K535" s="112" t="s">
        <v>1060</v>
      </c>
      <c r="L535" s="112" t="s">
        <v>1061</v>
      </c>
      <c r="M535" s="112" t="s">
        <v>478</v>
      </c>
      <c r="N535" s="113">
        <v>46522.378541666665</v>
      </c>
      <c r="O535" s="114">
        <v>19002209242</v>
      </c>
      <c r="P535" s="112">
        <v>0</v>
      </c>
      <c r="Q535" s="112" t="s">
        <v>1062</v>
      </c>
      <c r="R535" s="112" t="s">
        <v>1063</v>
      </c>
      <c r="S535" s="113">
        <v>46128.505555555559</v>
      </c>
      <c r="T535" s="112" t="s">
        <v>3078</v>
      </c>
      <c r="U535" s="112" t="s">
        <v>1065</v>
      </c>
      <c r="V535" s="112" t="s">
        <v>1066</v>
      </c>
      <c r="W535" s="112" t="s">
        <v>1066</v>
      </c>
      <c r="X535" s="112" t="s">
        <v>1066</v>
      </c>
      <c r="Y535" s="112" t="s">
        <v>1066</v>
      </c>
      <c r="Z535" s="112" t="s">
        <v>1066</v>
      </c>
      <c r="AA535" s="112" t="s">
        <v>1067</v>
      </c>
      <c r="AB535" s="112" t="s">
        <v>1066</v>
      </c>
      <c r="AC535" s="112" t="s">
        <v>92</v>
      </c>
      <c r="AD535" s="112" t="s">
        <v>1066</v>
      </c>
      <c r="AE535" s="112" t="s">
        <v>1066</v>
      </c>
      <c r="AF535" s="112" t="s">
        <v>1066</v>
      </c>
      <c r="AG535" s="112" t="s">
        <v>1066</v>
      </c>
      <c r="AH535" s="112" t="s">
        <v>1066</v>
      </c>
      <c r="AI535" s="112" t="s">
        <v>785</v>
      </c>
      <c r="AJ535" s="112">
        <v>9394800</v>
      </c>
      <c r="AK535" s="112" t="s">
        <v>58</v>
      </c>
      <c r="AL535" s="112">
        <v>844665</v>
      </c>
      <c r="AM535" s="112" t="s">
        <v>1066</v>
      </c>
      <c r="AN535" s="112" t="s">
        <v>1066</v>
      </c>
    </row>
    <row r="536" spans="1:40" ht="55.5" customHeight="1" x14ac:dyDescent="0.25">
      <c r="A536" s="111" t="s">
        <v>3079</v>
      </c>
      <c r="B536" s="112">
        <v>2026</v>
      </c>
      <c r="C536" s="112" t="s">
        <v>1057</v>
      </c>
      <c r="D536" s="113">
        <v>46125.584386574075</v>
      </c>
      <c r="E536" s="112">
        <v>7928244032</v>
      </c>
      <c r="F536" s="112" t="s">
        <v>1574</v>
      </c>
      <c r="G536" s="112">
        <v>2</v>
      </c>
      <c r="H536" s="112">
        <v>7928244032</v>
      </c>
      <c r="I536" s="112" t="s">
        <v>3080</v>
      </c>
      <c r="J536" s="112" t="s">
        <v>1066</v>
      </c>
      <c r="K536" s="112" t="s">
        <v>1125</v>
      </c>
      <c r="L536" s="112" t="s">
        <v>1061</v>
      </c>
      <c r="M536" s="112" t="s">
        <v>478</v>
      </c>
      <c r="N536" s="113">
        <v>46525.584386574075</v>
      </c>
      <c r="O536" s="114">
        <v>19002790562</v>
      </c>
      <c r="P536" s="112">
        <v>574</v>
      </c>
      <c r="Q536" s="112" t="s">
        <v>1062</v>
      </c>
      <c r="R536" s="112" t="s">
        <v>1063</v>
      </c>
      <c r="S536" s="113">
        <v>46161.681041666663</v>
      </c>
      <c r="T536" s="112" t="s">
        <v>3081</v>
      </c>
      <c r="U536" s="112" t="s">
        <v>1065</v>
      </c>
      <c r="V536" s="112" t="s">
        <v>1066</v>
      </c>
      <c r="W536" s="112" t="s">
        <v>1066</v>
      </c>
      <c r="X536" s="112" t="s">
        <v>1066</v>
      </c>
      <c r="Y536" s="112" t="s">
        <v>1066</v>
      </c>
      <c r="Z536" s="112" t="s">
        <v>1066</v>
      </c>
      <c r="AA536" s="112" t="s">
        <v>1067</v>
      </c>
      <c r="AB536" s="112" t="s">
        <v>1066</v>
      </c>
      <c r="AC536" s="112" t="s">
        <v>92</v>
      </c>
      <c r="AD536" s="112" t="s">
        <v>1066</v>
      </c>
      <c r="AE536" s="112" t="s">
        <v>1066</v>
      </c>
      <c r="AF536" s="112" t="s">
        <v>1066</v>
      </c>
      <c r="AG536" s="112" t="s">
        <v>1066</v>
      </c>
      <c r="AH536" s="112" t="s">
        <v>1066</v>
      </c>
      <c r="AI536" s="112" t="s">
        <v>785</v>
      </c>
      <c r="AJ536" s="112">
        <v>8580805</v>
      </c>
      <c r="AK536" s="112" t="s">
        <v>469</v>
      </c>
      <c r="AL536" s="112">
        <v>640049</v>
      </c>
      <c r="AM536" s="112" t="s">
        <v>1066</v>
      </c>
      <c r="AN536" s="112" t="s">
        <v>1066</v>
      </c>
    </row>
    <row r="537" spans="1:40" ht="55.5" customHeight="1" x14ac:dyDescent="0.25">
      <c r="A537" s="115" t="s">
        <v>3082</v>
      </c>
      <c r="B537" s="116">
        <v>2026</v>
      </c>
      <c r="C537" s="116" t="s">
        <v>3083</v>
      </c>
      <c r="D537" s="118">
        <v>46156.481307870374</v>
      </c>
      <c r="E537" s="116">
        <v>3594901</v>
      </c>
      <c r="F537" s="116" t="s">
        <v>249</v>
      </c>
      <c r="G537" s="116">
        <v>2</v>
      </c>
      <c r="H537" s="116">
        <v>5846328094</v>
      </c>
      <c r="I537" s="116" t="s">
        <v>3084</v>
      </c>
      <c r="J537" s="116" t="s">
        <v>1071</v>
      </c>
      <c r="K537" s="116" t="s">
        <v>1247</v>
      </c>
      <c r="L537" s="116" t="s">
        <v>1073</v>
      </c>
      <c r="M537" s="116" t="s">
        <v>588</v>
      </c>
      <c r="N537" s="118">
        <v>46172.6640625</v>
      </c>
      <c r="O537" s="119">
        <v>19002682685</v>
      </c>
      <c r="P537" s="116">
        <v>1.796</v>
      </c>
      <c r="Q537" s="116" t="s">
        <v>1074</v>
      </c>
      <c r="R537" s="116" t="s">
        <v>1075</v>
      </c>
      <c r="S537" s="116" t="s">
        <v>1066</v>
      </c>
      <c r="T537" s="116" t="s">
        <v>1066</v>
      </c>
      <c r="U537" s="116" t="s">
        <v>1066</v>
      </c>
      <c r="V537" s="116" t="s">
        <v>1066</v>
      </c>
      <c r="W537" s="116" t="s">
        <v>1066</v>
      </c>
      <c r="X537" s="116" t="s">
        <v>1077</v>
      </c>
      <c r="Y537" s="116" t="s">
        <v>1066</v>
      </c>
      <c r="Z537" s="116" t="s">
        <v>1479</v>
      </c>
      <c r="AA537" s="116" t="s">
        <v>1067</v>
      </c>
      <c r="AB537" s="116" t="s">
        <v>1066</v>
      </c>
      <c r="AC537" s="116" t="s">
        <v>92</v>
      </c>
      <c r="AD537" s="116" t="s">
        <v>1066</v>
      </c>
      <c r="AE537" s="116" t="s">
        <v>1066</v>
      </c>
      <c r="AF537" s="116" t="s">
        <v>1066</v>
      </c>
      <c r="AG537" s="116" t="s">
        <v>1066</v>
      </c>
      <c r="AH537" s="116" t="s">
        <v>1066</v>
      </c>
      <c r="AI537" s="116" t="s">
        <v>785</v>
      </c>
      <c r="AJ537" s="116">
        <v>8685986</v>
      </c>
      <c r="AK537" s="116" t="s">
        <v>224</v>
      </c>
      <c r="AL537" s="116">
        <v>734260</v>
      </c>
      <c r="AM537" s="116" t="s">
        <v>1066</v>
      </c>
      <c r="AN537" s="116" t="s">
        <v>1066</v>
      </c>
    </row>
    <row r="538" spans="1:40" ht="55.5" customHeight="1" x14ac:dyDescent="0.25">
      <c r="A538" s="111" t="s">
        <v>698</v>
      </c>
      <c r="B538" s="112">
        <v>2026</v>
      </c>
      <c r="C538" s="112" t="s">
        <v>3085</v>
      </c>
      <c r="D538" s="113">
        <v>46105.442384259259</v>
      </c>
      <c r="E538" s="112">
        <v>9000291035</v>
      </c>
      <c r="F538" s="112" t="s">
        <v>340</v>
      </c>
      <c r="G538" s="112">
        <v>2</v>
      </c>
      <c r="H538" s="112">
        <v>5800291035</v>
      </c>
      <c r="I538" s="112" t="s">
        <v>3086</v>
      </c>
      <c r="J538" s="112" t="s">
        <v>1092</v>
      </c>
      <c r="K538" s="112" t="s">
        <v>1093</v>
      </c>
      <c r="L538" s="112" t="s">
        <v>1061</v>
      </c>
      <c r="M538" s="112" t="s">
        <v>478</v>
      </c>
      <c r="N538" s="113">
        <v>46630.815983796296</v>
      </c>
      <c r="O538" s="114">
        <v>19002682040</v>
      </c>
      <c r="P538" s="112">
        <v>295</v>
      </c>
      <c r="Q538" s="112" t="s">
        <v>1074</v>
      </c>
      <c r="R538" s="112" t="s">
        <v>1075</v>
      </c>
      <c r="S538" s="113">
        <v>46240.729664351849</v>
      </c>
      <c r="T538" s="112" t="s">
        <v>3087</v>
      </c>
      <c r="U538" s="112" t="s">
        <v>1065</v>
      </c>
      <c r="V538" s="112" t="s">
        <v>1066</v>
      </c>
      <c r="W538" s="112" t="s">
        <v>1066</v>
      </c>
      <c r="X538" s="112" t="s">
        <v>1066</v>
      </c>
      <c r="Y538" s="112" t="s">
        <v>1066</v>
      </c>
      <c r="Z538" s="112" t="s">
        <v>1066</v>
      </c>
      <c r="AA538" s="112" t="s">
        <v>1067</v>
      </c>
      <c r="AB538" s="112" t="s">
        <v>1066</v>
      </c>
      <c r="AC538" s="112" t="s">
        <v>92</v>
      </c>
      <c r="AD538" s="112" t="s">
        <v>1066</v>
      </c>
      <c r="AE538" s="112" t="s">
        <v>1066</v>
      </c>
      <c r="AF538" s="112" t="s">
        <v>1066</v>
      </c>
      <c r="AG538" s="112" t="s">
        <v>1066</v>
      </c>
      <c r="AH538" s="112" t="s">
        <v>561</v>
      </c>
      <c r="AI538" s="112" t="s">
        <v>785</v>
      </c>
      <c r="AJ538" s="112">
        <v>8780710</v>
      </c>
      <c r="AK538" s="112" t="s">
        <v>339</v>
      </c>
      <c r="AL538" s="112">
        <v>819396</v>
      </c>
      <c r="AM538" s="112" t="s">
        <v>1066</v>
      </c>
      <c r="AN538" s="112" t="s">
        <v>1066</v>
      </c>
    </row>
    <row r="539" spans="1:40" ht="55.5" customHeight="1" x14ac:dyDescent="0.25">
      <c r="A539" s="111" t="s">
        <v>3088</v>
      </c>
      <c r="B539" s="112">
        <v>2026</v>
      </c>
      <c r="C539" s="112" t="s">
        <v>1089</v>
      </c>
      <c r="D539" s="113">
        <v>46028.453888888886</v>
      </c>
      <c r="E539" s="112">
        <v>7915039094</v>
      </c>
      <c r="F539" s="112" t="s">
        <v>302</v>
      </c>
      <c r="G539" s="112">
        <v>3</v>
      </c>
      <c r="H539" s="112">
        <v>7915039094</v>
      </c>
      <c r="I539" s="112" t="s">
        <v>3089</v>
      </c>
      <c r="J539" s="112" t="s">
        <v>1092</v>
      </c>
      <c r="K539" s="112" t="s">
        <v>1093</v>
      </c>
      <c r="L539" s="112" t="s">
        <v>1061</v>
      </c>
      <c r="M539" s="112" t="s">
        <v>478</v>
      </c>
      <c r="N539" s="113">
        <v>46428.453888888886</v>
      </c>
      <c r="O539" s="114">
        <v>19002260144</v>
      </c>
      <c r="P539" s="112">
        <v>196</v>
      </c>
      <c r="Q539" s="112" t="s">
        <v>1062</v>
      </c>
      <c r="R539" s="112" t="s">
        <v>1063</v>
      </c>
      <c r="S539" s="113">
        <v>46034.428472222222</v>
      </c>
      <c r="T539" s="112" t="s">
        <v>3090</v>
      </c>
      <c r="U539" s="112" t="s">
        <v>1065</v>
      </c>
      <c r="V539" s="112" t="s">
        <v>1066</v>
      </c>
      <c r="W539" s="112" t="s">
        <v>1066</v>
      </c>
      <c r="X539" s="112" t="s">
        <v>1066</v>
      </c>
      <c r="Y539" s="112" t="s">
        <v>1066</v>
      </c>
      <c r="Z539" s="112" t="s">
        <v>1066</v>
      </c>
      <c r="AA539" s="112" t="s">
        <v>1067</v>
      </c>
      <c r="AB539" s="112" t="s">
        <v>1066</v>
      </c>
      <c r="AC539" s="112" t="s">
        <v>92</v>
      </c>
      <c r="AD539" s="112" t="s">
        <v>1066</v>
      </c>
      <c r="AE539" s="112" t="s">
        <v>1066</v>
      </c>
      <c r="AF539" s="112" t="s">
        <v>1066</v>
      </c>
      <c r="AG539" s="112" t="s">
        <v>1066</v>
      </c>
      <c r="AH539" s="112" t="s">
        <v>1066</v>
      </c>
      <c r="AI539" s="112" t="s">
        <v>785</v>
      </c>
      <c r="AJ539" s="112">
        <v>8716722</v>
      </c>
      <c r="AK539" s="112" t="s">
        <v>224</v>
      </c>
      <c r="AL539" s="112">
        <v>769150</v>
      </c>
      <c r="AM539" s="112" t="s">
        <v>1066</v>
      </c>
      <c r="AN539" s="112" t="s">
        <v>1066</v>
      </c>
    </row>
    <row r="540" spans="1:40" ht="55.5" customHeight="1" x14ac:dyDescent="0.25">
      <c r="A540" s="111" t="s">
        <v>3091</v>
      </c>
      <c r="B540" s="112">
        <v>2026</v>
      </c>
      <c r="C540" s="112" t="s">
        <v>1057</v>
      </c>
      <c r="D540" s="113">
        <v>46125.614548611113</v>
      </c>
      <c r="E540" s="112">
        <v>7931609122</v>
      </c>
      <c r="F540" s="112" t="s">
        <v>2489</v>
      </c>
      <c r="G540" s="112">
        <v>1</v>
      </c>
      <c r="H540" s="112">
        <v>7931609122</v>
      </c>
      <c r="I540" s="112" t="s">
        <v>3092</v>
      </c>
      <c r="J540" s="112" t="s">
        <v>1066</v>
      </c>
      <c r="K540" s="112" t="s">
        <v>1125</v>
      </c>
      <c r="L540" s="112" t="s">
        <v>1061</v>
      </c>
      <c r="M540" s="112" t="s">
        <v>478</v>
      </c>
      <c r="N540" s="113">
        <v>46525.614548611113</v>
      </c>
      <c r="O540" s="114">
        <v>19002785461</v>
      </c>
      <c r="P540" s="112">
        <v>0</v>
      </c>
      <c r="Q540" s="112" t="s">
        <v>1062</v>
      </c>
      <c r="R540" s="112" t="s">
        <v>1063</v>
      </c>
      <c r="S540" s="113">
        <v>46218.425185185188</v>
      </c>
      <c r="T540" s="112" t="s">
        <v>3093</v>
      </c>
      <c r="U540" s="112" t="s">
        <v>1065</v>
      </c>
      <c r="V540" s="112" t="s">
        <v>1066</v>
      </c>
      <c r="W540" s="112" t="s">
        <v>1066</v>
      </c>
      <c r="X540" s="112" t="s">
        <v>1066</v>
      </c>
      <c r="Y540" s="112" t="s">
        <v>1066</v>
      </c>
      <c r="Z540" s="112" t="s">
        <v>1066</v>
      </c>
      <c r="AA540" s="112" t="s">
        <v>1067</v>
      </c>
      <c r="AB540" s="112" t="s">
        <v>1066</v>
      </c>
      <c r="AC540" s="112" t="s">
        <v>92</v>
      </c>
      <c r="AD540" s="112" t="s">
        <v>1066</v>
      </c>
      <c r="AE540" s="112" t="s">
        <v>1066</v>
      </c>
      <c r="AF540" s="112" t="s">
        <v>1066</v>
      </c>
      <c r="AG540" s="112" t="s">
        <v>1066</v>
      </c>
      <c r="AH540" s="112" t="s">
        <v>1066</v>
      </c>
      <c r="AI540" s="112" t="s">
        <v>785</v>
      </c>
      <c r="AJ540" s="112">
        <v>8874658</v>
      </c>
      <c r="AK540" s="112" t="s">
        <v>264</v>
      </c>
      <c r="AL540" s="112">
        <v>795054</v>
      </c>
      <c r="AM540" s="112" t="s">
        <v>1066</v>
      </c>
      <c r="AN540" s="112" t="s">
        <v>1066</v>
      </c>
    </row>
    <row r="541" spans="1:40" ht="55.5" customHeight="1" x14ac:dyDescent="0.25">
      <c r="A541" s="111" t="s">
        <v>3094</v>
      </c>
      <c r="B541" s="112">
        <v>2026</v>
      </c>
      <c r="C541" s="112" t="s">
        <v>3095</v>
      </c>
      <c r="D541" s="113">
        <v>46212.674108796295</v>
      </c>
      <c r="E541" s="112">
        <v>9000375063</v>
      </c>
      <c r="F541" s="112" t="s">
        <v>148</v>
      </c>
      <c r="G541" s="112">
        <v>3</v>
      </c>
      <c r="H541" s="112">
        <v>5838014063</v>
      </c>
      <c r="I541" s="112" t="s">
        <v>3096</v>
      </c>
      <c r="J541" s="112" t="s">
        <v>1092</v>
      </c>
      <c r="K541" s="112" t="s">
        <v>1330</v>
      </c>
      <c r="L541" s="112" t="s">
        <v>1061</v>
      </c>
      <c r="M541" s="112" t="s">
        <v>478</v>
      </c>
      <c r="N541" s="113">
        <v>46612.674108796295</v>
      </c>
      <c r="O541" s="114">
        <v>19002682479</v>
      </c>
      <c r="P541" s="112">
        <v>0</v>
      </c>
      <c r="Q541" s="112" t="s">
        <v>1074</v>
      </c>
      <c r="R541" s="112" t="s">
        <v>1063</v>
      </c>
      <c r="S541" s="113">
        <v>46226.729953703703</v>
      </c>
      <c r="T541" s="112" t="s">
        <v>3097</v>
      </c>
      <c r="U541" s="112" t="s">
        <v>1065</v>
      </c>
      <c r="V541" s="112" t="s">
        <v>1066</v>
      </c>
      <c r="W541" s="112" t="s">
        <v>1066</v>
      </c>
      <c r="X541" s="112" t="s">
        <v>1332</v>
      </c>
      <c r="Y541" s="112" t="s">
        <v>1066</v>
      </c>
      <c r="Z541" s="112" t="s">
        <v>1066</v>
      </c>
      <c r="AA541" s="112" t="s">
        <v>1067</v>
      </c>
      <c r="AB541" s="112" t="s">
        <v>1066</v>
      </c>
      <c r="AC541" s="112" t="s">
        <v>92</v>
      </c>
      <c r="AD541" s="112" t="s">
        <v>1066</v>
      </c>
      <c r="AE541" s="112" t="s">
        <v>1066</v>
      </c>
      <c r="AF541" s="112" t="s">
        <v>1066</v>
      </c>
      <c r="AG541" s="112" t="s">
        <v>1066</v>
      </c>
      <c r="AH541" s="112" t="s">
        <v>1066</v>
      </c>
      <c r="AI541" s="112" t="s">
        <v>785</v>
      </c>
      <c r="AJ541" s="112">
        <v>9158150</v>
      </c>
      <c r="AK541" s="112" t="s">
        <v>147</v>
      </c>
      <c r="AL541" s="112">
        <v>750295</v>
      </c>
      <c r="AM541" s="112" t="s">
        <v>1066</v>
      </c>
      <c r="AN541" s="112" t="s">
        <v>1066</v>
      </c>
    </row>
    <row r="542" spans="1:40" ht="55.5" customHeight="1" x14ac:dyDescent="0.25">
      <c r="A542" s="115" t="s">
        <v>3098</v>
      </c>
      <c r="B542" s="116">
        <v>2026</v>
      </c>
      <c r="C542" s="116" t="s">
        <v>3099</v>
      </c>
      <c r="D542" s="118">
        <v>46195.912094907406</v>
      </c>
      <c r="E542" s="116">
        <v>9000218064</v>
      </c>
      <c r="F542" s="116" t="s">
        <v>390</v>
      </c>
      <c r="G542" s="116">
        <v>1</v>
      </c>
      <c r="H542" s="116">
        <v>5825703064</v>
      </c>
      <c r="I542" s="116" t="s">
        <v>3100</v>
      </c>
      <c r="J542" s="116" t="s">
        <v>1071</v>
      </c>
      <c r="K542" s="116" t="s">
        <v>1171</v>
      </c>
      <c r="L542" s="116" t="s">
        <v>1073</v>
      </c>
      <c r="M542" s="116" t="s">
        <v>588</v>
      </c>
      <c r="N542" s="118">
        <v>46227.732754629629</v>
      </c>
      <c r="O542" s="119">
        <v>19002317918</v>
      </c>
      <c r="P542" s="116">
        <v>2.5270000000000001</v>
      </c>
      <c r="Q542" s="116" t="s">
        <v>1074</v>
      </c>
      <c r="R542" s="116" t="s">
        <v>1263</v>
      </c>
      <c r="S542" s="116" t="s">
        <v>1066</v>
      </c>
      <c r="T542" s="116" t="s">
        <v>1066</v>
      </c>
      <c r="U542" s="116" t="s">
        <v>1066</v>
      </c>
      <c r="V542" s="116" t="s">
        <v>1066</v>
      </c>
      <c r="W542" s="116" t="s">
        <v>1066</v>
      </c>
      <c r="X542" s="116" t="s">
        <v>3101</v>
      </c>
      <c r="Y542" s="116" t="s">
        <v>1066</v>
      </c>
      <c r="Z542" s="116" t="s">
        <v>1174</v>
      </c>
      <c r="AA542" s="116" t="s">
        <v>1067</v>
      </c>
      <c r="AB542" s="116" t="s">
        <v>1066</v>
      </c>
      <c r="AC542" s="116" t="s">
        <v>92</v>
      </c>
      <c r="AD542" s="116" t="s">
        <v>1066</v>
      </c>
      <c r="AE542" s="116" t="s">
        <v>1066</v>
      </c>
      <c r="AF542" s="116" t="s">
        <v>1066</v>
      </c>
      <c r="AG542" s="116" t="s">
        <v>1066</v>
      </c>
      <c r="AH542" s="116" t="s">
        <v>1066</v>
      </c>
      <c r="AI542" s="116" t="s">
        <v>785</v>
      </c>
      <c r="AJ542" s="116">
        <v>9084968</v>
      </c>
      <c r="AK542" s="116" t="s">
        <v>389</v>
      </c>
      <c r="AL542" s="116">
        <v>778551</v>
      </c>
      <c r="AM542" s="116" t="s">
        <v>1066</v>
      </c>
      <c r="AN542" s="116" t="s">
        <v>1066</v>
      </c>
    </row>
    <row r="543" spans="1:40" ht="55.5" customHeight="1" x14ac:dyDescent="0.25">
      <c r="A543" s="120" t="s">
        <v>3102</v>
      </c>
      <c r="B543" s="121">
        <v>2026</v>
      </c>
      <c r="C543" s="121" t="s">
        <v>3103</v>
      </c>
      <c r="D543" s="122">
        <v>46141.720821759256</v>
      </c>
      <c r="E543" s="121">
        <v>9000375063</v>
      </c>
      <c r="F543" s="121" t="s">
        <v>148</v>
      </c>
      <c r="G543" s="121">
        <v>3</v>
      </c>
      <c r="H543" s="121">
        <v>5838014063</v>
      </c>
      <c r="I543" s="121" t="s">
        <v>3104</v>
      </c>
      <c r="J543" s="121" t="s">
        <v>1071</v>
      </c>
      <c r="K543" s="121" t="s">
        <v>1171</v>
      </c>
      <c r="L543" s="121" t="s">
        <v>1073</v>
      </c>
      <c r="M543" s="121" t="s">
        <v>1116</v>
      </c>
      <c r="N543" s="122">
        <v>46144.720821759256</v>
      </c>
      <c r="O543" s="123">
        <v>19002682478</v>
      </c>
      <c r="P543" s="121">
        <v>0</v>
      </c>
      <c r="Q543" s="121" t="s">
        <v>1074</v>
      </c>
      <c r="R543" s="121" t="s">
        <v>1263</v>
      </c>
      <c r="S543" s="122">
        <v>46147.394155092596</v>
      </c>
      <c r="T543" s="121" t="s">
        <v>1066</v>
      </c>
      <c r="U543" s="121" t="s">
        <v>1066</v>
      </c>
      <c r="V543" s="121" t="s">
        <v>1066</v>
      </c>
      <c r="W543" s="121" t="s">
        <v>1066</v>
      </c>
      <c r="X543" s="121" t="s">
        <v>1173</v>
      </c>
      <c r="Y543" s="121" t="s">
        <v>1066</v>
      </c>
      <c r="Z543" s="121" t="s">
        <v>1174</v>
      </c>
      <c r="AA543" s="121" t="s">
        <v>1067</v>
      </c>
      <c r="AB543" s="121" t="s">
        <v>1066</v>
      </c>
      <c r="AC543" s="121" t="s">
        <v>92</v>
      </c>
      <c r="AD543" s="121" t="s">
        <v>1066</v>
      </c>
      <c r="AE543" s="121" t="s">
        <v>1066</v>
      </c>
      <c r="AF543" s="121" t="s">
        <v>1066</v>
      </c>
      <c r="AG543" s="121" t="s">
        <v>1066</v>
      </c>
      <c r="AH543" s="121" t="s">
        <v>1066</v>
      </c>
      <c r="AI543" s="121" t="s">
        <v>785</v>
      </c>
      <c r="AJ543" s="121">
        <v>9158150</v>
      </c>
      <c r="AK543" s="121" t="s">
        <v>147</v>
      </c>
      <c r="AL543" s="121">
        <v>750295</v>
      </c>
      <c r="AM543" s="121" t="s">
        <v>1066</v>
      </c>
      <c r="AN543" s="121" t="s">
        <v>1066</v>
      </c>
    </row>
    <row r="544" spans="1:40" ht="55.5" customHeight="1" x14ac:dyDescent="0.25">
      <c r="A544" s="124" t="s">
        <v>3105</v>
      </c>
      <c r="B544" s="125">
        <v>2026</v>
      </c>
      <c r="C544" s="125" t="s">
        <v>3106</v>
      </c>
      <c r="D544" s="126">
        <v>45987.440462962964</v>
      </c>
      <c r="E544" s="125">
        <v>321798145</v>
      </c>
      <c r="F544" s="125" t="s">
        <v>364</v>
      </c>
      <c r="G544" s="125">
        <v>3</v>
      </c>
      <c r="H544" s="125">
        <v>7949648145</v>
      </c>
      <c r="I544" s="125" t="s">
        <v>3107</v>
      </c>
      <c r="J544" s="125" t="s">
        <v>1071</v>
      </c>
      <c r="K544" s="125" t="s">
        <v>1958</v>
      </c>
      <c r="L544" s="125" t="s">
        <v>1073</v>
      </c>
      <c r="M544" s="125" t="s">
        <v>510</v>
      </c>
      <c r="N544" s="126">
        <v>46187.664837962962</v>
      </c>
      <c r="O544" s="127">
        <v>19002642359</v>
      </c>
      <c r="P544" s="125">
        <v>1.373</v>
      </c>
      <c r="Q544" s="125" t="s">
        <v>1131</v>
      </c>
      <c r="R544" s="125" t="s">
        <v>1085</v>
      </c>
      <c r="S544" s="125" t="s">
        <v>1066</v>
      </c>
      <c r="T544" s="125" t="s">
        <v>1066</v>
      </c>
      <c r="U544" s="125" t="s">
        <v>1066</v>
      </c>
      <c r="V544" s="125" t="s">
        <v>1066</v>
      </c>
      <c r="W544" s="125" t="s">
        <v>1066</v>
      </c>
      <c r="X544" s="125" t="s">
        <v>1148</v>
      </c>
      <c r="Y544" s="125" t="s">
        <v>1066</v>
      </c>
      <c r="Z544" s="125" t="s">
        <v>1148</v>
      </c>
      <c r="AA544" s="125" t="s">
        <v>1067</v>
      </c>
      <c r="AB544" s="125" t="s">
        <v>1066</v>
      </c>
      <c r="AC544" s="125" t="s">
        <v>92</v>
      </c>
      <c r="AD544" s="125" t="s">
        <v>1066</v>
      </c>
      <c r="AE544" s="125" t="s">
        <v>1066</v>
      </c>
      <c r="AF544" s="125" t="s">
        <v>1066</v>
      </c>
      <c r="AG544" s="125" t="s">
        <v>1066</v>
      </c>
      <c r="AH544" s="125" t="s">
        <v>3108</v>
      </c>
      <c r="AI544" s="125" t="s">
        <v>785</v>
      </c>
      <c r="AJ544" s="125">
        <v>9341451</v>
      </c>
      <c r="AK544" s="125" t="s">
        <v>363</v>
      </c>
      <c r="AL544" s="125">
        <v>886537</v>
      </c>
      <c r="AM544" s="125" t="s">
        <v>1066</v>
      </c>
      <c r="AN544" s="125" t="s">
        <v>1066</v>
      </c>
    </row>
    <row r="545" spans="1:40" ht="55.5" customHeight="1" x14ac:dyDescent="0.25">
      <c r="A545" s="124" t="s">
        <v>392</v>
      </c>
      <c r="B545" s="125">
        <v>2026</v>
      </c>
      <c r="C545" s="125" t="s">
        <v>3109</v>
      </c>
      <c r="D545" s="126">
        <v>46244.880868055552</v>
      </c>
      <c r="E545" s="125">
        <v>7938048113</v>
      </c>
      <c r="F545" s="125" t="s">
        <v>390</v>
      </c>
      <c r="G545" s="125">
        <v>2</v>
      </c>
      <c r="H545" s="125">
        <v>7938048113</v>
      </c>
      <c r="I545" s="125" t="s">
        <v>3110</v>
      </c>
      <c r="J545" s="125" t="s">
        <v>1071</v>
      </c>
      <c r="K545" s="125" t="s">
        <v>1115</v>
      </c>
      <c r="L545" s="125" t="s">
        <v>1073</v>
      </c>
      <c r="M545" s="125" t="s">
        <v>510</v>
      </c>
      <c r="N545" s="126">
        <v>46247.880868055552</v>
      </c>
      <c r="O545" s="127">
        <v>19002210939</v>
      </c>
      <c r="P545" s="125">
        <v>435</v>
      </c>
      <c r="Q545" s="125" t="s">
        <v>1062</v>
      </c>
      <c r="R545" s="125" t="s">
        <v>1075</v>
      </c>
      <c r="S545" s="125" t="s">
        <v>1066</v>
      </c>
      <c r="T545" s="125" t="s">
        <v>1066</v>
      </c>
      <c r="U545" s="125" t="s">
        <v>1066</v>
      </c>
      <c r="V545" s="125" t="s">
        <v>1066</v>
      </c>
      <c r="W545" s="125" t="s">
        <v>1066</v>
      </c>
      <c r="X545" s="125" t="s">
        <v>983</v>
      </c>
      <c r="Y545" s="125" t="s">
        <v>1066</v>
      </c>
      <c r="Z545" s="125" t="s">
        <v>1318</v>
      </c>
      <c r="AA545" s="125" t="s">
        <v>1067</v>
      </c>
      <c r="AB545" s="125" t="s">
        <v>1066</v>
      </c>
      <c r="AC545" s="125" t="s">
        <v>92</v>
      </c>
      <c r="AD545" s="125" t="s">
        <v>1066</v>
      </c>
      <c r="AE545" s="125" t="s">
        <v>1066</v>
      </c>
      <c r="AF545" s="125" t="s">
        <v>1066</v>
      </c>
      <c r="AG545" s="125" t="s">
        <v>1066</v>
      </c>
      <c r="AH545" s="125" t="s">
        <v>1066</v>
      </c>
      <c r="AI545" s="125" t="s">
        <v>785</v>
      </c>
      <c r="AJ545" s="125">
        <v>9065364</v>
      </c>
      <c r="AK545" s="125" t="s">
        <v>373</v>
      </c>
      <c r="AL545" s="125">
        <v>707266</v>
      </c>
      <c r="AM545" s="125" t="s">
        <v>1066</v>
      </c>
      <c r="AN545" s="125" t="s">
        <v>1066</v>
      </c>
    </row>
    <row r="546" spans="1:40" ht="55.5" customHeight="1" x14ac:dyDescent="0.25">
      <c r="A546" s="111" t="s">
        <v>3111</v>
      </c>
      <c r="B546" s="112">
        <v>2026</v>
      </c>
      <c r="C546" s="112" t="s">
        <v>3112</v>
      </c>
      <c r="D546" s="113">
        <v>46058.905011574076</v>
      </c>
      <c r="E546" s="112">
        <v>9000179156</v>
      </c>
      <c r="F546" s="112" t="s">
        <v>351</v>
      </c>
      <c r="G546" s="112">
        <v>2</v>
      </c>
      <c r="H546" s="112">
        <v>7930910156</v>
      </c>
      <c r="I546" s="112" t="s">
        <v>3113</v>
      </c>
      <c r="J546" s="112" t="s">
        <v>1071</v>
      </c>
      <c r="K546" s="112" t="s">
        <v>1296</v>
      </c>
      <c r="L546" s="112" t="s">
        <v>1073</v>
      </c>
      <c r="M546" s="112" t="s">
        <v>478</v>
      </c>
      <c r="N546" s="113">
        <v>46061.905011574076</v>
      </c>
      <c r="O546" s="114">
        <v>19001277957</v>
      </c>
      <c r="P546" s="112">
        <v>853</v>
      </c>
      <c r="Q546" s="112" t="s">
        <v>1131</v>
      </c>
      <c r="R546" s="112" t="s">
        <v>1263</v>
      </c>
      <c r="S546" s="113">
        <v>46063.597916666666</v>
      </c>
      <c r="T546" s="112" t="s">
        <v>3114</v>
      </c>
      <c r="U546" s="112" t="s">
        <v>1065</v>
      </c>
      <c r="V546" s="112" t="s">
        <v>1066</v>
      </c>
      <c r="W546" s="112" t="s">
        <v>1066</v>
      </c>
      <c r="X546" s="112" t="s">
        <v>983</v>
      </c>
      <c r="Y546" s="112" t="s">
        <v>1066</v>
      </c>
      <c r="Z546" s="112" t="s">
        <v>1148</v>
      </c>
      <c r="AA546" s="112" t="s">
        <v>1067</v>
      </c>
      <c r="AB546" s="112" t="s">
        <v>1066</v>
      </c>
      <c r="AC546" s="112" t="s">
        <v>92</v>
      </c>
      <c r="AD546" s="112" t="s">
        <v>1142</v>
      </c>
      <c r="AE546" s="112" t="s">
        <v>1066</v>
      </c>
      <c r="AF546" s="112" t="s">
        <v>1066</v>
      </c>
      <c r="AG546" s="112" t="s">
        <v>1066</v>
      </c>
      <c r="AH546" s="112" t="s">
        <v>1066</v>
      </c>
      <c r="AI546" s="112" t="s">
        <v>785</v>
      </c>
      <c r="AJ546" s="112">
        <v>9323646</v>
      </c>
      <c r="AK546" s="112" t="s">
        <v>1965</v>
      </c>
      <c r="AL546" s="112">
        <v>841834</v>
      </c>
      <c r="AM546" s="112" t="s">
        <v>1066</v>
      </c>
      <c r="AN546" s="112" t="s">
        <v>1066</v>
      </c>
    </row>
    <row r="547" spans="1:40" ht="55.5" customHeight="1" x14ac:dyDescent="0.25">
      <c r="A547" s="111" t="s">
        <v>3115</v>
      </c>
      <c r="B547" s="112">
        <v>2026</v>
      </c>
      <c r="C547" s="112" t="s">
        <v>3116</v>
      </c>
      <c r="D547" s="113">
        <v>46102.465937499997</v>
      </c>
      <c r="E547" s="112">
        <v>7915039094</v>
      </c>
      <c r="F547" s="112" t="s">
        <v>302</v>
      </c>
      <c r="G547" s="112">
        <v>3</v>
      </c>
      <c r="H547" s="112">
        <v>7915039094</v>
      </c>
      <c r="I547" s="112" t="s">
        <v>3089</v>
      </c>
      <c r="J547" s="112" t="s">
        <v>1071</v>
      </c>
      <c r="K547" s="112" t="s">
        <v>1457</v>
      </c>
      <c r="L547" s="112" t="s">
        <v>1073</v>
      </c>
      <c r="M547" s="112" t="s">
        <v>478</v>
      </c>
      <c r="N547" s="113">
        <v>46105.465937499997</v>
      </c>
      <c r="O547" s="114">
        <v>19002260144</v>
      </c>
      <c r="P547" s="112">
        <v>196</v>
      </c>
      <c r="Q547" s="112" t="s">
        <v>1062</v>
      </c>
      <c r="R547" s="112" t="s">
        <v>1075</v>
      </c>
      <c r="S547" s="113">
        <v>46155.339456018519</v>
      </c>
      <c r="T547" s="112" t="s">
        <v>3117</v>
      </c>
      <c r="U547" s="112" t="s">
        <v>1065</v>
      </c>
      <c r="V547" s="112" t="s">
        <v>1066</v>
      </c>
      <c r="W547" s="112" t="s">
        <v>1066</v>
      </c>
      <c r="X547" s="112" t="s">
        <v>983</v>
      </c>
      <c r="Y547" s="112" t="s">
        <v>1066</v>
      </c>
      <c r="Z547" s="112" t="s">
        <v>1409</v>
      </c>
      <c r="AA547" s="112" t="s">
        <v>1067</v>
      </c>
      <c r="AB547" s="112" t="s">
        <v>1066</v>
      </c>
      <c r="AC547" s="112" t="s">
        <v>92</v>
      </c>
      <c r="AD547" s="112" t="s">
        <v>1066</v>
      </c>
      <c r="AE547" s="112" t="s">
        <v>1066</v>
      </c>
      <c r="AF547" s="112" t="s">
        <v>1066</v>
      </c>
      <c r="AG547" s="112" t="s">
        <v>1066</v>
      </c>
      <c r="AH547" s="112" t="s">
        <v>1066</v>
      </c>
      <c r="AI547" s="112" t="s">
        <v>785</v>
      </c>
      <c r="AJ547" s="112">
        <v>8716722</v>
      </c>
      <c r="AK547" s="112" t="s">
        <v>224</v>
      </c>
      <c r="AL547" s="112">
        <v>769150</v>
      </c>
      <c r="AM547" s="112" t="s">
        <v>1066</v>
      </c>
      <c r="AN547" s="112" t="s">
        <v>1066</v>
      </c>
    </row>
    <row r="548" spans="1:40" ht="55.5" customHeight="1" x14ac:dyDescent="0.25">
      <c r="A548" s="111" t="s">
        <v>633</v>
      </c>
      <c r="B548" s="112">
        <v>2026</v>
      </c>
      <c r="C548" s="112" t="s">
        <v>634</v>
      </c>
      <c r="D548" s="113">
        <v>46219.378854166665</v>
      </c>
      <c r="E548" s="112">
        <v>7961368005</v>
      </c>
      <c r="F548" s="112" t="s">
        <v>696</v>
      </c>
      <c r="G548" s="112">
        <v>3</v>
      </c>
      <c r="H548" s="112">
        <v>7961368005</v>
      </c>
      <c r="I548" s="112" t="s">
        <v>3118</v>
      </c>
      <c r="J548" s="112" t="s">
        <v>1071</v>
      </c>
      <c r="K548" s="112" t="s">
        <v>3119</v>
      </c>
      <c r="L548" s="112" t="s">
        <v>1073</v>
      </c>
      <c r="M548" s="112" t="s">
        <v>478</v>
      </c>
      <c r="N548" s="113">
        <v>46222.378854166665</v>
      </c>
      <c r="O548" s="114">
        <v>19002794515</v>
      </c>
      <c r="P548" s="112">
        <v>348</v>
      </c>
      <c r="Q548" s="112" t="s">
        <v>1062</v>
      </c>
      <c r="R548" s="112" t="s">
        <v>1075</v>
      </c>
      <c r="S548" s="113">
        <v>46239.615266203706</v>
      </c>
      <c r="T548" s="112" t="s">
        <v>3120</v>
      </c>
      <c r="U548" s="112" t="s">
        <v>1065</v>
      </c>
      <c r="V548" s="112" t="s">
        <v>1066</v>
      </c>
      <c r="W548" s="112" t="s">
        <v>1066</v>
      </c>
      <c r="X548" s="112" t="s">
        <v>983</v>
      </c>
      <c r="Y548" s="112" t="s">
        <v>1066</v>
      </c>
      <c r="Z548" s="112" t="s">
        <v>1066</v>
      </c>
      <c r="AA548" s="112" t="s">
        <v>1067</v>
      </c>
      <c r="AB548" s="112" t="s">
        <v>1066</v>
      </c>
      <c r="AC548" s="112" t="s">
        <v>92</v>
      </c>
      <c r="AD548" s="112" t="s">
        <v>1066</v>
      </c>
      <c r="AE548" s="112" t="s">
        <v>1066</v>
      </c>
      <c r="AF548" s="112" t="s">
        <v>1066</v>
      </c>
      <c r="AG548" s="112" t="s">
        <v>1066</v>
      </c>
      <c r="AH548" s="112" t="s">
        <v>1066</v>
      </c>
      <c r="AI548" s="112" t="s">
        <v>785</v>
      </c>
      <c r="AJ548" s="112">
        <v>8585459</v>
      </c>
      <c r="AK548" s="112" t="s">
        <v>695</v>
      </c>
      <c r="AL548" s="112">
        <v>956326</v>
      </c>
      <c r="AM548" s="112" t="s">
        <v>1066</v>
      </c>
      <c r="AN548" s="112" t="s">
        <v>1066</v>
      </c>
    </row>
    <row r="549" spans="1:40" ht="55.5" customHeight="1" x14ac:dyDescent="0.25">
      <c r="A549" s="124" t="s">
        <v>3121</v>
      </c>
      <c r="B549" s="125">
        <v>2026</v>
      </c>
      <c r="C549" s="125" t="s">
        <v>3122</v>
      </c>
      <c r="D549" s="126">
        <v>46244.225046296298</v>
      </c>
      <c r="E549" s="125" t="s">
        <v>1066</v>
      </c>
      <c r="F549" s="125" t="s">
        <v>3123</v>
      </c>
      <c r="G549" s="125" t="s">
        <v>1066</v>
      </c>
      <c r="H549" s="125" t="s">
        <v>3124</v>
      </c>
      <c r="I549" s="125" t="s">
        <v>3125</v>
      </c>
      <c r="J549" s="125" t="s">
        <v>1071</v>
      </c>
      <c r="K549" s="125" t="s">
        <v>1619</v>
      </c>
      <c r="L549" s="125" t="s">
        <v>1073</v>
      </c>
      <c r="M549" s="125" t="s">
        <v>510</v>
      </c>
      <c r="N549" s="126">
        <v>46247.225046296298</v>
      </c>
      <c r="O549" s="127">
        <v>19002465575</v>
      </c>
      <c r="P549" s="125">
        <v>0</v>
      </c>
      <c r="Q549" s="125" t="s">
        <v>3126</v>
      </c>
      <c r="R549" s="125" t="s">
        <v>1263</v>
      </c>
      <c r="S549" s="125" t="s">
        <v>1066</v>
      </c>
      <c r="T549" s="125" t="s">
        <v>1066</v>
      </c>
      <c r="U549" s="125" t="s">
        <v>1066</v>
      </c>
      <c r="V549" s="125" t="s">
        <v>1066</v>
      </c>
      <c r="W549" s="125" t="s">
        <v>1066</v>
      </c>
      <c r="X549" s="125" t="s">
        <v>983</v>
      </c>
      <c r="Y549" s="125" t="s">
        <v>1066</v>
      </c>
      <c r="Z549" s="125" t="s">
        <v>3127</v>
      </c>
      <c r="AA549" s="125" t="s">
        <v>1067</v>
      </c>
      <c r="AB549" s="125" t="s">
        <v>1066</v>
      </c>
      <c r="AC549" s="125" t="s">
        <v>92</v>
      </c>
      <c r="AD549" s="125" t="s">
        <v>1066</v>
      </c>
      <c r="AE549" s="125" t="s">
        <v>1066</v>
      </c>
      <c r="AF549" s="125" t="s">
        <v>1066</v>
      </c>
      <c r="AG549" s="125" t="s">
        <v>1066</v>
      </c>
      <c r="AH549" s="125" t="s">
        <v>1066</v>
      </c>
      <c r="AI549" s="125" t="s">
        <v>785</v>
      </c>
      <c r="AJ549" s="125">
        <v>26910</v>
      </c>
      <c r="AK549" s="125" t="s">
        <v>264</v>
      </c>
      <c r="AL549" s="125">
        <v>73485</v>
      </c>
      <c r="AM549" s="125" t="s">
        <v>1066</v>
      </c>
      <c r="AN549" s="125" t="s">
        <v>1066</v>
      </c>
    </row>
    <row r="550" spans="1:40" ht="55.5" customHeight="1" x14ac:dyDescent="0.25">
      <c r="A550" s="111" t="s">
        <v>3128</v>
      </c>
      <c r="B550" s="112">
        <v>2026</v>
      </c>
      <c r="C550" s="112" t="s">
        <v>3129</v>
      </c>
      <c r="D550" s="113">
        <v>46103.703888888886</v>
      </c>
      <c r="E550" s="112">
        <v>7926785070</v>
      </c>
      <c r="F550" s="112" t="s">
        <v>88</v>
      </c>
      <c r="G550" s="112">
        <v>1</v>
      </c>
      <c r="H550" s="112">
        <v>7926785070</v>
      </c>
      <c r="I550" s="112" t="s">
        <v>3130</v>
      </c>
      <c r="J550" s="112" t="s">
        <v>1071</v>
      </c>
      <c r="K550" s="112" t="s">
        <v>1662</v>
      </c>
      <c r="L550" s="112" t="s">
        <v>1073</v>
      </c>
      <c r="M550" s="112" t="s">
        <v>478</v>
      </c>
      <c r="N550" s="113">
        <v>46106.703888888886</v>
      </c>
      <c r="O550" s="114">
        <v>19002295984</v>
      </c>
      <c r="P550" s="112">
        <v>0</v>
      </c>
      <c r="Q550" s="112" t="s">
        <v>1062</v>
      </c>
      <c r="R550" s="112" t="s">
        <v>1075</v>
      </c>
      <c r="S550" s="113">
        <v>46114.62641203704</v>
      </c>
      <c r="T550" s="112" t="s">
        <v>3131</v>
      </c>
      <c r="U550" s="112" t="s">
        <v>1065</v>
      </c>
      <c r="V550" s="112" t="s">
        <v>1066</v>
      </c>
      <c r="W550" s="112" t="s">
        <v>1066</v>
      </c>
      <c r="X550" s="112" t="s">
        <v>983</v>
      </c>
      <c r="Y550" s="112" t="s">
        <v>1066</v>
      </c>
      <c r="Z550" s="112" t="s">
        <v>1318</v>
      </c>
      <c r="AA550" s="112" t="s">
        <v>1067</v>
      </c>
      <c r="AB550" s="112" t="s">
        <v>1066</v>
      </c>
      <c r="AC550" s="112" t="s">
        <v>92</v>
      </c>
      <c r="AD550" s="112" t="s">
        <v>1066</v>
      </c>
      <c r="AE550" s="112" t="s">
        <v>1066</v>
      </c>
      <c r="AF550" s="112" t="s">
        <v>1066</v>
      </c>
      <c r="AG550" s="112" t="s">
        <v>1066</v>
      </c>
      <c r="AH550" s="112" t="s">
        <v>1066</v>
      </c>
      <c r="AI550" s="112" t="s">
        <v>785</v>
      </c>
      <c r="AJ550" s="112">
        <v>8943762</v>
      </c>
      <c r="AK550" s="112" t="s">
        <v>87</v>
      </c>
      <c r="AL550" s="112">
        <v>863696</v>
      </c>
      <c r="AM550" s="112" t="s">
        <v>1066</v>
      </c>
      <c r="AN550" s="112" t="s">
        <v>1066</v>
      </c>
    </row>
    <row r="551" spans="1:40" ht="55.5" customHeight="1" x14ac:dyDescent="0.25">
      <c r="A551" s="111" t="s">
        <v>3132</v>
      </c>
      <c r="B551" s="112">
        <v>2026</v>
      </c>
      <c r="C551" s="112" t="s">
        <v>1057</v>
      </c>
      <c r="D551" s="113">
        <v>46125.584386574075</v>
      </c>
      <c r="E551" s="112">
        <v>7936041186</v>
      </c>
      <c r="F551" s="112" t="s">
        <v>1236</v>
      </c>
      <c r="G551" s="112">
        <v>2</v>
      </c>
      <c r="H551" s="112">
        <v>7936041186</v>
      </c>
      <c r="I551" s="112" t="s">
        <v>3133</v>
      </c>
      <c r="J551" s="112" t="s">
        <v>1066</v>
      </c>
      <c r="K551" s="112" t="s">
        <v>1125</v>
      </c>
      <c r="L551" s="112" t="s">
        <v>1061</v>
      </c>
      <c r="M551" s="112" t="s">
        <v>478</v>
      </c>
      <c r="N551" s="113">
        <v>46525.584386574075</v>
      </c>
      <c r="O551" s="114">
        <v>19002207553</v>
      </c>
      <c r="P551" s="112">
        <v>529</v>
      </c>
      <c r="Q551" s="112" t="s">
        <v>1062</v>
      </c>
      <c r="R551" s="112" t="s">
        <v>1063</v>
      </c>
      <c r="S551" s="113">
        <v>46170.480844907404</v>
      </c>
      <c r="T551" s="112" t="s">
        <v>3134</v>
      </c>
      <c r="U551" s="112" t="s">
        <v>1065</v>
      </c>
      <c r="V551" s="112" t="s">
        <v>1066</v>
      </c>
      <c r="W551" s="112" t="s">
        <v>1066</v>
      </c>
      <c r="X551" s="112" t="s">
        <v>1066</v>
      </c>
      <c r="Y551" s="112" t="s">
        <v>1066</v>
      </c>
      <c r="Z551" s="112" t="s">
        <v>1066</v>
      </c>
      <c r="AA551" s="112" t="s">
        <v>1067</v>
      </c>
      <c r="AB551" s="112" t="s">
        <v>1066</v>
      </c>
      <c r="AC551" s="112" t="s">
        <v>92</v>
      </c>
      <c r="AD551" s="112" t="s">
        <v>1066</v>
      </c>
      <c r="AE551" s="112" t="s">
        <v>1066</v>
      </c>
      <c r="AF551" s="112" t="s">
        <v>1066</v>
      </c>
      <c r="AG551" s="112" t="s">
        <v>1066</v>
      </c>
      <c r="AH551" s="112" t="s">
        <v>1066</v>
      </c>
      <c r="AI551" s="112" t="s">
        <v>785</v>
      </c>
      <c r="AJ551" s="112">
        <v>8579856</v>
      </c>
      <c r="AK551" s="112" t="s">
        <v>1438</v>
      </c>
      <c r="AL551" s="112">
        <v>762828</v>
      </c>
      <c r="AM551" s="112" t="s">
        <v>1066</v>
      </c>
      <c r="AN551" s="112" t="s">
        <v>1066</v>
      </c>
    </row>
    <row r="552" spans="1:40" ht="55.5" customHeight="1" x14ac:dyDescent="0.25">
      <c r="A552" s="111" t="s">
        <v>3135</v>
      </c>
      <c r="B552" s="112">
        <v>2026</v>
      </c>
      <c r="C552" s="112" t="s">
        <v>1240</v>
      </c>
      <c r="D552" s="113">
        <v>46183.597349537034</v>
      </c>
      <c r="E552" s="112">
        <v>7937110003</v>
      </c>
      <c r="F552" s="112" t="s">
        <v>1189</v>
      </c>
      <c r="G552" s="112">
        <v>3</v>
      </c>
      <c r="H552" s="112">
        <v>7937110003</v>
      </c>
      <c r="I552" s="112" t="s">
        <v>3136</v>
      </c>
      <c r="J552" s="112" t="s">
        <v>1066</v>
      </c>
      <c r="K552" s="112" t="s">
        <v>1125</v>
      </c>
      <c r="L552" s="112" t="s">
        <v>1061</v>
      </c>
      <c r="M552" s="112" t="s">
        <v>478</v>
      </c>
      <c r="N552" s="113">
        <v>46583.597349537034</v>
      </c>
      <c r="O552" s="114">
        <v>19002203994</v>
      </c>
      <c r="P552" s="112">
        <v>1.248</v>
      </c>
      <c r="Q552" s="112" t="s">
        <v>1062</v>
      </c>
      <c r="R552" s="112" t="s">
        <v>1063</v>
      </c>
      <c r="S552" s="113">
        <v>46244.479872685188</v>
      </c>
      <c r="T552" s="112" t="s">
        <v>3137</v>
      </c>
      <c r="U552" s="112" t="s">
        <v>1065</v>
      </c>
      <c r="V552" s="112" t="s">
        <v>1066</v>
      </c>
      <c r="W552" s="112" t="s">
        <v>1066</v>
      </c>
      <c r="X552" s="112" t="s">
        <v>1066</v>
      </c>
      <c r="Y552" s="112" t="s">
        <v>1066</v>
      </c>
      <c r="Z552" s="112" t="s">
        <v>1066</v>
      </c>
      <c r="AA552" s="112" t="s">
        <v>1067</v>
      </c>
      <c r="AB552" s="112" t="s">
        <v>1066</v>
      </c>
      <c r="AC552" s="112" t="s">
        <v>92</v>
      </c>
      <c r="AD552" s="112" t="s">
        <v>1066</v>
      </c>
      <c r="AE552" s="112" t="s">
        <v>1066</v>
      </c>
      <c r="AF552" s="112" t="s">
        <v>1066</v>
      </c>
      <c r="AG552" s="112" t="s">
        <v>1066</v>
      </c>
      <c r="AH552" s="112" t="s">
        <v>1066</v>
      </c>
      <c r="AI552" s="112" t="s">
        <v>785</v>
      </c>
      <c r="AJ552" s="112">
        <v>8703479</v>
      </c>
      <c r="AK552" s="112" t="s">
        <v>210</v>
      </c>
      <c r="AL552" s="112">
        <v>710066</v>
      </c>
      <c r="AM552" s="112" t="s">
        <v>1066</v>
      </c>
      <c r="AN552" s="112" t="s">
        <v>1066</v>
      </c>
    </row>
    <row r="553" spans="1:40" ht="55.5" customHeight="1" x14ac:dyDescent="0.25">
      <c r="A553" s="111" t="s">
        <v>3138</v>
      </c>
      <c r="B553" s="112">
        <v>2026</v>
      </c>
      <c r="C553" s="112" t="s">
        <v>3139</v>
      </c>
      <c r="D553" s="113">
        <v>46083.898020833331</v>
      </c>
      <c r="E553" s="112">
        <v>6800948007</v>
      </c>
      <c r="F553" s="112" t="s">
        <v>239</v>
      </c>
      <c r="G553" s="112">
        <v>3</v>
      </c>
      <c r="H553" s="112">
        <v>7955946007</v>
      </c>
      <c r="I553" s="112" t="s">
        <v>1539</v>
      </c>
      <c r="J553" s="112" t="s">
        <v>1071</v>
      </c>
      <c r="K553" s="112" t="s">
        <v>3140</v>
      </c>
      <c r="L553" s="112" t="s">
        <v>1073</v>
      </c>
      <c r="M553" s="112" t="s">
        <v>478</v>
      </c>
      <c r="N553" s="113">
        <v>46205.767743055556</v>
      </c>
      <c r="O553" s="114">
        <v>19002730957</v>
      </c>
      <c r="P553" s="112">
        <v>268</v>
      </c>
      <c r="Q553" s="112" t="s">
        <v>1131</v>
      </c>
      <c r="R553" s="112" t="s">
        <v>1075</v>
      </c>
      <c r="S553" s="113">
        <v>46099.730081018519</v>
      </c>
      <c r="T553" s="112" t="s">
        <v>3141</v>
      </c>
      <c r="U553" s="112" t="s">
        <v>1065</v>
      </c>
      <c r="V553" s="112" t="s">
        <v>1066</v>
      </c>
      <c r="W553" s="112" t="s">
        <v>1066</v>
      </c>
      <c r="X553" s="112" t="s">
        <v>983</v>
      </c>
      <c r="Y553" s="112" t="s">
        <v>1066</v>
      </c>
      <c r="Z553" s="112" t="s">
        <v>1148</v>
      </c>
      <c r="AA553" s="112" t="s">
        <v>1067</v>
      </c>
      <c r="AB553" s="112" t="s">
        <v>1066</v>
      </c>
      <c r="AC553" s="112" t="s">
        <v>92</v>
      </c>
      <c r="AD553" s="112" t="s">
        <v>1066</v>
      </c>
      <c r="AE553" s="112" t="s">
        <v>1066</v>
      </c>
      <c r="AF553" s="112" t="s">
        <v>1066</v>
      </c>
      <c r="AG553" s="112" t="s">
        <v>1066</v>
      </c>
      <c r="AH553" s="112" t="s">
        <v>3142</v>
      </c>
      <c r="AI553" s="112" t="s">
        <v>785</v>
      </c>
      <c r="AJ553" s="112">
        <v>8929207</v>
      </c>
      <c r="AK553" s="112" t="s">
        <v>100</v>
      </c>
      <c r="AL553" s="112">
        <v>787602</v>
      </c>
      <c r="AM553" s="112" t="s">
        <v>1066</v>
      </c>
      <c r="AN553" s="112" t="s">
        <v>1066</v>
      </c>
    </row>
    <row r="554" spans="1:40" ht="55.5" customHeight="1" x14ac:dyDescent="0.25">
      <c r="A554" s="120" t="s">
        <v>3143</v>
      </c>
      <c r="B554" s="121">
        <v>2026</v>
      </c>
      <c r="C554" s="121" t="s">
        <v>3144</v>
      </c>
      <c r="D554" s="122">
        <v>46114.350497685184</v>
      </c>
      <c r="E554" s="121">
        <v>8841310147</v>
      </c>
      <c r="F554" s="121" t="s">
        <v>697</v>
      </c>
      <c r="G554" s="121">
        <v>2</v>
      </c>
      <c r="H554" s="121">
        <v>5800090147</v>
      </c>
      <c r="I554" s="121" t="s">
        <v>3145</v>
      </c>
      <c r="J554" s="121" t="s">
        <v>1071</v>
      </c>
      <c r="K554" s="121" t="s">
        <v>1379</v>
      </c>
      <c r="L554" s="121" t="s">
        <v>1073</v>
      </c>
      <c r="M554" s="121" t="s">
        <v>1116</v>
      </c>
      <c r="N554" s="122">
        <v>46191.582407407404</v>
      </c>
      <c r="O554" s="123">
        <v>19002317736</v>
      </c>
      <c r="P554" s="121">
        <v>1.3009999999999999</v>
      </c>
      <c r="Q554" s="121" t="s">
        <v>1074</v>
      </c>
      <c r="R554" s="121" t="s">
        <v>1075</v>
      </c>
      <c r="S554" s="122">
        <v>46216.826504629629</v>
      </c>
      <c r="T554" s="121" t="s">
        <v>1066</v>
      </c>
      <c r="U554" s="121" t="s">
        <v>1066</v>
      </c>
      <c r="V554" s="121" t="s">
        <v>1066</v>
      </c>
      <c r="W554" s="121" t="s">
        <v>1066</v>
      </c>
      <c r="X554" s="121" t="s">
        <v>1066</v>
      </c>
      <c r="Y554" s="121" t="s">
        <v>1066</v>
      </c>
      <c r="Z554" s="121" t="s">
        <v>1066</v>
      </c>
      <c r="AA554" s="121" t="s">
        <v>1067</v>
      </c>
      <c r="AB554" s="121" t="s">
        <v>1066</v>
      </c>
      <c r="AC554" s="121" t="s">
        <v>92</v>
      </c>
      <c r="AD554" s="121" t="s">
        <v>1066</v>
      </c>
      <c r="AE554" s="121" t="s">
        <v>1066</v>
      </c>
      <c r="AF554" s="121" t="s">
        <v>1066</v>
      </c>
      <c r="AG554" s="121" t="s">
        <v>1066</v>
      </c>
      <c r="AH554" s="121" t="s">
        <v>1066</v>
      </c>
      <c r="AI554" s="121" t="s">
        <v>785</v>
      </c>
      <c r="AJ554" s="121">
        <v>8659898</v>
      </c>
      <c r="AK554" s="121" t="s">
        <v>547</v>
      </c>
      <c r="AL554" s="121">
        <v>941293</v>
      </c>
      <c r="AM554" s="121" t="s">
        <v>1066</v>
      </c>
      <c r="AN554" s="121" t="s">
        <v>1066</v>
      </c>
    </row>
    <row r="555" spans="1:40" ht="55.5" customHeight="1" x14ac:dyDescent="0.25">
      <c r="A555" s="111" t="s">
        <v>3146</v>
      </c>
      <c r="B555" s="112">
        <v>2026</v>
      </c>
      <c r="C555" s="112" t="s">
        <v>3147</v>
      </c>
      <c r="D555" s="113">
        <v>46055.021273148152</v>
      </c>
      <c r="E555" s="112">
        <v>9000295006</v>
      </c>
      <c r="F555" s="112" t="s">
        <v>1468</v>
      </c>
      <c r="G555" s="112">
        <v>3</v>
      </c>
      <c r="H555" s="112">
        <v>7913667006</v>
      </c>
      <c r="I555" s="112" t="s">
        <v>3148</v>
      </c>
      <c r="J555" s="112" t="s">
        <v>1071</v>
      </c>
      <c r="K555" s="112" t="s">
        <v>1282</v>
      </c>
      <c r="L555" s="112" t="s">
        <v>1073</v>
      </c>
      <c r="M555" s="112" t="s">
        <v>478</v>
      </c>
      <c r="N555" s="113">
        <v>46058.021273148152</v>
      </c>
      <c r="O555" s="114">
        <v>19000100323</v>
      </c>
      <c r="P555" s="112">
        <v>263</v>
      </c>
      <c r="Q555" s="112" t="s">
        <v>1131</v>
      </c>
      <c r="R555" s="112" t="s">
        <v>1297</v>
      </c>
      <c r="S555" s="113">
        <v>46149.72960648148</v>
      </c>
      <c r="T555" s="112" t="s">
        <v>1470</v>
      </c>
      <c r="U555" s="112" t="s">
        <v>1065</v>
      </c>
      <c r="V555" s="112" t="s">
        <v>1066</v>
      </c>
      <c r="W555" s="112" t="s">
        <v>1066</v>
      </c>
      <c r="X555" s="112" t="s">
        <v>983</v>
      </c>
      <c r="Y555" s="112" t="s">
        <v>1066</v>
      </c>
      <c r="Z555" s="112" t="s">
        <v>1078</v>
      </c>
      <c r="AA555" s="112" t="s">
        <v>1067</v>
      </c>
      <c r="AB555" s="112" t="s">
        <v>1066</v>
      </c>
      <c r="AC555" s="112" t="s">
        <v>92</v>
      </c>
      <c r="AD555" s="112" t="s">
        <v>1142</v>
      </c>
      <c r="AE555" s="112" t="s">
        <v>1066</v>
      </c>
      <c r="AF555" s="112" t="s">
        <v>1066</v>
      </c>
      <c r="AG555" s="112" t="s">
        <v>1066</v>
      </c>
      <c r="AH555" s="112" t="s">
        <v>1066</v>
      </c>
      <c r="AI555" s="112" t="s">
        <v>785</v>
      </c>
      <c r="AJ555" s="112">
        <v>8941787</v>
      </c>
      <c r="AK555" s="112" t="s">
        <v>1243</v>
      </c>
      <c r="AL555" s="112">
        <v>788786</v>
      </c>
      <c r="AM555" s="112" t="s">
        <v>1066</v>
      </c>
      <c r="AN555" s="112" t="s">
        <v>1066</v>
      </c>
    </row>
    <row r="556" spans="1:40" ht="55.5" customHeight="1" x14ac:dyDescent="0.25">
      <c r="A556" s="111" t="s">
        <v>3149</v>
      </c>
      <c r="B556" s="112">
        <v>2026</v>
      </c>
      <c r="C556" s="112" t="s">
        <v>1089</v>
      </c>
      <c r="D556" s="113">
        <v>46028.41065972222</v>
      </c>
      <c r="E556" s="112">
        <v>7931110122</v>
      </c>
      <c r="F556" s="112" t="s">
        <v>2398</v>
      </c>
      <c r="G556" s="112">
        <v>1</v>
      </c>
      <c r="H556" s="112">
        <v>7931110122</v>
      </c>
      <c r="I556" s="112" t="s">
        <v>3150</v>
      </c>
      <c r="J556" s="112" t="s">
        <v>1092</v>
      </c>
      <c r="K556" s="112" t="s">
        <v>1093</v>
      </c>
      <c r="L556" s="112" t="s">
        <v>1061</v>
      </c>
      <c r="M556" s="112" t="s">
        <v>478</v>
      </c>
      <c r="N556" s="113">
        <v>46428.41065972222</v>
      </c>
      <c r="O556" s="114">
        <v>19002220080</v>
      </c>
      <c r="P556" s="112">
        <v>1.1279999999999999</v>
      </c>
      <c r="Q556" s="112" t="s">
        <v>1062</v>
      </c>
      <c r="R556" s="112" t="s">
        <v>1063</v>
      </c>
      <c r="S556" s="113">
        <v>46036.601446759261</v>
      </c>
      <c r="T556" s="112" t="s">
        <v>3151</v>
      </c>
      <c r="U556" s="112" t="s">
        <v>1065</v>
      </c>
      <c r="V556" s="112" t="s">
        <v>1066</v>
      </c>
      <c r="W556" s="112" t="s">
        <v>1066</v>
      </c>
      <c r="X556" s="112" t="s">
        <v>1066</v>
      </c>
      <c r="Y556" s="112" t="s">
        <v>1066</v>
      </c>
      <c r="Z556" s="112" t="s">
        <v>1066</v>
      </c>
      <c r="AA556" s="112" t="s">
        <v>1067</v>
      </c>
      <c r="AB556" s="112" t="s">
        <v>1066</v>
      </c>
      <c r="AC556" s="112" t="s">
        <v>92</v>
      </c>
      <c r="AD556" s="112" t="s">
        <v>1066</v>
      </c>
      <c r="AE556" s="112" t="s">
        <v>1066</v>
      </c>
      <c r="AF556" s="112" t="s">
        <v>1066</v>
      </c>
      <c r="AG556" s="112" t="s">
        <v>1066</v>
      </c>
      <c r="AH556" s="112" t="s">
        <v>1066</v>
      </c>
      <c r="AI556" s="112" t="s">
        <v>785</v>
      </c>
      <c r="AJ556" s="112">
        <v>8863869</v>
      </c>
      <c r="AK556" s="112" t="s">
        <v>264</v>
      </c>
      <c r="AL556" s="112">
        <v>793107</v>
      </c>
      <c r="AM556" s="112" t="s">
        <v>1066</v>
      </c>
      <c r="AN556" s="112" t="s">
        <v>1066</v>
      </c>
    </row>
    <row r="557" spans="1:40" ht="55.5" customHeight="1" x14ac:dyDescent="0.25">
      <c r="A557" s="111" t="s">
        <v>3152</v>
      </c>
      <c r="B557" s="112">
        <v>2026</v>
      </c>
      <c r="C557" s="112" t="s">
        <v>3153</v>
      </c>
      <c r="D557" s="113">
        <v>46091.692129629628</v>
      </c>
      <c r="E557" s="112" t="s">
        <v>1066</v>
      </c>
      <c r="F557" s="112" t="s">
        <v>3154</v>
      </c>
      <c r="G557" s="112" t="s">
        <v>1066</v>
      </c>
      <c r="H557" s="112" t="s">
        <v>1066</v>
      </c>
      <c r="I557" s="112" t="s">
        <v>3155</v>
      </c>
      <c r="J557" s="112" t="s">
        <v>1059</v>
      </c>
      <c r="K557" s="112" t="s">
        <v>1060</v>
      </c>
      <c r="L557" s="112" t="s">
        <v>1061</v>
      </c>
      <c r="M557" s="112" t="s">
        <v>478</v>
      </c>
      <c r="N557" s="113">
        <v>46491.692129629628</v>
      </c>
      <c r="O557" s="114">
        <v>19002821942</v>
      </c>
      <c r="P557" s="112">
        <v>0</v>
      </c>
      <c r="Q557" s="112" t="s">
        <v>1794</v>
      </c>
      <c r="R557" s="112" t="s">
        <v>1063</v>
      </c>
      <c r="S557" s="113">
        <v>46099.731030092589</v>
      </c>
      <c r="T557" s="112" t="s">
        <v>3156</v>
      </c>
      <c r="U557" s="112" t="s">
        <v>1065</v>
      </c>
      <c r="V557" s="112" t="s">
        <v>1066</v>
      </c>
      <c r="W557" s="112" t="s">
        <v>1066</v>
      </c>
      <c r="X557" s="112" t="s">
        <v>1066</v>
      </c>
      <c r="Y557" s="112" t="s">
        <v>1066</v>
      </c>
      <c r="Z557" s="112" t="s">
        <v>1066</v>
      </c>
      <c r="AA557" s="112" t="s">
        <v>1067</v>
      </c>
      <c r="AB557" s="112" t="s">
        <v>1066</v>
      </c>
      <c r="AC557" s="112" t="s">
        <v>92</v>
      </c>
      <c r="AD557" s="112" t="s">
        <v>1066</v>
      </c>
      <c r="AE557" s="112" t="s">
        <v>1066</v>
      </c>
      <c r="AF557" s="112" t="s">
        <v>1066</v>
      </c>
      <c r="AG557" s="112" t="s">
        <v>1066</v>
      </c>
      <c r="AH557" s="112" t="s">
        <v>1066</v>
      </c>
      <c r="AI557" s="112" t="s">
        <v>785</v>
      </c>
      <c r="AJ557" s="112" t="s">
        <v>1066</v>
      </c>
      <c r="AK557" s="112" t="s">
        <v>1066</v>
      </c>
      <c r="AL557" s="112" t="s">
        <v>1066</v>
      </c>
      <c r="AM557" s="112" t="s">
        <v>1066</v>
      </c>
      <c r="AN557" s="112" t="s">
        <v>1066</v>
      </c>
    </row>
    <row r="558" spans="1:40" ht="55.5" customHeight="1" x14ac:dyDescent="0.25">
      <c r="A558" s="111" t="s">
        <v>3157</v>
      </c>
      <c r="B558" s="112">
        <v>2026</v>
      </c>
      <c r="C558" s="112" t="s">
        <v>1057</v>
      </c>
      <c r="D558" s="113">
        <v>46125.584386574075</v>
      </c>
      <c r="E558" s="112">
        <v>7901833094</v>
      </c>
      <c r="F558" s="112" t="s">
        <v>302</v>
      </c>
      <c r="G558" s="112">
        <v>2</v>
      </c>
      <c r="H558" s="112">
        <v>7901833094</v>
      </c>
      <c r="I558" s="112" t="s">
        <v>3158</v>
      </c>
      <c r="J558" s="112" t="s">
        <v>1066</v>
      </c>
      <c r="K558" s="112" t="s">
        <v>1125</v>
      </c>
      <c r="L558" s="112" t="s">
        <v>1061</v>
      </c>
      <c r="M558" s="112" t="s">
        <v>478</v>
      </c>
      <c r="N558" s="113">
        <v>46525.584386574075</v>
      </c>
      <c r="O558" s="114">
        <v>19002259319</v>
      </c>
      <c r="P558" s="112">
        <v>1.077</v>
      </c>
      <c r="Q558" s="112" t="s">
        <v>1062</v>
      </c>
      <c r="R558" s="112" t="s">
        <v>1063</v>
      </c>
      <c r="S558" s="113">
        <v>46237.647534722222</v>
      </c>
      <c r="T558" s="112" t="s">
        <v>3159</v>
      </c>
      <c r="U558" s="112" t="s">
        <v>1065</v>
      </c>
      <c r="V558" s="112" t="s">
        <v>1066</v>
      </c>
      <c r="W558" s="112" t="s">
        <v>1066</v>
      </c>
      <c r="X558" s="112" t="s">
        <v>1066</v>
      </c>
      <c r="Y558" s="112" t="s">
        <v>1066</v>
      </c>
      <c r="Z558" s="112" t="s">
        <v>1066</v>
      </c>
      <c r="AA558" s="112" t="s">
        <v>1067</v>
      </c>
      <c r="AB558" s="112" t="s">
        <v>1066</v>
      </c>
      <c r="AC558" s="112" t="s">
        <v>92</v>
      </c>
      <c r="AD558" s="112" t="s">
        <v>1066</v>
      </c>
      <c r="AE558" s="112" t="s">
        <v>1066</v>
      </c>
      <c r="AF558" s="112" t="s">
        <v>1066</v>
      </c>
      <c r="AG558" s="112" t="s">
        <v>1066</v>
      </c>
      <c r="AH558" s="112" t="s">
        <v>1066</v>
      </c>
      <c r="AI558" s="112" t="s">
        <v>785</v>
      </c>
      <c r="AJ558" s="112">
        <v>8707482</v>
      </c>
      <c r="AK558" s="112" t="s">
        <v>224</v>
      </c>
      <c r="AL558" s="112">
        <v>783010</v>
      </c>
      <c r="AM558" s="112" t="s">
        <v>1066</v>
      </c>
      <c r="AN558" s="112" t="s">
        <v>1066</v>
      </c>
    </row>
    <row r="559" spans="1:40" ht="55.5" customHeight="1" x14ac:dyDescent="0.25">
      <c r="A559" s="111" t="s">
        <v>3160</v>
      </c>
      <c r="B559" s="112">
        <v>2026</v>
      </c>
      <c r="C559" s="112" t="s">
        <v>3161</v>
      </c>
      <c r="D559" s="113">
        <v>46104.35015046296</v>
      </c>
      <c r="E559" s="112">
        <v>8862331001</v>
      </c>
      <c r="F559" s="112" t="s">
        <v>711</v>
      </c>
      <c r="G559" s="112">
        <v>2</v>
      </c>
      <c r="H559" s="112">
        <v>7960070001</v>
      </c>
      <c r="I559" s="112" t="s">
        <v>3162</v>
      </c>
      <c r="J559" s="112" t="s">
        <v>1231</v>
      </c>
      <c r="K559" s="112" t="s">
        <v>1232</v>
      </c>
      <c r="L559" s="112" t="s">
        <v>1084</v>
      </c>
      <c r="M559" s="112" t="s">
        <v>478</v>
      </c>
      <c r="N559" s="113">
        <v>46259.706724537034</v>
      </c>
      <c r="O559" s="114">
        <v>19002831014</v>
      </c>
      <c r="P559" s="112">
        <v>3</v>
      </c>
      <c r="Q559" s="112" t="s">
        <v>1131</v>
      </c>
      <c r="R559" s="112" t="s">
        <v>1206</v>
      </c>
      <c r="S559" s="113">
        <v>46225.729953703703</v>
      </c>
      <c r="T559" s="112" t="s">
        <v>3163</v>
      </c>
      <c r="U559" s="112" t="s">
        <v>1065</v>
      </c>
      <c r="V559" s="112" t="s">
        <v>1066</v>
      </c>
      <c r="W559" s="112" t="s">
        <v>1066</v>
      </c>
      <c r="X559" s="112" t="s">
        <v>983</v>
      </c>
      <c r="Y559" s="112" t="s">
        <v>1066</v>
      </c>
      <c r="Z559" s="112" t="s">
        <v>1066</v>
      </c>
      <c r="AA559" s="112" t="s">
        <v>1067</v>
      </c>
      <c r="AB559" s="112" t="s">
        <v>1066</v>
      </c>
      <c r="AC559" s="112" t="s">
        <v>92</v>
      </c>
      <c r="AD559" s="112" t="s">
        <v>1066</v>
      </c>
      <c r="AE559" s="112" t="s">
        <v>1066</v>
      </c>
      <c r="AF559" s="112" t="s">
        <v>1066</v>
      </c>
      <c r="AG559" s="112" t="s">
        <v>1066</v>
      </c>
      <c r="AH559" s="112" t="s">
        <v>3164</v>
      </c>
      <c r="AI559" s="112" t="s">
        <v>785</v>
      </c>
      <c r="AJ559" s="112">
        <v>8816653</v>
      </c>
      <c r="AK559" s="112" t="s">
        <v>50</v>
      </c>
      <c r="AL559" s="112">
        <v>784242</v>
      </c>
      <c r="AM559" s="112" t="s">
        <v>1066</v>
      </c>
      <c r="AN559" s="112" t="s">
        <v>1066</v>
      </c>
    </row>
    <row r="560" spans="1:40" ht="55.5" customHeight="1" x14ac:dyDescent="0.25">
      <c r="A560" s="124" t="s">
        <v>3165</v>
      </c>
      <c r="B560" s="125">
        <v>2026</v>
      </c>
      <c r="C560" s="125" t="s">
        <v>3166</v>
      </c>
      <c r="D560" s="126">
        <v>46241.627453703702</v>
      </c>
      <c r="E560" s="125">
        <v>7948631032</v>
      </c>
      <c r="F560" s="125" t="s">
        <v>1574</v>
      </c>
      <c r="G560" s="125">
        <v>3</v>
      </c>
      <c r="H560" s="125">
        <v>7948631032</v>
      </c>
      <c r="I560" s="125" t="s">
        <v>3167</v>
      </c>
      <c r="J560" s="125" t="s">
        <v>1071</v>
      </c>
      <c r="K560" s="125" t="s">
        <v>1399</v>
      </c>
      <c r="L560" s="125" t="s">
        <v>1073</v>
      </c>
      <c r="M560" s="125" t="s">
        <v>510</v>
      </c>
      <c r="N560" s="126">
        <v>46244.627453703702</v>
      </c>
      <c r="O560" s="127">
        <v>19002682445</v>
      </c>
      <c r="P560" s="125">
        <v>47</v>
      </c>
      <c r="Q560" s="125" t="s">
        <v>1062</v>
      </c>
      <c r="R560" s="125" t="s">
        <v>1198</v>
      </c>
      <c r="S560" s="125" t="s">
        <v>1066</v>
      </c>
      <c r="T560" s="125" t="s">
        <v>3168</v>
      </c>
      <c r="U560" s="125" t="s">
        <v>1147</v>
      </c>
      <c r="V560" s="125" t="s">
        <v>1066</v>
      </c>
      <c r="W560" s="125" t="s">
        <v>1066</v>
      </c>
      <c r="X560" s="125" t="s">
        <v>983</v>
      </c>
      <c r="Y560" s="125" t="s">
        <v>1066</v>
      </c>
      <c r="Z560" s="125" t="s">
        <v>3169</v>
      </c>
      <c r="AA560" s="125" t="s">
        <v>1067</v>
      </c>
      <c r="AB560" s="125" t="s">
        <v>1066</v>
      </c>
      <c r="AC560" s="125" t="s">
        <v>92</v>
      </c>
      <c r="AD560" s="125" t="s">
        <v>1066</v>
      </c>
      <c r="AE560" s="125" t="s">
        <v>1066</v>
      </c>
      <c r="AF560" s="125" t="s">
        <v>1066</v>
      </c>
      <c r="AG560" s="125" t="s">
        <v>1066</v>
      </c>
      <c r="AH560" s="125" t="s">
        <v>1066</v>
      </c>
      <c r="AI560" s="125" t="s">
        <v>785</v>
      </c>
      <c r="AJ560" s="125">
        <v>8578493</v>
      </c>
      <c r="AK560" s="125" t="s">
        <v>469</v>
      </c>
      <c r="AL560" s="125">
        <v>674366</v>
      </c>
      <c r="AM560" s="125" t="s">
        <v>1066</v>
      </c>
      <c r="AN560" s="125" t="s">
        <v>1066</v>
      </c>
    </row>
    <row r="561" spans="1:40" ht="55.5" customHeight="1" x14ac:dyDescent="0.25">
      <c r="A561" s="111" t="s">
        <v>3170</v>
      </c>
      <c r="B561" s="112">
        <v>2026</v>
      </c>
      <c r="C561" s="112" t="s">
        <v>1089</v>
      </c>
      <c r="D561" s="113">
        <v>46028.41065972222</v>
      </c>
      <c r="E561" s="112">
        <v>7938137007</v>
      </c>
      <c r="F561" s="112" t="s">
        <v>101</v>
      </c>
      <c r="G561" s="112">
        <v>3</v>
      </c>
      <c r="H561" s="112">
        <v>7938137007</v>
      </c>
      <c r="I561" s="112" t="s">
        <v>3171</v>
      </c>
      <c r="J561" s="112" t="s">
        <v>1092</v>
      </c>
      <c r="K561" s="112" t="s">
        <v>1093</v>
      </c>
      <c r="L561" s="112" t="s">
        <v>1061</v>
      </c>
      <c r="M561" s="112" t="s">
        <v>478</v>
      </c>
      <c r="N561" s="113">
        <v>46428.41065972222</v>
      </c>
      <c r="O561" s="114">
        <v>19002619703</v>
      </c>
      <c r="P561" s="112">
        <v>289</v>
      </c>
      <c r="Q561" s="112" t="s">
        <v>1062</v>
      </c>
      <c r="R561" s="112" t="s">
        <v>1063</v>
      </c>
      <c r="S561" s="113">
        <v>46212.479942129627</v>
      </c>
      <c r="T561" s="112" t="s">
        <v>3172</v>
      </c>
      <c r="U561" s="112" t="s">
        <v>1065</v>
      </c>
      <c r="V561" s="112" t="s">
        <v>1066</v>
      </c>
      <c r="W561" s="112" t="s">
        <v>1066</v>
      </c>
      <c r="X561" s="112" t="s">
        <v>1066</v>
      </c>
      <c r="Y561" s="112" t="s">
        <v>1066</v>
      </c>
      <c r="Z561" s="112" t="s">
        <v>1066</v>
      </c>
      <c r="AA561" s="112" t="s">
        <v>1067</v>
      </c>
      <c r="AB561" s="112" t="s">
        <v>1066</v>
      </c>
      <c r="AC561" s="112" t="s">
        <v>92</v>
      </c>
      <c r="AD561" s="112" t="s">
        <v>1066</v>
      </c>
      <c r="AE561" s="112" t="s">
        <v>1066</v>
      </c>
      <c r="AF561" s="112" t="s">
        <v>1066</v>
      </c>
      <c r="AG561" s="112" t="s">
        <v>1066</v>
      </c>
      <c r="AH561" s="112" t="s">
        <v>1066</v>
      </c>
      <c r="AI561" s="112" t="s">
        <v>785</v>
      </c>
      <c r="AJ561" s="112">
        <v>8894217</v>
      </c>
      <c r="AK561" s="112" t="s">
        <v>100</v>
      </c>
      <c r="AL561" s="112">
        <v>765777</v>
      </c>
      <c r="AM561" s="112" t="s">
        <v>1066</v>
      </c>
      <c r="AN561" s="112" t="s">
        <v>1066</v>
      </c>
    </row>
    <row r="562" spans="1:40" ht="55.5" customHeight="1" x14ac:dyDescent="0.25">
      <c r="A562" s="115" t="s">
        <v>3173</v>
      </c>
      <c r="B562" s="116">
        <v>2026</v>
      </c>
      <c r="C562" s="116" t="s">
        <v>3174</v>
      </c>
      <c r="D562" s="118">
        <v>45831.369583333333</v>
      </c>
      <c r="E562" s="116">
        <v>9000475078</v>
      </c>
      <c r="F562" s="116" t="s">
        <v>170</v>
      </c>
      <c r="G562" s="116">
        <v>3</v>
      </c>
      <c r="H562" s="116">
        <v>7931219078</v>
      </c>
      <c r="I562" s="116" t="s">
        <v>3175</v>
      </c>
      <c r="J562" s="116" t="s">
        <v>1071</v>
      </c>
      <c r="K562" s="116" t="s">
        <v>1171</v>
      </c>
      <c r="L562" s="116" t="s">
        <v>1073</v>
      </c>
      <c r="M562" s="116" t="s">
        <v>588</v>
      </c>
      <c r="N562" s="118">
        <v>46213.647222222222</v>
      </c>
      <c r="O562" s="119">
        <v>19001280863</v>
      </c>
      <c r="P562" s="116">
        <v>345</v>
      </c>
      <c r="Q562" s="116" t="s">
        <v>1131</v>
      </c>
      <c r="R562" s="116" t="s">
        <v>1324</v>
      </c>
      <c r="S562" s="116" t="s">
        <v>1066</v>
      </c>
      <c r="T562" s="116" t="s">
        <v>1066</v>
      </c>
      <c r="U562" s="116" t="s">
        <v>1066</v>
      </c>
      <c r="V562" s="116" t="s">
        <v>1066</v>
      </c>
      <c r="W562" s="116" t="s">
        <v>1066</v>
      </c>
      <c r="X562" s="116" t="s">
        <v>983</v>
      </c>
      <c r="Y562" s="116" t="s">
        <v>1066</v>
      </c>
      <c r="Z562" s="116" t="s">
        <v>1133</v>
      </c>
      <c r="AA562" s="116" t="s">
        <v>1067</v>
      </c>
      <c r="AB562" s="116" t="s">
        <v>1066</v>
      </c>
      <c r="AC562" s="116" t="s">
        <v>92</v>
      </c>
      <c r="AD562" s="116" t="s">
        <v>1142</v>
      </c>
      <c r="AE562" s="116" t="s">
        <v>1066</v>
      </c>
      <c r="AF562" s="116" t="s">
        <v>1066</v>
      </c>
      <c r="AG562" s="116" t="s">
        <v>1066</v>
      </c>
      <c r="AH562" s="116" t="s">
        <v>3176</v>
      </c>
      <c r="AI562" s="116" t="s">
        <v>785</v>
      </c>
      <c r="AJ562" s="116">
        <v>9047058</v>
      </c>
      <c r="AK562" s="116" t="s">
        <v>396</v>
      </c>
      <c r="AL562" s="116">
        <v>857972</v>
      </c>
      <c r="AM562" s="116" t="s">
        <v>1066</v>
      </c>
      <c r="AN562" s="116" t="s">
        <v>1066</v>
      </c>
    </row>
    <row r="563" spans="1:40" ht="55.5" customHeight="1" x14ac:dyDescent="0.25">
      <c r="A563" s="111" t="s">
        <v>676</v>
      </c>
      <c r="B563" s="112">
        <v>2026</v>
      </c>
      <c r="C563" s="112" t="s">
        <v>3177</v>
      </c>
      <c r="D563" s="113">
        <v>46202.445092592592</v>
      </c>
      <c r="E563" s="112">
        <v>9025703064</v>
      </c>
      <c r="F563" s="112" t="s">
        <v>390</v>
      </c>
      <c r="G563" s="112">
        <v>2</v>
      </c>
      <c r="H563" s="112">
        <v>7948412064</v>
      </c>
      <c r="I563" s="112" t="s">
        <v>3178</v>
      </c>
      <c r="J563" s="112" t="s">
        <v>1071</v>
      </c>
      <c r="K563" s="112" t="s">
        <v>1994</v>
      </c>
      <c r="L563" s="112" t="s">
        <v>1073</v>
      </c>
      <c r="M563" s="112" t="s">
        <v>478</v>
      </c>
      <c r="N563" s="113">
        <v>46206.335023148145</v>
      </c>
      <c r="O563" s="114">
        <v>19002640546</v>
      </c>
      <c r="P563" s="112">
        <v>2.4159999999999999</v>
      </c>
      <c r="Q563" s="112" t="s">
        <v>1131</v>
      </c>
      <c r="R563" s="112" t="s">
        <v>1075</v>
      </c>
      <c r="S563" s="113">
        <v>46216.486111111109</v>
      </c>
      <c r="T563" s="112" t="s">
        <v>3179</v>
      </c>
      <c r="U563" s="112" t="s">
        <v>1065</v>
      </c>
      <c r="V563" s="112" t="s">
        <v>1066</v>
      </c>
      <c r="W563" s="112" t="s">
        <v>1066</v>
      </c>
      <c r="X563" s="112" t="s">
        <v>1148</v>
      </c>
      <c r="Y563" s="112" t="s">
        <v>1066</v>
      </c>
      <c r="Z563" s="112" t="s">
        <v>1148</v>
      </c>
      <c r="AA563" s="112" t="s">
        <v>1067</v>
      </c>
      <c r="AB563" s="112" t="s">
        <v>1066</v>
      </c>
      <c r="AC563" s="112" t="s">
        <v>92</v>
      </c>
      <c r="AD563" s="112" t="s">
        <v>1066</v>
      </c>
      <c r="AE563" s="112" t="s">
        <v>1066</v>
      </c>
      <c r="AF563" s="112" t="s">
        <v>1066</v>
      </c>
      <c r="AG563" s="112" t="s">
        <v>1066</v>
      </c>
      <c r="AH563" s="112" t="s">
        <v>3180</v>
      </c>
      <c r="AI563" s="112" t="s">
        <v>785</v>
      </c>
      <c r="AJ563" s="112">
        <v>9084901</v>
      </c>
      <c r="AK563" s="112" t="s">
        <v>389</v>
      </c>
      <c r="AL563" s="112">
        <v>778540</v>
      </c>
      <c r="AM563" s="112" t="s">
        <v>1066</v>
      </c>
      <c r="AN563" s="112" t="s">
        <v>1066</v>
      </c>
    </row>
    <row r="564" spans="1:40" ht="55.5" customHeight="1" x14ac:dyDescent="0.25">
      <c r="A564" s="111" t="s">
        <v>3181</v>
      </c>
      <c r="B564" s="112">
        <v>2026</v>
      </c>
      <c r="C564" s="112" t="s">
        <v>1251</v>
      </c>
      <c r="D564" s="113">
        <v>46031.603807870371</v>
      </c>
      <c r="E564" s="112">
        <v>7934500003</v>
      </c>
      <c r="F564" s="112" t="s">
        <v>2020</v>
      </c>
      <c r="G564" s="112">
        <v>1</v>
      </c>
      <c r="H564" s="112">
        <v>7934500003</v>
      </c>
      <c r="I564" s="112" t="s">
        <v>3182</v>
      </c>
      <c r="J564" s="112" t="s">
        <v>1059</v>
      </c>
      <c r="K564" s="112" t="s">
        <v>1060</v>
      </c>
      <c r="L564" s="112" t="s">
        <v>1061</v>
      </c>
      <c r="M564" s="112" t="s">
        <v>478</v>
      </c>
      <c r="N564" s="113">
        <v>46431.603807870371</v>
      </c>
      <c r="O564" s="114">
        <v>19002209533</v>
      </c>
      <c r="P564" s="112">
        <v>2.9119999999999999</v>
      </c>
      <c r="Q564" s="112" t="s">
        <v>1062</v>
      </c>
      <c r="R564" s="112" t="s">
        <v>1063</v>
      </c>
      <c r="S564" s="113">
        <v>46031.729166666664</v>
      </c>
      <c r="T564" s="112" t="s">
        <v>1253</v>
      </c>
      <c r="U564" s="112" t="s">
        <v>1065</v>
      </c>
      <c r="V564" s="112" t="s">
        <v>1066</v>
      </c>
      <c r="W564" s="112" t="s">
        <v>1066</v>
      </c>
      <c r="X564" s="112" t="s">
        <v>1066</v>
      </c>
      <c r="Y564" s="112" t="s">
        <v>1066</v>
      </c>
      <c r="Z564" s="112" t="s">
        <v>1066</v>
      </c>
      <c r="AA564" s="112" t="s">
        <v>1067</v>
      </c>
      <c r="AB564" s="112" t="s">
        <v>1066</v>
      </c>
      <c r="AC564" s="112" t="s">
        <v>92</v>
      </c>
      <c r="AD564" s="112" t="s">
        <v>1066</v>
      </c>
      <c r="AE564" s="112" t="s">
        <v>1066</v>
      </c>
      <c r="AF564" s="112" t="s">
        <v>1066</v>
      </c>
      <c r="AG564" s="112" t="s">
        <v>1066</v>
      </c>
      <c r="AH564" s="112" t="s">
        <v>1066</v>
      </c>
      <c r="AI564" s="112" t="s">
        <v>785</v>
      </c>
      <c r="AJ564" s="112">
        <v>8703808</v>
      </c>
      <c r="AK564" s="112" t="s">
        <v>210</v>
      </c>
      <c r="AL564" s="112">
        <v>708983</v>
      </c>
      <c r="AM564" s="112" t="s">
        <v>1066</v>
      </c>
      <c r="AN564" s="112" t="s">
        <v>1066</v>
      </c>
    </row>
    <row r="565" spans="1:40" ht="55.5" customHeight="1" x14ac:dyDescent="0.25">
      <c r="A565" s="111" t="s">
        <v>3183</v>
      </c>
      <c r="B565" s="112">
        <v>2026</v>
      </c>
      <c r="C565" s="112" t="s">
        <v>3184</v>
      </c>
      <c r="D565" s="113">
        <v>46042.361134259256</v>
      </c>
      <c r="E565" s="112">
        <v>9000085195</v>
      </c>
      <c r="F565" s="112" t="s">
        <v>170</v>
      </c>
      <c r="G565" s="112">
        <v>3</v>
      </c>
      <c r="H565" s="112">
        <v>7900085195</v>
      </c>
      <c r="I565" s="112" t="s">
        <v>3185</v>
      </c>
      <c r="J565" s="112" t="s">
        <v>1066</v>
      </c>
      <c r="K565" s="112" t="s">
        <v>2062</v>
      </c>
      <c r="L565" s="112" t="s">
        <v>1073</v>
      </c>
      <c r="M565" s="112" t="s">
        <v>478</v>
      </c>
      <c r="N565" s="113">
        <v>46045.361134259256</v>
      </c>
      <c r="O565" s="114">
        <v>19000061555</v>
      </c>
      <c r="P565" s="112">
        <v>1.02</v>
      </c>
      <c r="Q565" s="112" t="s">
        <v>1131</v>
      </c>
      <c r="R565" s="112" t="s">
        <v>1324</v>
      </c>
      <c r="S565" s="113">
        <v>46044.42291666667</v>
      </c>
      <c r="T565" s="112" t="s">
        <v>3186</v>
      </c>
      <c r="U565" s="112" t="s">
        <v>1065</v>
      </c>
      <c r="V565" s="112" t="s">
        <v>1066</v>
      </c>
      <c r="W565" s="112" t="s">
        <v>1066</v>
      </c>
      <c r="X565" s="112" t="s">
        <v>1066</v>
      </c>
      <c r="Y565" s="112" t="s">
        <v>1066</v>
      </c>
      <c r="Z565" s="112" t="s">
        <v>1066</v>
      </c>
      <c r="AA565" s="112" t="s">
        <v>1067</v>
      </c>
      <c r="AB565" s="112" t="s">
        <v>1066</v>
      </c>
      <c r="AC565" s="112" t="s">
        <v>92</v>
      </c>
      <c r="AD565" s="112" t="s">
        <v>1142</v>
      </c>
      <c r="AE565" s="112" t="s">
        <v>1066</v>
      </c>
      <c r="AF565" s="112" t="s">
        <v>1066</v>
      </c>
      <c r="AG565" s="112" t="s">
        <v>1066</v>
      </c>
      <c r="AH565" s="112" t="s">
        <v>1066</v>
      </c>
      <c r="AI565" s="112" t="s">
        <v>785</v>
      </c>
      <c r="AJ565" s="112">
        <v>9016973</v>
      </c>
      <c r="AK565" s="112" t="s">
        <v>169</v>
      </c>
      <c r="AL565" s="112">
        <v>889146</v>
      </c>
      <c r="AM565" s="112" t="s">
        <v>1066</v>
      </c>
      <c r="AN565" s="112" t="s">
        <v>1066</v>
      </c>
    </row>
    <row r="566" spans="1:40" ht="55.5" customHeight="1" x14ac:dyDescent="0.25">
      <c r="A566" s="120" t="s">
        <v>3187</v>
      </c>
      <c r="B566" s="121">
        <v>2026</v>
      </c>
      <c r="C566" s="121" t="s">
        <v>3188</v>
      </c>
      <c r="D566" s="122">
        <v>46061.805289351854</v>
      </c>
      <c r="E566" s="121">
        <v>6820051200</v>
      </c>
      <c r="F566" s="121" t="s">
        <v>294</v>
      </c>
      <c r="G566" s="121">
        <v>3</v>
      </c>
      <c r="H566" s="121">
        <v>7957571200</v>
      </c>
      <c r="I566" s="121" t="s">
        <v>3189</v>
      </c>
      <c r="J566" s="121" t="s">
        <v>1071</v>
      </c>
      <c r="K566" s="121" t="s">
        <v>1457</v>
      </c>
      <c r="L566" s="121" t="s">
        <v>1073</v>
      </c>
      <c r="M566" s="121" t="s">
        <v>1116</v>
      </c>
      <c r="N566" s="122">
        <v>46064.805289351854</v>
      </c>
      <c r="O566" s="123">
        <v>19002741533</v>
      </c>
      <c r="P566" s="121">
        <v>93</v>
      </c>
      <c r="Q566" s="121" t="s">
        <v>1131</v>
      </c>
      <c r="R566" s="121" t="s">
        <v>1263</v>
      </c>
      <c r="S566" s="122">
        <v>46072.403483796297</v>
      </c>
      <c r="T566" s="121" t="s">
        <v>1066</v>
      </c>
      <c r="U566" s="121" t="s">
        <v>1066</v>
      </c>
      <c r="V566" s="121" t="s">
        <v>1066</v>
      </c>
      <c r="W566" s="121" t="s">
        <v>1066</v>
      </c>
      <c r="X566" s="121" t="s">
        <v>1148</v>
      </c>
      <c r="Y566" s="121" t="s">
        <v>1066</v>
      </c>
      <c r="Z566" s="121" t="s">
        <v>1148</v>
      </c>
      <c r="AA566" s="121" t="s">
        <v>1067</v>
      </c>
      <c r="AB566" s="121" t="s">
        <v>1066</v>
      </c>
      <c r="AC566" s="121" t="s">
        <v>92</v>
      </c>
      <c r="AD566" s="121" t="s">
        <v>1066</v>
      </c>
      <c r="AE566" s="121" t="s">
        <v>1066</v>
      </c>
      <c r="AF566" s="121" t="s">
        <v>1066</v>
      </c>
      <c r="AG566" s="121" t="s">
        <v>1066</v>
      </c>
      <c r="AH566" s="121" t="s">
        <v>1066</v>
      </c>
      <c r="AI566" s="121" t="s">
        <v>785</v>
      </c>
      <c r="AJ566" s="121">
        <v>8584017</v>
      </c>
      <c r="AK566" s="121" t="s">
        <v>293</v>
      </c>
      <c r="AL566" s="121">
        <v>790783</v>
      </c>
      <c r="AM566" s="121" t="s">
        <v>1066</v>
      </c>
      <c r="AN566" s="121" t="s">
        <v>1066</v>
      </c>
    </row>
    <row r="567" spans="1:40" ht="55.5" customHeight="1" x14ac:dyDescent="0.25">
      <c r="A567" s="120" t="s">
        <v>3190</v>
      </c>
      <c r="B567" s="121">
        <v>2026</v>
      </c>
      <c r="C567" s="121" t="s">
        <v>3191</v>
      </c>
      <c r="D567" s="122">
        <v>45995.617071759261</v>
      </c>
      <c r="E567" s="121">
        <v>7931645122</v>
      </c>
      <c r="F567" s="121" t="s">
        <v>692</v>
      </c>
      <c r="G567" s="121">
        <v>1</v>
      </c>
      <c r="H567" s="121">
        <v>7931645122</v>
      </c>
      <c r="I567" s="121" t="s">
        <v>3192</v>
      </c>
      <c r="J567" s="121" t="s">
        <v>1071</v>
      </c>
      <c r="K567" s="121" t="s">
        <v>1072</v>
      </c>
      <c r="L567" s="121" t="s">
        <v>1073</v>
      </c>
      <c r="M567" s="121" t="s">
        <v>1116</v>
      </c>
      <c r="N567" s="122">
        <v>46046.594525462962</v>
      </c>
      <c r="O567" s="123">
        <v>19002203361</v>
      </c>
      <c r="P567" s="121">
        <v>3.01</v>
      </c>
      <c r="Q567" s="121" t="s">
        <v>1062</v>
      </c>
      <c r="R567" s="121" t="s">
        <v>1263</v>
      </c>
      <c r="S567" s="122">
        <v>46093.619143518517</v>
      </c>
      <c r="T567" s="121" t="s">
        <v>1066</v>
      </c>
      <c r="U567" s="121" t="s">
        <v>1066</v>
      </c>
      <c r="V567" s="121" t="s">
        <v>1066</v>
      </c>
      <c r="W567" s="121" t="s">
        <v>1066</v>
      </c>
      <c r="X567" s="121" t="s">
        <v>983</v>
      </c>
      <c r="Y567" s="121" t="s">
        <v>1066</v>
      </c>
      <c r="Z567" s="121" t="s">
        <v>1078</v>
      </c>
      <c r="AA567" s="121" t="s">
        <v>1067</v>
      </c>
      <c r="AB567" s="121" t="s">
        <v>1066</v>
      </c>
      <c r="AC567" s="121" t="s">
        <v>92</v>
      </c>
      <c r="AD567" s="121" t="s">
        <v>1066</v>
      </c>
      <c r="AE567" s="121" t="s">
        <v>1066</v>
      </c>
      <c r="AF567" s="121" t="s">
        <v>1066</v>
      </c>
      <c r="AG567" s="121" t="s">
        <v>1066</v>
      </c>
      <c r="AH567" s="121" t="s">
        <v>3193</v>
      </c>
      <c r="AI567" s="121" t="s">
        <v>785</v>
      </c>
      <c r="AJ567" s="121">
        <v>8874621</v>
      </c>
      <c r="AK567" s="121" t="s">
        <v>264</v>
      </c>
      <c r="AL567" s="121">
        <v>791855</v>
      </c>
      <c r="AM567" s="121" t="s">
        <v>1066</v>
      </c>
      <c r="AN567" s="121" t="s">
        <v>1066</v>
      </c>
    </row>
    <row r="568" spans="1:40" ht="55.5" customHeight="1" x14ac:dyDescent="0.25">
      <c r="A568" s="111" t="s">
        <v>3194</v>
      </c>
      <c r="B568" s="112">
        <v>2026</v>
      </c>
      <c r="C568" s="112" t="s">
        <v>1057</v>
      </c>
      <c r="D568" s="113">
        <v>46122.378541666665</v>
      </c>
      <c r="E568" s="112">
        <v>7900252004</v>
      </c>
      <c r="F568" s="112" t="s">
        <v>1169</v>
      </c>
      <c r="G568" s="112">
        <v>1</v>
      </c>
      <c r="H568" s="112">
        <v>7900252004</v>
      </c>
      <c r="I568" s="112" t="s">
        <v>3195</v>
      </c>
      <c r="J568" s="112" t="s">
        <v>1059</v>
      </c>
      <c r="K568" s="112" t="s">
        <v>1060</v>
      </c>
      <c r="L568" s="112" t="s">
        <v>1061</v>
      </c>
      <c r="M568" s="112" t="s">
        <v>478</v>
      </c>
      <c r="N568" s="113">
        <v>46522.378541666665</v>
      </c>
      <c r="O568" s="114">
        <v>19002679824</v>
      </c>
      <c r="P568" s="112">
        <v>2.4089999999999998</v>
      </c>
      <c r="Q568" s="112" t="s">
        <v>1062</v>
      </c>
      <c r="R568" s="112" t="s">
        <v>1063</v>
      </c>
      <c r="S568" s="113">
        <v>46146.430555555555</v>
      </c>
      <c r="T568" s="112" t="s">
        <v>3196</v>
      </c>
      <c r="U568" s="112" t="s">
        <v>1065</v>
      </c>
      <c r="V568" s="112" t="s">
        <v>1066</v>
      </c>
      <c r="W568" s="112" t="s">
        <v>1066</v>
      </c>
      <c r="X568" s="112" t="s">
        <v>1066</v>
      </c>
      <c r="Y568" s="112" t="s">
        <v>1066</v>
      </c>
      <c r="Z568" s="112" t="s">
        <v>1066</v>
      </c>
      <c r="AA568" s="112" t="s">
        <v>1067</v>
      </c>
      <c r="AB568" s="112" t="s">
        <v>1066</v>
      </c>
      <c r="AC568" s="112" t="s">
        <v>92</v>
      </c>
      <c r="AD568" s="112" t="s">
        <v>1066</v>
      </c>
      <c r="AE568" s="112" t="s">
        <v>1066</v>
      </c>
      <c r="AF568" s="112" t="s">
        <v>1066</v>
      </c>
      <c r="AG568" s="112" t="s">
        <v>1066</v>
      </c>
      <c r="AH568" s="112" t="s">
        <v>1066</v>
      </c>
      <c r="AI568" s="112" t="s">
        <v>785</v>
      </c>
      <c r="AJ568" s="112">
        <v>9203904</v>
      </c>
      <c r="AK568" s="112" t="s">
        <v>69</v>
      </c>
      <c r="AL568" s="112">
        <v>807028</v>
      </c>
      <c r="AM568" s="112" t="s">
        <v>1066</v>
      </c>
      <c r="AN568" s="112" t="s">
        <v>1066</v>
      </c>
    </row>
    <row r="569" spans="1:40" ht="55.5" customHeight="1" x14ac:dyDescent="0.25">
      <c r="A569" s="120" t="s">
        <v>3197</v>
      </c>
      <c r="B569" s="121">
        <v>2026</v>
      </c>
      <c r="C569" s="121" t="s">
        <v>3198</v>
      </c>
      <c r="D569" s="122">
        <v>46114.608900462961</v>
      </c>
      <c r="E569" s="121">
        <v>7940273029</v>
      </c>
      <c r="F569" s="121" t="s">
        <v>294</v>
      </c>
      <c r="G569" s="121">
        <v>1</v>
      </c>
      <c r="H569" s="121">
        <v>7940273029</v>
      </c>
      <c r="I569" s="121" t="s">
        <v>2099</v>
      </c>
      <c r="J569" s="121" t="s">
        <v>1066</v>
      </c>
      <c r="K569" s="121" t="s">
        <v>1125</v>
      </c>
      <c r="L569" s="121" t="s">
        <v>1061</v>
      </c>
      <c r="M569" s="121" t="s">
        <v>1116</v>
      </c>
      <c r="N569" s="122">
        <v>46514.608900462961</v>
      </c>
      <c r="O569" s="123">
        <v>19002208620</v>
      </c>
      <c r="P569" s="121">
        <v>0</v>
      </c>
      <c r="Q569" s="121" t="s">
        <v>1062</v>
      </c>
      <c r="R569" s="121" t="s">
        <v>1063</v>
      </c>
      <c r="S569" s="122">
        <v>46233.740995370368</v>
      </c>
      <c r="T569" s="121" t="s">
        <v>3199</v>
      </c>
      <c r="U569" s="121" t="s">
        <v>1625</v>
      </c>
      <c r="V569" s="121" t="s">
        <v>1066</v>
      </c>
      <c r="W569" s="121" t="s">
        <v>1066</v>
      </c>
      <c r="X569" s="121" t="s">
        <v>1066</v>
      </c>
      <c r="Y569" s="121" t="s">
        <v>1066</v>
      </c>
      <c r="Z569" s="121" t="s">
        <v>1066</v>
      </c>
      <c r="AA569" s="121" t="s">
        <v>1067</v>
      </c>
      <c r="AB569" s="121" t="s">
        <v>1066</v>
      </c>
      <c r="AC569" s="121" t="s">
        <v>92</v>
      </c>
      <c r="AD569" s="121" t="s">
        <v>1066</v>
      </c>
      <c r="AE569" s="121" t="s">
        <v>1066</v>
      </c>
      <c r="AF569" s="121" t="s">
        <v>1066</v>
      </c>
      <c r="AG569" s="121" t="s">
        <v>1066</v>
      </c>
      <c r="AH569" s="121" t="s">
        <v>1066</v>
      </c>
      <c r="AI569" s="121" t="s">
        <v>785</v>
      </c>
      <c r="AJ569" s="121">
        <v>8579192</v>
      </c>
      <c r="AK569" s="121" t="s">
        <v>415</v>
      </c>
      <c r="AL569" s="121">
        <v>785682</v>
      </c>
      <c r="AM569" s="121" t="s">
        <v>1066</v>
      </c>
      <c r="AN569" s="121" t="s">
        <v>1066</v>
      </c>
    </row>
    <row r="570" spans="1:40" ht="55.5" customHeight="1" x14ac:dyDescent="0.25">
      <c r="A570" s="111" t="s">
        <v>3200</v>
      </c>
      <c r="B570" s="112">
        <v>2026</v>
      </c>
      <c r="C570" s="112" t="s">
        <v>1057</v>
      </c>
      <c r="D570" s="113">
        <v>46122.378541666665</v>
      </c>
      <c r="E570" s="112">
        <v>7900482004</v>
      </c>
      <c r="F570" s="112" t="s">
        <v>1665</v>
      </c>
      <c r="G570" s="112">
        <v>2</v>
      </c>
      <c r="H570" s="112">
        <v>7900482004</v>
      </c>
      <c r="I570" s="112" t="s">
        <v>3201</v>
      </c>
      <c r="J570" s="112" t="s">
        <v>1059</v>
      </c>
      <c r="K570" s="112" t="s">
        <v>1060</v>
      </c>
      <c r="L570" s="112" t="s">
        <v>1061</v>
      </c>
      <c r="M570" s="112" t="s">
        <v>478</v>
      </c>
      <c r="N570" s="113">
        <v>46522.378541666665</v>
      </c>
      <c r="O570" s="114">
        <v>19002207588</v>
      </c>
      <c r="P570" s="112">
        <v>3.7970000000000002</v>
      </c>
      <c r="Q570" s="112" t="s">
        <v>1062</v>
      </c>
      <c r="R570" s="112" t="s">
        <v>1063</v>
      </c>
      <c r="S570" s="113">
        <v>46129.413194444445</v>
      </c>
      <c r="T570" s="112" t="s">
        <v>3202</v>
      </c>
      <c r="U570" s="112" t="s">
        <v>1065</v>
      </c>
      <c r="V570" s="112" t="s">
        <v>1066</v>
      </c>
      <c r="W570" s="112" t="s">
        <v>1066</v>
      </c>
      <c r="X570" s="112" t="s">
        <v>1066</v>
      </c>
      <c r="Y570" s="112" t="s">
        <v>1066</v>
      </c>
      <c r="Z570" s="112" t="s">
        <v>1066</v>
      </c>
      <c r="AA570" s="112" t="s">
        <v>1067</v>
      </c>
      <c r="AB570" s="112" t="s">
        <v>1066</v>
      </c>
      <c r="AC570" s="112" t="s">
        <v>92</v>
      </c>
      <c r="AD570" s="112" t="s">
        <v>1066</v>
      </c>
      <c r="AE570" s="112" t="s">
        <v>1066</v>
      </c>
      <c r="AF570" s="112" t="s">
        <v>1066</v>
      </c>
      <c r="AG570" s="112" t="s">
        <v>1066</v>
      </c>
      <c r="AH570" s="112" t="s">
        <v>1066</v>
      </c>
      <c r="AI570" s="112" t="s">
        <v>785</v>
      </c>
      <c r="AJ570" s="112">
        <v>9202488</v>
      </c>
      <c r="AK570" s="112" t="s">
        <v>69</v>
      </c>
      <c r="AL570" s="112">
        <v>809312</v>
      </c>
      <c r="AM570" s="112" t="s">
        <v>1066</v>
      </c>
      <c r="AN570" s="112" t="s">
        <v>1066</v>
      </c>
    </row>
    <row r="571" spans="1:40" ht="55.5" customHeight="1" x14ac:dyDescent="0.25">
      <c r="A571" s="111" t="s">
        <v>3203</v>
      </c>
      <c r="B571" s="112">
        <v>2026</v>
      </c>
      <c r="C571" s="112" t="s">
        <v>3204</v>
      </c>
      <c r="D571" s="113">
        <v>46165.581342592595</v>
      </c>
      <c r="E571" s="112">
        <v>8800529004</v>
      </c>
      <c r="F571" s="112" t="s">
        <v>2888</v>
      </c>
      <c r="G571" s="112">
        <v>1</v>
      </c>
      <c r="H571" s="112">
        <v>7959680004</v>
      </c>
      <c r="I571" s="112" t="s">
        <v>3205</v>
      </c>
      <c r="J571" s="112" t="s">
        <v>1071</v>
      </c>
      <c r="K571" s="112" t="s">
        <v>1323</v>
      </c>
      <c r="L571" s="112" t="s">
        <v>1073</v>
      </c>
      <c r="M571" s="112" t="s">
        <v>478</v>
      </c>
      <c r="N571" s="113">
        <v>46168.581342592595</v>
      </c>
      <c r="O571" s="114">
        <v>19002798738</v>
      </c>
      <c r="P571" s="112">
        <v>1</v>
      </c>
      <c r="Q571" s="112" t="s">
        <v>1131</v>
      </c>
      <c r="R571" s="112" t="s">
        <v>1075</v>
      </c>
      <c r="S571" s="113">
        <v>46167.344444444447</v>
      </c>
      <c r="T571" s="112" t="s">
        <v>3206</v>
      </c>
      <c r="U571" s="112" t="s">
        <v>1065</v>
      </c>
      <c r="V571" s="112" t="s">
        <v>1066</v>
      </c>
      <c r="W571" s="112" t="s">
        <v>1066</v>
      </c>
      <c r="X571" s="112" t="s">
        <v>1117</v>
      </c>
      <c r="Y571" s="112" t="s">
        <v>1066</v>
      </c>
      <c r="Z571" s="112" t="s">
        <v>1148</v>
      </c>
      <c r="AA571" s="112" t="s">
        <v>1067</v>
      </c>
      <c r="AB571" s="112" t="s">
        <v>1066</v>
      </c>
      <c r="AC571" s="112" t="s">
        <v>92</v>
      </c>
      <c r="AD571" s="112" t="s">
        <v>1066</v>
      </c>
      <c r="AE571" s="112" t="s">
        <v>1066</v>
      </c>
      <c r="AF571" s="112" t="s">
        <v>1066</v>
      </c>
      <c r="AG571" s="112" t="s">
        <v>1066</v>
      </c>
      <c r="AH571" s="112" t="s">
        <v>1066</v>
      </c>
      <c r="AI571" s="112" t="s">
        <v>785</v>
      </c>
      <c r="AJ571" s="112">
        <v>9205420</v>
      </c>
      <c r="AK571" s="112" t="s">
        <v>69</v>
      </c>
      <c r="AL571" s="112">
        <v>806599</v>
      </c>
      <c r="AM571" s="112" t="s">
        <v>1066</v>
      </c>
      <c r="AN571" s="112" t="s">
        <v>1066</v>
      </c>
    </row>
    <row r="572" spans="1:40" ht="55.5" customHeight="1" x14ac:dyDescent="0.25">
      <c r="A572" s="124" t="s">
        <v>417</v>
      </c>
      <c r="B572" s="125">
        <v>2026</v>
      </c>
      <c r="C572" s="125" t="s">
        <v>419</v>
      </c>
      <c r="D572" s="126">
        <v>46245.396365740744</v>
      </c>
      <c r="E572" s="125">
        <v>7946713015</v>
      </c>
      <c r="F572" s="125" t="s">
        <v>418</v>
      </c>
      <c r="G572" s="125">
        <v>1</v>
      </c>
      <c r="H572" s="125">
        <v>7946713015</v>
      </c>
      <c r="I572" s="125" t="s">
        <v>3207</v>
      </c>
      <c r="J572" s="125" t="s">
        <v>1071</v>
      </c>
      <c r="K572" s="125" t="s">
        <v>1379</v>
      </c>
      <c r="L572" s="125" t="s">
        <v>1073</v>
      </c>
      <c r="M572" s="125" t="s">
        <v>510</v>
      </c>
      <c r="N572" s="126">
        <v>46248.396365740744</v>
      </c>
      <c r="O572" s="127">
        <v>19002640166</v>
      </c>
      <c r="P572" s="125">
        <v>0</v>
      </c>
      <c r="Q572" s="125" t="s">
        <v>1062</v>
      </c>
      <c r="R572" s="125" t="s">
        <v>1075</v>
      </c>
      <c r="S572" s="125" t="s">
        <v>1066</v>
      </c>
      <c r="T572" s="125" t="s">
        <v>1066</v>
      </c>
      <c r="U572" s="125" t="s">
        <v>1066</v>
      </c>
      <c r="V572" s="125" t="s">
        <v>1066</v>
      </c>
      <c r="W572" s="125" t="s">
        <v>1066</v>
      </c>
      <c r="X572" s="125" t="s">
        <v>1066</v>
      </c>
      <c r="Y572" s="125" t="s">
        <v>1066</v>
      </c>
      <c r="Z572" s="125" t="s">
        <v>1066</v>
      </c>
      <c r="AA572" s="125" t="s">
        <v>1067</v>
      </c>
      <c r="AB572" s="125" t="s">
        <v>1066</v>
      </c>
      <c r="AC572" s="125" t="s">
        <v>92</v>
      </c>
      <c r="AD572" s="125" t="s">
        <v>1066</v>
      </c>
      <c r="AE572" s="125" t="s">
        <v>1066</v>
      </c>
      <c r="AF572" s="125" t="s">
        <v>1066</v>
      </c>
      <c r="AG572" s="125" t="s">
        <v>1066</v>
      </c>
      <c r="AH572" s="125" t="s">
        <v>1066</v>
      </c>
      <c r="AI572" s="125" t="s">
        <v>785</v>
      </c>
      <c r="AJ572" s="125">
        <v>9002080</v>
      </c>
      <c r="AK572" s="125" t="s">
        <v>288</v>
      </c>
      <c r="AL572" s="125">
        <v>811038</v>
      </c>
      <c r="AM572" s="125" t="s">
        <v>1066</v>
      </c>
      <c r="AN572" s="125" t="s">
        <v>1066</v>
      </c>
    </row>
    <row r="573" spans="1:40" ht="55.5" customHeight="1" x14ac:dyDescent="0.25">
      <c r="A573" s="115" t="s">
        <v>3208</v>
      </c>
      <c r="B573" s="116">
        <v>2026</v>
      </c>
      <c r="C573" s="116" t="s">
        <v>3209</v>
      </c>
      <c r="D573" s="118">
        <v>45800.850613425922</v>
      </c>
      <c r="E573" s="116">
        <v>9000281065</v>
      </c>
      <c r="F573" s="116" t="s">
        <v>2289</v>
      </c>
      <c r="G573" s="116">
        <v>3</v>
      </c>
      <c r="H573" s="116">
        <v>7922993065</v>
      </c>
      <c r="I573" s="116" t="s">
        <v>3210</v>
      </c>
      <c r="J573" s="116" t="s">
        <v>1071</v>
      </c>
      <c r="K573" s="116" t="s">
        <v>1130</v>
      </c>
      <c r="L573" s="116" t="s">
        <v>1073</v>
      </c>
      <c r="M573" s="116" t="s">
        <v>588</v>
      </c>
      <c r="N573" s="118">
        <v>46039.463726851849</v>
      </c>
      <c r="O573" s="119">
        <v>19001236678</v>
      </c>
      <c r="P573" s="116">
        <v>1.0149999999999999</v>
      </c>
      <c r="Q573" s="116" t="s">
        <v>1131</v>
      </c>
      <c r="R573" s="116" t="s">
        <v>1063</v>
      </c>
      <c r="S573" s="116" t="s">
        <v>1066</v>
      </c>
      <c r="T573" s="116" t="s">
        <v>1066</v>
      </c>
      <c r="U573" s="116" t="s">
        <v>1066</v>
      </c>
      <c r="V573" s="116" t="s">
        <v>1066</v>
      </c>
      <c r="W573" s="116" t="s">
        <v>1066</v>
      </c>
      <c r="X573" s="116" t="s">
        <v>1117</v>
      </c>
      <c r="Y573" s="116" t="s">
        <v>1066</v>
      </c>
      <c r="Z573" s="116" t="s">
        <v>1133</v>
      </c>
      <c r="AA573" s="116" t="s">
        <v>1067</v>
      </c>
      <c r="AB573" s="116" t="s">
        <v>1066</v>
      </c>
      <c r="AC573" s="116" t="s">
        <v>92</v>
      </c>
      <c r="AD573" s="116" t="s">
        <v>1142</v>
      </c>
      <c r="AE573" s="116" t="s">
        <v>1066</v>
      </c>
      <c r="AF573" s="116" t="s">
        <v>1066</v>
      </c>
      <c r="AG573" s="116" t="s">
        <v>1066</v>
      </c>
      <c r="AH573" s="116" t="s">
        <v>3211</v>
      </c>
      <c r="AI573" s="116" t="s">
        <v>785</v>
      </c>
      <c r="AJ573" s="116">
        <v>9377096</v>
      </c>
      <c r="AK573" s="116" t="s">
        <v>2293</v>
      </c>
      <c r="AL573" s="116">
        <v>858960</v>
      </c>
      <c r="AM573" s="116" t="s">
        <v>1066</v>
      </c>
      <c r="AN573" s="116" t="s">
        <v>1066</v>
      </c>
    </row>
    <row r="574" spans="1:40" ht="55.5" customHeight="1" x14ac:dyDescent="0.25">
      <c r="A574" s="111" t="s">
        <v>705</v>
      </c>
      <c r="B574" s="112">
        <v>2026</v>
      </c>
      <c r="C574" s="112" t="s">
        <v>3212</v>
      </c>
      <c r="D574" s="113">
        <v>46169.52447916667</v>
      </c>
      <c r="E574" s="112">
        <v>9000207011</v>
      </c>
      <c r="F574" s="112" t="s">
        <v>706</v>
      </c>
      <c r="G574" s="112">
        <v>2</v>
      </c>
      <c r="H574" s="112">
        <v>5800859011</v>
      </c>
      <c r="I574" s="112" t="s">
        <v>3213</v>
      </c>
      <c r="J574" s="112" t="s">
        <v>1071</v>
      </c>
      <c r="K574" s="112" t="s">
        <v>1115</v>
      </c>
      <c r="L574" s="112" t="s">
        <v>1073</v>
      </c>
      <c r="M574" s="112" t="s">
        <v>478</v>
      </c>
      <c r="N574" s="113">
        <v>46234.601469907408</v>
      </c>
      <c r="O574" s="114">
        <v>19002317746</v>
      </c>
      <c r="P574" s="112">
        <v>0</v>
      </c>
      <c r="Q574" s="112" t="s">
        <v>1074</v>
      </c>
      <c r="R574" s="112" t="s">
        <v>1075</v>
      </c>
      <c r="S574" s="113">
        <v>46247.465381944443</v>
      </c>
      <c r="T574" s="112" t="s">
        <v>3214</v>
      </c>
      <c r="U574" s="112" t="s">
        <v>1065</v>
      </c>
      <c r="V574" s="112" t="s">
        <v>1066</v>
      </c>
      <c r="W574" s="112" t="s">
        <v>1066</v>
      </c>
      <c r="X574" s="112" t="s">
        <v>3101</v>
      </c>
      <c r="Y574" s="112" t="s">
        <v>1066</v>
      </c>
      <c r="Z574" s="112" t="s">
        <v>1479</v>
      </c>
      <c r="AA574" s="112" t="s">
        <v>1067</v>
      </c>
      <c r="AB574" s="112" t="s">
        <v>1066</v>
      </c>
      <c r="AC574" s="112" t="s">
        <v>92</v>
      </c>
      <c r="AD574" s="112" t="s">
        <v>1066</v>
      </c>
      <c r="AE574" s="112" t="s">
        <v>1066</v>
      </c>
      <c r="AF574" s="112" t="s">
        <v>1066</v>
      </c>
      <c r="AG574" s="112" t="s">
        <v>1066</v>
      </c>
      <c r="AH574" s="112" t="s">
        <v>811</v>
      </c>
      <c r="AI574" s="112" t="s">
        <v>785</v>
      </c>
      <c r="AJ574" s="112">
        <v>9011795</v>
      </c>
      <c r="AK574" s="112" t="s">
        <v>462</v>
      </c>
      <c r="AL574" s="112">
        <v>797626</v>
      </c>
      <c r="AM574" s="112" t="s">
        <v>1066</v>
      </c>
      <c r="AN574" s="112" t="s">
        <v>1066</v>
      </c>
    </row>
    <row r="575" spans="1:40" ht="55.5" customHeight="1" x14ac:dyDescent="0.25">
      <c r="A575" s="120" t="s">
        <v>3215</v>
      </c>
      <c r="B575" s="121">
        <v>2026</v>
      </c>
      <c r="C575" s="121" t="s">
        <v>3216</v>
      </c>
      <c r="D575" s="122">
        <v>46056.563356481478</v>
      </c>
      <c r="E575" s="121">
        <v>6820041084</v>
      </c>
      <c r="F575" s="121" t="s">
        <v>153</v>
      </c>
      <c r="G575" s="121">
        <v>3</v>
      </c>
      <c r="H575" s="121">
        <v>7954668084</v>
      </c>
      <c r="I575" s="121" t="s">
        <v>1507</v>
      </c>
      <c r="J575" s="121" t="s">
        <v>1071</v>
      </c>
      <c r="K575" s="121" t="s">
        <v>1508</v>
      </c>
      <c r="L575" s="121" t="s">
        <v>1073</v>
      </c>
      <c r="M575" s="121" t="s">
        <v>1116</v>
      </c>
      <c r="N575" s="122">
        <v>46059.563356481478</v>
      </c>
      <c r="O575" s="123">
        <v>19002714137</v>
      </c>
      <c r="P575" s="121">
        <v>140</v>
      </c>
      <c r="Q575" s="121" t="s">
        <v>1131</v>
      </c>
      <c r="R575" s="121" t="s">
        <v>1297</v>
      </c>
      <c r="S575" s="122">
        <v>46093.667187500003</v>
      </c>
      <c r="T575" s="121" t="s">
        <v>1066</v>
      </c>
      <c r="U575" s="121" t="s">
        <v>1066</v>
      </c>
      <c r="V575" s="121" t="s">
        <v>1066</v>
      </c>
      <c r="W575" s="121" t="s">
        <v>1066</v>
      </c>
      <c r="X575" s="121" t="s">
        <v>1117</v>
      </c>
      <c r="Y575" s="121" t="s">
        <v>1066</v>
      </c>
      <c r="Z575" s="121" t="s">
        <v>1174</v>
      </c>
      <c r="AA575" s="121" t="s">
        <v>1067</v>
      </c>
      <c r="AB575" s="121" t="s">
        <v>1066</v>
      </c>
      <c r="AC575" s="121" t="s">
        <v>92</v>
      </c>
      <c r="AD575" s="121" t="s">
        <v>1066</v>
      </c>
      <c r="AE575" s="121" t="s">
        <v>1066</v>
      </c>
      <c r="AF575" s="121" t="s">
        <v>1066</v>
      </c>
      <c r="AG575" s="121" t="s">
        <v>1066</v>
      </c>
      <c r="AH575" s="121" t="s">
        <v>1066</v>
      </c>
      <c r="AI575" s="121" t="s">
        <v>785</v>
      </c>
      <c r="AJ575" s="121">
        <v>8908376</v>
      </c>
      <c r="AK575" s="121" t="s">
        <v>1311</v>
      </c>
      <c r="AL575" s="121">
        <v>700668</v>
      </c>
      <c r="AM575" s="121" t="s">
        <v>1066</v>
      </c>
      <c r="AN575" s="121" t="s">
        <v>1066</v>
      </c>
    </row>
    <row r="576" spans="1:40" ht="55.5" customHeight="1" x14ac:dyDescent="0.25">
      <c r="A576" s="111" t="s">
        <v>3217</v>
      </c>
      <c r="B576" s="112">
        <v>2026</v>
      </c>
      <c r="C576" s="112" t="s">
        <v>1213</v>
      </c>
      <c r="D576" s="113">
        <v>46122.549942129626</v>
      </c>
      <c r="E576" s="112">
        <v>7925730078</v>
      </c>
      <c r="F576" s="112" t="s">
        <v>170</v>
      </c>
      <c r="G576" s="112">
        <v>3</v>
      </c>
      <c r="H576" s="112">
        <v>7925730078</v>
      </c>
      <c r="I576" s="112" t="s">
        <v>3218</v>
      </c>
      <c r="J576" s="112" t="s">
        <v>1066</v>
      </c>
      <c r="K576" s="112" t="s">
        <v>1125</v>
      </c>
      <c r="L576" s="112" t="s">
        <v>1061</v>
      </c>
      <c r="M576" s="112" t="s">
        <v>478</v>
      </c>
      <c r="N576" s="113">
        <v>46522.549942129626</v>
      </c>
      <c r="O576" s="114">
        <v>19002203273</v>
      </c>
      <c r="P576" s="112">
        <v>236</v>
      </c>
      <c r="Q576" s="112" t="s">
        <v>1062</v>
      </c>
      <c r="R576" s="112" t="s">
        <v>1063</v>
      </c>
      <c r="S576" s="113">
        <v>46156.47152777778</v>
      </c>
      <c r="T576" s="112" t="s">
        <v>3219</v>
      </c>
      <c r="U576" s="112" t="s">
        <v>1065</v>
      </c>
      <c r="V576" s="112" t="s">
        <v>1066</v>
      </c>
      <c r="W576" s="112" t="s">
        <v>1066</v>
      </c>
      <c r="X576" s="112" t="s">
        <v>1066</v>
      </c>
      <c r="Y576" s="112" t="s">
        <v>1066</v>
      </c>
      <c r="Z576" s="112" t="s">
        <v>1066</v>
      </c>
      <c r="AA576" s="112" t="s">
        <v>1067</v>
      </c>
      <c r="AB576" s="112" t="s">
        <v>1066</v>
      </c>
      <c r="AC576" s="112" t="s">
        <v>92</v>
      </c>
      <c r="AD576" s="112" t="s">
        <v>1066</v>
      </c>
      <c r="AE576" s="112" t="s">
        <v>1066</v>
      </c>
      <c r="AF576" s="112" t="s">
        <v>1066</v>
      </c>
      <c r="AG576" s="112" t="s">
        <v>1066</v>
      </c>
      <c r="AH576" s="112" t="s">
        <v>1066</v>
      </c>
      <c r="AI576" s="112" t="s">
        <v>785</v>
      </c>
      <c r="AJ576" s="112">
        <v>9035187</v>
      </c>
      <c r="AK576" s="112" t="s">
        <v>396</v>
      </c>
      <c r="AL576" s="112">
        <v>858823</v>
      </c>
      <c r="AM576" s="112" t="s">
        <v>1066</v>
      </c>
      <c r="AN576" s="112" t="s">
        <v>1066</v>
      </c>
    </row>
    <row r="577" spans="1:40" ht="55.5" customHeight="1" x14ac:dyDescent="0.25">
      <c r="A577" s="111" t="s">
        <v>3220</v>
      </c>
      <c r="B577" s="112">
        <v>2026</v>
      </c>
      <c r="C577" s="112" t="s">
        <v>1213</v>
      </c>
      <c r="D577" s="113">
        <v>46122.549942129626</v>
      </c>
      <c r="E577" s="112">
        <v>7936096015</v>
      </c>
      <c r="F577" s="112" t="s">
        <v>88</v>
      </c>
      <c r="G577" s="112">
        <v>3</v>
      </c>
      <c r="H577" s="112">
        <v>7936096015</v>
      </c>
      <c r="I577" s="112" t="s">
        <v>3221</v>
      </c>
      <c r="J577" s="112" t="s">
        <v>1066</v>
      </c>
      <c r="K577" s="112" t="s">
        <v>1125</v>
      </c>
      <c r="L577" s="112" t="s">
        <v>1061</v>
      </c>
      <c r="M577" s="112" t="s">
        <v>478</v>
      </c>
      <c r="N577" s="113">
        <v>46522.549942129626</v>
      </c>
      <c r="O577" s="114">
        <v>19002260403</v>
      </c>
      <c r="P577" s="112">
        <v>229</v>
      </c>
      <c r="Q577" s="112" t="s">
        <v>1062</v>
      </c>
      <c r="R577" s="112" t="s">
        <v>1063</v>
      </c>
      <c r="S577" s="113">
        <v>46142.729166666664</v>
      </c>
      <c r="T577" s="112" t="s">
        <v>3222</v>
      </c>
      <c r="U577" s="112" t="s">
        <v>1065</v>
      </c>
      <c r="V577" s="112" t="s">
        <v>1066</v>
      </c>
      <c r="W577" s="112" t="s">
        <v>1066</v>
      </c>
      <c r="X577" s="112" t="s">
        <v>1066</v>
      </c>
      <c r="Y577" s="112" t="s">
        <v>1066</v>
      </c>
      <c r="Z577" s="112" t="s">
        <v>1066</v>
      </c>
      <c r="AA577" s="112" t="s">
        <v>1067</v>
      </c>
      <c r="AB577" s="112" t="s">
        <v>1066</v>
      </c>
      <c r="AC577" s="112" t="s">
        <v>92</v>
      </c>
      <c r="AD577" s="112" t="s">
        <v>1066</v>
      </c>
      <c r="AE577" s="112" t="s">
        <v>1066</v>
      </c>
      <c r="AF577" s="112" t="s">
        <v>1066</v>
      </c>
      <c r="AG577" s="112" t="s">
        <v>1066</v>
      </c>
      <c r="AH577" s="112" t="s">
        <v>1066</v>
      </c>
      <c r="AI577" s="112" t="s">
        <v>785</v>
      </c>
      <c r="AJ577" s="112">
        <v>8979988</v>
      </c>
      <c r="AK577" s="112" t="s">
        <v>288</v>
      </c>
      <c r="AL577" s="112">
        <v>835986</v>
      </c>
      <c r="AM577" s="112" t="s">
        <v>1066</v>
      </c>
      <c r="AN577" s="112" t="s">
        <v>1066</v>
      </c>
    </row>
    <row r="578" spans="1:40" ht="55.5" customHeight="1" x14ac:dyDescent="0.25">
      <c r="A578" s="115" t="s">
        <v>3223</v>
      </c>
      <c r="B578" s="116">
        <v>2026</v>
      </c>
      <c r="C578" s="116" t="s">
        <v>3224</v>
      </c>
      <c r="D578" s="118">
        <v>46116.295752314814</v>
      </c>
      <c r="E578" s="116">
        <v>7957466015</v>
      </c>
      <c r="F578" s="116" t="s">
        <v>289</v>
      </c>
      <c r="G578" s="116">
        <v>3</v>
      </c>
      <c r="H578" s="116">
        <v>7957466015</v>
      </c>
      <c r="I578" s="116" t="s">
        <v>3225</v>
      </c>
      <c r="J578" s="116" t="s">
        <v>1071</v>
      </c>
      <c r="K578" s="116" t="s">
        <v>2819</v>
      </c>
      <c r="L578" s="116" t="s">
        <v>1073</v>
      </c>
      <c r="M578" s="116" t="s">
        <v>588</v>
      </c>
      <c r="N578" s="118">
        <v>46128.437094907407</v>
      </c>
      <c r="O578" s="119">
        <v>19002745205</v>
      </c>
      <c r="P578" s="116">
        <v>89</v>
      </c>
      <c r="Q578" s="116" t="s">
        <v>1062</v>
      </c>
      <c r="R578" s="116" t="s">
        <v>1075</v>
      </c>
      <c r="S578" s="116" t="s">
        <v>1066</v>
      </c>
      <c r="T578" s="116" t="s">
        <v>1066</v>
      </c>
      <c r="U578" s="116" t="s">
        <v>1066</v>
      </c>
      <c r="V578" s="116" t="s">
        <v>1066</v>
      </c>
      <c r="W578" s="116" t="s">
        <v>1066</v>
      </c>
      <c r="X578" s="116" t="s">
        <v>1173</v>
      </c>
      <c r="Y578" s="116" t="s">
        <v>1066</v>
      </c>
      <c r="Z578" s="116" t="s">
        <v>3226</v>
      </c>
      <c r="AA578" s="116" t="s">
        <v>1067</v>
      </c>
      <c r="AB578" s="116" t="s">
        <v>1066</v>
      </c>
      <c r="AC578" s="116" t="s">
        <v>92</v>
      </c>
      <c r="AD578" s="116" t="s">
        <v>1066</v>
      </c>
      <c r="AE578" s="116" t="s">
        <v>1066</v>
      </c>
      <c r="AF578" s="116" t="s">
        <v>1066</v>
      </c>
      <c r="AG578" s="116" t="s">
        <v>1066</v>
      </c>
      <c r="AH578" s="116" t="s">
        <v>1066</v>
      </c>
      <c r="AI578" s="116" t="s">
        <v>785</v>
      </c>
      <c r="AJ578" s="116">
        <v>8982725</v>
      </c>
      <c r="AK578" s="116" t="s">
        <v>288</v>
      </c>
      <c r="AL578" s="116">
        <v>830824</v>
      </c>
      <c r="AM578" s="116" t="s">
        <v>1066</v>
      </c>
      <c r="AN578" s="116" t="s">
        <v>1066</v>
      </c>
    </row>
    <row r="579" spans="1:40" ht="55.5" customHeight="1" x14ac:dyDescent="0.25">
      <c r="A579" s="111" t="s">
        <v>3227</v>
      </c>
      <c r="B579" s="112">
        <v>2026</v>
      </c>
      <c r="C579" s="112" t="s">
        <v>1057</v>
      </c>
      <c r="D579" s="113">
        <v>46125.614548611113</v>
      </c>
      <c r="E579" s="112">
        <v>7927604001</v>
      </c>
      <c r="F579" s="112" t="s">
        <v>2513</v>
      </c>
      <c r="G579" s="112">
        <v>2</v>
      </c>
      <c r="H579" s="112">
        <v>7927604001</v>
      </c>
      <c r="I579" s="112" t="s">
        <v>3228</v>
      </c>
      <c r="J579" s="112" t="s">
        <v>1066</v>
      </c>
      <c r="K579" s="112" t="s">
        <v>1125</v>
      </c>
      <c r="L579" s="112" t="s">
        <v>1061</v>
      </c>
      <c r="M579" s="112" t="s">
        <v>478</v>
      </c>
      <c r="N579" s="113">
        <v>46525.614548611113</v>
      </c>
      <c r="O579" s="114">
        <v>19002207912</v>
      </c>
      <c r="P579" s="112">
        <v>0</v>
      </c>
      <c r="Q579" s="112" t="s">
        <v>1062</v>
      </c>
      <c r="R579" s="112" t="s">
        <v>1063</v>
      </c>
      <c r="S579" s="113">
        <v>46174.3125</v>
      </c>
      <c r="T579" s="112" t="s">
        <v>1307</v>
      </c>
      <c r="U579" s="112" t="s">
        <v>1065</v>
      </c>
      <c r="V579" s="112" t="s">
        <v>1066</v>
      </c>
      <c r="W579" s="112" t="s">
        <v>1066</v>
      </c>
      <c r="X579" s="112" t="s">
        <v>1066</v>
      </c>
      <c r="Y579" s="112" t="s">
        <v>1066</v>
      </c>
      <c r="Z579" s="112" t="s">
        <v>1066</v>
      </c>
      <c r="AA579" s="112" t="s">
        <v>1067</v>
      </c>
      <c r="AB579" s="112" t="s">
        <v>1066</v>
      </c>
      <c r="AC579" s="112" t="s">
        <v>92</v>
      </c>
      <c r="AD579" s="112" t="s">
        <v>1066</v>
      </c>
      <c r="AE579" s="112" t="s">
        <v>1066</v>
      </c>
      <c r="AF579" s="112" t="s">
        <v>1066</v>
      </c>
      <c r="AG579" s="112" t="s">
        <v>1066</v>
      </c>
      <c r="AH579" s="112" t="s">
        <v>1066</v>
      </c>
      <c r="AI579" s="112" t="s">
        <v>785</v>
      </c>
      <c r="AJ579" s="112">
        <v>8814986</v>
      </c>
      <c r="AK579" s="112" t="s">
        <v>50</v>
      </c>
      <c r="AL579" s="112">
        <v>783701</v>
      </c>
      <c r="AM579" s="112" t="s">
        <v>1066</v>
      </c>
      <c r="AN579" s="112" t="s">
        <v>1066</v>
      </c>
    </row>
    <row r="580" spans="1:40" ht="55.5" customHeight="1" x14ac:dyDescent="0.25">
      <c r="A580" s="120" t="s">
        <v>3229</v>
      </c>
      <c r="B580" s="121">
        <v>2026</v>
      </c>
      <c r="C580" s="121" t="s">
        <v>1210</v>
      </c>
      <c r="D580" s="122">
        <v>46114.608900462961</v>
      </c>
      <c r="E580" s="121">
        <v>7949042019</v>
      </c>
      <c r="F580" s="121" t="s">
        <v>1177</v>
      </c>
      <c r="G580" s="121">
        <v>1</v>
      </c>
      <c r="H580" s="121">
        <v>7949042019</v>
      </c>
      <c r="I580" s="121" t="s">
        <v>3230</v>
      </c>
      <c r="J580" s="121" t="s">
        <v>1066</v>
      </c>
      <c r="K580" s="121" t="s">
        <v>1125</v>
      </c>
      <c r="L580" s="121" t="s">
        <v>1061</v>
      </c>
      <c r="M580" s="121" t="s">
        <v>1116</v>
      </c>
      <c r="N580" s="122">
        <v>46514.608900462961</v>
      </c>
      <c r="O580" s="123">
        <v>19002678723</v>
      </c>
      <c r="P580" s="121">
        <v>597</v>
      </c>
      <c r="Q580" s="121" t="s">
        <v>1062</v>
      </c>
      <c r="R580" s="121" t="s">
        <v>1063</v>
      </c>
      <c r="S580" s="122">
        <v>46240.491296296299</v>
      </c>
      <c r="T580" s="121" t="s">
        <v>1066</v>
      </c>
      <c r="U580" s="121" t="s">
        <v>1066</v>
      </c>
      <c r="V580" s="121" t="s">
        <v>1066</v>
      </c>
      <c r="W580" s="121" t="s">
        <v>1066</v>
      </c>
      <c r="X580" s="121" t="s">
        <v>1066</v>
      </c>
      <c r="Y580" s="121" t="s">
        <v>1066</v>
      </c>
      <c r="Z580" s="121" t="s">
        <v>1066</v>
      </c>
      <c r="AA580" s="121" t="s">
        <v>1067</v>
      </c>
      <c r="AB580" s="121" t="s">
        <v>1066</v>
      </c>
      <c r="AC580" s="121" t="s">
        <v>92</v>
      </c>
      <c r="AD580" s="121" t="s">
        <v>1066</v>
      </c>
      <c r="AE580" s="121" t="s">
        <v>1066</v>
      </c>
      <c r="AF580" s="121" t="s">
        <v>1066</v>
      </c>
      <c r="AG580" s="121" t="s">
        <v>1066</v>
      </c>
      <c r="AH580" s="121" t="s">
        <v>1066</v>
      </c>
      <c r="AI580" s="121" t="s">
        <v>785</v>
      </c>
      <c r="AJ580" s="121">
        <v>9177676</v>
      </c>
      <c r="AK580" s="121" t="s">
        <v>1181</v>
      </c>
      <c r="AL580" s="121">
        <v>864285</v>
      </c>
      <c r="AM580" s="121" t="s">
        <v>1066</v>
      </c>
      <c r="AN580" s="121" t="s">
        <v>1066</v>
      </c>
    </row>
    <row r="581" spans="1:40" ht="55.5" customHeight="1" x14ac:dyDescent="0.25">
      <c r="A581" s="111" t="s">
        <v>3231</v>
      </c>
      <c r="B581" s="112">
        <v>2026</v>
      </c>
      <c r="C581" s="112" t="s">
        <v>3232</v>
      </c>
      <c r="D581" s="113">
        <v>46150.774467592593</v>
      </c>
      <c r="E581" s="112">
        <v>9001453032</v>
      </c>
      <c r="F581" s="112" t="s">
        <v>1574</v>
      </c>
      <c r="G581" s="112">
        <v>3</v>
      </c>
      <c r="H581" s="112">
        <v>7940262032</v>
      </c>
      <c r="I581" s="112" t="s">
        <v>3233</v>
      </c>
      <c r="J581" s="112" t="s">
        <v>1071</v>
      </c>
      <c r="K581" s="112" t="s">
        <v>1457</v>
      </c>
      <c r="L581" s="112" t="s">
        <v>1073</v>
      </c>
      <c r="M581" s="112" t="s">
        <v>478</v>
      </c>
      <c r="N581" s="113">
        <v>46153.774467592593</v>
      </c>
      <c r="O581" s="114">
        <v>19001320095</v>
      </c>
      <c r="P581" s="112">
        <v>165</v>
      </c>
      <c r="Q581" s="112" t="s">
        <v>1131</v>
      </c>
      <c r="R581" s="112" t="s">
        <v>1075</v>
      </c>
      <c r="S581" s="113">
        <v>46162.481979166667</v>
      </c>
      <c r="T581" s="112" t="s">
        <v>3234</v>
      </c>
      <c r="U581" s="112" t="s">
        <v>1065</v>
      </c>
      <c r="V581" s="112" t="s">
        <v>1066</v>
      </c>
      <c r="W581" s="112" t="s">
        <v>1066</v>
      </c>
      <c r="X581" s="112" t="s">
        <v>1173</v>
      </c>
      <c r="Y581" s="112" t="s">
        <v>1066</v>
      </c>
      <c r="Z581" s="112" t="s">
        <v>1148</v>
      </c>
      <c r="AA581" s="112" t="s">
        <v>1067</v>
      </c>
      <c r="AB581" s="112" t="s">
        <v>1066</v>
      </c>
      <c r="AC581" s="112" t="s">
        <v>92</v>
      </c>
      <c r="AD581" s="112" t="s">
        <v>1142</v>
      </c>
      <c r="AE581" s="112" t="s">
        <v>1066</v>
      </c>
      <c r="AF581" s="112" t="s">
        <v>1066</v>
      </c>
      <c r="AG581" s="112" t="s">
        <v>1066</v>
      </c>
      <c r="AH581" s="112" t="s">
        <v>1066</v>
      </c>
      <c r="AI581" s="112" t="s">
        <v>785</v>
      </c>
      <c r="AJ581" s="112">
        <v>8591015</v>
      </c>
      <c r="AK581" s="112" t="s">
        <v>469</v>
      </c>
      <c r="AL581" s="112">
        <v>615506</v>
      </c>
      <c r="AM581" s="112" t="s">
        <v>1066</v>
      </c>
      <c r="AN581" s="112" t="s">
        <v>1066</v>
      </c>
    </row>
    <row r="582" spans="1:40" ht="55.5" customHeight="1" x14ac:dyDescent="0.25">
      <c r="A582" s="111" t="s">
        <v>3235</v>
      </c>
      <c r="B582" s="112">
        <v>2026</v>
      </c>
      <c r="C582" s="112" t="s">
        <v>1089</v>
      </c>
      <c r="D582" s="113">
        <v>46028.41065972222</v>
      </c>
      <c r="E582" s="112">
        <v>9005318122</v>
      </c>
      <c r="F582" s="112" t="s">
        <v>412</v>
      </c>
      <c r="G582" s="112">
        <v>2</v>
      </c>
      <c r="H582" s="112">
        <v>7905318122</v>
      </c>
      <c r="I582" s="112" t="s">
        <v>3236</v>
      </c>
      <c r="J582" s="112" t="s">
        <v>1092</v>
      </c>
      <c r="K582" s="112" t="s">
        <v>1093</v>
      </c>
      <c r="L582" s="112" t="s">
        <v>1061</v>
      </c>
      <c r="M582" s="112" t="s">
        <v>478</v>
      </c>
      <c r="N582" s="113">
        <v>46428.41065972222</v>
      </c>
      <c r="O582" s="114">
        <v>19000092337</v>
      </c>
      <c r="P582" s="112">
        <v>3.42</v>
      </c>
      <c r="Q582" s="112" t="s">
        <v>1131</v>
      </c>
      <c r="R582" s="112" t="s">
        <v>1063</v>
      </c>
      <c r="S582" s="113">
        <v>46045.677893518521</v>
      </c>
      <c r="T582" s="112" t="s">
        <v>3237</v>
      </c>
      <c r="U582" s="112" t="s">
        <v>1065</v>
      </c>
      <c r="V582" s="112" t="s">
        <v>1066</v>
      </c>
      <c r="W582" s="112" t="s">
        <v>1066</v>
      </c>
      <c r="X582" s="112" t="s">
        <v>1066</v>
      </c>
      <c r="Y582" s="112" t="s">
        <v>1066</v>
      </c>
      <c r="Z582" s="112" t="s">
        <v>1066</v>
      </c>
      <c r="AA582" s="112" t="s">
        <v>1067</v>
      </c>
      <c r="AB582" s="112" t="s">
        <v>1066</v>
      </c>
      <c r="AC582" s="112" t="s">
        <v>92</v>
      </c>
      <c r="AD582" s="112" t="s">
        <v>1142</v>
      </c>
      <c r="AE582" s="112" t="s">
        <v>1066</v>
      </c>
      <c r="AF582" s="112" t="s">
        <v>1066</v>
      </c>
      <c r="AG582" s="112" t="s">
        <v>1066</v>
      </c>
      <c r="AH582" s="112" t="s">
        <v>1066</v>
      </c>
      <c r="AI582" s="112" t="s">
        <v>785</v>
      </c>
      <c r="AJ582" s="112">
        <v>8875152</v>
      </c>
      <c r="AK582" s="112" t="s">
        <v>264</v>
      </c>
      <c r="AL582" s="112">
        <v>790695</v>
      </c>
      <c r="AM582" s="112" t="s">
        <v>1066</v>
      </c>
      <c r="AN582" s="112" t="s">
        <v>1066</v>
      </c>
    </row>
    <row r="583" spans="1:40" ht="55.5" customHeight="1" x14ac:dyDescent="0.25">
      <c r="A583" s="111" t="s">
        <v>3238</v>
      </c>
      <c r="B583" s="112">
        <v>2026</v>
      </c>
      <c r="C583" s="112" t="s">
        <v>1089</v>
      </c>
      <c r="D583" s="113">
        <v>46028.453888888886</v>
      </c>
      <c r="E583" s="112">
        <v>7936770029</v>
      </c>
      <c r="F583" s="112" t="s">
        <v>1150</v>
      </c>
      <c r="G583" s="112">
        <v>3</v>
      </c>
      <c r="H583" s="112">
        <v>7936770029</v>
      </c>
      <c r="I583" s="112" t="s">
        <v>3239</v>
      </c>
      <c r="J583" s="112" t="s">
        <v>1092</v>
      </c>
      <c r="K583" s="112" t="s">
        <v>1093</v>
      </c>
      <c r="L583" s="112" t="s">
        <v>1061</v>
      </c>
      <c r="M583" s="112" t="s">
        <v>478</v>
      </c>
      <c r="N583" s="113">
        <v>46428.453888888886</v>
      </c>
      <c r="O583" s="114">
        <v>19002204955</v>
      </c>
      <c r="P583" s="112">
        <v>1.9750000000000001</v>
      </c>
      <c r="Q583" s="112" t="s">
        <v>1062</v>
      </c>
      <c r="R583" s="112" t="s">
        <v>1063</v>
      </c>
      <c r="S583" s="113">
        <v>46034.404166666667</v>
      </c>
      <c r="T583" s="112" t="s">
        <v>3240</v>
      </c>
      <c r="U583" s="112" t="s">
        <v>1065</v>
      </c>
      <c r="V583" s="112" t="s">
        <v>1066</v>
      </c>
      <c r="W583" s="112" t="s">
        <v>1066</v>
      </c>
      <c r="X583" s="112" t="s">
        <v>1066</v>
      </c>
      <c r="Y583" s="112" t="s">
        <v>1066</v>
      </c>
      <c r="Z583" s="112" t="s">
        <v>1066</v>
      </c>
      <c r="AA583" s="112" t="s">
        <v>1067</v>
      </c>
      <c r="AB583" s="112" t="s">
        <v>1066</v>
      </c>
      <c r="AC583" s="112" t="s">
        <v>92</v>
      </c>
      <c r="AD583" s="112" t="s">
        <v>1066</v>
      </c>
      <c r="AE583" s="112" t="s">
        <v>1066</v>
      </c>
      <c r="AF583" s="112" t="s">
        <v>1066</v>
      </c>
      <c r="AG583" s="112" t="s">
        <v>1066</v>
      </c>
      <c r="AH583" s="112" t="s">
        <v>1066</v>
      </c>
      <c r="AI583" s="112" t="s">
        <v>785</v>
      </c>
      <c r="AJ583" s="112">
        <v>8556744</v>
      </c>
      <c r="AK583" s="112" t="s">
        <v>415</v>
      </c>
      <c r="AL583" s="112">
        <v>781000</v>
      </c>
      <c r="AM583" s="112" t="s">
        <v>1066</v>
      </c>
      <c r="AN583" s="112" t="s">
        <v>1066</v>
      </c>
    </row>
    <row r="584" spans="1:40" ht="55.5" customHeight="1" x14ac:dyDescent="0.25">
      <c r="A584" s="111" t="s">
        <v>3241</v>
      </c>
      <c r="B584" s="112">
        <v>2026</v>
      </c>
      <c r="C584" s="112" t="s">
        <v>1089</v>
      </c>
      <c r="D584" s="113">
        <v>46028.453888888886</v>
      </c>
      <c r="E584" s="112">
        <v>7900666072</v>
      </c>
      <c r="F584" s="112" t="s">
        <v>225</v>
      </c>
      <c r="G584" s="112">
        <v>2</v>
      </c>
      <c r="H584" s="112">
        <v>7900666072</v>
      </c>
      <c r="I584" s="112" t="s">
        <v>3242</v>
      </c>
      <c r="J584" s="112" t="s">
        <v>1092</v>
      </c>
      <c r="K584" s="112" t="s">
        <v>1093</v>
      </c>
      <c r="L584" s="112" t="s">
        <v>1061</v>
      </c>
      <c r="M584" s="112" t="s">
        <v>478</v>
      </c>
      <c r="N584" s="113">
        <v>46428.453888888886</v>
      </c>
      <c r="O584" s="114">
        <v>19002214120</v>
      </c>
      <c r="P584" s="112">
        <v>1.7070000000000001</v>
      </c>
      <c r="Q584" s="112" t="s">
        <v>1062</v>
      </c>
      <c r="R584" s="112" t="s">
        <v>1063</v>
      </c>
      <c r="S584" s="113">
        <v>46087.374039351853</v>
      </c>
      <c r="T584" s="112" t="s">
        <v>3243</v>
      </c>
      <c r="U584" s="112" t="s">
        <v>1065</v>
      </c>
      <c r="V584" s="112" t="s">
        <v>1066</v>
      </c>
      <c r="W584" s="112" t="s">
        <v>1066</v>
      </c>
      <c r="X584" s="112" t="s">
        <v>1066</v>
      </c>
      <c r="Y584" s="112" t="s">
        <v>1066</v>
      </c>
      <c r="Z584" s="112" t="s">
        <v>1066</v>
      </c>
      <c r="AA584" s="112" t="s">
        <v>1067</v>
      </c>
      <c r="AB584" s="112" t="s">
        <v>1066</v>
      </c>
      <c r="AC584" s="112" t="s">
        <v>92</v>
      </c>
      <c r="AD584" s="112" t="s">
        <v>1066</v>
      </c>
      <c r="AE584" s="112" t="s">
        <v>1066</v>
      </c>
      <c r="AF584" s="112" t="s">
        <v>1066</v>
      </c>
      <c r="AG584" s="112" t="s">
        <v>1066</v>
      </c>
      <c r="AH584" s="112" t="s">
        <v>1066</v>
      </c>
      <c r="AI584" s="112" t="s">
        <v>785</v>
      </c>
      <c r="AJ584" s="112">
        <v>8646903</v>
      </c>
      <c r="AK584" s="112" t="s">
        <v>1590</v>
      </c>
      <c r="AL584" s="112">
        <v>904088</v>
      </c>
      <c r="AM584" s="112" t="s">
        <v>1066</v>
      </c>
      <c r="AN584" s="112" t="s">
        <v>1066</v>
      </c>
    </row>
    <row r="585" spans="1:40" ht="55.5" customHeight="1" x14ac:dyDescent="0.25">
      <c r="A585" s="111" t="s">
        <v>3244</v>
      </c>
      <c r="B585" s="112">
        <v>2026</v>
      </c>
      <c r="C585" s="112" t="s">
        <v>1089</v>
      </c>
      <c r="D585" s="113">
        <v>46028.453888888886</v>
      </c>
      <c r="E585" s="112">
        <v>7908211148</v>
      </c>
      <c r="F585" s="112" t="s">
        <v>302</v>
      </c>
      <c r="G585" s="112">
        <v>2</v>
      </c>
      <c r="H585" s="112">
        <v>7908211148</v>
      </c>
      <c r="I585" s="112" t="s">
        <v>3245</v>
      </c>
      <c r="J585" s="112" t="s">
        <v>1092</v>
      </c>
      <c r="K585" s="112" t="s">
        <v>1093</v>
      </c>
      <c r="L585" s="112" t="s">
        <v>1061</v>
      </c>
      <c r="M585" s="112" t="s">
        <v>478</v>
      </c>
      <c r="N585" s="113">
        <v>46428.453888888886</v>
      </c>
      <c r="O585" s="114">
        <v>19002223596</v>
      </c>
      <c r="P585" s="112">
        <v>472</v>
      </c>
      <c r="Q585" s="112" t="s">
        <v>1062</v>
      </c>
      <c r="R585" s="112" t="s">
        <v>1063</v>
      </c>
      <c r="S585" s="113">
        <v>46035.428472222222</v>
      </c>
      <c r="T585" s="112" t="s">
        <v>3246</v>
      </c>
      <c r="U585" s="112" t="s">
        <v>1065</v>
      </c>
      <c r="V585" s="112" t="s">
        <v>1066</v>
      </c>
      <c r="W585" s="112" t="s">
        <v>1066</v>
      </c>
      <c r="X585" s="112" t="s">
        <v>1066</v>
      </c>
      <c r="Y585" s="112" t="s">
        <v>1066</v>
      </c>
      <c r="Z585" s="112" t="s">
        <v>1066</v>
      </c>
      <c r="AA585" s="112" t="s">
        <v>1067</v>
      </c>
      <c r="AB585" s="112" t="s">
        <v>1066</v>
      </c>
      <c r="AC585" s="112" t="s">
        <v>92</v>
      </c>
      <c r="AD585" s="112" t="s">
        <v>1066</v>
      </c>
      <c r="AE585" s="112" t="s">
        <v>1066</v>
      </c>
      <c r="AF585" s="112" t="s">
        <v>1066</v>
      </c>
      <c r="AG585" s="112" t="s">
        <v>1066</v>
      </c>
      <c r="AH585" s="112" t="s">
        <v>1066</v>
      </c>
      <c r="AI585" s="112" t="s">
        <v>785</v>
      </c>
      <c r="AJ585" s="112">
        <v>8674111</v>
      </c>
      <c r="AK585" s="112" t="s">
        <v>1344</v>
      </c>
      <c r="AL585" s="112">
        <v>801776</v>
      </c>
      <c r="AM585" s="112" t="s">
        <v>1066</v>
      </c>
      <c r="AN585" s="112" t="s">
        <v>1066</v>
      </c>
    </row>
    <row r="586" spans="1:40" ht="55.5" customHeight="1" x14ac:dyDescent="0.25">
      <c r="A586" s="111" t="s">
        <v>3247</v>
      </c>
      <c r="B586" s="112">
        <v>2026</v>
      </c>
      <c r="C586" s="112" t="s">
        <v>1213</v>
      </c>
      <c r="D586" s="113">
        <v>46122.549942129626</v>
      </c>
      <c r="E586" s="112">
        <v>7925734195</v>
      </c>
      <c r="F586" s="112" t="s">
        <v>170</v>
      </c>
      <c r="G586" s="112">
        <v>3</v>
      </c>
      <c r="H586" s="112">
        <v>7925734195</v>
      </c>
      <c r="I586" s="112" t="s">
        <v>2171</v>
      </c>
      <c r="J586" s="112" t="s">
        <v>1066</v>
      </c>
      <c r="K586" s="112" t="s">
        <v>1125</v>
      </c>
      <c r="L586" s="112" t="s">
        <v>1061</v>
      </c>
      <c r="M586" s="112" t="s">
        <v>478</v>
      </c>
      <c r="N586" s="113">
        <v>46522.549942129626</v>
      </c>
      <c r="O586" s="114">
        <v>19002206169</v>
      </c>
      <c r="P586" s="112">
        <v>1.617</v>
      </c>
      <c r="Q586" s="112" t="s">
        <v>1062</v>
      </c>
      <c r="R586" s="112" t="s">
        <v>1063</v>
      </c>
      <c r="S586" s="113">
        <v>46141.729166666664</v>
      </c>
      <c r="T586" s="112" t="s">
        <v>3248</v>
      </c>
      <c r="U586" s="112" t="s">
        <v>1065</v>
      </c>
      <c r="V586" s="112" t="s">
        <v>1066</v>
      </c>
      <c r="W586" s="112" t="s">
        <v>1066</v>
      </c>
      <c r="X586" s="112" t="s">
        <v>1066</v>
      </c>
      <c r="Y586" s="112" t="s">
        <v>1066</v>
      </c>
      <c r="Z586" s="112" t="s">
        <v>1066</v>
      </c>
      <c r="AA586" s="112" t="s">
        <v>1067</v>
      </c>
      <c r="AB586" s="112" t="s">
        <v>1066</v>
      </c>
      <c r="AC586" s="112" t="s">
        <v>92</v>
      </c>
      <c r="AD586" s="112" t="s">
        <v>1066</v>
      </c>
      <c r="AE586" s="112" t="s">
        <v>1066</v>
      </c>
      <c r="AF586" s="112" t="s">
        <v>1066</v>
      </c>
      <c r="AG586" s="112" t="s">
        <v>1066</v>
      </c>
      <c r="AH586" s="112" t="s">
        <v>1066</v>
      </c>
      <c r="AI586" s="112" t="s">
        <v>785</v>
      </c>
      <c r="AJ586" s="112">
        <v>9017887</v>
      </c>
      <c r="AK586" s="112" t="s">
        <v>169</v>
      </c>
      <c r="AL586" s="112">
        <v>889195</v>
      </c>
      <c r="AM586" s="112" t="s">
        <v>1066</v>
      </c>
      <c r="AN586" s="112" t="s">
        <v>1066</v>
      </c>
    </row>
    <row r="587" spans="1:40" ht="55.5" customHeight="1" x14ac:dyDescent="0.25">
      <c r="A587" s="120" t="s">
        <v>3249</v>
      </c>
      <c r="B587" s="121">
        <v>2026</v>
      </c>
      <c r="C587" s="121" t="s">
        <v>3103</v>
      </c>
      <c r="D587" s="122">
        <v>46141.654108796298</v>
      </c>
      <c r="E587" s="121">
        <v>8800080025</v>
      </c>
      <c r="F587" s="121" t="s">
        <v>95</v>
      </c>
      <c r="G587" s="121">
        <v>2</v>
      </c>
      <c r="H587" s="121">
        <v>5857855025</v>
      </c>
      <c r="I587" s="121" t="s">
        <v>3250</v>
      </c>
      <c r="J587" s="121" t="s">
        <v>1071</v>
      </c>
      <c r="K587" s="121" t="s">
        <v>1171</v>
      </c>
      <c r="L587" s="121" t="s">
        <v>1073</v>
      </c>
      <c r="M587" s="121" t="s">
        <v>1116</v>
      </c>
      <c r="N587" s="122">
        <v>46144.654108796298</v>
      </c>
      <c r="O587" s="123">
        <v>19002770938</v>
      </c>
      <c r="P587" s="121">
        <v>542</v>
      </c>
      <c r="Q587" s="121" t="s">
        <v>1074</v>
      </c>
      <c r="R587" s="121" t="s">
        <v>1263</v>
      </c>
      <c r="S587" s="122">
        <v>46147.393935185188</v>
      </c>
      <c r="T587" s="121" t="s">
        <v>1066</v>
      </c>
      <c r="U587" s="121" t="s">
        <v>1066</v>
      </c>
      <c r="V587" s="121" t="s">
        <v>1066</v>
      </c>
      <c r="W587" s="121" t="s">
        <v>1066</v>
      </c>
      <c r="X587" s="121" t="s">
        <v>3101</v>
      </c>
      <c r="Y587" s="121" t="s">
        <v>1066</v>
      </c>
      <c r="Z587" s="121" t="s">
        <v>1479</v>
      </c>
      <c r="AA587" s="121" t="s">
        <v>1067</v>
      </c>
      <c r="AB587" s="121" t="s">
        <v>1066</v>
      </c>
      <c r="AC587" s="121" t="s">
        <v>92</v>
      </c>
      <c r="AD587" s="121" t="s">
        <v>1066</v>
      </c>
      <c r="AE587" s="121" t="s">
        <v>1066</v>
      </c>
      <c r="AF587" s="121" t="s">
        <v>1066</v>
      </c>
      <c r="AG587" s="121" t="s">
        <v>1066</v>
      </c>
      <c r="AH587" s="121" t="s">
        <v>1066</v>
      </c>
      <c r="AI587" s="121" t="s">
        <v>785</v>
      </c>
      <c r="AJ587" s="121">
        <v>9153621</v>
      </c>
      <c r="AK587" s="121" t="s">
        <v>93</v>
      </c>
      <c r="AL587" s="121">
        <v>730841</v>
      </c>
      <c r="AM587" s="121" t="s">
        <v>1066</v>
      </c>
      <c r="AN587" s="121" t="s">
        <v>1066</v>
      </c>
    </row>
    <row r="588" spans="1:40" ht="55.5" customHeight="1" x14ac:dyDescent="0.25">
      <c r="A588" s="111" t="s">
        <v>3251</v>
      </c>
      <c r="B588" s="112">
        <v>2026</v>
      </c>
      <c r="C588" s="112" t="s">
        <v>3252</v>
      </c>
      <c r="D588" s="113">
        <v>46029.402372685188</v>
      </c>
      <c r="E588" s="112">
        <v>9001472023</v>
      </c>
      <c r="F588" s="112" t="s">
        <v>2596</v>
      </c>
      <c r="G588" s="112">
        <v>2</v>
      </c>
      <c r="H588" s="112">
        <v>7929033023</v>
      </c>
      <c r="I588" s="112" t="s">
        <v>3253</v>
      </c>
      <c r="J588" s="112" t="s">
        <v>1071</v>
      </c>
      <c r="K588" s="112" t="s">
        <v>1918</v>
      </c>
      <c r="L588" s="112" t="s">
        <v>1073</v>
      </c>
      <c r="M588" s="112" t="s">
        <v>478</v>
      </c>
      <c r="N588" s="113">
        <v>46032.402372685188</v>
      </c>
      <c r="O588" s="114">
        <v>19001284021</v>
      </c>
      <c r="P588" s="112">
        <v>1.8759999999999999</v>
      </c>
      <c r="Q588" s="112" t="s">
        <v>1131</v>
      </c>
      <c r="R588" s="112" t="s">
        <v>1297</v>
      </c>
      <c r="S588" s="113">
        <v>46042.341666666667</v>
      </c>
      <c r="T588" s="112" t="s">
        <v>3254</v>
      </c>
      <c r="U588" s="112" t="s">
        <v>1065</v>
      </c>
      <c r="V588" s="112" t="s">
        <v>1066</v>
      </c>
      <c r="W588" s="112" t="s">
        <v>1066</v>
      </c>
      <c r="X588" s="112" t="s">
        <v>983</v>
      </c>
      <c r="Y588" s="112" t="s">
        <v>1066</v>
      </c>
      <c r="Z588" s="112" t="s">
        <v>1174</v>
      </c>
      <c r="AA588" s="112" t="s">
        <v>1067</v>
      </c>
      <c r="AB588" s="112" t="s">
        <v>1066</v>
      </c>
      <c r="AC588" s="112" t="s">
        <v>92</v>
      </c>
      <c r="AD588" s="112" t="s">
        <v>1142</v>
      </c>
      <c r="AE588" s="112" t="s">
        <v>1066</v>
      </c>
      <c r="AF588" s="112" t="s">
        <v>1066</v>
      </c>
      <c r="AG588" s="112" t="s">
        <v>1066</v>
      </c>
      <c r="AH588" s="112" t="s">
        <v>1066</v>
      </c>
      <c r="AI588" s="112" t="s">
        <v>785</v>
      </c>
      <c r="AJ588" s="112">
        <v>9109144</v>
      </c>
      <c r="AK588" s="112" t="s">
        <v>94</v>
      </c>
      <c r="AL588" s="112">
        <v>776567</v>
      </c>
      <c r="AM588" s="112" t="s">
        <v>1066</v>
      </c>
      <c r="AN588" s="112" t="s">
        <v>1066</v>
      </c>
    </row>
    <row r="589" spans="1:40" ht="55.5" customHeight="1" x14ac:dyDescent="0.25">
      <c r="A589" s="111" t="s">
        <v>3255</v>
      </c>
      <c r="B589" s="112">
        <v>2026</v>
      </c>
      <c r="C589" s="112" t="s">
        <v>3256</v>
      </c>
      <c r="D589" s="113">
        <v>46126.891550925924</v>
      </c>
      <c r="E589" s="112">
        <v>7954632001</v>
      </c>
      <c r="F589" s="112" t="s">
        <v>229</v>
      </c>
      <c r="G589" s="112">
        <v>3</v>
      </c>
      <c r="H589" s="112">
        <v>7954632001</v>
      </c>
      <c r="I589" s="112" t="s">
        <v>3257</v>
      </c>
      <c r="J589" s="112" t="s">
        <v>1071</v>
      </c>
      <c r="K589" s="112" t="s">
        <v>1323</v>
      </c>
      <c r="L589" s="112" t="s">
        <v>1073</v>
      </c>
      <c r="M589" s="112" t="s">
        <v>478</v>
      </c>
      <c r="N589" s="113">
        <v>46129.891550925924</v>
      </c>
      <c r="O589" s="114">
        <v>19002731251</v>
      </c>
      <c r="P589" s="112">
        <v>93</v>
      </c>
      <c r="Q589" s="112" t="s">
        <v>1062</v>
      </c>
      <c r="R589" s="112" t="s">
        <v>1075</v>
      </c>
      <c r="S589" s="113">
        <v>46160.65625</v>
      </c>
      <c r="T589" s="112" t="s">
        <v>3258</v>
      </c>
      <c r="U589" s="112" t="s">
        <v>1065</v>
      </c>
      <c r="V589" s="112" t="s">
        <v>1066</v>
      </c>
      <c r="W589" s="112" t="s">
        <v>1066</v>
      </c>
      <c r="X589" s="112" t="s">
        <v>1117</v>
      </c>
      <c r="Y589" s="112" t="s">
        <v>1066</v>
      </c>
      <c r="Z589" s="112" t="s">
        <v>1409</v>
      </c>
      <c r="AA589" s="112" t="s">
        <v>1067</v>
      </c>
      <c r="AB589" s="112" t="s">
        <v>1066</v>
      </c>
      <c r="AC589" s="112" t="s">
        <v>92</v>
      </c>
      <c r="AD589" s="112" t="s">
        <v>1066</v>
      </c>
      <c r="AE589" s="112" t="s">
        <v>1066</v>
      </c>
      <c r="AF589" s="112" t="s">
        <v>1066</v>
      </c>
      <c r="AG589" s="112" t="s">
        <v>1066</v>
      </c>
      <c r="AH589" s="112" t="s">
        <v>1066</v>
      </c>
      <c r="AI589" s="112" t="s">
        <v>785</v>
      </c>
      <c r="AJ589" s="112">
        <v>8839876</v>
      </c>
      <c r="AK589" s="112" t="s">
        <v>50</v>
      </c>
      <c r="AL589" s="112">
        <v>746846</v>
      </c>
      <c r="AM589" s="112" t="s">
        <v>1066</v>
      </c>
      <c r="AN589" s="112" t="s">
        <v>1066</v>
      </c>
    </row>
    <row r="590" spans="1:40" ht="55.5" customHeight="1" x14ac:dyDescent="0.25">
      <c r="A590" s="111" t="s">
        <v>3259</v>
      </c>
      <c r="B590" s="112">
        <v>2026</v>
      </c>
      <c r="C590" s="112" t="s">
        <v>3260</v>
      </c>
      <c r="D590" s="113">
        <v>46024.466319444444</v>
      </c>
      <c r="E590" s="112">
        <v>9004339001</v>
      </c>
      <c r="F590" s="112" t="s">
        <v>423</v>
      </c>
      <c r="G590" s="112">
        <v>2</v>
      </c>
      <c r="H590" s="112">
        <v>7904278001</v>
      </c>
      <c r="I590" s="112" t="s">
        <v>3261</v>
      </c>
      <c r="J590" s="112" t="s">
        <v>1071</v>
      </c>
      <c r="K590" s="112" t="s">
        <v>1323</v>
      </c>
      <c r="L590" s="112" t="s">
        <v>1073</v>
      </c>
      <c r="M590" s="112" t="s">
        <v>478</v>
      </c>
      <c r="N590" s="113">
        <v>46027.466319444444</v>
      </c>
      <c r="O590" s="114">
        <v>19000111475</v>
      </c>
      <c r="P590" s="112">
        <v>27</v>
      </c>
      <c r="Q590" s="112" t="s">
        <v>1131</v>
      </c>
      <c r="R590" s="112" t="s">
        <v>1075</v>
      </c>
      <c r="S590" s="113">
        <v>46042.73097222222</v>
      </c>
      <c r="T590" s="112" t="s">
        <v>3262</v>
      </c>
      <c r="U590" s="112" t="s">
        <v>1065</v>
      </c>
      <c r="V590" s="112" t="s">
        <v>1066</v>
      </c>
      <c r="W590" s="112" t="s">
        <v>1066</v>
      </c>
      <c r="X590" s="112" t="s">
        <v>1117</v>
      </c>
      <c r="Y590" s="112" t="s">
        <v>1066</v>
      </c>
      <c r="Z590" s="112" t="s">
        <v>1148</v>
      </c>
      <c r="AA590" s="112" t="s">
        <v>1067</v>
      </c>
      <c r="AB590" s="112" t="s">
        <v>1066</v>
      </c>
      <c r="AC590" s="112" t="s">
        <v>92</v>
      </c>
      <c r="AD590" s="112" t="s">
        <v>1142</v>
      </c>
      <c r="AE590" s="112" t="s">
        <v>1066</v>
      </c>
      <c r="AF590" s="112" t="s">
        <v>1066</v>
      </c>
      <c r="AG590" s="112" t="s">
        <v>1066</v>
      </c>
      <c r="AH590" s="112" t="s">
        <v>1066</v>
      </c>
      <c r="AI590" s="112" t="s">
        <v>785</v>
      </c>
      <c r="AJ590" s="112">
        <v>8811019</v>
      </c>
      <c r="AK590" s="112" t="s">
        <v>50</v>
      </c>
      <c r="AL590" s="112">
        <v>777996</v>
      </c>
      <c r="AM590" s="112" t="s">
        <v>1066</v>
      </c>
      <c r="AN590" s="112" t="s">
        <v>1066</v>
      </c>
    </row>
    <row r="591" spans="1:40" ht="55.5" customHeight="1" x14ac:dyDescent="0.25">
      <c r="A591" s="111" t="s">
        <v>3263</v>
      </c>
      <c r="B591" s="112">
        <v>2026</v>
      </c>
      <c r="C591" s="112" t="s">
        <v>3264</v>
      </c>
      <c r="D591" s="113">
        <v>46031.757418981484</v>
      </c>
      <c r="E591" s="112">
        <v>8800267003</v>
      </c>
      <c r="F591" s="112" t="s">
        <v>1906</v>
      </c>
      <c r="G591" s="112">
        <v>1</v>
      </c>
      <c r="H591" s="112">
        <v>7915030003</v>
      </c>
      <c r="I591" s="112" t="s">
        <v>3265</v>
      </c>
      <c r="J591" s="112" t="s">
        <v>1071</v>
      </c>
      <c r="K591" s="112" t="s">
        <v>1171</v>
      </c>
      <c r="L591" s="112" t="s">
        <v>1073</v>
      </c>
      <c r="M591" s="112" t="s">
        <v>478</v>
      </c>
      <c r="N591" s="113">
        <v>46034.757418981484</v>
      </c>
      <c r="O591" s="114">
        <v>19000077467</v>
      </c>
      <c r="P591" s="112">
        <v>250</v>
      </c>
      <c r="Q591" s="112" t="s">
        <v>1131</v>
      </c>
      <c r="R591" s="112" t="s">
        <v>1075</v>
      </c>
      <c r="S591" s="113">
        <v>46055.715358796297</v>
      </c>
      <c r="T591" s="112" t="s">
        <v>3266</v>
      </c>
      <c r="U591" s="112" t="s">
        <v>1065</v>
      </c>
      <c r="V591" s="112" t="s">
        <v>1066</v>
      </c>
      <c r="W591" s="112" t="s">
        <v>1066</v>
      </c>
      <c r="X591" s="112" t="s">
        <v>1117</v>
      </c>
      <c r="Y591" s="112" t="s">
        <v>1066</v>
      </c>
      <c r="Z591" s="112" t="s">
        <v>1174</v>
      </c>
      <c r="AA591" s="112" t="s">
        <v>1067</v>
      </c>
      <c r="AB591" s="112" t="s">
        <v>1066</v>
      </c>
      <c r="AC591" s="112" t="s">
        <v>92</v>
      </c>
      <c r="AD591" s="112" t="s">
        <v>1142</v>
      </c>
      <c r="AE591" s="112" t="s">
        <v>1066</v>
      </c>
      <c r="AF591" s="112" t="s">
        <v>1066</v>
      </c>
      <c r="AG591" s="112" t="s">
        <v>1066</v>
      </c>
      <c r="AH591" s="112" t="s">
        <v>1066</v>
      </c>
      <c r="AI591" s="112" t="s">
        <v>785</v>
      </c>
      <c r="AJ591" s="112">
        <v>8700208</v>
      </c>
      <c r="AK591" s="112" t="s">
        <v>210</v>
      </c>
      <c r="AL591" s="112">
        <v>707189</v>
      </c>
      <c r="AM591" s="112" t="s">
        <v>1066</v>
      </c>
      <c r="AN591" s="112" t="s">
        <v>1066</v>
      </c>
    </row>
    <row r="592" spans="1:40" ht="55.5" customHeight="1" x14ac:dyDescent="0.25">
      <c r="A592" s="111" t="s">
        <v>3267</v>
      </c>
      <c r="B592" s="112">
        <v>2026</v>
      </c>
      <c r="C592" s="112" t="s">
        <v>1213</v>
      </c>
      <c r="D592" s="113">
        <v>46122.549942129626</v>
      </c>
      <c r="E592" s="112">
        <v>7900930040</v>
      </c>
      <c r="F592" s="112" t="s">
        <v>3268</v>
      </c>
      <c r="G592" s="112">
        <v>3</v>
      </c>
      <c r="H592" s="112">
        <v>7900930040</v>
      </c>
      <c r="I592" s="112" t="s">
        <v>3269</v>
      </c>
      <c r="J592" s="112" t="s">
        <v>1066</v>
      </c>
      <c r="K592" s="112" t="s">
        <v>1125</v>
      </c>
      <c r="L592" s="112" t="s">
        <v>1061</v>
      </c>
      <c r="M592" s="112" t="s">
        <v>478</v>
      </c>
      <c r="N592" s="113">
        <v>46522.549942129626</v>
      </c>
      <c r="O592" s="114">
        <v>19002805776</v>
      </c>
      <c r="P592" s="112">
        <v>1.05</v>
      </c>
      <c r="Q592" s="112" t="s">
        <v>1062</v>
      </c>
      <c r="R592" s="112" t="s">
        <v>1063</v>
      </c>
      <c r="S592" s="113">
        <v>46134.601388888892</v>
      </c>
      <c r="T592" s="112" t="s">
        <v>3270</v>
      </c>
      <c r="U592" s="112" t="s">
        <v>1065</v>
      </c>
      <c r="V592" s="112" t="s">
        <v>1066</v>
      </c>
      <c r="W592" s="112" t="s">
        <v>1066</v>
      </c>
      <c r="X592" s="112" t="s">
        <v>1066</v>
      </c>
      <c r="Y592" s="112" t="s">
        <v>1066</v>
      </c>
      <c r="Z592" s="112" t="s">
        <v>1066</v>
      </c>
      <c r="AA592" s="112" t="s">
        <v>1067</v>
      </c>
      <c r="AB592" s="112" t="s">
        <v>1066</v>
      </c>
      <c r="AC592" s="112" t="s">
        <v>92</v>
      </c>
      <c r="AD592" s="112" t="s">
        <v>1066</v>
      </c>
      <c r="AE592" s="112" t="s">
        <v>1066</v>
      </c>
      <c r="AF592" s="112" t="s">
        <v>1066</v>
      </c>
      <c r="AG592" s="112" t="s">
        <v>1066</v>
      </c>
      <c r="AH592" s="112" t="s">
        <v>1066</v>
      </c>
      <c r="AI592" s="112" t="s">
        <v>785</v>
      </c>
      <c r="AJ592" s="112">
        <v>9206958</v>
      </c>
      <c r="AK592" s="112" t="s">
        <v>521</v>
      </c>
      <c r="AL592" s="112">
        <v>773355</v>
      </c>
      <c r="AM592" s="112" t="s">
        <v>1066</v>
      </c>
      <c r="AN592" s="112" t="s">
        <v>1066</v>
      </c>
    </row>
    <row r="593" spans="1:40" ht="55.5" customHeight="1" x14ac:dyDescent="0.25">
      <c r="A593" s="111" t="s">
        <v>3271</v>
      </c>
      <c r="B593" s="112">
        <v>2026</v>
      </c>
      <c r="C593" s="112" t="s">
        <v>3272</v>
      </c>
      <c r="D593" s="113">
        <v>46130.419340277775</v>
      </c>
      <c r="E593" s="112">
        <v>8800158109</v>
      </c>
      <c r="F593" s="112" t="s">
        <v>351</v>
      </c>
      <c r="G593" s="112">
        <v>2</v>
      </c>
      <c r="H593" s="112">
        <v>7949650109</v>
      </c>
      <c r="I593" s="112" t="s">
        <v>3273</v>
      </c>
      <c r="J593" s="112" t="s">
        <v>1071</v>
      </c>
      <c r="K593" s="112" t="s">
        <v>1994</v>
      </c>
      <c r="L593" s="112" t="s">
        <v>1073</v>
      </c>
      <c r="M593" s="112" t="s">
        <v>478</v>
      </c>
      <c r="N593" s="113">
        <v>46133.419340277775</v>
      </c>
      <c r="O593" s="114">
        <v>19002640322</v>
      </c>
      <c r="P593" s="112">
        <v>6.5519999999999996</v>
      </c>
      <c r="Q593" s="112" t="s">
        <v>1131</v>
      </c>
      <c r="R593" s="112" t="s">
        <v>1324</v>
      </c>
      <c r="S593" s="113">
        <v>46140.403981481482</v>
      </c>
      <c r="T593" s="112" t="s">
        <v>3274</v>
      </c>
      <c r="U593" s="112" t="s">
        <v>1065</v>
      </c>
      <c r="V593" s="112" t="s">
        <v>1066</v>
      </c>
      <c r="W593" s="112" t="s">
        <v>1066</v>
      </c>
      <c r="X593" s="112" t="s">
        <v>1148</v>
      </c>
      <c r="Y593" s="112" t="s">
        <v>1066</v>
      </c>
      <c r="Z593" s="112" t="s">
        <v>1148</v>
      </c>
      <c r="AA593" s="112" t="s">
        <v>1067</v>
      </c>
      <c r="AB593" s="112" t="s">
        <v>1066</v>
      </c>
      <c r="AC593" s="112" t="s">
        <v>92</v>
      </c>
      <c r="AD593" s="112" t="s">
        <v>1066</v>
      </c>
      <c r="AE593" s="112" t="s">
        <v>1066</v>
      </c>
      <c r="AF593" s="112" t="s">
        <v>1066</v>
      </c>
      <c r="AG593" s="112" t="s">
        <v>1066</v>
      </c>
      <c r="AH593" s="112" t="s">
        <v>1066</v>
      </c>
      <c r="AI593" s="112" t="s">
        <v>785</v>
      </c>
      <c r="AJ593" s="112">
        <v>9292950</v>
      </c>
      <c r="AK593" s="112" t="s">
        <v>1216</v>
      </c>
      <c r="AL593" s="112">
        <v>846292</v>
      </c>
      <c r="AM593" s="112" t="s">
        <v>1066</v>
      </c>
      <c r="AN593" s="112" t="s">
        <v>1066</v>
      </c>
    </row>
    <row r="594" spans="1:40" ht="55.5" customHeight="1" x14ac:dyDescent="0.25">
      <c r="A594" s="120" t="s">
        <v>3275</v>
      </c>
      <c r="B594" s="121">
        <v>2026</v>
      </c>
      <c r="C594" s="121" t="s">
        <v>3276</v>
      </c>
      <c r="D594" s="122">
        <v>46038.819409722222</v>
      </c>
      <c r="E594" s="121">
        <v>9000732193</v>
      </c>
      <c r="F594" s="121" t="s">
        <v>370</v>
      </c>
      <c r="G594" s="121">
        <v>2</v>
      </c>
      <c r="H594" s="121">
        <v>7942731193</v>
      </c>
      <c r="I594" s="121" t="s">
        <v>1828</v>
      </c>
      <c r="J594" s="121" t="s">
        <v>1071</v>
      </c>
      <c r="K594" s="121" t="s">
        <v>1605</v>
      </c>
      <c r="L594" s="121" t="s">
        <v>1073</v>
      </c>
      <c r="M594" s="121" t="s">
        <v>1116</v>
      </c>
      <c r="N594" s="122">
        <v>46041.819409722222</v>
      </c>
      <c r="O594" s="123">
        <v>19002498569</v>
      </c>
      <c r="P594" s="121">
        <v>3.1669999999999998</v>
      </c>
      <c r="Q594" s="121" t="s">
        <v>1131</v>
      </c>
      <c r="R594" s="121" t="s">
        <v>1075</v>
      </c>
      <c r="S594" s="122">
        <v>46056.650358796294</v>
      </c>
      <c r="T594" s="121" t="s">
        <v>1066</v>
      </c>
      <c r="U594" s="121" t="s">
        <v>1066</v>
      </c>
      <c r="V594" s="121" t="s">
        <v>1066</v>
      </c>
      <c r="W594" s="121" t="s">
        <v>1066</v>
      </c>
      <c r="X594" s="121" t="s">
        <v>983</v>
      </c>
      <c r="Y594" s="121" t="s">
        <v>1066</v>
      </c>
      <c r="Z594" s="121" t="s">
        <v>1078</v>
      </c>
      <c r="AA594" s="121" t="s">
        <v>1067</v>
      </c>
      <c r="AB594" s="121" t="s">
        <v>1066</v>
      </c>
      <c r="AC594" s="121" t="s">
        <v>92</v>
      </c>
      <c r="AD594" s="121" t="s">
        <v>1066</v>
      </c>
      <c r="AE594" s="121" t="s">
        <v>1066</v>
      </c>
      <c r="AF594" s="121" t="s">
        <v>1066</v>
      </c>
      <c r="AG594" s="121" t="s">
        <v>1066</v>
      </c>
      <c r="AH594" s="121" t="s">
        <v>1066</v>
      </c>
      <c r="AI594" s="121" t="s">
        <v>785</v>
      </c>
      <c r="AJ594" s="121">
        <v>9102000</v>
      </c>
      <c r="AK594" s="121" t="s">
        <v>369</v>
      </c>
      <c r="AL594" s="121">
        <v>979032</v>
      </c>
      <c r="AM594" s="121" t="s">
        <v>1066</v>
      </c>
      <c r="AN594" s="121" t="s">
        <v>1066</v>
      </c>
    </row>
    <row r="595" spans="1:40" ht="55.5" customHeight="1" x14ac:dyDescent="0.25">
      <c r="A595" s="111" t="s">
        <v>3277</v>
      </c>
      <c r="B595" s="112">
        <v>2026</v>
      </c>
      <c r="C595" s="112" t="s">
        <v>1057</v>
      </c>
      <c r="D595" s="113">
        <v>46125.584386574075</v>
      </c>
      <c r="E595" s="112">
        <v>7925087021</v>
      </c>
      <c r="F595" s="112" t="s">
        <v>225</v>
      </c>
      <c r="G595" s="112">
        <v>1</v>
      </c>
      <c r="H595" s="112">
        <v>7925087021</v>
      </c>
      <c r="I595" s="112" t="s">
        <v>3278</v>
      </c>
      <c r="J595" s="112" t="s">
        <v>1066</v>
      </c>
      <c r="K595" s="112" t="s">
        <v>1125</v>
      </c>
      <c r="L595" s="112" t="s">
        <v>1061</v>
      </c>
      <c r="M595" s="112" t="s">
        <v>478</v>
      </c>
      <c r="N595" s="113">
        <v>46525.584386574075</v>
      </c>
      <c r="O595" s="114">
        <v>19002220188</v>
      </c>
      <c r="P595" s="112">
        <v>211</v>
      </c>
      <c r="Q595" s="112" t="s">
        <v>1062</v>
      </c>
      <c r="R595" s="112" t="s">
        <v>1063</v>
      </c>
      <c r="S595" s="113">
        <v>46176.56759259259</v>
      </c>
      <c r="T595" s="112" t="s">
        <v>3279</v>
      </c>
      <c r="U595" s="112" t="s">
        <v>1065</v>
      </c>
      <c r="V595" s="112" t="s">
        <v>1066</v>
      </c>
      <c r="W595" s="112" t="s">
        <v>1066</v>
      </c>
      <c r="X595" s="112" t="s">
        <v>1066</v>
      </c>
      <c r="Y595" s="112" t="s">
        <v>1066</v>
      </c>
      <c r="Z595" s="112" t="s">
        <v>1066</v>
      </c>
      <c r="AA595" s="112" t="s">
        <v>1067</v>
      </c>
      <c r="AB595" s="112" t="s">
        <v>1066</v>
      </c>
      <c r="AC595" s="112" t="s">
        <v>92</v>
      </c>
      <c r="AD595" s="112" t="s">
        <v>1066</v>
      </c>
      <c r="AE595" s="112" t="s">
        <v>1066</v>
      </c>
      <c r="AF595" s="112" t="s">
        <v>1066</v>
      </c>
      <c r="AG595" s="112" t="s">
        <v>1066</v>
      </c>
      <c r="AH595" s="112" t="s">
        <v>1066</v>
      </c>
      <c r="AI595" s="112" t="s">
        <v>785</v>
      </c>
      <c r="AJ595" s="112">
        <v>8629048</v>
      </c>
      <c r="AK595" s="112" t="s">
        <v>223</v>
      </c>
      <c r="AL595" s="112">
        <v>852524</v>
      </c>
      <c r="AM595" s="112" t="s">
        <v>1066</v>
      </c>
      <c r="AN595" s="112" t="s">
        <v>1066</v>
      </c>
    </row>
    <row r="596" spans="1:40" ht="55.5" customHeight="1" x14ac:dyDescent="0.25">
      <c r="A596" s="111" t="s">
        <v>3280</v>
      </c>
      <c r="B596" s="112">
        <v>2026</v>
      </c>
      <c r="C596" s="112" t="s">
        <v>1251</v>
      </c>
      <c r="D596" s="113">
        <v>46031.603807870371</v>
      </c>
      <c r="E596" s="112">
        <v>7937108003</v>
      </c>
      <c r="F596" s="112" t="s">
        <v>1189</v>
      </c>
      <c r="G596" s="112">
        <v>3</v>
      </c>
      <c r="H596" s="112">
        <v>7937108003</v>
      </c>
      <c r="I596" s="112" t="s">
        <v>3281</v>
      </c>
      <c r="J596" s="112" t="s">
        <v>1059</v>
      </c>
      <c r="K596" s="112" t="s">
        <v>1060</v>
      </c>
      <c r="L596" s="112" t="s">
        <v>1061</v>
      </c>
      <c r="M596" s="112" t="s">
        <v>478</v>
      </c>
      <c r="N596" s="113">
        <v>46431.603807870371</v>
      </c>
      <c r="O596" s="114">
        <v>19002208232</v>
      </c>
      <c r="P596" s="112">
        <v>0</v>
      </c>
      <c r="Q596" s="112" t="s">
        <v>1062</v>
      </c>
      <c r="R596" s="112" t="s">
        <v>1063</v>
      </c>
      <c r="S596" s="113">
        <v>46031.729166666664</v>
      </c>
      <c r="T596" s="112" t="s">
        <v>1253</v>
      </c>
      <c r="U596" s="112" t="s">
        <v>1065</v>
      </c>
      <c r="V596" s="112" t="s">
        <v>1066</v>
      </c>
      <c r="W596" s="112" t="s">
        <v>1066</v>
      </c>
      <c r="X596" s="112" t="s">
        <v>1066</v>
      </c>
      <c r="Y596" s="112" t="s">
        <v>1066</v>
      </c>
      <c r="Z596" s="112" t="s">
        <v>1066</v>
      </c>
      <c r="AA596" s="112" t="s">
        <v>1067</v>
      </c>
      <c r="AB596" s="112" t="s">
        <v>1066</v>
      </c>
      <c r="AC596" s="112" t="s">
        <v>92</v>
      </c>
      <c r="AD596" s="112" t="s">
        <v>1066</v>
      </c>
      <c r="AE596" s="112" t="s">
        <v>1066</v>
      </c>
      <c r="AF596" s="112" t="s">
        <v>1066</v>
      </c>
      <c r="AG596" s="112" t="s">
        <v>1066</v>
      </c>
      <c r="AH596" s="112" t="s">
        <v>1066</v>
      </c>
      <c r="AI596" s="112" t="s">
        <v>785</v>
      </c>
      <c r="AJ596" s="112">
        <v>8703280</v>
      </c>
      <c r="AK596" s="112" t="s">
        <v>210</v>
      </c>
      <c r="AL596" s="112">
        <v>710083</v>
      </c>
      <c r="AM596" s="112" t="s">
        <v>1066</v>
      </c>
      <c r="AN596" s="112" t="s">
        <v>1066</v>
      </c>
    </row>
    <row r="597" spans="1:40" ht="55.5" customHeight="1" x14ac:dyDescent="0.25">
      <c r="A597" s="111" t="s">
        <v>3282</v>
      </c>
      <c r="B597" s="112">
        <v>2026</v>
      </c>
      <c r="C597" s="112" t="s">
        <v>1210</v>
      </c>
      <c r="D597" s="113">
        <v>46114.608900462961</v>
      </c>
      <c r="E597" s="112">
        <v>7955804021</v>
      </c>
      <c r="F597" s="112" t="s">
        <v>225</v>
      </c>
      <c r="G597" s="112">
        <v>2</v>
      </c>
      <c r="H597" s="112">
        <v>7955804021</v>
      </c>
      <c r="I597" s="112" t="s">
        <v>3283</v>
      </c>
      <c r="J597" s="112" t="s">
        <v>1066</v>
      </c>
      <c r="K597" s="112" t="s">
        <v>1125</v>
      </c>
      <c r="L597" s="112" t="s">
        <v>1061</v>
      </c>
      <c r="M597" s="112" t="s">
        <v>478</v>
      </c>
      <c r="N597" s="113">
        <v>46514.608900462961</v>
      </c>
      <c r="O597" s="114">
        <v>19002744494</v>
      </c>
      <c r="P597" s="112">
        <v>2.0270000000000001</v>
      </c>
      <c r="Q597" s="112" t="s">
        <v>1062</v>
      </c>
      <c r="R597" s="112" t="s">
        <v>1063</v>
      </c>
      <c r="S597" s="113">
        <v>46239.479826388888</v>
      </c>
      <c r="T597" s="112" t="s">
        <v>3284</v>
      </c>
      <c r="U597" s="112" t="s">
        <v>1065</v>
      </c>
      <c r="V597" s="112" t="s">
        <v>1066</v>
      </c>
      <c r="W597" s="112" t="s">
        <v>1066</v>
      </c>
      <c r="X597" s="112" t="s">
        <v>1066</v>
      </c>
      <c r="Y597" s="112" t="s">
        <v>1066</v>
      </c>
      <c r="Z597" s="112" t="s">
        <v>1066</v>
      </c>
      <c r="AA597" s="112" t="s">
        <v>1067</v>
      </c>
      <c r="AB597" s="112" t="s">
        <v>1066</v>
      </c>
      <c r="AC597" s="112" t="s">
        <v>92</v>
      </c>
      <c r="AD597" s="112" t="s">
        <v>1066</v>
      </c>
      <c r="AE597" s="112" t="s">
        <v>1066</v>
      </c>
      <c r="AF597" s="112" t="s">
        <v>1066</v>
      </c>
      <c r="AG597" s="112" t="s">
        <v>1066</v>
      </c>
      <c r="AH597" s="112" t="s">
        <v>1066</v>
      </c>
      <c r="AI597" s="112" t="s">
        <v>785</v>
      </c>
      <c r="AJ597" s="112">
        <v>8645515</v>
      </c>
      <c r="AK597" s="112" t="s">
        <v>223</v>
      </c>
      <c r="AL597" s="112">
        <v>875244</v>
      </c>
      <c r="AM597" s="112" t="s">
        <v>1066</v>
      </c>
      <c r="AN597" s="112" t="s">
        <v>1066</v>
      </c>
    </row>
    <row r="598" spans="1:40" ht="55.5" customHeight="1" x14ac:dyDescent="0.25">
      <c r="A598" s="111" t="s">
        <v>3285</v>
      </c>
      <c r="B598" s="112">
        <v>2026</v>
      </c>
      <c r="C598" s="112" t="s">
        <v>3286</v>
      </c>
      <c r="D598" s="113">
        <v>46126.894120370373</v>
      </c>
      <c r="E598" s="112">
        <v>7910410013</v>
      </c>
      <c r="F598" s="112" t="s">
        <v>229</v>
      </c>
      <c r="G598" s="112">
        <v>2</v>
      </c>
      <c r="H598" s="112">
        <v>7910410013</v>
      </c>
      <c r="I598" s="112" t="s">
        <v>3287</v>
      </c>
      <c r="J598" s="112" t="s">
        <v>1071</v>
      </c>
      <c r="K598" s="112" t="s">
        <v>1323</v>
      </c>
      <c r="L598" s="112" t="s">
        <v>1073</v>
      </c>
      <c r="M598" s="112" t="s">
        <v>478</v>
      </c>
      <c r="N598" s="113">
        <v>46129.894120370373</v>
      </c>
      <c r="O598" s="114">
        <v>19002770450</v>
      </c>
      <c r="P598" s="112">
        <v>213</v>
      </c>
      <c r="Q598" s="112" t="s">
        <v>1062</v>
      </c>
      <c r="R598" s="112" t="s">
        <v>1075</v>
      </c>
      <c r="S598" s="113">
        <v>46139.625694444447</v>
      </c>
      <c r="T598" s="112" t="s">
        <v>3288</v>
      </c>
      <c r="U598" s="112" t="s">
        <v>1065</v>
      </c>
      <c r="V598" s="112" t="s">
        <v>1066</v>
      </c>
      <c r="W598" s="112" t="s">
        <v>1066</v>
      </c>
      <c r="X598" s="112" t="s">
        <v>1117</v>
      </c>
      <c r="Y598" s="112" t="s">
        <v>1066</v>
      </c>
      <c r="Z598" s="112" t="s">
        <v>1409</v>
      </c>
      <c r="AA598" s="112" t="s">
        <v>1067</v>
      </c>
      <c r="AB598" s="112" t="s">
        <v>1066</v>
      </c>
      <c r="AC598" s="112" t="s">
        <v>92</v>
      </c>
      <c r="AD598" s="112" t="s">
        <v>1066</v>
      </c>
      <c r="AE598" s="112" t="s">
        <v>1066</v>
      </c>
      <c r="AF598" s="112" t="s">
        <v>1066</v>
      </c>
      <c r="AG598" s="112" t="s">
        <v>1066</v>
      </c>
      <c r="AH598" s="112" t="s">
        <v>1066</v>
      </c>
      <c r="AI598" s="112" t="s">
        <v>785</v>
      </c>
      <c r="AJ598" s="112">
        <v>8852257</v>
      </c>
      <c r="AK598" s="112" t="s">
        <v>117</v>
      </c>
      <c r="AL598" s="112">
        <v>752918</v>
      </c>
      <c r="AM598" s="112" t="s">
        <v>1066</v>
      </c>
      <c r="AN598" s="112" t="s">
        <v>1066</v>
      </c>
    </row>
    <row r="599" spans="1:40" ht="55.5" customHeight="1" x14ac:dyDescent="0.25">
      <c r="A599" s="111" t="s">
        <v>3289</v>
      </c>
      <c r="B599" s="112">
        <v>2026</v>
      </c>
      <c r="C599" s="112" t="s">
        <v>1240</v>
      </c>
      <c r="D599" s="113">
        <v>46183.6328125</v>
      </c>
      <c r="E599" s="112">
        <v>7900469078</v>
      </c>
      <c r="F599" s="112" t="s">
        <v>3290</v>
      </c>
      <c r="G599" s="112">
        <v>3</v>
      </c>
      <c r="H599" s="112">
        <v>7900469078</v>
      </c>
      <c r="I599" s="112" t="s">
        <v>3291</v>
      </c>
      <c r="J599" s="112" t="s">
        <v>1066</v>
      </c>
      <c r="K599" s="112" t="s">
        <v>1125</v>
      </c>
      <c r="L599" s="112" t="s">
        <v>1061</v>
      </c>
      <c r="M599" s="112" t="s">
        <v>478</v>
      </c>
      <c r="N599" s="113">
        <v>46583.6328125</v>
      </c>
      <c r="O599" s="114">
        <v>19002261027</v>
      </c>
      <c r="P599" s="112">
        <v>975</v>
      </c>
      <c r="Q599" s="112" t="s">
        <v>1062</v>
      </c>
      <c r="R599" s="112" t="s">
        <v>1063</v>
      </c>
      <c r="S599" s="113">
        <v>46227.432638888888</v>
      </c>
      <c r="T599" s="112" t="s">
        <v>3292</v>
      </c>
      <c r="U599" s="112" t="s">
        <v>1065</v>
      </c>
      <c r="V599" s="112" t="s">
        <v>1066</v>
      </c>
      <c r="W599" s="112" t="s">
        <v>1066</v>
      </c>
      <c r="X599" s="112" t="s">
        <v>1066</v>
      </c>
      <c r="Y599" s="112" t="s">
        <v>1066</v>
      </c>
      <c r="Z599" s="112" t="s">
        <v>1066</v>
      </c>
      <c r="AA599" s="112" t="s">
        <v>1067</v>
      </c>
      <c r="AB599" s="112" t="s">
        <v>1066</v>
      </c>
      <c r="AC599" s="112" t="s">
        <v>92</v>
      </c>
      <c r="AD599" s="112" t="s">
        <v>1066</v>
      </c>
      <c r="AE599" s="112" t="s">
        <v>1066</v>
      </c>
      <c r="AF599" s="112" t="s">
        <v>1066</v>
      </c>
      <c r="AG599" s="112" t="s">
        <v>1066</v>
      </c>
      <c r="AH599" s="112" t="s">
        <v>1066</v>
      </c>
      <c r="AI599" s="112" t="s">
        <v>785</v>
      </c>
      <c r="AJ599" s="112">
        <v>9072560</v>
      </c>
      <c r="AK599" s="112" t="s">
        <v>190</v>
      </c>
      <c r="AL599" s="112">
        <v>856655</v>
      </c>
      <c r="AM599" s="112" t="s">
        <v>1066</v>
      </c>
      <c r="AN599" s="112" t="s">
        <v>1066</v>
      </c>
    </row>
    <row r="600" spans="1:40" ht="55.5" customHeight="1" x14ac:dyDescent="0.25">
      <c r="A600" s="120" t="s">
        <v>3293</v>
      </c>
      <c r="B600" s="121">
        <v>2026</v>
      </c>
      <c r="C600" s="121" t="s">
        <v>3294</v>
      </c>
      <c r="D600" s="122">
        <v>45447.639849537038</v>
      </c>
      <c r="E600" s="121">
        <v>9007536092</v>
      </c>
      <c r="F600" s="121" t="s">
        <v>1090</v>
      </c>
      <c r="G600" s="121">
        <v>2</v>
      </c>
      <c r="H600" s="121">
        <v>5852775092</v>
      </c>
      <c r="I600" s="121" t="s">
        <v>3295</v>
      </c>
      <c r="J600" s="121" t="s">
        <v>1231</v>
      </c>
      <c r="K600" s="121" t="s">
        <v>3296</v>
      </c>
      <c r="L600" s="121" t="s">
        <v>1084</v>
      </c>
      <c r="M600" s="121" t="s">
        <v>1116</v>
      </c>
      <c r="N600" s="122">
        <v>46242.426412037035</v>
      </c>
      <c r="O600" s="123">
        <v>19002718945</v>
      </c>
      <c r="P600" s="121">
        <v>2.04</v>
      </c>
      <c r="Q600" s="121" t="s">
        <v>1074</v>
      </c>
      <c r="R600" s="121" t="s">
        <v>3297</v>
      </c>
      <c r="S600" s="122">
        <v>46203.919699074075</v>
      </c>
      <c r="T600" s="121" t="s">
        <v>1066</v>
      </c>
      <c r="U600" s="121" t="s">
        <v>1066</v>
      </c>
      <c r="V600" s="121" t="s">
        <v>1066</v>
      </c>
      <c r="W600" s="121" t="s">
        <v>1066</v>
      </c>
      <c r="X600" s="121" t="s">
        <v>1077</v>
      </c>
      <c r="Y600" s="121" t="s">
        <v>1066</v>
      </c>
      <c r="Z600" s="121" t="s">
        <v>1066</v>
      </c>
      <c r="AA600" s="121" t="s">
        <v>1067</v>
      </c>
      <c r="AB600" s="121" t="s">
        <v>1066</v>
      </c>
      <c r="AC600" s="121" t="s">
        <v>92</v>
      </c>
      <c r="AD600" s="121" t="s">
        <v>1066</v>
      </c>
      <c r="AE600" s="121" t="s">
        <v>1066</v>
      </c>
      <c r="AF600" s="121" t="s">
        <v>1066</v>
      </c>
      <c r="AG600" s="121" t="s">
        <v>1066</v>
      </c>
      <c r="AH600" s="121" t="s">
        <v>3298</v>
      </c>
      <c r="AI600" s="121" t="s">
        <v>785</v>
      </c>
      <c r="AJ600" s="121">
        <v>8895364</v>
      </c>
      <c r="AK600" s="121" t="s">
        <v>1095</v>
      </c>
      <c r="AL600" s="121">
        <v>862159</v>
      </c>
      <c r="AM600" s="121" t="s">
        <v>1066</v>
      </c>
      <c r="AN600" s="121" t="s">
        <v>1066</v>
      </c>
    </row>
    <row r="601" spans="1:40" ht="55.5" customHeight="1" x14ac:dyDescent="0.25">
      <c r="A601" s="115" t="s">
        <v>3299</v>
      </c>
      <c r="B601" s="116">
        <v>2026</v>
      </c>
      <c r="C601" s="116" t="s">
        <v>3300</v>
      </c>
      <c r="D601" s="118">
        <v>46017.75445601852</v>
      </c>
      <c r="E601" s="116">
        <v>9002298007</v>
      </c>
      <c r="F601" s="116" t="s">
        <v>101</v>
      </c>
      <c r="G601" s="116">
        <v>3</v>
      </c>
      <c r="H601" s="116">
        <v>7938137007</v>
      </c>
      <c r="I601" s="116" t="s">
        <v>3301</v>
      </c>
      <c r="J601" s="116" t="s">
        <v>1092</v>
      </c>
      <c r="K601" s="116" t="s">
        <v>3302</v>
      </c>
      <c r="L601" s="116" t="s">
        <v>1073</v>
      </c>
      <c r="M601" s="116" t="s">
        <v>588</v>
      </c>
      <c r="N601" s="118">
        <v>46219.578657407408</v>
      </c>
      <c r="O601" s="119">
        <v>19001290564</v>
      </c>
      <c r="P601" s="116">
        <v>289</v>
      </c>
      <c r="Q601" s="116" t="s">
        <v>1131</v>
      </c>
      <c r="R601" s="116" t="s">
        <v>1075</v>
      </c>
      <c r="S601" s="116" t="s">
        <v>1066</v>
      </c>
      <c r="T601" s="116" t="s">
        <v>1066</v>
      </c>
      <c r="U601" s="116" t="s">
        <v>1066</v>
      </c>
      <c r="V601" s="116" t="s">
        <v>1066</v>
      </c>
      <c r="W601" s="116" t="s">
        <v>1066</v>
      </c>
      <c r="X601" s="116" t="s">
        <v>983</v>
      </c>
      <c r="Y601" s="116" t="s">
        <v>1066</v>
      </c>
      <c r="Z601" s="116" t="s">
        <v>1174</v>
      </c>
      <c r="AA601" s="116" t="s">
        <v>1067</v>
      </c>
      <c r="AB601" s="116" t="s">
        <v>1066</v>
      </c>
      <c r="AC601" s="116" t="s">
        <v>92</v>
      </c>
      <c r="AD601" s="116" t="s">
        <v>1142</v>
      </c>
      <c r="AE601" s="116" t="s">
        <v>1066</v>
      </c>
      <c r="AF601" s="116" t="s">
        <v>1066</v>
      </c>
      <c r="AG601" s="116" t="s">
        <v>1066</v>
      </c>
      <c r="AH601" s="116" t="s">
        <v>3303</v>
      </c>
      <c r="AI601" s="116" t="s">
        <v>785</v>
      </c>
      <c r="AJ601" s="116">
        <v>8894217</v>
      </c>
      <c r="AK601" s="116" t="s">
        <v>100</v>
      </c>
      <c r="AL601" s="116">
        <v>765777</v>
      </c>
      <c r="AM601" s="116" t="s">
        <v>1066</v>
      </c>
      <c r="AN601" s="116" t="s">
        <v>1066</v>
      </c>
    </row>
    <row r="602" spans="1:40" ht="55.5" customHeight="1" x14ac:dyDescent="0.25">
      <c r="A602" s="111" t="s">
        <v>3304</v>
      </c>
      <c r="B602" s="112">
        <v>2026</v>
      </c>
      <c r="C602" s="112" t="s">
        <v>1057</v>
      </c>
      <c r="D602" s="113">
        <v>46125.614548611113</v>
      </c>
      <c r="E602" s="112">
        <v>7900669086</v>
      </c>
      <c r="F602" s="112" t="s">
        <v>682</v>
      </c>
      <c r="G602" s="112">
        <v>2</v>
      </c>
      <c r="H602" s="112">
        <v>7900669086</v>
      </c>
      <c r="I602" s="112" t="s">
        <v>3305</v>
      </c>
      <c r="J602" s="112" t="s">
        <v>1066</v>
      </c>
      <c r="K602" s="112" t="s">
        <v>1125</v>
      </c>
      <c r="L602" s="112" t="s">
        <v>1061</v>
      </c>
      <c r="M602" s="112" t="s">
        <v>478</v>
      </c>
      <c r="N602" s="113">
        <v>46525.614548611113</v>
      </c>
      <c r="O602" s="114">
        <v>19002765052</v>
      </c>
      <c r="P602" s="112">
        <v>154</v>
      </c>
      <c r="Q602" s="112" t="s">
        <v>1062</v>
      </c>
      <c r="R602" s="112" t="s">
        <v>1063</v>
      </c>
      <c r="S602" s="113">
        <v>46174.3125</v>
      </c>
      <c r="T602" s="112" t="s">
        <v>1307</v>
      </c>
      <c r="U602" s="112" t="s">
        <v>1065</v>
      </c>
      <c r="V602" s="112" t="s">
        <v>1066</v>
      </c>
      <c r="W602" s="112" t="s">
        <v>1066</v>
      </c>
      <c r="X602" s="112" t="s">
        <v>1066</v>
      </c>
      <c r="Y602" s="112" t="s">
        <v>1066</v>
      </c>
      <c r="Z602" s="112" t="s">
        <v>1066</v>
      </c>
      <c r="AA602" s="112" t="s">
        <v>1067</v>
      </c>
      <c r="AB602" s="112" t="s">
        <v>1066</v>
      </c>
      <c r="AC602" s="112" t="s">
        <v>92</v>
      </c>
      <c r="AD602" s="112" t="s">
        <v>1066</v>
      </c>
      <c r="AE602" s="112" t="s">
        <v>1066</v>
      </c>
      <c r="AF602" s="112" t="s">
        <v>1066</v>
      </c>
      <c r="AG602" s="112" t="s">
        <v>1066</v>
      </c>
      <c r="AH602" s="112" t="s">
        <v>1066</v>
      </c>
      <c r="AI602" s="112" t="s">
        <v>785</v>
      </c>
      <c r="AJ602" s="112">
        <v>8917805</v>
      </c>
      <c r="AK602" s="112" t="s">
        <v>1143</v>
      </c>
      <c r="AL602" s="112">
        <v>652120</v>
      </c>
      <c r="AM602" s="112" t="s">
        <v>1066</v>
      </c>
      <c r="AN602" s="112" t="s">
        <v>1066</v>
      </c>
    </row>
    <row r="603" spans="1:40" ht="55.5" customHeight="1" x14ac:dyDescent="0.25">
      <c r="A603" s="111" t="s">
        <v>3306</v>
      </c>
      <c r="B603" s="112">
        <v>2026</v>
      </c>
      <c r="C603" s="112" t="s">
        <v>1057</v>
      </c>
      <c r="D603" s="113">
        <v>46125.584386574075</v>
      </c>
      <c r="E603" s="112">
        <v>7937103266</v>
      </c>
      <c r="F603" s="112" t="s">
        <v>302</v>
      </c>
      <c r="G603" s="112">
        <v>2</v>
      </c>
      <c r="H603" s="112">
        <v>7937103266</v>
      </c>
      <c r="I603" s="112" t="s">
        <v>3307</v>
      </c>
      <c r="J603" s="112" t="s">
        <v>1066</v>
      </c>
      <c r="K603" s="112" t="s">
        <v>1125</v>
      </c>
      <c r="L603" s="112" t="s">
        <v>1061</v>
      </c>
      <c r="M603" s="112" t="s">
        <v>478</v>
      </c>
      <c r="N603" s="113">
        <v>46525.584386574075</v>
      </c>
      <c r="O603" s="114">
        <v>19002210078</v>
      </c>
      <c r="P603" s="112">
        <v>1.522</v>
      </c>
      <c r="Q603" s="112" t="s">
        <v>1062</v>
      </c>
      <c r="R603" s="112" t="s">
        <v>1063</v>
      </c>
      <c r="S603" s="113">
        <v>46226.729849537034</v>
      </c>
      <c r="T603" s="112" t="s">
        <v>3308</v>
      </c>
      <c r="U603" s="112" t="s">
        <v>1065</v>
      </c>
      <c r="V603" s="112" t="s">
        <v>1066</v>
      </c>
      <c r="W603" s="112" t="s">
        <v>1066</v>
      </c>
      <c r="X603" s="112" t="s">
        <v>1066</v>
      </c>
      <c r="Y603" s="112" t="s">
        <v>1066</v>
      </c>
      <c r="Z603" s="112" t="s">
        <v>1066</v>
      </c>
      <c r="AA603" s="112" t="s">
        <v>1067</v>
      </c>
      <c r="AB603" s="112" t="s">
        <v>1066</v>
      </c>
      <c r="AC603" s="112" t="s">
        <v>92</v>
      </c>
      <c r="AD603" s="112" t="s">
        <v>1066</v>
      </c>
      <c r="AE603" s="112" t="s">
        <v>1066</v>
      </c>
      <c r="AF603" s="112" t="s">
        <v>1066</v>
      </c>
      <c r="AG603" s="112" t="s">
        <v>1066</v>
      </c>
      <c r="AH603" s="112" t="s">
        <v>1066</v>
      </c>
      <c r="AI603" s="112" t="s">
        <v>785</v>
      </c>
      <c r="AJ603" s="112">
        <v>8690054</v>
      </c>
      <c r="AK603" s="112" t="s">
        <v>224</v>
      </c>
      <c r="AL603" s="112">
        <v>784071</v>
      </c>
      <c r="AM603" s="112" t="s">
        <v>1066</v>
      </c>
      <c r="AN603" s="112" t="s">
        <v>1066</v>
      </c>
    </row>
    <row r="604" spans="1:40" ht="55.5" customHeight="1" x14ac:dyDescent="0.25">
      <c r="A604" s="124" t="s">
        <v>3309</v>
      </c>
      <c r="B604" s="125">
        <v>2026</v>
      </c>
      <c r="C604" s="125" t="s">
        <v>3310</v>
      </c>
      <c r="D604" s="126">
        <v>46171.4453587963</v>
      </c>
      <c r="E604" s="125">
        <v>8810088039</v>
      </c>
      <c r="F604" s="125" t="s">
        <v>713</v>
      </c>
      <c r="G604" s="125">
        <v>1</v>
      </c>
      <c r="H604" s="125">
        <v>5858330039</v>
      </c>
      <c r="I604" s="125" t="s">
        <v>3311</v>
      </c>
      <c r="J604" s="125" t="s">
        <v>1071</v>
      </c>
      <c r="K604" s="125" t="s">
        <v>1072</v>
      </c>
      <c r="L604" s="125" t="s">
        <v>1073</v>
      </c>
      <c r="M604" s="125" t="s">
        <v>510</v>
      </c>
      <c r="N604" s="126">
        <v>46174.4453587963</v>
      </c>
      <c r="O604" s="127">
        <v>19002719287</v>
      </c>
      <c r="P604" s="125">
        <v>1.1240000000000001</v>
      </c>
      <c r="Q604" s="125" t="s">
        <v>1074</v>
      </c>
      <c r="R604" s="125" t="s">
        <v>1324</v>
      </c>
      <c r="S604" s="125" t="s">
        <v>1066</v>
      </c>
      <c r="T604" s="125" t="s">
        <v>1066</v>
      </c>
      <c r="U604" s="125" t="s">
        <v>1066</v>
      </c>
      <c r="V604" s="125" t="s">
        <v>1066</v>
      </c>
      <c r="W604" s="125" t="s">
        <v>1066</v>
      </c>
      <c r="X604" s="125" t="s">
        <v>1726</v>
      </c>
      <c r="Y604" s="125" t="s">
        <v>1066</v>
      </c>
      <c r="Z604" s="125" t="s">
        <v>1078</v>
      </c>
      <c r="AA604" s="125" t="s">
        <v>1067</v>
      </c>
      <c r="AB604" s="125" t="s">
        <v>1066</v>
      </c>
      <c r="AC604" s="125" t="s">
        <v>92</v>
      </c>
      <c r="AD604" s="125" t="s">
        <v>1066</v>
      </c>
      <c r="AE604" s="125" t="s">
        <v>1066</v>
      </c>
      <c r="AF604" s="125" t="s">
        <v>1066</v>
      </c>
      <c r="AG604" s="125" t="s">
        <v>1066</v>
      </c>
      <c r="AH604" s="125" t="s">
        <v>1066</v>
      </c>
      <c r="AI604" s="125" t="s">
        <v>785</v>
      </c>
      <c r="AJ604" s="125">
        <v>9362861</v>
      </c>
      <c r="AK604" s="125" t="s">
        <v>57</v>
      </c>
      <c r="AL604" s="125">
        <v>815093</v>
      </c>
      <c r="AM604" s="125" t="s">
        <v>1066</v>
      </c>
      <c r="AN604" s="125" t="s">
        <v>1066</v>
      </c>
    </row>
    <row r="605" spans="1:40" ht="55.5" customHeight="1" x14ac:dyDescent="0.25">
      <c r="A605" s="111" t="s">
        <v>3312</v>
      </c>
      <c r="B605" s="112">
        <v>2026</v>
      </c>
      <c r="C605" s="112" t="s">
        <v>1240</v>
      </c>
      <c r="D605" s="113">
        <v>46183.597349537034</v>
      </c>
      <c r="E605" s="112">
        <v>7908706027</v>
      </c>
      <c r="F605" s="112" t="s">
        <v>674</v>
      </c>
      <c r="G605" s="112">
        <v>2</v>
      </c>
      <c r="H605" s="112">
        <v>7908706027</v>
      </c>
      <c r="I605" s="112" t="s">
        <v>3313</v>
      </c>
      <c r="J605" s="112" t="s">
        <v>1066</v>
      </c>
      <c r="K605" s="112" t="s">
        <v>1125</v>
      </c>
      <c r="L605" s="112" t="s">
        <v>1061</v>
      </c>
      <c r="M605" s="112" t="s">
        <v>478</v>
      </c>
      <c r="N605" s="113">
        <v>46583.597349537034</v>
      </c>
      <c r="O605" s="114">
        <v>19002260243</v>
      </c>
      <c r="P605" s="112">
        <v>770</v>
      </c>
      <c r="Q605" s="112" t="s">
        <v>1062</v>
      </c>
      <c r="R605" s="112" t="s">
        <v>1063</v>
      </c>
      <c r="S605" s="113">
        <v>46245.57671296296</v>
      </c>
      <c r="T605" s="112" t="s">
        <v>3314</v>
      </c>
      <c r="U605" s="112" t="s">
        <v>1065</v>
      </c>
      <c r="V605" s="112" t="s">
        <v>1066</v>
      </c>
      <c r="W605" s="112" t="s">
        <v>1066</v>
      </c>
      <c r="X605" s="112" t="s">
        <v>1066</v>
      </c>
      <c r="Y605" s="112" t="s">
        <v>1066</v>
      </c>
      <c r="Z605" s="112" t="s">
        <v>1066</v>
      </c>
      <c r="AA605" s="112" t="s">
        <v>1067</v>
      </c>
      <c r="AB605" s="112" t="s">
        <v>1066</v>
      </c>
      <c r="AC605" s="112" t="s">
        <v>92</v>
      </c>
      <c r="AD605" s="112" t="s">
        <v>1066</v>
      </c>
      <c r="AE605" s="112" t="s">
        <v>1066</v>
      </c>
      <c r="AF605" s="112" t="s">
        <v>1066</v>
      </c>
      <c r="AG605" s="112" t="s">
        <v>1066</v>
      </c>
      <c r="AH605" s="112" t="s">
        <v>1066</v>
      </c>
      <c r="AI605" s="112" t="s">
        <v>785</v>
      </c>
      <c r="AJ605" s="112">
        <v>8655891</v>
      </c>
      <c r="AK605" s="112" t="s">
        <v>627</v>
      </c>
      <c r="AL605" s="112">
        <v>992875</v>
      </c>
      <c r="AM605" s="112" t="s">
        <v>1066</v>
      </c>
      <c r="AN605" s="112" t="s">
        <v>1066</v>
      </c>
    </row>
    <row r="606" spans="1:40" ht="55.5" customHeight="1" x14ac:dyDescent="0.25">
      <c r="A606" s="111" t="s">
        <v>3315</v>
      </c>
      <c r="B606" s="112">
        <v>2026</v>
      </c>
      <c r="C606" s="112" t="s">
        <v>1057</v>
      </c>
      <c r="D606" s="113">
        <v>46125.614548611113</v>
      </c>
      <c r="E606" s="112">
        <v>7923925059</v>
      </c>
      <c r="F606" s="112" t="s">
        <v>234</v>
      </c>
      <c r="G606" s="112">
        <v>2</v>
      </c>
      <c r="H606" s="112">
        <v>7923925059</v>
      </c>
      <c r="I606" s="112" t="s">
        <v>3316</v>
      </c>
      <c r="J606" s="112" t="s">
        <v>1066</v>
      </c>
      <c r="K606" s="112" t="s">
        <v>1125</v>
      </c>
      <c r="L606" s="112" t="s">
        <v>1061</v>
      </c>
      <c r="M606" s="112" t="s">
        <v>478</v>
      </c>
      <c r="N606" s="113">
        <v>46525.614548611113</v>
      </c>
      <c r="O606" s="114">
        <v>19002223715</v>
      </c>
      <c r="P606" s="112">
        <v>4.1500000000000004</v>
      </c>
      <c r="Q606" s="112" t="s">
        <v>1062</v>
      </c>
      <c r="R606" s="112" t="s">
        <v>1063</v>
      </c>
      <c r="S606" s="113">
        <v>46218.729166666664</v>
      </c>
      <c r="T606" s="112" t="s">
        <v>3317</v>
      </c>
      <c r="U606" s="112" t="s">
        <v>1065</v>
      </c>
      <c r="V606" s="112" t="s">
        <v>1066</v>
      </c>
      <c r="W606" s="112" t="s">
        <v>1066</v>
      </c>
      <c r="X606" s="112" t="s">
        <v>1066</v>
      </c>
      <c r="Y606" s="112" t="s">
        <v>1066</v>
      </c>
      <c r="Z606" s="112" t="s">
        <v>1066</v>
      </c>
      <c r="AA606" s="112" t="s">
        <v>1067</v>
      </c>
      <c r="AB606" s="112" t="s">
        <v>1066</v>
      </c>
      <c r="AC606" s="112" t="s">
        <v>92</v>
      </c>
      <c r="AD606" s="112" t="s">
        <v>1066</v>
      </c>
      <c r="AE606" s="112" t="s">
        <v>1066</v>
      </c>
      <c r="AF606" s="112" t="s">
        <v>1066</v>
      </c>
      <c r="AG606" s="112" t="s">
        <v>1066</v>
      </c>
      <c r="AH606" s="112" t="s">
        <v>1066</v>
      </c>
      <c r="AI606" s="112" t="s">
        <v>785</v>
      </c>
      <c r="AJ606" s="112">
        <v>8857583</v>
      </c>
      <c r="AK606" s="112" t="s">
        <v>264</v>
      </c>
      <c r="AL606" s="112">
        <v>802655</v>
      </c>
      <c r="AM606" s="112" t="s">
        <v>1066</v>
      </c>
      <c r="AN606" s="112" t="s">
        <v>1066</v>
      </c>
    </row>
    <row r="607" spans="1:40" ht="55.5" customHeight="1" x14ac:dyDescent="0.25">
      <c r="A607" s="115" t="s">
        <v>3318</v>
      </c>
      <c r="B607" s="116">
        <v>2026</v>
      </c>
      <c r="C607" s="116" t="s">
        <v>3319</v>
      </c>
      <c r="D607" s="118">
        <v>46013.608807870369</v>
      </c>
      <c r="E607" s="116">
        <v>3319797060</v>
      </c>
      <c r="F607" s="116" t="s">
        <v>254</v>
      </c>
      <c r="G607" s="116">
        <v>3</v>
      </c>
      <c r="H607" s="116">
        <v>7962635060</v>
      </c>
      <c r="I607" s="116" t="s">
        <v>1596</v>
      </c>
      <c r="J607" s="116" t="s">
        <v>1231</v>
      </c>
      <c r="K607" s="116" t="s">
        <v>1232</v>
      </c>
      <c r="L607" s="116" t="s">
        <v>1084</v>
      </c>
      <c r="M607" s="116" t="s">
        <v>588</v>
      </c>
      <c r="N607" s="118">
        <v>46221.597986111112</v>
      </c>
      <c r="O607" s="119">
        <v>19002812230</v>
      </c>
      <c r="P607" s="116">
        <v>14</v>
      </c>
      <c r="Q607" s="116" t="s">
        <v>1131</v>
      </c>
      <c r="R607" s="116" t="s">
        <v>1075</v>
      </c>
      <c r="S607" s="116" t="s">
        <v>1066</v>
      </c>
      <c r="T607" s="116" t="s">
        <v>1066</v>
      </c>
      <c r="U607" s="116" t="s">
        <v>1066</v>
      </c>
      <c r="V607" s="116" t="s">
        <v>1066</v>
      </c>
      <c r="W607" s="116" t="s">
        <v>1066</v>
      </c>
      <c r="X607" s="116" t="s">
        <v>983</v>
      </c>
      <c r="Y607" s="116" t="s">
        <v>1066</v>
      </c>
      <c r="Z607" s="116" t="s">
        <v>1066</v>
      </c>
      <c r="AA607" s="116" t="s">
        <v>1067</v>
      </c>
      <c r="AB607" s="116" t="s">
        <v>1066</v>
      </c>
      <c r="AC607" s="116" t="s">
        <v>92</v>
      </c>
      <c r="AD607" s="116" t="s">
        <v>1066</v>
      </c>
      <c r="AE607" s="116" t="s">
        <v>1066</v>
      </c>
      <c r="AF607" s="116" t="s">
        <v>1066</v>
      </c>
      <c r="AG607" s="116" t="s">
        <v>1066</v>
      </c>
      <c r="AH607" s="116" t="s">
        <v>1598</v>
      </c>
      <c r="AI607" s="116" t="s">
        <v>785</v>
      </c>
      <c r="AJ607" s="116">
        <v>9172142</v>
      </c>
      <c r="AK607" s="116" t="s">
        <v>69</v>
      </c>
      <c r="AL607" s="116">
        <v>789404</v>
      </c>
      <c r="AM607" s="116" t="s">
        <v>1066</v>
      </c>
      <c r="AN607" s="116" t="s">
        <v>1066</v>
      </c>
    </row>
    <row r="608" spans="1:40" ht="55.5" customHeight="1" x14ac:dyDescent="0.25">
      <c r="A608" s="111" t="s">
        <v>3320</v>
      </c>
      <c r="B608" s="112">
        <v>2026</v>
      </c>
      <c r="C608" s="112" t="s">
        <v>3321</v>
      </c>
      <c r="D608" s="113">
        <v>46029.461793981478</v>
      </c>
      <c r="E608" s="112">
        <v>6828393119</v>
      </c>
      <c r="F608" s="112" t="s">
        <v>351</v>
      </c>
      <c r="G608" s="112">
        <v>3</v>
      </c>
      <c r="H608" s="112">
        <v>7962734119</v>
      </c>
      <c r="I608" s="112" t="s">
        <v>3052</v>
      </c>
      <c r="J608" s="112" t="s">
        <v>1231</v>
      </c>
      <c r="K608" s="112" t="s">
        <v>1232</v>
      </c>
      <c r="L608" s="112" t="s">
        <v>1084</v>
      </c>
      <c r="M608" s="112" t="s">
        <v>478</v>
      </c>
      <c r="N608" s="113">
        <v>46116.604722222219</v>
      </c>
      <c r="O608" s="114">
        <v>19002819804</v>
      </c>
      <c r="P608" s="112">
        <v>648</v>
      </c>
      <c r="Q608" s="112" t="s">
        <v>1131</v>
      </c>
      <c r="R608" s="112" t="s">
        <v>1206</v>
      </c>
      <c r="S608" s="113">
        <v>46170.483888888892</v>
      </c>
      <c r="T608" s="112" t="s">
        <v>3322</v>
      </c>
      <c r="U608" s="112" t="s">
        <v>1065</v>
      </c>
      <c r="V608" s="112" t="s">
        <v>1066</v>
      </c>
      <c r="W608" s="112" t="s">
        <v>1066</v>
      </c>
      <c r="X608" s="112" t="s">
        <v>983</v>
      </c>
      <c r="Y608" s="112" t="s">
        <v>1066</v>
      </c>
      <c r="Z608" s="112" t="s">
        <v>1066</v>
      </c>
      <c r="AA608" s="112" t="s">
        <v>1067</v>
      </c>
      <c r="AB608" s="112" t="s">
        <v>1066</v>
      </c>
      <c r="AC608" s="112" t="s">
        <v>92</v>
      </c>
      <c r="AD608" s="112" t="s">
        <v>1066</v>
      </c>
      <c r="AE608" s="112" t="s">
        <v>1066</v>
      </c>
      <c r="AF608" s="112" t="s">
        <v>1066</v>
      </c>
      <c r="AG608" s="112" t="s">
        <v>1066</v>
      </c>
      <c r="AH608" s="112" t="s">
        <v>3323</v>
      </c>
      <c r="AI608" s="112" t="s">
        <v>785</v>
      </c>
      <c r="AJ608" s="112">
        <v>9327390</v>
      </c>
      <c r="AK608" s="112" t="s">
        <v>350</v>
      </c>
      <c r="AL608" s="112">
        <v>825695</v>
      </c>
      <c r="AM608" s="112" t="s">
        <v>1066</v>
      </c>
      <c r="AN608" s="112" t="s">
        <v>1066</v>
      </c>
    </row>
    <row r="609" spans="1:40" ht="55.5" customHeight="1" x14ac:dyDescent="0.25">
      <c r="A609" s="124" t="s">
        <v>3324</v>
      </c>
      <c r="B609" s="125">
        <v>2026</v>
      </c>
      <c r="C609" s="125" t="s">
        <v>3325</v>
      </c>
      <c r="D609" s="126">
        <v>46149.637557870374</v>
      </c>
      <c r="E609" s="125">
        <v>9020790038</v>
      </c>
      <c r="F609" s="125" t="s">
        <v>674</v>
      </c>
      <c r="G609" s="125">
        <v>2</v>
      </c>
      <c r="H609" s="125">
        <v>9020790038</v>
      </c>
      <c r="I609" s="125" t="s">
        <v>2653</v>
      </c>
      <c r="J609" s="125" t="s">
        <v>1231</v>
      </c>
      <c r="K609" s="125" t="s">
        <v>1494</v>
      </c>
      <c r="L609" s="125" t="s">
        <v>1084</v>
      </c>
      <c r="M609" s="125" t="s">
        <v>510</v>
      </c>
      <c r="N609" s="126">
        <v>46235.703182870369</v>
      </c>
      <c r="O609" s="127">
        <v>19001227777</v>
      </c>
      <c r="P609" s="125">
        <v>34</v>
      </c>
      <c r="Q609" s="125" t="s">
        <v>1262</v>
      </c>
      <c r="R609" s="125" t="s">
        <v>1206</v>
      </c>
      <c r="S609" s="125" t="s">
        <v>1066</v>
      </c>
      <c r="T609" s="125" t="s">
        <v>1066</v>
      </c>
      <c r="U609" s="125" t="s">
        <v>1066</v>
      </c>
      <c r="V609" s="125" t="s">
        <v>1066</v>
      </c>
      <c r="W609" s="125" t="s">
        <v>1066</v>
      </c>
      <c r="X609" s="125" t="s">
        <v>1066</v>
      </c>
      <c r="Y609" s="125" t="s">
        <v>1066</v>
      </c>
      <c r="Z609" s="125" t="s">
        <v>1066</v>
      </c>
      <c r="AA609" s="125" t="s">
        <v>1067</v>
      </c>
      <c r="AB609" s="125" t="s">
        <v>1066</v>
      </c>
      <c r="AC609" s="125" t="s">
        <v>92</v>
      </c>
      <c r="AD609" s="125" t="s">
        <v>1142</v>
      </c>
      <c r="AE609" s="125" t="s">
        <v>1066</v>
      </c>
      <c r="AF609" s="125" t="s">
        <v>1066</v>
      </c>
      <c r="AG609" s="125" t="s">
        <v>1066</v>
      </c>
      <c r="AH609" s="125" t="s">
        <v>3326</v>
      </c>
      <c r="AI609" s="125" t="s">
        <v>785</v>
      </c>
      <c r="AJ609" s="125">
        <v>8622255</v>
      </c>
      <c r="AK609" s="125" t="s">
        <v>627</v>
      </c>
      <c r="AL609" s="125">
        <v>995867</v>
      </c>
      <c r="AM609" s="125" t="s">
        <v>1497</v>
      </c>
      <c r="AN609" s="125" t="s">
        <v>1066</v>
      </c>
    </row>
    <row r="610" spans="1:40" ht="55.5" customHeight="1" x14ac:dyDescent="0.25">
      <c r="A610" s="111" t="s">
        <v>3327</v>
      </c>
      <c r="B610" s="112">
        <v>2026</v>
      </c>
      <c r="C610" s="112" t="s">
        <v>1089</v>
      </c>
      <c r="D610" s="113">
        <v>46028.453888888886</v>
      </c>
      <c r="E610" s="112">
        <v>7915029003</v>
      </c>
      <c r="F610" s="112" t="s">
        <v>1189</v>
      </c>
      <c r="G610" s="112">
        <v>3</v>
      </c>
      <c r="H610" s="112">
        <v>7915029003</v>
      </c>
      <c r="I610" s="112" t="s">
        <v>3328</v>
      </c>
      <c r="J610" s="112" t="s">
        <v>1092</v>
      </c>
      <c r="K610" s="112" t="s">
        <v>1093</v>
      </c>
      <c r="L610" s="112" t="s">
        <v>1061</v>
      </c>
      <c r="M610" s="112" t="s">
        <v>478</v>
      </c>
      <c r="N610" s="113">
        <v>46428.453888888886</v>
      </c>
      <c r="O610" s="114">
        <v>19002400701</v>
      </c>
      <c r="P610" s="112">
        <v>0</v>
      </c>
      <c r="Q610" s="112" t="s">
        <v>1062</v>
      </c>
      <c r="R610" s="112" t="s">
        <v>1063</v>
      </c>
      <c r="S610" s="113">
        <v>46051.422222222223</v>
      </c>
      <c r="T610" s="112" t="s">
        <v>3329</v>
      </c>
      <c r="U610" s="112" t="s">
        <v>1065</v>
      </c>
      <c r="V610" s="112" t="s">
        <v>1066</v>
      </c>
      <c r="W610" s="112" t="s">
        <v>1066</v>
      </c>
      <c r="X610" s="112" t="s">
        <v>1066</v>
      </c>
      <c r="Y610" s="112" t="s">
        <v>1066</v>
      </c>
      <c r="Z610" s="112" t="s">
        <v>1066</v>
      </c>
      <c r="AA610" s="112" t="s">
        <v>1067</v>
      </c>
      <c r="AB610" s="112" t="s">
        <v>1066</v>
      </c>
      <c r="AC610" s="112" t="s">
        <v>92</v>
      </c>
      <c r="AD610" s="112" t="s">
        <v>1066</v>
      </c>
      <c r="AE610" s="112" t="s">
        <v>1066</v>
      </c>
      <c r="AF610" s="112" t="s">
        <v>1066</v>
      </c>
      <c r="AG610" s="112" t="s">
        <v>1066</v>
      </c>
      <c r="AH610" s="112" t="s">
        <v>1066</v>
      </c>
      <c r="AI610" s="112" t="s">
        <v>785</v>
      </c>
      <c r="AJ610" s="112">
        <v>8702657</v>
      </c>
      <c r="AK610" s="112" t="s">
        <v>210</v>
      </c>
      <c r="AL610" s="112">
        <v>710689</v>
      </c>
      <c r="AM610" s="112" t="s">
        <v>1066</v>
      </c>
      <c r="AN610" s="112" t="s">
        <v>1066</v>
      </c>
    </row>
    <row r="611" spans="1:40" ht="55.5" customHeight="1" x14ac:dyDescent="0.25">
      <c r="A611" s="111" t="s">
        <v>3330</v>
      </c>
      <c r="B611" s="112">
        <v>2026</v>
      </c>
      <c r="C611" s="112" t="s">
        <v>3331</v>
      </c>
      <c r="D611" s="113">
        <v>46125.366782407407</v>
      </c>
      <c r="E611" s="112">
        <v>7957553097</v>
      </c>
      <c r="F611" s="112" t="s">
        <v>1679</v>
      </c>
      <c r="G611" s="112">
        <v>3</v>
      </c>
      <c r="H611" s="112">
        <v>7957553097</v>
      </c>
      <c r="I611" s="112" t="s">
        <v>3332</v>
      </c>
      <c r="J611" s="112" t="s">
        <v>1071</v>
      </c>
      <c r="K611" s="112" t="s">
        <v>1379</v>
      </c>
      <c r="L611" s="112" t="s">
        <v>1073</v>
      </c>
      <c r="M611" s="112" t="s">
        <v>478</v>
      </c>
      <c r="N611" s="113">
        <v>46128.366782407407</v>
      </c>
      <c r="O611" s="114">
        <v>19002741880</v>
      </c>
      <c r="P611" s="112">
        <v>0</v>
      </c>
      <c r="Q611" s="112" t="s">
        <v>1062</v>
      </c>
      <c r="R611" s="112" t="s">
        <v>1075</v>
      </c>
      <c r="S611" s="113">
        <v>46142.479444444441</v>
      </c>
      <c r="T611" s="112" t="s">
        <v>3333</v>
      </c>
      <c r="U611" s="112" t="s">
        <v>1065</v>
      </c>
      <c r="V611" s="112" t="s">
        <v>1066</v>
      </c>
      <c r="W611" s="112" t="s">
        <v>1066</v>
      </c>
      <c r="X611" s="112" t="s">
        <v>1066</v>
      </c>
      <c r="Y611" s="112" t="s">
        <v>1066</v>
      </c>
      <c r="Z611" s="112" t="s">
        <v>1066</v>
      </c>
      <c r="AA611" s="112" t="s">
        <v>1067</v>
      </c>
      <c r="AB611" s="112" t="s">
        <v>1066</v>
      </c>
      <c r="AC611" s="112" t="s">
        <v>92</v>
      </c>
      <c r="AD611" s="112" t="s">
        <v>1066</v>
      </c>
      <c r="AE611" s="112" t="s">
        <v>1066</v>
      </c>
      <c r="AF611" s="112" t="s">
        <v>1066</v>
      </c>
      <c r="AG611" s="112" t="s">
        <v>1066</v>
      </c>
      <c r="AH611" s="112" t="s">
        <v>1066</v>
      </c>
      <c r="AI611" s="112" t="s">
        <v>785</v>
      </c>
      <c r="AJ611" s="112">
        <v>8618234</v>
      </c>
      <c r="AK611" s="112" t="s">
        <v>2841</v>
      </c>
      <c r="AL611" s="112">
        <v>722025</v>
      </c>
      <c r="AM611" s="112" t="s">
        <v>1066</v>
      </c>
      <c r="AN611" s="112" t="s">
        <v>1066</v>
      </c>
    </row>
    <row r="612" spans="1:40" ht="55.5" customHeight="1" x14ac:dyDescent="0.25">
      <c r="A612" s="111" t="s">
        <v>3334</v>
      </c>
      <c r="B612" s="112">
        <v>2026</v>
      </c>
      <c r="C612" s="112" t="s">
        <v>3335</v>
      </c>
      <c r="D612" s="113">
        <v>46158.85528935185</v>
      </c>
      <c r="E612" s="112">
        <v>9004432004</v>
      </c>
      <c r="F612" s="112" t="s">
        <v>1432</v>
      </c>
      <c r="G612" s="112">
        <v>1</v>
      </c>
      <c r="H612" s="112">
        <v>7925898004</v>
      </c>
      <c r="I612" s="112" t="s">
        <v>3336</v>
      </c>
      <c r="J612" s="112" t="s">
        <v>1071</v>
      </c>
      <c r="K612" s="112" t="s">
        <v>1282</v>
      </c>
      <c r="L612" s="112" t="s">
        <v>1073</v>
      </c>
      <c r="M612" s="112" t="s">
        <v>478</v>
      </c>
      <c r="N612" s="113">
        <v>46161.85528935185</v>
      </c>
      <c r="O612" s="114">
        <v>19001240953</v>
      </c>
      <c r="P612" s="112">
        <v>0</v>
      </c>
      <c r="Q612" s="112" t="s">
        <v>1131</v>
      </c>
      <c r="R612" s="112" t="s">
        <v>1324</v>
      </c>
      <c r="S612" s="113">
        <v>46167.662118055552</v>
      </c>
      <c r="T612" s="112" t="s">
        <v>3337</v>
      </c>
      <c r="U612" s="112" t="s">
        <v>1065</v>
      </c>
      <c r="V612" s="112" t="s">
        <v>1066</v>
      </c>
      <c r="W612" s="112" t="s">
        <v>1066</v>
      </c>
      <c r="X612" s="112" t="s">
        <v>983</v>
      </c>
      <c r="Y612" s="112" t="s">
        <v>1066</v>
      </c>
      <c r="Z612" s="112" t="s">
        <v>1078</v>
      </c>
      <c r="AA612" s="112" t="s">
        <v>1067</v>
      </c>
      <c r="AB612" s="112" t="s">
        <v>1066</v>
      </c>
      <c r="AC612" s="112" t="s">
        <v>92</v>
      </c>
      <c r="AD612" s="112" t="s">
        <v>1142</v>
      </c>
      <c r="AE612" s="112" t="s">
        <v>1066</v>
      </c>
      <c r="AF612" s="112" t="s">
        <v>1066</v>
      </c>
      <c r="AG612" s="112" t="s">
        <v>1066</v>
      </c>
      <c r="AH612" s="112" t="s">
        <v>1066</v>
      </c>
      <c r="AI612" s="112" t="s">
        <v>785</v>
      </c>
      <c r="AJ612" s="112">
        <v>9189041</v>
      </c>
      <c r="AK612" s="112" t="s">
        <v>69</v>
      </c>
      <c r="AL612" s="112">
        <v>823628</v>
      </c>
      <c r="AM612" s="112" t="s">
        <v>1066</v>
      </c>
      <c r="AN612" s="112" t="s">
        <v>1066</v>
      </c>
    </row>
    <row r="613" spans="1:40" ht="55.5" customHeight="1" x14ac:dyDescent="0.25">
      <c r="A613" s="124" t="s">
        <v>3338</v>
      </c>
      <c r="B613" s="125">
        <v>2026</v>
      </c>
      <c r="C613" s="125" t="s">
        <v>2849</v>
      </c>
      <c r="D613" s="126">
        <v>46254.355497685188</v>
      </c>
      <c r="E613" s="125">
        <v>9004998001</v>
      </c>
      <c r="F613" s="125" t="s">
        <v>2154</v>
      </c>
      <c r="G613" s="125">
        <v>3</v>
      </c>
      <c r="H613" s="125">
        <v>7928997001</v>
      </c>
      <c r="I613" s="125" t="s">
        <v>3339</v>
      </c>
      <c r="J613" s="125" t="s">
        <v>1157</v>
      </c>
      <c r="K613" s="125" t="s">
        <v>1158</v>
      </c>
      <c r="L613" s="125" t="s">
        <v>1084</v>
      </c>
      <c r="M613" s="125" t="s">
        <v>510</v>
      </c>
      <c r="N613" s="126">
        <v>46314.355497685188</v>
      </c>
      <c r="O613" s="127">
        <v>19001281585</v>
      </c>
      <c r="P613" s="125">
        <v>1.927</v>
      </c>
      <c r="Q613" s="125" t="s">
        <v>1131</v>
      </c>
      <c r="R613" s="125" t="s">
        <v>1085</v>
      </c>
      <c r="S613" s="125" t="s">
        <v>1066</v>
      </c>
      <c r="T613" s="125" t="s">
        <v>1066</v>
      </c>
      <c r="U613" s="125" t="s">
        <v>1066</v>
      </c>
      <c r="V613" s="125" t="s">
        <v>1066</v>
      </c>
      <c r="W613" s="125" t="s">
        <v>1066</v>
      </c>
      <c r="X613" s="125" t="s">
        <v>1117</v>
      </c>
      <c r="Y613" s="125" t="s">
        <v>1066</v>
      </c>
      <c r="Z613" s="125" t="s">
        <v>1148</v>
      </c>
      <c r="AA613" s="125" t="s">
        <v>1067</v>
      </c>
      <c r="AB613" s="125" t="s">
        <v>1066</v>
      </c>
      <c r="AC613" s="125" t="s">
        <v>92</v>
      </c>
      <c r="AD613" s="125" t="s">
        <v>1142</v>
      </c>
      <c r="AE613" s="125" t="s">
        <v>1066</v>
      </c>
      <c r="AF613" s="125" t="s">
        <v>1066</v>
      </c>
      <c r="AG613" s="125" t="s">
        <v>1066</v>
      </c>
      <c r="AH613" s="125" t="s">
        <v>1066</v>
      </c>
      <c r="AI613" s="125" t="s">
        <v>785</v>
      </c>
      <c r="AJ613" s="125">
        <v>8869680</v>
      </c>
      <c r="AK613" s="125" t="s">
        <v>50</v>
      </c>
      <c r="AL613" s="125">
        <v>779470</v>
      </c>
      <c r="AM613" s="125" t="s">
        <v>1066</v>
      </c>
      <c r="AN613" s="125" t="s">
        <v>1066</v>
      </c>
    </row>
    <row r="614" spans="1:40" ht="55.5" customHeight="1" x14ac:dyDescent="0.25">
      <c r="A614" s="111" t="s">
        <v>3340</v>
      </c>
      <c r="B614" s="112">
        <v>2026</v>
      </c>
      <c r="C614" s="112" t="s">
        <v>3341</v>
      </c>
      <c r="D614" s="113">
        <v>46094.743148148147</v>
      </c>
      <c r="E614" s="112">
        <v>7925891030</v>
      </c>
      <c r="F614" s="112" t="s">
        <v>3342</v>
      </c>
      <c r="G614" s="112">
        <v>3</v>
      </c>
      <c r="H614" s="112">
        <v>7925891030</v>
      </c>
      <c r="I614" s="112" t="s">
        <v>3343</v>
      </c>
      <c r="J614" s="112" t="s">
        <v>1059</v>
      </c>
      <c r="K614" s="112" t="s">
        <v>1060</v>
      </c>
      <c r="L614" s="112" t="s">
        <v>1061</v>
      </c>
      <c r="M614" s="112" t="s">
        <v>478</v>
      </c>
      <c r="N614" s="113">
        <v>46494.743148148147</v>
      </c>
      <c r="O614" s="114">
        <v>19002206305</v>
      </c>
      <c r="P614" s="112">
        <v>0</v>
      </c>
      <c r="Q614" s="112" t="s">
        <v>1062</v>
      </c>
      <c r="R614" s="112" t="s">
        <v>1206</v>
      </c>
      <c r="S614" s="113">
        <v>46106.479155092595</v>
      </c>
      <c r="T614" s="112" t="s">
        <v>3344</v>
      </c>
      <c r="U614" s="112" t="s">
        <v>1065</v>
      </c>
      <c r="V614" s="112" t="s">
        <v>1066</v>
      </c>
      <c r="W614" s="112" t="s">
        <v>1066</v>
      </c>
      <c r="X614" s="112" t="s">
        <v>1066</v>
      </c>
      <c r="Y614" s="112" t="s">
        <v>1066</v>
      </c>
      <c r="Z614" s="112" t="s">
        <v>1066</v>
      </c>
      <c r="AA614" s="112" t="s">
        <v>1208</v>
      </c>
      <c r="AB614" s="112" t="s">
        <v>1066</v>
      </c>
      <c r="AC614" s="112" t="s">
        <v>92</v>
      </c>
      <c r="AD614" s="112" t="s">
        <v>1066</v>
      </c>
      <c r="AE614" s="112" t="s">
        <v>1066</v>
      </c>
      <c r="AF614" s="112" t="s">
        <v>1066</v>
      </c>
      <c r="AG614" s="112" t="s">
        <v>1066</v>
      </c>
      <c r="AH614" s="112" t="s">
        <v>1066</v>
      </c>
      <c r="AI614" s="112" t="s">
        <v>785</v>
      </c>
      <c r="AJ614" s="112">
        <v>9290357</v>
      </c>
      <c r="AK614" s="112" t="s">
        <v>2051</v>
      </c>
      <c r="AL614" s="112">
        <v>773115</v>
      </c>
      <c r="AM614" s="112" t="s">
        <v>1066</v>
      </c>
      <c r="AN614" s="112" t="s">
        <v>1066</v>
      </c>
    </row>
    <row r="615" spans="1:40" ht="55.5" customHeight="1" x14ac:dyDescent="0.25">
      <c r="A615" s="124" t="s">
        <v>3345</v>
      </c>
      <c r="B615" s="125">
        <v>2026</v>
      </c>
      <c r="C615" s="125" t="s">
        <v>1210</v>
      </c>
      <c r="D615" s="126">
        <v>46114.608900462961</v>
      </c>
      <c r="E615" s="125">
        <v>7921278157</v>
      </c>
      <c r="F615" s="125" t="s">
        <v>1920</v>
      </c>
      <c r="G615" s="125">
        <v>3</v>
      </c>
      <c r="H615" s="125">
        <v>7921278157</v>
      </c>
      <c r="I615" s="125" t="s">
        <v>3346</v>
      </c>
      <c r="J615" s="125" t="s">
        <v>1066</v>
      </c>
      <c r="K615" s="125" t="s">
        <v>1125</v>
      </c>
      <c r="L615" s="125" t="s">
        <v>1061</v>
      </c>
      <c r="M615" s="125" t="s">
        <v>510</v>
      </c>
      <c r="N615" s="126">
        <v>46514.608900462961</v>
      </c>
      <c r="O615" s="127">
        <v>19002219412</v>
      </c>
      <c r="P615" s="125">
        <v>0</v>
      </c>
      <c r="Q615" s="125" t="s">
        <v>1062</v>
      </c>
      <c r="R615" s="125" t="s">
        <v>1063</v>
      </c>
      <c r="S615" s="125" t="s">
        <v>1066</v>
      </c>
      <c r="T615" s="125" t="s">
        <v>1066</v>
      </c>
      <c r="U615" s="125" t="s">
        <v>1066</v>
      </c>
      <c r="V615" s="125" t="s">
        <v>1066</v>
      </c>
      <c r="W615" s="125" t="s">
        <v>1066</v>
      </c>
      <c r="X615" s="125" t="s">
        <v>1066</v>
      </c>
      <c r="Y615" s="125" t="s">
        <v>1066</v>
      </c>
      <c r="Z615" s="125" t="s">
        <v>1066</v>
      </c>
      <c r="AA615" s="125" t="s">
        <v>1067</v>
      </c>
      <c r="AB615" s="125" t="s">
        <v>1066</v>
      </c>
      <c r="AC615" s="125" t="s">
        <v>92</v>
      </c>
      <c r="AD615" s="125" t="s">
        <v>1066</v>
      </c>
      <c r="AE615" s="125" t="s">
        <v>1066</v>
      </c>
      <c r="AF615" s="125" t="s">
        <v>1066</v>
      </c>
      <c r="AG615" s="125" t="s">
        <v>1066</v>
      </c>
      <c r="AH615" s="125" t="s">
        <v>1066</v>
      </c>
      <c r="AI615" s="125" t="s">
        <v>785</v>
      </c>
      <c r="AJ615" s="125">
        <v>9270730</v>
      </c>
      <c r="AK615" s="125" t="s">
        <v>3347</v>
      </c>
      <c r="AL615" s="125">
        <v>760959</v>
      </c>
      <c r="AM615" s="125" t="s">
        <v>1066</v>
      </c>
      <c r="AN615" s="125" t="s">
        <v>1066</v>
      </c>
    </row>
    <row r="616" spans="1:40" ht="55.5" customHeight="1" x14ac:dyDescent="0.25">
      <c r="A616" s="120" t="s">
        <v>3348</v>
      </c>
      <c r="B616" s="121">
        <v>2026</v>
      </c>
      <c r="C616" s="121" t="s">
        <v>3349</v>
      </c>
      <c r="D616" s="122">
        <v>46130.505127314813</v>
      </c>
      <c r="E616" s="121">
        <v>8800933084</v>
      </c>
      <c r="F616" s="121" t="s">
        <v>153</v>
      </c>
      <c r="G616" s="121">
        <v>2</v>
      </c>
      <c r="H616" s="121">
        <v>7955986084</v>
      </c>
      <c r="I616" s="121" t="s">
        <v>3350</v>
      </c>
      <c r="J616" s="121" t="s">
        <v>1071</v>
      </c>
      <c r="K616" s="121" t="s">
        <v>1261</v>
      </c>
      <c r="L616" s="121" t="s">
        <v>1073</v>
      </c>
      <c r="M616" s="121" t="s">
        <v>1116</v>
      </c>
      <c r="N616" s="122">
        <v>46133.505127314813</v>
      </c>
      <c r="O616" s="123">
        <v>19002736027</v>
      </c>
      <c r="P616" s="121">
        <v>445</v>
      </c>
      <c r="Q616" s="121" t="s">
        <v>1131</v>
      </c>
      <c r="R616" s="121" t="s">
        <v>1075</v>
      </c>
      <c r="S616" s="122">
        <v>46140.605694444443</v>
      </c>
      <c r="T616" s="121" t="s">
        <v>1066</v>
      </c>
      <c r="U616" s="121" t="s">
        <v>1066</v>
      </c>
      <c r="V616" s="121" t="s">
        <v>1066</v>
      </c>
      <c r="W616" s="121" t="s">
        <v>1066</v>
      </c>
      <c r="X616" s="121" t="s">
        <v>983</v>
      </c>
      <c r="Y616" s="121" t="s">
        <v>1066</v>
      </c>
      <c r="Z616" s="121" t="s">
        <v>1148</v>
      </c>
      <c r="AA616" s="121" t="s">
        <v>1067</v>
      </c>
      <c r="AB616" s="121" t="s">
        <v>1066</v>
      </c>
      <c r="AC616" s="121" t="s">
        <v>92</v>
      </c>
      <c r="AD616" s="121" t="s">
        <v>1066</v>
      </c>
      <c r="AE616" s="121" t="s">
        <v>1066</v>
      </c>
      <c r="AF616" s="121" t="s">
        <v>1066</v>
      </c>
      <c r="AG616" s="121" t="s">
        <v>1066</v>
      </c>
      <c r="AH616" s="121" t="s">
        <v>1066</v>
      </c>
      <c r="AI616" s="121" t="s">
        <v>785</v>
      </c>
      <c r="AJ616" s="121">
        <v>8916924</v>
      </c>
      <c r="AK616" s="121" t="s">
        <v>1311</v>
      </c>
      <c r="AL616" s="121">
        <v>695371</v>
      </c>
      <c r="AM616" s="121" t="s">
        <v>1066</v>
      </c>
      <c r="AN616" s="121" t="s">
        <v>1066</v>
      </c>
    </row>
    <row r="617" spans="1:40" ht="55.5" customHeight="1" x14ac:dyDescent="0.25">
      <c r="A617" s="111" t="s">
        <v>3351</v>
      </c>
      <c r="B617" s="112">
        <v>2026</v>
      </c>
      <c r="C617" s="112" t="s">
        <v>1089</v>
      </c>
      <c r="D617" s="113">
        <v>46028.41065972222</v>
      </c>
      <c r="E617" s="112">
        <v>7937521059</v>
      </c>
      <c r="F617" s="112" t="s">
        <v>3352</v>
      </c>
      <c r="G617" s="112">
        <v>1</v>
      </c>
      <c r="H617" s="112">
        <v>7937521059</v>
      </c>
      <c r="I617" s="112" t="s">
        <v>3353</v>
      </c>
      <c r="J617" s="112" t="s">
        <v>1092</v>
      </c>
      <c r="K617" s="112" t="s">
        <v>1093</v>
      </c>
      <c r="L617" s="112" t="s">
        <v>1061</v>
      </c>
      <c r="M617" s="112" t="s">
        <v>478</v>
      </c>
      <c r="N617" s="113">
        <v>46428.41065972222</v>
      </c>
      <c r="O617" s="114">
        <v>19002613426</v>
      </c>
      <c r="P617" s="112">
        <v>4.5910000000000002</v>
      </c>
      <c r="Q617" s="112" t="s">
        <v>1062</v>
      </c>
      <c r="R617" s="112" t="s">
        <v>1063</v>
      </c>
      <c r="S617" s="113">
        <v>46037.406076388892</v>
      </c>
      <c r="T617" s="112" t="s">
        <v>3354</v>
      </c>
      <c r="U617" s="112" t="s">
        <v>1065</v>
      </c>
      <c r="V617" s="112" t="s">
        <v>1066</v>
      </c>
      <c r="W617" s="112" t="s">
        <v>1066</v>
      </c>
      <c r="X617" s="112" t="s">
        <v>1066</v>
      </c>
      <c r="Y617" s="112" t="s">
        <v>1066</v>
      </c>
      <c r="Z617" s="112" t="s">
        <v>1066</v>
      </c>
      <c r="AA617" s="112" t="s">
        <v>1067</v>
      </c>
      <c r="AB617" s="112" t="s">
        <v>1066</v>
      </c>
      <c r="AC617" s="112" t="s">
        <v>92</v>
      </c>
      <c r="AD617" s="112" t="s">
        <v>1066</v>
      </c>
      <c r="AE617" s="112" t="s">
        <v>1066</v>
      </c>
      <c r="AF617" s="112" t="s">
        <v>1066</v>
      </c>
      <c r="AG617" s="112" t="s">
        <v>1066</v>
      </c>
      <c r="AH617" s="112" t="s">
        <v>1066</v>
      </c>
      <c r="AI617" s="112" t="s">
        <v>785</v>
      </c>
      <c r="AJ617" s="112">
        <v>8859326</v>
      </c>
      <c r="AK617" s="112" t="s">
        <v>264</v>
      </c>
      <c r="AL617" s="112">
        <v>795948</v>
      </c>
      <c r="AM617" s="112" t="s">
        <v>1066</v>
      </c>
      <c r="AN617" s="112" t="s">
        <v>1066</v>
      </c>
    </row>
    <row r="618" spans="1:40" ht="55.5" customHeight="1" x14ac:dyDescent="0.25">
      <c r="A618" s="120" t="s">
        <v>3355</v>
      </c>
      <c r="B618" s="121">
        <v>2026</v>
      </c>
      <c r="C618" s="121" t="s">
        <v>3356</v>
      </c>
      <c r="D618" s="122">
        <v>46052.545312499999</v>
      </c>
      <c r="E618" s="121">
        <v>9000378063</v>
      </c>
      <c r="F618" s="121" t="s">
        <v>148</v>
      </c>
      <c r="G618" s="121">
        <v>2</v>
      </c>
      <c r="H618" s="121">
        <v>7944609063</v>
      </c>
      <c r="I618" s="121" t="s">
        <v>3357</v>
      </c>
      <c r="J618" s="121" t="s">
        <v>1071</v>
      </c>
      <c r="K618" s="121" t="s">
        <v>1605</v>
      </c>
      <c r="L618" s="121" t="s">
        <v>1073</v>
      </c>
      <c r="M618" s="121" t="s">
        <v>1116</v>
      </c>
      <c r="N618" s="122">
        <v>46055.545312499999</v>
      </c>
      <c r="O618" s="123">
        <v>19001358006</v>
      </c>
      <c r="P618" s="121">
        <v>1.26</v>
      </c>
      <c r="Q618" s="121" t="s">
        <v>1131</v>
      </c>
      <c r="R618" s="121" t="s">
        <v>1075</v>
      </c>
      <c r="S618" s="122">
        <v>46055.45516203704</v>
      </c>
      <c r="T618" s="121" t="s">
        <v>1066</v>
      </c>
      <c r="U618" s="121" t="s">
        <v>1066</v>
      </c>
      <c r="V618" s="121" t="s">
        <v>1066</v>
      </c>
      <c r="W618" s="121" t="s">
        <v>1066</v>
      </c>
      <c r="X618" s="121" t="s">
        <v>983</v>
      </c>
      <c r="Y618" s="121" t="s">
        <v>1066</v>
      </c>
      <c r="Z618" s="121" t="s">
        <v>1133</v>
      </c>
      <c r="AA618" s="121" t="s">
        <v>1067</v>
      </c>
      <c r="AB618" s="121" t="s">
        <v>1066</v>
      </c>
      <c r="AC618" s="121" t="s">
        <v>92</v>
      </c>
      <c r="AD618" s="121" t="s">
        <v>1142</v>
      </c>
      <c r="AE618" s="121" t="s">
        <v>1066</v>
      </c>
      <c r="AF618" s="121" t="s">
        <v>1066</v>
      </c>
      <c r="AG618" s="121" t="s">
        <v>1066</v>
      </c>
      <c r="AH618" s="121" t="s">
        <v>1066</v>
      </c>
      <c r="AI618" s="121" t="s">
        <v>785</v>
      </c>
      <c r="AJ618" s="121">
        <v>9140548</v>
      </c>
      <c r="AK618" s="121" t="s">
        <v>147</v>
      </c>
      <c r="AL618" s="121">
        <v>767093</v>
      </c>
      <c r="AM618" s="121" t="s">
        <v>1066</v>
      </c>
      <c r="AN618" s="121" t="s">
        <v>1066</v>
      </c>
    </row>
    <row r="619" spans="1:40" ht="55.5" customHeight="1" x14ac:dyDescent="0.25">
      <c r="A619" s="111" t="s">
        <v>3358</v>
      </c>
      <c r="B619" s="112">
        <v>2026</v>
      </c>
      <c r="C619" s="112" t="s">
        <v>1210</v>
      </c>
      <c r="D619" s="113">
        <v>46114.608900462961</v>
      </c>
      <c r="E619" s="112">
        <v>7925857080</v>
      </c>
      <c r="F619" s="112" t="s">
        <v>1654</v>
      </c>
      <c r="G619" s="112">
        <v>3</v>
      </c>
      <c r="H619" s="112">
        <v>7925857080</v>
      </c>
      <c r="I619" s="112" t="s">
        <v>3359</v>
      </c>
      <c r="J619" s="112" t="s">
        <v>1066</v>
      </c>
      <c r="K619" s="112" t="s">
        <v>1125</v>
      </c>
      <c r="L619" s="112" t="s">
        <v>1061</v>
      </c>
      <c r="M619" s="112" t="s">
        <v>478</v>
      </c>
      <c r="N619" s="113">
        <v>46514.608900462961</v>
      </c>
      <c r="O619" s="114">
        <v>19002203514</v>
      </c>
      <c r="P619" s="112">
        <v>265</v>
      </c>
      <c r="Q619" s="112" t="s">
        <v>1062</v>
      </c>
      <c r="R619" s="112" t="s">
        <v>1063</v>
      </c>
      <c r="S619" s="113">
        <v>46168.732777777775</v>
      </c>
      <c r="T619" s="112" t="s">
        <v>3360</v>
      </c>
      <c r="U619" s="112" t="s">
        <v>1065</v>
      </c>
      <c r="V619" s="112" t="s">
        <v>1066</v>
      </c>
      <c r="W619" s="112" t="s">
        <v>1066</v>
      </c>
      <c r="X619" s="112" t="s">
        <v>1066</v>
      </c>
      <c r="Y619" s="112" t="s">
        <v>1066</v>
      </c>
      <c r="Z619" s="112" t="s">
        <v>1066</v>
      </c>
      <c r="AA619" s="112" t="s">
        <v>1067</v>
      </c>
      <c r="AB619" s="112" t="s">
        <v>1066</v>
      </c>
      <c r="AC619" s="112" t="s">
        <v>92</v>
      </c>
      <c r="AD619" s="112" t="s">
        <v>1066</v>
      </c>
      <c r="AE619" s="112" t="s">
        <v>1066</v>
      </c>
      <c r="AF619" s="112" t="s">
        <v>1066</v>
      </c>
      <c r="AG619" s="112" t="s">
        <v>1066</v>
      </c>
      <c r="AH619" s="112" t="s">
        <v>1066</v>
      </c>
      <c r="AI619" s="112" t="s">
        <v>785</v>
      </c>
      <c r="AJ619" s="112">
        <v>9261057</v>
      </c>
      <c r="AK619" s="112" t="s">
        <v>1656</v>
      </c>
      <c r="AL619" s="112">
        <v>856950</v>
      </c>
      <c r="AM619" s="112" t="s">
        <v>1066</v>
      </c>
      <c r="AN619" s="112" t="s">
        <v>1066</v>
      </c>
    </row>
    <row r="620" spans="1:40" ht="55.5" customHeight="1" x14ac:dyDescent="0.25">
      <c r="A620" s="111" t="s">
        <v>3361</v>
      </c>
      <c r="B620" s="112">
        <v>2026</v>
      </c>
      <c r="C620" s="112" t="s">
        <v>1213</v>
      </c>
      <c r="D620" s="113">
        <v>46122.549942129626</v>
      </c>
      <c r="E620" s="112">
        <v>7934850227</v>
      </c>
      <c r="F620" s="112" t="s">
        <v>170</v>
      </c>
      <c r="G620" s="112">
        <v>3</v>
      </c>
      <c r="H620" s="112">
        <v>7934850227</v>
      </c>
      <c r="I620" s="112" t="s">
        <v>1450</v>
      </c>
      <c r="J620" s="112" t="s">
        <v>1066</v>
      </c>
      <c r="K620" s="112" t="s">
        <v>1125</v>
      </c>
      <c r="L620" s="112" t="s">
        <v>1061</v>
      </c>
      <c r="M620" s="112" t="s">
        <v>478</v>
      </c>
      <c r="N620" s="113">
        <v>46522.549942129626</v>
      </c>
      <c r="O620" s="114">
        <v>19002204442</v>
      </c>
      <c r="P620" s="112">
        <v>1.5449999999999999</v>
      </c>
      <c r="Q620" s="112" t="s">
        <v>1062</v>
      </c>
      <c r="R620" s="112" t="s">
        <v>1063</v>
      </c>
      <c r="S620" s="113">
        <v>46141.729166666664</v>
      </c>
      <c r="T620" s="112" t="s">
        <v>3362</v>
      </c>
      <c r="U620" s="112" t="s">
        <v>1065</v>
      </c>
      <c r="V620" s="112" t="s">
        <v>1066</v>
      </c>
      <c r="W620" s="112" t="s">
        <v>1066</v>
      </c>
      <c r="X620" s="112" t="s">
        <v>1066</v>
      </c>
      <c r="Y620" s="112" t="s">
        <v>1066</v>
      </c>
      <c r="Z620" s="112" t="s">
        <v>1066</v>
      </c>
      <c r="AA620" s="112" t="s">
        <v>1067</v>
      </c>
      <c r="AB620" s="112" t="s">
        <v>1066</v>
      </c>
      <c r="AC620" s="112" t="s">
        <v>92</v>
      </c>
      <c r="AD620" s="112" t="s">
        <v>1066</v>
      </c>
      <c r="AE620" s="112" t="s">
        <v>1066</v>
      </c>
      <c r="AF620" s="112" t="s">
        <v>1066</v>
      </c>
      <c r="AG620" s="112" t="s">
        <v>1066</v>
      </c>
      <c r="AH620" s="112" t="s">
        <v>1066</v>
      </c>
      <c r="AI620" s="112" t="s">
        <v>785</v>
      </c>
      <c r="AJ620" s="112">
        <v>9025741</v>
      </c>
      <c r="AK620" s="112" t="s">
        <v>1451</v>
      </c>
      <c r="AL620" s="112">
        <v>898262</v>
      </c>
      <c r="AM620" s="112" t="s">
        <v>1066</v>
      </c>
      <c r="AN620" s="112" t="s">
        <v>1066</v>
      </c>
    </row>
    <row r="621" spans="1:40" ht="55.5" customHeight="1" x14ac:dyDescent="0.25">
      <c r="A621" s="111" t="s">
        <v>3363</v>
      </c>
      <c r="B621" s="112">
        <v>2026</v>
      </c>
      <c r="C621" s="112" t="s">
        <v>1057</v>
      </c>
      <c r="D621" s="113">
        <v>46125.614548611113</v>
      </c>
      <c r="E621" s="112">
        <v>7923927122</v>
      </c>
      <c r="F621" s="112" t="s">
        <v>234</v>
      </c>
      <c r="G621" s="112">
        <v>1</v>
      </c>
      <c r="H621" s="112">
        <v>7923927122</v>
      </c>
      <c r="I621" s="112" t="s">
        <v>3364</v>
      </c>
      <c r="J621" s="112" t="s">
        <v>1066</v>
      </c>
      <c r="K621" s="112" t="s">
        <v>1125</v>
      </c>
      <c r="L621" s="112" t="s">
        <v>1061</v>
      </c>
      <c r="M621" s="112" t="s">
        <v>478</v>
      </c>
      <c r="N621" s="113">
        <v>46525.614548611113</v>
      </c>
      <c r="O621" s="114">
        <v>19002219834</v>
      </c>
      <c r="P621" s="112">
        <v>0</v>
      </c>
      <c r="Q621" s="112" t="s">
        <v>1062</v>
      </c>
      <c r="R621" s="112" t="s">
        <v>1063</v>
      </c>
      <c r="S621" s="113">
        <v>46185.72934027778</v>
      </c>
      <c r="T621" s="112" t="s">
        <v>3365</v>
      </c>
      <c r="U621" s="112" t="s">
        <v>1065</v>
      </c>
      <c r="V621" s="112" t="s">
        <v>1066</v>
      </c>
      <c r="W621" s="112" t="s">
        <v>1066</v>
      </c>
      <c r="X621" s="112" t="s">
        <v>1066</v>
      </c>
      <c r="Y621" s="112" t="s">
        <v>1066</v>
      </c>
      <c r="Z621" s="112" t="s">
        <v>1066</v>
      </c>
      <c r="AA621" s="112" t="s">
        <v>1067</v>
      </c>
      <c r="AB621" s="112" t="s">
        <v>1066</v>
      </c>
      <c r="AC621" s="112" t="s">
        <v>92</v>
      </c>
      <c r="AD621" s="112" t="s">
        <v>1066</v>
      </c>
      <c r="AE621" s="112" t="s">
        <v>1066</v>
      </c>
      <c r="AF621" s="112" t="s">
        <v>1066</v>
      </c>
      <c r="AG621" s="112" t="s">
        <v>1066</v>
      </c>
      <c r="AH621" s="112" t="s">
        <v>1066</v>
      </c>
      <c r="AI621" s="112" t="s">
        <v>785</v>
      </c>
      <c r="AJ621" s="112">
        <v>8867579</v>
      </c>
      <c r="AK621" s="112" t="s">
        <v>264</v>
      </c>
      <c r="AL621" s="112">
        <v>798248</v>
      </c>
      <c r="AM621" s="112" t="s">
        <v>1066</v>
      </c>
      <c r="AN621" s="112" t="s">
        <v>1066</v>
      </c>
    </row>
    <row r="622" spans="1:40" ht="55.5" customHeight="1" x14ac:dyDescent="0.25">
      <c r="A622" s="111" t="s">
        <v>3366</v>
      </c>
      <c r="B622" s="112">
        <v>2026</v>
      </c>
      <c r="C622" s="112" t="s">
        <v>1089</v>
      </c>
      <c r="D622" s="113">
        <v>46028.41065972222</v>
      </c>
      <c r="E622" s="112">
        <v>7908246250</v>
      </c>
      <c r="F622" s="112" t="s">
        <v>52</v>
      </c>
      <c r="G622" s="112">
        <v>2</v>
      </c>
      <c r="H622" s="112">
        <v>7908246250</v>
      </c>
      <c r="I622" s="112" t="s">
        <v>3367</v>
      </c>
      <c r="J622" s="112" t="s">
        <v>1092</v>
      </c>
      <c r="K622" s="112" t="s">
        <v>1093</v>
      </c>
      <c r="L622" s="112" t="s">
        <v>1061</v>
      </c>
      <c r="M622" s="112" t="s">
        <v>478</v>
      </c>
      <c r="N622" s="113">
        <v>46428.41065972222</v>
      </c>
      <c r="O622" s="114">
        <v>19002207332</v>
      </c>
      <c r="P622" s="112">
        <v>1.0660000000000001</v>
      </c>
      <c r="Q622" s="112" t="s">
        <v>1062</v>
      </c>
      <c r="R622" s="112" t="s">
        <v>1063</v>
      </c>
      <c r="S622" s="113">
        <v>46058.612141203703</v>
      </c>
      <c r="T622" s="112" t="s">
        <v>3368</v>
      </c>
      <c r="U622" s="112" t="s">
        <v>1065</v>
      </c>
      <c r="V622" s="112" t="s">
        <v>1066</v>
      </c>
      <c r="W622" s="112" t="s">
        <v>1066</v>
      </c>
      <c r="X622" s="112" t="s">
        <v>1066</v>
      </c>
      <c r="Y622" s="112" t="s">
        <v>1066</v>
      </c>
      <c r="Z622" s="112" t="s">
        <v>1066</v>
      </c>
      <c r="AA622" s="112" t="s">
        <v>1067</v>
      </c>
      <c r="AB622" s="112" t="s">
        <v>1066</v>
      </c>
      <c r="AC622" s="112" t="s">
        <v>92</v>
      </c>
      <c r="AD622" s="112" t="s">
        <v>1066</v>
      </c>
      <c r="AE622" s="112" t="s">
        <v>1066</v>
      </c>
      <c r="AF622" s="112" t="s">
        <v>1066</v>
      </c>
      <c r="AG622" s="112" t="s">
        <v>1066</v>
      </c>
      <c r="AH622" s="112" t="s">
        <v>1066</v>
      </c>
      <c r="AI622" s="112" t="s">
        <v>785</v>
      </c>
      <c r="AJ622" s="112">
        <v>8756446</v>
      </c>
      <c r="AK622" s="112" t="s">
        <v>2404</v>
      </c>
      <c r="AL622" s="112">
        <v>778250</v>
      </c>
      <c r="AM622" s="112" t="s">
        <v>1066</v>
      </c>
      <c r="AN622" s="112" t="s">
        <v>1066</v>
      </c>
    </row>
    <row r="623" spans="1:40" ht="55.5" customHeight="1" x14ac:dyDescent="0.25">
      <c r="A623" s="111" t="s">
        <v>3369</v>
      </c>
      <c r="B623" s="112">
        <v>2026</v>
      </c>
      <c r="C623" s="112" t="s">
        <v>3370</v>
      </c>
      <c r="D623" s="113">
        <v>45661.45652777778</v>
      </c>
      <c r="E623" s="112">
        <v>300056005</v>
      </c>
      <c r="F623" s="112" t="s">
        <v>3371</v>
      </c>
      <c r="G623" s="112">
        <v>3</v>
      </c>
      <c r="H623" s="112">
        <v>7956117005</v>
      </c>
      <c r="I623" s="112" t="s">
        <v>3372</v>
      </c>
      <c r="J623" s="112" t="s">
        <v>1071</v>
      </c>
      <c r="K623" s="112" t="s">
        <v>1428</v>
      </c>
      <c r="L623" s="112" t="s">
        <v>1073</v>
      </c>
      <c r="M623" s="112" t="s">
        <v>478</v>
      </c>
      <c r="N623" s="113">
        <v>46086.645046296297</v>
      </c>
      <c r="O623" s="114">
        <v>19002744453</v>
      </c>
      <c r="P623" s="112">
        <v>178</v>
      </c>
      <c r="Q623" s="112" t="s">
        <v>1131</v>
      </c>
      <c r="R623" s="112" t="s">
        <v>1198</v>
      </c>
      <c r="S623" s="113">
        <v>46101.693101851852</v>
      </c>
      <c r="T623" s="112" t="s">
        <v>3373</v>
      </c>
      <c r="U623" s="112" t="s">
        <v>1065</v>
      </c>
      <c r="V623" s="112" t="s">
        <v>1066</v>
      </c>
      <c r="W623" s="112" t="s">
        <v>1066</v>
      </c>
      <c r="X623" s="112" t="s">
        <v>1117</v>
      </c>
      <c r="Y623" s="112" t="s">
        <v>1066</v>
      </c>
      <c r="Z623" s="112" t="s">
        <v>1148</v>
      </c>
      <c r="AA623" s="112" t="s">
        <v>1067</v>
      </c>
      <c r="AB623" s="112" t="s">
        <v>1066</v>
      </c>
      <c r="AC623" s="112" t="s">
        <v>92</v>
      </c>
      <c r="AD623" s="112" t="s">
        <v>1066</v>
      </c>
      <c r="AE623" s="112" t="s">
        <v>1066</v>
      </c>
      <c r="AF623" s="112" t="s">
        <v>1066</v>
      </c>
      <c r="AG623" s="112" t="s">
        <v>1066</v>
      </c>
      <c r="AH623" s="112" t="s">
        <v>3374</v>
      </c>
      <c r="AI623" s="112" t="s">
        <v>785</v>
      </c>
      <c r="AJ623" s="112">
        <v>8569276</v>
      </c>
      <c r="AK623" s="112" t="s">
        <v>695</v>
      </c>
      <c r="AL623" s="112">
        <v>939067</v>
      </c>
      <c r="AM623" s="112" t="s">
        <v>1066</v>
      </c>
      <c r="AN623" s="112" t="s">
        <v>1066</v>
      </c>
    </row>
    <row r="624" spans="1:40" ht="55.5" customHeight="1" x14ac:dyDescent="0.25">
      <c r="A624" s="111" t="s">
        <v>3375</v>
      </c>
      <c r="B624" s="112">
        <v>2026</v>
      </c>
      <c r="C624" s="112" t="s">
        <v>3376</v>
      </c>
      <c r="D624" s="113">
        <v>46094.816342592596</v>
      </c>
      <c r="E624" s="112">
        <v>9026839055</v>
      </c>
      <c r="F624" s="112" t="s">
        <v>196</v>
      </c>
      <c r="G624" s="112">
        <v>3</v>
      </c>
      <c r="H624" s="112">
        <v>7926839055</v>
      </c>
      <c r="I624" s="112" t="s">
        <v>3377</v>
      </c>
      <c r="J624" s="112" t="s">
        <v>1071</v>
      </c>
      <c r="K624" s="112" t="s">
        <v>1508</v>
      </c>
      <c r="L624" s="112" t="s">
        <v>1073</v>
      </c>
      <c r="M624" s="112" t="s">
        <v>478</v>
      </c>
      <c r="N624" s="113">
        <v>46100.597627314812</v>
      </c>
      <c r="O624" s="114">
        <v>19001264524</v>
      </c>
      <c r="P624" s="112">
        <v>1.5589999999999999</v>
      </c>
      <c r="Q624" s="112" t="s">
        <v>1131</v>
      </c>
      <c r="R624" s="112" t="s">
        <v>1075</v>
      </c>
      <c r="S624" s="113">
        <v>46106.402592592596</v>
      </c>
      <c r="T624" s="112" t="s">
        <v>3378</v>
      </c>
      <c r="U624" s="112" t="s">
        <v>1065</v>
      </c>
      <c r="V624" s="112" t="s">
        <v>1066</v>
      </c>
      <c r="W624" s="112" t="s">
        <v>1066</v>
      </c>
      <c r="X624" s="112" t="s">
        <v>983</v>
      </c>
      <c r="Y624" s="112" t="s">
        <v>1066</v>
      </c>
      <c r="Z624" s="112" t="s">
        <v>1174</v>
      </c>
      <c r="AA624" s="112" t="s">
        <v>1067</v>
      </c>
      <c r="AB624" s="112" t="s">
        <v>1066</v>
      </c>
      <c r="AC624" s="112" t="s">
        <v>92</v>
      </c>
      <c r="AD624" s="112" t="s">
        <v>1142</v>
      </c>
      <c r="AE624" s="112" t="s">
        <v>1066</v>
      </c>
      <c r="AF624" s="112" t="s">
        <v>1066</v>
      </c>
      <c r="AG624" s="112" t="s">
        <v>1066</v>
      </c>
      <c r="AH624" s="112" t="s">
        <v>3379</v>
      </c>
      <c r="AI624" s="112" t="s">
        <v>785</v>
      </c>
      <c r="AJ624" s="112">
        <v>9006006</v>
      </c>
      <c r="AK624" s="112" t="s">
        <v>482</v>
      </c>
      <c r="AL624" s="112">
        <v>660263</v>
      </c>
      <c r="AM624" s="112" t="s">
        <v>1066</v>
      </c>
      <c r="AN624" s="112" t="s">
        <v>1066</v>
      </c>
    </row>
    <row r="625" spans="1:40" ht="55.5" customHeight="1" x14ac:dyDescent="0.25">
      <c r="A625" s="111" t="s">
        <v>3380</v>
      </c>
      <c r="B625" s="112">
        <v>2026</v>
      </c>
      <c r="C625" s="112" t="s">
        <v>3381</v>
      </c>
      <c r="D625" s="113">
        <v>46123.479872685188</v>
      </c>
      <c r="E625" s="112">
        <v>7926848026</v>
      </c>
      <c r="F625" s="112" t="s">
        <v>136</v>
      </c>
      <c r="G625" s="112">
        <v>2</v>
      </c>
      <c r="H625" s="112">
        <v>7926848026</v>
      </c>
      <c r="I625" s="112" t="s">
        <v>3382</v>
      </c>
      <c r="J625" s="112" t="s">
        <v>1071</v>
      </c>
      <c r="K625" s="112" t="s">
        <v>1323</v>
      </c>
      <c r="L625" s="112" t="s">
        <v>1073</v>
      </c>
      <c r="M625" s="112" t="s">
        <v>478</v>
      </c>
      <c r="N625" s="113">
        <v>46126.479872685188</v>
      </c>
      <c r="O625" s="114">
        <v>19002209882</v>
      </c>
      <c r="P625" s="112">
        <v>2.286</v>
      </c>
      <c r="Q625" s="112" t="s">
        <v>1062</v>
      </c>
      <c r="R625" s="112" t="s">
        <v>1075</v>
      </c>
      <c r="S625" s="113">
        <v>46125.645833333336</v>
      </c>
      <c r="T625" s="112" t="s">
        <v>3383</v>
      </c>
      <c r="U625" s="112" t="s">
        <v>1065</v>
      </c>
      <c r="V625" s="112" t="s">
        <v>1066</v>
      </c>
      <c r="W625" s="112" t="s">
        <v>1066</v>
      </c>
      <c r="X625" s="112" t="s">
        <v>1117</v>
      </c>
      <c r="Y625" s="112" t="s">
        <v>1066</v>
      </c>
      <c r="Z625" s="112" t="s">
        <v>1409</v>
      </c>
      <c r="AA625" s="112" t="s">
        <v>1067</v>
      </c>
      <c r="AB625" s="112" t="s">
        <v>1066</v>
      </c>
      <c r="AC625" s="112" t="s">
        <v>92</v>
      </c>
      <c r="AD625" s="112" t="s">
        <v>1066</v>
      </c>
      <c r="AE625" s="112" t="s">
        <v>1066</v>
      </c>
      <c r="AF625" s="112" t="s">
        <v>1066</v>
      </c>
      <c r="AG625" s="112" t="s">
        <v>1066</v>
      </c>
      <c r="AH625" s="112" t="s">
        <v>1066</v>
      </c>
      <c r="AI625" s="112" t="s">
        <v>785</v>
      </c>
      <c r="AJ625" s="112">
        <v>8783599</v>
      </c>
      <c r="AK625" s="112" t="s">
        <v>792</v>
      </c>
      <c r="AL625" s="112">
        <v>880881</v>
      </c>
      <c r="AM625" s="112" t="s">
        <v>1066</v>
      </c>
      <c r="AN625" s="112" t="s">
        <v>1066</v>
      </c>
    </row>
    <row r="626" spans="1:40" ht="55.5" customHeight="1" x14ac:dyDescent="0.25">
      <c r="A626" s="111" t="s">
        <v>3384</v>
      </c>
      <c r="B626" s="112">
        <v>2026</v>
      </c>
      <c r="C626" s="112" t="s">
        <v>1057</v>
      </c>
      <c r="D626" s="113">
        <v>46125.63863425926</v>
      </c>
      <c r="E626" s="112">
        <v>7951356092</v>
      </c>
      <c r="F626" s="112" t="s">
        <v>1090</v>
      </c>
      <c r="G626" s="112">
        <v>3</v>
      </c>
      <c r="H626" s="112">
        <v>7951356092</v>
      </c>
      <c r="I626" s="112" t="s">
        <v>1109</v>
      </c>
      <c r="J626" s="112" t="s">
        <v>1066</v>
      </c>
      <c r="K626" s="112" t="s">
        <v>1125</v>
      </c>
      <c r="L626" s="112" t="s">
        <v>1061</v>
      </c>
      <c r="M626" s="112" t="s">
        <v>478</v>
      </c>
      <c r="N626" s="113">
        <v>46525.63863425926</v>
      </c>
      <c r="O626" s="114">
        <v>19002678727</v>
      </c>
      <c r="P626" s="112">
        <v>61</v>
      </c>
      <c r="Q626" s="112" t="s">
        <v>1062</v>
      </c>
      <c r="R626" s="112" t="s">
        <v>1063</v>
      </c>
      <c r="S626" s="113">
        <v>46174.3125</v>
      </c>
      <c r="T626" s="112" t="s">
        <v>1307</v>
      </c>
      <c r="U626" s="112" t="s">
        <v>1065</v>
      </c>
      <c r="V626" s="112" t="s">
        <v>1066</v>
      </c>
      <c r="W626" s="112" t="s">
        <v>1066</v>
      </c>
      <c r="X626" s="112" t="s">
        <v>1066</v>
      </c>
      <c r="Y626" s="112" t="s">
        <v>1066</v>
      </c>
      <c r="Z626" s="112" t="s">
        <v>1066</v>
      </c>
      <c r="AA626" s="112" t="s">
        <v>1067</v>
      </c>
      <c r="AB626" s="112" t="s">
        <v>1066</v>
      </c>
      <c r="AC626" s="112" t="s">
        <v>92</v>
      </c>
      <c r="AD626" s="112" t="s">
        <v>1066</v>
      </c>
      <c r="AE626" s="112" t="s">
        <v>1066</v>
      </c>
      <c r="AF626" s="112" t="s">
        <v>1066</v>
      </c>
      <c r="AG626" s="112" t="s">
        <v>1066</v>
      </c>
      <c r="AH626" s="112" t="s">
        <v>1066</v>
      </c>
      <c r="AI626" s="112" t="s">
        <v>785</v>
      </c>
      <c r="AJ626" s="112">
        <v>8901885</v>
      </c>
      <c r="AK626" s="112" t="s">
        <v>87</v>
      </c>
      <c r="AL626" s="112">
        <v>885750</v>
      </c>
      <c r="AM626" s="112" t="s">
        <v>1066</v>
      </c>
      <c r="AN626" s="112" t="s">
        <v>1066</v>
      </c>
    </row>
    <row r="627" spans="1:40" ht="55.5" customHeight="1" x14ac:dyDescent="0.25">
      <c r="A627" s="111" t="s">
        <v>3385</v>
      </c>
      <c r="B627" s="112">
        <v>2026</v>
      </c>
      <c r="C627" s="112" t="s">
        <v>3386</v>
      </c>
      <c r="D627" s="113">
        <v>46091.672893518517</v>
      </c>
      <c r="E627" s="112" t="s">
        <v>1066</v>
      </c>
      <c r="F627" s="112" t="s">
        <v>3387</v>
      </c>
      <c r="G627" s="112" t="s">
        <v>1066</v>
      </c>
      <c r="H627" s="112" t="s">
        <v>1066</v>
      </c>
      <c r="I627" s="112" t="s">
        <v>3388</v>
      </c>
      <c r="J627" s="112" t="s">
        <v>1059</v>
      </c>
      <c r="K627" s="112" t="s">
        <v>1060</v>
      </c>
      <c r="L627" s="112" t="s">
        <v>1061</v>
      </c>
      <c r="M627" s="112" t="s">
        <v>478</v>
      </c>
      <c r="N627" s="113">
        <v>46491.672893518517</v>
      </c>
      <c r="O627" s="114">
        <v>19000248421</v>
      </c>
      <c r="P627" s="112">
        <v>0</v>
      </c>
      <c r="Q627" s="112" t="s">
        <v>1794</v>
      </c>
      <c r="R627" s="112" t="s">
        <v>1063</v>
      </c>
      <c r="S627" s="113">
        <v>46112.73170138889</v>
      </c>
      <c r="T627" s="112" t="s">
        <v>3389</v>
      </c>
      <c r="U627" s="112" t="s">
        <v>1065</v>
      </c>
      <c r="V627" s="112" t="s">
        <v>1066</v>
      </c>
      <c r="W627" s="112" t="s">
        <v>1066</v>
      </c>
      <c r="X627" s="112" t="s">
        <v>1066</v>
      </c>
      <c r="Y627" s="112" t="s">
        <v>1066</v>
      </c>
      <c r="Z627" s="112" t="s">
        <v>1066</v>
      </c>
      <c r="AA627" s="112" t="s">
        <v>1067</v>
      </c>
      <c r="AB627" s="112" t="s">
        <v>1066</v>
      </c>
      <c r="AC627" s="112" t="s">
        <v>92</v>
      </c>
      <c r="AD627" s="112" t="s">
        <v>1142</v>
      </c>
      <c r="AE627" s="112" t="s">
        <v>1066</v>
      </c>
      <c r="AF627" s="112" t="s">
        <v>1066</v>
      </c>
      <c r="AG627" s="112" t="s">
        <v>1066</v>
      </c>
      <c r="AH627" s="112" t="s">
        <v>1066</v>
      </c>
      <c r="AI627" s="112" t="s">
        <v>785</v>
      </c>
      <c r="AJ627" s="112" t="s">
        <v>1066</v>
      </c>
      <c r="AK627" s="112" t="s">
        <v>1066</v>
      </c>
      <c r="AL627" s="112" t="s">
        <v>1066</v>
      </c>
      <c r="AM627" s="112" t="s">
        <v>1066</v>
      </c>
      <c r="AN627" s="112" t="s">
        <v>1066</v>
      </c>
    </row>
    <row r="628" spans="1:40" ht="55.5" customHeight="1" x14ac:dyDescent="0.25">
      <c r="A628" s="111" t="s">
        <v>3390</v>
      </c>
      <c r="B628" s="112">
        <v>2026</v>
      </c>
      <c r="C628" s="112" t="s">
        <v>3391</v>
      </c>
      <c r="D628" s="113">
        <v>46101.610023148147</v>
      </c>
      <c r="E628" s="112">
        <v>7955789032</v>
      </c>
      <c r="F628" s="112" t="s">
        <v>1574</v>
      </c>
      <c r="G628" s="112">
        <v>3</v>
      </c>
      <c r="H628" s="112">
        <v>7955789032</v>
      </c>
      <c r="I628" s="112" t="s">
        <v>3392</v>
      </c>
      <c r="J628" s="112" t="s">
        <v>1071</v>
      </c>
      <c r="K628" s="112" t="s">
        <v>1399</v>
      </c>
      <c r="L628" s="112" t="s">
        <v>1073</v>
      </c>
      <c r="M628" s="112" t="s">
        <v>478</v>
      </c>
      <c r="N628" s="113">
        <v>46104.610023148147</v>
      </c>
      <c r="O628" s="114">
        <v>19002742896</v>
      </c>
      <c r="P628" s="112">
        <v>393</v>
      </c>
      <c r="Q628" s="112" t="s">
        <v>1062</v>
      </c>
      <c r="R628" s="112" t="s">
        <v>1075</v>
      </c>
      <c r="S628" s="113">
        <v>46120.689363425925</v>
      </c>
      <c r="T628" s="112" t="s">
        <v>3393</v>
      </c>
      <c r="U628" s="112" t="s">
        <v>1065</v>
      </c>
      <c r="V628" s="112" t="s">
        <v>1066</v>
      </c>
      <c r="W628" s="112" t="s">
        <v>1066</v>
      </c>
      <c r="X628" s="112" t="s">
        <v>1066</v>
      </c>
      <c r="Y628" s="112" t="s">
        <v>1066</v>
      </c>
      <c r="Z628" s="112" t="s">
        <v>1066</v>
      </c>
      <c r="AA628" s="112" t="s">
        <v>1067</v>
      </c>
      <c r="AB628" s="112" t="s">
        <v>1066</v>
      </c>
      <c r="AC628" s="112" t="s">
        <v>92</v>
      </c>
      <c r="AD628" s="112" t="s">
        <v>1066</v>
      </c>
      <c r="AE628" s="112" t="s">
        <v>1066</v>
      </c>
      <c r="AF628" s="112" t="s">
        <v>1066</v>
      </c>
      <c r="AG628" s="112" t="s">
        <v>1066</v>
      </c>
      <c r="AH628" s="112" t="s">
        <v>1066</v>
      </c>
      <c r="AI628" s="112" t="s">
        <v>785</v>
      </c>
      <c r="AJ628" s="112">
        <v>8584846</v>
      </c>
      <c r="AK628" s="112" t="s">
        <v>469</v>
      </c>
      <c r="AL628" s="112">
        <v>622303</v>
      </c>
      <c r="AM628" s="112" t="s">
        <v>1066</v>
      </c>
      <c r="AN628" s="112" t="s">
        <v>1066</v>
      </c>
    </row>
    <row r="629" spans="1:40" ht="55.5" customHeight="1" x14ac:dyDescent="0.25">
      <c r="A629" s="111" t="s">
        <v>3394</v>
      </c>
      <c r="B629" s="112">
        <v>2026</v>
      </c>
      <c r="C629" s="112" t="s">
        <v>3395</v>
      </c>
      <c r="D629" s="113">
        <v>46043.513796296298</v>
      </c>
      <c r="E629" s="112">
        <v>9000825016</v>
      </c>
      <c r="F629" s="112" t="s">
        <v>1654</v>
      </c>
      <c r="G629" s="112">
        <v>3</v>
      </c>
      <c r="H629" s="112">
        <v>7925732016</v>
      </c>
      <c r="I629" s="112" t="s">
        <v>3041</v>
      </c>
      <c r="J629" s="112" t="s">
        <v>1071</v>
      </c>
      <c r="K629" s="112" t="s">
        <v>1115</v>
      </c>
      <c r="L629" s="112" t="s">
        <v>1073</v>
      </c>
      <c r="M629" s="112" t="s">
        <v>478</v>
      </c>
      <c r="N629" s="113">
        <v>46046.513796296298</v>
      </c>
      <c r="O629" s="114">
        <v>19001239483</v>
      </c>
      <c r="P629" s="112">
        <v>463</v>
      </c>
      <c r="Q629" s="112" t="s">
        <v>1131</v>
      </c>
      <c r="R629" s="112" t="s">
        <v>1075</v>
      </c>
      <c r="S629" s="113">
        <v>46045.558171296296</v>
      </c>
      <c r="T629" s="112" t="s">
        <v>3396</v>
      </c>
      <c r="U629" s="112" t="s">
        <v>1065</v>
      </c>
      <c r="V629" s="112" t="s">
        <v>1066</v>
      </c>
      <c r="W629" s="112" t="s">
        <v>1066</v>
      </c>
      <c r="X629" s="112" t="s">
        <v>983</v>
      </c>
      <c r="Y629" s="112" t="s">
        <v>1066</v>
      </c>
      <c r="Z629" s="112" t="s">
        <v>1148</v>
      </c>
      <c r="AA629" s="112" t="s">
        <v>1067</v>
      </c>
      <c r="AB629" s="112" t="s">
        <v>1066</v>
      </c>
      <c r="AC629" s="112" t="s">
        <v>92</v>
      </c>
      <c r="AD629" s="112" t="s">
        <v>1142</v>
      </c>
      <c r="AE629" s="112" t="s">
        <v>1066</v>
      </c>
      <c r="AF629" s="112" t="s">
        <v>1066</v>
      </c>
      <c r="AG629" s="112" t="s">
        <v>1066</v>
      </c>
      <c r="AH629" s="112" t="s">
        <v>1066</v>
      </c>
      <c r="AI629" s="112" t="s">
        <v>785</v>
      </c>
      <c r="AJ629" s="112">
        <v>9216317</v>
      </c>
      <c r="AK629" s="112" t="s">
        <v>537</v>
      </c>
      <c r="AL629" s="112">
        <v>815633</v>
      </c>
      <c r="AM629" s="112" t="s">
        <v>1066</v>
      </c>
      <c r="AN629" s="112" t="s">
        <v>1066</v>
      </c>
    </row>
    <row r="630" spans="1:40" ht="55.5" customHeight="1" x14ac:dyDescent="0.25">
      <c r="A630" s="111" t="s">
        <v>3397</v>
      </c>
      <c r="B630" s="112">
        <v>2026</v>
      </c>
      <c r="C630" s="112" t="s">
        <v>1057</v>
      </c>
      <c r="D630" s="113">
        <v>46125.584386574075</v>
      </c>
      <c r="E630" s="112">
        <v>7924614139</v>
      </c>
      <c r="F630" s="112" t="s">
        <v>1740</v>
      </c>
      <c r="G630" s="112">
        <v>1</v>
      </c>
      <c r="H630" s="112">
        <v>7924614139</v>
      </c>
      <c r="I630" s="112" t="s">
        <v>3398</v>
      </c>
      <c r="J630" s="112" t="s">
        <v>1066</v>
      </c>
      <c r="K630" s="112" t="s">
        <v>1125</v>
      </c>
      <c r="L630" s="112" t="s">
        <v>1061</v>
      </c>
      <c r="M630" s="112" t="s">
        <v>478</v>
      </c>
      <c r="N630" s="113">
        <v>46525.584386574075</v>
      </c>
      <c r="O630" s="114">
        <v>19002206400</v>
      </c>
      <c r="P630" s="112">
        <v>0</v>
      </c>
      <c r="Q630" s="112" t="s">
        <v>1062</v>
      </c>
      <c r="R630" s="112" t="s">
        <v>1063</v>
      </c>
      <c r="S630" s="113">
        <v>46162.729444444441</v>
      </c>
      <c r="T630" s="112" t="s">
        <v>3399</v>
      </c>
      <c r="U630" s="112" t="s">
        <v>1065</v>
      </c>
      <c r="V630" s="112" t="s">
        <v>1066</v>
      </c>
      <c r="W630" s="112" t="s">
        <v>1066</v>
      </c>
      <c r="X630" s="112" t="s">
        <v>1066</v>
      </c>
      <c r="Y630" s="112" t="s">
        <v>1066</v>
      </c>
      <c r="Z630" s="112" t="s">
        <v>1066</v>
      </c>
      <c r="AA630" s="112" t="s">
        <v>1067</v>
      </c>
      <c r="AB630" s="112" t="s">
        <v>1066</v>
      </c>
      <c r="AC630" s="112" t="s">
        <v>92</v>
      </c>
      <c r="AD630" s="112" t="s">
        <v>1066</v>
      </c>
      <c r="AE630" s="112" t="s">
        <v>1066</v>
      </c>
      <c r="AF630" s="112" t="s">
        <v>1066</v>
      </c>
      <c r="AG630" s="112" t="s">
        <v>1066</v>
      </c>
      <c r="AH630" s="112" t="s">
        <v>1066</v>
      </c>
      <c r="AI630" s="112" t="s">
        <v>785</v>
      </c>
      <c r="AJ630" s="112">
        <v>8646197</v>
      </c>
      <c r="AK630" s="112" t="s">
        <v>1787</v>
      </c>
      <c r="AL630" s="112">
        <v>636025</v>
      </c>
      <c r="AM630" s="112" t="s">
        <v>1066</v>
      </c>
      <c r="AN630" s="112" t="s">
        <v>1066</v>
      </c>
    </row>
    <row r="631" spans="1:40" ht="55.5" customHeight="1" x14ac:dyDescent="0.25">
      <c r="A631" s="115" t="s">
        <v>3400</v>
      </c>
      <c r="B631" s="116">
        <v>2026</v>
      </c>
      <c r="C631" s="116" t="s">
        <v>3401</v>
      </c>
      <c r="D631" s="118">
        <v>46045.883368055554</v>
      </c>
      <c r="E631" s="116">
        <v>9040227063</v>
      </c>
      <c r="F631" s="116" t="s">
        <v>148</v>
      </c>
      <c r="G631" s="116">
        <v>1</v>
      </c>
      <c r="H631" s="116">
        <v>5840227063</v>
      </c>
      <c r="I631" s="116" t="s">
        <v>1098</v>
      </c>
      <c r="J631" s="116" t="s">
        <v>1071</v>
      </c>
      <c r="K631" s="116" t="s">
        <v>1099</v>
      </c>
      <c r="L631" s="116" t="s">
        <v>1073</v>
      </c>
      <c r="M631" s="116" t="s">
        <v>588</v>
      </c>
      <c r="N631" s="118">
        <v>46166.398738425924</v>
      </c>
      <c r="O631" s="119">
        <v>19002682666</v>
      </c>
      <c r="P631" s="116">
        <v>1.5840000000000001</v>
      </c>
      <c r="Q631" s="116" t="s">
        <v>1074</v>
      </c>
      <c r="R631" s="116" t="s">
        <v>1263</v>
      </c>
      <c r="S631" s="116" t="s">
        <v>1066</v>
      </c>
      <c r="T631" s="116" t="s">
        <v>1066</v>
      </c>
      <c r="U631" s="116" t="s">
        <v>1066</v>
      </c>
      <c r="V631" s="116" t="s">
        <v>1066</v>
      </c>
      <c r="W631" s="116" t="s">
        <v>1066</v>
      </c>
      <c r="X631" s="116" t="s">
        <v>1100</v>
      </c>
      <c r="Y631" s="116" t="s">
        <v>1066</v>
      </c>
      <c r="Z631" s="116" t="s">
        <v>1101</v>
      </c>
      <c r="AA631" s="116" t="s">
        <v>1067</v>
      </c>
      <c r="AB631" s="116" t="s">
        <v>1066</v>
      </c>
      <c r="AC631" s="116" t="s">
        <v>92</v>
      </c>
      <c r="AD631" s="116" t="s">
        <v>1066</v>
      </c>
      <c r="AE631" s="116" t="s">
        <v>1066</v>
      </c>
      <c r="AF631" s="116" t="s">
        <v>1066</v>
      </c>
      <c r="AG631" s="116" t="s">
        <v>1066</v>
      </c>
      <c r="AH631" s="116" t="s">
        <v>1102</v>
      </c>
      <c r="AI631" s="116" t="s">
        <v>785</v>
      </c>
      <c r="AJ631" s="116">
        <v>9138624</v>
      </c>
      <c r="AK631" s="116" t="s">
        <v>253</v>
      </c>
      <c r="AL631" s="116">
        <v>779435</v>
      </c>
      <c r="AM631" s="116" t="s">
        <v>1066</v>
      </c>
      <c r="AN631" s="116" t="s">
        <v>1066</v>
      </c>
    </row>
    <row r="632" spans="1:40" ht="55.5" customHeight="1" x14ac:dyDescent="0.25">
      <c r="A632" s="111" t="s">
        <v>3402</v>
      </c>
      <c r="B632" s="112">
        <v>2026</v>
      </c>
      <c r="C632" s="112" t="s">
        <v>3403</v>
      </c>
      <c r="D632" s="113">
        <v>46063.668912037036</v>
      </c>
      <c r="E632" s="112" t="s">
        <v>1066</v>
      </c>
      <c r="F632" s="112" t="s">
        <v>1654</v>
      </c>
      <c r="G632" s="112" t="s">
        <v>1066</v>
      </c>
      <c r="H632" s="112">
        <v>5800366016</v>
      </c>
      <c r="I632" s="112" t="s">
        <v>2957</v>
      </c>
      <c r="J632" s="112" t="s">
        <v>1231</v>
      </c>
      <c r="K632" s="112" t="s">
        <v>1232</v>
      </c>
      <c r="L632" s="112" t="s">
        <v>1084</v>
      </c>
      <c r="M632" s="112" t="s">
        <v>478</v>
      </c>
      <c r="N632" s="113">
        <v>46139.460381944446</v>
      </c>
      <c r="O632" s="114">
        <v>19002682934</v>
      </c>
      <c r="P632" s="112">
        <v>0</v>
      </c>
      <c r="Q632" s="112" t="s">
        <v>1074</v>
      </c>
      <c r="R632" s="112" t="s">
        <v>1206</v>
      </c>
      <c r="S632" s="113">
        <v>46079.623611111114</v>
      </c>
      <c r="T632" s="112" t="s">
        <v>3404</v>
      </c>
      <c r="U632" s="112" t="s">
        <v>1065</v>
      </c>
      <c r="V632" s="112" t="s">
        <v>1066</v>
      </c>
      <c r="W632" s="112" t="s">
        <v>1066</v>
      </c>
      <c r="X632" s="112" t="s">
        <v>1077</v>
      </c>
      <c r="Y632" s="112" t="s">
        <v>1066</v>
      </c>
      <c r="Z632" s="112" t="s">
        <v>1066</v>
      </c>
      <c r="AA632" s="112" t="s">
        <v>1067</v>
      </c>
      <c r="AB632" s="112" t="s">
        <v>1066</v>
      </c>
      <c r="AC632" s="112" t="s">
        <v>92</v>
      </c>
      <c r="AD632" s="112" t="s">
        <v>1066</v>
      </c>
      <c r="AE632" s="112" t="s">
        <v>1066</v>
      </c>
      <c r="AF632" s="112" t="s">
        <v>1066</v>
      </c>
      <c r="AG632" s="112" t="s">
        <v>1066</v>
      </c>
      <c r="AH632" s="112" t="s">
        <v>3405</v>
      </c>
      <c r="AI632" s="112" t="s">
        <v>785</v>
      </c>
      <c r="AJ632" s="112">
        <v>9241712</v>
      </c>
      <c r="AK632" s="112" t="s">
        <v>537</v>
      </c>
      <c r="AL632" s="112">
        <v>834683</v>
      </c>
      <c r="AM632" s="112" t="s">
        <v>1066</v>
      </c>
      <c r="AN632" s="112" t="s">
        <v>1066</v>
      </c>
    </row>
    <row r="633" spans="1:40" ht="55.5" customHeight="1" x14ac:dyDescent="0.25">
      <c r="A633" s="124" t="s">
        <v>3406</v>
      </c>
      <c r="B633" s="125">
        <v>2026</v>
      </c>
      <c r="C633" s="125" t="s">
        <v>3407</v>
      </c>
      <c r="D633" s="126">
        <v>46109.719409722224</v>
      </c>
      <c r="E633" s="125" t="s">
        <v>1066</v>
      </c>
      <c r="F633" s="125" t="s">
        <v>1066</v>
      </c>
      <c r="G633" s="125" t="s">
        <v>1066</v>
      </c>
      <c r="H633" s="125" t="s">
        <v>1066</v>
      </c>
      <c r="I633" s="125" t="s">
        <v>1066</v>
      </c>
      <c r="J633" s="125" t="s">
        <v>1071</v>
      </c>
      <c r="K633" s="125" t="s">
        <v>1580</v>
      </c>
      <c r="L633" s="125" t="s">
        <v>1073</v>
      </c>
      <c r="M633" s="125" t="s">
        <v>510</v>
      </c>
      <c r="N633" s="126">
        <v>46112.804942129631</v>
      </c>
      <c r="O633" s="125" t="s">
        <v>1066</v>
      </c>
      <c r="P633" s="125">
        <v>0</v>
      </c>
      <c r="Q633" s="125" t="s">
        <v>1066</v>
      </c>
      <c r="R633" s="125" t="s">
        <v>1263</v>
      </c>
      <c r="S633" s="125" t="s">
        <v>1066</v>
      </c>
      <c r="T633" s="125" t="s">
        <v>1066</v>
      </c>
      <c r="U633" s="125" t="s">
        <v>1066</v>
      </c>
      <c r="V633" s="125" t="s">
        <v>1066</v>
      </c>
      <c r="W633" s="125" t="s">
        <v>1066</v>
      </c>
      <c r="X633" s="125" t="s">
        <v>1066</v>
      </c>
      <c r="Y633" s="125" t="s">
        <v>1066</v>
      </c>
      <c r="Z633" s="125" t="s">
        <v>1066</v>
      </c>
      <c r="AA633" s="125" t="s">
        <v>1067</v>
      </c>
      <c r="AB633" s="125" t="s">
        <v>1066</v>
      </c>
      <c r="AC633" s="125" t="s">
        <v>92</v>
      </c>
      <c r="AD633" s="125" t="s">
        <v>1066</v>
      </c>
      <c r="AE633" s="125" t="s">
        <v>1066</v>
      </c>
      <c r="AF633" s="125" t="s">
        <v>1066</v>
      </c>
      <c r="AG633" s="125" t="s">
        <v>1066</v>
      </c>
      <c r="AH633" s="125" t="s">
        <v>3408</v>
      </c>
      <c r="AI633" s="125" t="s">
        <v>785</v>
      </c>
      <c r="AJ633" s="125" t="s">
        <v>1066</v>
      </c>
      <c r="AK633" s="125" t="s">
        <v>1066</v>
      </c>
      <c r="AL633" s="125" t="s">
        <v>1066</v>
      </c>
      <c r="AM633" s="125" t="s">
        <v>1066</v>
      </c>
      <c r="AN633" s="125" t="s">
        <v>1066</v>
      </c>
    </row>
    <row r="634" spans="1:40" ht="55.5" customHeight="1" x14ac:dyDescent="0.25">
      <c r="A634" s="111" t="s">
        <v>3409</v>
      </c>
      <c r="B634" s="112">
        <v>2026</v>
      </c>
      <c r="C634" s="112" t="s">
        <v>3410</v>
      </c>
      <c r="D634" s="113">
        <v>46118.383032407408</v>
      </c>
      <c r="E634" s="112">
        <v>9000662071</v>
      </c>
      <c r="F634" s="112" t="s">
        <v>423</v>
      </c>
      <c r="G634" s="112">
        <v>2</v>
      </c>
      <c r="H634" s="112">
        <v>7900663071</v>
      </c>
      <c r="I634" s="112" t="s">
        <v>3411</v>
      </c>
      <c r="J634" s="112" t="s">
        <v>1071</v>
      </c>
      <c r="K634" s="112" t="s">
        <v>2694</v>
      </c>
      <c r="L634" s="112" t="s">
        <v>1073</v>
      </c>
      <c r="M634" s="112" t="s">
        <v>478</v>
      </c>
      <c r="N634" s="113">
        <v>46121.406967592593</v>
      </c>
      <c r="O634" s="114">
        <v>19000111511</v>
      </c>
      <c r="P634" s="112">
        <v>2</v>
      </c>
      <c r="Q634" s="112" t="s">
        <v>1131</v>
      </c>
      <c r="R634" s="112" t="s">
        <v>1324</v>
      </c>
      <c r="S634" s="113">
        <v>46205.650648148148</v>
      </c>
      <c r="T634" s="112" t="s">
        <v>3412</v>
      </c>
      <c r="U634" s="112" t="s">
        <v>1065</v>
      </c>
      <c r="V634" s="112" t="s">
        <v>1066</v>
      </c>
      <c r="W634" s="112" t="s">
        <v>1066</v>
      </c>
      <c r="X634" s="112" t="s">
        <v>1148</v>
      </c>
      <c r="Y634" s="112" t="s">
        <v>1066</v>
      </c>
      <c r="Z634" s="112" t="s">
        <v>1148</v>
      </c>
      <c r="AA634" s="112" t="s">
        <v>1067</v>
      </c>
      <c r="AB634" s="112" t="s">
        <v>1066</v>
      </c>
      <c r="AC634" s="112" t="s">
        <v>92</v>
      </c>
      <c r="AD634" s="112" t="s">
        <v>1142</v>
      </c>
      <c r="AE634" s="112" t="s">
        <v>1066</v>
      </c>
      <c r="AF634" s="112" t="s">
        <v>1066</v>
      </c>
      <c r="AG634" s="112" t="s">
        <v>1066</v>
      </c>
      <c r="AH634" s="112" t="s">
        <v>3413</v>
      </c>
      <c r="AI634" s="112" t="s">
        <v>785</v>
      </c>
      <c r="AJ634" s="112">
        <v>8781770</v>
      </c>
      <c r="AK634" s="112" t="s">
        <v>1930</v>
      </c>
      <c r="AL634" s="112">
        <v>766351</v>
      </c>
      <c r="AM634" s="112" t="s">
        <v>1066</v>
      </c>
      <c r="AN634" s="112" t="s">
        <v>1066</v>
      </c>
    </row>
    <row r="635" spans="1:40" ht="55.5" customHeight="1" x14ac:dyDescent="0.25">
      <c r="A635" s="111" t="s">
        <v>3414</v>
      </c>
      <c r="B635" s="112">
        <v>2026</v>
      </c>
      <c r="C635" s="112" t="s">
        <v>1057</v>
      </c>
      <c r="D635" s="113">
        <v>46125.63863425926</v>
      </c>
      <c r="E635" s="112">
        <v>7925588055</v>
      </c>
      <c r="F635" s="112" t="s">
        <v>1415</v>
      </c>
      <c r="G635" s="112">
        <v>3</v>
      </c>
      <c r="H635" s="112">
        <v>7925588055</v>
      </c>
      <c r="I635" s="112" t="s">
        <v>3415</v>
      </c>
      <c r="J635" s="112" t="s">
        <v>1066</v>
      </c>
      <c r="K635" s="112" t="s">
        <v>1125</v>
      </c>
      <c r="L635" s="112" t="s">
        <v>1061</v>
      </c>
      <c r="M635" s="112" t="s">
        <v>478</v>
      </c>
      <c r="N635" s="113">
        <v>46525.63863425926</v>
      </c>
      <c r="O635" s="114">
        <v>19002225740</v>
      </c>
      <c r="P635" s="112">
        <v>159</v>
      </c>
      <c r="Q635" s="112" t="s">
        <v>1062</v>
      </c>
      <c r="R635" s="112" t="s">
        <v>1063</v>
      </c>
      <c r="S635" s="113">
        <v>46174.3125</v>
      </c>
      <c r="T635" s="112" t="s">
        <v>1307</v>
      </c>
      <c r="U635" s="112" t="s">
        <v>1065</v>
      </c>
      <c r="V635" s="112" t="s">
        <v>1066</v>
      </c>
      <c r="W635" s="112" t="s">
        <v>1066</v>
      </c>
      <c r="X635" s="112" t="s">
        <v>1066</v>
      </c>
      <c r="Y635" s="112" t="s">
        <v>1066</v>
      </c>
      <c r="Z635" s="112" t="s">
        <v>1066</v>
      </c>
      <c r="AA635" s="112" t="s">
        <v>1067</v>
      </c>
      <c r="AB635" s="112" t="s">
        <v>1066</v>
      </c>
      <c r="AC635" s="112" t="s">
        <v>92</v>
      </c>
      <c r="AD635" s="112" t="s">
        <v>1066</v>
      </c>
      <c r="AE635" s="112" t="s">
        <v>1066</v>
      </c>
      <c r="AF635" s="112" t="s">
        <v>1066</v>
      </c>
      <c r="AG635" s="112" t="s">
        <v>1066</v>
      </c>
      <c r="AH635" s="112" t="s">
        <v>1066</v>
      </c>
      <c r="AI635" s="112" t="s">
        <v>785</v>
      </c>
      <c r="AJ635" s="112">
        <v>8984837</v>
      </c>
      <c r="AK635" s="112" t="s">
        <v>482</v>
      </c>
      <c r="AL635" s="112">
        <v>672679</v>
      </c>
      <c r="AM635" s="112" t="s">
        <v>1066</v>
      </c>
      <c r="AN635" s="112" t="s">
        <v>1066</v>
      </c>
    </row>
    <row r="636" spans="1:40" ht="55.5" customHeight="1" x14ac:dyDescent="0.25">
      <c r="A636" s="111" t="s">
        <v>3416</v>
      </c>
      <c r="B636" s="112">
        <v>2026</v>
      </c>
      <c r="C636" s="112" t="s">
        <v>1080</v>
      </c>
      <c r="D636" s="113">
        <v>46154.726712962962</v>
      </c>
      <c r="E636" s="112">
        <v>7957466015</v>
      </c>
      <c r="F636" s="112" t="s">
        <v>289</v>
      </c>
      <c r="G636" s="112">
        <v>3</v>
      </c>
      <c r="H636" s="112">
        <v>7957466015</v>
      </c>
      <c r="I636" s="112" t="s">
        <v>3225</v>
      </c>
      <c r="J636" s="112" t="s">
        <v>1082</v>
      </c>
      <c r="K636" s="112" t="s">
        <v>1083</v>
      </c>
      <c r="L636" s="112" t="s">
        <v>1084</v>
      </c>
      <c r="M636" s="112" t="s">
        <v>478</v>
      </c>
      <c r="N636" s="113">
        <v>46214.729594907411</v>
      </c>
      <c r="O636" s="114">
        <v>19002745205</v>
      </c>
      <c r="P636" s="112">
        <v>89</v>
      </c>
      <c r="Q636" s="112" t="s">
        <v>1062</v>
      </c>
      <c r="R636" s="112" t="s">
        <v>1085</v>
      </c>
      <c r="S636" s="113">
        <v>46169.665277777778</v>
      </c>
      <c r="T636" s="112" t="s">
        <v>3417</v>
      </c>
      <c r="U636" s="112" t="s">
        <v>1065</v>
      </c>
      <c r="V636" s="112" t="s">
        <v>1066</v>
      </c>
      <c r="W636" s="112" t="s">
        <v>1066</v>
      </c>
      <c r="X636" s="112" t="s">
        <v>1066</v>
      </c>
      <c r="Y636" s="112" t="s">
        <v>1066</v>
      </c>
      <c r="Z636" s="112" t="s">
        <v>1066</v>
      </c>
      <c r="AA636" s="112" t="s">
        <v>1067</v>
      </c>
      <c r="AB636" s="112" t="s">
        <v>1066</v>
      </c>
      <c r="AC636" s="112" t="s">
        <v>92</v>
      </c>
      <c r="AD636" s="112" t="s">
        <v>1066</v>
      </c>
      <c r="AE636" s="112" t="s">
        <v>1066</v>
      </c>
      <c r="AF636" s="112" t="s">
        <v>1066</v>
      </c>
      <c r="AG636" s="112" t="s">
        <v>1066</v>
      </c>
      <c r="AH636" s="112" t="s">
        <v>3418</v>
      </c>
      <c r="AI636" s="112" t="s">
        <v>785</v>
      </c>
      <c r="AJ636" s="112">
        <v>8982725</v>
      </c>
      <c r="AK636" s="112" t="s">
        <v>288</v>
      </c>
      <c r="AL636" s="112">
        <v>830824</v>
      </c>
      <c r="AM636" s="112" t="s">
        <v>1066</v>
      </c>
      <c r="AN636" s="112" t="s">
        <v>1066</v>
      </c>
    </row>
    <row r="637" spans="1:40" ht="55.5" customHeight="1" x14ac:dyDescent="0.25">
      <c r="A637" s="111" t="s">
        <v>3419</v>
      </c>
      <c r="B637" s="112">
        <v>2026</v>
      </c>
      <c r="C637" s="112" t="s">
        <v>1089</v>
      </c>
      <c r="D637" s="113">
        <v>46028.41065972222</v>
      </c>
      <c r="E637" s="112">
        <v>7900302055</v>
      </c>
      <c r="F637" s="112" t="s">
        <v>196</v>
      </c>
      <c r="G637" s="112">
        <v>3</v>
      </c>
      <c r="H637" s="112">
        <v>7900302055</v>
      </c>
      <c r="I637" s="112" t="s">
        <v>1411</v>
      </c>
      <c r="J637" s="112" t="s">
        <v>1092</v>
      </c>
      <c r="K637" s="112" t="s">
        <v>1093</v>
      </c>
      <c r="L637" s="112" t="s">
        <v>1061</v>
      </c>
      <c r="M637" s="112" t="s">
        <v>478</v>
      </c>
      <c r="N637" s="113">
        <v>46428.41065972222</v>
      </c>
      <c r="O637" s="114">
        <v>19002260846</v>
      </c>
      <c r="P637" s="112">
        <v>555</v>
      </c>
      <c r="Q637" s="112" t="s">
        <v>1062</v>
      </c>
      <c r="R637" s="112" t="s">
        <v>1063</v>
      </c>
      <c r="S637" s="113">
        <v>46164.444444444445</v>
      </c>
      <c r="T637" s="112" t="s">
        <v>3420</v>
      </c>
      <c r="U637" s="112" t="s">
        <v>1065</v>
      </c>
      <c r="V637" s="112" t="s">
        <v>1066</v>
      </c>
      <c r="W637" s="112" t="s">
        <v>1066</v>
      </c>
      <c r="X637" s="112" t="s">
        <v>1066</v>
      </c>
      <c r="Y637" s="112" t="s">
        <v>1066</v>
      </c>
      <c r="Z637" s="112" t="s">
        <v>1066</v>
      </c>
      <c r="AA637" s="112" t="s">
        <v>1067</v>
      </c>
      <c r="AB637" s="112" t="s">
        <v>1066</v>
      </c>
      <c r="AC637" s="112" t="s">
        <v>92</v>
      </c>
      <c r="AD637" s="112" t="s">
        <v>1066</v>
      </c>
      <c r="AE637" s="112" t="s">
        <v>1066</v>
      </c>
      <c r="AF637" s="112" t="s">
        <v>1066</v>
      </c>
      <c r="AG637" s="112" t="s">
        <v>1066</v>
      </c>
      <c r="AH637" s="112" t="s">
        <v>1066</v>
      </c>
      <c r="AI637" s="112" t="s">
        <v>785</v>
      </c>
      <c r="AJ637" s="112">
        <v>9033370</v>
      </c>
      <c r="AK637" s="112" t="s">
        <v>482</v>
      </c>
      <c r="AL637" s="112">
        <v>678769</v>
      </c>
      <c r="AM637" s="112" t="s">
        <v>1066</v>
      </c>
      <c r="AN637" s="112" t="s">
        <v>1066</v>
      </c>
    </row>
    <row r="638" spans="1:40" ht="55.5" customHeight="1" x14ac:dyDescent="0.25">
      <c r="A638" s="115" t="s">
        <v>3421</v>
      </c>
      <c r="B638" s="116">
        <v>2026</v>
      </c>
      <c r="C638" s="116" t="s">
        <v>3319</v>
      </c>
      <c r="D638" s="118">
        <v>46013.608807870369</v>
      </c>
      <c r="E638" s="116">
        <v>3319797060</v>
      </c>
      <c r="F638" s="116" t="s">
        <v>254</v>
      </c>
      <c r="G638" s="116">
        <v>3</v>
      </c>
      <c r="H638" s="116">
        <v>7962635060</v>
      </c>
      <c r="I638" s="116" t="s">
        <v>1596</v>
      </c>
      <c r="J638" s="116" t="s">
        <v>1231</v>
      </c>
      <c r="K638" s="116" t="s">
        <v>1232</v>
      </c>
      <c r="L638" s="116" t="s">
        <v>1084</v>
      </c>
      <c r="M638" s="116" t="s">
        <v>588</v>
      </c>
      <c r="N638" s="118">
        <v>46189.62158564815</v>
      </c>
      <c r="O638" s="119">
        <v>19002812230</v>
      </c>
      <c r="P638" s="116">
        <v>14</v>
      </c>
      <c r="Q638" s="116" t="s">
        <v>1131</v>
      </c>
      <c r="R638" s="116" t="s">
        <v>1206</v>
      </c>
      <c r="S638" s="116" t="s">
        <v>1066</v>
      </c>
      <c r="T638" s="116" t="s">
        <v>1066</v>
      </c>
      <c r="U638" s="116" t="s">
        <v>1066</v>
      </c>
      <c r="V638" s="116" t="s">
        <v>1066</v>
      </c>
      <c r="W638" s="116" t="s">
        <v>1066</v>
      </c>
      <c r="X638" s="116" t="s">
        <v>983</v>
      </c>
      <c r="Y638" s="116" t="s">
        <v>1066</v>
      </c>
      <c r="Z638" s="116" t="s">
        <v>1066</v>
      </c>
      <c r="AA638" s="116" t="s">
        <v>1067</v>
      </c>
      <c r="AB638" s="116" t="s">
        <v>1066</v>
      </c>
      <c r="AC638" s="116" t="s">
        <v>92</v>
      </c>
      <c r="AD638" s="116" t="s">
        <v>1066</v>
      </c>
      <c r="AE638" s="116" t="s">
        <v>1066</v>
      </c>
      <c r="AF638" s="116" t="s">
        <v>1066</v>
      </c>
      <c r="AG638" s="116" t="s">
        <v>1066</v>
      </c>
      <c r="AH638" s="116" t="s">
        <v>1598</v>
      </c>
      <c r="AI638" s="116" t="s">
        <v>785</v>
      </c>
      <c r="AJ638" s="116">
        <v>9172142</v>
      </c>
      <c r="AK638" s="116" t="s">
        <v>69</v>
      </c>
      <c r="AL638" s="116">
        <v>789404</v>
      </c>
      <c r="AM638" s="116" t="s">
        <v>1066</v>
      </c>
      <c r="AN638" s="116" t="s">
        <v>1066</v>
      </c>
    </row>
    <row r="639" spans="1:40" ht="55.5" customHeight="1" x14ac:dyDescent="0.25">
      <c r="A639" s="111" t="s">
        <v>3422</v>
      </c>
      <c r="B639" s="112">
        <v>2026</v>
      </c>
      <c r="C639" s="112" t="s">
        <v>1240</v>
      </c>
      <c r="D639" s="113">
        <v>46183.597349537034</v>
      </c>
      <c r="E639" s="112">
        <v>7838113073</v>
      </c>
      <c r="F639" s="112" t="s">
        <v>3423</v>
      </c>
      <c r="G639" s="112">
        <v>3</v>
      </c>
      <c r="H639" s="112">
        <v>7838113073</v>
      </c>
      <c r="I639" s="112" t="s">
        <v>3424</v>
      </c>
      <c r="J639" s="112" t="s">
        <v>1066</v>
      </c>
      <c r="K639" s="112" t="s">
        <v>1125</v>
      </c>
      <c r="L639" s="112" t="s">
        <v>1061</v>
      </c>
      <c r="M639" s="112" t="s">
        <v>478</v>
      </c>
      <c r="N639" s="113">
        <v>46583.597349537034</v>
      </c>
      <c r="O639" s="114">
        <v>19002296005</v>
      </c>
      <c r="P639" s="112">
        <v>73</v>
      </c>
      <c r="Q639" s="112" t="s">
        <v>1062</v>
      </c>
      <c r="R639" s="112" t="s">
        <v>1063</v>
      </c>
      <c r="S639" s="113">
        <v>46209.589456018519</v>
      </c>
      <c r="T639" s="112" t="s">
        <v>3425</v>
      </c>
      <c r="U639" s="112" t="s">
        <v>1065</v>
      </c>
      <c r="V639" s="112" t="s">
        <v>1066</v>
      </c>
      <c r="W639" s="112" t="s">
        <v>1066</v>
      </c>
      <c r="X639" s="112" t="s">
        <v>1066</v>
      </c>
      <c r="Y639" s="112" t="s">
        <v>1066</v>
      </c>
      <c r="Z639" s="112" t="s">
        <v>1066</v>
      </c>
      <c r="AA639" s="112" t="s">
        <v>1067</v>
      </c>
      <c r="AB639" s="112" t="s">
        <v>1066</v>
      </c>
      <c r="AC639" s="112" t="s">
        <v>92</v>
      </c>
      <c r="AD639" s="112" t="s">
        <v>1066</v>
      </c>
      <c r="AE639" s="112" t="s">
        <v>1066</v>
      </c>
      <c r="AF639" s="112" t="s">
        <v>1066</v>
      </c>
      <c r="AG639" s="112" t="s">
        <v>1066</v>
      </c>
      <c r="AH639" s="112" t="s">
        <v>1066</v>
      </c>
      <c r="AI639" s="112" t="s">
        <v>785</v>
      </c>
      <c r="AJ639" s="112">
        <v>8794247</v>
      </c>
      <c r="AK639" s="112" t="s">
        <v>1166</v>
      </c>
      <c r="AL639" s="112">
        <v>628770</v>
      </c>
      <c r="AM639" s="112" t="s">
        <v>1066</v>
      </c>
      <c r="AN639" s="112" t="s">
        <v>1066</v>
      </c>
    </row>
    <row r="640" spans="1:40" ht="55.5" customHeight="1" x14ac:dyDescent="0.25">
      <c r="A640" s="111" t="s">
        <v>3426</v>
      </c>
      <c r="B640" s="112">
        <v>2026</v>
      </c>
      <c r="C640" s="112" t="s">
        <v>3427</v>
      </c>
      <c r="D640" s="113">
        <v>45800.850613425922</v>
      </c>
      <c r="E640" s="112">
        <v>9000281065</v>
      </c>
      <c r="F640" s="112" t="s">
        <v>2289</v>
      </c>
      <c r="G640" s="112">
        <v>3</v>
      </c>
      <c r="H640" s="112">
        <v>7922993065</v>
      </c>
      <c r="I640" s="112" t="s">
        <v>3210</v>
      </c>
      <c r="J640" s="112" t="s">
        <v>1071</v>
      </c>
      <c r="K640" s="112" t="s">
        <v>1130</v>
      </c>
      <c r="L640" s="112" t="s">
        <v>1073</v>
      </c>
      <c r="M640" s="112" t="s">
        <v>478</v>
      </c>
      <c r="N640" s="113">
        <v>46102.3440625</v>
      </c>
      <c r="O640" s="114">
        <v>19001236678</v>
      </c>
      <c r="P640" s="112">
        <v>1.0149999999999999</v>
      </c>
      <c r="Q640" s="112" t="s">
        <v>1131</v>
      </c>
      <c r="R640" s="112" t="s">
        <v>1063</v>
      </c>
      <c r="S640" s="113">
        <v>46108.732638888891</v>
      </c>
      <c r="T640" s="112" t="s">
        <v>3428</v>
      </c>
      <c r="U640" s="112" t="s">
        <v>1065</v>
      </c>
      <c r="V640" s="112" t="s">
        <v>1066</v>
      </c>
      <c r="W640" s="112" t="s">
        <v>1066</v>
      </c>
      <c r="X640" s="112" t="s">
        <v>1117</v>
      </c>
      <c r="Y640" s="112" t="s">
        <v>1066</v>
      </c>
      <c r="Z640" s="112" t="s">
        <v>1133</v>
      </c>
      <c r="AA640" s="112" t="s">
        <v>1067</v>
      </c>
      <c r="AB640" s="112" t="s">
        <v>1066</v>
      </c>
      <c r="AC640" s="112" t="s">
        <v>92</v>
      </c>
      <c r="AD640" s="112" t="s">
        <v>1142</v>
      </c>
      <c r="AE640" s="112" t="s">
        <v>1066</v>
      </c>
      <c r="AF640" s="112" t="s">
        <v>1066</v>
      </c>
      <c r="AG640" s="112" t="s">
        <v>1066</v>
      </c>
      <c r="AH640" s="112" t="s">
        <v>3211</v>
      </c>
      <c r="AI640" s="112" t="s">
        <v>785</v>
      </c>
      <c r="AJ640" s="112">
        <v>9377096</v>
      </c>
      <c r="AK640" s="112" t="s">
        <v>2293</v>
      </c>
      <c r="AL640" s="112">
        <v>858960</v>
      </c>
      <c r="AM640" s="112" t="s">
        <v>1066</v>
      </c>
      <c r="AN640" s="112" t="s">
        <v>1066</v>
      </c>
    </row>
    <row r="641" spans="1:40" ht="55.5" customHeight="1" x14ac:dyDescent="0.25">
      <c r="A641" s="111" t="s">
        <v>3429</v>
      </c>
      <c r="B641" s="112">
        <v>2026</v>
      </c>
      <c r="C641" s="112" t="s">
        <v>1240</v>
      </c>
      <c r="D641" s="113">
        <v>46183.597349537034</v>
      </c>
      <c r="E641" s="112">
        <v>7915034243</v>
      </c>
      <c r="F641" s="112" t="s">
        <v>2453</v>
      </c>
      <c r="G641" s="112">
        <v>2</v>
      </c>
      <c r="H641" s="112">
        <v>7915034243</v>
      </c>
      <c r="I641" s="112" t="s">
        <v>3430</v>
      </c>
      <c r="J641" s="112" t="s">
        <v>1066</v>
      </c>
      <c r="K641" s="112" t="s">
        <v>1125</v>
      </c>
      <c r="L641" s="112" t="s">
        <v>1061</v>
      </c>
      <c r="M641" s="112" t="s">
        <v>478</v>
      </c>
      <c r="N641" s="113">
        <v>46583.597349537034</v>
      </c>
      <c r="O641" s="114">
        <v>19002218579</v>
      </c>
      <c r="P641" s="112">
        <v>107</v>
      </c>
      <c r="Q641" s="112" t="s">
        <v>1062</v>
      </c>
      <c r="R641" s="112" t="s">
        <v>1063</v>
      </c>
      <c r="S641" s="113">
        <v>46206.691145833334</v>
      </c>
      <c r="T641" s="112" t="s">
        <v>3431</v>
      </c>
      <c r="U641" s="112" t="s">
        <v>1065</v>
      </c>
      <c r="V641" s="112" t="s">
        <v>1066</v>
      </c>
      <c r="W641" s="112" t="s">
        <v>1066</v>
      </c>
      <c r="X641" s="112" t="s">
        <v>1066</v>
      </c>
      <c r="Y641" s="112" t="s">
        <v>1066</v>
      </c>
      <c r="Z641" s="112" t="s">
        <v>1066</v>
      </c>
      <c r="AA641" s="112" t="s">
        <v>1067</v>
      </c>
      <c r="AB641" s="112" t="s">
        <v>1066</v>
      </c>
      <c r="AC641" s="112" t="s">
        <v>92</v>
      </c>
      <c r="AD641" s="112" t="s">
        <v>1066</v>
      </c>
      <c r="AE641" s="112" t="s">
        <v>1066</v>
      </c>
      <c r="AF641" s="112" t="s">
        <v>1066</v>
      </c>
      <c r="AG641" s="112" t="s">
        <v>1066</v>
      </c>
      <c r="AH641" s="112" t="s">
        <v>1066</v>
      </c>
      <c r="AI641" s="112" t="s">
        <v>785</v>
      </c>
      <c r="AJ641" s="112">
        <v>8734948</v>
      </c>
      <c r="AK641" s="112" t="s">
        <v>210</v>
      </c>
      <c r="AL641" s="112">
        <v>757540</v>
      </c>
      <c r="AM641" s="112" t="s">
        <v>1066</v>
      </c>
      <c r="AN641" s="112" t="s">
        <v>1066</v>
      </c>
    </row>
    <row r="642" spans="1:40" ht="55.5" customHeight="1" x14ac:dyDescent="0.25">
      <c r="A642" s="111" t="s">
        <v>3432</v>
      </c>
      <c r="B642" s="112">
        <v>2026</v>
      </c>
      <c r="C642" s="112" t="s">
        <v>3433</v>
      </c>
      <c r="D642" s="113">
        <v>46035.44054398148</v>
      </c>
      <c r="E642" s="112">
        <v>9000001227</v>
      </c>
      <c r="F642" s="112" t="s">
        <v>170</v>
      </c>
      <c r="G642" s="112">
        <v>3</v>
      </c>
      <c r="H642" s="112">
        <v>7900001227</v>
      </c>
      <c r="I642" s="112" t="s">
        <v>3434</v>
      </c>
      <c r="J642" s="112" t="s">
        <v>1071</v>
      </c>
      <c r="K642" s="112" t="s">
        <v>3435</v>
      </c>
      <c r="L642" s="112" t="s">
        <v>1073</v>
      </c>
      <c r="M642" s="112" t="s">
        <v>478</v>
      </c>
      <c r="N642" s="113">
        <v>46038.44054398148</v>
      </c>
      <c r="O642" s="114">
        <v>19000061107</v>
      </c>
      <c r="P642" s="112">
        <v>990</v>
      </c>
      <c r="Q642" s="112" t="s">
        <v>1131</v>
      </c>
      <c r="R642" s="112" t="s">
        <v>1263</v>
      </c>
      <c r="S642" s="113">
        <v>46050.59375</v>
      </c>
      <c r="T642" s="112" t="s">
        <v>3436</v>
      </c>
      <c r="U642" s="112" t="s">
        <v>1065</v>
      </c>
      <c r="V642" s="112" t="s">
        <v>1066</v>
      </c>
      <c r="W642" s="112" t="s">
        <v>1066</v>
      </c>
      <c r="X642" s="112" t="s">
        <v>983</v>
      </c>
      <c r="Y642" s="112" t="s">
        <v>1066</v>
      </c>
      <c r="Z642" s="112" t="s">
        <v>1133</v>
      </c>
      <c r="AA642" s="112" t="s">
        <v>1067</v>
      </c>
      <c r="AB642" s="112" t="s">
        <v>1066</v>
      </c>
      <c r="AC642" s="112" t="s">
        <v>92</v>
      </c>
      <c r="AD642" s="112" t="s">
        <v>1142</v>
      </c>
      <c r="AE642" s="112" t="s">
        <v>1066</v>
      </c>
      <c r="AF642" s="112" t="s">
        <v>1066</v>
      </c>
      <c r="AG642" s="112" t="s">
        <v>1066</v>
      </c>
      <c r="AH642" s="112" t="s">
        <v>1066</v>
      </c>
      <c r="AI642" s="112" t="s">
        <v>785</v>
      </c>
      <c r="AJ642" s="112">
        <v>9031806</v>
      </c>
      <c r="AK642" s="112" t="s">
        <v>1451</v>
      </c>
      <c r="AL642" s="112">
        <v>913706</v>
      </c>
      <c r="AM642" s="112" t="s">
        <v>1066</v>
      </c>
      <c r="AN642" s="112" t="s">
        <v>1066</v>
      </c>
    </row>
    <row r="643" spans="1:40" ht="55.5" customHeight="1" x14ac:dyDescent="0.25">
      <c r="A643" s="111" t="s">
        <v>3437</v>
      </c>
      <c r="B643" s="112">
        <v>2026</v>
      </c>
      <c r="C643" s="112" t="s">
        <v>3438</v>
      </c>
      <c r="D643" s="113">
        <v>46118.622465277775</v>
      </c>
      <c r="E643" s="112">
        <v>7924625186</v>
      </c>
      <c r="F643" s="112" t="s">
        <v>1236</v>
      </c>
      <c r="G643" s="112">
        <v>2</v>
      </c>
      <c r="H643" s="112">
        <v>7924625186</v>
      </c>
      <c r="I643" s="112" t="s">
        <v>3439</v>
      </c>
      <c r="J643" s="112" t="s">
        <v>1066</v>
      </c>
      <c r="K643" s="112" t="s">
        <v>1125</v>
      </c>
      <c r="L643" s="112" t="s">
        <v>1061</v>
      </c>
      <c r="M643" s="112" t="s">
        <v>478</v>
      </c>
      <c r="N643" s="113">
        <v>46518.622465277775</v>
      </c>
      <c r="O643" s="114">
        <v>19002223314</v>
      </c>
      <c r="P643" s="112">
        <v>619</v>
      </c>
      <c r="Q643" s="112" t="s">
        <v>1062</v>
      </c>
      <c r="R643" s="112" t="s">
        <v>1063</v>
      </c>
      <c r="S643" s="113">
        <v>46170.730428240742</v>
      </c>
      <c r="T643" s="112" t="s">
        <v>3440</v>
      </c>
      <c r="U643" s="112" t="s">
        <v>1065</v>
      </c>
      <c r="V643" s="112" t="s">
        <v>1066</v>
      </c>
      <c r="W643" s="112" t="s">
        <v>1066</v>
      </c>
      <c r="X643" s="112" t="s">
        <v>1066</v>
      </c>
      <c r="Y643" s="112" t="s">
        <v>1066</v>
      </c>
      <c r="Z643" s="112" t="s">
        <v>1066</v>
      </c>
      <c r="AA643" s="112" t="s">
        <v>1067</v>
      </c>
      <c r="AB643" s="112" t="s">
        <v>1066</v>
      </c>
      <c r="AC643" s="112" t="s">
        <v>92</v>
      </c>
      <c r="AD643" s="112" t="s">
        <v>1066</v>
      </c>
      <c r="AE643" s="112" t="s">
        <v>1066</v>
      </c>
      <c r="AF643" s="112" t="s">
        <v>1066</v>
      </c>
      <c r="AG643" s="112" t="s">
        <v>1066</v>
      </c>
      <c r="AH643" s="112" t="s">
        <v>1066</v>
      </c>
      <c r="AI643" s="112" t="s">
        <v>785</v>
      </c>
      <c r="AJ643" s="112">
        <v>8599087</v>
      </c>
      <c r="AK643" s="112" t="s">
        <v>1438</v>
      </c>
      <c r="AL643" s="112">
        <v>761737</v>
      </c>
      <c r="AM643" s="112" t="s">
        <v>1066</v>
      </c>
      <c r="AN643" s="112" t="s">
        <v>1066</v>
      </c>
    </row>
    <row r="644" spans="1:40" ht="55.5" customHeight="1" x14ac:dyDescent="0.25">
      <c r="A644" s="111" t="s">
        <v>3441</v>
      </c>
      <c r="B644" s="112">
        <v>2026</v>
      </c>
      <c r="C644" s="112" t="s">
        <v>1057</v>
      </c>
      <c r="D644" s="113">
        <v>46122.378541666665</v>
      </c>
      <c r="E644" s="112">
        <v>7934682004</v>
      </c>
      <c r="F644" s="112" t="s">
        <v>1665</v>
      </c>
      <c r="G644" s="112">
        <v>2</v>
      </c>
      <c r="H644" s="112">
        <v>7934682004</v>
      </c>
      <c r="I644" s="112" t="s">
        <v>3442</v>
      </c>
      <c r="J644" s="112" t="s">
        <v>1059</v>
      </c>
      <c r="K644" s="112" t="s">
        <v>1060</v>
      </c>
      <c r="L644" s="112" t="s">
        <v>1061</v>
      </c>
      <c r="M644" s="112" t="s">
        <v>478</v>
      </c>
      <c r="N644" s="113">
        <v>46522.378541666665</v>
      </c>
      <c r="O644" s="114">
        <v>19002207053</v>
      </c>
      <c r="P644" s="112">
        <v>0</v>
      </c>
      <c r="Q644" s="112" t="s">
        <v>1062</v>
      </c>
      <c r="R644" s="112" t="s">
        <v>1063</v>
      </c>
      <c r="S644" s="113">
        <v>46132.729166666664</v>
      </c>
      <c r="T644" s="112" t="s">
        <v>3443</v>
      </c>
      <c r="U644" s="112" t="s">
        <v>1065</v>
      </c>
      <c r="V644" s="112" t="s">
        <v>1066</v>
      </c>
      <c r="W644" s="112" t="s">
        <v>1066</v>
      </c>
      <c r="X644" s="112" t="s">
        <v>1066</v>
      </c>
      <c r="Y644" s="112" t="s">
        <v>1066</v>
      </c>
      <c r="Z644" s="112" t="s">
        <v>1066</v>
      </c>
      <c r="AA644" s="112" t="s">
        <v>1067</v>
      </c>
      <c r="AB644" s="112" t="s">
        <v>1066</v>
      </c>
      <c r="AC644" s="112" t="s">
        <v>92</v>
      </c>
      <c r="AD644" s="112" t="s">
        <v>1066</v>
      </c>
      <c r="AE644" s="112" t="s">
        <v>1066</v>
      </c>
      <c r="AF644" s="112" t="s">
        <v>1066</v>
      </c>
      <c r="AG644" s="112" t="s">
        <v>1066</v>
      </c>
      <c r="AH644" s="112" t="s">
        <v>1066</v>
      </c>
      <c r="AI644" s="112" t="s">
        <v>785</v>
      </c>
      <c r="AJ644" s="112">
        <v>9202983</v>
      </c>
      <c r="AK644" s="112" t="s">
        <v>69</v>
      </c>
      <c r="AL644" s="112">
        <v>809560</v>
      </c>
      <c r="AM644" s="112" t="s">
        <v>1066</v>
      </c>
      <c r="AN644" s="112" t="s">
        <v>1066</v>
      </c>
    </row>
    <row r="645" spans="1:40" ht="55.5" customHeight="1" x14ac:dyDescent="0.25">
      <c r="A645" s="111" t="s">
        <v>3444</v>
      </c>
      <c r="B645" s="112">
        <v>2026</v>
      </c>
      <c r="C645" s="112" t="s">
        <v>1089</v>
      </c>
      <c r="D645" s="113">
        <v>46028.453888888886</v>
      </c>
      <c r="E645" s="112">
        <v>7910269094</v>
      </c>
      <c r="F645" s="112" t="s">
        <v>249</v>
      </c>
      <c r="G645" s="112">
        <v>3</v>
      </c>
      <c r="H645" s="112">
        <v>7910269094</v>
      </c>
      <c r="I645" s="112" t="s">
        <v>3445</v>
      </c>
      <c r="J645" s="112" t="s">
        <v>1092</v>
      </c>
      <c r="K645" s="112" t="s">
        <v>1093</v>
      </c>
      <c r="L645" s="112" t="s">
        <v>1061</v>
      </c>
      <c r="M645" s="112" t="s">
        <v>478</v>
      </c>
      <c r="N645" s="113">
        <v>46428.453888888886</v>
      </c>
      <c r="O645" s="114">
        <v>19002210683</v>
      </c>
      <c r="P645" s="112">
        <v>170</v>
      </c>
      <c r="Q645" s="112" t="s">
        <v>1062</v>
      </c>
      <c r="R645" s="112" t="s">
        <v>1063</v>
      </c>
      <c r="S645" s="113">
        <v>46034.424305555556</v>
      </c>
      <c r="T645" s="112" t="s">
        <v>3446</v>
      </c>
      <c r="U645" s="112" t="s">
        <v>1065</v>
      </c>
      <c r="V645" s="112" t="s">
        <v>1066</v>
      </c>
      <c r="W645" s="112" t="s">
        <v>1066</v>
      </c>
      <c r="X645" s="112" t="s">
        <v>1066</v>
      </c>
      <c r="Y645" s="112" t="s">
        <v>1066</v>
      </c>
      <c r="Z645" s="112" t="s">
        <v>1066</v>
      </c>
      <c r="AA645" s="112" t="s">
        <v>1067</v>
      </c>
      <c r="AB645" s="112" t="s">
        <v>1066</v>
      </c>
      <c r="AC645" s="112" t="s">
        <v>92</v>
      </c>
      <c r="AD645" s="112" t="s">
        <v>1066</v>
      </c>
      <c r="AE645" s="112" t="s">
        <v>1066</v>
      </c>
      <c r="AF645" s="112" t="s">
        <v>1066</v>
      </c>
      <c r="AG645" s="112" t="s">
        <v>1066</v>
      </c>
      <c r="AH645" s="112" t="s">
        <v>1066</v>
      </c>
      <c r="AI645" s="112" t="s">
        <v>785</v>
      </c>
      <c r="AJ645" s="112">
        <v>8683976</v>
      </c>
      <c r="AK645" s="112" t="s">
        <v>224</v>
      </c>
      <c r="AL645" s="112">
        <v>745107</v>
      </c>
      <c r="AM645" s="112" t="s">
        <v>1066</v>
      </c>
      <c r="AN645" s="112" t="s">
        <v>1066</v>
      </c>
    </row>
    <row r="646" spans="1:40" ht="55.5" customHeight="1" x14ac:dyDescent="0.25">
      <c r="A646" s="111" t="s">
        <v>3447</v>
      </c>
      <c r="B646" s="112">
        <v>2026</v>
      </c>
      <c r="C646" s="112" t="s">
        <v>3448</v>
      </c>
      <c r="D646" s="113">
        <v>46054.06459490741</v>
      </c>
      <c r="E646" s="112">
        <v>9000559053</v>
      </c>
      <c r="F646" s="112" t="s">
        <v>1654</v>
      </c>
      <c r="G646" s="112">
        <v>3</v>
      </c>
      <c r="H646" s="112">
        <v>7944603053</v>
      </c>
      <c r="I646" s="112" t="s">
        <v>3449</v>
      </c>
      <c r="J646" s="112" t="s">
        <v>1071</v>
      </c>
      <c r="K646" s="112" t="s">
        <v>1130</v>
      </c>
      <c r="L646" s="112" t="s">
        <v>1073</v>
      </c>
      <c r="M646" s="112" t="s">
        <v>478</v>
      </c>
      <c r="N646" s="113">
        <v>46057.06459490741</v>
      </c>
      <c r="O646" s="114">
        <v>19002535993</v>
      </c>
      <c r="P646" s="112">
        <v>176</v>
      </c>
      <c r="Q646" s="112" t="s">
        <v>1131</v>
      </c>
      <c r="R646" s="112" t="s">
        <v>1063</v>
      </c>
      <c r="S646" s="113">
        <v>46062.662499999999</v>
      </c>
      <c r="T646" s="112" t="s">
        <v>3450</v>
      </c>
      <c r="U646" s="112" t="s">
        <v>1065</v>
      </c>
      <c r="V646" s="112" t="s">
        <v>1066</v>
      </c>
      <c r="W646" s="112" t="s">
        <v>1066</v>
      </c>
      <c r="X646" s="112" t="s">
        <v>1117</v>
      </c>
      <c r="Y646" s="112" t="s">
        <v>1066</v>
      </c>
      <c r="Z646" s="112" t="s">
        <v>1133</v>
      </c>
      <c r="AA646" s="112" t="s">
        <v>1067</v>
      </c>
      <c r="AB646" s="112" t="s">
        <v>1066</v>
      </c>
      <c r="AC646" s="112" t="s">
        <v>92</v>
      </c>
      <c r="AD646" s="112" t="s">
        <v>1066</v>
      </c>
      <c r="AE646" s="112" t="s">
        <v>1066</v>
      </c>
      <c r="AF646" s="112" t="s">
        <v>1066</v>
      </c>
      <c r="AG646" s="112" t="s">
        <v>1066</v>
      </c>
      <c r="AH646" s="112" t="s">
        <v>1066</v>
      </c>
      <c r="AI646" s="112" t="s">
        <v>785</v>
      </c>
      <c r="AJ646" s="112">
        <v>9245278</v>
      </c>
      <c r="AK646" s="112" t="s">
        <v>612</v>
      </c>
      <c r="AL646" s="112">
        <v>800882</v>
      </c>
      <c r="AM646" s="112" t="s">
        <v>1066</v>
      </c>
      <c r="AN646" s="112" t="s">
        <v>1066</v>
      </c>
    </row>
    <row r="647" spans="1:40" ht="55.5" customHeight="1" x14ac:dyDescent="0.25">
      <c r="A647" s="111" t="s">
        <v>3451</v>
      </c>
      <c r="B647" s="112">
        <v>2026</v>
      </c>
      <c r="C647" s="112" t="s">
        <v>3452</v>
      </c>
      <c r="D647" s="113">
        <v>46231.424699074072</v>
      </c>
      <c r="E647" s="112">
        <v>7967181127</v>
      </c>
      <c r="F647" s="112" t="s">
        <v>260</v>
      </c>
      <c r="G647" s="112">
        <v>3</v>
      </c>
      <c r="H647" s="112">
        <v>7967181127</v>
      </c>
      <c r="I647" s="112" t="s">
        <v>3453</v>
      </c>
      <c r="J647" s="112" t="s">
        <v>1092</v>
      </c>
      <c r="K647" s="112" t="s">
        <v>1392</v>
      </c>
      <c r="L647" s="112" t="s">
        <v>2002</v>
      </c>
      <c r="M647" s="112" t="s">
        <v>478</v>
      </c>
      <c r="N647" s="113">
        <v>46238.424699074072</v>
      </c>
      <c r="O647" s="114">
        <v>19002820108</v>
      </c>
      <c r="P647" s="112">
        <v>31</v>
      </c>
      <c r="Q647" s="112" t="s">
        <v>1062</v>
      </c>
      <c r="R647" s="112" t="s">
        <v>1206</v>
      </c>
      <c r="S647" s="113">
        <v>46247.617361111108</v>
      </c>
      <c r="T647" s="112" t="s">
        <v>3454</v>
      </c>
      <c r="U647" s="112" t="s">
        <v>1065</v>
      </c>
      <c r="V647" s="112" t="s">
        <v>1066</v>
      </c>
      <c r="W647" s="112" t="s">
        <v>1066</v>
      </c>
      <c r="X647" s="112" t="s">
        <v>1066</v>
      </c>
      <c r="Y647" s="112" t="s">
        <v>1066</v>
      </c>
      <c r="Z647" s="112" t="s">
        <v>1066</v>
      </c>
      <c r="AA647" s="112" t="s">
        <v>1067</v>
      </c>
      <c r="AB647" s="112" t="s">
        <v>1066</v>
      </c>
      <c r="AC647" s="112" t="s">
        <v>92</v>
      </c>
      <c r="AD647" s="112" t="s">
        <v>1066</v>
      </c>
      <c r="AE647" s="112" t="s">
        <v>1066</v>
      </c>
      <c r="AF647" s="112" t="s">
        <v>1066</v>
      </c>
      <c r="AG647" s="112" t="s">
        <v>1066</v>
      </c>
      <c r="AH647" s="112" t="s">
        <v>1066</v>
      </c>
      <c r="AI647" s="112" t="s">
        <v>785</v>
      </c>
      <c r="AJ647" s="112">
        <v>9275509</v>
      </c>
      <c r="AK647" s="112" t="s">
        <v>258</v>
      </c>
      <c r="AL647" s="112">
        <v>874475</v>
      </c>
      <c r="AM647" s="112" t="s">
        <v>1066</v>
      </c>
      <c r="AN647" s="112" t="s">
        <v>1066</v>
      </c>
    </row>
    <row r="648" spans="1:40" ht="55.5" customHeight="1" x14ac:dyDescent="0.25">
      <c r="A648" s="111" t="s">
        <v>3455</v>
      </c>
      <c r="B648" s="112">
        <v>2026</v>
      </c>
      <c r="C648" s="112" t="s">
        <v>1089</v>
      </c>
      <c r="D648" s="113">
        <v>46028.41065972222</v>
      </c>
      <c r="E648" s="112">
        <v>7908683122</v>
      </c>
      <c r="F648" s="112" t="s">
        <v>1372</v>
      </c>
      <c r="G648" s="112">
        <v>1</v>
      </c>
      <c r="H648" s="112">
        <v>7908683122</v>
      </c>
      <c r="I648" s="112" t="s">
        <v>2441</v>
      </c>
      <c r="J648" s="112" t="s">
        <v>1092</v>
      </c>
      <c r="K648" s="112" t="s">
        <v>1093</v>
      </c>
      <c r="L648" s="112" t="s">
        <v>1061</v>
      </c>
      <c r="M648" s="112" t="s">
        <v>478</v>
      </c>
      <c r="N648" s="113">
        <v>46428.41065972222</v>
      </c>
      <c r="O648" s="114">
        <v>19002295943</v>
      </c>
      <c r="P648" s="112">
        <v>1.8129999999999999</v>
      </c>
      <c r="Q648" s="112" t="s">
        <v>1062</v>
      </c>
      <c r="R648" s="112" t="s">
        <v>1063</v>
      </c>
      <c r="S648" s="113">
        <v>46045.698900462965</v>
      </c>
      <c r="T648" s="112" t="s">
        <v>3456</v>
      </c>
      <c r="U648" s="112" t="s">
        <v>1065</v>
      </c>
      <c r="V648" s="112" t="s">
        <v>1066</v>
      </c>
      <c r="W648" s="112" t="s">
        <v>1066</v>
      </c>
      <c r="X648" s="112" t="s">
        <v>1066</v>
      </c>
      <c r="Y648" s="112" t="s">
        <v>1066</v>
      </c>
      <c r="Z648" s="112" t="s">
        <v>1066</v>
      </c>
      <c r="AA648" s="112" t="s">
        <v>1067</v>
      </c>
      <c r="AB648" s="112" t="s">
        <v>1066</v>
      </c>
      <c r="AC648" s="112" t="s">
        <v>92</v>
      </c>
      <c r="AD648" s="112" t="s">
        <v>1066</v>
      </c>
      <c r="AE648" s="112" t="s">
        <v>1066</v>
      </c>
      <c r="AF648" s="112" t="s">
        <v>1066</v>
      </c>
      <c r="AG648" s="112" t="s">
        <v>1066</v>
      </c>
      <c r="AH648" s="112" t="s">
        <v>1066</v>
      </c>
      <c r="AI648" s="112" t="s">
        <v>785</v>
      </c>
      <c r="AJ648" s="112">
        <v>8875809</v>
      </c>
      <c r="AK648" s="112" t="s">
        <v>264</v>
      </c>
      <c r="AL648" s="112">
        <v>795075</v>
      </c>
      <c r="AM648" s="112" t="s">
        <v>1066</v>
      </c>
      <c r="AN648" s="112" t="s">
        <v>1066</v>
      </c>
    </row>
    <row r="649" spans="1:40" ht="55.5" customHeight="1" x14ac:dyDescent="0.25">
      <c r="A649" s="111" t="s">
        <v>3457</v>
      </c>
      <c r="B649" s="112">
        <v>2026</v>
      </c>
      <c r="C649" s="112" t="s">
        <v>1089</v>
      </c>
      <c r="D649" s="113">
        <v>46028.453888888886</v>
      </c>
      <c r="E649" s="112">
        <v>7920851094</v>
      </c>
      <c r="F649" s="112" t="s">
        <v>302</v>
      </c>
      <c r="G649" s="112">
        <v>2</v>
      </c>
      <c r="H649" s="112">
        <v>7920851094</v>
      </c>
      <c r="I649" s="112" t="s">
        <v>3458</v>
      </c>
      <c r="J649" s="112" t="s">
        <v>1092</v>
      </c>
      <c r="K649" s="112" t="s">
        <v>1093</v>
      </c>
      <c r="L649" s="112" t="s">
        <v>1061</v>
      </c>
      <c r="M649" s="112" t="s">
        <v>478</v>
      </c>
      <c r="N649" s="113">
        <v>46428.453888888886</v>
      </c>
      <c r="O649" s="114">
        <v>19002223723</v>
      </c>
      <c r="P649" s="112">
        <v>0</v>
      </c>
      <c r="Q649" s="112" t="s">
        <v>1062</v>
      </c>
      <c r="R649" s="112" t="s">
        <v>1063</v>
      </c>
      <c r="S649" s="113">
        <v>46034.431944444441</v>
      </c>
      <c r="T649" s="112" t="s">
        <v>3459</v>
      </c>
      <c r="U649" s="112" t="s">
        <v>1065</v>
      </c>
      <c r="V649" s="112" t="s">
        <v>1066</v>
      </c>
      <c r="W649" s="112" t="s">
        <v>1066</v>
      </c>
      <c r="X649" s="112" t="s">
        <v>1066</v>
      </c>
      <c r="Y649" s="112" t="s">
        <v>1066</v>
      </c>
      <c r="Z649" s="112" t="s">
        <v>1066</v>
      </c>
      <c r="AA649" s="112" t="s">
        <v>1067</v>
      </c>
      <c r="AB649" s="112" t="s">
        <v>1066</v>
      </c>
      <c r="AC649" s="112" t="s">
        <v>92</v>
      </c>
      <c r="AD649" s="112" t="s">
        <v>1066</v>
      </c>
      <c r="AE649" s="112" t="s">
        <v>1066</v>
      </c>
      <c r="AF649" s="112" t="s">
        <v>1066</v>
      </c>
      <c r="AG649" s="112" t="s">
        <v>1066</v>
      </c>
      <c r="AH649" s="112" t="s">
        <v>1066</v>
      </c>
      <c r="AI649" s="112" t="s">
        <v>785</v>
      </c>
      <c r="AJ649" s="112">
        <v>8668278</v>
      </c>
      <c r="AK649" s="112" t="s">
        <v>224</v>
      </c>
      <c r="AL649" s="112">
        <v>767261</v>
      </c>
      <c r="AM649" s="112" t="s">
        <v>1066</v>
      </c>
      <c r="AN649" s="112" t="s">
        <v>1066</v>
      </c>
    </row>
    <row r="650" spans="1:40" ht="55.5" customHeight="1" x14ac:dyDescent="0.25">
      <c r="A650" s="111" t="s">
        <v>3460</v>
      </c>
      <c r="B650" s="112">
        <v>2026</v>
      </c>
      <c r="C650" s="112" t="s">
        <v>1089</v>
      </c>
      <c r="D650" s="113">
        <v>46028.41065972222</v>
      </c>
      <c r="E650" s="112">
        <v>7900178013</v>
      </c>
      <c r="F650" s="112" t="s">
        <v>3461</v>
      </c>
      <c r="G650" s="112">
        <v>2</v>
      </c>
      <c r="H650" s="112">
        <v>7900178013</v>
      </c>
      <c r="I650" s="112" t="s">
        <v>3462</v>
      </c>
      <c r="J650" s="112" t="s">
        <v>1092</v>
      </c>
      <c r="K650" s="112" t="s">
        <v>1093</v>
      </c>
      <c r="L650" s="112" t="s">
        <v>1061</v>
      </c>
      <c r="M650" s="112" t="s">
        <v>478</v>
      </c>
      <c r="N650" s="113">
        <v>46428.41065972222</v>
      </c>
      <c r="O650" s="114">
        <v>19002260421</v>
      </c>
      <c r="P650" s="112">
        <v>1.923</v>
      </c>
      <c r="Q650" s="112" t="s">
        <v>1062</v>
      </c>
      <c r="R650" s="112" t="s">
        <v>1063</v>
      </c>
      <c r="S650" s="113">
        <v>46030.457638888889</v>
      </c>
      <c r="T650" s="112" t="s">
        <v>3463</v>
      </c>
      <c r="U650" s="112" t="s">
        <v>1065</v>
      </c>
      <c r="V650" s="112" t="s">
        <v>1066</v>
      </c>
      <c r="W650" s="112" t="s">
        <v>1066</v>
      </c>
      <c r="X650" s="112" t="s">
        <v>1066</v>
      </c>
      <c r="Y650" s="112" t="s">
        <v>1066</v>
      </c>
      <c r="Z650" s="112" t="s">
        <v>1066</v>
      </c>
      <c r="AA650" s="112" t="s">
        <v>1067</v>
      </c>
      <c r="AB650" s="112" t="s">
        <v>1066</v>
      </c>
      <c r="AC650" s="112" t="s">
        <v>92</v>
      </c>
      <c r="AD650" s="112" t="s">
        <v>1066</v>
      </c>
      <c r="AE650" s="112" t="s">
        <v>1066</v>
      </c>
      <c r="AF650" s="112" t="s">
        <v>1066</v>
      </c>
      <c r="AG650" s="112" t="s">
        <v>1066</v>
      </c>
      <c r="AH650" s="112" t="s">
        <v>1066</v>
      </c>
      <c r="AI650" s="112" t="s">
        <v>785</v>
      </c>
      <c r="AJ650" s="112">
        <v>8874546</v>
      </c>
      <c r="AK650" s="112" t="s">
        <v>117</v>
      </c>
      <c r="AL650" s="112">
        <v>731787</v>
      </c>
      <c r="AM650" s="112" t="s">
        <v>1066</v>
      </c>
      <c r="AN650" s="112" t="s">
        <v>1066</v>
      </c>
    </row>
    <row r="651" spans="1:40" ht="55.5" customHeight="1" x14ac:dyDescent="0.25">
      <c r="A651" s="111" t="s">
        <v>3464</v>
      </c>
      <c r="B651" s="112">
        <v>2026</v>
      </c>
      <c r="C651" s="112" t="s">
        <v>3465</v>
      </c>
      <c r="D651" s="113">
        <v>46097.665439814817</v>
      </c>
      <c r="E651" s="112">
        <v>6802633001</v>
      </c>
      <c r="F651" s="112" t="s">
        <v>3466</v>
      </c>
      <c r="G651" s="112">
        <v>3</v>
      </c>
      <c r="H651" s="112">
        <v>7954717001</v>
      </c>
      <c r="I651" s="112" t="s">
        <v>3467</v>
      </c>
      <c r="J651" s="112" t="s">
        <v>1071</v>
      </c>
      <c r="K651" s="112" t="s">
        <v>3468</v>
      </c>
      <c r="L651" s="112" t="s">
        <v>1073</v>
      </c>
      <c r="M651" s="112" t="s">
        <v>478</v>
      </c>
      <c r="N651" s="113">
        <v>46100.665439814817</v>
      </c>
      <c r="O651" s="114">
        <v>19002739005</v>
      </c>
      <c r="P651" s="112">
        <v>162</v>
      </c>
      <c r="Q651" s="112" t="s">
        <v>1131</v>
      </c>
      <c r="R651" s="112" t="s">
        <v>1075</v>
      </c>
      <c r="S651" s="113">
        <v>46105.474849537037</v>
      </c>
      <c r="T651" s="112" t="s">
        <v>3469</v>
      </c>
      <c r="U651" s="112" t="s">
        <v>1065</v>
      </c>
      <c r="V651" s="112" t="s">
        <v>1066</v>
      </c>
      <c r="W651" s="112" t="s">
        <v>1066</v>
      </c>
      <c r="X651" s="112" t="s">
        <v>983</v>
      </c>
      <c r="Y651" s="112" t="s">
        <v>1066</v>
      </c>
      <c r="Z651" s="112" t="s">
        <v>1148</v>
      </c>
      <c r="AA651" s="112" t="s">
        <v>1067</v>
      </c>
      <c r="AB651" s="112" t="s">
        <v>1066</v>
      </c>
      <c r="AC651" s="112" t="s">
        <v>92</v>
      </c>
      <c r="AD651" s="112" t="s">
        <v>1066</v>
      </c>
      <c r="AE651" s="112" t="s">
        <v>1066</v>
      </c>
      <c r="AF651" s="112" t="s">
        <v>1066</v>
      </c>
      <c r="AG651" s="112" t="s">
        <v>1066</v>
      </c>
      <c r="AH651" s="112" t="s">
        <v>1066</v>
      </c>
      <c r="AI651" s="112" t="s">
        <v>785</v>
      </c>
      <c r="AJ651" s="112">
        <v>8818047</v>
      </c>
      <c r="AK651" s="112" t="s">
        <v>1095</v>
      </c>
      <c r="AL651" s="112">
        <v>768724</v>
      </c>
      <c r="AM651" s="112" t="s">
        <v>1066</v>
      </c>
      <c r="AN651" s="112" t="s">
        <v>1066</v>
      </c>
    </row>
    <row r="652" spans="1:40" ht="55.5" customHeight="1" x14ac:dyDescent="0.25">
      <c r="A652" s="111" t="s">
        <v>3470</v>
      </c>
      <c r="B652" s="112">
        <v>2026</v>
      </c>
      <c r="C652" s="112" t="s">
        <v>1057</v>
      </c>
      <c r="D652" s="113">
        <v>46122.378541666665</v>
      </c>
      <c r="E652" s="112">
        <v>7923686078</v>
      </c>
      <c r="F652" s="112" t="s">
        <v>360</v>
      </c>
      <c r="G652" s="112">
        <v>3</v>
      </c>
      <c r="H652" s="112">
        <v>7923686078</v>
      </c>
      <c r="I652" s="112" t="s">
        <v>3471</v>
      </c>
      <c r="J652" s="112" t="s">
        <v>1059</v>
      </c>
      <c r="K652" s="112" t="s">
        <v>1060</v>
      </c>
      <c r="L652" s="112" t="s">
        <v>1061</v>
      </c>
      <c r="M652" s="112" t="s">
        <v>478</v>
      </c>
      <c r="N652" s="113">
        <v>46522.378541666665</v>
      </c>
      <c r="O652" s="114">
        <v>19002260379</v>
      </c>
      <c r="P652" s="112">
        <v>311</v>
      </c>
      <c r="Q652" s="112" t="s">
        <v>1062</v>
      </c>
      <c r="R652" s="112" t="s">
        <v>1063</v>
      </c>
      <c r="S652" s="113">
        <v>46162.729166666664</v>
      </c>
      <c r="T652" s="112" t="s">
        <v>3472</v>
      </c>
      <c r="U652" s="112" t="s">
        <v>1065</v>
      </c>
      <c r="V652" s="112" t="s">
        <v>1066</v>
      </c>
      <c r="W652" s="112" t="s">
        <v>1066</v>
      </c>
      <c r="X652" s="112" t="s">
        <v>1066</v>
      </c>
      <c r="Y652" s="112" t="s">
        <v>1066</v>
      </c>
      <c r="Z652" s="112" t="s">
        <v>1066</v>
      </c>
      <c r="AA652" s="112" t="s">
        <v>1067</v>
      </c>
      <c r="AB652" s="112" t="s">
        <v>1066</v>
      </c>
      <c r="AC652" s="112" t="s">
        <v>92</v>
      </c>
      <c r="AD652" s="112" t="s">
        <v>1066</v>
      </c>
      <c r="AE652" s="112" t="s">
        <v>1066</v>
      </c>
      <c r="AF652" s="112" t="s">
        <v>1066</v>
      </c>
      <c r="AG652" s="112" t="s">
        <v>1066</v>
      </c>
      <c r="AH652" s="112" t="s">
        <v>1066</v>
      </c>
      <c r="AI652" s="112" t="s">
        <v>785</v>
      </c>
      <c r="AJ652" s="112">
        <v>9068424</v>
      </c>
      <c r="AK652" s="112" t="s">
        <v>396</v>
      </c>
      <c r="AL652" s="112">
        <v>851555</v>
      </c>
      <c r="AM652" s="112" t="s">
        <v>1066</v>
      </c>
      <c r="AN652" s="112" t="s">
        <v>1066</v>
      </c>
    </row>
    <row r="653" spans="1:40" ht="55.5" customHeight="1" x14ac:dyDescent="0.25">
      <c r="A653" s="111" t="s">
        <v>3473</v>
      </c>
      <c r="B653" s="112">
        <v>2026</v>
      </c>
      <c r="C653" s="112" t="s">
        <v>1089</v>
      </c>
      <c r="D653" s="113">
        <v>46028.41065972222</v>
      </c>
      <c r="E653" s="112">
        <v>7905358122</v>
      </c>
      <c r="F653" s="112" t="s">
        <v>2412</v>
      </c>
      <c r="G653" s="112">
        <v>2</v>
      </c>
      <c r="H653" s="112">
        <v>7905358122</v>
      </c>
      <c r="I653" s="112" t="s">
        <v>3474</v>
      </c>
      <c r="J653" s="112" t="s">
        <v>1092</v>
      </c>
      <c r="K653" s="112" t="s">
        <v>1093</v>
      </c>
      <c r="L653" s="112" t="s">
        <v>1061</v>
      </c>
      <c r="M653" s="112" t="s">
        <v>478</v>
      </c>
      <c r="N653" s="113">
        <v>46428.41065972222</v>
      </c>
      <c r="O653" s="114">
        <v>19002295960</v>
      </c>
      <c r="P653" s="112">
        <v>0</v>
      </c>
      <c r="Q653" s="112" t="s">
        <v>1062</v>
      </c>
      <c r="R653" s="112" t="s">
        <v>1063</v>
      </c>
      <c r="S653" s="113">
        <v>46176.463182870371</v>
      </c>
      <c r="T653" s="112" t="s">
        <v>3475</v>
      </c>
      <c r="U653" s="112" t="s">
        <v>1065</v>
      </c>
      <c r="V653" s="112" t="s">
        <v>1066</v>
      </c>
      <c r="W653" s="112" t="s">
        <v>1066</v>
      </c>
      <c r="X653" s="112" t="s">
        <v>1066</v>
      </c>
      <c r="Y653" s="112" t="s">
        <v>1066</v>
      </c>
      <c r="Z653" s="112" t="s">
        <v>1066</v>
      </c>
      <c r="AA653" s="112" t="s">
        <v>1067</v>
      </c>
      <c r="AB653" s="112" t="s">
        <v>1066</v>
      </c>
      <c r="AC653" s="112" t="s">
        <v>92</v>
      </c>
      <c r="AD653" s="112" t="s">
        <v>1066</v>
      </c>
      <c r="AE653" s="112" t="s">
        <v>1066</v>
      </c>
      <c r="AF653" s="112" t="s">
        <v>1066</v>
      </c>
      <c r="AG653" s="112" t="s">
        <v>1066</v>
      </c>
      <c r="AH653" s="112" t="s">
        <v>1066</v>
      </c>
      <c r="AI653" s="112" t="s">
        <v>785</v>
      </c>
      <c r="AJ653" s="112">
        <v>8865815</v>
      </c>
      <c r="AK653" s="112" t="s">
        <v>264</v>
      </c>
      <c r="AL653" s="112">
        <v>793231</v>
      </c>
      <c r="AM653" s="112" t="s">
        <v>1066</v>
      </c>
      <c r="AN653" s="112" t="s">
        <v>1066</v>
      </c>
    </row>
    <row r="654" spans="1:40" ht="55.5" customHeight="1" x14ac:dyDescent="0.25">
      <c r="A654" s="111" t="s">
        <v>3476</v>
      </c>
      <c r="B654" s="112">
        <v>2026</v>
      </c>
      <c r="C654" s="112" t="s">
        <v>3477</v>
      </c>
      <c r="D654" s="113">
        <v>46088.707789351851</v>
      </c>
      <c r="E654" s="112">
        <v>7955731003</v>
      </c>
      <c r="F654" s="112" t="s">
        <v>3478</v>
      </c>
      <c r="G654" s="112">
        <v>2</v>
      </c>
      <c r="H654" s="112">
        <v>7955731003</v>
      </c>
      <c r="I654" s="112" t="s">
        <v>3479</v>
      </c>
      <c r="J654" s="112" t="s">
        <v>1071</v>
      </c>
      <c r="K654" s="112" t="s">
        <v>2080</v>
      </c>
      <c r="L654" s="112" t="s">
        <v>1073</v>
      </c>
      <c r="M654" s="112" t="s">
        <v>478</v>
      </c>
      <c r="N654" s="113">
        <v>46091.707789351851</v>
      </c>
      <c r="O654" s="114">
        <v>19002738742</v>
      </c>
      <c r="P654" s="112">
        <v>4.3609999999999998</v>
      </c>
      <c r="Q654" s="112" t="s">
        <v>1062</v>
      </c>
      <c r="R654" s="112" t="s">
        <v>1263</v>
      </c>
      <c r="S654" s="113">
        <v>46090.50309027778</v>
      </c>
      <c r="T654" s="112" t="s">
        <v>3480</v>
      </c>
      <c r="U654" s="112" t="s">
        <v>1065</v>
      </c>
      <c r="V654" s="112" t="s">
        <v>1066</v>
      </c>
      <c r="W654" s="112" t="s">
        <v>1066</v>
      </c>
      <c r="X654" s="112" t="s">
        <v>983</v>
      </c>
      <c r="Y654" s="112" t="s">
        <v>1066</v>
      </c>
      <c r="Z654" s="112" t="s">
        <v>1318</v>
      </c>
      <c r="AA654" s="112" t="s">
        <v>1067</v>
      </c>
      <c r="AB654" s="112" t="s">
        <v>1066</v>
      </c>
      <c r="AC654" s="112" t="s">
        <v>92</v>
      </c>
      <c r="AD654" s="112" t="s">
        <v>1066</v>
      </c>
      <c r="AE654" s="112" t="s">
        <v>1066</v>
      </c>
      <c r="AF654" s="112" t="s">
        <v>1066</v>
      </c>
      <c r="AG654" s="112" t="s">
        <v>1066</v>
      </c>
      <c r="AH654" s="112" t="s">
        <v>1066</v>
      </c>
      <c r="AI654" s="112" t="s">
        <v>785</v>
      </c>
      <c r="AJ654" s="112">
        <v>8700613</v>
      </c>
      <c r="AK654" s="112" t="s">
        <v>210</v>
      </c>
      <c r="AL654" s="112">
        <v>710110</v>
      </c>
      <c r="AM654" s="112" t="s">
        <v>1066</v>
      </c>
      <c r="AN654" s="112" t="s">
        <v>1066</v>
      </c>
    </row>
    <row r="655" spans="1:40" ht="55.5" customHeight="1" x14ac:dyDescent="0.25">
      <c r="A655" s="111" t="s">
        <v>3481</v>
      </c>
      <c r="B655" s="112">
        <v>2026</v>
      </c>
      <c r="C655" s="112" t="s">
        <v>1057</v>
      </c>
      <c r="D655" s="113">
        <v>46125.584386574075</v>
      </c>
      <c r="E655" s="112">
        <v>7936038076</v>
      </c>
      <c r="F655" s="112" t="s">
        <v>663</v>
      </c>
      <c r="G655" s="112">
        <v>3</v>
      </c>
      <c r="H655" s="112">
        <v>7936038076</v>
      </c>
      <c r="I655" s="112" t="s">
        <v>2526</v>
      </c>
      <c r="J655" s="112" t="s">
        <v>1066</v>
      </c>
      <c r="K655" s="112" t="s">
        <v>1125</v>
      </c>
      <c r="L655" s="112" t="s">
        <v>1061</v>
      </c>
      <c r="M655" s="112" t="s">
        <v>478</v>
      </c>
      <c r="N655" s="113">
        <v>46525.584386574075</v>
      </c>
      <c r="O655" s="114">
        <v>19002208898</v>
      </c>
      <c r="P655" s="112">
        <v>17</v>
      </c>
      <c r="Q655" s="112" t="s">
        <v>1062</v>
      </c>
      <c r="R655" s="112" t="s">
        <v>1063</v>
      </c>
      <c r="S655" s="113">
        <v>46182.471354166664</v>
      </c>
      <c r="T655" s="112" t="s">
        <v>3482</v>
      </c>
      <c r="U655" s="112" t="s">
        <v>1065</v>
      </c>
      <c r="V655" s="112" t="s">
        <v>1066</v>
      </c>
      <c r="W655" s="112" t="s">
        <v>1066</v>
      </c>
      <c r="X655" s="112" t="s">
        <v>1066</v>
      </c>
      <c r="Y655" s="112" t="s">
        <v>1066</v>
      </c>
      <c r="Z655" s="112" t="s">
        <v>1066</v>
      </c>
      <c r="AA655" s="112" t="s">
        <v>1067</v>
      </c>
      <c r="AB655" s="112" t="s">
        <v>1066</v>
      </c>
      <c r="AC655" s="112" t="s">
        <v>92</v>
      </c>
      <c r="AD655" s="112" t="s">
        <v>1066</v>
      </c>
      <c r="AE655" s="112" t="s">
        <v>1066</v>
      </c>
      <c r="AF655" s="112" t="s">
        <v>1066</v>
      </c>
      <c r="AG655" s="112" t="s">
        <v>1066</v>
      </c>
      <c r="AH655" s="112" t="s">
        <v>1066</v>
      </c>
      <c r="AI655" s="112" t="s">
        <v>785</v>
      </c>
      <c r="AJ655" s="112">
        <v>8742101</v>
      </c>
      <c r="AK655" s="112" t="s">
        <v>209</v>
      </c>
      <c r="AL655" s="112">
        <v>666106</v>
      </c>
      <c r="AM655" s="112" t="s">
        <v>1066</v>
      </c>
      <c r="AN655" s="112" t="s">
        <v>1066</v>
      </c>
    </row>
    <row r="656" spans="1:40" ht="55.5" customHeight="1" x14ac:dyDescent="0.25">
      <c r="A656" s="111" t="s">
        <v>3483</v>
      </c>
      <c r="B656" s="112">
        <v>2026</v>
      </c>
      <c r="C656" s="112" t="s">
        <v>3484</v>
      </c>
      <c r="D656" s="113">
        <v>46229.663668981484</v>
      </c>
      <c r="E656" s="112" t="s">
        <v>1066</v>
      </c>
      <c r="F656" s="112" t="s">
        <v>3485</v>
      </c>
      <c r="G656" s="112" t="s">
        <v>1066</v>
      </c>
      <c r="H656" s="112" t="s">
        <v>1066</v>
      </c>
      <c r="I656" s="112" t="s">
        <v>3486</v>
      </c>
      <c r="J656" s="112" t="s">
        <v>1071</v>
      </c>
      <c r="K656" s="112" t="s">
        <v>1072</v>
      </c>
      <c r="L656" s="112" t="s">
        <v>1073</v>
      </c>
      <c r="M656" s="112" t="s">
        <v>478</v>
      </c>
      <c r="N656" s="113">
        <v>46232.663668981484</v>
      </c>
      <c r="O656" s="114">
        <v>19000252606</v>
      </c>
      <c r="P656" s="112">
        <v>0</v>
      </c>
      <c r="Q656" s="112" t="s">
        <v>1757</v>
      </c>
      <c r="R656" s="112" t="s">
        <v>1075</v>
      </c>
      <c r="S656" s="113">
        <v>46252.584548611114</v>
      </c>
      <c r="T656" s="112" t="s">
        <v>3487</v>
      </c>
      <c r="U656" s="112" t="s">
        <v>1065</v>
      </c>
      <c r="V656" s="112" t="s">
        <v>1066</v>
      </c>
      <c r="W656" s="112" t="s">
        <v>1066</v>
      </c>
      <c r="X656" s="112" t="s">
        <v>3488</v>
      </c>
      <c r="Y656" s="112" t="s">
        <v>1066</v>
      </c>
      <c r="Z656" s="112" t="s">
        <v>1078</v>
      </c>
      <c r="AA656" s="112" t="s">
        <v>1067</v>
      </c>
      <c r="AB656" s="112" t="s">
        <v>1066</v>
      </c>
      <c r="AC656" s="112" t="s">
        <v>92</v>
      </c>
      <c r="AD656" s="112" t="s">
        <v>1142</v>
      </c>
      <c r="AE656" s="112" t="s">
        <v>1066</v>
      </c>
      <c r="AF656" s="112" t="s">
        <v>1066</v>
      </c>
      <c r="AG656" s="112" t="s">
        <v>1066</v>
      </c>
      <c r="AH656" s="112" t="s">
        <v>1066</v>
      </c>
      <c r="AI656" s="112" t="s">
        <v>785</v>
      </c>
      <c r="AJ656" s="112">
        <v>8623583</v>
      </c>
      <c r="AK656" s="112" t="s">
        <v>627</v>
      </c>
      <c r="AL656" s="112">
        <v>997905</v>
      </c>
      <c r="AM656" s="112" t="s">
        <v>1066</v>
      </c>
      <c r="AN656" s="112" t="s">
        <v>1066</v>
      </c>
    </row>
    <row r="657" spans="1:40" ht="55.5" customHeight="1" x14ac:dyDescent="0.25">
      <c r="A657" s="111" t="s">
        <v>700</v>
      </c>
      <c r="B657" s="112">
        <v>2026</v>
      </c>
      <c r="C657" s="112" t="s">
        <v>3489</v>
      </c>
      <c r="D657" s="113">
        <v>46231.430405092593</v>
      </c>
      <c r="E657" s="112" t="s">
        <v>1066</v>
      </c>
      <c r="F657" s="112" t="s">
        <v>254</v>
      </c>
      <c r="G657" s="112" t="s">
        <v>1066</v>
      </c>
      <c r="H657" s="112">
        <v>5844630060</v>
      </c>
      <c r="I657" s="112" t="s">
        <v>3490</v>
      </c>
      <c r="J657" s="112" t="s">
        <v>1092</v>
      </c>
      <c r="K657" s="112" t="s">
        <v>3491</v>
      </c>
      <c r="L657" s="112" t="s">
        <v>2002</v>
      </c>
      <c r="M657" s="112" t="s">
        <v>478</v>
      </c>
      <c r="N657" s="113">
        <v>46238.464432870373</v>
      </c>
      <c r="O657" s="114">
        <v>19002680094</v>
      </c>
      <c r="P657" s="112">
        <v>0</v>
      </c>
      <c r="Q657" s="112" t="s">
        <v>1074</v>
      </c>
      <c r="R657" s="112" t="s">
        <v>1075</v>
      </c>
      <c r="S657" s="113">
        <v>46244.732511574075</v>
      </c>
      <c r="T657" s="112" t="s">
        <v>3492</v>
      </c>
      <c r="U657" s="112" t="s">
        <v>1065</v>
      </c>
      <c r="V657" s="112" t="s">
        <v>1066</v>
      </c>
      <c r="W657" s="112" t="s">
        <v>1066</v>
      </c>
      <c r="X657" s="112" t="s">
        <v>1066</v>
      </c>
      <c r="Y657" s="112" t="s">
        <v>1066</v>
      </c>
      <c r="Z657" s="112" t="s">
        <v>1066</v>
      </c>
      <c r="AA657" s="112" t="s">
        <v>1067</v>
      </c>
      <c r="AB657" s="112" t="s">
        <v>1066</v>
      </c>
      <c r="AC657" s="112" t="s">
        <v>92</v>
      </c>
      <c r="AD657" s="112" t="s">
        <v>1066</v>
      </c>
      <c r="AE657" s="112" t="s">
        <v>1066</v>
      </c>
      <c r="AF657" s="112" t="s">
        <v>1066</v>
      </c>
      <c r="AG657" s="112" t="s">
        <v>1066</v>
      </c>
      <c r="AH657" s="112" t="s">
        <v>3493</v>
      </c>
      <c r="AI657" s="112" t="s">
        <v>785</v>
      </c>
      <c r="AJ657" s="112">
        <v>9144437</v>
      </c>
      <c r="AK657" s="112" t="s">
        <v>253</v>
      </c>
      <c r="AL657" s="112">
        <v>792803</v>
      </c>
      <c r="AM657" s="112" t="s">
        <v>1066</v>
      </c>
      <c r="AN657" s="112" t="s">
        <v>1066</v>
      </c>
    </row>
    <row r="658" spans="1:40" ht="55.5" customHeight="1" x14ac:dyDescent="0.25">
      <c r="A658" s="111" t="s">
        <v>3494</v>
      </c>
      <c r="B658" s="112">
        <v>2026</v>
      </c>
      <c r="C658" s="112" t="s">
        <v>1089</v>
      </c>
      <c r="D658" s="113">
        <v>46028.453888888886</v>
      </c>
      <c r="E658" s="112">
        <v>7900554139</v>
      </c>
      <c r="F658" s="112" t="s">
        <v>1740</v>
      </c>
      <c r="G658" s="112">
        <v>3</v>
      </c>
      <c r="H658" s="112">
        <v>7900554139</v>
      </c>
      <c r="I658" s="112" t="s">
        <v>3495</v>
      </c>
      <c r="J658" s="112" t="s">
        <v>1092</v>
      </c>
      <c r="K658" s="112" t="s">
        <v>1093</v>
      </c>
      <c r="L658" s="112" t="s">
        <v>1061</v>
      </c>
      <c r="M658" s="112" t="s">
        <v>478</v>
      </c>
      <c r="N658" s="113">
        <v>46428.453888888886</v>
      </c>
      <c r="O658" s="114">
        <v>19002295956</v>
      </c>
      <c r="P658" s="112">
        <v>192</v>
      </c>
      <c r="Q658" s="112" t="s">
        <v>1062</v>
      </c>
      <c r="R658" s="112" t="s">
        <v>1063</v>
      </c>
      <c r="S658" s="113">
        <v>46035.34652777778</v>
      </c>
      <c r="T658" s="112" t="s">
        <v>3496</v>
      </c>
      <c r="U658" s="112" t="s">
        <v>1065</v>
      </c>
      <c r="V658" s="112" t="s">
        <v>1066</v>
      </c>
      <c r="W658" s="112" t="s">
        <v>1066</v>
      </c>
      <c r="X658" s="112" t="s">
        <v>1066</v>
      </c>
      <c r="Y658" s="112" t="s">
        <v>1066</v>
      </c>
      <c r="Z658" s="112" t="s">
        <v>1066</v>
      </c>
      <c r="AA658" s="112" t="s">
        <v>1067</v>
      </c>
      <c r="AB658" s="112" t="s">
        <v>1066</v>
      </c>
      <c r="AC658" s="112" t="s">
        <v>92</v>
      </c>
      <c r="AD658" s="112" t="s">
        <v>1066</v>
      </c>
      <c r="AE658" s="112" t="s">
        <v>1066</v>
      </c>
      <c r="AF658" s="112" t="s">
        <v>1066</v>
      </c>
      <c r="AG658" s="112" t="s">
        <v>1066</v>
      </c>
      <c r="AH658" s="112" t="s">
        <v>1066</v>
      </c>
      <c r="AI658" s="112" t="s">
        <v>785</v>
      </c>
      <c r="AJ658" s="112">
        <v>8646450</v>
      </c>
      <c r="AK658" s="112" t="s">
        <v>1787</v>
      </c>
      <c r="AL658" s="112">
        <v>636448</v>
      </c>
      <c r="AM658" s="112" t="s">
        <v>1066</v>
      </c>
      <c r="AN658" s="112" t="s">
        <v>1066</v>
      </c>
    </row>
    <row r="659" spans="1:40" ht="55.5" customHeight="1" x14ac:dyDescent="0.25">
      <c r="A659" s="111" t="s">
        <v>3497</v>
      </c>
      <c r="B659" s="112">
        <v>2026</v>
      </c>
      <c r="C659" s="112" t="s">
        <v>1210</v>
      </c>
      <c r="D659" s="113">
        <v>46114.608900462961</v>
      </c>
      <c r="E659" s="112">
        <v>7931384084</v>
      </c>
      <c r="F659" s="112" t="s">
        <v>153</v>
      </c>
      <c r="G659" s="112">
        <v>1</v>
      </c>
      <c r="H659" s="112">
        <v>7931384084</v>
      </c>
      <c r="I659" s="112" t="s">
        <v>3498</v>
      </c>
      <c r="J659" s="112" t="s">
        <v>1066</v>
      </c>
      <c r="K659" s="112" t="s">
        <v>1125</v>
      </c>
      <c r="L659" s="112" t="s">
        <v>1061</v>
      </c>
      <c r="M659" s="112" t="s">
        <v>478</v>
      </c>
      <c r="N659" s="113">
        <v>46514.608900462961</v>
      </c>
      <c r="O659" s="114">
        <v>19002203083</v>
      </c>
      <c r="P659" s="112">
        <v>0</v>
      </c>
      <c r="Q659" s="112" t="s">
        <v>1062</v>
      </c>
      <c r="R659" s="112" t="s">
        <v>1063</v>
      </c>
      <c r="S659" s="113">
        <v>46170.570543981485</v>
      </c>
      <c r="T659" s="112" t="s">
        <v>3499</v>
      </c>
      <c r="U659" s="112" t="s">
        <v>1065</v>
      </c>
      <c r="V659" s="112" t="s">
        <v>1066</v>
      </c>
      <c r="W659" s="112" t="s">
        <v>1066</v>
      </c>
      <c r="X659" s="112" t="s">
        <v>1066</v>
      </c>
      <c r="Y659" s="112" t="s">
        <v>1066</v>
      </c>
      <c r="Z659" s="112" t="s">
        <v>1066</v>
      </c>
      <c r="AA659" s="112" t="s">
        <v>1067</v>
      </c>
      <c r="AB659" s="112" t="s">
        <v>1066</v>
      </c>
      <c r="AC659" s="112" t="s">
        <v>92</v>
      </c>
      <c r="AD659" s="112" t="s">
        <v>1066</v>
      </c>
      <c r="AE659" s="112" t="s">
        <v>1066</v>
      </c>
      <c r="AF659" s="112" t="s">
        <v>1066</v>
      </c>
      <c r="AG659" s="112" t="s">
        <v>1066</v>
      </c>
      <c r="AH659" s="112" t="s">
        <v>1066</v>
      </c>
      <c r="AI659" s="112" t="s">
        <v>785</v>
      </c>
      <c r="AJ659" s="112">
        <v>8916772</v>
      </c>
      <c r="AK659" s="112" t="s">
        <v>1311</v>
      </c>
      <c r="AL659" s="112">
        <v>693472</v>
      </c>
      <c r="AM659" s="112" t="s">
        <v>1066</v>
      </c>
      <c r="AN659" s="112" t="s">
        <v>1066</v>
      </c>
    </row>
    <row r="660" spans="1:40" ht="55.5" customHeight="1" x14ac:dyDescent="0.25">
      <c r="A660" s="111" t="s">
        <v>3500</v>
      </c>
      <c r="B660" s="112">
        <v>2026</v>
      </c>
      <c r="C660" s="112" t="s">
        <v>3501</v>
      </c>
      <c r="D660" s="113">
        <v>46189.351412037038</v>
      </c>
      <c r="E660" s="112">
        <v>302273052</v>
      </c>
      <c r="F660" s="112" t="s">
        <v>1397</v>
      </c>
      <c r="G660" s="112">
        <v>3</v>
      </c>
      <c r="H660" s="112">
        <v>7961301052</v>
      </c>
      <c r="I660" s="112" t="s">
        <v>3502</v>
      </c>
      <c r="J660" s="112" t="s">
        <v>1082</v>
      </c>
      <c r="K660" s="112" t="s">
        <v>1083</v>
      </c>
      <c r="L660" s="112" t="s">
        <v>1084</v>
      </c>
      <c r="M660" s="112" t="s">
        <v>478</v>
      </c>
      <c r="N660" s="113">
        <v>46249.351412037038</v>
      </c>
      <c r="O660" s="114">
        <v>19002788159</v>
      </c>
      <c r="P660" s="112">
        <v>47</v>
      </c>
      <c r="Q660" s="112" t="s">
        <v>1131</v>
      </c>
      <c r="R660" s="112" t="s">
        <v>1297</v>
      </c>
      <c r="S660" s="113">
        <v>46205.586956018517</v>
      </c>
      <c r="T660" s="112" t="s">
        <v>3503</v>
      </c>
      <c r="U660" s="112" t="s">
        <v>1065</v>
      </c>
      <c r="V660" s="112" t="s">
        <v>1066</v>
      </c>
      <c r="W660" s="112" t="s">
        <v>1066</v>
      </c>
      <c r="X660" s="112" t="s">
        <v>1117</v>
      </c>
      <c r="Y660" s="112" t="s">
        <v>1066</v>
      </c>
      <c r="Z660" s="112" t="s">
        <v>1066</v>
      </c>
      <c r="AA660" s="112" t="s">
        <v>1067</v>
      </c>
      <c r="AB660" s="112" t="s">
        <v>1066</v>
      </c>
      <c r="AC660" s="112" t="s">
        <v>92</v>
      </c>
      <c r="AD660" s="112" t="s">
        <v>1066</v>
      </c>
      <c r="AE660" s="112" t="s">
        <v>1066</v>
      </c>
      <c r="AF660" s="112" t="s">
        <v>1066</v>
      </c>
      <c r="AG660" s="112" t="s">
        <v>1066</v>
      </c>
      <c r="AH660" s="112" t="s">
        <v>1066</v>
      </c>
      <c r="AI660" s="112" t="s">
        <v>785</v>
      </c>
      <c r="AJ660" s="112">
        <v>8684862</v>
      </c>
      <c r="AK660" s="112" t="s">
        <v>112</v>
      </c>
      <c r="AL660" s="112">
        <v>663020</v>
      </c>
      <c r="AM660" s="112" t="s">
        <v>1066</v>
      </c>
      <c r="AN660" s="112" t="s">
        <v>1066</v>
      </c>
    </row>
    <row r="661" spans="1:40" ht="55.5" customHeight="1" x14ac:dyDescent="0.25">
      <c r="A661" s="111" t="s">
        <v>3504</v>
      </c>
      <c r="B661" s="112">
        <v>2026</v>
      </c>
      <c r="C661" s="112" t="s">
        <v>1089</v>
      </c>
      <c r="D661" s="113">
        <v>46028.41065972222</v>
      </c>
      <c r="E661" s="112">
        <v>7903316001</v>
      </c>
      <c r="F661" s="112" t="s">
        <v>3505</v>
      </c>
      <c r="G661" s="112">
        <v>1</v>
      </c>
      <c r="H661" s="112">
        <v>7903316001</v>
      </c>
      <c r="I661" s="112" t="s">
        <v>3506</v>
      </c>
      <c r="J661" s="112" t="s">
        <v>1092</v>
      </c>
      <c r="K661" s="112" t="s">
        <v>1093</v>
      </c>
      <c r="L661" s="112" t="s">
        <v>1061</v>
      </c>
      <c r="M661" s="112" t="s">
        <v>478</v>
      </c>
      <c r="N661" s="113">
        <v>46428.41065972222</v>
      </c>
      <c r="O661" s="114">
        <v>19002295977</v>
      </c>
      <c r="P661" s="112">
        <v>1.9550000000000001</v>
      </c>
      <c r="Q661" s="112" t="s">
        <v>1062</v>
      </c>
      <c r="R661" s="112" t="s">
        <v>1063</v>
      </c>
      <c r="S661" s="113">
        <v>46043.65079861111</v>
      </c>
      <c r="T661" s="112" t="s">
        <v>3507</v>
      </c>
      <c r="U661" s="112" t="s">
        <v>1065</v>
      </c>
      <c r="V661" s="112" t="s">
        <v>1066</v>
      </c>
      <c r="W661" s="112" t="s">
        <v>1066</v>
      </c>
      <c r="X661" s="112" t="s">
        <v>1066</v>
      </c>
      <c r="Y661" s="112" t="s">
        <v>1066</v>
      </c>
      <c r="Z661" s="112" t="s">
        <v>1066</v>
      </c>
      <c r="AA661" s="112" t="s">
        <v>1067</v>
      </c>
      <c r="AB661" s="112" t="s">
        <v>1066</v>
      </c>
      <c r="AC661" s="112" t="s">
        <v>92</v>
      </c>
      <c r="AD661" s="112" t="s">
        <v>1066</v>
      </c>
      <c r="AE661" s="112" t="s">
        <v>1066</v>
      </c>
      <c r="AF661" s="112" t="s">
        <v>1066</v>
      </c>
      <c r="AG661" s="112" t="s">
        <v>1066</v>
      </c>
      <c r="AH661" s="112" t="s">
        <v>1066</v>
      </c>
      <c r="AI661" s="112" t="s">
        <v>785</v>
      </c>
      <c r="AJ661" s="112">
        <v>8814211</v>
      </c>
      <c r="AK661" s="112" t="s">
        <v>50</v>
      </c>
      <c r="AL661" s="112">
        <v>785728</v>
      </c>
      <c r="AM661" s="112" t="s">
        <v>1066</v>
      </c>
      <c r="AN661" s="112" t="s">
        <v>1066</v>
      </c>
    </row>
    <row r="662" spans="1:40" ht="55.5" customHeight="1" x14ac:dyDescent="0.25">
      <c r="A662" s="111" t="s">
        <v>3508</v>
      </c>
      <c r="B662" s="112">
        <v>2026</v>
      </c>
      <c r="C662" s="112" t="s">
        <v>1057</v>
      </c>
      <c r="D662" s="113">
        <v>46125.614548611113</v>
      </c>
      <c r="E662" s="112">
        <v>7900543010</v>
      </c>
      <c r="F662" s="112" t="s">
        <v>1613</v>
      </c>
      <c r="G662" s="112">
        <v>3</v>
      </c>
      <c r="H662" s="112">
        <v>7900543010</v>
      </c>
      <c r="I662" s="112" t="s">
        <v>3509</v>
      </c>
      <c r="J662" s="112" t="s">
        <v>1066</v>
      </c>
      <c r="K662" s="112" t="s">
        <v>1125</v>
      </c>
      <c r="L662" s="112" t="s">
        <v>1061</v>
      </c>
      <c r="M662" s="112" t="s">
        <v>478</v>
      </c>
      <c r="N662" s="113">
        <v>46525.614548611113</v>
      </c>
      <c r="O662" s="114">
        <v>19002259082</v>
      </c>
      <c r="P662" s="112">
        <v>576</v>
      </c>
      <c r="Q662" s="112" t="s">
        <v>1062</v>
      </c>
      <c r="R662" s="112" t="s">
        <v>1063</v>
      </c>
      <c r="S662" s="113">
        <v>46174.3125</v>
      </c>
      <c r="T662" s="112" t="s">
        <v>1307</v>
      </c>
      <c r="U662" s="112" t="s">
        <v>1065</v>
      </c>
      <c r="V662" s="112" t="s">
        <v>1066</v>
      </c>
      <c r="W662" s="112" t="s">
        <v>1066</v>
      </c>
      <c r="X662" s="112" t="s">
        <v>1066</v>
      </c>
      <c r="Y662" s="112" t="s">
        <v>1066</v>
      </c>
      <c r="Z662" s="112" t="s">
        <v>1066</v>
      </c>
      <c r="AA662" s="112" t="s">
        <v>1067</v>
      </c>
      <c r="AB662" s="112" t="s">
        <v>1066</v>
      </c>
      <c r="AC662" s="112" t="s">
        <v>92</v>
      </c>
      <c r="AD662" s="112" t="s">
        <v>1066</v>
      </c>
      <c r="AE662" s="112" t="s">
        <v>1066</v>
      </c>
      <c r="AF662" s="112" t="s">
        <v>1066</v>
      </c>
      <c r="AG662" s="112" t="s">
        <v>1066</v>
      </c>
      <c r="AH662" s="112" t="s">
        <v>1066</v>
      </c>
      <c r="AI662" s="112" t="s">
        <v>785</v>
      </c>
      <c r="AJ662" s="112">
        <v>8910737</v>
      </c>
      <c r="AK662" s="112" t="s">
        <v>1442</v>
      </c>
      <c r="AL662" s="112">
        <v>796968</v>
      </c>
      <c r="AM662" s="112" t="s">
        <v>1066</v>
      </c>
      <c r="AN662" s="112" t="s">
        <v>1066</v>
      </c>
    </row>
    <row r="663" spans="1:40" ht="55.5" customHeight="1" x14ac:dyDescent="0.25">
      <c r="A663" s="111" t="s">
        <v>3510</v>
      </c>
      <c r="B663" s="112">
        <v>2026</v>
      </c>
      <c r="C663" s="112" t="s">
        <v>1251</v>
      </c>
      <c r="D663" s="113">
        <v>46034.553159722222</v>
      </c>
      <c r="E663" s="112">
        <v>7900200050</v>
      </c>
      <c r="F663" s="112" t="s">
        <v>3511</v>
      </c>
      <c r="G663" s="112">
        <v>3</v>
      </c>
      <c r="H663" s="112">
        <v>7900200050</v>
      </c>
      <c r="I663" s="112" t="s">
        <v>3512</v>
      </c>
      <c r="J663" s="112" t="s">
        <v>1059</v>
      </c>
      <c r="K663" s="112" t="s">
        <v>1060</v>
      </c>
      <c r="L663" s="112" t="s">
        <v>1061</v>
      </c>
      <c r="M663" s="112" t="s">
        <v>478</v>
      </c>
      <c r="N663" s="113">
        <v>46434.553159722222</v>
      </c>
      <c r="O663" s="114">
        <v>19002209792</v>
      </c>
      <c r="P663" s="112">
        <v>111</v>
      </c>
      <c r="Q663" s="112" t="s">
        <v>1062</v>
      </c>
      <c r="R663" s="112" t="s">
        <v>1063</v>
      </c>
      <c r="S663" s="113">
        <v>46065.441666666666</v>
      </c>
      <c r="T663" s="112" t="s">
        <v>3513</v>
      </c>
      <c r="U663" s="112" t="s">
        <v>1065</v>
      </c>
      <c r="V663" s="112" t="s">
        <v>1066</v>
      </c>
      <c r="W663" s="112" t="s">
        <v>1066</v>
      </c>
      <c r="X663" s="112" t="s">
        <v>1066</v>
      </c>
      <c r="Y663" s="112" t="s">
        <v>1066</v>
      </c>
      <c r="Z663" s="112" t="s">
        <v>1066</v>
      </c>
      <c r="AA663" s="112" t="s">
        <v>1067</v>
      </c>
      <c r="AB663" s="112" t="s">
        <v>1066</v>
      </c>
      <c r="AC663" s="112" t="s">
        <v>92</v>
      </c>
      <c r="AD663" s="112" t="s">
        <v>1066</v>
      </c>
      <c r="AE663" s="112" t="s">
        <v>1066</v>
      </c>
      <c r="AF663" s="112" t="s">
        <v>1066</v>
      </c>
      <c r="AG663" s="112" t="s">
        <v>1066</v>
      </c>
      <c r="AH663" s="112" t="s">
        <v>1066</v>
      </c>
      <c r="AI663" s="112" t="s">
        <v>785</v>
      </c>
      <c r="AJ663" s="112">
        <v>8578501</v>
      </c>
      <c r="AK663" s="112" t="s">
        <v>3514</v>
      </c>
      <c r="AL663" s="112">
        <v>983349</v>
      </c>
      <c r="AM663" s="112" t="s">
        <v>1066</v>
      </c>
      <c r="AN663" s="112" t="s">
        <v>1066</v>
      </c>
    </row>
    <row r="664" spans="1:40" ht="55.5" customHeight="1" x14ac:dyDescent="0.25">
      <c r="A664" s="111" t="s">
        <v>3515</v>
      </c>
      <c r="B664" s="112">
        <v>2026</v>
      </c>
      <c r="C664" s="112" t="s">
        <v>3516</v>
      </c>
      <c r="D664" s="113">
        <v>46079.358761574076</v>
      </c>
      <c r="E664" s="112" t="s">
        <v>1066</v>
      </c>
      <c r="F664" s="112" t="s">
        <v>1792</v>
      </c>
      <c r="G664" s="112" t="s">
        <v>1066</v>
      </c>
      <c r="H664" s="112" t="s">
        <v>1066</v>
      </c>
      <c r="I664" s="112" t="s">
        <v>1793</v>
      </c>
      <c r="J664" s="112" t="s">
        <v>1059</v>
      </c>
      <c r="K664" s="112" t="s">
        <v>1060</v>
      </c>
      <c r="L664" s="112" t="s">
        <v>1061</v>
      </c>
      <c r="M664" s="112" t="s">
        <v>478</v>
      </c>
      <c r="N664" s="113">
        <v>46479.358761574076</v>
      </c>
      <c r="O664" s="114">
        <v>19001297210</v>
      </c>
      <c r="P664" s="112">
        <v>0</v>
      </c>
      <c r="Q664" s="112" t="s">
        <v>1794</v>
      </c>
      <c r="R664" s="112" t="s">
        <v>1063</v>
      </c>
      <c r="S664" s="113">
        <v>46079.733969907407</v>
      </c>
      <c r="T664" s="112" t="s">
        <v>3517</v>
      </c>
      <c r="U664" s="112" t="s">
        <v>1065</v>
      </c>
      <c r="V664" s="112" t="s">
        <v>1066</v>
      </c>
      <c r="W664" s="112" t="s">
        <v>1066</v>
      </c>
      <c r="X664" s="112" t="s">
        <v>1066</v>
      </c>
      <c r="Y664" s="112" t="s">
        <v>1066</v>
      </c>
      <c r="Z664" s="112" t="s">
        <v>1066</v>
      </c>
      <c r="AA664" s="112" t="s">
        <v>1067</v>
      </c>
      <c r="AB664" s="112" t="s">
        <v>1066</v>
      </c>
      <c r="AC664" s="112" t="s">
        <v>92</v>
      </c>
      <c r="AD664" s="112" t="s">
        <v>1066</v>
      </c>
      <c r="AE664" s="112" t="s">
        <v>1066</v>
      </c>
      <c r="AF664" s="112" t="s">
        <v>1066</v>
      </c>
      <c r="AG664" s="112" t="s">
        <v>1066</v>
      </c>
      <c r="AH664" s="112" t="s">
        <v>1066</v>
      </c>
      <c r="AI664" s="112" t="s">
        <v>785</v>
      </c>
      <c r="AJ664" s="112" t="s">
        <v>1066</v>
      </c>
      <c r="AK664" s="112" t="s">
        <v>1066</v>
      </c>
      <c r="AL664" s="112" t="s">
        <v>1066</v>
      </c>
      <c r="AM664" s="112" t="s">
        <v>1066</v>
      </c>
      <c r="AN664" s="112" t="s">
        <v>1066</v>
      </c>
    </row>
    <row r="665" spans="1:40" ht="55.5" customHeight="1" x14ac:dyDescent="0.25">
      <c r="A665" s="111" t="s">
        <v>3518</v>
      </c>
      <c r="B665" s="112">
        <v>2026</v>
      </c>
      <c r="C665" s="112" t="s">
        <v>1089</v>
      </c>
      <c r="D665" s="113">
        <v>46028.41065972222</v>
      </c>
      <c r="E665" s="112">
        <v>7907571122</v>
      </c>
      <c r="F665" s="112" t="s">
        <v>3519</v>
      </c>
      <c r="G665" s="112">
        <v>3</v>
      </c>
      <c r="H665" s="112">
        <v>7907571122</v>
      </c>
      <c r="I665" s="112" t="s">
        <v>3520</v>
      </c>
      <c r="J665" s="112" t="s">
        <v>1092</v>
      </c>
      <c r="K665" s="112" t="s">
        <v>1093</v>
      </c>
      <c r="L665" s="112" t="s">
        <v>1061</v>
      </c>
      <c r="M665" s="112" t="s">
        <v>478</v>
      </c>
      <c r="N665" s="113">
        <v>46428.41065972222</v>
      </c>
      <c r="O665" s="114">
        <v>19002609276</v>
      </c>
      <c r="P665" s="112">
        <v>0</v>
      </c>
      <c r="Q665" s="112" t="s">
        <v>1062</v>
      </c>
      <c r="R665" s="112" t="s">
        <v>1063</v>
      </c>
      <c r="S665" s="113">
        <v>46153.480555555558</v>
      </c>
      <c r="T665" s="112" t="s">
        <v>3521</v>
      </c>
      <c r="U665" s="112" t="s">
        <v>1065</v>
      </c>
      <c r="V665" s="112" t="s">
        <v>1066</v>
      </c>
      <c r="W665" s="112" t="s">
        <v>1066</v>
      </c>
      <c r="X665" s="112" t="s">
        <v>1066</v>
      </c>
      <c r="Y665" s="112" t="s">
        <v>1066</v>
      </c>
      <c r="Z665" s="112" t="s">
        <v>1066</v>
      </c>
      <c r="AA665" s="112" t="s">
        <v>1067</v>
      </c>
      <c r="AB665" s="112" t="s">
        <v>1066</v>
      </c>
      <c r="AC665" s="112" t="s">
        <v>92</v>
      </c>
      <c r="AD665" s="112" t="s">
        <v>1066</v>
      </c>
      <c r="AE665" s="112" t="s">
        <v>1066</v>
      </c>
      <c r="AF665" s="112" t="s">
        <v>1066</v>
      </c>
      <c r="AG665" s="112" t="s">
        <v>1066</v>
      </c>
      <c r="AH665" s="112" t="s">
        <v>1066</v>
      </c>
      <c r="AI665" s="112" t="s">
        <v>785</v>
      </c>
      <c r="AJ665" s="112">
        <v>8873737</v>
      </c>
      <c r="AK665" s="112" t="s">
        <v>264</v>
      </c>
      <c r="AL665" s="112">
        <v>792836</v>
      </c>
      <c r="AM665" s="112" t="s">
        <v>1066</v>
      </c>
      <c r="AN665" s="112" t="s">
        <v>1066</v>
      </c>
    </row>
    <row r="666" spans="1:40" ht="55.5" customHeight="1" x14ac:dyDescent="0.25">
      <c r="A666" s="111" t="s">
        <v>3522</v>
      </c>
      <c r="B666" s="112">
        <v>2026</v>
      </c>
      <c r="C666" s="112" t="s">
        <v>1089</v>
      </c>
      <c r="D666" s="113">
        <v>46028.41065972222</v>
      </c>
      <c r="E666" s="112">
        <v>7900189012</v>
      </c>
      <c r="F666" s="112" t="s">
        <v>314</v>
      </c>
      <c r="G666" s="112">
        <v>1</v>
      </c>
      <c r="H666" s="112">
        <v>7900189012</v>
      </c>
      <c r="I666" s="112" t="s">
        <v>3523</v>
      </c>
      <c r="J666" s="112" t="s">
        <v>1092</v>
      </c>
      <c r="K666" s="112" t="s">
        <v>1093</v>
      </c>
      <c r="L666" s="112" t="s">
        <v>1061</v>
      </c>
      <c r="M666" s="112" t="s">
        <v>478</v>
      </c>
      <c r="N666" s="113">
        <v>46428.41065972222</v>
      </c>
      <c r="O666" s="114">
        <v>19002259286</v>
      </c>
      <c r="P666" s="112">
        <v>837</v>
      </c>
      <c r="Q666" s="112" t="s">
        <v>1062</v>
      </c>
      <c r="R666" s="112" t="s">
        <v>1063</v>
      </c>
      <c r="S666" s="113">
        <v>46063.466666666667</v>
      </c>
      <c r="T666" s="112" t="s">
        <v>3524</v>
      </c>
      <c r="U666" s="112" t="s">
        <v>1065</v>
      </c>
      <c r="V666" s="112" t="s">
        <v>1066</v>
      </c>
      <c r="W666" s="112" t="s">
        <v>1066</v>
      </c>
      <c r="X666" s="112" t="s">
        <v>1066</v>
      </c>
      <c r="Y666" s="112" t="s">
        <v>1066</v>
      </c>
      <c r="Z666" s="112" t="s">
        <v>1066</v>
      </c>
      <c r="AA666" s="112" t="s">
        <v>1067</v>
      </c>
      <c r="AB666" s="112" t="s">
        <v>1066</v>
      </c>
      <c r="AC666" s="112" t="s">
        <v>92</v>
      </c>
      <c r="AD666" s="112" t="s">
        <v>1066</v>
      </c>
      <c r="AE666" s="112" t="s">
        <v>1066</v>
      </c>
      <c r="AF666" s="112" t="s">
        <v>1066</v>
      </c>
      <c r="AG666" s="112" t="s">
        <v>1066</v>
      </c>
      <c r="AH666" s="112" t="s">
        <v>1066</v>
      </c>
      <c r="AI666" s="112" t="s">
        <v>785</v>
      </c>
      <c r="AJ666" s="112">
        <v>8828154</v>
      </c>
      <c r="AK666" s="112" t="s">
        <v>1505</v>
      </c>
      <c r="AL666" s="112">
        <v>694319</v>
      </c>
      <c r="AM666" s="112" t="s">
        <v>1066</v>
      </c>
      <c r="AN666" s="112" t="s">
        <v>1066</v>
      </c>
    </row>
    <row r="667" spans="1:40" ht="55.5" customHeight="1" x14ac:dyDescent="0.25">
      <c r="A667" s="111" t="s">
        <v>3525</v>
      </c>
      <c r="B667" s="112">
        <v>2026</v>
      </c>
      <c r="C667" s="112" t="s">
        <v>3526</v>
      </c>
      <c r="D667" s="113">
        <v>46044.623472222222</v>
      </c>
      <c r="E667" s="112">
        <v>9000872076</v>
      </c>
      <c r="F667" s="112" t="s">
        <v>663</v>
      </c>
      <c r="G667" s="112">
        <v>2</v>
      </c>
      <c r="H667" s="112">
        <v>7924616076</v>
      </c>
      <c r="I667" s="112" t="s">
        <v>3527</v>
      </c>
      <c r="J667" s="112" t="s">
        <v>1071</v>
      </c>
      <c r="K667" s="112" t="s">
        <v>2080</v>
      </c>
      <c r="L667" s="112" t="s">
        <v>1073</v>
      </c>
      <c r="M667" s="112" t="s">
        <v>478</v>
      </c>
      <c r="N667" s="113">
        <v>46083.463946759257</v>
      </c>
      <c r="O667" s="114">
        <v>19001242292</v>
      </c>
      <c r="P667" s="112">
        <v>59</v>
      </c>
      <c r="Q667" s="112" t="s">
        <v>1131</v>
      </c>
      <c r="R667" s="112" t="s">
        <v>1297</v>
      </c>
      <c r="S667" s="113">
        <v>46097.724282407406</v>
      </c>
      <c r="T667" s="112" t="s">
        <v>3528</v>
      </c>
      <c r="U667" s="112" t="s">
        <v>1065</v>
      </c>
      <c r="V667" s="112" t="s">
        <v>1066</v>
      </c>
      <c r="W667" s="112" t="s">
        <v>1066</v>
      </c>
      <c r="X667" s="112" t="s">
        <v>983</v>
      </c>
      <c r="Y667" s="112" t="s">
        <v>1066</v>
      </c>
      <c r="Z667" s="112" t="s">
        <v>1148</v>
      </c>
      <c r="AA667" s="112" t="s">
        <v>1067</v>
      </c>
      <c r="AB667" s="112" t="s">
        <v>1066</v>
      </c>
      <c r="AC667" s="112" t="s">
        <v>92</v>
      </c>
      <c r="AD667" s="112" t="s">
        <v>1142</v>
      </c>
      <c r="AE667" s="112" t="s">
        <v>1066</v>
      </c>
      <c r="AF667" s="112" t="s">
        <v>1066</v>
      </c>
      <c r="AG667" s="112" t="s">
        <v>1066</v>
      </c>
      <c r="AH667" s="112" t="s">
        <v>3529</v>
      </c>
      <c r="AI667" s="112" t="s">
        <v>785</v>
      </c>
      <c r="AJ667" s="112">
        <v>8743594</v>
      </c>
      <c r="AK667" s="112" t="s">
        <v>209</v>
      </c>
      <c r="AL667" s="112">
        <v>688916</v>
      </c>
      <c r="AM667" s="112" t="s">
        <v>1066</v>
      </c>
      <c r="AN667" s="112" t="s">
        <v>1066</v>
      </c>
    </row>
    <row r="668" spans="1:40" ht="55.5" customHeight="1" x14ac:dyDescent="0.25">
      <c r="A668" s="111" t="s">
        <v>3530</v>
      </c>
      <c r="B668" s="112">
        <v>2026</v>
      </c>
      <c r="C668" s="112" t="s">
        <v>1080</v>
      </c>
      <c r="D668" s="113">
        <v>46154.726712962962</v>
      </c>
      <c r="E668" s="112">
        <v>7943319015</v>
      </c>
      <c r="F668" s="112" t="s">
        <v>88</v>
      </c>
      <c r="G668" s="112">
        <v>1</v>
      </c>
      <c r="H668" s="112">
        <v>7943319015</v>
      </c>
      <c r="I668" s="112" t="s">
        <v>3531</v>
      </c>
      <c r="J668" s="112" t="s">
        <v>1082</v>
      </c>
      <c r="K668" s="112" t="s">
        <v>1083</v>
      </c>
      <c r="L668" s="112" t="s">
        <v>1084</v>
      </c>
      <c r="M668" s="112" t="s">
        <v>478</v>
      </c>
      <c r="N668" s="113">
        <v>46214.729317129626</v>
      </c>
      <c r="O668" s="114">
        <v>19002321701</v>
      </c>
      <c r="P668" s="112">
        <v>0</v>
      </c>
      <c r="Q668" s="112" t="s">
        <v>1062</v>
      </c>
      <c r="R668" s="112" t="s">
        <v>1085</v>
      </c>
      <c r="S668" s="113">
        <v>46169.664583333331</v>
      </c>
      <c r="T668" s="112" t="s">
        <v>3532</v>
      </c>
      <c r="U668" s="112" t="s">
        <v>1065</v>
      </c>
      <c r="V668" s="112" t="s">
        <v>1066</v>
      </c>
      <c r="W668" s="112" t="s">
        <v>1066</v>
      </c>
      <c r="X668" s="112" t="s">
        <v>1066</v>
      </c>
      <c r="Y668" s="112" t="s">
        <v>1066</v>
      </c>
      <c r="Z668" s="112" t="s">
        <v>1066</v>
      </c>
      <c r="AA668" s="112" t="s">
        <v>1208</v>
      </c>
      <c r="AB668" s="112" t="s">
        <v>1066</v>
      </c>
      <c r="AC668" s="112" t="s">
        <v>92</v>
      </c>
      <c r="AD668" s="112" t="s">
        <v>1066</v>
      </c>
      <c r="AE668" s="112" t="s">
        <v>1066</v>
      </c>
      <c r="AF668" s="112" t="s">
        <v>1066</v>
      </c>
      <c r="AG668" s="112" t="s">
        <v>1066</v>
      </c>
      <c r="AH668" s="112" t="s">
        <v>3533</v>
      </c>
      <c r="AI668" s="112" t="s">
        <v>785</v>
      </c>
      <c r="AJ668" s="112">
        <v>8981710</v>
      </c>
      <c r="AK668" s="112" t="s">
        <v>288</v>
      </c>
      <c r="AL668" s="112">
        <v>842667</v>
      </c>
      <c r="AM668" s="112" t="s">
        <v>1066</v>
      </c>
      <c r="AN668" s="112" t="s">
        <v>1066</v>
      </c>
    </row>
    <row r="669" spans="1:40" ht="55.5" customHeight="1" x14ac:dyDescent="0.25">
      <c r="A669" s="111" t="s">
        <v>3534</v>
      </c>
      <c r="B669" s="112">
        <v>2026</v>
      </c>
      <c r="C669" s="112" t="s">
        <v>1089</v>
      </c>
      <c r="D669" s="113">
        <v>46028.41065972222</v>
      </c>
      <c r="E669" s="112">
        <v>7900084001</v>
      </c>
      <c r="F669" s="112" t="s">
        <v>711</v>
      </c>
      <c r="G669" s="112">
        <v>2</v>
      </c>
      <c r="H669" s="112">
        <v>7900084001</v>
      </c>
      <c r="I669" s="112" t="s">
        <v>3535</v>
      </c>
      <c r="J669" s="112" t="s">
        <v>1092</v>
      </c>
      <c r="K669" s="112" t="s">
        <v>1093</v>
      </c>
      <c r="L669" s="112" t="s">
        <v>1061</v>
      </c>
      <c r="M669" s="112" t="s">
        <v>478</v>
      </c>
      <c r="N669" s="113">
        <v>46428.41065972222</v>
      </c>
      <c r="O669" s="114">
        <v>19002214296</v>
      </c>
      <c r="P669" s="112">
        <v>0</v>
      </c>
      <c r="Q669" s="112" t="s">
        <v>1062</v>
      </c>
      <c r="R669" s="112" t="s">
        <v>1063</v>
      </c>
      <c r="S669" s="113">
        <v>46043.675243055557</v>
      </c>
      <c r="T669" s="112" t="s">
        <v>3536</v>
      </c>
      <c r="U669" s="112" t="s">
        <v>1065</v>
      </c>
      <c r="V669" s="112" t="s">
        <v>1066</v>
      </c>
      <c r="W669" s="112" t="s">
        <v>1066</v>
      </c>
      <c r="X669" s="112" t="s">
        <v>1066</v>
      </c>
      <c r="Y669" s="112" t="s">
        <v>1066</v>
      </c>
      <c r="Z669" s="112" t="s">
        <v>1066</v>
      </c>
      <c r="AA669" s="112" t="s">
        <v>1067</v>
      </c>
      <c r="AB669" s="112" t="s">
        <v>1066</v>
      </c>
      <c r="AC669" s="112" t="s">
        <v>92</v>
      </c>
      <c r="AD669" s="112" t="s">
        <v>1066</v>
      </c>
      <c r="AE669" s="112" t="s">
        <v>1066</v>
      </c>
      <c r="AF669" s="112" t="s">
        <v>1066</v>
      </c>
      <c r="AG669" s="112" t="s">
        <v>1066</v>
      </c>
      <c r="AH669" s="112" t="s">
        <v>1066</v>
      </c>
      <c r="AI669" s="112" t="s">
        <v>785</v>
      </c>
      <c r="AJ669" s="112">
        <v>8815084</v>
      </c>
      <c r="AK669" s="112" t="s">
        <v>50</v>
      </c>
      <c r="AL669" s="112">
        <v>783075</v>
      </c>
      <c r="AM669" s="112" t="s">
        <v>1066</v>
      </c>
      <c r="AN669" s="112" t="s">
        <v>1066</v>
      </c>
    </row>
    <row r="670" spans="1:40" ht="55.5" customHeight="1" x14ac:dyDescent="0.25">
      <c r="A670" s="111" t="s">
        <v>3537</v>
      </c>
      <c r="B670" s="112">
        <v>2026</v>
      </c>
      <c r="C670" s="112" t="s">
        <v>1251</v>
      </c>
      <c r="D670" s="113">
        <v>46031.603807870371</v>
      </c>
      <c r="E670" s="112">
        <v>9000474091</v>
      </c>
      <c r="F670" s="112" t="s">
        <v>1483</v>
      </c>
      <c r="G670" s="112">
        <v>2</v>
      </c>
      <c r="H670" s="112">
        <v>7908715091</v>
      </c>
      <c r="I670" s="112" t="s">
        <v>3538</v>
      </c>
      <c r="J670" s="112" t="s">
        <v>1059</v>
      </c>
      <c r="K670" s="112" t="s">
        <v>1060</v>
      </c>
      <c r="L670" s="112" t="s">
        <v>1061</v>
      </c>
      <c r="M670" s="112" t="s">
        <v>478</v>
      </c>
      <c r="N670" s="113">
        <v>46431.603807870371</v>
      </c>
      <c r="O670" s="114">
        <v>19000138619</v>
      </c>
      <c r="P670" s="112">
        <v>94</v>
      </c>
      <c r="Q670" s="112" t="s">
        <v>1131</v>
      </c>
      <c r="R670" s="112" t="s">
        <v>1063</v>
      </c>
      <c r="S670" s="113">
        <v>46031.729166666664</v>
      </c>
      <c r="T670" s="112" t="s">
        <v>1253</v>
      </c>
      <c r="U670" s="112" t="s">
        <v>1065</v>
      </c>
      <c r="V670" s="112" t="s">
        <v>1066</v>
      </c>
      <c r="W670" s="112" t="s">
        <v>1066</v>
      </c>
      <c r="X670" s="112" t="s">
        <v>1066</v>
      </c>
      <c r="Y670" s="112" t="s">
        <v>1066</v>
      </c>
      <c r="Z670" s="112" t="s">
        <v>1066</v>
      </c>
      <c r="AA670" s="112" t="s">
        <v>1067</v>
      </c>
      <c r="AB670" s="112" t="s">
        <v>1066</v>
      </c>
      <c r="AC670" s="112" t="s">
        <v>92</v>
      </c>
      <c r="AD670" s="112" t="s">
        <v>1142</v>
      </c>
      <c r="AE670" s="112" t="s">
        <v>1066</v>
      </c>
      <c r="AF670" s="112" t="s">
        <v>1066</v>
      </c>
      <c r="AG670" s="112" t="s">
        <v>1066</v>
      </c>
      <c r="AH670" s="112" t="s">
        <v>1066</v>
      </c>
      <c r="AI670" s="112" t="s">
        <v>785</v>
      </c>
      <c r="AJ670" s="112">
        <v>8719585</v>
      </c>
      <c r="AK670" s="112" t="s">
        <v>40</v>
      </c>
      <c r="AL670" s="112">
        <v>918691</v>
      </c>
      <c r="AM670" s="112" t="s">
        <v>1066</v>
      </c>
      <c r="AN670" s="112" t="s">
        <v>1066</v>
      </c>
    </row>
    <row r="671" spans="1:40" ht="55.5" customHeight="1" x14ac:dyDescent="0.25">
      <c r="A671" s="111" t="s">
        <v>3539</v>
      </c>
      <c r="B671" s="112">
        <v>2026</v>
      </c>
      <c r="C671" s="112" t="s">
        <v>3540</v>
      </c>
      <c r="D671" s="113">
        <v>45767.677106481482</v>
      </c>
      <c r="E671" s="112">
        <v>9000291035</v>
      </c>
      <c r="F671" s="112" t="s">
        <v>340</v>
      </c>
      <c r="G671" s="112">
        <v>2</v>
      </c>
      <c r="H671" s="112">
        <v>5800291035</v>
      </c>
      <c r="I671" s="112" t="s">
        <v>3541</v>
      </c>
      <c r="J671" s="112" t="s">
        <v>1071</v>
      </c>
      <c r="K671" s="112" t="s">
        <v>1323</v>
      </c>
      <c r="L671" s="112" t="s">
        <v>1073</v>
      </c>
      <c r="M671" s="112" t="s">
        <v>478</v>
      </c>
      <c r="N671" s="113">
        <v>46095.651921296296</v>
      </c>
      <c r="O671" s="114">
        <v>19002682038</v>
      </c>
      <c r="P671" s="112">
        <v>295</v>
      </c>
      <c r="Q671" s="112" t="s">
        <v>1074</v>
      </c>
      <c r="R671" s="112" t="s">
        <v>1075</v>
      </c>
      <c r="S671" s="113">
        <v>46105.732256944444</v>
      </c>
      <c r="T671" s="112" t="s">
        <v>3542</v>
      </c>
      <c r="U671" s="112" t="s">
        <v>1065</v>
      </c>
      <c r="V671" s="112" t="s">
        <v>1066</v>
      </c>
      <c r="W671" s="112" t="s">
        <v>1066</v>
      </c>
      <c r="X671" s="112" t="s">
        <v>1077</v>
      </c>
      <c r="Y671" s="112" t="s">
        <v>1066</v>
      </c>
      <c r="Z671" s="112" t="s">
        <v>2311</v>
      </c>
      <c r="AA671" s="112" t="s">
        <v>1067</v>
      </c>
      <c r="AB671" s="112" t="s">
        <v>1066</v>
      </c>
      <c r="AC671" s="112" t="s">
        <v>92</v>
      </c>
      <c r="AD671" s="112" t="s">
        <v>1066</v>
      </c>
      <c r="AE671" s="112" t="s">
        <v>1066</v>
      </c>
      <c r="AF671" s="112" t="s">
        <v>1066</v>
      </c>
      <c r="AG671" s="112" t="s">
        <v>1066</v>
      </c>
      <c r="AH671" s="112" t="s">
        <v>3543</v>
      </c>
      <c r="AI671" s="112" t="s">
        <v>785</v>
      </c>
      <c r="AJ671" s="112">
        <v>8780710</v>
      </c>
      <c r="AK671" s="112" t="s">
        <v>339</v>
      </c>
      <c r="AL671" s="112">
        <v>819396</v>
      </c>
      <c r="AM671" s="112" t="s">
        <v>1066</v>
      </c>
      <c r="AN671" s="112" t="s">
        <v>1066</v>
      </c>
    </row>
    <row r="672" spans="1:40" ht="55.5" customHeight="1" x14ac:dyDescent="0.25">
      <c r="A672" s="124" t="s">
        <v>362</v>
      </c>
      <c r="B672" s="125">
        <v>2026</v>
      </c>
      <c r="C672" s="125" t="s">
        <v>365</v>
      </c>
      <c r="D672" s="126">
        <v>46186.666770833333</v>
      </c>
      <c r="E672" s="125">
        <v>321798145</v>
      </c>
      <c r="F672" s="125" t="s">
        <v>364</v>
      </c>
      <c r="G672" s="125">
        <v>3</v>
      </c>
      <c r="H672" s="125">
        <v>7949648145</v>
      </c>
      <c r="I672" s="125" t="s">
        <v>3107</v>
      </c>
      <c r="J672" s="125" t="s">
        <v>1071</v>
      </c>
      <c r="K672" s="125" t="s">
        <v>1171</v>
      </c>
      <c r="L672" s="125" t="s">
        <v>1073</v>
      </c>
      <c r="M672" s="125" t="s">
        <v>510</v>
      </c>
      <c r="N672" s="126">
        <v>46189.666770833333</v>
      </c>
      <c r="O672" s="127">
        <v>19002642359</v>
      </c>
      <c r="P672" s="125">
        <v>1.373</v>
      </c>
      <c r="Q672" s="125" t="s">
        <v>1131</v>
      </c>
      <c r="R672" s="125" t="s">
        <v>1075</v>
      </c>
      <c r="S672" s="125" t="s">
        <v>1066</v>
      </c>
      <c r="T672" s="125" t="s">
        <v>1066</v>
      </c>
      <c r="U672" s="125" t="s">
        <v>1066</v>
      </c>
      <c r="V672" s="125" t="s">
        <v>1066</v>
      </c>
      <c r="W672" s="125" t="s">
        <v>1066</v>
      </c>
      <c r="X672" s="125" t="s">
        <v>1117</v>
      </c>
      <c r="Y672" s="125" t="s">
        <v>1066</v>
      </c>
      <c r="Z672" s="125" t="s">
        <v>1174</v>
      </c>
      <c r="AA672" s="125" t="s">
        <v>1067</v>
      </c>
      <c r="AB672" s="125" t="s">
        <v>1066</v>
      </c>
      <c r="AC672" s="125" t="s">
        <v>92</v>
      </c>
      <c r="AD672" s="125" t="s">
        <v>1066</v>
      </c>
      <c r="AE672" s="125" t="s">
        <v>1066</v>
      </c>
      <c r="AF672" s="125" t="s">
        <v>1066</v>
      </c>
      <c r="AG672" s="125" t="s">
        <v>1066</v>
      </c>
      <c r="AH672" s="125" t="s">
        <v>1066</v>
      </c>
      <c r="AI672" s="125" t="s">
        <v>785</v>
      </c>
      <c r="AJ672" s="125">
        <v>9341451</v>
      </c>
      <c r="AK672" s="125" t="s">
        <v>363</v>
      </c>
      <c r="AL672" s="125">
        <v>886537</v>
      </c>
      <c r="AM672" s="125" t="s">
        <v>1066</v>
      </c>
      <c r="AN672" s="125" t="s">
        <v>1066</v>
      </c>
    </row>
    <row r="673" spans="1:40" ht="55.5" customHeight="1" x14ac:dyDescent="0.25">
      <c r="A673" s="115" t="s">
        <v>3544</v>
      </c>
      <c r="B673" s="116">
        <v>2026</v>
      </c>
      <c r="C673" s="116" t="s">
        <v>3545</v>
      </c>
      <c r="D673" s="118">
        <v>46250.538981481484</v>
      </c>
      <c r="E673" s="116" t="s">
        <v>1066</v>
      </c>
      <c r="F673" s="116" t="s">
        <v>3123</v>
      </c>
      <c r="G673" s="116" t="s">
        <v>1066</v>
      </c>
      <c r="H673" s="116" t="s">
        <v>3546</v>
      </c>
      <c r="I673" s="116" t="s">
        <v>3547</v>
      </c>
      <c r="J673" s="116" t="s">
        <v>1071</v>
      </c>
      <c r="K673" s="116" t="s">
        <v>1072</v>
      </c>
      <c r="L673" s="116" t="s">
        <v>1073</v>
      </c>
      <c r="M673" s="116" t="s">
        <v>588</v>
      </c>
      <c r="N673" s="118">
        <v>46253.543622685182</v>
      </c>
      <c r="O673" s="119">
        <v>19002323374</v>
      </c>
      <c r="P673" s="116">
        <v>0</v>
      </c>
      <c r="Q673" s="116" t="s">
        <v>3126</v>
      </c>
      <c r="R673" s="116" t="s">
        <v>1075</v>
      </c>
      <c r="S673" s="116" t="s">
        <v>1066</v>
      </c>
      <c r="T673" s="116" t="s">
        <v>1066</v>
      </c>
      <c r="U673" s="116" t="s">
        <v>1066</v>
      </c>
      <c r="V673" s="116" t="s">
        <v>1066</v>
      </c>
      <c r="W673" s="116" t="s">
        <v>1066</v>
      </c>
      <c r="X673" s="116" t="s">
        <v>983</v>
      </c>
      <c r="Y673" s="116" t="s">
        <v>1066</v>
      </c>
      <c r="Z673" s="116" t="s">
        <v>1078</v>
      </c>
      <c r="AA673" s="116" t="s">
        <v>1067</v>
      </c>
      <c r="AB673" s="116" t="s">
        <v>1066</v>
      </c>
      <c r="AC673" s="116" t="s">
        <v>92</v>
      </c>
      <c r="AD673" s="116" t="s">
        <v>1066</v>
      </c>
      <c r="AE673" s="116" t="s">
        <v>1066</v>
      </c>
      <c r="AF673" s="116" t="s">
        <v>1066</v>
      </c>
      <c r="AG673" s="116" t="s">
        <v>1066</v>
      </c>
      <c r="AH673" s="116" t="s">
        <v>1066</v>
      </c>
      <c r="AI673" s="116" t="s">
        <v>785</v>
      </c>
      <c r="AJ673" s="116">
        <v>-12107</v>
      </c>
      <c r="AK673" s="116" t="s">
        <v>264</v>
      </c>
      <c r="AL673" s="116">
        <v>73014</v>
      </c>
      <c r="AM673" s="116" t="s">
        <v>1066</v>
      </c>
      <c r="AN673" s="116" t="s">
        <v>1066</v>
      </c>
    </row>
    <row r="674" spans="1:40" ht="55.5" customHeight="1" x14ac:dyDescent="0.25">
      <c r="A674" s="111" t="s">
        <v>3548</v>
      </c>
      <c r="B674" s="112">
        <v>2026</v>
      </c>
      <c r="C674" s="112" t="s">
        <v>1089</v>
      </c>
      <c r="D674" s="113">
        <v>46028.41065972222</v>
      </c>
      <c r="E674" s="112">
        <v>7838113073</v>
      </c>
      <c r="F674" s="112" t="s">
        <v>3423</v>
      </c>
      <c r="G674" s="112">
        <v>3</v>
      </c>
      <c r="H674" s="112">
        <v>7838113073</v>
      </c>
      <c r="I674" s="112" t="s">
        <v>3424</v>
      </c>
      <c r="J674" s="112" t="s">
        <v>1092</v>
      </c>
      <c r="K674" s="112" t="s">
        <v>1093</v>
      </c>
      <c r="L674" s="112" t="s">
        <v>1061</v>
      </c>
      <c r="M674" s="112" t="s">
        <v>478</v>
      </c>
      <c r="N674" s="113">
        <v>46428.41065972222</v>
      </c>
      <c r="O674" s="114">
        <v>19002296005</v>
      </c>
      <c r="P674" s="112">
        <v>73</v>
      </c>
      <c r="Q674" s="112" t="s">
        <v>1062</v>
      </c>
      <c r="R674" s="112" t="s">
        <v>1063</v>
      </c>
      <c r="S674" s="113">
        <v>46063.46875</v>
      </c>
      <c r="T674" s="112" t="s">
        <v>3549</v>
      </c>
      <c r="U674" s="112" t="s">
        <v>1065</v>
      </c>
      <c r="V674" s="112" t="s">
        <v>1066</v>
      </c>
      <c r="W674" s="112" t="s">
        <v>1066</v>
      </c>
      <c r="X674" s="112" t="s">
        <v>1066</v>
      </c>
      <c r="Y674" s="112" t="s">
        <v>1066</v>
      </c>
      <c r="Z674" s="112" t="s">
        <v>1066</v>
      </c>
      <c r="AA674" s="112" t="s">
        <v>1067</v>
      </c>
      <c r="AB674" s="112" t="s">
        <v>1066</v>
      </c>
      <c r="AC674" s="112" t="s">
        <v>92</v>
      </c>
      <c r="AD674" s="112" t="s">
        <v>1066</v>
      </c>
      <c r="AE674" s="112" t="s">
        <v>1066</v>
      </c>
      <c r="AF674" s="112" t="s">
        <v>1066</v>
      </c>
      <c r="AG674" s="112" t="s">
        <v>1066</v>
      </c>
      <c r="AH674" s="112" t="s">
        <v>1066</v>
      </c>
      <c r="AI674" s="112" t="s">
        <v>785</v>
      </c>
      <c r="AJ674" s="112">
        <v>8794247</v>
      </c>
      <c r="AK674" s="112" t="s">
        <v>1166</v>
      </c>
      <c r="AL674" s="112">
        <v>628770</v>
      </c>
      <c r="AM674" s="112" t="s">
        <v>1066</v>
      </c>
      <c r="AN674" s="112" t="s">
        <v>1066</v>
      </c>
    </row>
    <row r="675" spans="1:40" ht="55.5" customHeight="1" x14ac:dyDescent="0.25">
      <c r="A675" s="115" t="s">
        <v>3303</v>
      </c>
      <c r="B675" s="116">
        <v>2025</v>
      </c>
      <c r="C675" s="116" t="s">
        <v>3550</v>
      </c>
      <c r="D675" s="118">
        <v>46017.75445601852</v>
      </c>
      <c r="E675" s="116">
        <v>9002298007</v>
      </c>
      <c r="F675" s="116" t="s">
        <v>101</v>
      </c>
      <c r="G675" s="116">
        <v>3</v>
      </c>
      <c r="H675" s="116">
        <v>7938137007</v>
      </c>
      <c r="I675" s="116" t="s">
        <v>3301</v>
      </c>
      <c r="J675" s="116" t="s">
        <v>1092</v>
      </c>
      <c r="K675" s="116" t="s">
        <v>3302</v>
      </c>
      <c r="L675" s="116" t="s">
        <v>1073</v>
      </c>
      <c r="M675" s="116" t="s">
        <v>588</v>
      </c>
      <c r="N675" s="118">
        <v>46069.389884259261</v>
      </c>
      <c r="O675" s="119">
        <v>19001290564</v>
      </c>
      <c r="P675" s="116">
        <v>289</v>
      </c>
      <c r="Q675" s="116" t="s">
        <v>1131</v>
      </c>
      <c r="R675" s="116" t="s">
        <v>1075</v>
      </c>
      <c r="S675" s="116" t="s">
        <v>1066</v>
      </c>
      <c r="T675" s="116" t="s">
        <v>1066</v>
      </c>
      <c r="U675" s="116" t="s">
        <v>1066</v>
      </c>
      <c r="V675" s="116" t="s">
        <v>1066</v>
      </c>
      <c r="W675" s="116" t="s">
        <v>1066</v>
      </c>
      <c r="X675" s="116" t="s">
        <v>983</v>
      </c>
      <c r="Y675" s="116" t="s">
        <v>1066</v>
      </c>
      <c r="Z675" s="116" t="s">
        <v>1174</v>
      </c>
      <c r="AA675" s="116" t="s">
        <v>1067</v>
      </c>
      <c r="AB675" s="116" t="s">
        <v>1066</v>
      </c>
      <c r="AC675" s="116" t="s">
        <v>92</v>
      </c>
      <c r="AD675" s="116" t="s">
        <v>1142</v>
      </c>
      <c r="AE675" s="116" t="s">
        <v>1066</v>
      </c>
      <c r="AF675" s="116" t="s">
        <v>1066</v>
      </c>
      <c r="AG675" s="116" t="s">
        <v>1066</v>
      </c>
      <c r="AH675" s="116" t="s">
        <v>1066</v>
      </c>
      <c r="AI675" s="116" t="s">
        <v>785</v>
      </c>
      <c r="AJ675" s="116">
        <v>8894217</v>
      </c>
      <c r="AK675" s="116" t="s">
        <v>100</v>
      </c>
      <c r="AL675" s="116">
        <v>765777</v>
      </c>
      <c r="AM675" s="116" t="s">
        <v>1066</v>
      </c>
      <c r="AN675" s="116" t="s">
        <v>1066</v>
      </c>
    </row>
    <row r="676" spans="1:40" ht="55.5" customHeight="1" x14ac:dyDescent="0.25">
      <c r="A676" s="111" t="s">
        <v>3551</v>
      </c>
      <c r="B676" s="112">
        <v>2026</v>
      </c>
      <c r="C676" s="112" t="s">
        <v>3552</v>
      </c>
      <c r="D676" s="113">
        <v>46118.460925925923</v>
      </c>
      <c r="E676" s="112">
        <v>7908302256</v>
      </c>
      <c r="F676" s="112" t="s">
        <v>136</v>
      </c>
      <c r="G676" s="112">
        <v>2</v>
      </c>
      <c r="H676" s="112">
        <v>7908302256</v>
      </c>
      <c r="I676" s="112" t="s">
        <v>3553</v>
      </c>
      <c r="J676" s="112" t="s">
        <v>1092</v>
      </c>
      <c r="K676" s="112" t="s">
        <v>1093</v>
      </c>
      <c r="L676" s="112" t="s">
        <v>1084</v>
      </c>
      <c r="M676" s="112" t="s">
        <v>478</v>
      </c>
      <c r="N676" s="113">
        <v>46262.769467592596</v>
      </c>
      <c r="O676" s="114">
        <v>19002702851</v>
      </c>
      <c r="P676" s="112">
        <v>2.13</v>
      </c>
      <c r="Q676" s="112" t="s">
        <v>1062</v>
      </c>
      <c r="R676" s="112" t="s">
        <v>1075</v>
      </c>
      <c r="S676" s="113">
        <v>46122.598611111112</v>
      </c>
      <c r="T676" s="112" t="s">
        <v>3554</v>
      </c>
      <c r="U676" s="112" t="s">
        <v>1065</v>
      </c>
      <c r="V676" s="112" t="s">
        <v>1066</v>
      </c>
      <c r="W676" s="112" t="s">
        <v>1066</v>
      </c>
      <c r="X676" s="112" t="s">
        <v>1066</v>
      </c>
      <c r="Y676" s="112" t="s">
        <v>1066</v>
      </c>
      <c r="Z676" s="112" t="s">
        <v>1066</v>
      </c>
      <c r="AA676" s="112" t="s">
        <v>1067</v>
      </c>
      <c r="AB676" s="112" t="s">
        <v>1066</v>
      </c>
      <c r="AC676" s="112" t="s">
        <v>92</v>
      </c>
      <c r="AD676" s="112" t="s">
        <v>1066</v>
      </c>
      <c r="AE676" s="112" t="s">
        <v>1066</v>
      </c>
      <c r="AF676" s="112" t="s">
        <v>1066</v>
      </c>
      <c r="AG676" s="112" t="s">
        <v>1066</v>
      </c>
      <c r="AH676" s="112" t="s">
        <v>3555</v>
      </c>
      <c r="AI676" s="112" t="s">
        <v>785</v>
      </c>
      <c r="AJ676" s="112">
        <v>8838426</v>
      </c>
      <c r="AK676" s="112" t="s">
        <v>134</v>
      </c>
      <c r="AL676" s="112">
        <v>936573</v>
      </c>
      <c r="AM676" s="112" t="s">
        <v>1066</v>
      </c>
      <c r="AN676" s="112" t="s">
        <v>1066</v>
      </c>
    </row>
    <row r="677" spans="1:40" ht="55.5" customHeight="1" x14ac:dyDescent="0.25">
      <c r="A677" s="111" t="s">
        <v>635</v>
      </c>
      <c r="B677" s="112">
        <v>2026</v>
      </c>
      <c r="C677" s="112" t="s">
        <v>3556</v>
      </c>
      <c r="D677" s="113">
        <v>46226.45758101852</v>
      </c>
      <c r="E677" s="112">
        <v>7929663074</v>
      </c>
      <c r="F677" s="112" t="s">
        <v>697</v>
      </c>
      <c r="G677" s="112">
        <v>1</v>
      </c>
      <c r="H677" s="112">
        <v>7929663074</v>
      </c>
      <c r="I677" s="112" t="s">
        <v>3557</v>
      </c>
      <c r="J677" s="112" t="s">
        <v>1071</v>
      </c>
      <c r="K677" s="112" t="s">
        <v>1072</v>
      </c>
      <c r="L677" s="112" t="s">
        <v>1073</v>
      </c>
      <c r="M677" s="112" t="s">
        <v>478</v>
      </c>
      <c r="N677" s="113">
        <v>46229.45758101852</v>
      </c>
      <c r="O677" s="114">
        <v>19002203561</v>
      </c>
      <c r="P677" s="112">
        <v>1.855</v>
      </c>
      <c r="Q677" s="112" t="s">
        <v>1062</v>
      </c>
      <c r="R677" s="112" t="s">
        <v>1075</v>
      </c>
      <c r="S677" s="113">
        <v>46240.730462962965</v>
      </c>
      <c r="T677" s="112" t="s">
        <v>3558</v>
      </c>
      <c r="U677" s="112" t="s">
        <v>1065</v>
      </c>
      <c r="V677" s="112" t="s">
        <v>1066</v>
      </c>
      <c r="W677" s="112" t="s">
        <v>1066</v>
      </c>
      <c r="X677" s="112" t="s">
        <v>983</v>
      </c>
      <c r="Y677" s="112" t="s">
        <v>1066</v>
      </c>
      <c r="Z677" s="112" t="s">
        <v>1078</v>
      </c>
      <c r="AA677" s="112" t="s">
        <v>1067</v>
      </c>
      <c r="AB677" s="112" t="s">
        <v>1066</v>
      </c>
      <c r="AC677" s="112" t="s">
        <v>92</v>
      </c>
      <c r="AD677" s="112" t="s">
        <v>1066</v>
      </c>
      <c r="AE677" s="112" t="s">
        <v>1066</v>
      </c>
      <c r="AF677" s="112" t="s">
        <v>1066</v>
      </c>
      <c r="AG677" s="112" t="s">
        <v>1066</v>
      </c>
      <c r="AH677" s="112" t="s">
        <v>1066</v>
      </c>
      <c r="AI677" s="112" t="s">
        <v>785</v>
      </c>
      <c r="AJ677" s="112">
        <v>8700012</v>
      </c>
      <c r="AK677" s="112" t="s">
        <v>41</v>
      </c>
      <c r="AL677" s="112">
        <v>944799</v>
      </c>
      <c r="AM677" s="112" t="s">
        <v>1066</v>
      </c>
      <c r="AN677" s="112" t="s">
        <v>1066</v>
      </c>
    </row>
    <row r="678" spans="1:40" ht="55.5" customHeight="1" x14ac:dyDescent="0.25">
      <c r="A678" s="124" t="s">
        <v>3559</v>
      </c>
      <c r="B678" s="125">
        <v>2026</v>
      </c>
      <c r="C678" s="125" t="s">
        <v>3560</v>
      </c>
      <c r="D678" s="126">
        <v>46254.306851851848</v>
      </c>
      <c r="E678" s="125">
        <v>7954491004</v>
      </c>
      <c r="F678" s="125" t="s">
        <v>79</v>
      </c>
      <c r="G678" s="125">
        <v>3</v>
      </c>
      <c r="H678" s="125">
        <v>7954491004</v>
      </c>
      <c r="I678" s="125" t="s">
        <v>3561</v>
      </c>
      <c r="J678" s="125" t="s">
        <v>1071</v>
      </c>
      <c r="K678" s="125" t="s">
        <v>2694</v>
      </c>
      <c r="L678" s="125" t="s">
        <v>1073</v>
      </c>
      <c r="M678" s="125" t="s">
        <v>510</v>
      </c>
      <c r="N678" s="126">
        <v>46257.306851851848</v>
      </c>
      <c r="O678" s="127">
        <v>19002719286</v>
      </c>
      <c r="P678" s="125">
        <v>660</v>
      </c>
      <c r="Q678" s="125" t="s">
        <v>1062</v>
      </c>
      <c r="R678" s="125" t="s">
        <v>1297</v>
      </c>
      <c r="S678" s="125" t="s">
        <v>1066</v>
      </c>
      <c r="T678" s="125" t="s">
        <v>1066</v>
      </c>
      <c r="U678" s="125" t="s">
        <v>1066</v>
      </c>
      <c r="V678" s="125" t="s">
        <v>1066</v>
      </c>
      <c r="W678" s="125" t="s">
        <v>1066</v>
      </c>
      <c r="X678" s="125" t="s">
        <v>1117</v>
      </c>
      <c r="Y678" s="125" t="s">
        <v>1066</v>
      </c>
      <c r="Z678" s="125" t="s">
        <v>3127</v>
      </c>
      <c r="AA678" s="125" t="s">
        <v>1067</v>
      </c>
      <c r="AB678" s="125" t="s">
        <v>1066</v>
      </c>
      <c r="AC678" s="125" t="s">
        <v>92</v>
      </c>
      <c r="AD678" s="125" t="s">
        <v>1066</v>
      </c>
      <c r="AE678" s="125" t="s">
        <v>1066</v>
      </c>
      <c r="AF678" s="125" t="s">
        <v>1066</v>
      </c>
      <c r="AG678" s="125" t="s">
        <v>1066</v>
      </c>
      <c r="AH678" s="125" t="s">
        <v>1066</v>
      </c>
      <c r="AI678" s="125" t="s">
        <v>785</v>
      </c>
      <c r="AJ678" s="125">
        <v>9198029</v>
      </c>
      <c r="AK678" s="125" t="s">
        <v>69</v>
      </c>
      <c r="AL678" s="125">
        <v>815170</v>
      </c>
      <c r="AM678" s="125" t="s">
        <v>1066</v>
      </c>
      <c r="AN678" s="125" t="s">
        <v>1066</v>
      </c>
    </row>
    <row r="679" spans="1:40" ht="55.5" customHeight="1" x14ac:dyDescent="0.25">
      <c r="A679" s="111" t="s">
        <v>3562</v>
      </c>
      <c r="B679" s="112">
        <v>2026</v>
      </c>
      <c r="C679" s="112" t="s">
        <v>3563</v>
      </c>
      <c r="D679" s="113">
        <v>46057.395671296297</v>
      </c>
      <c r="E679" s="112">
        <v>8801123075</v>
      </c>
      <c r="F679" s="112" t="s">
        <v>1415</v>
      </c>
      <c r="G679" s="112">
        <v>3</v>
      </c>
      <c r="H679" s="112">
        <v>7955429075</v>
      </c>
      <c r="I679" s="112" t="s">
        <v>3564</v>
      </c>
      <c r="J679" s="112" t="s">
        <v>1157</v>
      </c>
      <c r="K679" s="112" t="s">
        <v>1417</v>
      </c>
      <c r="L679" s="112" t="s">
        <v>1084</v>
      </c>
      <c r="M679" s="112" t="s">
        <v>478</v>
      </c>
      <c r="N679" s="113">
        <v>46117.395671296297</v>
      </c>
      <c r="O679" s="114">
        <v>19002730958</v>
      </c>
      <c r="P679" s="112">
        <v>148</v>
      </c>
      <c r="Q679" s="112" t="s">
        <v>1131</v>
      </c>
      <c r="R679" s="112" t="s">
        <v>1085</v>
      </c>
      <c r="S679" s="113">
        <v>46148.643750000003</v>
      </c>
      <c r="T679" s="112" t="s">
        <v>3565</v>
      </c>
      <c r="U679" s="112" t="s">
        <v>1065</v>
      </c>
      <c r="V679" s="112" t="s">
        <v>1066</v>
      </c>
      <c r="W679" s="112" t="s">
        <v>1066</v>
      </c>
      <c r="X679" s="112" t="s">
        <v>983</v>
      </c>
      <c r="Y679" s="112" t="s">
        <v>1066</v>
      </c>
      <c r="Z679" s="112" t="s">
        <v>1133</v>
      </c>
      <c r="AA679" s="112" t="s">
        <v>1067</v>
      </c>
      <c r="AB679" s="112" t="s">
        <v>1066</v>
      </c>
      <c r="AC679" s="112" t="s">
        <v>92</v>
      </c>
      <c r="AD679" s="112" t="s">
        <v>1066</v>
      </c>
      <c r="AE679" s="112" t="s">
        <v>1066</v>
      </c>
      <c r="AF679" s="112" t="s">
        <v>1066</v>
      </c>
      <c r="AG679" s="112" t="s">
        <v>1066</v>
      </c>
      <c r="AH679" s="112" t="s">
        <v>1066</v>
      </c>
      <c r="AI679" s="112" t="s">
        <v>785</v>
      </c>
      <c r="AJ679" s="112">
        <v>8992828</v>
      </c>
      <c r="AK679" s="112" t="s">
        <v>590</v>
      </c>
      <c r="AL679" s="112">
        <v>711606</v>
      </c>
      <c r="AM679" s="112" t="s">
        <v>1066</v>
      </c>
      <c r="AN679" s="112" t="s">
        <v>1066</v>
      </c>
    </row>
    <row r="680" spans="1:40" ht="55.5" customHeight="1" x14ac:dyDescent="0.25">
      <c r="A680" s="111" t="s">
        <v>3566</v>
      </c>
      <c r="B680" s="112">
        <v>2026</v>
      </c>
      <c r="C680" s="112" t="s">
        <v>1057</v>
      </c>
      <c r="D680" s="113">
        <v>46125.584386574075</v>
      </c>
      <c r="E680" s="112">
        <v>7936503003</v>
      </c>
      <c r="F680" s="112" t="s">
        <v>3567</v>
      </c>
      <c r="G680" s="112">
        <v>2</v>
      </c>
      <c r="H680" s="112">
        <v>7936503003</v>
      </c>
      <c r="I680" s="112" t="s">
        <v>3568</v>
      </c>
      <c r="J680" s="112" t="s">
        <v>1066</v>
      </c>
      <c r="K680" s="112" t="s">
        <v>1125</v>
      </c>
      <c r="L680" s="112" t="s">
        <v>1061</v>
      </c>
      <c r="M680" s="112" t="s">
        <v>478</v>
      </c>
      <c r="N680" s="113">
        <v>46525.584386574075</v>
      </c>
      <c r="O680" s="114">
        <v>19002260453</v>
      </c>
      <c r="P680" s="112">
        <v>1.3740000000000001</v>
      </c>
      <c r="Q680" s="112" t="s">
        <v>1062</v>
      </c>
      <c r="R680" s="112" t="s">
        <v>1063</v>
      </c>
      <c r="S680" s="113">
        <v>46154.672453703701</v>
      </c>
      <c r="T680" s="112" t="s">
        <v>3569</v>
      </c>
      <c r="U680" s="112" t="s">
        <v>1065</v>
      </c>
      <c r="V680" s="112" t="s">
        <v>1066</v>
      </c>
      <c r="W680" s="112" t="s">
        <v>1066</v>
      </c>
      <c r="X680" s="112" t="s">
        <v>1066</v>
      </c>
      <c r="Y680" s="112" t="s">
        <v>1066</v>
      </c>
      <c r="Z680" s="112" t="s">
        <v>1066</v>
      </c>
      <c r="AA680" s="112" t="s">
        <v>1067</v>
      </c>
      <c r="AB680" s="112" t="s">
        <v>1066</v>
      </c>
      <c r="AC680" s="112" t="s">
        <v>92</v>
      </c>
      <c r="AD680" s="112" t="s">
        <v>1066</v>
      </c>
      <c r="AE680" s="112" t="s">
        <v>1066</v>
      </c>
      <c r="AF680" s="112" t="s">
        <v>1066</v>
      </c>
      <c r="AG680" s="112" t="s">
        <v>1066</v>
      </c>
      <c r="AH680" s="112" t="s">
        <v>1066</v>
      </c>
      <c r="AI680" s="112" t="s">
        <v>785</v>
      </c>
      <c r="AJ680" s="112">
        <v>8702523</v>
      </c>
      <c r="AK680" s="112" t="s">
        <v>210</v>
      </c>
      <c r="AL680" s="112">
        <v>705029</v>
      </c>
      <c r="AM680" s="112" t="s">
        <v>1066</v>
      </c>
      <c r="AN680" s="112" t="s">
        <v>1066</v>
      </c>
    </row>
    <row r="681" spans="1:40" ht="55.5" customHeight="1" x14ac:dyDescent="0.25">
      <c r="A681" s="111" t="s">
        <v>3570</v>
      </c>
      <c r="B681" s="112">
        <v>2026</v>
      </c>
      <c r="C681" s="112" t="s">
        <v>3571</v>
      </c>
      <c r="D681" s="113">
        <v>46049.646793981483</v>
      </c>
      <c r="E681" s="112">
        <v>9000940075</v>
      </c>
      <c r="F681" s="112" t="s">
        <v>1415</v>
      </c>
      <c r="G681" s="112">
        <v>3</v>
      </c>
      <c r="H681" s="112">
        <v>7900939008</v>
      </c>
      <c r="I681" s="112" t="s">
        <v>3572</v>
      </c>
      <c r="J681" s="112" t="s">
        <v>1157</v>
      </c>
      <c r="K681" s="112" t="s">
        <v>1417</v>
      </c>
      <c r="L681" s="112" t="s">
        <v>1084</v>
      </c>
      <c r="M681" s="112" t="s">
        <v>478</v>
      </c>
      <c r="N681" s="113">
        <v>46109.646793981483</v>
      </c>
      <c r="O681" s="114">
        <v>19000118766</v>
      </c>
      <c r="P681" s="112">
        <v>433</v>
      </c>
      <c r="Q681" s="112" t="s">
        <v>1131</v>
      </c>
      <c r="R681" s="112" t="s">
        <v>1085</v>
      </c>
      <c r="S681" s="113">
        <v>46112.638194444444</v>
      </c>
      <c r="T681" s="112" t="s">
        <v>3573</v>
      </c>
      <c r="U681" s="112" t="s">
        <v>1065</v>
      </c>
      <c r="V681" s="112" t="s">
        <v>1066</v>
      </c>
      <c r="W681" s="112" t="s">
        <v>1066</v>
      </c>
      <c r="X681" s="112" t="s">
        <v>983</v>
      </c>
      <c r="Y681" s="112" t="s">
        <v>1066</v>
      </c>
      <c r="Z681" s="112" t="s">
        <v>1133</v>
      </c>
      <c r="AA681" s="112" t="s">
        <v>1067</v>
      </c>
      <c r="AB681" s="112" t="s">
        <v>1066</v>
      </c>
      <c r="AC681" s="112" t="s">
        <v>92</v>
      </c>
      <c r="AD681" s="112" t="s">
        <v>1142</v>
      </c>
      <c r="AE681" s="112" t="s">
        <v>1066</v>
      </c>
      <c r="AF681" s="112" t="s">
        <v>1066</v>
      </c>
      <c r="AG681" s="112" t="s">
        <v>1066</v>
      </c>
      <c r="AH681" s="112" t="s">
        <v>1066</v>
      </c>
      <c r="AI681" s="112" t="s">
        <v>785</v>
      </c>
      <c r="AJ681" s="112">
        <v>8961298</v>
      </c>
      <c r="AK681" s="112" t="s">
        <v>590</v>
      </c>
      <c r="AL681" s="112">
        <v>746312</v>
      </c>
      <c r="AM681" s="112" t="s">
        <v>1066</v>
      </c>
      <c r="AN681" s="112" t="s">
        <v>1066</v>
      </c>
    </row>
    <row r="682" spans="1:40" ht="55.5" customHeight="1" x14ac:dyDescent="0.25">
      <c r="A682" s="111" t="s">
        <v>3574</v>
      </c>
      <c r="B682" s="112">
        <v>2026</v>
      </c>
      <c r="C682" s="112" t="s">
        <v>1057</v>
      </c>
      <c r="D682" s="113">
        <v>46125.584386574075</v>
      </c>
      <c r="E682" s="112">
        <v>7932025116</v>
      </c>
      <c r="F682" s="112" t="s">
        <v>43</v>
      </c>
      <c r="G682" s="112">
        <v>1</v>
      </c>
      <c r="H682" s="112">
        <v>7932025116</v>
      </c>
      <c r="I682" s="112" t="s">
        <v>3575</v>
      </c>
      <c r="J682" s="112" t="s">
        <v>1066</v>
      </c>
      <c r="K682" s="112" t="s">
        <v>1125</v>
      </c>
      <c r="L682" s="112" t="s">
        <v>1061</v>
      </c>
      <c r="M682" s="112" t="s">
        <v>478</v>
      </c>
      <c r="N682" s="113">
        <v>46525.584386574075</v>
      </c>
      <c r="O682" s="114">
        <v>19002207269</v>
      </c>
      <c r="P682" s="112">
        <v>0</v>
      </c>
      <c r="Q682" s="112" t="s">
        <v>1062</v>
      </c>
      <c r="R682" s="112" t="s">
        <v>1063</v>
      </c>
      <c r="S682" s="113">
        <v>46241.479386574072</v>
      </c>
      <c r="T682" s="112" t="s">
        <v>3576</v>
      </c>
      <c r="U682" s="112" t="s">
        <v>1065</v>
      </c>
      <c r="V682" s="112" t="s">
        <v>1066</v>
      </c>
      <c r="W682" s="112" t="s">
        <v>1066</v>
      </c>
      <c r="X682" s="112" t="s">
        <v>1066</v>
      </c>
      <c r="Y682" s="112" t="s">
        <v>1066</v>
      </c>
      <c r="Z682" s="112" t="s">
        <v>1066</v>
      </c>
      <c r="AA682" s="112" t="s">
        <v>1067</v>
      </c>
      <c r="AB682" s="112" t="s">
        <v>1066</v>
      </c>
      <c r="AC682" s="112" t="s">
        <v>92</v>
      </c>
      <c r="AD682" s="112" t="s">
        <v>1066</v>
      </c>
      <c r="AE682" s="112" t="s">
        <v>1066</v>
      </c>
      <c r="AF682" s="112" t="s">
        <v>1066</v>
      </c>
      <c r="AG682" s="112" t="s">
        <v>1066</v>
      </c>
      <c r="AH682" s="112" t="s">
        <v>1066</v>
      </c>
      <c r="AI682" s="112" t="s">
        <v>785</v>
      </c>
      <c r="AJ682" s="112">
        <v>8702876</v>
      </c>
      <c r="AK682" s="112" t="s">
        <v>215</v>
      </c>
      <c r="AL682" s="112">
        <v>837667</v>
      </c>
      <c r="AM682" s="112" t="s">
        <v>1066</v>
      </c>
      <c r="AN682" s="112" t="s">
        <v>1066</v>
      </c>
    </row>
    <row r="683" spans="1:40" ht="55.5" customHeight="1" x14ac:dyDescent="0.25">
      <c r="A683" s="111" t="s">
        <v>3577</v>
      </c>
      <c r="B683" s="112">
        <v>2026</v>
      </c>
      <c r="C683" s="112" t="s">
        <v>3578</v>
      </c>
      <c r="D683" s="113">
        <v>46146.637002314812</v>
      </c>
      <c r="E683" s="112">
        <v>7959680004</v>
      </c>
      <c r="F683" s="112" t="s">
        <v>2888</v>
      </c>
      <c r="G683" s="112">
        <v>1</v>
      </c>
      <c r="H683" s="112">
        <v>7959680004</v>
      </c>
      <c r="I683" s="112" t="s">
        <v>2889</v>
      </c>
      <c r="J683" s="112" t="s">
        <v>1071</v>
      </c>
      <c r="K683" s="112" t="s">
        <v>1379</v>
      </c>
      <c r="L683" s="112" t="s">
        <v>1073</v>
      </c>
      <c r="M683" s="112" t="s">
        <v>478</v>
      </c>
      <c r="N683" s="113">
        <v>46149.637002314812</v>
      </c>
      <c r="O683" s="114">
        <v>19002799482</v>
      </c>
      <c r="P683" s="112">
        <v>0</v>
      </c>
      <c r="Q683" s="112" t="s">
        <v>1062</v>
      </c>
      <c r="R683" s="112" t="s">
        <v>1075</v>
      </c>
      <c r="S683" s="113">
        <v>46167.565682870372</v>
      </c>
      <c r="T683" s="112" t="s">
        <v>3579</v>
      </c>
      <c r="U683" s="112" t="s">
        <v>1065</v>
      </c>
      <c r="V683" s="112" t="s">
        <v>1066</v>
      </c>
      <c r="W683" s="112" t="s">
        <v>1066</v>
      </c>
      <c r="X683" s="112" t="s">
        <v>1066</v>
      </c>
      <c r="Y683" s="112" t="s">
        <v>1066</v>
      </c>
      <c r="Z683" s="112" t="s">
        <v>1066</v>
      </c>
      <c r="AA683" s="112" t="s">
        <v>1067</v>
      </c>
      <c r="AB683" s="112" t="s">
        <v>1066</v>
      </c>
      <c r="AC683" s="112" t="s">
        <v>92</v>
      </c>
      <c r="AD683" s="112" t="s">
        <v>1066</v>
      </c>
      <c r="AE683" s="112" t="s">
        <v>1066</v>
      </c>
      <c r="AF683" s="112" t="s">
        <v>1066</v>
      </c>
      <c r="AG683" s="112" t="s">
        <v>1066</v>
      </c>
      <c r="AH683" s="112" t="s">
        <v>1066</v>
      </c>
      <c r="AI683" s="112" t="s">
        <v>785</v>
      </c>
      <c r="AJ683" s="112">
        <v>9205420</v>
      </c>
      <c r="AK683" s="112" t="s">
        <v>69</v>
      </c>
      <c r="AL683" s="112">
        <v>806599</v>
      </c>
      <c r="AM683" s="112" t="s">
        <v>1066</v>
      </c>
      <c r="AN683" s="112" t="s">
        <v>1066</v>
      </c>
    </row>
    <row r="684" spans="1:40" ht="55.5" customHeight="1" x14ac:dyDescent="0.25">
      <c r="A684" s="111" t="s">
        <v>3580</v>
      </c>
      <c r="B684" s="112">
        <v>2026</v>
      </c>
      <c r="C684" s="112" t="s">
        <v>1057</v>
      </c>
      <c r="D684" s="113">
        <v>46125.584386574075</v>
      </c>
      <c r="E684" s="112">
        <v>7902101003</v>
      </c>
      <c r="F684" s="112" t="s">
        <v>1285</v>
      </c>
      <c r="G684" s="112">
        <v>1</v>
      </c>
      <c r="H684" s="112">
        <v>7902101003</v>
      </c>
      <c r="I684" s="112" t="s">
        <v>3581</v>
      </c>
      <c r="J684" s="112" t="s">
        <v>1066</v>
      </c>
      <c r="K684" s="112" t="s">
        <v>1125</v>
      </c>
      <c r="L684" s="112" t="s">
        <v>1061</v>
      </c>
      <c r="M684" s="112" t="s">
        <v>478</v>
      </c>
      <c r="N684" s="113">
        <v>46525.584386574075</v>
      </c>
      <c r="O684" s="114">
        <v>19002259183</v>
      </c>
      <c r="P684" s="112">
        <v>690</v>
      </c>
      <c r="Q684" s="112" t="s">
        <v>1062</v>
      </c>
      <c r="R684" s="112" t="s">
        <v>1063</v>
      </c>
      <c r="S684" s="113">
        <v>46206.48027777778</v>
      </c>
      <c r="T684" s="112" t="s">
        <v>3582</v>
      </c>
      <c r="U684" s="112" t="s">
        <v>1065</v>
      </c>
      <c r="V684" s="112" t="s">
        <v>1066</v>
      </c>
      <c r="W684" s="112" t="s">
        <v>1066</v>
      </c>
      <c r="X684" s="112" t="s">
        <v>1066</v>
      </c>
      <c r="Y684" s="112" t="s">
        <v>1066</v>
      </c>
      <c r="Z684" s="112" t="s">
        <v>1066</v>
      </c>
      <c r="AA684" s="112" t="s">
        <v>1067</v>
      </c>
      <c r="AB684" s="112" t="s">
        <v>1066</v>
      </c>
      <c r="AC684" s="112" t="s">
        <v>92</v>
      </c>
      <c r="AD684" s="112" t="s">
        <v>1066</v>
      </c>
      <c r="AE684" s="112" t="s">
        <v>1066</v>
      </c>
      <c r="AF684" s="112" t="s">
        <v>1066</v>
      </c>
      <c r="AG684" s="112" t="s">
        <v>1066</v>
      </c>
      <c r="AH684" s="112" t="s">
        <v>1066</v>
      </c>
      <c r="AI684" s="112" t="s">
        <v>785</v>
      </c>
      <c r="AJ684" s="112">
        <v>8702645</v>
      </c>
      <c r="AK684" s="112" t="s">
        <v>210</v>
      </c>
      <c r="AL684" s="112">
        <v>710336</v>
      </c>
      <c r="AM684" s="112" t="s">
        <v>1066</v>
      </c>
      <c r="AN684" s="112" t="s">
        <v>1066</v>
      </c>
    </row>
    <row r="685" spans="1:40" ht="55.5" customHeight="1" x14ac:dyDescent="0.25">
      <c r="A685" s="111" t="s">
        <v>3583</v>
      </c>
      <c r="B685" s="112">
        <v>2026</v>
      </c>
      <c r="C685" s="112" t="s">
        <v>1089</v>
      </c>
      <c r="D685" s="113">
        <v>46028.453888888886</v>
      </c>
      <c r="E685" s="112">
        <v>7900670107</v>
      </c>
      <c r="F685" s="112" t="s">
        <v>1740</v>
      </c>
      <c r="G685" s="112">
        <v>3</v>
      </c>
      <c r="H685" s="112">
        <v>7900670107</v>
      </c>
      <c r="I685" s="112" t="s">
        <v>3584</v>
      </c>
      <c r="J685" s="112" t="s">
        <v>1092</v>
      </c>
      <c r="K685" s="112" t="s">
        <v>1093</v>
      </c>
      <c r="L685" s="112" t="s">
        <v>1061</v>
      </c>
      <c r="M685" s="112" t="s">
        <v>478</v>
      </c>
      <c r="N685" s="113">
        <v>46428.453888888886</v>
      </c>
      <c r="O685" s="114">
        <v>19002223556</v>
      </c>
      <c r="P685" s="112">
        <v>0</v>
      </c>
      <c r="Q685" s="112" t="s">
        <v>1062</v>
      </c>
      <c r="R685" s="112" t="s">
        <v>1063</v>
      </c>
      <c r="S685" s="113">
        <v>46035.418055555558</v>
      </c>
      <c r="T685" s="112" t="s">
        <v>3585</v>
      </c>
      <c r="U685" s="112" t="s">
        <v>1065</v>
      </c>
      <c r="V685" s="112" t="s">
        <v>1066</v>
      </c>
      <c r="W685" s="112" t="s">
        <v>1066</v>
      </c>
      <c r="X685" s="112" t="s">
        <v>1066</v>
      </c>
      <c r="Y685" s="112" t="s">
        <v>1066</v>
      </c>
      <c r="Z685" s="112" t="s">
        <v>1066</v>
      </c>
      <c r="AA685" s="112" t="s">
        <v>1067</v>
      </c>
      <c r="AB685" s="112" t="s">
        <v>1066</v>
      </c>
      <c r="AC685" s="112" t="s">
        <v>92</v>
      </c>
      <c r="AD685" s="112" t="s">
        <v>1066</v>
      </c>
      <c r="AE685" s="112" t="s">
        <v>1066</v>
      </c>
      <c r="AF685" s="112" t="s">
        <v>1066</v>
      </c>
      <c r="AG685" s="112" t="s">
        <v>1066</v>
      </c>
      <c r="AH685" s="112" t="s">
        <v>1066</v>
      </c>
      <c r="AI685" s="112" t="s">
        <v>785</v>
      </c>
      <c r="AJ685" s="112">
        <v>8613123</v>
      </c>
      <c r="AK685" s="112" t="s">
        <v>1787</v>
      </c>
      <c r="AL685" s="112">
        <v>615976</v>
      </c>
      <c r="AM685" s="112" t="s">
        <v>1066</v>
      </c>
      <c r="AN685" s="112" t="s">
        <v>1066</v>
      </c>
    </row>
    <row r="686" spans="1:40" ht="55.5" customHeight="1" x14ac:dyDescent="0.25">
      <c r="A686" s="111" t="s">
        <v>3586</v>
      </c>
      <c r="B686" s="112">
        <v>2026</v>
      </c>
      <c r="C686" s="112" t="s">
        <v>3587</v>
      </c>
      <c r="D686" s="113">
        <v>46049.483946759261</v>
      </c>
      <c r="E686" s="112">
        <v>8801178075</v>
      </c>
      <c r="F686" s="112" t="s">
        <v>1415</v>
      </c>
      <c r="G686" s="112">
        <v>3</v>
      </c>
      <c r="H686" s="112">
        <v>7900790075</v>
      </c>
      <c r="I686" s="112" t="s">
        <v>3588</v>
      </c>
      <c r="J686" s="112" t="s">
        <v>1157</v>
      </c>
      <c r="K686" s="112" t="s">
        <v>1417</v>
      </c>
      <c r="L686" s="112" t="s">
        <v>1084</v>
      </c>
      <c r="M686" s="112" t="s">
        <v>478</v>
      </c>
      <c r="N686" s="113">
        <v>46109.483946759261</v>
      </c>
      <c r="O686" s="114">
        <v>19000116664</v>
      </c>
      <c r="P686" s="112">
        <v>839</v>
      </c>
      <c r="Q686" s="112" t="s">
        <v>1131</v>
      </c>
      <c r="R686" s="112" t="s">
        <v>1085</v>
      </c>
      <c r="S686" s="113">
        <v>46079.684317129628</v>
      </c>
      <c r="T686" s="112" t="s">
        <v>3589</v>
      </c>
      <c r="U686" s="112" t="s">
        <v>1065</v>
      </c>
      <c r="V686" s="112" t="s">
        <v>1066</v>
      </c>
      <c r="W686" s="112" t="s">
        <v>1066</v>
      </c>
      <c r="X686" s="112" t="s">
        <v>983</v>
      </c>
      <c r="Y686" s="112" t="s">
        <v>1066</v>
      </c>
      <c r="Z686" s="112" t="s">
        <v>1133</v>
      </c>
      <c r="AA686" s="112" t="s">
        <v>1067</v>
      </c>
      <c r="AB686" s="112" t="s">
        <v>1066</v>
      </c>
      <c r="AC686" s="112" t="s">
        <v>92</v>
      </c>
      <c r="AD686" s="112" t="s">
        <v>1142</v>
      </c>
      <c r="AE686" s="112" t="s">
        <v>1066</v>
      </c>
      <c r="AF686" s="112" t="s">
        <v>1066</v>
      </c>
      <c r="AG686" s="112" t="s">
        <v>1066</v>
      </c>
      <c r="AH686" s="112" t="s">
        <v>1066</v>
      </c>
      <c r="AI686" s="112" t="s">
        <v>785</v>
      </c>
      <c r="AJ686" s="112">
        <v>8975474</v>
      </c>
      <c r="AK686" s="112" t="s">
        <v>590</v>
      </c>
      <c r="AL686" s="112">
        <v>713127</v>
      </c>
      <c r="AM686" s="112" t="s">
        <v>1066</v>
      </c>
      <c r="AN686" s="112" t="s">
        <v>1066</v>
      </c>
    </row>
    <row r="687" spans="1:40" ht="55.5" customHeight="1" x14ac:dyDescent="0.25">
      <c r="A687" s="111" t="s">
        <v>3590</v>
      </c>
      <c r="B687" s="112">
        <v>2026</v>
      </c>
      <c r="C687" s="112" t="s">
        <v>1240</v>
      </c>
      <c r="D687" s="113">
        <v>46183.597349537034</v>
      </c>
      <c r="E687" s="112">
        <v>7937535059</v>
      </c>
      <c r="F687" s="112" t="s">
        <v>234</v>
      </c>
      <c r="G687" s="112">
        <v>3</v>
      </c>
      <c r="H687" s="112">
        <v>7937535059</v>
      </c>
      <c r="I687" s="112" t="s">
        <v>3591</v>
      </c>
      <c r="J687" s="112" t="s">
        <v>1066</v>
      </c>
      <c r="K687" s="112" t="s">
        <v>1125</v>
      </c>
      <c r="L687" s="112" t="s">
        <v>1061</v>
      </c>
      <c r="M687" s="112" t="s">
        <v>478</v>
      </c>
      <c r="N687" s="113">
        <v>46583.597349537034</v>
      </c>
      <c r="O687" s="114">
        <v>19002204768</v>
      </c>
      <c r="P687" s="112">
        <v>149</v>
      </c>
      <c r="Q687" s="112" t="s">
        <v>1062</v>
      </c>
      <c r="R687" s="112" t="s">
        <v>1063</v>
      </c>
      <c r="S687" s="113">
        <v>46176.659247685187</v>
      </c>
      <c r="T687" s="112" t="s">
        <v>3592</v>
      </c>
      <c r="U687" s="112" t="s">
        <v>1065</v>
      </c>
      <c r="V687" s="112" t="s">
        <v>1066</v>
      </c>
      <c r="W687" s="112" t="s">
        <v>1066</v>
      </c>
      <c r="X687" s="112" t="s">
        <v>1066</v>
      </c>
      <c r="Y687" s="112" t="s">
        <v>1066</v>
      </c>
      <c r="Z687" s="112" t="s">
        <v>1066</v>
      </c>
      <c r="AA687" s="112" t="s">
        <v>1067</v>
      </c>
      <c r="AB687" s="112" t="s">
        <v>1066</v>
      </c>
      <c r="AC687" s="112" t="s">
        <v>92</v>
      </c>
      <c r="AD687" s="112" t="s">
        <v>1066</v>
      </c>
      <c r="AE687" s="112" t="s">
        <v>1066</v>
      </c>
      <c r="AF687" s="112" t="s">
        <v>1066</v>
      </c>
      <c r="AG687" s="112" t="s">
        <v>1066</v>
      </c>
      <c r="AH687" s="112" t="s">
        <v>1066</v>
      </c>
      <c r="AI687" s="112" t="s">
        <v>785</v>
      </c>
      <c r="AJ687" s="112">
        <v>8862524</v>
      </c>
      <c r="AK687" s="112" t="s">
        <v>264</v>
      </c>
      <c r="AL687" s="112">
        <v>800392</v>
      </c>
      <c r="AM687" s="112" t="s">
        <v>1066</v>
      </c>
      <c r="AN687" s="112" t="s">
        <v>1066</v>
      </c>
    </row>
    <row r="688" spans="1:40" ht="55.5" customHeight="1" x14ac:dyDescent="0.25">
      <c r="A688" s="111" t="s">
        <v>3593</v>
      </c>
      <c r="B688" s="112">
        <v>2026</v>
      </c>
      <c r="C688" s="112" t="s">
        <v>1210</v>
      </c>
      <c r="D688" s="113">
        <v>46114.608900462961</v>
      </c>
      <c r="E688" s="112">
        <v>7900136134</v>
      </c>
      <c r="F688" s="112" t="s">
        <v>2446</v>
      </c>
      <c r="G688" s="112">
        <v>1</v>
      </c>
      <c r="H688" s="112">
        <v>7900136134</v>
      </c>
      <c r="I688" s="112" t="s">
        <v>3594</v>
      </c>
      <c r="J688" s="112" t="s">
        <v>1066</v>
      </c>
      <c r="K688" s="112" t="s">
        <v>1125</v>
      </c>
      <c r="L688" s="112" t="s">
        <v>1061</v>
      </c>
      <c r="M688" s="112" t="s">
        <v>478</v>
      </c>
      <c r="N688" s="113">
        <v>46514.608900462961</v>
      </c>
      <c r="O688" s="114">
        <v>19002210265</v>
      </c>
      <c r="P688" s="112">
        <v>0</v>
      </c>
      <c r="Q688" s="112" t="s">
        <v>1062</v>
      </c>
      <c r="R688" s="112" t="s">
        <v>1063</v>
      </c>
      <c r="S688" s="113">
        <v>46142.728171296294</v>
      </c>
      <c r="T688" s="112" t="s">
        <v>3595</v>
      </c>
      <c r="U688" s="112" t="s">
        <v>1065</v>
      </c>
      <c r="V688" s="112" t="s">
        <v>1066</v>
      </c>
      <c r="W688" s="112" t="s">
        <v>1066</v>
      </c>
      <c r="X688" s="112" t="s">
        <v>1066</v>
      </c>
      <c r="Y688" s="112" t="s">
        <v>1066</v>
      </c>
      <c r="Z688" s="112" t="s">
        <v>1066</v>
      </c>
      <c r="AA688" s="112" t="s">
        <v>1067</v>
      </c>
      <c r="AB688" s="112" t="s">
        <v>1066</v>
      </c>
      <c r="AC688" s="112" t="s">
        <v>92</v>
      </c>
      <c r="AD688" s="112" t="s">
        <v>1066</v>
      </c>
      <c r="AE688" s="112" t="s">
        <v>1066</v>
      </c>
      <c r="AF688" s="112" t="s">
        <v>1066</v>
      </c>
      <c r="AG688" s="112" t="s">
        <v>1066</v>
      </c>
      <c r="AH688" s="112" t="s">
        <v>1066</v>
      </c>
      <c r="AI688" s="112" t="s">
        <v>785</v>
      </c>
      <c r="AJ688" s="112">
        <v>9405810</v>
      </c>
      <c r="AK688" s="112" t="s">
        <v>177</v>
      </c>
      <c r="AL688" s="112">
        <v>771988</v>
      </c>
      <c r="AM688" s="112" t="s">
        <v>1066</v>
      </c>
      <c r="AN688" s="112" t="s">
        <v>1066</v>
      </c>
    </row>
    <row r="689" spans="1:40" ht="55.5" customHeight="1" x14ac:dyDescent="0.25">
      <c r="A689" s="111" t="s">
        <v>3596</v>
      </c>
      <c r="B689" s="112">
        <v>2026</v>
      </c>
      <c r="C689" s="112" t="s">
        <v>1213</v>
      </c>
      <c r="D689" s="113">
        <v>46122.549942129626</v>
      </c>
      <c r="E689" s="112">
        <v>7925146040</v>
      </c>
      <c r="F689" s="112" t="s">
        <v>284</v>
      </c>
      <c r="G689" s="112">
        <v>2</v>
      </c>
      <c r="H689" s="112">
        <v>7925146040</v>
      </c>
      <c r="I689" s="112" t="s">
        <v>3597</v>
      </c>
      <c r="J689" s="112" t="s">
        <v>1066</v>
      </c>
      <c r="K689" s="112" t="s">
        <v>1125</v>
      </c>
      <c r="L689" s="112" t="s">
        <v>1061</v>
      </c>
      <c r="M689" s="112" t="s">
        <v>478</v>
      </c>
      <c r="N689" s="113">
        <v>46522.549942129626</v>
      </c>
      <c r="O689" s="114">
        <v>19002223321</v>
      </c>
      <c r="P689" s="112">
        <v>0</v>
      </c>
      <c r="Q689" s="112" t="s">
        <v>1062</v>
      </c>
      <c r="R689" s="112" t="s">
        <v>1063</v>
      </c>
      <c r="S689" s="113">
        <v>46134.729166666664</v>
      </c>
      <c r="T689" s="112" t="s">
        <v>3598</v>
      </c>
      <c r="U689" s="112" t="s">
        <v>1065</v>
      </c>
      <c r="V689" s="112" t="s">
        <v>1066</v>
      </c>
      <c r="W689" s="112" t="s">
        <v>1066</v>
      </c>
      <c r="X689" s="112" t="s">
        <v>1066</v>
      </c>
      <c r="Y689" s="112" t="s">
        <v>1066</v>
      </c>
      <c r="Z689" s="112" t="s">
        <v>1066</v>
      </c>
      <c r="AA689" s="112" t="s">
        <v>1067</v>
      </c>
      <c r="AB689" s="112" t="s">
        <v>1066</v>
      </c>
      <c r="AC689" s="112" t="s">
        <v>92</v>
      </c>
      <c r="AD689" s="112" t="s">
        <v>1066</v>
      </c>
      <c r="AE689" s="112" t="s">
        <v>1066</v>
      </c>
      <c r="AF689" s="112" t="s">
        <v>1066</v>
      </c>
      <c r="AG689" s="112" t="s">
        <v>1066</v>
      </c>
      <c r="AH689" s="112" t="s">
        <v>1066</v>
      </c>
      <c r="AI689" s="112" t="s">
        <v>785</v>
      </c>
      <c r="AJ689" s="112">
        <v>9243354</v>
      </c>
      <c r="AK689" s="112" t="s">
        <v>521</v>
      </c>
      <c r="AL689" s="112">
        <v>754157</v>
      </c>
      <c r="AM689" s="112" t="s">
        <v>1066</v>
      </c>
      <c r="AN689" s="112" t="s">
        <v>1066</v>
      </c>
    </row>
    <row r="690" spans="1:40" ht="55.5" customHeight="1" x14ac:dyDescent="0.25">
      <c r="A690" s="111" t="s">
        <v>3599</v>
      </c>
      <c r="B690" s="112">
        <v>2026</v>
      </c>
      <c r="C690" s="112" t="s">
        <v>1057</v>
      </c>
      <c r="D690" s="113">
        <v>46125.584386574075</v>
      </c>
      <c r="E690" s="112">
        <v>7928250037</v>
      </c>
      <c r="F690" s="112" t="s">
        <v>186</v>
      </c>
      <c r="G690" s="112">
        <v>2</v>
      </c>
      <c r="H690" s="112">
        <v>7928250037</v>
      </c>
      <c r="I690" s="112" t="s">
        <v>3600</v>
      </c>
      <c r="J690" s="112" t="s">
        <v>1066</v>
      </c>
      <c r="K690" s="112" t="s">
        <v>1125</v>
      </c>
      <c r="L690" s="112" t="s">
        <v>1061</v>
      </c>
      <c r="M690" s="112" t="s">
        <v>478</v>
      </c>
      <c r="N690" s="113">
        <v>46525.584386574075</v>
      </c>
      <c r="O690" s="114">
        <v>19002208172</v>
      </c>
      <c r="P690" s="112">
        <v>89</v>
      </c>
      <c r="Q690" s="112" t="s">
        <v>1062</v>
      </c>
      <c r="R690" s="112" t="s">
        <v>1063</v>
      </c>
      <c r="S690" s="113">
        <v>46156.437372685185</v>
      </c>
      <c r="T690" s="112" t="s">
        <v>3601</v>
      </c>
      <c r="U690" s="112" t="s">
        <v>1065</v>
      </c>
      <c r="V690" s="112" t="s">
        <v>1066</v>
      </c>
      <c r="W690" s="112" t="s">
        <v>1066</v>
      </c>
      <c r="X690" s="112" t="s">
        <v>1066</v>
      </c>
      <c r="Y690" s="112" t="s">
        <v>1066</v>
      </c>
      <c r="Z690" s="112" t="s">
        <v>1066</v>
      </c>
      <c r="AA690" s="112" t="s">
        <v>1067</v>
      </c>
      <c r="AB690" s="112" t="s">
        <v>1066</v>
      </c>
      <c r="AC690" s="112" t="s">
        <v>92</v>
      </c>
      <c r="AD690" s="112" t="s">
        <v>1066</v>
      </c>
      <c r="AE690" s="112" t="s">
        <v>1066</v>
      </c>
      <c r="AF690" s="112" t="s">
        <v>1066</v>
      </c>
      <c r="AG690" s="112" t="s">
        <v>1066</v>
      </c>
      <c r="AH690" s="112" t="s">
        <v>1066</v>
      </c>
      <c r="AI690" s="112" t="s">
        <v>785</v>
      </c>
      <c r="AJ690" s="112">
        <v>8755092</v>
      </c>
      <c r="AK690" s="112" t="s">
        <v>1160</v>
      </c>
      <c r="AL690" s="112">
        <v>725539</v>
      </c>
      <c r="AM690" s="112" t="s">
        <v>1066</v>
      </c>
      <c r="AN690" s="112" t="s">
        <v>1066</v>
      </c>
    </row>
    <row r="691" spans="1:40" ht="55.5" customHeight="1" x14ac:dyDescent="0.25">
      <c r="A691" s="111" t="s">
        <v>3602</v>
      </c>
      <c r="B691" s="112">
        <v>2026</v>
      </c>
      <c r="C691" s="112" t="s">
        <v>1057</v>
      </c>
      <c r="D691" s="113">
        <v>46125.584386574075</v>
      </c>
      <c r="E691" s="112">
        <v>7924617094</v>
      </c>
      <c r="F691" s="112" t="s">
        <v>249</v>
      </c>
      <c r="G691" s="112">
        <v>2</v>
      </c>
      <c r="H691" s="112">
        <v>7924617094</v>
      </c>
      <c r="I691" s="112" t="s">
        <v>3603</v>
      </c>
      <c r="J691" s="112" t="s">
        <v>1066</v>
      </c>
      <c r="K691" s="112" t="s">
        <v>1125</v>
      </c>
      <c r="L691" s="112" t="s">
        <v>1061</v>
      </c>
      <c r="M691" s="112" t="s">
        <v>478</v>
      </c>
      <c r="N691" s="113">
        <v>46525.584386574075</v>
      </c>
      <c r="O691" s="114">
        <v>19002206466</v>
      </c>
      <c r="P691" s="112">
        <v>1.3180000000000001</v>
      </c>
      <c r="Q691" s="112" t="s">
        <v>1062</v>
      </c>
      <c r="R691" s="112" t="s">
        <v>1063</v>
      </c>
      <c r="S691" s="113">
        <v>46171.453101851854</v>
      </c>
      <c r="T691" s="112" t="s">
        <v>3604</v>
      </c>
      <c r="U691" s="112" t="s">
        <v>1065</v>
      </c>
      <c r="V691" s="112" t="s">
        <v>1066</v>
      </c>
      <c r="W691" s="112" t="s">
        <v>1066</v>
      </c>
      <c r="X691" s="112" t="s">
        <v>1066</v>
      </c>
      <c r="Y691" s="112" t="s">
        <v>1066</v>
      </c>
      <c r="Z691" s="112" t="s">
        <v>1066</v>
      </c>
      <c r="AA691" s="112" t="s">
        <v>1067</v>
      </c>
      <c r="AB691" s="112" t="s">
        <v>1066</v>
      </c>
      <c r="AC691" s="112" t="s">
        <v>92</v>
      </c>
      <c r="AD691" s="112" t="s">
        <v>1066</v>
      </c>
      <c r="AE691" s="112" t="s">
        <v>1066</v>
      </c>
      <c r="AF691" s="112" t="s">
        <v>1066</v>
      </c>
      <c r="AG691" s="112" t="s">
        <v>1066</v>
      </c>
      <c r="AH691" s="112" t="s">
        <v>1066</v>
      </c>
      <c r="AI691" s="112" t="s">
        <v>785</v>
      </c>
      <c r="AJ691" s="112">
        <v>8685208</v>
      </c>
      <c r="AK691" s="112" t="s">
        <v>224</v>
      </c>
      <c r="AL691" s="112">
        <v>735437</v>
      </c>
      <c r="AM691" s="112" t="s">
        <v>1066</v>
      </c>
      <c r="AN691" s="112" t="s">
        <v>1066</v>
      </c>
    </row>
    <row r="692" spans="1:40" ht="55.5" customHeight="1" x14ac:dyDescent="0.25">
      <c r="A692" s="111" t="s">
        <v>3605</v>
      </c>
      <c r="B692" s="112">
        <v>2026</v>
      </c>
      <c r="C692" s="112" t="s">
        <v>1057</v>
      </c>
      <c r="D692" s="113">
        <v>46125.584386574075</v>
      </c>
      <c r="E692" s="112">
        <v>7956784003</v>
      </c>
      <c r="F692" s="112" t="s">
        <v>1189</v>
      </c>
      <c r="G692" s="112">
        <v>3</v>
      </c>
      <c r="H692" s="112">
        <v>7956784003</v>
      </c>
      <c r="I692" s="112" t="s">
        <v>1190</v>
      </c>
      <c r="J692" s="112" t="s">
        <v>1066</v>
      </c>
      <c r="K692" s="112" t="s">
        <v>1125</v>
      </c>
      <c r="L692" s="112" t="s">
        <v>1061</v>
      </c>
      <c r="M692" s="112" t="s">
        <v>478</v>
      </c>
      <c r="N692" s="113">
        <v>46525.584386574075</v>
      </c>
      <c r="O692" s="114">
        <v>19002606403</v>
      </c>
      <c r="P692" s="112">
        <v>1.4379999999999999</v>
      </c>
      <c r="Q692" s="112" t="s">
        <v>1062</v>
      </c>
      <c r="R692" s="112" t="s">
        <v>1063</v>
      </c>
      <c r="S692" s="113">
        <v>46155.481886574074</v>
      </c>
      <c r="T692" s="112" t="s">
        <v>3606</v>
      </c>
      <c r="U692" s="112" t="s">
        <v>1065</v>
      </c>
      <c r="V692" s="112" t="s">
        <v>1066</v>
      </c>
      <c r="W692" s="112" t="s">
        <v>1066</v>
      </c>
      <c r="X692" s="112" t="s">
        <v>1066</v>
      </c>
      <c r="Y692" s="112" t="s">
        <v>1066</v>
      </c>
      <c r="Z692" s="112" t="s">
        <v>1066</v>
      </c>
      <c r="AA692" s="112" t="s">
        <v>1067</v>
      </c>
      <c r="AB692" s="112" t="s">
        <v>1066</v>
      </c>
      <c r="AC692" s="112" t="s">
        <v>92</v>
      </c>
      <c r="AD692" s="112" t="s">
        <v>1066</v>
      </c>
      <c r="AE692" s="112" t="s">
        <v>1066</v>
      </c>
      <c r="AF692" s="112" t="s">
        <v>1066</v>
      </c>
      <c r="AG692" s="112" t="s">
        <v>1066</v>
      </c>
      <c r="AH692" s="112" t="s">
        <v>1066</v>
      </c>
      <c r="AI692" s="112" t="s">
        <v>785</v>
      </c>
      <c r="AJ692" s="112">
        <v>8703259</v>
      </c>
      <c r="AK692" s="112" t="s">
        <v>210</v>
      </c>
      <c r="AL692" s="112">
        <v>710240</v>
      </c>
      <c r="AM692" s="112" t="s">
        <v>1066</v>
      </c>
      <c r="AN692" s="112" t="s">
        <v>1066</v>
      </c>
    </row>
    <row r="693" spans="1:40" ht="55.5" customHeight="1" x14ac:dyDescent="0.25">
      <c r="A693" s="115" t="s">
        <v>3607</v>
      </c>
      <c r="B693" s="116">
        <v>2026</v>
      </c>
      <c r="C693" s="116" t="s">
        <v>3608</v>
      </c>
      <c r="D693" s="118">
        <v>46068.857847222222</v>
      </c>
      <c r="E693" s="116">
        <v>7921202014</v>
      </c>
      <c r="F693" s="116" t="s">
        <v>314</v>
      </c>
      <c r="G693" s="116">
        <v>3</v>
      </c>
      <c r="H693" s="116">
        <v>7921202014</v>
      </c>
      <c r="I693" s="116" t="s">
        <v>2568</v>
      </c>
      <c r="J693" s="116" t="s">
        <v>1071</v>
      </c>
      <c r="K693" s="116" t="s">
        <v>1110</v>
      </c>
      <c r="L693" s="116" t="s">
        <v>1073</v>
      </c>
      <c r="M693" s="116" t="s">
        <v>588</v>
      </c>
      <c r="N693" s="118">
        <v>46138.449282407404</v>
      </c>
      <c r="O693" s="119">
        <v>19001187643</v>
      </c>
      <c r="P693" s="116">
        <v>548</v>
      </c>
      <c r="Q693" s="116" t="s">
        <v>983</v>
      </c>
      <c r="R693" s="116" t="s">
        <v>1075</v>
      </c>
      <c r="S693" s="116" t="s">
        <v>1066</v>
      </c>
      <c r="T693" s="116" t="s">
        <v>1066</v>
      </c>
      <c r="U693" s="116" t="s">
        <v>1066</v>
      </c>
      <c r="V693" s="116" t="s">
        <v>1066</v>
      </c>
      <c r="W693" s="116" t="s">
        <v>1066</v>
      </c>
      <c r="X693" s="116" t="s">
        <v>1066</v>
      </c>
      <c r="Y693" s="116" t="s">
        <v>1066</v>
      </c>
      <c r="Z693" s="116" t="s">
        <v>1066</v>
      </c>
      <c r="AA693" s="116" t="s">
        <v>1067</v>
      </c>
      <c r="AB693" s="116" t="s">
        <v>1066</v>
      </c>
      <c r="AC693" s="116" t="s">
        <v>92</v>
      </c>
      <c r="AD693" s="116" t="s">
        <v>1142</v>
      </c>
      <c r="AE693" s="116" t="s">
        <v>1066</v>
      </c>
      <c r="AF693" s="116" t="s">
        <v>1066</v>
      </c>
      <c r="AG693" s="116" t="s">
        <v>1066</v>
      </c>
      <c r="AH693" s="116" t="s">
        <v>2569</v>
      </c>
      <c r="AI693" s="116" t="s">
        <v>785</v>
      </c>
      <c r="AJ693" s="116" t="s">
        <v>1066</v>
      </c>
      <c r="AK693" s="116" t="s">
        <v>1066</v>
      </c>
      <c r="AL693" s="116" t="s">
        <v>1066</v>
      </c>
      <c r="AM693" s="116" t="s">
        <v>1066</v>
      </c>
      <c r="AN693" s="116" t="s">
        <v>1066</v>
      </c>
    </row>
    <row r="694" spans="1:40" ht="55.5" customHeight="1" x14ac:dyDescent="0.25">
      <c r="A694" s="111" t="s">
        <v>3609</v>
      </c>
      <c r="B694" s="112">
        <v>2026</v>
      </c>
      <c r="C694" s="112" t="s">
        <v>3610</v>
      </c>
      <c r="D694" s="113">
        <v>46071.630972222221</v>
      </c>
      <c r="E694" s="112">
        <v>7909577092</v>
      </c>
      <c r="F694" s="112" t="s">
        <v>1090</v>
      </c>
      <c r="G694" s="112">
        <v>2</v>
      </c>
      <c r="H694" s="112">
        <v>7909577092</v>
      </c>
      <c r="I694" s="112" t="s">
        <v>1091</v>
      </c>
      <c r="J694" s="112" t="s">
        <v>1071</v>
      </c>
      <c r="K694" s="112" t="s">
        <v>1323</v>
      </c>
      <c r="L694" s="112" t="s">
        <v>1073</v>
      </c>
      <c r="M694" s="112" t="s">
        <v>478</v>
      </c>
      <c r="N694" s="113">
        <v>46074.630972222221</v>
      </c>
      <c r="O694" s="114">
        <v>19002295963</v>
      </c>
      <c r="P694" s="112">
        <v>2.0070000000000001</v>
      </c>
      <c r="Q694" s="112" t="s">
        <v>1062</v>
      </c>
      <c r="R694" s="112" t="s">
        <v>1075</v>
      </c>
      <c r="S694" s="113">
        <v>46086.484120370369</v>
      </c>
      <c r="T694" s="112" t="s">
        <v>1094</v>
      </c>
      <c r="U694" s="112" t="s">
        <v>1065</v>
      </c>
      <c r="V694" s="112" t="s">
        <v>1066</v>
      </c>
      <c r="W694" s="112" t="s">
        <v>1066</v>
      </c>
      <c r="X694" s="112" t="s">
        <v>983</v>
      </c>
      <c r="Y694" s="112" t="s">
        <v>1066</v>
      </c>
      <c r="Z694" s="112" t="s">
        <v>1318</v>
      </c>
      <c r="AA694" s="112" t="s">
        <v>1067</v>
      </c>
      <c r="AB694" s="112" t="s">
        <v>1066</v>
      </c>
      <c r="AC694" s="112" t="s">
        <v>92</v>
      </c>
      <c r="AD694" s="112" t="s">
        <v>1066</v>
      </c>
      <c r="AE694" s="112" t="s">
        <v>1066</v>
      </c>
      <c r="AF694" s="112" t="s">
        <v>1066</v>
      </c>
      <c r="AG694" s="112" t="s">
        <v>1066</v>
      </c>
      <c r="AH694" s="112" t="s">
        <v>1066</v>
      </c>
      <c r="AI694" s="112" t="s">
        <v>785</v>
      </c>
      <c r="AJ694" s="112">
        <v>8896369</v>
      </c>
      <c r="AK694" s="112" t="s">
        <v>1095</v>
      </c>
      <c r="AL694" s="112">
        <v>863365</v>
      </c>
      <c r="AM694" s="112" t="s">
        <v>1066</v>
      </c>
      <c r="AN694" s="112" t="s">
        <v>1066</v>
      </c>
    </row>
    <row r="695" spans="1:40" ht="55.5" customHeight="1" x14ac:dyDescent="0.25">
      <c r="A695" s="111" t="s">
        <v>3611</v>
      </c>
      <c r="B695" s="112">
        <v>2026</v>
      </c>
      <c r="C695" s="112" t="s">
        <v>3612</v>
      </c>
      <c r="D695" s="113">
        <v>45913.020104166666</v>
      </c>
      <c r="E695" s="112">
        <v>8866906016</v>
      </c>
      <c r="F695" s="112" t="s">
        <v>1654</v>
      </c>
      <c r="G695" s="112">
        <v>2</v>
      </c>
      <c r="H695" s="112">
        <v>5800366016</v>
      </c>
      <c r="I695" s="112" t="s">
        <v>3613</v>
      </c>
      <c r="J695" s="112" t="s">
        <v>1071</v>
      </c>
      <c r="K695" s="112" t="s">
        <v>1130</v>
      </c>
      <c r="L695" s="112" t="s">
        <v>1073</v>
      </c>
      <c r="M695" s="112" t="s">
        <v>478</v>
      </c>
      <c r="N695" s="113">
        <v>46143.406666666669</v>
      </c>
      <c r="O695" s="114">
        <v>19002682936</v>
      </c>
      <c r="P695" s="112">
        <v>3.044</v>
      </c>
      <c r="Q695" s="112" t="s">
        <v>1074</v>
      </c>
      <c r="R695" s="112" t="s">
        <v>1075</v>
      </c>
      <c r="S695" s="113">
        <v>46148.602777777778</v>
      </c>
      <c r="T695" s="112" t="s">
        <v>3614</v>
      </c>
      <c r="U695" s="112" t="s">
        <v>1065</v>
      </c>
      <c r="V695" s="112" t="s">
        <v>1066</v>
      </c>
      <c r="W695" s="112" t="s">
        <v>1066</v>
      </c>
      <c r="X695" s="112" t="s">
        <v>1318</v>
      </c>
      <c r="Y695" s="112" t="s">
        <v>1066</v>
      </c>
      <c r="Z695" s="112" t="s">
        <v>1479</v>
      </c>
      <c r="AA695" s="112" t="s">
        <v>1067</v>
      </c>
      <c r="AB695" s="112" t="s">
        <v>1066</v>
      </c>
      <c r="AC695" s="112" t="s">
        <v>92</v>
      </c>
      <c r="AD695" s="112" t="s">
        <v>1066</v>
      </c>
      <c r="AE695" s="112" t="s">
        <v>1066</v>
      </c>
      <c r="AF695" s="112" t="s">
        <v>1066</v>
      </c>
      <c r="AG695" s="112" t="s">
        <v>1066</v>
      </c>
      <c r="AH695" s="112" t="s">
        <v>3615</v>
      </c>
      <c r="AI695" s="112" t="s">
        <v>785</v>
      </c>
      <c r="AJ695" s="112">
        <v>9241712</v>
      </c>
      <c r="AK695" s="112" t="s">
        <v>537</v>
      </c>
      <c r="AL695" s="112">
        <v>834683</v>
      </c>
      <c r="AM695" s="112" t="s">
        <v>1066</v>
      </c>
      <c r="AN695" s="112" t="s">
        <v>1066</v>
      </c>
    </row>
    <row r="696" spans="1:40" ht="55.5" customHeight="1" x14ac:dyDescent="0.25">
      <c r="A696" s="111" t="s">
        <v>631</v>
      </c>
      <c r="B696" s="112">
        <v>2026</v>
      </c>
      <c r="C696" s="112" t="s">
        <v>3616</v>
      </c>
      <c r="D696" s="113">
        <v>46218.818460648145</v>
      </c>
      <c r="E696" s="112">
        <v>8844800028</v>
      </c>
      <c r="F696" s="112" t="s">
        <v>43</v>
      </c>
      <c r="G696" s="112">
        <v>2</v>
      </c>
      <c r="H696" s="112">
        <v>5848305116</v>
      </c>
      <c r="I696" s="112" t="s">
        <v>3617</v>
      </c>
      <c r="J696" s="112" t="s">
        <v>1071</v>
      </c>
      <c r="K696" s="112" t="s">
        <v>1072</v>
      </c>
      <c r="L696" s="112" t="s">
        <v>1073</v>
      </c>
      <c r="M696" s="112" t="s">
        <v>478</v>
      </c>
      <c r="N696" s="113">
        <v>46221.818460648145</v>
      </c>
      <c r="O696" s="114">
        <v>19002706614</v>
      </c>
      <c r="P696" s="112">
        <v>113</v>
      </c>
      <c r="Q696" s="112" t="s">
        <v>1074</v>
      </c>
      <c r="R696" s="112" t="s">
        <v>1075</v>
      </c>
      <c r="S696" s="113">
        <v>46230.729953703703</v>
      </c>
      <c r="T696" s="112" t="s">
        <v>3618</v>
      </c>
      <c r="U696" s="112" t="s">
        <v>1065</v>
      </c>
      <c r="V696" s="112" t="s">
        <v>1066</v>
      </c>
      <c r="W696" s="112" t="s">
        <v>1066</v>
      </c>
      <c r="X696" s="112" t="s">
        <v>1077</v>
      </c>
      <c r="Y696" s="112" t="s">
        <v>1066</v>
      </c>
      <c r="Z696" s="112" t="s">
        <v>1078</v>
      </c>
      <c r="AA696" s="112" t="s">
        <v>1067</v>
      </c>
      <c r="AB696" s="112" t="s">
        <v>1066</v>
      </c>
      <c r="AC696" s="112" t="s">
        <v>92</v>
      </c>
      <c r="AD696" s="112" t="s">
        <v>1066</v>
      </c>
      <c r="AE696" s="112" t="s">
        <v>1066</v>
      </c>
      <c r="AF696" s="112" t="s">
        <v>1066</v>
      </c>
      <c r="AG696" s="112" t="s">
        <v>1066</v>
      </c>
      <c r="AH696" s="112" t="s">
        <v>1066</v>
      </c>
      <c r="AI696" s="112" t="s">
        <v>785</v>
      </c>
      <c r="AJ696" s="112">
        <v>8711981</v>
      </c>
      <c r="AK696" s="112" t="s">
        <v>403</v>
      </c>
      <c r="AL696" s="112">
        <v>861016</v>
      </c>
      <c r="AM696" s="112" t="s">
        <v>1066</v>
      </c>
      <c r="AN696" s="112" t="s">
        <v>1066</v>
      </c>
    </row>
    <row r="697" spans="1:40" ht="55.5" customHeight="1" x14ac:dyDescent="0.25">
      <c r="A697" s="111" t="s">
        <v>3619</v>
      </c>
      <c r="B697" s="112">
        <v>2026</v>
      </c>
      <c r="C697" s="112" t="s">
        <v>3620</v>
      </c>
      <c r="D697" s="113">
        <v>46189.706469907411</v>
      </c>
      <c r="E697" s="112">
        <v>7900666072</v>
      </c>
      <c r="F697" s="112" t="s">
        <v>225</v>
      </c>
      <c r="G697" s="112">
        <v>2</v>
      </c>
      <c r="H697" s="112">
        <v>7900666072</v>
      </c>
      <c r="I697" s="112" t="s">
        <v>3242</v>
      </c>
      <c r="J697" s="112" t="s">
        <v>1059</v>
      </c>
      <c r="K697" s="112" t="s">
        <v>3621</v>
      </c>
      <c r="L697" s="112" t="s">
        <v>1061</v>
      </c>
      <c r="M697" s="112" t="s">
        <v>478</v>
      </c>
      <c r="N697" s="113">
        <v>46589.706469907411</v>
      </c>
      <c r="O697" s="114">
        <v>19002214120</v>
      </c>
      <c r="P697" s="112">
        <v>1.7070000000000001</v>
      </c>
      <c r="Q697" s="112" t="s">
        <v>1062</v>
      </c>
      <c r="R697" s="112" t="s">
        <v>1263</v>
      </c>
      <c r="S697" s="113">
        <v>46197.482858796298</v>
      </c>
      <c r="T697" s="112" t="s">
        <v>3622</v>
      </c>
      <c r="U697" s="112" t="s">
        <v>1065</v>
      </c>
      <c r="V697" s="112" t="s">
        <v>1066</v>
      </c>
      <c r="W697" s="112" t="s">
        <v>1066</v>
      </c>
      <c r="X697" s="112" t="s">
        <v>1066</v>
      </c>
      <c r="Y697" s="112" t="s">
        <v>1066</v>
      </c>
      <c r="Z697" s="112" t="s">
        <v>1066</v>
      </c>
      <c r="AA697" s="112" t="s">
        <v>1067</v>
      </c>
      <c r="AB697" s="112" t="s">
        <v>1066</v>
      </c>
      <c r="AC697" s="112" t="s">
        <v>92</v>
      </c>
      <c r="AD697" s="112" t="s">
        <v>1066</v>
      </c>
      <c r="AE697" s="112" t="s">
        <v>1066</v>
      </c>
      <c r="AF697" s="112" t="s">
        <v>1066</v>
      </c>
      <c r="AG697" s="112" t="s">
        <v>1066</v>
      </c>
      <c r="AH697" s="112" t="s">
        <v>1066</v>
      </c>
      <c r="AI697" s="112" t="s">
        <v>785</v>
      </c>
      <c r="AJ697" s="112">
        <v>8646903</v>
      </c>
      <c r="AK697" s="112" t="s">
        <v>1590</v>
      </c>
      <c r="AL697" s="112">
        <v>904088</v>
      </c>
      <c r="AM697" s="112" t="s">
        <v>1066</v>
      </c>
      <c r="AN697" s="112" t="s">
        <v>1066</v>
      </c>
    </row>
    <row r="698" spans="1:40" ht="55.5" customHeight="1" x14ac:dyDescent="0.25">
      <c r="A698" s="124" t="s">
        <v>408</v>
      </c>
      <c r="B698" s="125">
        <v>2026</v>
      </c>
      <c r="C698" s="125" t="s">
        <v>3623</v>
      </c>
      <c r="D698" s="126">
        <v>46244.880671296298</v>
      </c>
      <c r="E698" s="125">
        <v>7908709122</v>
      </c>
      <c r="F698" s="125" t="s">
        <v>409</v>
      </c>
      <c r="G698" s="125">
        <v>2</v>
      </c>
      <c r="H698" s="125">
        <v>7908709122</v>
      </c>
      <c r="I698" s="125" t="s">
        <v>2053</v>
      </c>
      <c r="J698" s="125" t="s">
        <v>1854</v>
      </c>
      <c r="K698" s="125" t="s">
        <v>3624</v>
      </c>
      <c r="L698" s="125" t="s">
        <v>1073</v>
      </c>
      <c r="M698" s="125" t="s">
        <v>510</v>
      </c>
      <c r="N698" s="126">
        <v>46248.791203703702</v>
      </c>
      <c r="O698" s="127">
        <v>19002223836</v>
      </c>
      <c r="P698" s="125">
        <v>0</v>
      </c>
      <c r="Q698" s="125" t="s">
        <v>1062</v>
      </c>
      <c r="R698" s="125" t="s">
        <v>1075</v>
      </c>
      <c r="S698" s="125" t="s">
        <v>1066</v>
      </c>
      <c r="T698" s="125" t="s">
        <v>1066</v>
      </c>
      <c r="U698" s="125" t="s">
        <v>1066</v>
      </c>
      <c r="V698" s="125" t="s">
        <v>1066</v>
      </c>
      <c r="W698" s="125" t="s">
        <v>1066</v>
      </c>
      <c r="X698" s="125" t="s">
        <v>983</v>
      </c>
      <c r="Y698" s="125" t="s">
        <v>1066</v>
      </c>
      <c r="Z698" s="125" t="s">
        <v>1318</v>
      </c>
      <c r="AA698" s="125" t="s">
        <v>1067</v>
      </c>
      <c r="AB698" s="125" t="s">
        <v>1066</v>
      </c>
      <c r="AC698" s="125" t="s">
        <v>92</v>
      </c>
      <c r="AD698" s="125" t="s">
        <v>1066</v>
      </c>
      <c r="AE698" s="125" t="s">
        <v>1066</v>
      </c>
      <c r="AF698" s="125" t="s">
        <v>1066</v>
      </c>
      <c r="AG698" s="125" t="s">
        <v>1066</v>
      </c>
      <c r="AH698" s="125" t="s">
        <v>3625</v>
      </c>
      <c r="AI698" s="125" t="s">
        <v>785</v>
      </c>
      <c r="AJ698" s="125">
        <v>8872995</v>
      </c>
      <c r="AK698" s="125" t="s">
        <v>264</v>
      </c>
      <c r="AL698" s="125">
        <v>792600</v>
      </c>
      <c r="AM698" s="125" t="s">
        <v>1066</v>
      </c>
      <c r="AN698" s="125" t="s">
        <v>1066</v>
      </c>
    </row>
    <row r="699" spans="1:40" ht="55.5" customHeight="1" x14ac:dyDescent="0.25">
      <c r="A699" s="124" t="s">
        <v>368</v>
      </c>
      <c r="B699" s="125">
        <v>2026</v>
      </c>
      <c r="C699" s="125" t="s">
        <v>371</v>
      </c>
      <c r="D699" s="126">
        <v>46227.760277777779</v>
      </c>
      <c r="E699" s="125">
        <v>9000721193</v>
      </c>
      <c r="F699" s="125" t="s">
        <v>370</v>
      </c>
      <c r="G699" s="125">
        <v>2</v>
      </c>
      <c r="H699" s="125">
        <v>7900722193</v>
      </c>
      <c r="I699" s="125" t="s">
        <v>2236</v>
      </c>
      <c r="J699" s="125" t="s">
        <v>1071</v>
      </c>
      <c r="K699" s="125" t="s">
        <v>1130</v>
      </c>
      <c r="L699" s="125" t="s">
        <v>1073</v>
      </c>
      <c r="M699" s="125" t="s">
        <v>510</v>
      </c>
      <c r="N699" s="126">
        <v>46230.760277777779</v>
      </c>
      <c r="O699" s="127">
        <v>19000021684</v>
      </c>
      <c r="P699" s="125">
        <v>3.2709999999999999</v>
      </c>
      <c r="Q699" s="125" t="s">
        <v>1131</v>
      </c>
      <c r="R699" s="125" t="s">
        <v>1075</v>
      </c>
      <c r="S699" s="125" t="s">
        <v>1066</v>
      </c>
      <c r="T699" s="125" t="s">
        <v>3626</v>
      </c>
      <c r="U699" s="125" t="s">
        <v>1559</v>
      </c>
      <c r="V699" s="125" t="s">
        <v>1066</v>
      </c>
      <c r="W699" s="125" t="s">
        <v>1066</v>
      </c>
      <c r="X699" s="125" t="s">
        <v>1117</v>
      </c>
      <c r="Y699" s="125" t="s">
        <v>1066</v>
      </c>
      <c r="Z699" s="125" t="s">
        <v>1133</v>
      </c>
      <c r="AA699" s="125" t="s">
        <v>1067</v>
      </c>
      <c r="AB699" s="125" t="s">
        <v>1066</v>
      </c>
      <c r="AC699" s="125" t="s">
        <v>92</v>
      </c>
      <c r="AD699" s="125" t="s">
        <v>1142</v>
      </c>
      <c r="AE699" s="125" t="s">
        <v>1066</v>
      </c>
      <c r="AF699" s="125" t="s">
        <v>1066</v>
      </c>
      <c r="AG699" s="125" t="s">
        <v>1066</v>
      </c>
      <c r="AH699" s="125" t="s">
        <v>1066</v>
      </c>
      <c r="AI699" s="125" t="s">
        <v>785</v>
      </c>
      <c r="AJ699" s="125">
        <v>9071636</v>
      </c>
      <c r="AK699" s="125" t="s">
        <v>369</v>
      </c>
      <c r="AL699" s="125">
        <v>967442</v>
      </c>
      <c r="AM699" s="125" t="s">
        <v>1066</v>
      </c>
      <c r="AN699" s="125" t="s">
        <v>1066</v>
      </c>
    </row>
    <row r="700" spans="1:40" ht="55.5" customHeight="1" x14ac:dyDescent="0.25">
      <c r="A700" s="111" t="s">
        <v>3627</v>
      </c>
      <c r="B700" s="112">
        <v>2026</v>
      </c>
      <c r="C700" s="112" t="s">
        <v>1210</v>
      </c>
      <c r="D700" s="113">
        <v>46114.608900462961</v>
      </c>
      <c r="E700" s="112">
        <v>7955700073</v>
      </c>
      <c r="F700" s="112" t="s">
        <v>3423</v>
      </c>
      <c r="G700" s="112">
        <v>3</v>
      </c>
      <c r="H700" s="112">
        <v>7955700073</v>
      </c>
      <c r="I700" s="112" t="s">
        <v>3628</v>
      </c>
      <c r="J700" s="112" t="s">
        <v>1066</v>
      </c>
      <c r="K700" s="112" t="s">
        <v>1125</v>
      </c>
      <c r="L700" s="112" t="s">
        <v>1061</v>
      </c>
      <c r="M700" s="112" t="s">
        <v>478</v>
      </c>
      <c r="N700" s="113">
        <v>46514.608900462961</v>
      </c>
      <c r="O700" s="114">
        <v>19002742886</v>
      </c>
      <c r="P700" s="112">
        <v>7</v>
      </c>
      <c r="Q700" s="112" t="s">
        <v>1062</v>
      </c>
      <c r="R700" s="112" t="s">
        <v>1063</v>
      </c>
      <c r="S700" s="113">
        <v>46184.729351851849</v>
      </c>
      <c r="T700" s="112" t="s">
        <v>2961</v>
      </c>
      <c r="U700" s="112" t="s">
        <v>1065</v>
      </c>
      <c r="V700" s="112" t="s">
        <v>1066</v>
      </c>
      <c r="W700" s="112" t="s">
        <v>1066</v>
      </c>
      <c r="X700" s="112" t="s">
        <v>1066</v>
      </c>
      <c r="Y700" s="112" t="s">
        <v>1066</v>
      </c>
      <c r="Z700" s="112" t="s">
        <v>1066</v>
      </c>
      <c r="AA700" s="112" t="s">
        <v>1067</v>
      </c>
      <c r="AB700" s="112" t="s">
        <v>1066</v>
      </c>
      <c r="AC700" s="112" t="s">
        <v>92</v>
      </c>
      <c r="AD700" s="112" t="s">
        <v>1066</v>
      </c>
      <c r="AE700" s="112" t="s">
        <v>1066</v>
      </c>
      <c r="AF700" s="112" t="s">
        <v>1066</v>
      </c>
      <c r="AG700" s="112" t="s">
        <v>1066</v>
      </c>
      <c r="AH700" s="112" t="s">
        <v>1066</v>
      </c>
      <c r="AI700" s="112" t="s">
        <v>785</v>
      </c>
      <c r="AJ700" s="112">
        <v>8766382</v>
      </c>
      <c r="AK700" s="112" t="s">
        <v>1166</v>
      </c>
      <c r="AL700" s="112">
        <v>623582</v>
      </c>
      <c r="AM700" s="112" t="s">
        <v>1066</v>
      </c>
      <c r="AN700" s="112" t="s">
        <v>1066</v>
      </c>
    </row>
    <row r="701" spans="1:40" ht="55.5" customHeight="1" x14ac:dyDescent="0.25">
      <c r="A701" s="111" t="s">
        <v>3629</v>
      </c>
      <c r="B701" s="112">
        <v>2026</v>
      </c>
      <c r="C701" s="112" t="s">
        <v>1057</v>
      </c>
      <c r="D701" s="113">
        <v>46125.614548611113</v>
      </c>
      <c r="E701" s="112">
        <v>7930430075</v>
      </c>
      <c r="F701" s="112" t="s">
        <v>1415</v>
      </c>
      <c r="G701" s="112">
        <v>1</v>
      </c>
      <c r="H701" s="112">
        <v>7930430075</v>
      </c>
      <c r="I701" s="112" t="s">
        <v>3630</v>
      </c>
      <c r="J701" s="112" t="s">
        <v>1066</v>
      </c>
      <c r="K701" s="112" t="s">
        <v>1125</v>
      </c>
      <c r="L701" s="112" t="s">
        <v>1061</v>
      </c>
      <c r="M701" s="112" t="s">
        <v>478</v>
      </c>
      <c r="N701" s="113">
        <v>46525.614548611113</v>
      </c>
      <c r="O701" s="114">
        <v>19002209819</v>
      </c>
      <c r="P701" s="112">
        <v>0</v>
      </c>
      <c r="Q701" s="112" t="s">
        <v>1062</v>
      </c>
      <c r="R701" s="112" t="s">
        <v>1063</v>
      </c>
      <c r="S701" s="113">
        <v>46174.3125</v>
      </c>
      <c r="T701" s="112" t="s">
        <v>1307</v>
      </c>
      <c r="U701" s="112" t="s">
        <v>1065</v>
      </c>
      <c r="V701" s="112" t="s">
        <v>1066</v>
      </c>
      <c r="W701" s="112" t="s">
        <v>1066</v>
      </c>
      <c r="X701" s="112" t="s">
        <v>1066</v>
      </c>
      <c r="Y701" s="112" t="s">
        <v>1066</v>
      </c>
      <c r="Z701" s="112" t="s">
        <v>1066</v>
      </c>
      <c r="AA701" s="112" t="s">
        <v>1067</v>
      </c>
      <c r="AB701" s="112" t="s">
        <v>1066</v>
      </c>
      <c r="AC701" s="112" t="s">
        <v>92</v>
      </c>
      <c r="AD701" s="112" t="s">
        <v>1066</v>
      </c>
      <c r="AE701" s="112" t="s">
        <v>1066</v>
      </c>
      <c r="AF701" s="112" t="s">
        <v>1066</v>
      </c>
      <c r="AG701" s="112" t="s">
        <v>1066</v>
      </c>
      <c r="AH701" s="112" t="s">
        <v>1066</v>
      </c>
      <c r="AI701" s="112" t="s">
        <v>785</v>
      </c>
      <c r="AJ701" s="112">
        <v>8982032</v>
      </c>
      <c r="AK701" s="112" t="s">
        <v>590</v>
      </c>
      <c r="AL701" s="112">
        <v>690145</v>
      </c>
      <c r="AM701" s="112" t="s">
        <v>1066</v>
      </c>
      <c r="AN701" s="112" t="s">
        <v>1066</v>
      </c>
    </row>
    <row r="702" spans="1:40" ht="55.5" customHeight="1" x14ac:dyDescent="0.25">
      <c r="A702" s="111" t="s">
        <v>3631</v>
      </c>
      <c r="B702" s="112">
        <v>2026</v>
      </c>
      <c r="C702" s="112" t="s">
        <v>3632</v>
      </c>
      <c r="D702" s="113">
        <v>46134.302303240744</v>
      </c>
      <c r="E702" s="112">
        <v>8857203122</v>
      </c>
      <c r="F702" s="112" t="s">
        <v>1884</v>
      </c>
      <c r="G702" s="112">
        <v>2</v>
      </c>
      <c r="H702" s="112">
        <v>7956903122</v>
      </c>
      <c r="I702" s="112" t="s">
        <v>2992</v>
      </c>
      <c r="J702" s="112" t="s">
        <v>1071</v>
      </c>
      <c r="K702" s="112" t="s">
        <v>1130</v>
      </c>
      <c r="L702" s="112" t="s">
        <v>1073</v>
      </c>
      <c r="M702" s="112" t="s">
        <v>478</v>
      </c>
      <c r="N702" s="113">
        <v>46137.302303240744</v>
      </c>
      <c r="O702" s="114">
        <v>19002736902</v>
      </c>
      <c r="P702" s="112">
        <v>1.77</v>
      </c>
      <c r="Q702" s="112" t="s">
        <v>1131</v>
      </c>
      <c r="R702" s="112" t="s">
        <v>1075</v>
      </c>
      <c r="S702" s="113">
        <v>46134.472222222219</v>
      </c>
      <c r="T702" s="112" t="s">
        <v>3633</v>
      </c>
      <c r="U702" s="112" t="s">
        <v>1065</v>
      </c>
      <c r="V702" s="112" t="s">
        <v>1066</v>
      </c>
      <c r="W702" s="112" t="s">
        <v>1066</v>
      </c>
      <c r="X702" s="112" t="s">
        <v>1394</v>
      </c>
      <c r="Y702" s="112" t="s">
        <v>1066</v>
      </c>
      <c r="Z702" s="112" t="s">
        <v>1133</v>
      </c>
      <c r="AA702" s="112" t="s">
        <v>1067</v>
      </c>
      <c r="AB702" s="112" t="s">
        <v>1066</v>
      </c>
      <c r="AC702" s="112" t="s">
        <v>92</v>
      </c>
      <c r="AD702" s="112" t="s">
        <v>1066</v>
      </c>
      <c r="AE702" s="112" t="s">
        <v>1066</v>
      </c>
      <c r="AF702" s="112" t="s">
        <v>1066</v>
      </c>
      <c r="AG702" s="112" t="s">
        <v>1066</v>
      </c>
      <c r="AH702" s="112" t="s">
        <v>1066</v>
      </c>
      <c r="AI702" s="112" t="s">
        <v>785</v>
      </c>
      <c r="AJ702" s="112">
        <v>8873502</v>
      </c>
      <c r="AK702" s="112" t="s">
        <v>264</v>
      </c>
      <c r="AL702" s="112">
        <v>795745</v>
      </c>
      <c r="AM702" s="112" t="s">
        <v>1066</v>
      </c>
      <c r="AN702" s="112" t="s">
        <v>1066</v>
      </c>
    </row>
    <row r="703" spans="1:40" ht="55.5" customHeight="1" x14ac:dyDescent="0.25">
      <c r="A703" s="111" t="s">
        <v>3634</v>
      </c>
      <c r="B703" s="112">
        <v>2026</v>
      </c>
      <c r="C703" s="112" t="s">
        <v>3635</v>
      </c>
      <c r="D703" s="113">
        <v>46105.85665509259</v>
      </c>
      <c r="E703" s="112">
        <v>7900297152</v>
      </c>
      <c r="F703" s="112" t="s">
        <v>52</v>
      </c>
      <c r="G703" s="112">
        <v>2</v>
      </c>
      <c r="H703" s="112">
        <v>7900297152</v>
      </c>
      <c r="I703" s="112" t="s">
        <v>2017</v>
      </c>
      <c r="J703" s="112" t="s">
        <v>1071</v>
      </c>
      <c r="K703" s="112" t="s">
        <v>2307</v>
      </c>
      <c r="L703" s="112" t="s">
        <v>1073</v>
      </c>
      <c r="M703" s="112" t="s">
        <v>478</v>
      </c>
      <c r="N703" s="113">
        <v>46108.85665509259</v>
      </c>
      <c r="O703" s="114">
        <v>19002223513</v>
      </c>
      <c r="P703" s="112">
        <v>237</v>
      </c>
      <c r="Q703" s="112" t="s">
        <v>1062</v>
      </c>
      <c r="R703" s="112" t="s">
        <v>1075</v>
      </c>
      <c r="S703" s="113">
        <v>46129.729166666664</v>
      </c>
      <c r="T703" s="112" t="s">
        <v>3636</v>
      </c>
      <c r="U703" s="112" t="s">
        <v>1065</v>
      </c>
      <c r="V703" s="112" t="s">
        <v>1066</v>
      </c>
      <c r="W703" s="112" t="s">
        <v>1066</v>
      </c>
      <c r="X703" s="112" t="s">
        <v>983</v>
      </c>
      <c r="Y703" s="112" t="s">
        <v>1066</v>
      </c>
      <c r="Z703" s="112" t="s">
        <v>1318</v>
      </c>
      <c r="AA703" s="112" t="s">
        <v>1067</v>
      </c>
      <c r="AB703" s="112" t="s">
        <v>1066</v>
      </c>
      <c r="AC703" s="112" t="s">
        <v>92</v>
      </c>
      <c r="AD703" s="112" t="s">
        <v>1066</v>
      </c>
      <c r="AE703" s="112" t="s">
        <v>1066</v>
      </c>
      <c r="AF703" s="112" t="s">
        <v>1066</v>
      </c>
      <c r="AG703" s="112" t="s">
        <v>1066</v>
      </c>
      <c r="AH703" s="112" t="s">
        <v>1066</v>
      </c>
      <c r="AI703" s="112" t="s">
        <v>785</v>
      </c>
      <c r="AJ703" s="112">
        <v>8738295</v>
      </c>
      <c r="AK703" s="112" t="s">
        <v>306</v>
      </c>
      <c r="AL703" s="112">
        <v>805377</v>
      </c>
      <c r="AM703" s="112" t="s">
        <v>1066</v>
      </c>
      <c r="AN703" s="112" t="s">
        <v>1066</v>
      </c>
    </row>
    <row r="704" spans="1:40" ht="55.5" customHeight="1" x14ac:dyDescent="0.25">
      <c r="A704" s="111" t="s">
        <v>3637</v>
      </c>
      <c r="B704" s="112">
        <v>2026</v>
      </c>
      <c r="C704" s="112" t="s">
        <v>1057</v>
      </c>
      <c r="D704" s="113">
        <v>46125.584386574075</v>
      </c>
      <c r="E704" s="112">
        <v>7951345028</v>
      </c>
      <c r="F704" s="112" t="s">
        <v>43</v>
      </c>
      <c r="G704" s="112">
        <v>3</v>
      </c>
      <c r="H704" s="112">
        <v>7951345028</v>
      </c>
      <c r="I704" s="112" t="s">
        <v>3638</v>
      </c>
      <c r="J704" s="112" t="s">
        <v>1066</v>
      </c>
      <c r="K704" s="112" t="s">
        <v>1125</v>
      </c>
      <c r="L704" s="112" t="s">
        <v>1061</v>
      </c>
      <c r="M704" s="112" t="s">
        <v>478</v>
      </c>
      <c r="N704" s="113">
        <v>46525.584386574075</v>
      </c>
      <c r="O704" s="114">
        <v>19002680001</v>
      </c>
      <c r="P704" s="112">
        <v>139</v>
      </c>
      <c r="Q704" s="112" t="s">
        <v>1062</v>
      </c>
      <c r="R704" s="112" t="s">
        <v>1063</v>
      </c>
      <c r="S704" s="113">
        <v>46195.729490740741</v>
      </c>
      <c r="T704" s="112" t="s">
        <v>3639</v>
      </c>
      <c r="U704" s="112" t="s">
        <v>1065</v>
      </c>
      <c r="V704" s="112" t="s">
        <v>1066</v>
      </c>
      <c r="W704" s="112" t="s">
        <v>1066</v>
      </c>
      <c r="X704" s="112" t="s">
        <v>1066</v>
      </c>
      <c r="Y704" s="112" t="s">
        <v>1066</v>
      </c>
      <c r="Z704" s="112" t="s">
        <v>1066</v>
      </c>
      <c r="AA704" s="112" t="s">
        <v>1067</v>
      </c>
      <c r="AB704" s="112" t="s">
        <v>1066</v>
      </c>
      <c r="AC704" s="112" t="s">
        <v>92</v>
      </c>
      <c r="AD704" s="112" t="s">
        <v>1066</v>
      </c>
      <c r="AE704" s="112" t="s">
        <v>1066</v>
      </c>
      <c r="AF704" s="112" t="s">
        <v>1066</v>
      </c>
      <c r="AG704" s="112" t="s">
        <v>1066</v>
      </c>
      <c r="AH704" s="112" t="s">
        <v>1066</v>
      </c>
      <c r="AI704" s="112" t="s">
        <v>785</v>
      </c>
      <c r="AJ704" s="112">
        <v>8677627</v>
      </c>
      <c r="AK704" s="112" t="s">
        <v>403</v>
      </c>
      <c r="AL704" s="112">
        <v>868395</v>
      </c>
      <c r="AM704" s="112" t="s">
        <v>1066</v>
      </c>
      <c r="AN704" s="112" t="s">
        <v>1066</v>
      </c>
    </row>
    <row r="705" spans="1:40" ht="55.5" customHeight="1" x14ac:dyDescent="0.25">
      <c r="A705" s="124" t="s">
        <v>3640</v>
      </c>
      <c r="B705" s="125">
        <v>2026</v>
      </c>
      <c r="C705" s="125" t="s">
        <v>3641</v>
      </c>
      <c r="D705" s="126">
        <v>46212.672152777777</v>
      </c>
      <c r="E705" s="125">
        <v>8800288077</v>
      </c>
      <c r="F705" s="125" t="s">
        <v>191</v>
      </c>
      <c r="G705" s="125">
        <v>2</v>
      </c>
      <c r="H705" s="125">
        <v>5800291077</v>
      </c>
      <c r="I705" s="125" t="s">
        <v>3642</v>
      </c>
      <c r="J705" s="125" t="s">
        <v>1092</v>
      </c>
      <c r="K705" s="125" t="s">
        <v>1330</v>
      </c>
      <c r="L705" s="125" t="s">
        <v>1061</v>
      </c>
      <c r="M705" s="125" t="s">
        <v>510</v>
      </c>
      <c r="N705" s="126">
        <v>46612.672152777777</v>
      </c>
      <c r="O705" s="127">
        <v>19002682052</v>
      </c>
      <c r="P705" s="125">
        <v>2.8679999999999999</v>
      </c>
      <c r="Q705" s="125" t="s">
        <v>1074</v>
      </c>
      <c r="R705" s="125" t="s">
        <v>1063</v>
      </c>
      <c r="S705" s="125" t="s">
        <v>1066</v>
      </c>
      <c r="T705" s="125" t="s">
        <v>3643</v>
      </c>
      <c r="U705" s="125" t="s">
        <v>1559</v>
      </c>
      <c r="V705" s="125" t="s">
        <v>1066</v>
      </c>
      <c r="W705" s="125" t="s">
        <v>1066</v>
      </c>
      <c r="X705" s="125" t="s">
        <v>1332</v>
      </c>
      <c r="Y705" s="125" t="s">
        <v>1066</v>
      </c>
      <c r="Z705" s="125" t="s">
        <v>1066</v>
      </c>
      <c r="AA705" s="125" t="s">
        <v>1067</v>
      </c>
      <c r="AB705" s="125" t="s">
        <v>1066</v>
      </c>
      <c r="AC705" s="125" t="s">
        <v>92</v>
      </c>
      <c r="AD705" s="125" t="s">
        <v>1066</v>
      </c>
      <c r="AE705" s="125" t="s">
        <v>1066</v>
      </c>
      <c r="AF705" s="125" t="s">
        <v>1066</v>
      </c>
      <c r="AG705" s="125" t="s">
        <v>1066</v>
      </c>
      <c r="AH705" s="125" t="s">
        <v>1066</v>
      </c>
      <c r="AI705" s="125" t="s">
        <v>785</v>
      </c>
      <c r="AJ705" s="125">
        <v>9145471</v>
      </c>
      <c r="AK705" s="125" t="s">
        <v>190</v>
      </c>
      <c r="AL705" s="125">
        <v>905726</v>
      </c>
      <c r="AM705" s="125" t="s">
        <v>1066</v>
      </c>
      <c r="AN705" s="125" t="s">
        <v>1066</v>
      </c>
    </row>
    <row r="706" spans="1:40" ht="55.5" customHeight="1" x14ac:dyDescent="0.25">
      <c r="A706" s="115" t="s">
        <v>3644</v>
      </c>
      <c r="B706" s="116">
        <v>2026</v>
      </c>
      <c r="C706" s="116" t="s">
        <v>3645</v>
      </c>
      <c r="D706" s="118">
        <v>46115.883726851855</v>
      </c>
      <c r="E706" s="116">
        <v>8800288077</v>
      </c>
      <c r="F706" s="116" t="s">
        <v>191</v>
      </c>
      <c r="G706" s="116">
        <v>2</v>
      </c>
      <c r="H706" s="116">
        <v>5800291077</v>
      </c>
      <c r="I706" s="116" t="s">
        <v>3646</v>
      </c>
      <c r="J706" s="116" t="s">
        <v>1071</v>
      </c>
      <c r="K706" s="116" t="s">
        <v>1428</v>
      </c>
      <c r="L706" s="116" t="s">
        <v>1073</v>
      </c>
      <c r="M706" s="116" t="s">
        <v>588</v>
      </c>
      <c r="N706" s="118">
        <v>46123.585462962961</v>
      </c>
      <c r="O706" s="119">
        <v>19002725814</v>
      </c>
      <c r="P706" s="116">
        <v>2.8679999999999999</v>
      </c>
      <c r="Q706" s="116" t="s">
        <v>1074</v>
      </c>
      <c r="R706" s="116" t="s">
        <v>1263</v>
      </c>
      <c r="S706" s="116" t="s">
        <v>1066</v>
      </c>
      <c r="T706" s="116" t="s">
        <v>1066</v>
      </c>
      <c r="U706" s="116" t="s">
        <v>1066</v>
      </c>
      <c r="V706" s="116" t="s">
        <v>1066</v>
      </c>
      <c r="W706" s="116" t="s">
        <v>1066</v>
      </c>
      <c r="X706" s="116" t="s">
        <v>2026</v>
      </c>
      <c r="Y706" s="116" t="s">
        <v>1066</v>
      </c>
      <c r="Z706" s="116" t="s">
        <v>1479</v>
      </c>
      <c r="AA706" s="116" t="s">
        <v>1067</v>
      </c>
      <c r="AB706" s="116" t="s">
        <v>1066</v>
      </c>
      <c r="AC706" s="116" t="s">
        <v>92</v>
      </c>
      <c r="AD706" s="116" t="s">
        <v>1066</v>
      </c>
      <c r="AE706" s="116" t="s">
        <v>1066</v>
      </c>
      <c r="AF706" s="116" t="s">
        <v>1066</v>
      </c>
      <c r="AG706" s="116" t="s">
        <v>1066</v>
      </c>
      <c r="AH706" s="116" t="s">
        <v>1066</v>
      </c>
      <c r="AI706" s="116" t="s">
        <v>785</v>
      </c>
      <c r="AJ706" s="116">
        <v>9145471</v>
      </c>
      <c r="AK706" s="116" t="s">
        <v>190</v>
      </c>
      <c r="AL706" s="116">
        <v>905726</v>
      </c>
      <c r="AM706" s="116" t="s">
        <v>1066</v>
      </c>
      <c r="AN706" s="116" t="s">
        <v>1066</v>
      </c>
    </row>
    <row r="707" spans="1:40" ht="55.5" customHeight="1" x14ac:dyDescent="0.25">
      <c r="A707" s="111" t="s">
        <v>3647</v>
      </c>
      <c r="B707" s="112">
        <v>2026</v>
      </c>
      <c r="C707" s="112" t="s">
        <v>3648</v>
      </c>
      <c r="D707" s="113">
        <v>46029.422430555554</v>
      </c>
      <c r="E707" s="112">
        <v>9001760130</v>
      </c>
      <c r="F707" s="112" t="s">
        <v>3649</v>
      </c>
      <c r="G707" s="112">
        <v>2</v>
      </c>
      <c r="H707" s="112">
        <v>7930872130</v>
      </c>
      <c r="I707" s="112" t="s">
        <v>3650</v>
      </c>
      <c r="J707" s="112" t="s">
        <v>1854</v>
      </c>
      <c r="K707" s="112" t="s">
        <v>1855</v>
      </c>
      <c r="L707" s="112" t="s">
        <v>1073</v>
      </c>
      <c r="M707" s="112" t="s">
        <v>478</v>
      </c>
      <c r="N707" s="113">
        <v>46032.422430555554</v>
      </c>
      <c r="O707" s="114">
        <v>19001280074</v>
      </c>
      <c r="P707" s="112">
        <v>1.389</v>
      </c>
      <c r="Q707" s="112" t="s">
        <v>1131</v>
      </c>
      <c r="R707" s="112" t="s">
        <v>1075</v>
      </c>
      <c r="S707" s="113">
        <v>46042.73101851852</v>
      </c>
      <c r="T707" s="112" t="s">
        <v>3651</v>
      </c>
      <c r="U707" s="112" t="s">
        <v>1065</v>
      </c>
      <c r="V707" s="112" t="s">
        <v>1066</v>
      </c>
      <c r="W707" s="112" t="s">
        <v>1066</v>
      </c>
      <c r="X707" s="112" t="s">
        <v>983</v>
      </c>
      <c r="Y707" s="112" t="s">
        <v>1066</v>
      </c>
      <c r="Z707" s="112" t="s">
        <v>1148</v>
      </c>
      <c r="AA707" s="112" t="s">
        <v>1067</v>
      </c>
      <c r="AB707" s="112" t="s">
        <v>1066</v>
      </c>
      <c r="AC707" s="112" t="s">
        <v>92</v>
      </c>
      <c r="AD707" s="112" t="s">
        <v>1142</v>
      </c>
      <c r="AE707" s="112" t="s">
        <v>1066</v>
      </c>
      <c r="AF707" s="112" t="s">
        <v>1066</v>
      </c>
      <c r="AG707" s="112" t="s">
        <v>1066</v>
      </c>
      <c r="AH707" s="112" t="s">
        <v>1066</v>
      </c>
      <c r="AI707" s="112" t="s">
        <v>785</v>
      </c>
      <c r="AJ707" s="112">
        <v>9386241</v>
      </c>
      <c r="AK707" s="112" t="s">
        <v>3652</v>
      </c>
      <c r="AL707" s="112">
        <v>886278</v>
      </c>
      <c r="AM707" s="112" t="s">
        <v>1066</v>
      </c>
      <c r="AN707" s="112" t="s">
        <v>1066</v>
      </c>
    </row>
    <row r="708" spans="1:40" ht="55.5" customHeight="1" x14ac:dyDescent="0.25">
      <c r="A708" s="111" t="s">
        <v>3653</v>
      </c>
      <c r="B708" s="112">
        <v>2026</v>
      </c>
      <c r="C708" s="112" t="s">
        <v>1057</v>
      </c>
      <c r="D708" s="113">
        <v>46125.614548611113</v>
      </c>
      <c r="E708" s="112">
        <v>7901100084</v>
      </c>
      <c r="F708" s="112" t="s">
        <v>682</v>
      </c>
      <c r="G708" s="112">
        <v>2</v>
      </c>
      <c r="H708" s="112">
        <v>7901100084</v>
      </c>
      <c r="I708" s="112" t="s">
        <v>3654</v>
      </c>
      <c r="J708" s="112" t="s">
        <v>1066</v>
      </c>
      <c r="K708" s="112" t="s">
        <v>1125</v>
      </c>
      <c r="L708" s="112" t="s">
        <v>1061</v>
      </c>
      <c r="M708" s="112" t="s">
        <v>478</v>
      </c>
      <c r="N708" s="113">
        <v>46525.614548611113</v>
      </c>
      <c r="O708" s="114">
        <v>19002219363</v>
      </c>
      <c r="P708" s="112">
        <v>5.8659999999999997</v>
      </c>
      <c r="Q708" s="112" t="s">
        <v>1062</v>
      </c>
      <c r="R708" s="112" t="s">
        <v>1063</v>
      </c>
      <c r="S708" s="113">
        <v>46204.730532407404</v>
      </c>
      <c r="T708" s="112" t="s">
        <v>3655</v>
      </c>
      <c r="U708" s="112" t="s">
        <v>1065</v>
      </c>
      <c r="V708" s="112" t="s">
        <v>1066</v>
      </c>
      <c r="W708" s="112" t="s">
        <v>1066</v>
      </c>
      <c r="X708" s="112" t="s">
        <v>1066</v>
      </c>
      <c r="Y708" s="112" t="s">
        <v>1066</v>
      </c>
      <c r="Z708" s="112" t="s">
        <v>1066</v>
      </c>
      <c r="AA708" s="112" t="s">
        <v>1067</v>
      </c>
      <c r="AB708" s="112" t="s">
        <v>1066</v>
      </c>
      <c r="AC708" s="112" t="s">
        <v>92</v>
      </c>
      <c r="AD708" s="112" t="s">
        <v>1066</v>
      </c>
      <c r="AE708" s="112" t="s">
        <v>1066</v>
      </c>
      <c r="AF708" s="112" t="s">
        <v>1066</v>
      </c>
      <c r="AG708" s="112" t="s">
        <v>1066</v>
      </c>
      <c r="AH708" s="112" t="s">
        <v>1066</v>
      </c>
      <c r="AI708" s="112" t="s">
        <v>785</v>
      </c>
      <c r="AJ708" s="112">
        <v>8915466</v>
      </c>
      <c r="AK708" s="112" t="s">
        <v>1311</v>
      </c>
      <c r="AL708" s="112">
        <v>696347</v>
      </c>
      <c r="AM708" s="112" t="s">
        <v>1066</v>
      </c>
      <c r="AN708" s="112" t="s">
        <v>1066</v>
      </c>
    </row>
    <row r="709" spans="1:40" ht="55.5" customHeight="1" x14ac:dyDescent="0.25">
      <c r="A709" s="111" t="s">
        <v>3656</v>
      </c>
      <c r="B709" s="112">
        <v>2026</v>
      </c>
      <c r="C709" s="112" t="s">
        <v>3657</v>
      </c>
      <c r="D709" s="113">
        <v>46085.475810185184</v>
      </c>
      <c r="E709" s="112">
        <v>9008475122</v>
      </c>
      <c r="F709" s="112" t="s">
        <v>2796</v>
      </c>
      <c r="G709" s="112">
        <v>2</v>
      </c>
      <c r="H709" s="112">
        <v>7908475122</v>
      </c>
      <c r="I709" s="112" t="s">
        <v>3658</v>
      </c>
      <c r="J709" s="112" t="s">
        <v>1071</v>
      </c>
      <c r="K709" s="112" t="s">
        <v>1282</v>
      </c>
      <c r="L709" s="112" t="s">
        <v>1073</v>
      </c>
      <c r="M709" s="112" t="s">
        <v>478</v>
      </c>
      <c r="N709" s="113">
        <v>46088.475810185184</v>
      </c>
      <c r="O709" s="114">
        <v>19000091116</v>
      </c>
      <c r="P709" s="112">
        <v>2.2759999999999998</v>
      </c>
      <c r="Q709" s="112" t="s">
        <v>1131</v>
      </c>
      <c r="R709" s="112" t="s">
        <v>1075</v>
      </c>
      <c r="S709" s="113">
        <v>46097.729074074072</v>
      </c>
      <c r="T709" s="112" t="s">
        <v>3659</v>
      </c>
      <c r="U709" s="112" t="s">
        <v>1065</v>
      </c>
      <c r="V709" s="112" t="s">
        <v>1066</v>
      </c>
      <c r="W709" s="112" t="s">
        <v>1066</v>
      </c>
      <c r="X709" s="112" t="s">
        <v>983</v>
      </c>
      <c r="Y709" s="112" t="s">
        <v>1066</v>
      </c>
      <c r="Z709" s="112" t="s">
        <v>1078</v>
      </c>
      <c r="AA709" s="112" t="s">
        <v>1067</v>
      </c>
      <c r="AB709" s="112" t="s">
        <v>1066</v>
      </c>
      <c r="AC709" s="112" t="s">
        <v>92</v>
      </c>
      <c r="AD709" s="112" t="s">
        <v>1142</v>
      </c>
      <c r="AE709" s="112" t="s">
        <v>1066</v>
      </c>
      <c r="AF709" s="112" t="s">
        <v>1066</v>
      </c>
      <c r="AG709" s="112" t="s">
        <v>1066</v>
      </c>
      <c r="AH709" s="112" t="s">
        <v>1066</v>
      </c>
      <c r="AI709" s="112" t="s">
        <v>785</v>
      </c>
      <c r="AJ709" s="112">
        <v>8866663</v>
      </c>
      <c r="AK709" s="112" t="s">
        <v>264</v>
      </c>
      <c r="AL709" s="112">
        <v>791797</v>
      </c>
      <c r="AM709" s="112" t="s">
        <v>1066</v>
      </c>
      <c r="AN709" s="112" t="s">
        <v>1066</v>
      </c>
    </row>
    <row r="710" spans="1:40" ht="55.5" customHeight="1" x14ac:dyDescent="0.25">
      <c r="A710" s="120" t="s">
        <v>3660</v>
      </c>
      <c r="B710" s="121">
        <v>2026</v>
      </c>
      <c r="C710" s="121" t="s">
        <v>1210</v>
      </c>
      <c r="D710" s="122">
        <v>46114.608900462961</v>
      </c>
      <c r="E710" s="121">
        <v>7936038076</v>
      </c>
      <c r="F710" s="121" t="s">
        <v>663</v>
      </c>
      <c r="G710" s="121">
        <v>3</v>
      </c>
      <c r="H710" s="121">
        <v>7936038076</v>
      </c>
      <c r="I710" s="121" t="s">
        <v>2526</v>
      </c>
      <c r="J710" s="121" t="s">
        <v>1066</v>
      </c>
      <c r="K710" s="121" t="s">
        <v>1125</v>
      </c>
      <c r="L710" s="121" t="s">
        <v>1061</v>
      </c>
      <c r="M710" s="121" t="s">
        <v>1116</v>
      </c>
      <c r="N710" s="122">
        <v>46514.608900462961</v>
      </c>
      <c r="O710" s="123">
        <v>19002208898</v>
      </c>
      <c r="P710" s="121">
        <v>17</v>
      </c>
      <c r="Q710" s="121" t="s">
        <v>1062</v>
      </c>
      <c r="R710" s="121" t="s">
        <v>1063</v>
      </c>
      <c r="S710" s="122">
        <v>46226.587094907409</v>
      </c>
      <c r="T710" s="121" t="s">
        <v>1066</v>
      </c>
      <c r="U710" s="121" t="s">
        <v>1066</v>
      </c>
      <c r="V710" s="121" t="s">
        <v>1066</v>
      </c>
      <c r="W710" s="121" t="s">
        <v>1066</v>
      </c>
      <c r="X710" s="121" t="s">
        <v>1066</v>
      </c>
      <c r="Y710" s="121" t="s">
        <v>1066</v>
      </c>
      <c r="Z710" s="121" t="s">
        <v>1066</v>
      </c>
      <c r="AA710" s="121" t="s">
        <v>1067</v>
      </c>
      <c r="AB710" s="121" t="s">
        <v>1066</v>
      </c>
      <c r="AC710" s="121" t="s">
        <v>92</v>
      </c>
      <c r="AD710" s="121" t="s">
        <v>1066</v>
      </c>
      <c r="AE710" s="121" t="s">
        <v>1066</v>
      </c>
      <c r="AF710" s="121" t="s">
        <v>1066</v>
      </c>
      <c r="AG710" s="121" t="s">
        <v>1066</v>
      </c>
      <c r="AH710" s="121" t="s">
        <v>1066</v>
      </c>
      <c r="AI710" s="121" t="s">
        <v>785</v>
      </c>
      <c r="AJ710" s="121">
        <v>8742101</v>
      </c>
      <c r="AK710" s="121" t="s">
        <v>209</v>
      </c>
      <c r="AL710" s="121">
        <v>666106</v>
      </c>
      <c r="AM710" s="121" t="s">
        <v>1066</v>
      </c>
      <c r="AN710" s="121" t="s">
        <v>1066</v>
      </c>
    </row>
    <row r="711" spans="1:40" ht="55.5" customHeight="1" x14ac:dyDescent="0.25">
      <c r="A711" s="111" t="s">
        <v>3661</v>
      </c>
      <c r="B711" s="112">
        <v>2026</v>
      </c>
      <c r="C711" s="112" t="s">
        <v>3662</v>
      </c>
      <c r="D711" s="113">
        <v>46223.451053240744</v>
      </c>
      <c r="E711" s="112">
        <v>7915035094</v>
      </c>
      <c r="F711" s="112" t="s">
        <v>249</v>
      </c>
      <c r="G711" s="112">
        <v>2</v>
      </c>
      <c r="H711" s="112">
        <v>7915035094</v>
      </c>
      <c r="I711" s="112" t="s">
        <v>1815</v>
      </c>
      <c r="J711" s="112" t="s">
        <v>1092</v>
      </c>
      <c r="K711" s="112" t="s">
        <v>1191</v>
      </c>
      <c r="L711" s="112" t="s">
        <v>1061</v>
      </c>
      <c r="M711" s="112" t="s">
        <v>478</v>
      </c>
      <c r="N711" s="113">
        <v>46623.451053240744</v>
      </c>
      <c r="O711" s="114">
        <v>19002260830</v>
      </c>
      <c r="P711" s="112">
        <v>701</v>
      </c>
      <c r="Q711" s="112" t="s">
        <v>1062</v>
      </c>
      <c r="R711" s="112" t="s">
        <v>1063</v>
      </c>
      <c r="S711" s="113">
        <v>46233.706238425926</v>
      </c>
      <c r="T711" s="112" t="s">
        <v>3663</v>
      </c>
      <c r="U711" s="112" t="s">
        <v>1065</v>
      </c>
      <c r="V711" s="112" t="s">
        <v>1066</v>
      </c>
      <c r="W711" s="112" t="s">
        <v>1066</v>
      </c>
      <c r="X711" s="112" t="s">
        <v>1066</v>
      </c>
      <c r="Y711" s="112" t="s">
        <v>1066</v>
      </c>
      <c r="Z711" s="112" t="s">
        <v>1066</v>
      </c>
      <c r="AA711" s="112" t="s">
        <v>1067</v>
      </c>
      <c r="AB711" s="112" t="s">
        <v>1066</v>
      </c>
      <c r="AC711" s="112" t="s">
        <v>92</v>
      </c>
      <c r="AD711" s="112" t="s">
        <v>1066</v>
      </c>
      <c r="AE711" s="112" t="s">
        <v>1066</v>
      </c>
      <c r="AF711" s="112" t="s">
        <v>1066</v>
      </c>
      <c r="AG711" s="112" t="s">
        <v>1066</v>
      </c>
      <c r="AH711" s="112" t="s">
        <v>1066</v>
      </c>
      <c r="AI711" s="112" t="s">
        <v>785</v>
      </c>
      <c r="AJ711" s="112">
        <v>8685089</v>
      </c>
      <c r="AK711" s="112" t="s">
        <v>224</v>
      </c>
      <c r="AL711" s="112">
        <v>735580</v>
      </c>
      <c r="AM711" s="112" t="s">
        <v>1066</v>
      </c>
      <c r="AN711" s="112" t="s">
        <v>1066</v>
      </c>
    </row>
    <row r="712" spans="1:40" ht="55.5" customHeight="1" x14ac:dyDescent="0.25">
      <c r="A712" s="111" t="s">
        <v>3664</v>
      </c>
      <c r="B712" s="112">
        <v>2026</v>
      </c>
      <c r="C712" s="112" t="s">
        <v>1089</v>
      </c>
      <c r="D712" s="113">
        <v>46028.453888888886</v>
      </c>
      <c r="E712" s="112">
        <v>7900768029</v>
      </c>
      <c r="F712" s="112" t="s">
        <v>1236</v>
      </c>
      <c r="G712" s="112">
        <v>2</v>
      </c>
      <c r="H712" s="112">
        <v>7900768029</v>
      </c>
      <c r="I712" s="112" t="s">
        <v>3665</v>
      </c>
      <c r="J712" s="112" t="s">
        <v>1092</v>
      </c>
      <c r="K712" s="112" t="s">
        <v>1093</v>
      </c>
      <c r="L712" s="112" t="s">
        <v>1061</v>
      </c>
      <c r="M712" s="112" t="s">
        <v>478</v>
      </c>
      <c r="N712" s="113">
        <v>46428.453888888886</v>
      </c>
      <c r="O712" s="114">
        <v>19002261032</v>
      </c>
      <c r="P712" s="112">
        <v>0</v>
      </c>
      <c r="Q712" s="112" t="s">
        <v>1062</v>
      </c>
      <c r="R712" s="112" t="s">
        <v>1063</v>
      </c>
      <c r="S712" s="113">
        <v>46034.402777777781</v>
      </c>
      <c r="T712" s="112" t="s">
        <v>3666</v>
      </c>
      <c r="U712" s="112" t="s">
        <v>1065</v>
      </c>
      <c r="V712" s="112" t="s">
        <v>1066</v>
      </c>
      <c r="W712" s="112" t="s">
        <v>1066</v>
      </c>
      <c r="X712" s="112" t="s">
        <v>1066</v>
      </c>
      <c r="Y712" s="112" t="s">
        <v>1066</v>
      </c>
      <c r="Z712" s="112" t="s">
        <v>1066</v>
      </c>
      <c r="AA712" s="112" t="s">
        <v>1067</v>
      </c>
      <c r="AB712" s="112" t="s">
        <v>1066</v>
      </c>
      <c r="AC712" s="112" t="s">
        <v>92</v>
      </c>
      <c r="AD712" s="112" t="s">
        <v>1066</v>
      </c>
      <c r="AE712" s="112" t="s">
        <v>1066</v>
      </c>
      <c r="AF712" s="112" t="s">
        <v>1066</v>
      </c>
      <c r="AG712" s="112" t="s">
        <v>1066</v>
      </c>
      <c r="AH712" s="112" t="s">
        <v>1066</v>
      </c>
      <c r="AI712" s="112" t="s">
        <v>785</v>
      </c>
      <c r="AJ712" s="112">
        <v>8557034</v>
      </c>
      <c r="AK712" s="112" t="s">
        <v>415</v>
      </c>
      <c r="AL712" s="112">
        <v>780342</v>
      </c>
      <c r="AM712" s="112" t="s">
        <v>1066</v>
      </c>
      <c r="AN712" s="112" t="s">
        <v>1066</v>
      </c>
    </row>
    <row r="713" spans="1:40" ht="55.5" customHeight="1" x14ac:dyDescent="0.25">
      <c r="A713" s="120" t="s">
        <v>3667</v>
      </c>
      <c r="B713" s="121">
        <v>2026</v>
      </c>
      <c r="C713" s="121" t="s">
        <v>3668</v>
      </c>
      <c r="D713" s="122">
        <v>46113.920312499999</v>
      </c>
      <c r="E713" s="121">
        <v>7919145007</v>
      </c>
      <c r="F713" s="121" t="s">
        <v>239</v>
      </c>
      <c r="G713" s="121">
        <v>3</v>
      </c>
      <c r="H713" s="121">
        <v>7919145007</v>
      </c>
      <c r="I713" s="121" t="s">
        <v>3669</v>
      </c>
      <c r="J713" s="121" t="s">
        <v>1071</v>
      </c>
      <c r="K713" s="121" t="s">
        <v>2307</v>
      </c>
      <c r="L713" s="121" t="s">
        <v>1073</v>
      </c>
      <c r="M713" s="121" t="s">
        <v>1116</v>
      </c>
      <c r="N713" s="122">
        <v>46116.920312499999</v>
      </c>
      <c r="O713" s="123">
        <v>19002219689</v>
      </c>
      <c r="P713" s="121">
        <v>3</v>
      </c>
      <c r="Q713" s="121" t="s">
        <v>1062</v>
      </c>
      <c r="R713" s="121" t="s">
        <v>1075</v>
      </c>
      <c r="S713" s="122">
        <v>46120.581620370373</v>
      </c>
      <c r="T713" s="121" t="s">
        <v>1066</v>
      </c>
      <c r="U713" s="121" t="s">
        <v>1066</v>
      </c>
      <c r="V713" s="121" t="s">
        <v>1066</v>
      </c>
      <c r="W713" s="121" t="s">
        <v>1066</v>
      </c>
      <c r="X713" s="121" t="s">
        <v>983</v>
      </c>
      <c r="Y713" s="121" t="s">
        <v>1066</v>
      </c>
      <c r="Z713" s="121" t="s">
        <v>1318</v>
      </c>
      <c r="AA713" s="121" t="s">
        <v>1067</v>
      </c>
      <c r="AB713" s="121" t="s">
        <v>1066</v>
      </c>
      <c r="AC713" s="121" t="s">
        <v>92</v>
      </c>
      <c r="AD713" s="121" t="s">
        <v>1066</v>
      </c>
      <c r="AE713" s="121" t="s">
        <v>1066</v>
      </c>
      <c r="AF713" s="121" t="s">
        <v>1066</v>
      </c>
      <c r="AG713" s="121" t="s">
        <v>1066</v>
      </c>
      <c r="AH713" s="121" t="s">
        <v>1066</v>
      </c>
      <c r="AI713" s="121" t="s">
        <v>785</v>
      </c>
      <c r="AJ713" s="121">
        <v>8940313</v>
      </c>
      <c r="AK713" s="121" t="s">
        <v>100</v>
      </c>
      <c r="AL713" s="121">
        <v>785889</v>
      </c>
      <c r="AM713" s="121" t="s">
        <v>1066</v>
      </c>
      <c r="AN713" s="121" t="s">
        <v>1066</v>
      </c>
    </row>
    <row r="714" spans="1:40" ht="55.5" customHeight="1" x14ac:dyDescent="0.25">
      <c r="A714" s="111" t="s">
        <v>3670</v>
      </c>
      <c r="B714" s="112">
        <v>2026</v>
      </c>
      <c r="C714" s="112" t="s">
        <v>1210</v>
      </c>
      <c r="D714" s="113">
        <v>46114.608900462961</v>
      </c>
      <c r="E714" s="112">
        <v>7925291256</v>
      </c>
      <c r="F714" s="112" t="s">
        <v>136</v>
      </c>
      <c r="G714" s="112">
        <v>1</v>
      </c>
      <c r="H714" s="112">
        <v>7925291256</v>
      </c>
      <c r="I714" s="112" t="s">
        <v>3671</v>
      </c>
      <c r="J714" s="112" t="s">
        <v>1066</v>
      </c>
      <c r="K714" s="112" t="s">
        <v>1125</v>
      </c>
      <c r="L714" s="112" t="s">
        <v>1061</v>
      </c>
      <c r="M714" s="112" t="s">
        <v>478</v>
      </c>
      <c r="N714" s="113">
        <v>46514.608900462961</v>
      </c>
      <c r="O714" s="114">
        <v>19002260537</v>
      </c>
      <c r="P714" s="112">
        <v>0</v>
      </c>
      <c r="Q714" s="112" t="s">
        <v>1062</v>
      </c>
      <c r="R714" s="112" t="s">
        <v>1063</v>
      </c>
      <c r="S714" s="113">
        <v>46205.481400462966</v>
      </c>
      <c r="T714" s="112" t="s">
        <v>3672</v>
      </c>
      <c r="U714" s="112" t="s">
        <v>1065</v>
      </c>
      <c r="V714" s="112" t="s">
        <v>1066</v>
      </c>
      <c r="W714" s="112" t="s">
        <v>1066</v>
      </c>
      <c r="X714" s="112" t="s">
        <v>1066</v>
      </c>
      <c r="Y714" s="112" t="s">
        <v>1066</v>
      </c>
      <c r="Z714" s="112" t="s">
        <v>1066</v>
      </c>
      <c r="AA714" s="112" t="s">
        <v>1067</v>
      </c>
      <c r="AB714" s="112" t="s">
        <v>1066</v>
      </c>
      <c r="AC714" s="112" t="s">
        <v>92</v>
      </c>
      <c r="AD714" s="112" t="s">
        <v>1066</v>
      </c>
      <c r="AE714" s="112" t="s">
        <v>1066</v>
      </c>
      <c r="AF714" s="112" t="s">
        <v>1066</v>
      </c>
      <c r="AG714" s="112" t="s">
        <v>1066</v>
      </c>
      <c r="AH714" s="112" t="s">
        <v>1066</v>
      </c>
      <c r="AI714" s="112" t="s">
        <v>785</v>
      </c>
      <c r="AJ714" s="112">
        <v>8850229</v>
      </c>
      <c r="AK714" s="112" t="s">
        <v>134</v>
      </c>
      <c r="AL714" s="112">
        <v>991646</v>
      </c>
      <c r="AM714" s="112" t="s">
        <v>1066</v>
      </c>
      <c r="AN714" s="112" t="s">
        <v>1066</v>
      </c>
    </row>
    <row r="715" spans="1:40" ht="55.5" customHeight="1" x14ac:dyDescent="0.25">
      <c r="A715" s="124" t="s">
        <v>3673</v>
      </c>
      <c r="B715" s="125">
        <v>2026</v>
      </c>
      <c r="C715" s="125" t="s">
        <v>3674</v>
      </c>
      <c r="D715" s="126">
        <v>46236.466192129628</v>
      </c>
      <c r="E715" s="125">
        <v>9000786033</v>
      </c>
      <c r="F715" s="125" t="s">
        <v>1564</v>
      </c>
      <c r="G715" s="125">
        <v>2</v>
      </c>
      <c r="H715" s="125">
        <v>7900785033</v>
      </c>
      <c r="I715" s="125" t="s">
        <v>3675</v>
      </c>
      <c r="J715" s="125" t="s">
        <v>1854</v>
      </c>
      <c r="K715" s="125" t="s">
        <v>2988</v>
      </c>
      <c r="L715" s="125" t="s">
        <v>1073</v>
      </c>
      <c r="M715" s="125" t="s">
        <v>510</v>
      </c>
      <c r="N715" s="126">
        <v>46239.466192129628</v>
      </c>
      <c r="O715" s="127">
        <v>19000057981</v>
      </c>
      <c r="P715" s="125">
        <v>262</v>
      </c>
      <c r="Q715" s="125" t="s">
        <v>1131</v>
      </c>
      <c r="R715" s="125" t="s">
        <v>1263</v>
      </c>
      <c r="S715" s="125" t="s">
        <v>1066</v>
      </c>
      <c r="T715" s="125" t="s">
        <v>3676</v>
      </c>
      <c r="U715" s="125" t="s">
        <v>1559</v>
      </c>
      <c r="V715" s="125" t="s">
        <v>1066</v>
      </c>
      <c r="W715" s="125" t="s">
        <v>1066</v>
      </c>
      <c r="X715" s="125" t="s">
        <v>1173</v>
      </c>
      <c r="Y715" s="125" t="s">
        <v>1066</v>
      </c>
      <c r="Z715" s="125" t="s">
        <v>1133</v>
      </c>
      <c r="AA715" s="125" t="s">
        <v>1067</v>
      </c>
      <c r="AB715" s="125" t="s">
        <v>1066</v>
      </c>
      <c r="AC715" s="125" t="s">
        <v>92</v>
      </c>
      <c r="AD715" s="125" t="s">
        <v>1142</v>
      </c>
      <c r="AE715" s="125" t="s">
        <v>1066</v>
      </c>
      <c r="AF715" s="125" t="s">
        <v>1066</v>
      </c>
      <c r="AG715" s="125" t="s">
        <v>1066</v>
      </c>
      <c r="AH715" s="125" t="s">
        <v>1066</v>
      </c>
      <c r="AI715" s="125" t="s">
        <v>785</v>
      </c>
      <c r="AJ715" s="125">
        <v>9032205</v>
      </c>
      <c r="AK715" s="125" t="s">
        <v>1566</v>
      </c>
      <c r="AL715" s="125">
        <v>747549</v>
      </c>
      <c r="AM715" s="125" t="s">
        <v>1066</v>
      </c>
      <c r="AN715" s="125" t="s">
        <v>1066</v>
      </c>
    </row>
    <row r="716" spans="1:40" ht="55.5" customHeight="1" x14ac:dyDescent="0.25">
      <c r="A716" s="111" t="s">
        <v>3677</v>
      </c>
      <c r="B716" s="112">
        <v>2026</v>
      </c>
      <c r="C716" s="112" t="s">
        <v>3678</v>
      </c>
      <c r="D716" s="113">
        <v>46237.698344907411</v>
      </c>
      <c r="E716" s="112">
        <v>8830944004</v>
      </c>
      <c r="F716" s="112" t="s">
        <v>3016</v>
      </c>
      <c r="G716" s="112">
        <v>2</v>
      </c>
      <c r="H716" s="112">
        <v>7928466004</v>
      </c>
      <c r="I716" s="112" t="s">
        <v>3679</v>
      </c>
      <c r="J716" s="112" t="s">
        <v>1205</v>
      </c>
      <c r="K716" s="112" t="s">
        <v>3680</v>
      </c>
      <c r="L716" s="112" t="s">
        <v>2002</v>
      </c>
      <c r="M716" s="112" t="s">
        <v>478</v>
      </c>
      <c r="N716" s="113">
        <v>46244.698344907411</v>
      </c>
      <c r="O716" s="114">
        <v>19001254292</v>
      </c>
      <c r="P716" s="112">
        <v>3.1579999999999999</v>
      </c>
      <c r="Q716" s="112" t="s">
        <v>1131</v>
      </c>
      <c r="R716" s="112" t="s">
        <v>1206</v>
      </c>
      <c r="S716" s="113">
        <v>46241.729166666664</v>
      </c>
      <c r="T716" s="112" t="s">
        <v>3681</v>
      </c>
      <c r="U716" s="112" t="s">
        <v>1065</v>
      </c>
      <c r="V716" s="112" t="s">
        <v>1066</v>
      </c>
      <c r="W716" s="112" t="s">
        <v>1066</v>
      </c>
      <c r="X716" s="112" t="s">
        <v>983</v>
      </c>
      <c r="Y716" s="112" t="s">
        <v>1066</v>
      </c>
      <c r="Z716" s="112" t="s">
        <v>2042</v>
      </c>
      <c r="AA716" s="112" t="s">
        <v>1067</v>
      </c>
      <c r="AB716" s="112" t="s">
        <v>1066</v>
      </c>
      <c r="AC716" s="112" t="s">
        <v>92</v>
      </c>
      <c r="AD716" s="112" t="s">
        <v>1142</v>
      </c>
      <c r="AE716" s="112" t="s">
        <v>1066</v>
      </c>
      <c r="AF716" s="112" t="s">
        <v>1066</v>
      </c>
      <c r="AG716" s="112" t="s">
        <v>1066</v>
      </c>
      <c r="AH716" s="112" t="s">
        <v>1066</v>
      </c>
      <c r="AI716" s="112" t="s">
        <v>785</v>
      </c>
      <c r="AJ716" s="112">
        <v>9201257</v>
      </c>
      <c r="AK716" s="112" t="s">
        <v>69</v>
      </c>
      <c r="AL716" s="112">
        <v>808935</v>
      </c>
      <c r="AM716" s="112" t="s">
        <v>1066</v>
      </c>
      <c r="AN716" s="112" t="s">
        <v>1066</v>
      </c>
    </row>
    <row r="717" spans="1:40" ht="55.5" customHeight="1" x14ac:dyDescent="0.25">
      <c r="A717" s="124" t="s">
        <v>414</v>
      </c>
      <c r="B717" s="125">
        <v>2026</v>
      </c>
      <c r="C717" s="125" t="s">
        <v>416</v>
      </c>
      <c r="D717" s="126">
        <v>46243.82298611111</v>
      </c>
      <c r="E717" s="125">
        <v>7926242029</v>
      </c>
      <c r="F717" s="125" t="s">
        <v>294</v>
      </c>
      <c r="G717" s="125">
        <v>1</v>
      </c>
      <c r="H717" s="125">
        <v>7926242029</v>
      </c>
      <c r="I717" s="125" t="s">
        <v>2216</v>
      </c>
      <c r="J717" s="125" t="s">
        <v>1071</v>
      </c>
      <c r="K717" s="125" t="s">
        <v>1457</v>
      </c>
      <c r="L717" s="125" t="s">
        <v>1073</v>
      </c>
      <c r="M717" s="125" t="s">
        <v>510</v>
      </c>
      <c r="N717" s="126">
        <v>46246.82298611111</v>
      </c>
      <c r="O717" s="127">
        <v>19002207359</v>
      </c>
      <c r="P717" s="125">
        <v>0</v>
      </c>
      <c r="Q717" s="125" t="s">
        <v>1062</v>
      </c>
      <c r="R717" s="125" t="s">
        <v>1075</v>
      </c>
      <c r="S717" s="125" t="s">
        <v>1066</v>
      </c>
      <c r="T717" s="125" t="s">
        <v>3682</v>
      </c>
      <c r="U717" s="125" t="s">
        <v>1147</v>
      </c>
      <c r="V717" s="125" t="s">
        <v>1066</v>
      </c>
      <c r="W717" s="125" t="s">
        <v>1066</v>
      </c>
      <c r="X717" s="125" t="s">
        <v>983</v>
      </c>
      <c r="Y717" s="125" t="s">
        <v>1066</v>
      </c>
      <c r="Z717" s="125" t="s">
        <v>1318</v>
      </c>
      <c r="AA717" s="125" t="s">
        <v>1067</v>
      </c>
      <c r="AB717" s="125" t="s">
        <v>1066</v>
      </c>
      <c r="AC717" s="125" t="s">
        <v>92</v>
      </c>
      <c r="AD717" s="125" t="s">
        <v>1066</v>
      </c>
      <c r="AE717" s="125" t="s">
        <v>1066</v>
      </c>
      <c r="AF717" s="125" t="s">
        <v>1066</v>
      </c>
      <c r="AG717" s="125" t="s">
        <v>1066</v>
      </c>
      <c r="AH717" s="125" t="s">
        <v>1066</v>
      </c>
      <c r="AI717" s="125" t="s">
        <v>785</v>
      </c>
      <c r="AJ717" s="125">
        <v>8576741</v>
      </c>
      <c r="AK717" s="125" t="s">
        <v>415</v>
      </c>
      <c r="AL717" s="125">
        <v>784937</v>
      </c>
      <c r="AM717" s="125" t="s">
        <v>1066</v>
      </c>
      <c r="AN717" s="125" t="s">
        <v>1066</v>
      </c>
    </row>
    <row r="718" spans="1:40" ht="55.5" customHeight="1" x14ac:dyDescent="0.25">
      <c r="A718" s="111" t="s">
        <v>3683</v>
      </c>
      <c r="B718" s="112">
        <v>2026</v>
      </c>
      <c r="C718" s="112" t="s">
        <v>1251</v>
      </c>
      <c r="D718" s="113">
        <v>46031.603807870371</v>
      </c>
      <c r="E718" s="112">
        <v>9010243116</v>
      </c>
      <c r="F718" s="112" t="s">
        <v>43</v>
      </c>
      <c r="G718" s="112">
        <v>2</v>
      </c>
      <c r="H718" s="112">
        <v>7910243116</v>
      </c>
      <c r="I718" s="112" t="s">
        <v>3684</v>
      </c>
      <c r="J718" s="112" t="s">
        <v>1059</v>
      </c>
      <c r="K718" s="112" t="s">
        <v>1060</v>
      </c>
      <c r="L718" s="112" t="s">
        <v>1061</v>
      </c>
      <c r="M718" s="112" t="s">
        <v>478</v>
      </c>
      <c r="N718" s="113">
        <v>46431.603807870371</v>
      </c>
      <c r="O718" s="114">
        <v>19000137543</v>
      </c>
      <c r="P718" s="112">
        <v>187</v>
      </c>
      <c r="Q718" s="112" t="s">
        <v>1131</v>
      </c>
      <c r="R718" s="112" t="s">
        <v>1063</v>
      </c>
      <c r="S718" s="113">
        <v>46031.729166666664</v>
      </c>
      <c r="T718" s="112" t="s">
        <v>1253</v>
      </c>
      <c r="U718" s="112" t="s">
        <v>1065</v>
      </c>
      <c r="V718" s="112" t="s">
        <v>1066</v>
      </c>
      <c r="W718" s="112" t="s">
        <v>1066</v>
      </c>
      <c r="X718" s="112" t="s">
        <v>1066</v>
      </c>
      <c r="Y718" s="112" t="s">
        <v>1066</v>
      </c>
      <c r="Z718" s="112" t="s">
        <v>1066</v>
      </c>
      <c r="AA718" s="112" t="s">
        <v>1067</v>
      </c>
      <c r="AB718" s="112" t="s">
        <v>1066</v>
      </c>
      <c r="AC718" s="112" t="s">
        <v>92</v>
      </c>
      <c r="AD718" s="112" t="s">
        <v>1142</v>
      </c>
      <c r="AE718" s="112" t="s">
        <v>1066</v>
      </c>
      <c r="AF718" s="112" t="s">
        <v>1066</v>
      </c>
      <c r="AG718" s="112" t="s">
        <v>1066</v>
      </c>
      <c r="AH718" s="112" t="s">
        <v>1066</v>
      </c>
      <c r="AI718" s="112" t="s">
        <v>785</v>
      </c>
      <c r="AJ718" s="112">
        <v>8722140</v>
      </c>
      <c r="AK718" s="112" t="s">
        <v>215</v>
      </c>
      <c r="AL718" s="112">
        <v>849188</v>
      </c>
      <c r="AM718" s="112" t="s">
        <v>1066</v>
      </c>
      <c r="AN718" s="112" t="s">
        <v>1066</v>
      </c>
    </row>
    <row r="719" spans="1:40" ht="55.5" customHeight="1" x14ac:dyDescent="0.25">
      <c r="A719" s="124" t="s">
        <v>3685</v>
      </c>
      <c r="B719" s="125">
        <v>2026</v>
      </c>
      <c r="C719" s="125" t="s">
        <v>1449</v>
      </c>
      <c r="D719" s="126">
        <v>46244.660034722219</v>
      </c>
      <c r="E719" s="125">
        <v>7951919036</v>
      </c>
      <c r="F719" s="125" t="s">
        <v>1852</v>
      </c>
      <c r="G719" s="125">
        <v>2</v>
      </c>
      <c r="H719" s="125">
        <v>7951919036</v>
      </c>
      <c r="I719" s="125" t="s">
        <v>3686</v>
      </c>
      <c r="J719" s="125" t="s">
        <v>1066</v>
      </c>
      <c r="K719" s="125" t="s">
        <v>1125</v>
      </c>
      <c r="L719" s="125" t="s">
        <v>1061</v>
      </c>
      <c r="M719" s="125" t="s">
        <v>510</v>
      </c>
      <c r="N719" s="126">
        <v>46644.660034722219</v>
      </c>
      <c r="O719" s="127">
        <v>19002674689</v>
      </c>
      <c r="P719" s="125">
        <v>2.3940000000000001</v>
      </c>
      <c r="Q719" s="125" t="s">
        <v>1062</v>
      </c>
      <c r="R719" s="125" t="s">
        <v>1063</v>
      </c>
      <c r="S719" s="125" t="s">
        <v>1066</v>
      </c>
      <c r="T719" s="125" t="s">
        <v>3687</v>
      </c>
      <c r="U719" s="125" t="s">
        <v>1147</v>
      </c>
      <c r="V719" s="125" t="s">
        <v>1066</v>
      </c>
      <c r="W719" s="125" t="s">
        <v>1066</v>
      </c>
      <c r="X719" s="125" t="s">
        <v>1066</v>
      </c>
      <c r="Y719" s="125" t="s">
        <v>1066</v>
      </c>
      <c r="Z719" s="125" t="s">
        <v>1066</v>
      </c>
      <c r="AA719" s="125" t="s">
        <v>1067</v>
      </c>
      <c r="AB719" s="125" t="s">
        <v>1066</v>
      </c>
      <c r="AC719" s="125" t="s">
        <v>92</v>
      </c>
      <c r="AD719" s="125" t="s">
        <v>1066</v>
      </c>
      <c r="AE719" s="125" t="s">
        <v>1066</v>
      </c>
      <c r="AF719" s="125" t="s">
        <v>1066</v>
      </c>
      <c r="AG719" s="125" t="s">
        <v>1066</v>
      </c>
      <c r="AH719" s="125" t="s">
        <v>1066</v>
      </c>
      <c r="AI719" s="125" t="s">
        <v>785</v>
      </c>
      <c r="AJ719" s="125">
        <v>8619634</v>
      </c>
      <c r="AK719" s="125" t="s">
        <v>470</v>
      </c>
      <c r="AL719" s="125">
        <v>703519</v>
      </c>
      <c r="AM719" s="125" t="s">
        <v>1066</v>
      </c>
      <c r="AN719" s="125" t="s">
        <v>1066</v>
      </c>
    </row>
    <row r="720" spans="1:40" ht="55.5" customHeight="1" x14ac:dyDescent="0.25">
      <c r="A720" s="111" t="s">
        <v>3688</v>
      </c>
      <c r="B720" s="112">
        <v>2026</v>
      </c>
      <c r="C720" s="112" t="s">
        <v>1213</v>
      </c>
      <c r="D720" s="113">
        <v>46122.549942129626</v>
      </c>
      <c r="E720" s="112">
        <v>7930272004</v>
      </c>
      <c r="F720" s="112" t="s">
        <v>3689</v>
      </c>
      <c r="G720" s="112">
        <v>3</v>
      </c>
      <c r="H720" s="112">
        <v>7930272004</v>
      </c>
      <c r="I720" s="112" t="s">
        <v>3690</v>
      </c>
      <c r="J720" s="112" t="s">
        <v>1066</v>
      </c>
      <c r="K720" s="112" t="s">
        <v>1125</v>
      </c>
      <c r="L720" s="112" t="s">
        <v>1061</v>
      </c>
      <c r="M720" s="112" t="s">
        <v>478</v>
      </c>
      <c r="N720" s="113">
        <v>46522.549942129626</v>
      </c>
      <c r="O720" s="114">
        <v>19002204612</v>
      </c>
      <c r="P720" s="112">
        <v>2.6960000000000002</v>
      </c>
      <c r="Q720" s="112" t="s">
        <v>1062</v>
      </c>
      <c r="R720" s="112" t="s">
        <v>1063</v>
      </c>
      <c r="S720" s="113">
        <v>46125.459722222222</v>
      </c>
      <c r="T720" s="112" t="s">
        <v>3691</v>
      </c>
      <c r="U720" s="112" t="s">
        <v>1065</v>
      </c>
      <c r="V720" s="112" t="s">
        <v>1066</v>
      </c>
      <c r="W720" s="112" t="s">
        <v>1066</v>
      </c>
      <c r="X720" s="112" t="s">
        <v>1066</v>
      </c>
      <c r="Y720" s="112" t="s">
        <v>1066</v>
      </c>
      <c r="Z720" s="112" t="s">
        <v>1066</v>
      </c>
      <c r="AA720" s="112" t="s">
        <v>1067</v>
      </c>
      <c r="AB720" s="112" t="s">
        <v>1066</v>
      </c>
      <c r="AC720" s="112" t="s">
        <v>92</v>
      </c>
      <c r="AD720" s="112" t="s">
        <v>1066</v>
      </c>
      <c r="AE720" s="112" t="s">
        <v>1066</v>
      </c>
      <c r="AF720" s="112" t="s">
        <v>1066</v>
      </c>
      <c r="AG720" s="112" t="s">
        <v>1066</v>
      </c>
      <c r="AH720" s="112" t="s">
        <v>1066</v>
      </c>
      <c r="AI720" s="112" t="s">
        <v>785</v>
      </c>
      <c r="AJ720" s="112">
        <v>9205183</v>
      </c>
      <c r="AK720" s="112" t="s">
        <v>69</v>
      </c>
      <c r="AL720" s="112">
        <v>810025</v>
      </c>
      <c r="AM720" s="112" t="s">
        <v>1066</v>
      </c>
      <c r="AN720" s="112" t="s">
        <v>1066</v>
      </c>
    </row>
    <row r="721" spans="1:40" ht="55.5" customHeight="1" x14ac:dyDescent="0.25">
      <c r="A721" s="124" t="s">
        <v>3692</v>
      </c>
      <c r="B721" s="125">
        <v>2026</v>
      </c>
      <c r="C721" s="125" t="s">
        <v>1057</v>
      </c>
      <c r="D721" s="126">
        <v>46125.614548611113</v>
      </c>
      <c r="E721" s="125">
        <v>7929533010</v>
      </c>
      <c r="F721" s="125" t="s">
        <v>1613</v>
      </c>
      <c r="G721" s="125">
        <v>2</v>
      </c>
      <c r="H721" s="125">
        <v>7929533010</v>
      </c>
      <c r="I721" s="125" t="s">
        <v>3693</v>
      </c>
      <c r="J721" s="125" t="s">
        <v>1066</v>
      </c>
      <c r="K721" s="125" t="s">
        <v>1125</v>
      </c>
      <c r="L721" s="125" t="s">
        <v>1061</v>
      </c>
      <c r="M721" s="125" t="s">
        <v>510</v>
      </c>
      <c r="N721" s="126">
        <v>46525.614548611113</v>
      </c>
      <c r="O721" s="127">
        <v>19002203307</v>
      </c>
      <c r="P721" s="125">
        <v>1.472</v>
      </c>
      <c r="Q721" s="125" t="s">
        <v>1062</v>
      </c>
      <c r="R721" s="125" t="s">
        <v>1063</v>
      </c>
      <c r="S721" s="125" t="s">
        <v>1066</v>
      </c>
      <c r="T721" s="125" t="s">
        <v>3694</v>
      </c>
      <c r="U721" s="125" t="s">
        <v>621</v>
      </c>
      <c r="V721" s="125" t="s">
        <v>1066</v>
      </c>
      <c r="W721" s="125" t="s">
        <v>1066</v>
      </c>
      <c r="X721" s="125" t="s">
        <v>1066</v>
      </c>
      <c r="Y721" s="125" t="s">
        <v>1066</v>
      </c>
      <c r="Z721" s="125" t="s">
        <v>1066</v>
      </c>
      <c r="AA721" s="125" t="s">
        <v>1067</v>
      </c>
      <c r="AB721" s="125" t="s">
        <v>1066</v>
      </c>
      <c r="AC721" s="125" t="s">
        <v>92</v>
      </c>
      <c r="AD721" s="125" t="s">
        <v>1066</v>
      </c>
      <c r="AE721" s="125" t="s">
        <v>1066</v>
      </c>
      <c r="AF721" s="125" t="s">
        <v>1066</v>
      </c>
      <c r="AG721" s="125" t="s">
        <v>1066</v>
      </c>
      <c r="AH721" s="125" t="s">
        <v>1066</v>
      </c>
      <c r="AI721" s="125" t="s">
        <v>785</v>
      </c>
      <c r="AJ721" s="125">
        <v>8920975</v>
      </c>
      <c r="AK721" s="125" t="s">
        <v>1442</v>
      </c>
      <c r="AL721" s="125">
        <v>789973</v>
      </c>
      <c r="AM721" s="125" t="s">
        <v>1066</v>
      </c>
      <c r="AN721" s="125" t="s">
        <v>1066</v>
      </c>
    </row>
    <row r="722" spans="1:40" ht="55.5" customHeight="1" x14ac:dyDescent="0.25">
      <c r="A722" s="115" t="s">
        <v>3695</v>
      </c>
      <c r="B722" s="116">
        <v>2025</v>
      </c>
      <c r="C722" s="116" t="s">
        <v>3696</v>
      </c>
      <c r="D722" s="118">
        <v>46008.244733796295</v>
      </c>
      <c r="E722" s="116">
        <v>9001107084</v>
      </c>
      <c r="F722" s="116" t="s">
        <v>153</v>
      </c>
      <c r="G722" s="116">
        <v>2</v>
      </c>
      <c r="H722" s="116">
        <v>7901110084</v>
      </c>
      <c r="I722" s="116" t="s">
        <v>3697</v>
      </c>
      <c r="J722" s="116" t="s">
        <v>1071</v>
      </c>
      <c r="K722" s="116" t="s">
        <v>1099</v>
      </c>
      <c r="L722" s="116" t="s">
        <v>1073</v>
      </c>
      <c r="M722" s="116" t="s">
        <v>588</v>
      </c>
      <c r="N722" s="118">
        <v>46115.401701388888</v>
      </c>
      <c r="O722" s="119">
        <v>19000128195</v>
      </c>
      <c r="P722" s="116">
        <v>0</v>
      </c>
      <c r="Q722" s="116" t="s">
        <v>1131</v>
      </c>
      <c r="R722" s="116" t="s">
        <v>1075</v>
      </c>
      <c r="S722" s="116" t="s">
        <v>1066</v>
      </c>
      <c r="T722" s="116" t="s">
        <v>1066</v>
      </c>
      <c r="U722" s="116" t="s">
        <v>1066</v>
      </c>
      <c r="V722" s="116" t="s">
        <v>1066</v>
      </c>
      <c r="W722" s="116" t="s">
        <v>1066</v>
      </c>
      <c r="X722" s="116" t="s">
        <v>3698</v>
      </c>
      <c r="Y722" s="116" t="s">
        <v>1066</v>
      </c>
      <c r="Z722" s="116" t="s">
        <v>1101</v>
      </c>
      <c r="AA722" s="116" t="s">
        <v>1067</v>
      </c>
      <c r="AB722" s="116" t="s">
        <v>1066</v>
      </c>
      <c r="AC722" s="116" t="s">
        <v>92</v>
      </c>
      <c r="AD722" s="116" t="s">
        <v>1142</v>
      </c>
      <c r="AE722" s="116" t="s">
        <v>1066</v>
      </c>
      <c r="AF722" s="116" t="s">
        <v>1066</v>
      </c>
      <c r="AG722" s="116" t="s">
        <v>1066</v>
      </c>
      <c r="AH722" s="116" t="s">
        <v>1066</v>
      </c>
      <c r="AI722" s="116" t="s">
        <v>785</v>
      </c>
      <c r="AJ722" s="116">
        <v>8916959</v>
      </c>
      <c r="AK722" s="116" t="s">
        <v>1311</v>
      </c>
      <c r="AL722" s="116">
        <v>695579</v>
      </c>
      <c r="AM722" s="116" t="s">
        <v>1066</v>
      </c>
      <c r="AN722" s="116" t="s">
        <v>1066</v>
      </c>
    </row>
    <row r="723" spans="1:40" ht="55.5" customHeight="1" x14ac:dyDescent="0.25">
      <c r="A723" s="111" t="s">
        <v>3699</v>
      </c>
      <c r="B723" s="112">
        <v>2026</v>
      </c>
      <c r="C723" s="112" t="s">
        <v>1057</v>
      </c>
      <c r="D723" s="113">
        <v>46125.584386574075</v>
      </c>
      <c r="E723" s="112">
        <v>7902592003</v>
      </c>
      <c r="F723" s="112" t="s">
        <v>249</v>
      </c>
      <c r="G723" s="112">
        <v>3</v>
      </c>
      <c r="H723" s="112">
        <v>7902592003</v>
      </c>
      <c r="I723" s="112" t="s">
        <v>3700</v>
      </c>
      <c r="J723" s="112" t="s">
        <v>1066</v>
      </c>
      <c r="K723" s="112" t="s">
        <v>1125</v>
      </c>
      <c r="L723" s="112" t="s">
        <v>1061</v>
      </c>
      <c r="M723" s="112" t="s">
        <v>478</v>
      </c>
      <c r="N723" s="113">
        <v>46525.584386574075</v>
      </c>
      <c r="O723" s="114">
        <v>19002260247</v>
      </c>
      <c r="P723" s="112">
        <v>210</v>
      </c>
      <c r="Q723" s="112" t="s">
        <v>1062</v>
      </c>
      <c r="R723" s="112" t="s">
        <v>1063</v>
      </c>
      <c r="S723" s="113">
        <v>46157.508900462963</v>
      </c>
      <c r="T723" s="112" t="s">
        <v>3701</v>
      </c>
      <c r="U723" s="112" t="s">
        <v>1065</v>
      </c>
      <c r="V723" s="112" t="s">
        <v>1066</v>
      </c>
      <c r="W723" s="112" t="s">
        <v>1066</v>
      </c>
      <c r="X723" s="112" t="s">
        <v>1066</v>
      </c>
      <c r="Y723" s="112" t="s">
        <v>1066</v>
      </c>
      <c r="Z723" s="112" t="s">
        <v>1066</v>
      </c>
      <c r="AA723" s="112" t="s">
        <v>1067</v>
      </c>
      <c r="AB723" s="112" t="s">
        <v>1066</v>
      </c>
      <c r="AC723" s="112" t="s">
        <v>92</v>
      </c>
      <c r="AD723" s="112" t="s">
        <v>1066</v>
      </c>
      <c r="AE723" s="112" t="s">
        <v>1066</v>
      </c>
      <c r="AF723" s="112" t="s">
        <v>1066</v>
      </c>
      <c r="AG723" s="112" t="s">
        <v>1066</v>
      </c>
      <c r="AH723" s="112" t="s">
        <v>1066</v>
      </c>
      <c r="AI723" s="112" t="s">
        <v>785</v>
      </c>
      <c r="AJ723" s="112">
        <v>8694465</v>
      </c>
      <c r="AK723" s="112" t="s">
        <v>210</v>
      </c>
      <c r="AL723" s="112">
        <v>712294</v>
      </c>
      <c r="AM723" s="112" t="s">
        <v>1066</v>
      </c>
      <c r="AN723" s="112" t="s">
        <v>1066</v>
      </c>
    </row>
    <row r="724" spans="1:40" ht="55.5" customHeight="1" x14ac:dyDescent="0.25">
      <c r="A724" s="111" t="s">
        <v>3702</v>
      </c>
      <c r="B724" s="112">
        <v>2026</v>
      </c>
      <c r="C724" s="112" t="s">
        <v>3703</v>
      </c>
      <c r="D724" s="113">
        <v>46118.643680555557</v>
      </c>
      <c r="E724" s="112">
        <v>363312015</v>
      </c>
      <c r="F724" s="112" t="s">
        <v>88</v>
      </c>
      <c r="G724" s="112">
        <v>3</v>
      </c>
      <c r="H724" s="112">
        <v>7954395015</v>
      </c>
      <c r="I724" s="112" t="s">
        <v>3704</v>
      </c>
      <c r="J724" s="112" t="s">
        <v>1231</v>
      </c>
      <c r="K724" s="112" t="s">
        <v>1232</v>
      </c>
      <c r="L724" s="112" t="s">
        <v>1084</v>
      </c>
      <c r="M724" s="112" t="s">
        <v>478</v>
      </c>
      <c r="N724" s="113">
        <v>46215.650509259256</v>
      </c>
      <c r="O724" s="114">
        <v>19002830031</v>
      </c>
      <c r="P724" s="112">
        <v>7</v>
      </c>
      <c r="Q724" s="112" t="s">
        <v>1131</v>
      </c>
      <c r="R724" s="112" t="s">
        <v>1206</v>
      </c>
      <c r="S724" s="113">
        <v>46170.595138888886</v>
      </c>
      <c r="T724" s="112" t="s">
        <v>3705</v>
      </c>
      <c r="U724" s="112" t="s">
        <v>1065</v>
      </c>
      <c r="V724" s="112" t="s">
        <v>1066</v>
      </c>
      <c r="W724" s="112" t="s">
        <v>1066</v>
      </c>
      <c r="X724" s="112" t="s">
        <v>1066</v>
      </c>
      <c r="Y724" s="112" t="s">
        <v>1066</v>
      </c>
      <c r="Z724" s="112" t="s">
        <v>1066</v>
      </c>
      <c r="AA724" s="112" t="s">
        <v>1067</v>
      </c>
      <c r="AB724" s="112" t="s">
        <v>1066</v>
      </c>
      <c r="AC724" s="112" t="s">
        <v>92</v>
      </c>
      <c r="AD724" s="112" t="s">
        <v>1066</v>
      </c>
      <c r="AE724" s="112" t="s">
        <v>1066</v>
      </c>
      <c r="AF724" s="112" t="s">
        <v>1066</v>
      </c>
      <c r="AG724" s="112" t="s">
        <v>1066</v>
      </c>
      <c r="AH724" s="112" t="s">
        <v>3706</v>
      </c>
      <c r="AI724" s="112" t="s">
        <v>785</v>
      </c>
      <c r="AJ724" s="112">
        <v>8970816</v>
      </c>
      <c r="AK724" s="112" t="s">
        <v>288</v>
      </c>
      <c r="AL724" s="112">
        <v>832949</v>
      </c>
      <c r="AM724" s="112" t="s">
        <v>1066</v>
      </c>
      <c r="AN724" s="112" t="s">
        <v>1066</v>
      </c>
    </row>
    <row r="725" spans="1:40" ht="55.5" customHeight="1" x14ac:dyDescent="0.25">
      <c r="A725" s="115" t="s">
        <v>3707</v>
      </c>
      <c r="B725" s="116">
        <v>2026</v>
      </c>
      <c r="C725" s="116" t="s">
        <v>3708</v>
      </c>
      <c r="D725" s="118">
        <v>46062.904270833336</v>
      </c>
      <c r="E725" s="116" t="s">
        <v>1066</v>
      </c>
      <c r="F725" s="116" t="s">
        <v>191</v>
      </c>
      <c r="G725" s="116" t="s">
        <v>1066</v>
      </c>
      <c r="H725" s="116">
        <v>5800291077</v>
      </c>
      <c r="I725" s="116" t="s">
        <v>3709</v>
      </c>
      <c r="J725" s="116" t="s">
        <v>1071</v>
      </c>
      <c r="K725" s="116" t="s">
        <v>1958</v>
      </c>
      <c r="L725" s="116" t="s">
        <v>1073</v>
      </c>
      <c r="M725" s="116" t="s">
        <v>588</v>
      </c>
      <c r="N725" s="118">
        <v>46066.692858796298</v>
      </c>
      <c r="O725" s="119">
        <v>19002682051</v>
      </c>
      <c r="P725" s="116">
        <v>0</v>
      </c>
      <c r="Q725" s="116" t="s">
        <v>1074</v>
      </c>
      <c r="R725" s="116" t="s">
        <v>1263</v>
      </c>
      <c r="S725" s="116" t="s">
        <v>1066</v>
      </c>
      <c r="T725" s="116" t="s">
        <v>1066</v>
      </c>
      <c r="U725" s="116" t="s">
        <v>1066</v>
      </c>
      <c r="V725" s="116" t="s">
        <v>1066</v>
      </c>
      <c r="W725" s="116" t="s">
        <v>1066</v>
      </c>
      <c r="X725" s="116" t="s">
        <v>3710</v>
      </c>
      <c r="Y725" s="116" t="s">
        <v>1066</v>
      </c>
      <c r="Z725" s="116" t="s">
        <v>1174</v>
      </c>
      <c r="AA725" s="116" t="s">
        <v>1067</v>
      </c>
      <c r="AB725" s="116" t="s">
        <v>1066</v>
      </c>
      <c r="AC725" s="116" t="s">
        <v>92</v>
      </c>
      <c r="AD725" s="116" t="s">
        <v>1066</v>
      </c>
      <c r="AE725" s="116" t="s">
        <v>1066</v>
      </c>
      <c r="AF725" s="116" t="s">
        <v>1066</v>
      </c>
      <c r="AG725" s="116" t="s">
        <v>1066</v>
      </c>
      <c r="AH725" s="116" t="s">
        <v>1066</v>
      </c>
      <c r="AI725" s="116" t="s">
        <v>785</v>
      </c>
      <c r="AJ725" s="116">
        <v>9145471</v>
      </c>
      <c r="AK725" s="116" t="s">
        <v>190</v>
      </c>
      <c r="AL725" s="116">
        <v>905726</v>
      </c>
      <c r="AM725" s="116" t="s">
        <v>1066</v>
      </c>
      <c r="AN725" s="116" t="s">
        <v>1066</v>
      </c>
    </row>
    <row r="726" spans="1:40" ht="55.5" customHeight="1" x14ac:dyDescent="0.25">
      <c r="A726" s="111" t="s">
        <v>3711</v>
      </c>
      <c r="B726" s="112">
        <v>2026</v>
      </c>
      <c r="C726" s="112" t="s">
        <v>1213</v>
      </c>
      <c r="D726" s="113">
        <v>46122.549942129626</v>
      </c>
      <c r="E726" s="112">
        <v>7925150058</v>
      </c>
      <c r="F726" s="112" t="s">
        <v>284</v>
      </c>
      <c r="G726" s="112">
        <v>2</v>
      </c>
      <c r="H726" s="112">
        <v>7925150058</v>
      </c>
      <c r="I726" s="112" t="s">
        <v>3712</v>
      </c>
      <c r="J726" s="112" t="s">
        <v>1066</v>
      </c>
      <c r="K726" s="112" t="s">
        <v>1125</v>
      </c>
      <c r="L726" s="112" t="s">
        <v>1061</v>
      </c>
      <c r="M726" s="112" t="s">
        <v>478</v>
      </c>
      <c r="N726" s="113">
        <v>46522.549942129626</v>
      </c>
      <c r="O726" s="114">
        <v>19002696836</v>
      </c>
      <c r="P726" s="112">
        <v>2.4630000000000001</v>
      </c>
      <c r="Q726" s="112" t="s">
        <v>1062</v>
      </c>
      <c r="R726" s="112" t="s">
        <v>1063</v>
      </c>
      <c r="S726" s="113">
        <v>46127.393055555556</v>
      </c>
      <c r="T726" s="112" t="s">
        <v>3713</v>
      </c>
      <c r="U726" s="112" t="s">
        <v>1065</v>
      </c>
      <c r="V726" s="112" t="s">
        <v>1066</v>
      </c>
      <c r="W726" s="112" t="s">
        <v>1066</v>
      </c>
      <c r="X726" s="112" t="s">
        <v>1066</v>
      </c>
      <c r="Y726" s="112" t="s">
        <v>1066</v>
      </c>
      <c r="Z726" s="112" t="s">
        <v>1066</v>
      </c>
      <c r="AA726" s="112" t="s">
        <v>1067</v>
      </c>
      <c r="AB726" s="112" t="s">
        <v>1066</v>
      </c>
      <c r="AC726" s="112" t="s">
        <v>92</v>
      </c>
      <c r="AD726" s="112" t="s">
        <v>1066</v>
      </c>
      <c r="AE726" s="112" t="s">
        <v>1066</v>
      </c>
      <c r="AF726" s="112" t="s">
        <v>1066</v>
      </c>
      <c r="AG726" s="112" t="s">
        <v>1066</v>
      </c>
      <c r="AH726" s="112" t="s">
        <v>1066</v>
      </c>
      <c r="AI726" s="112" t="s">
        <v>785</v>
      </c>
      <c r="AJ726" s="112">
        <v>9208816</v>
      </c>
      <c r="AK726" s="112" t="s">
        <v>283</v>
      </c>
      <c r="AL726" s="112">
        <v>756176</v>
      </c>
      <c r="AM726" s="112" t="s">
        <v>1066</v>
      </c>
      <c r="AN726" s="112" t="s">
        <v>1066</v>
      </c>
    </row>
    <row r="727" spans="1:40" ht="55.5" customHeight="1" x14ac:dyDescent="0.25">
      <c r="A727" s="111" t="s">
        <v>3714</v>
      </c>
      <c r="B727" s="112">
        <v>2026</v>
      </c>
      <c r="C727" s="112" t="s">
        <v>1213</v>
      </c>
      <c r="D727" s="113">
        <v>46122.549942129626</v>
      </c>
      <c r="E727" s="112">
        <v>7925713040</v>
      </c>
      <c r="F727" s="112" t="s">
        <v>284</v>
      </c>
      <c r="G727" s="112">
        <v>3</v>
      </c>
      <c r="H727" s="112">
        <v>7925713040</v>
      </c>
      <c r="I727" s="112" t="s">
        <v>3715</v>
      </c>
      <c r="J727" s="112" t="s">
        <v>1066</v>
      </c>
      <c r="K727" s="112" t="s">
        <v>1125</v>
      </c>
      <c r="L727" s="112" t="s">
        <v>1061</v>
      </c>
      <c r="M727" s="112" t="s">
        <v>478</v>
      </c>
      <c r="N727" s="113">
        <v>46522.549942129626</v>
      </c>
      <c r="O727" s="114">
        <v>19002205851</v>
      </c>
      <c r="P727" s="112">
        <v>1.1020000000000001</v>
      </c>
      <c r="Q727" s="112" t="s">
        <v>1062</v>
      </c>
      <c r="R727" s="112" t="s">
        <v>1063</v>
      </c>
      <c r="S727" s="113">
        <v>46134.729166666664</v>
      </c>
      <c r="T727" s="112" t="s">
        <v>3716</v>
      </c>
      <c r="U727" s="112" t="s">
        <v>1065</v>
      </c>
      <c r="V727" s="112" t="s">
        <v>1066</v>
      </c>
      <c r="W727" s="112" t="s">
        <v>1066</v>
      </c>
      <c r="X727" s="112" t="s">
        <v>1066</v>
      </c>
      <c r="Y727" s="112" t="s">
        <v>1066</v>
      </c>
      <c r="Z727" s="112" t="s">
        <v>1066</v>
      </c>
      <c r="AA727" s="112" t="s">
        <v>1067</v>
      </c>
      <c r="AB727" s="112" t="s">
        <v>1066</v>
      </c>
      <c r="AC727" s="112" t="s">
        <v>92</v>
      </c>
      <c r="AD727" s="112" t="s">
        <v>1066</v>
      </c>
      <c r="AE727" s="112" t="s">
        <v>1066</v>
      </c>
      <c r="AF727" s="112" t="s">
        <v>1066</v>
      </c>
      <c r="AG727" s="112" t="s">
        <v>1066</v>
      </c>
      <c r="AH727" s="112" t="s">
        <v>1066</v>
      </c>
      <c r="AI727" s="112" t="s">
        <v>785</v>
      </c>
      <c r="AJ727" s="112">
        <v>9243192</v>
      </c>
      <c r="AK727" s="112" t="s">
        <v>521</v>
      </c>
      <c r="AL727" s="112">
        <v>753963</v>
      </c>
      <c r="AM727" s="112" t="s">
        <v>1066</v>
      </c>
      <c r="AN727" s="112" t="s">
        <v>1066</v>
      </c>
    </row>
    <row r="728" spans="1:40" ht="55.5" customHeight="1" x14ac:dyDescent="0.25">
      <c r="A728" s="111" t="s">
        <v>3717</v>
      </c>
      <c r="B728" s="112">
        <v>2026</v>
      </c>
      <c r="C728" s="112" t="s">
        <v>1057</v>
      </c>
      <c r="D728" s="113">
        <v>46125.614548611113</v>
      </c>
      <c r="E728" s="112">
        <v>7931590073</v>
      </c>
      <c r="F728" s="112" t="s">
        <v>3423</v>
      </c>
      <c r="G728" s="112">
        <v>2</v>
      </c>
      <c r="H728" s="112">
        <v>7931590073</v>
      </c>
      <c r="I728" s="112" t="s">
        <v>3718</v>
      </c>
      <c r="J728" s="112" t="s">
        <v>1066</v>
      </c>
      <c r="K728" s="112" t="s">
        <v>1125</v>
      </c>
      <c r="L728" s="112" t="s">
        <v>1061</v>
      </c>
      <c r="M728" s="112" t="s">
        <v>478</v>
      </c>
      <c r="N728" s="113">
        <v>46525.614548611113</v>
      </c>
      <c r="O728" s="114">
        <v>19002211892</v>
      </c>
      <c r="P728" s="112">
        <v>649</v>
      </c>
      <c r="Q728" s="112" t="s">
        <v>1062</v>
      </c>
      <c r="R728" s="112" t="s">
        <v>1063</v>
      </c>
      <c r="S728" s="113">
        <v>46174.3125</v>
      </c>
      <c r="T728" s="112" t="s">
        <v>1307</v>
      </c>
      <c r="U728" s="112" t="s">
        <v>1065</v>
      </c>
      <c r="V728" s="112" t="s">
        <v>1066</v>
      </c>
      <c r="W728" s="112" t="s">
        <v>1066</v>
      </c>
      <c r="X728" s="112" t="s">
        <v>1066</v>
      </c>
      <c r="Y728" s="112" t="s">
        <v>1066</v>
      </c>
      <c r="Z728" s="112" t="s">
        <v>1066</v>
      </c>
      <c r="AA728" s="112" t="s">
        <v>1067</v>
      </c>
      <c r="AB728" s="112" t="s">
        <v>1066</v>
      </c>
      <c r="AC728" s="112" t="s">
        <v>92</v>
      </c>
      <c r="AD728" s="112" t="s">
        <v>1066</v>
      </c>
      <c r="AE728" s="112" t="s">
        <v>1066</v>
      </c>
      <c r="AF728" s="112" t="s">
        <v>1066</v>
      </c>
      <c r="AG728" s="112" t="s">
        <v>1066</v>
      </c>
      <c r="AH728" s="112" t="s">
        <v>1066</v>
      </c>
      <c r="AI728" s="112" t="s">
        <v>785</v>
      </c>
      <c r="AJ728" s="112">
        <v>8793862</v>
      </c>
      <c r="AK728" s="112" t="s">
        <v>1166</v>
      </c>
      <c r="AL728" s="112">
        <v>625302</v>
      </c>
      <c r="AM728" s="112" t="s">
        <v>1066</v>
      </c>
      <c r="AN728" s="112" t="s">
        <v>1066</v>
      </c>
    </row>
    <row r="729" spans="1:40" ht="55.5" customHeight="1" x14ac:dyDescent="0.25">
      <c r="A729" s="120" t="s">
        <v>3719</v>
      </c>
      <c r="B729" s="121">
        <v>2026</v>
      </c>
      <c r="C729" s="121" t="s">
        <v>3720</v>
      </c>
      <c r="D729" s="122">
        <v>45884.034768518519</v>
      </c>
      <c r="E729" s="121" t="s">
        <v>3721</v>
      </c>
      <c r="F729" s="121" t="s">
        <v>3721</v>
      </c>
      <c r="G729" s="121">
        <v>1</v>
      </c>
      <c r="H729" s="121">
        <v>5850308009</v>
      </c>
      <c r="I729" s="121" t="s">
        <v>3722</v>
      </c>
      <c r="J729" s="121" t="s">
        <v>1071</v>
      </c>
      <c r="K729" s="121" t="s">
        <v>1130</v>
      </c>
      <c r="L729" s="121" t="s">
        <v>1073</v>
      </c>
      <c r="M729" s="121" t="s">
        <v>1116</v>
      </c>
      <c r="N729" s="122">
        <v>46213.648599537039</v>
      </c>
      <c r="O729" s="123">
        <v>19002643979</v>
      </c>
      <c r="P729" s="121">
        <v>3.395</v>
      </c>
      <c r="Q729" s="121" t="s">
        <v>1074</v>
      </c>
      <c r="R729" s="121" t="s">
        <v>1075</v>
      </c>
      <c r="S729" s="122">
        <v>46216.813634259262</v>
      </c>
      <c r="T729" s="121" t="s">
        <v>1066</v>
      </c>
      <c r="U729" s="121" t="s">
        <v>1066</v>
      </c>
      <c r="V729" s="121" t="s">
        <v>1066</v>
      </c>
      <c r="W729" s="121" t="s">
        <v>1066</v>
      </c>
      <c r="X729" s="121" t="s">
        <v>1318</v>
      </c>
      <c r="Y729" s="121" t="s">
        <v>1066</v>
      </c>
      <c r="Z729" s="121" t="s">
        <v>2311</v>
      </c>
      <c r="AA729" s="121" t="s">
        <v>1067</v>
      </c>
      <c r="AB729" s="121" t="s">
        <v>1066</v>
      </c>
      <c r="AC729" s="121" t="s">
        <v>92</v>
      </c>
      <c r="AD729" s="121" t="s">
        <v>1066</v>
      </c>
      <c r="AE729" s="121" t="s">
        <v>1066</v>
      </c>
      <c r="AF729" s="121" t="s">
        <v>1066</v>
      </c>
      <c r="AG729" s="121" t="s">
        <v>1066</v>
      </c>
      <c r="AH729" s="121" t="s">
        <v>3723</v>
      </c>
      <c r="AI729" s="121" t="s">
        <v>785</v>
      </c>
      <c r="AJ729" s="121">
        <v>9023715</v>
      </c>
      <c r="AK729" s="121" t="s">
        <v>106</v>
      </c>
      <c r="AL729" s="121">
        <v>775230</v>
      </c>
      <c r="AM729" s="121" t="s">
        <v>1066</v>
      </c>
      <c r="AN729" s="121" t="s">
        <v>1066</v>
      </c>
    </row>
    <row r="730" spans="1:40" ht="55.5" customHeight="1" x14ac:dyDescent="0.25">
      <c r="A730" s="111" t="s">
        <v>3724</v>
      </c>
      <c r="B730" s="112">
        <v>2026</v>
      </c>
      <c r="C730" s="112" t="s">
        <v>3725</v>
      </c>
      <c r="D730" s="113">
        <v>46049.541747685187</v>
      </c>
      <c r="E730" s="112">
        <v>8800028068</v>
      </c>
      <c r="F730" s="112" t="s">
        <v>2446</v>
      </c>
      <c r="G730" s="112">
        <v>2</v>
      </c>
      <c r="H730" s="112">
        <v>7924920068</v>
      </c>
      <c r="I730" s="112" t="s">
        <v>3726</v>
      </c>
      <c r="J730" s="112" t="s">
        <v>1071</v>
      </c>
      <c r="K730" s="112" t="s">
        <v>1130</v>
      </c>
      <c r="L730" s="112" t="s">
        <v>1073</v>
      </c>
      <c r="M730" s="112" t="s">
        <v>478</v>
      </c>
      <c r="N730" s="113">
        <v>46052.541747685187</v>
      </c>
      <c r="O730" s="114">
        <v>19001241264</v>
      </c>
      <c r="P730" s="112">
        <v>4.3890000000000002</v>
      </c>
      <c r="Q730" s="112" t="s">
        <v>1131</v>
      </c>
      <c r="R730" s="112" t="s">
        <v>1075</v>
      </c>
      <c r="S730" s="113">
        <v>46064.600694444445</v>
      </c>
      <c r="T730" s="112" t="s">
        <v>3727</v>
      </c>
      <c r="U730" s="112" t="s">
        <v>1065</v>
      </c>
      <c r="V730" s="112" t="s">
        <v>1066</v>
      </c>
      <c r="W730" s="112" t="s">
        <v>1066</v>
      </c>
      <c r="X730" s="112" t="s">
        <v>1117</v>
      </c>
      <c r="Y730" s="112" t="s">
        <v>1066</v>
      </c>
      <c r="Z730" s="112" t="s">
        <v>1133</v>
      </c>
      <c r="AA730" s="112" t="s">
        <v>1067</v>
      </c>
      <c r="AB730" s="112" t="s">
        <v>1066</v>
      </c>
      <c r="AC730" s="112" t="s">
        <v>92</v>
      </c>
      <c r="AD730" s="112" t="s">
        <v>1142</v>
      </c>
      <c r="AE730" s="112" t="s">
        <v>1066</v>
      </c>
      <c r="AF730" s="112" t="s">
        <v>1066</v>
      </c>
      <c r="AG730" s="112" t="s">
        <v>1066</v>
      </c>
      <c r="AH730" s="112" t="s">
        <v>1066</v>
      </c>
      <c r="AI730" s="112" t="s">
        <v>785</v>
      </c>
      <c r="AJ730" s="112">
        <v>9410615</v>
      </c>
      <c r="AK730" s="112" t="s">
        <v>3728</v>
      </c>
      <c r="AL730" s="112">
        <v>813051</v>
      </c>
      <c r="AM730" s="112" t="s">
        <v>1066</v>
      </c>
      <c r="AN730" s="112" t="s">
        <v>1066</v>
      </c>
    </row>
    <row r="731" spans="1:40" ht="55.5" customHeight="1" x14ac:dyDescent="0.25">
      <c r="A731" s="111" t="s">
        <v>3729</v>
      </c>
      <c r="B731" s="112">
        <v>2026</v>
      </c>
      <c r="C731" s="112" t="s">
        <v>1057</v>
      </c>
      <c r="D731" s="113">
        <v>46125.614548611113</v>
      </c>
      <c r="E731" s="112">
        <v>7905362122</v>
      </c>
      <c r="F731" s="112" t="s">
        <v>692</v>
      </c>
      <c r="G731" s="112">
        <v>1</v>
      </c>
      <c r="H731" s="112">
        <v>7905362122</v>
      </c>
      <c r="I731" s="112" t="s">
        <v>3730</v>
      </c>
      <c r="J731" s="112" t="s">
        <v>1066</v>
      </c>
      <c r="K731" s="112" t="s">
        <v>1125</v>
      </c>
      <c r="L731" s="112" t="s">
        <v>1061</v>
      </c>
      <c r="M731" s="112" t="s">
        <v>478</v>
      </c>
      <c r="N731" s="113">
        <v>46525.614548611113</v>
      </c>
      <c r="O731" s="114">
        <v>19002295923</v>
      </c>
      <c r="P731" s="112">
        <v>3.5419999999999998</v>
      </c>
      <c r="Q731" s="112" t="s">
        <v>1062</v>
      </c>
      <c r="R731" s="112" t="s">
        <v>1063</v>
      </c>
      <c r="S731" s="113">
        <v>46174.3125</v>
      </c>
      <c r="T731" s="112" t="s">
        <v>1307</v>
      </c>
      <c r="U731" s="112" t="s">
        <v>1065</v>
      </c>
      <c r="V731" s="112" t="s">
        <v>1066</v>
      </c>
      <c r="W731" s="112" t="s">
        <v>1066</v>
      </c>
      <c r="X731" s="112" t="s">
        <v>1066</v>
      </c>
      <c r="Y731" s="112" t="s">
        <v>1066</v>
      </c>
      <c r="Z731" s="112" t="s">
        <v>1066</v>
      </c>
      <c r="AA731" s="112" t="s">
        <v>1067</v>
      </c>
      <c r="AB731" s="112" t="s">
        <v>1066</v>
      </c>
      <c r="AC731" s="112" t="s">
        <v>92</v>
      </c>
      <c r="AD731" s="112" t="s">
        <v>1066</v>
      </c>
      <c r="AE731" s="112" t="s">
        <v>1066</v>
      </c>
      <c r="AF731" s="112" t="s">
        <v>1066</v>
      </c>
      <c r="AG731" s="112" t="s">
        <v>1066</v>
      </c>
      <c r="AH731" s="112" t="s">
        <v>1066</v>
      </c>
      <c r="AI731" s="112" t="s">
        <v>785</v>
      </c>
      <c r="AJ731" s="112">
        <v>8874357</v>
      </c>
      <c r="AK731" s="112" t="s">
        <v>264</v>
      </c>
      <c r="AL731" s="112">
        <v>791800</v>
      </c>
      <c r="AM731" s="112" t="s">
        <v>1066</v>
      </c>
      <c r="AN731" s="112" t="s">
        <v>1066</v>
      </c>
    </row>
    <row r="732" spans="1:40" ht="55.5" customHeight="1" x14ac:dyDescent="0.25">
      <c r="A732" s="111" t="s">
        <v>3731</v>
      </c>
      <c r="B732" s="112">
        <v>2026</v>
      </c>
      <c r="C732" s="112" t="s">
        <v>1240</v>
      </c>
      <c r="D732" s="113">
        <v>46183.597349537034</v>
      </c>
      <c r="E732" s="112">
        <v>7900052124</v>
      </c>
      <c r="F732" s="112" t="s">
        <v>3732</v>
      </c>
      <c r="G732" s="112">
        <v>3</v>
      </c>
      <c r="H732" s="112">
        <v>7900052124</v>
      </c>
      <c r="I732" s="112" t="s">
        <v>3733</v>
      </c>
      <c r="J732" s="112" t="s">
        <v>1066</v>
      </c>
      <c r="K732" s="112" t="s">
        <v>1125</v>
      </c>
      <c r="L732" s="112" t="s">
        <v>1061</v>
      </c>
      <c r="M732" s="112" t="s">
        <v>478</v>
      </c>
      <c r="N732" s="113">
        <v>46583.597349537034</v>
      </c>
      <c r="O732" s="114">
        <v>19002223543</v>
      </c>
      <c r="P732" s="112">
        <v>837</v>
      </c>
      <c r="Q732" s="112" t="s">
        <v>1062</v>
      </c>
      <c r="R732" s="112" t="s">
        <v>1063</v>
      </c>
      <c r="S732" s="113">
        <v>46198.729166666664</v>
      </c>
      <c r="T732" s="112" t="s">
        <v>3734</v>
      </c>
      <c r="U732" s="112" t="s">
        <v>1065</v>
      </c>
      <c r="V732" s="112" t="s">
        <v>1066</v>
      </c>
      <c r="W732" s="112" t="s">
        <v>1066</v>
      </c>
      <c r="X732" s="112" t="s">
        <v>1066</v>
      </c>
      <c r="Y732" s="112" t="s">
        <v>1066</v>
      </c>
      <c r="Z732" s="112" t="s">
        <v>1066</v>
      </c>
      <c r="AA732" s="112" t="s">
        <v>1067</v>
      </c>
      <c r="AB732" s="112" t="s">
        <v>1066</v>
      </c>
      <c r="AC732" s="112" t="s">
        <v>92</v>
      </c>
      <c r="AD732" s="112" t="s">
        <v>1066</v>
      </c>
      <c r="AE732" s="112" t="s">
        <v>1066</v>
      </c>
      <c r="AF732" s="112" t="s">
        <v>1066</v>
      </c>
      <c r="AG732" s="112" t="s">
        <v>1066</v>
      </c>
      <c r="AH732" s="112" t="s">
        <v>1066</v>
      </c>
      <c r="AI732" s="112" t="s">
        <v>785</v>
      </c>
      <c r="AJ732" s="112">
        <v>9288358</v>
      </c>
      <c r="AK732" s="112" t="s">
        <v>1234</v>
      </c>
      <c r="AL732" s="112">
        <v>818859</v>
      </c>
      <c r="AM732" s="112" t="s">
        <v>1066</v>
      </c>
      <c r="AN732" s="112" t="s">
        <v>1066</v>
      </c>
    </row>
    <row r="733" spans="1:40" ht="55.5" customHeight="1" x14ac:dyDescent="0.25">
      <c r="A733" s="111" t="s">
        <v>3735</v>
      </c>
      <c r="B733" s="112">
        <v>2026</v>
      </c>
      <c r="C733" s="112" t="s">
        <v>1251</v>
      </c>
      <c r="D733" s="113">
        <v>46031.603807870371</v>
      </c>
      <c r="E733" s="112">
        <v>7913666038</v>
      </c>
      <c r="F733" s="112" t="s">
        <v>674</v>
      </c>
      <c r="G733" s="112">
        <v>2</v>
      </c>
      <c r="H733" s="112">
        <v>7913666038</v>
      </c>
      <c r="I733" s="112" t="s">
        <v>3736</v>
      </c>
      <c r="J733" s="112" t="s">
        <v>1059</v>
      </c>
      <c r="K733" s="112" t="s">
        <v>1060</v>
      </c>
      <c r="L733" s="112" t="s">
        <v>1061</v>
      </c>
      <c r="M733" s="112" t="s">
        <v>478</v>
      </c>
      <c r="N733" s="113">
        <v>46431.603807870371</v>
      </c>
      <c r="O733" s="114">
        <v>19002220354</v>
      </c>
      <c r="P733" s="112">
        <v>226</v>
      </c>
      <c r="Q733" s="112" t="s">
        <v>1062</v>
      </c>
      <c r="R733" s="112" t="s">
        <v>1063</v>
      </c>
      <c r="S733" s="113">
        <v>46031.729166666664</v>
      </c>
      <c r="T733" s="112" t="s">
        <v>1253</v>
      </c>
      <c r="U733" s="112" t="s">
        <v>1065</v>
      </c>
      <c r="V733" s="112" t="s">
        <v>1066</v>
      </c>
      <c r="W733" s="112" t="s">
        <v>1066</v>
      </c>
      <c r="X733" s="112" t="s">
        <v>1066</v>
      </c>
      <c r="Y733" s="112" t="s">
        <v>1066</v>
      </c>
      <c r="Z733" s="112" t="s">
        <v>1066</v>
      </c>
      <c r="AA733" s="112" t="s">
        <v>1067</v>
      </c>
      <c r="AB733" s="112" t="s">
        <v>1066</v>
      </c>
      <c r="AC733" s="112" t="s">
        <v>92</v>
      </c>
      <c r="AD733" s="112" t="s">
        <v>1066</v>
      </c>
      <c r="AE733" s="112" t="s">
        <v>1066</v>
      </c>
      <c r="AF733" s="112" t="s">
        <v>1066</v>
      </c>
      <c r="AG733" s="112" t="s">
        <v>1066</v>
      </c>
      <c r="AH733" s="112" t="s">
        <v>1066</v>
      </c>
      <c r="AI733" s="112" t="s">
        <v>785</v>
      </c>
      <c r="AJ733" s="112">
        <v>8639537</v>
      </c>
      <c r="AK733" s="112" t="s">
        <v>627</v>
      </c>
      <c r="AL733" s="112">
        <v>996039</v>
      </c>
      <c r="AM733" s="112" t="s">
        <v>1066</v>
      </c>
      <c r="AN733" s="112" t="s">
        <v>1066</v>
      </c>
    </row>
    <row r="734" spans="1:40" ht="55.5" customHeight="1" x14ac:dyDescent="0.25">
      <c r="A734" s="111" t="s">
        <v>3737</v>
      </c>
      <c r="B734" s="112">
        <v>2026</v>
      </c>
      <c r="C734" s="112" t="s">
        <v>3738</v>
      </c>
      <c r="D734" s="113">
        <v>46051.580266203702</v>
      </c>
      <c r="E734" s="112">
        <v>3363973027</v>
      </c>
      <c r="F734" s="112" t="s">
        <v>674</v>
      </c>
      <c r="G734" s="112">
        <v>3</v>
      </c>
      <c r="H734" s="112">
        <v>7963997027</v>
      </c>
      <c r="I734" s="112" t="s">
        <v>3739</v>
      </c>
      <c r="J734" s="112" t="s">
        <v>1231</v>
      </c>
      <c r="K734" s="112" t="s">
        <v>1232</v>
      </c>
      <c r="L734" s="112" t="s">
        <v>1084</v>
      </c>
      <c r="M734" s="112" t="s">
        <v>478</v>
      </c>
      <c r="N734" s="113">
        <v>46115.723599537036</v>
      </c>
      <c r="O734" s="114">
        <v>19002822567</v>
      </c>
      <c r="P734" s="112">
        <v>56</v>
      </c>
      <c r="Q734" s="112" t="s">
        <v>1131</v>
      </c>
      <c r="R734" s="112" t="s">
        <v>1206</v>
      </c>
      <c r="S734" s="113">
        <v>46058.761967592596</v>
      </c>
      <c r="T734" s="112" t="s">
        <v>3740</v>
      </c>
      <c r="U734" s="112" t="s">
        <v>1065</v>
      </c>
      <c r="V734" s="112" t="s">
        <v>1066</v>
      </c>
      <c r="W734" s="112" t="s">
        <v>1066</v>
      </c>
      <c r="X734" s="112" t="s">
        <v>983</v>
      </c>
      <c r="Y734" s="112" t="s">
        <v>1066</v>
      </c>
      <c r="Z734" s="112" t="s">
        <v>1066</v>
      </c>
      <c r="AA734" s="112" t="s">
        <v>1067</v>
      </c>
      <c r="AB734" s="112" t="s">
        <v>1066</v>
      </c>
      <c r="AC734" s="112" t="s">
        <v>92</v>
      </c>
      <c r="AD734" s="112" t="s">
        <v>1066</v>
      </c>
      <c r="AE734" s="112" t="s">
        <v>1066</v>
      </c>
      <c r="AF734" s="112" t="s">
        <v>1066</v>
      </c>
      <c r="AG734" s="112" t="s">
        <v>1066</v>
      </c>
      <c r="AH734" s="112" t="s">
        <v>3741</v>
      </c>
      <c r="AI734" s="112" t="s">
        <v>785</v>
      </c>
      <c r="AJ734" s="112">
        <v>8671839</v>
      </c>
      <c r="AK734" s="112" t="s">
        <v>2081</v>
      </c>
      <c r="AL734" s="112">
        <v>990411</v>
      </c>
      <c r="AM734" s="112" t="s">
        <v>1066</v>
      </c>
      <c r="AN734" s="112" t="s">
        <v>1066</v>
      </c>
    </row>
    <row r="735" spans="1:40" ht="55.5" customHeight="1" x14ac:dyDescent="0.25">
      <c r="A735" s="111" t="s">
        <v>3742</v>
      </c>
      <c r="B735" s="112">
        <v>2026</v>
      </c>
      <c r="C735" s="112" t="s">
        <v>1210</v>
      </c>
      <c r="D735" s="113">
        <v>46114.608900462961</v>
      </c>
      <c r="E735" s="112">
        <v>7930581123</v>
      </c>
      <c r="F735" s="112" t="s">
        <v>260</v>
      </c>
      <c r="G735" s="112">
        <v>1</v>
      </c>
      <c r="H735" s="112">
        <v>7930581123</v>
      </c>
      <c r="I735" s="112" t="s">
        <v>3743</v>
      </c>
      <c r="J735" s="112" t="s">
        <v>1066</v>
      </c>
      <c r="K735" s="112" t="s">
        <v>1125</v>
      </c>
      <c r="L735" s="112" t="s">
        <v>1061</v>
      </c>
      <c r="M735" s="112" t="s">
        <v>478</v>
      </c>
      <c r="N735" s="113">
        <v>46514.608900462961</v>
      </c>
      <c r="O735" s="114">
        <v>19002207837</v>
      </c>
      <c r="P735" s="112">
        <v>0</v>
      </c>
      <c r="Q735" s="112" t="s">
        <v>1062</v>
      </c>
      <c r="R735" s="112" t="s">
        <v>1063</v>
      </c>
      <c r="S735" s="113">
        <v>46169.739745370367</v>
      </c>
      <c r="T735" s="112" t="s">
        <v>3744</v>
      </c>
      <c r="U735" s="112" t="s">
        <v>1065</v>
      </c>
      <c r="V735" s="112" t="s">
        <v>1066</v>
      </c>
      <c r="W735" s="112" t="s">
        <v>1066</v>
      </c>
      <c r="X735" s="112" t="s">
        <v>1066</v>
      </c>
      <c r="Y735" s="112" t="s">
        <v>1066</v>
      </c>
      <c r="Z735" s="112" t="s">
        <v>1066</v>
      </c>
      <c r="AA735" s="112" t="s">
        <v>1067</v>
      </c>
      <c r="AB735" s="112" t="s">
        <v>1066</v>
      </c>
      <c r="AC735" s="112" t="s">
        <v>92</v>
      </c>
      <c r="AD735" s="112" t="s">
        <v>1066</v>
      </c>
      <c r="AE735" s="112" t="s">
        <v>1066</v>
      </c>
      <c r="AF735" s="112" t="s">
        <v>1066</v>
      </c>
      <c r="AG735" s="112" t="s">
        <v>1066</v>
      </c>
      <c r="AH735" s="112" t="s">
        <v>1066</v>
      </c>
      <c r="AI735" s="112" t="s">
        <v>785</v>
      </c>
      <c r="AJ735" s="112">
        <v>9280894</v>
      </c>
      <c r="AK735" s="112" t="s">
        <v>3745</v>
      </c>
      <c r="AL735" s="112">
        <v>889170</v>
      </c>
      <c r="AM735" s="112" t="s">
        <v>1066</v>
      </c>
      <c r="AN735" s="112" t="s">
        <v>1066</v>
      </c>
    </row>
    <row r="736" spans="1:40" ht="55.5" customHeight="1" x14ac:dyDescent="0.25">
      <c r="A736" s="111" t="s">
        <v>3746</v>
      </c>
      <c r="B736" s="112">
        <v>2026</v>
      </c>
      <c r="C736" s="112" t="s">
        <v>1210</v>
      </c>
      <c r="D736" s="113">
        <v>46114.608900462961</v>
      </c>
      <c r="E736" s="112">
        <v>7955792076</v>
      </c>
      <c r="F736" s="112" t="s">
        <v>663</v>
      </c>
      <c r="G736" s="112">
        <v>3</v>
      </c>
      <c r="H736" s="112">
        <v>7955792076</v>
      </c>
      <c r="I736" s="112" t="s">
        <v>1456</v>
      </c>
      <c r="J736" s="112" t="s">
        <v>1066</v>
      </c>
      <c r="K736" s="112" t="s">
        <v>1125</v>
      </c>
      <c r="L736" s="112" t="s">
        <v>1061</v>
      </c>
      <c r="M736" s="112" t="s">
        <v>478</v>
      </c>
      <c r="N736" s="113">
        <v>46514.608900462961</v>
      </c>
      <c r="O736" s="114">
        <v>19002742898</v>
      </c>
      <c r="P736" s="112">
        <v>78</v>
      </c>
      <c r="Q736" s="112" t="s">
        <v>1062</v>
      </c>
      <c r="R736" s="112" t="s">
        <v>1063</v>
      </c>
      <c r="S736" s="113">
        <v>46163.729768518519</v>
      </c>
      <c r="T736" s="112" t="s">
        <v>3747</v>
      </c>
      <c r="U736" s="112" t="s">
        <v>1065</v>
      </c>
      <c r="V736" s="112" t="s">
        <v>1066</v>
      </c>
      <c r="W736" s="112" t="s">
        <v>1066</v>
      </c>
      <c r="X736" s="112" t="s">
        <v>1066</v>
      </c>
      <c r="Y736" s="112" t="s">
        <v>1066</v>
      </c>
      <c r="Z736" s="112" t="s">
        <v>1066</v>
      </c>
      <c r="AA736" s="112" t="s">
        <v>1067</v>
      </c>
      <c r="AB736" s="112" t="s">
        <v>1066</v>
      </c>
      <c r="AC736" s="112" t="s">
        <v>92</v>
      </c>
      <c r="AD736" s="112" t="s">
        <v>1066</v>
      </c>
      <c r="AE736" s="112" t="s">
        <v>1066</v>
      </c>
      <c r="AF736" s="112" t="s">
        <v>1066</v>
      </c>
      <c r="AG736" s="112" t="s">
        <v>1066</v>
      </c>
      <c r="AH736" s="112" t="s">
        <v>1066</v>
      </c>
      <c r="AI736" s="112" t="s">
        <v>785</v>
      </c>
      <c r="AJ736" s="112">
        <v>8717549</v>
      </c>
      <c r="AK736" s="112" t="s">
        <v>209</v>
      </c>
      <c r="AL736" s="112">
        <v>683558</v>
      </c>
      <c r="AM736" s="112" t="s">
        <v>1066</v>
      </c>
      <c r="AN736" s="112" t="s">
        <v>1066</v>
      </c>
    </row>
    <row r="737" spans="1:40" ht="55.5" customHeight="1" x14ac:dyDescent="0.25">
      <c r="A737" s="111" t="s">
        <v>3748</v>
      </c>
      <c r="B737" s="112">
        <v>2026</v>
      </c>
      <c r="C737" s="112" t="s">
        <v>1057</v>
      </c>
      <c r="D737" s="113">
        <v>46122.378541666665</v>
      </c>
      <c r="E737" s="112">
        <v>7934669004</v>
      </c>
      <c r="F737" s="112" t="s">
        <v>3749</v>
      </c>
      <c r="G737" s="112">
        <v>2</v>
      </c>
      <c r="H737" s="112">
        <v>7934669004</v>
      </c>
      <c r="I737" s="112" t="s">
        <v>3750</v>
      </c>
      <c r="J737" s="112" t="s">
        <v>1059</v>
      </c>
      <c r="K737" s="112" t="s">
        <v>1060</v>
      </c>
      <c r="L737" s="112" t="s">
        <v>1061</v>
      </c>
      <c r="M737" s="112" t="s">
        <v>478</v>
      </c>
      <c r="N737" s="113">
        <v>46522.378541666665</v>
      </c>
      <c r="O737" s="114">
        <v>19002679830</v>
      </c>
      <c r="P737" s="112">
        <v>0</v>
      </c>
      <c r="Q737" s="112" t="s">
        <v>1062</v>
      </c>
      <c r="R737" s="112" t="s">
        <v>1063</v>
      </c>
      <c r="S737" s="113">
        <v>46132.729166666664</v>
      </c>
      <c r="T737" s="112" t="s">
        <v>3751</v>
      </c>
      <c r="U737" s="112" t="s">
        <v>1065</v>
      </c>
      <c r="V737" s="112" t="s">
        <v>1066</v>
      </c>
      <c r="W737" s="112" t="s">
        <v>1066</v>
      </c>
      <c r="X737" s="112" t="s">
        <v>1066</v>
      </c>
      <c r="Y737" s="112" t="s">
        <v>1066</v>
      </c>
      <c r="Z737" s="112" t="s">
        <v>1066</v>
      </c>
      <c r="AA737" s="112" t="s">
        <v>1067</v>
      </c>
      <c r="AB737" s="112" t="s">
        <v>1066</v>
      </c>
      <c r="AC737" s="112" t="s">
        <v>92</v>
      </c>
      <c r="AD737" s="112" t="s">
        <v>1066</v>
      </c>
      <c r="AE737" s="112" t="s">
        <v>1066</v>
      </c>
      <c r="AF737" s="112" t="s">
        <v>1066</v>
      </c>
      <c r="AG737" s="112" t="s">
        <v>1066</v>
      </c>
      <c r="AH737" s="112" t="s">
        <v>1066</v>
      </c>
      <c r="AI737" s="112" t="s">
        <v>785</v>
      </c>
      <c r="AJ737" s="112">
        <v>9204447</v>
      </c>
      <c r="AK737" s="112" t="s">
        <v>69</v>
      </c>
      <c r="AL737" s="112">
        <v>808946</v>
      </c>
      <c r="AM737" s="112" t="s">
        <v>1066</v>
      </c>
      <c r="AN737" s="112" t="s">
        <v>1066</v>
      </c>
    </row>
    <row r="738" spans="1:40" ht="55.5" customHeight="1" x14ac:dyDescent="0.25">
      <c r="A738" s="120" t="s">
        <v>3752</v>
      </c>
      <c r="B738" s="121">
        <v>2026</v>
      </c>
      <c r="C738" s="121" t="s">
        <v>3753</v>
      </c>
      <c r="D738" s="122">
        <v>46149.724780092591</v>
      </c>
      <c r="E738" s="121">
        <v>7900594026</v>
      </c>
      <c r="F738" s="121" t="s">
        <v>136</v>
      </c>
      <c r="G738" s="121">
        <v>2</v>
      </c>
      <c r="H738" s="121">
        <v>7900594026</v>
      </c>
      <c r="I738" s="121" t="s">
        <v>3754</v>
      </c>
      <c r="J738" s="121" t="s">
        <v>1071</v>
      </c>
      <c r="K738" s="121" t="s">
        <v>1110</v>
      </c>
      <c r="L738" s="121" t="s">
        <v>1073</v>
      </c>
      <c r="M738" s="121" t="s">
        <v>1116</v>
      </c>
      <c r="N738" s="122">
        <v>46152.724780092591</v>
      </c>
      <c r="O738" s="123">
        <v>19002260126</v>
      </c>
      <c r="P738" s="121">
        <v>2.7269999999999999</v>
      </c>
      <c r="Q738" s="121" t="s">
        <v>1062</v>
      </c>
      <c r="R738" s="121" t="s">
        <v>1297</v>
      </c>
      <c r="S738" s="122">
        <v>46153.630787037036</v>
      </c>
      <c r="T738" s="121" t="s">
        <v>1066</v>
      </c>
      <c r="U738" s="121" t="s">
        <v>1066</v>
      </c>
      <c r="V738" s="121" t="s">
        <v>1066</v>
      </c>
      <c r="W738" s="121" t="s">
        <v>1066</v>
      </c>
      <c r="X738" s="121" t="s">
        <v>1066</v>
      </c>
      <c r="Y738" s="121" t="s">
        <v>1066</v>
      </c>
      <c r="Z738" s="121" t="s">
        <v>1066</v>
      </c>
      <c r="AA738" s="121" t="s">
        <v>1067</v>
      </c>
      <c r="AB738" s="121" t="s">
        <v>1066</v>
      </c>
      <c r="AC738" s="121" t="s">
        <v>92</v>
      </c>
      <c r="AD738" s="121" t="s">
        <v>1066</v>
      </c>
      <c r="AE738" s="121" t="s">
        <v>1066</v>
      </c>
      <c r="AF738" s="121" t="s">
        <v>1066</v>
      </c>
      <c r="AG738" s="121" t="s">
        <v>1066</v>
      </c>
      <c r="AH738" s="121" t="s">
        <v>1066</v>
      </c>
      <c r="AI738" s="121" t="s">
        <v>785</v>
      </c>
      <c r="AJ738" s="121">
        <v>8809524</v>
      </c>
      <c r="AK738" s="121" t="s">
        <v>792</v>
      </c>
      <c r="AL738" s="121">
        <v>879287</v>
      </c>
      <c r="AM738" s="121" t="s">
        <v>1066</v>
      </c>
      <c r="AN738" s="121" t="s">
        <v>1066</v>
      </c>
    </row>
    <row r="739" spans="1:40" ht="55.5" customHeight="1" x14ac:dyDescent="0.25">
      <c r="A739" s="120" t="s">
        <v>3755</v>
      </c>
      <c r="B739" s="121">
        <v>2026</v>
      </c>
      <c r="C739" s="121" t="s">
        <v>3756</v>
      </c>
      <c r="D739" s="122">
        <v>45768.441678240742</v>
      </c>
      <c r="E739" s="121">
        <v>9000441256</v>
      </c>
      <c r="F739" s="121" t="s">
        <v>136</v>
      </c>
      <c r="G739" s="121">
        <v>2</v>
      </c>
      <c r="H739" s="121">
        <v>5800440256</v>
      </c>
      <c r="I739" s="121" t="s">
        <v>3757</v>
      </c>
      <c r="J739" s="121" t="s">
        <v>1071</v>
      </c>
      <c r="K739" s="121" t="s">
        <v>2958</v>
      </c>
      <c r="L739" s="121" t="s">
        <v>1073</v>
      </c>
      <c r="M739" s="121" t="s">
        <v>1116</v>
      </c>
      <c r="N739" s="122">
        <v>46104.720717592594</v>
      </c>
      <c r="O739" s="123">
        <v>19002682290</v>
      </c>
      <c r="P739" s="121">
        <v>2.08</v>
      </c>
      <c r="Q739" s="121" t="s">
        <v>1074</v>
      </c>
      <c r="R739" s="121" t="s">
        <v>1075</v>
      </c>
      <c r="S739" s="122">
        <v>46111.378541666665</v>
      </c>
      <c r="T739" s="121" t="s">
        <v>1066</v>
      </c>
      <c r="U739" s="121" t="s">
        <v>1066</v>
      </c>
      <c r="V739" s="121" t="s">
        <v>1066</v>
      </c>
      <c r="W739" s="121" t="s">
        <v>1066</v>
      </c>
      <c r="X739" s="121" t="s">
        <v>1077</v>
      </c>
      <c r="Y739" s="121" t="s">
        <v>1066</v>
      </c>
      <c r="Z739" s="121" t="s">
        <v>1078</v>
      </c>
      <c r="AA739" s="121" t="s">
        <v>1067</v>
      </c>
      <c r="AB739" s="121" t="s">
        <v>1066</v>
      </c>
      <c r="AC739" s="121" t="s">
        <v>92</v>
      </c>
      <c r="AD739" s="121" t="s">
        <v>1066</v>
      </c>
      <c r="AE739" s="121" t="s">
        <v>1066</v>
      </c>
      <c r="AF739" s="121" t="s">
        <v>1066</v>
      </c>
      <c r="AG739" s="121" t="s">
        <v>1066</v>
      </c>
      <c r="AH739" s="121" t="s">
        <v>3758</v>
      </c>
      <c r="AI739" s="121" t="s">
        <v>785</v>
      </c>
      <c r="AJ739" s="121">
        <v>8833252</v>
      </c>
      <c r="AK739" s="121" t="s">
        <v>134</v>
      </c>
      <c r="AL739" s="121">
        <v>999988</v>
      </c>
      <c r="AM739" s="121" t="s">
        <v>1066</v>
      </c>
      <c r="AN739" s="121" t="s">
        <v>1066</v>
      </c>
    </row>
    <row r="740" spans="1:40" ht="55.5" customHeight="1" x14ac:dyDescent="0.25">
      <c r="A740" s="111" t="s">
        <v>3759</v>
      </c>
      <c r="B740" s="112">
        <v>2026</v>
      </c>
      <c r="C740" s="112" t="s">
        <v>3760</v>
      </c>
      <c r="D740" s="113">
        <v>46030.563599537039</v>
      </c>
      <c r="E740" s="112">
        <v>9001590005</v>
      </c>
      <c r="F740" s="112" t="s">
        <v>380</v>
      </c>
      <c r="G740" s="112">
        <v>3</v>
      </c>
      <c r="H740" s="112">
        <v>7936769005</v>
      </c>
      <c r="I740" s="112" t="s">
        <v>3761</v>
      </c>
      <c r="J740" s="112" t="s">
        <v>1071</v>
      </c>
      <c r="K740" s="112" t="s">
        <v>2694</v>
      </c>
      <c r="L740" s="112" t="s">
        <v>1073</v>
      </c>
      <c r="M740" s="112" t="s">
        <v>478</v>
      </c>
      <c r="N740" s="113">
        <v>46033.563599537039</v>
      </c>
      <c r="O740" s="114">
        <v>19001320223</v>
      </c>
      <c r="P740" s="112">
        <v>458</v>
      </c>
      <c r="Q740" s="112" t="s">
        <v>1131</v>
      </c>
      <c r="R740" s="112" t="s">
        <v>1075</v>
      </c>
      <c r="S740" s="113">
        <v>46072.607233796298</v>
      </c>
      <c r="T740" s="112" t="s">
        <v>3762</v>
      </c>
      <c r="U740" s="112" t="s">
        <v>1065</v>
      </c>
      <c r="V740" s="112" t="s">
        <v>1066</v>
      </c>
      <c r="W740" s="112" t="s">
        <v>1066</v>
      </c>
      <c r="X740" s="112" t="s">
        <v>983</v>
      </c>
      <c r="Y740" s="112" t="s">
        <v>1066</v>
      </c>
      <c r="Z740" s="112" t="s">
        <v>1148</v>
      </c>
      <c r="AA740" s="112" t="s">
        <v>1208</v>
      </c>
      <c r="AB740" s="112" t="s">
        <v>1066</v>
      </c>
      <c r="AC740" s="112" t="s">
        <v>92</v>
      </c>
      <c r="AD740" s="112" t="s">
        <v>1142</v>
      </c>
      <c r="AE740" s="112" t="s">
        <v>1066</v>
      </c>
      <c r="AF740" s="112" t="s">
        <v>1066</v>
      </c>
      <c r="AG740" s="112" t="s">
        <v>1066</v>
      </c>
      <c r="AH740" s="112" t="s">
        <v>1066</v>
      </c>
      <c r="AI740" s="112" t="s">
        <v>785</v>
      </c>
      <c r="AJ740" s="112">
        <v>8562624</v>
      </c>
      <c r="AK740" s="112" t="s">
        <v>695</v>
      </c>
      <c r="AL740" s="112">
        <v>944827</v>
      </c>
      <c r="AM740" s="112" t="s">
        <v>1066</v>
      </c>
      <c r="AN740" s="112" t="s">
        <v>1066</v>
      </c>
    </row>
    <row r="741" spans="1:40" ht="55.5" customHeight="1" x14ac:dyDescent="0.25">
      <c r="A741" s="111" t="s">
        <v>3763</v>
      </c>
      <c r="B741" s="112">
        <v>2026</v>
      </c>
      <c r="C741" s="112" t="s">
        <v>3764</v>
      </c>
      <c r="D741" s="113">
        <v>46057.91846064815</v>
      </c>
      <c r="E741" s="112">
        <v>8838591149</v>
      </c>
      <c r="F741" s="112" t="s">
        <v>355</v>
      </c>
      <c r="G741" s="112">
        <v>3</v>
      </c>
      <c r="H741" s="112">
        <v>5800765149</v>
      </c>
      <c r="I741" s="112" t="s">
        <v>3765</v>
      </c>
      <c r="J741" s="112" t="s">
        <v>1071</v>
      </c>
      <c r="K741" s="112" t="s">
        <v>1296</v>
      </c>
      <c r="L741" s="112" t="s">
        <v>1073</v>
      </c>
      <c r="M741" s="112" t="s">
        <v>478</v>
      </c>
      <c r="N741" s="113">
        <v>46060.91846064815</v>
      </c>
      <c r="O741" s="114">
        <v>19002622624</v>
      </c>
      <c r="P741" s="112">
        <v>1.34</v>
      </c>
      <c r="Q741" s="112" t="s">
        <v>1074</v>
      </c>
      <c r="R741" s="112" t="s">
        <v>1075</v>
      </c>
      <c r="S741" s="113">
        <v>46105.698738425926</v>
      </c>
      <c r="T741" s="112" t="s">
        <v>3766</v>
      </c>
      <c r="U741" s="112" t="s">
        <v>1065</v>
      </c>
      <c r="V741" s="112" t="s">
        <v>1066</v>
      </c>
      <c r="W741" s="112" t="s">
        <v>1066</v>
      </c>
      <c r="X741" s="112" t="s">
        <v>1582</v>
      </c>
      <c r="Y741" s="112" t="s">
        <v>1066</v>
      </c>
      <c r="Z741" s="112" t="s">
        <v>1174</v>
      </c>
      <c r="AA741" s="112" t="s">
        <v>1067</v>
      </c>
      <c r="AB741" s="112" t="s">
        <v>1066</v>
      </c>
      <c r="AC741" s="112" t="s">
        <v>92</v>
      </c>
      <c r="AD741" s="112" t="s">
        <v>1066</v>
      </c>
      <c r="AE741" s="112" t="s">
        <v>1066</v>
      </c>
      <c r="AF741" s="112" t="s">
        <v>1066</v>
      </c>
      <c r="AG741" s="112" t="s">
        <v>1066</v>
      </c>
      <c r="AH741" s="112" t="s">
        <v>1066</v>
      </c>
      <c r="AI741" s="112" t="s">
        <v>785</v>
      </c>
      <c r="AJ741" s="112">
        <v>8930415</v>
      </c>
      <c r="AK741" s="112" t="s">
        <v>195</v>
      </c>
      <c r="AL741" s="112">
        <v>625135</v>
      </c>
      <c r="AM741" s="112" t="s">
        <v>1066</v>
      </c>
      <c r="AN741" s="112" t="s">
        <v>1066</v>
      </c>
    </row>
    <row r="742" spans="1:40" ht="55.5" customHeight="1" x14ac:dyDescent="0.25">
      <c r="A742" s="111" t="s">
        <v>3767</v>
      </c>
      <c r="B742" s="112">
        <v>2026</v>
      </c>
      <c r="C742" s="112" t="s">
        <v>1210</v>
      </c>
      <c r="D742" s="113">
        <v>46114.608900462961</v>
      </c>
      <c r="E742" s="112">
        <v>7926787082</v>
      </c>
      <c r="F742" s="112" t="s">
        <v>88</v>
      </c>
      <c r="G742" s="112">
        <v>3</v>
      </c>
      <c r="H742" s="112">
        <v>7926787082</v>
      </c>
      <c r="I742" s="112" t="s">
        <v>3768</v>
      </c>
      <c r="J742" s="112" t="s">
        <v>1066</v>
      </c>
      <c r="K742" s="112" t="s">
        <v>1125</v>
      </c>
      <c r="L742" s="112" t="s">
        <v>1061</v>
      </c>
      <c r="M742" s="112" t="s">
        <v>478</v>
      </c>
      <c r="N742" s="113">
        <v>46514.608900462961</v>
      </c>
      <c r="O742" s="114">
        <v>19002205386</v>
      </c>
      <c r="P742" s="112">
        <v>1.272</v>
      </c>
      <c r="Q742" s="112" t="s">
        <v>1062</v>
      </c>
      <c r="R742" s="112" t="s">
        <v>1063</v>
      </c>
      <c r="S742" s="113">
        <v>46169.729166666664</v>
      </c>
      <c r="T742" s="112" t="s">
        <v>3769</v>
      </c>
      <c r="U742" s="112" t="s">
        <v>1065</v>
      </c>
      <c r="V742" s="112" t="s">
        <v>1066</v>
      </c>
      <c r="W742" s="112" t="s">
        <v>1066</v>
      </c>
      <c r="X742" s="112" t="s">
        <v>1066</v>
      </c>
      <c r="Y742" s="112" t="s">
        <v>1066</v>
      </c>
      <c r="Z742" s="112" t="s">
        <v>1066</v>
      </c>
      <c r="AA742" s="112" t="s">
        <v>1067</v>
      </c>
      <c r="AB742" s="112" t="s">
        <v>1066</v>
      </c>
      <c r="AC742" s="112" t="s">
        <v>92</v>
      </c>
      <c r="AD742" s="112" t="s">
        <v>1066</v>
      </c>
      <c r="AE742" s="112" t="s">
        <v>1066</v>
      </c>
      <c r="AF742" s="112" t="s">
        <v>1066</v>
      </c>
      <c r="AG742" s="112" t="s">
        <v>1066</v>
      </c>
      <c r="AH742" s="112" t="s">
        <v>1066</v>
      </c>
      <c r="AI742" s="112" t="s">
        <v>785</v>
      </c>
      <c r="AJ742" s="112">
        <v>8946091</v>
      </c>
      <c r="AK742" s="112" t="s">
        <v>87</v>
      </c>
      <c r="AL742" s="112">
        <v>912042</v>
      </c>
      <c r="AM742" s="112" t="s">
        <v>1066</v>
      </c>
      <c r="AN742" s="112" t="s">
        <v>1066</v>
      </c>
    </row>
    <row r="743" spans="1:40" ht="55.5" customHeight="1" x14ac:dyDescent="0.25">
      <c r="A743" s="111" t="s">
        <v>3770</v>
      </c>
      <c r="B743" s="112">
        <v>2026</v>
      </c>
      <c r="C743" s="112" t="s">
        <v>3771</v>
      </c>
      <c r="D743" s="113">
        <v>46134.453541666669</v>
      </c>
      <c r="E743" s="112">
        <v>7930039122</v>
      </c>
      <c r="F743" s="112" t="s">
        <v>1839</v>
      </c>
      <c r="G743" s="112">
        <v>2</v>
      </c>
      <c r="H743" s="112">
        <v>7930039122</v>
      </c>
      <c r="I743" s="112" t="s">
        <v>1840</v>
      </c>
      <c r="J743" s="112" t="s">
        <v>1071</v>
      </c>
      <c r="K743" s="112" t="s">
        <v>1379</v>
      </c>
      <c r="L743" s="112" t="s">
        <v>1073</v>
      </c>
      <c r="M743" s="112" t="s">
        <v>478</v>
      </c>
      <c r="N743" s="113">
        <v>46137.453541666669</v>
      </c>
      <c r="O743" s="114">
        <v>19002208478</v>
      </c>
      <c r="P743" s="112">
        <v>0</v>
      </c>
      <c r="Q743" s="112" t="s">
        <v>1062</v>
      </c>
      <c r="R743" s="112" t="s">
        <v>1324</v>
      </c>
      <c r="S743" s="113">
        <v>46181.72934027778</v>
      </c>
      <c r="T743" s="112" t="s">
        <v>3772</v>
      </c>
      <c r="U743" s="112" t="s">
        <v>1065</v>
      </c>
      <c r="V743" s="112" t="s">
        <v>1066</v>
      </c>
      <c r="W743" s="112" t="s">
        <v>1066</v>
      </c>
      <c r="X743" s="112" t="s">
        <v>1066</v>
      </c>
      <c r="Y743" s="112" t="s">
        <v>1066</v>
      </c>
      <c r="Z743" s="112" t="s">
        <v>1066</v>
      </c>
      <c r="AA743" s="112" t="s">
        <v>1067</v>
      </c>
      <c r="AB743" s="112" t="s">
        <v>1066</v>
      </c>
      <c r="AC743" s="112" t="s">
        <v>92</v>
      </c>
      <c r="AD743" s="112" t="s">
        <v>1066</v>
      </c>
      <c r="AE743" s="112" t="s">
        <v>1066</v>
      </c>
      <c r="AF743" s="112" t="s">
        <v>1066</v>
      </c>
      <c r="AG743" s="112" t="s">
        <v>1066</v>
      </c>
      <c r="AH743" s="112" t="s">
        <v>1066</v>
      </c>
      <c r="AI743" s="112" t="s">
        <v>785</v>
      </c>
      <c r="AJ743" s="112">
        <v>8872093</v>
      </c>
      <c r="AK743" s="112" t="s">
        <v>264</v>
      </c>
      <c r="AL743" s="112">
        <v>793136</v>
      </c>
      <c r="AM743" s="112" t="s">
        <v>1066</v>
      </c>
      <c r="AN743" s="112" t="s">
        <v>1066</v>
      </c>
    </row>
    <row r="744" spans="1:40" ht="55.5" customHeight="1" x14ac:dyDescent="0.25">
      <c r="A744" s="111" t="s">
        <v>3773</v>
      </c>
      <c r="B744" s="112">
        <v>2026</v>
      </c>
      <c r="C744" s="112" t="s">
        <v>1089</v>
      </c>
      <c r="D744" s="113">
        <v>46028.453888888886</v>
      </c>
      <c r="E744" s="112">
        <v>7900713029</v>
      </c>
      <c r="F744" s="112" t="s">
        <v>294</v>
      </c>
      <c r="G744" s="112">
        <v>2</v>
      </c>
      <c r="H744" s="112">
        <v>7900713029</v>
      </c>
      <c r="I744" s="112" t="s">
        <v>2125</v>
      </c>
      <c r="J744" s="112" t="s">
        <v>1092</v>
      </c>
      <c r="K744" s="112" t="s">
        <v>1093</v>
      </c>
      <c r="L744" s="112" t="s">
        <v>1061</v>
      </c>
      <c r="M744" s="112" t="s">
        <v>478</v>
      </c>
      <c r="N744" s="113">
        <v>46428.453888888886</v>
      </c>
      <c r="O744" s="114">
        <v>19002226142</v>
      </c>
      <c r="P744" s="112">
        <v>0</v>
      </c>
      <c r="Q744" s="112" t="s">
        <v>1062</v>
      </c>
      <c r="R744" s="112" t="s">
        <v>1063</v>
      </c>
      <c r="S744" s="113">
        <v>46035.423611111109</v>
      </c>
      <c r="T744" s="112" t="s">
        <v>3774</v>
      </c>
      <c r="U744" s="112" t="s">
        <v>1065</v>
      </c>
      <c r="V744" s="112" t="s">
        <v>1066</v>
      </c>
      <c r="W744" s="112" t="s">
        <v>1066</v>
      </c>
      <c r="X744" s="112" t="s">
        <v>1066</v>
      </c>
      <c r="Y744" s="112" t="s">
        <v>1066</v>
      </c>
      <c r="Z744" s="112" t="s">
        <v>1066</v>
      </c>
      <c r="AA744" s="112" t="s">
        <v>1067</v>
      </c>
      <c r="AB744" s="112" t="s">
        <v>1066</v>
      </c>
      <c r="AC744" s="112" t="s">
        <v>92</v>
      </c>
      <c r="AD744" s="112" t="s">
        <v>1066</v>
      </c>
      <c r="AE744" s="112" t="s">
        <v>1066</v>
      </c>
      <c r="AF744" s="112" t="s">
        <v>1066</v>
      </c>
      <c r="AG744" s="112" t="s">
        <v>1066</v>
      </c>
      <c r="AH744" s="112" t="s">
        <v>1066</v>
      </c>
      <c r="AI744" s="112" t="s">
        <v>785</v>
      </c>
      <c r="AJ744" s="112">
        <v>8557057</v>
      </c>
      <c r="AK744" s="112" t="s">
        <v>415</v>
      </c>
      <c r="AL744" s="112">
        <v>780406</v>
      </c>
      <c r="AM744" s="112" t="s">
        <v>1066</v>
      </c>
      <c r="AN744" s="112" t="s">
        <v>1066</v>
      </c>
    </row>
    <row r="745" spans="1:40" ht="55.5" customHeight="1" x14ac:dyDescent="0.25">
      <c r="A745" s="111" t="s">
        <v>683</v>
      </c>
      <c r="B745" s="112">
        <v>2026</v>
      </c>
      <c r="C745" s="112" t="s">
        <v>3775</v>
      </c>
      <c r="D745" s="113">
        <v>46199.603125000001</v>
      </c>
      <c r="E745" s="112">
        <v>9000628002</v>
      </c>
      <c r="F745" s="112" t="s">
        <v>429</v>
      </c>
      <c r="G745" s="112">
        <v>3</v>
      </c>
      <c r="H745" s="112">
        <v>7934697002</v>
      </c>
      <c r="I745" s="112" t="s">
        <v>3776</v>
      </c>
      <c r="J745" s="112" t="s">
        <v>1071</v>
      </c>
      <c r="K745" s="112" t="s">
        <v>1171</v>
      </c>
      <c r="L745" s="112" t="s">
        <v>1073</v>
      </c>
      <c r="M745" s="112" t="s">
        <v>478</v>
      </c>
      <c r="N745" s="113">
        <v>46202.603125000001</v>
      </c>
      <c r="O745" s="114">
        <v>19001303970</v>
      </c>
      <c r="P745" s="112">
        <v>229</v>
      </c>
      <c r="Q745" s="112" t="s">
        <v>1131</v>
      </c>
      <c r="R745" s="112" t="s">
        <v>1075</v>
      </c>
      <c r="S745" s="113">
        <v>46223.460416666669</v>
      </c>
      <c r="T745" s="112" t="s">
        <v>3777</v>
      </c>
      <c r="U745" s="112" t="s">
        <v>1065</v>
      </c>
      <c r="V745" s="112" t="s">
        <v>1066</v>
      </c>
      <c r="W745" s="112" t="s">
        <v>1066</v>
      </c>
      <c r="X745" s="112" t="s">
        <v>983</v>
      </c>
      <c r="Y745" s="112" t="s">
        <v>1066</v>
      </c>
      <c r="Z745" s="112" t="s">
        <v>1174</v>
      </c>
      <c r="AA745" s="112" t="s">
        <v>1067</v>
      </c>
      <c r="AB745" s="112" t="s">
        <v>1066</v>
      </c>
      <c r="AC745" s="112" t="s">
        <v>92</v>
      </c>
      <c r="AD745" s="112" t="s">
        <v>1142</v>
      </c>
      <c r="AE745" s="112" t="s">
        <v>1066</v>
      </c>
      <c r="AF745" s="112" t="s">
        <v>1066</v>
      </c>
      <c r="AG745" s="112" t="s">
        <v>1066</v>
      </c>
      <c r="AH745" s="112" t="s">
        <v>1066</v>
      </c>
      <c r="AI745" s="112" t="s">
        <v>785</v>
      </c>
      <c r="AJ745" s="112">
        <v>9300375</v>
      </c>
      <c r="AK745" s="112" t="s">
        <v>259</v>
      </c>
      <c r="AL745" s="112">
        <v>894627</v>
      </c>
      <c r="AM745" s="112" t="s">
        <v>1066</v>
      </c>
      <c r="AN745" s="112" t="s">
        <v>1066</v>
      </c>
    </row>
    <row r="746" spans="1:40" ht="55.5" customHeight="1" x14ac:dyDescent="0.25">
      <c r="A746" s="124" t="s">
        <v>376</v>
      </c>
      <c r="B746" s="125">
        <v>2026</v>
      </c>
      <c r="C746" s="125" t="s">
        <v>378</v>
      </c>
      <c r="D746" s="126">
        <v>46226.716249999998</v>
      </c>
      <c r="E746" s="125">
        <v>9000026021</v>
      </c>
      <c r="F746" s="125" t="s">
        <v>377</v>
      </c>
      <c r="G746" s="125">
        <v>3</v>
      </c>
      <c r="H746" s="125">
        <v>7923110021</v>
      </c>
      <c r="I746" s="125" t="s">
        <v>3778</v>
      </c>
      <c r="J746" s="125" t="s">
        <v>1071</v>
      </c>
      <c r="K746" s="125" t="s">
        <v>2618</v>
      </c>
      <c r="L746" s="125" t="s">
        <v>1073</v>
      </c>
      <c r="M746" s="125" t="s">
        <v>510</v>
      </c>
      <c r="N746" s="126">
        <v>46229.716249999998</v>
      </c>
      <c r="O746" s="127">
        <v>19001233911</v>
      </c>
      <c r="P746" s="125">
        <v>667</v>
      </c>
      <c r="Q746" s="125" t="s">
        <v>1131</v>
      </c>
      <c r="R746" s="125" t="s">
        <v>1075</v>
      </c>
      <c r="S746" s="125" t="s">
        <v>1066</v>
      </c>
      <c r="T746" s="125" t="s">
        <v>3779</v>
      </c>
      <c r="U746" s="125" t="s">
        <v>3780</v>
      </c>
      <c r="V746" s="125" t="s">
        <v>1066</v>
      </c>
      <c r="W746" s="125" t="s">
        <v>1066</v>
      </c>
      <c r="X746" s="125" t="s">
        <v>983</v>
      </c>
      <c r="Y746" s="125" t="s">
        <v>1066</v>
      </c>
      <c r="Z746" s="125" t="s">
        <v>1078</v>
      </c>
      <c r="AA746" s="125" t="s">
        <v>1067</v>
      </c>
      <c r="AB746" s="125" t="s">
        <v>1066</v>
      </c>
      <c r="AC746" s="125" t="s">
        <v>92</v>
      </c>
      <c r="AD746" s="125" t="s">
        <v>1142</v>
      </c>
      <c r="AE746" s="125" t="s">
        <v>1066</v>
      </c>
      <c r="AF746" s="125" t="s">
        <v>1066</v>
      </c>
      <c r="AG746" s="125" t="s">
        <v>1066</v>
      </c>
      <c r="AH746" s="125" t="s">
        <v>1066</v>
      </c>
      <c r="AI746" s="125" t="s">
        <v>785</v>
      </c>
      <c r="AJ746" s="125">
        <v>8598385</v>
      </c>
      <c r="AK746" s="125" t="s">
        <v>223</v>
      </c>
      <c r="AL746" s="125">
        <v>848854</v>
      </c>
      <c r="AM746" s="125" t="s">
        <v>1066</v>
      </c>
      <c r="AN746" s="125" t="s">
        <v>1066</v>
      </c>
    </row>
    <row r="747" spans="1:40" ht="55.5" customHeight="1" x14ac:dyDescent="0.25">
      <c r="A747" s="111" t="s">
        <v>3781</v>
      </c>
      <c r="B747" s="112">
        <v>2026</v>
      </c>
      <c r="C747" s="112" t="s">
        <v>3782</v>
      </c>
      <c r="D747" s="113">
        <v>45968.599409722221</v>
      </c>
      <c r="E747" s="112">
        <v>8800476091</v>
      </c>
      <c r="F747" s="112" t="s">
        <v>1483</v>
      </c>
      <c r="G747" s="112">
        <v>2</v>
      </c>
      <c r="H747" s="112">
        <v>7964815091</v>
      </c>
      <c r="I747" s="112" t="s">
        <v>3783</v>
      </c>
      <c r="J747" s="112" t="s">
        <v>1231</v>
      </c>
      <c r="K747" s="112" t="s">
        <v>1232</v>
      </c>
      <c r="L747" s="112" t="s">
        <v>1084</v>
      </c>
      <c r="M747" s="112" t="s">
        <v>478</v>
      </c>
      <c r="N747" s="113">
        <v>46097.657256944447</v>
      </c>
      <c r="O747" s="114">
        <v>19002810968</v>
      </c>
      <c r="P747" s="112">
        <v>43</v>
      </c>
      <c r="Q747" s="112" t="s">
        <v>1131</v>
      </c>
      <c r="R747" s="112" t="s">
        <v>1206</v>
      </c>
      <c r="S747" s="113">
        <v>46232.479664351849</v>
      </c>
      <c r="T747" s="112" t="s">
        <v>3784</v>
      </c>
      <c r="U747" s="112" t="s">
        <v>1065</v>
      </c>
      <c r="V747" s="112" t="s">
        <v>1066</v>
      </c>
      <c r="W747" s="112" t="s">
        <v>1066</v>
      </c>
      <c r="X747" s="112" t="s">
        <v>983</v>
      </c>
      <c r="Y747" s="112" t="s">
        <v>1066</v>
      </c>
      <c r="Z747" s="112" t="s">
        <v>1066</v>
      </c>
      <c r="AA747" s="112" t="s">
        <v>1208</v>
      </c>
      <c r="AB747" s="112" t="s">
        <v>1066</v>
      </c>
      <c r="AC747" s="112" t="s">
        <v>92</v>
      </c>
      <c r="AD747" s="112" t="s">
        <v>1066</v>
      </c>
      <c r="AE747" s="112" t="s">
        <v>1066</v>
      </c>
      <c r="AF747" s="112" t="s">
        <v>1066</v>
      </c>
      <c r="AG747" s="112" t="s">
        <v>1066</v>
      </c>
      <c r="AH747" s="112" t="s">
        <v>3785</v>
      </c>
      <c r="AI747" s="112" t="s">
        <v>785</v>
      </c>
      <c r="AJ747" s="112">
        <v>8740372</v>
      </c>
      <c r="AK747" s="112" t="s">
        <v>40</v>
      </c>
      <c r="AL747" s="112">
        <v>920203</v>
      </c>
      <c r="AM747" s="112" t="s">
        <v>1066</v>
      </c>
      <c r="AN747" s="112" t="s">
        <v>1066</v>
      </c>
    </row>
    <row r="748" spans="1:40" ht="55.5" customHeight="1" x14ac:dyDescent="0.25">
      <c r="A748" s="111" t="s">
        <v>3786</v>
      </c>
      <c r="B748" s="112">
        <v>2026</v>
      </c>
      <c r="C748" s="112" t="s">
        <v>3787</v>
      </c>
      <c r="D748" s="113">
        <v>46099.412175925929</v>
      </c>
      <c r="E748" s="112">
        <v>7933637076</v>
      </c>
      <c r="F748" s="112" t="s">
        <v>211</v>
      </c>
      <c r="G748" s="112">
        <v>1</v>
      </c>
      <c r="H748" s="112">
        <v>7933637076</v>
      </c>
      <c r="I748" s="112" t="s">
        <v>1802</v>
      </c>
      <c r="J748" s="112" t="s">
        <v>1071</v>
      </c>
      <c r="K748" s="112" t="s">
        <v>1681</v>
      </c>
      <c r="L748" s="112" t="s">
        <v>1073</v>
      </c>
      <c r="M748" s="112" t="s">
        <v>478</v>
      </c>
      <c r="N748" s="113">
        <v>46102.412175925929</v>
      </c>
      <c r="O748" s="114">
        <v>19002208664</v>
      </c>
      <c r="P748" s="112">
        <v>0</v>
      </c>
      <c r="Q748" s="112" t="s">
        <v>1062</v>
      </c>
      <c r="R748" s="112" t="s">
        <v>1075</v>
      </c>
      <c r="S748" s="113">
        <v>46119.676759259259</v>
      </c>
      <c r="T748" s="112" t="s">
        <v>3788</v>
      </c>
      <c r="U748" s="112" t="s">
        <v>1065</v>
      </c>
      <c r="V748" s="112" t="s">
        <v>1066</v>
      </c>
      <c r="W748" s="112" t="s">
        <v>1066</v>
      </c>
      <c r="X748" s="112" t="s">
        <v>983</v>
      </c>
      <c r="Y748" s="112" t="s">
        <v>1066</v>
      </c>
      <c r="Z748" s="112" t="s">
        <v>1066</v>
      </c>
      <c r="AA748" s="112" t="s">
        <v>1067</v>
      </c>
      <c r="AB748" s="112" t="s">
        <v>1066</v>
      </c>
      <c r="AC748" s="112" t="s">
        <v>92</v>
      </c>
      <c r="AD748" s="112" t="s">
        <v>1066</v>
      </c>
      <c r="AE748" s="112" t="s">
        <v>1066</v>
      </c>
      <c r="AF748" s="112" t="s">
        <v>1066</v>
      </c>
      <c r="AG748" s="112" t="s">
        <v>1066</v>
      </c>
      <c r="AH748" s="112" t="s">
        <v>1066</v>
      </c>
      <c r="AI748" s="112" t="s">
        <v>785</v>
      </c>
      <c r="AJ748" s="112">
        <v>8745948</v>
      </c>
      <c r="AK748" s="112" t="s">
        <v>209</v>
      </c>
      <c r="AL748" s="112">
        <v>689178</v>
      </c>
      <c r="AM748" s="112" t="s">
        <v>1066</v>
      </c>
      <c r="AN748" s="112" t="s">
        <v>1066</v>
      </c>
    </row>
    <row r="749" spans="1:40" ht="55.5" customHeight="1" x14ac:dyDescent="0.25">
      <c r="A749" s="111" t="s">
        <v>3789</v>
      </c>
      <c r="B749" s="112">
        <v>2026</v>
      </c>
      <c r="C749" s="112" t="s">
        <v>3790</v>
      </c>
      <c r="D749" s="113">
        <v>46152.657777777778</v>
      </c>
      <c r="E749" s="112" t="s">
        <v>2078</v>
      </c>
      <c r="F749" s="112" t="s">
        <v>2078</v>
      </c>
      <c r="G749" s="112">
        <v>2</v>
      </c>
      <c r="H749" s="112">
        <v>7929763027</v>
      </c>
      <c r="I749" s="112" t="s">
        <v>2079</v>
      </c>
      <c r="J749" s="112" t="s">
        <v>1071</v>
      </c>
      <c r="K749" s="112" t="s">
        <v>2080</v>
      </c>
      <c r="L749" s="112" t="s">
        <v>1073</v>
      </c>
      <c r="M749" s="112" t="s">
        <v>478</v>
      </c>
      <c r="N749" s="113">
        <v>46155.657777777778</v>
      </c>
      <c r="O749" s="114">
        <v>19002810720</v>
      </c>
      <c r="P749" s="112">
        <v>1.609</v>
      </c>
      <c r="Q749" s="112" t="s">
        <v>1131</v>
      </c>
      <c r="R749" s="112" t="s">
        <v>1075</v>
      </c>
      <c r="S749" s="113">
        <v>46196.726747685185</v>
      </c>
      <c r="T749" s="112" t="s">
        <v>3791</v>
      </c>
      <c r="U749" s="112" t="s">
        <v>1065</v>
      </c>
      <c r="V749" s="112" t="s">
        <v>1066</v>
      </c>
      <c r="W749" s="112" t="s">
        <v>1066</v>
      </c>
      <c r="X749" s="112" t="s">
        <v>983</v>
      </c>
      <c r="Y749" s="112" t="s">
        <v>1066</v>
      </c>
      <c r="Z749" s="112" t="s">
        <v>1148</v>
      </c>
      <c r="AA749" s="112" t="s">
        <v>1067</v>
      </c>
      <c r="AB749" s="112" t="s">
        <v>1066</v>
      </c>
      <c r="AC749" s="112" t="s">
        <v>92</v>
      </c>
      <c r="AD749" s="112" t="s">
        <v>1066</v>
      </c>
      <c r="AE749" s="112" t="s">
        <v>1066</v>
      </c>
      <c r="AF749" s="112" t="s">
        <v>1066</v>
      </c>
      <c r="AG749" s="112" t="s">
        <v>1066</v>
      </c>
      <c r="AH749" s="112" t="s">
        <v>1066</v>
      </c>
      <c r="AI749" s="112" t="s">
        <v>785</v>
      </c>
      <c r="AJ749" s="112">
        <v>8658621</v>
      </c>
      <c r="AK749" s="112" t="s">
        <v>2081</v>
      </c>
      <c r="AL749" s="112">
        <v>991723</v>
      </c>
      <c r="AM749" s="112" t="s">
        <v>1066</v>
      </c>
      <c r="AN749" s="112" t="s">
        <v>1066</v>
      </c>
    </row>
    <row r="750" spans="1:40" ht="55.5" customHeight="1" x14ac:dyDescent="0.25">
      <c r="A750" s="111" t="s">
        <v>3792</v>
      </c>
      <c r="B750" s="112">
        <v>2026</v>
      </c>
      <c r="C750" s="112" t="s">
        <v>3793</v>
      </c>
      <c r="D750" s="113">
        <v>45999.619317129633</v>
      </c>
      <c r="E750" s="112">
        <v>3300270027</v>
      </c>
      <c r="F750" s="112" t="s">
        <v>674</v>
      </c>
      <c r="G750" s="112">
        <v>3</v>
      </c>
      <c r="H750" s="112">
        <v>7963508027</v>
      </c>
      <c r="I750" s="112" t="s">
        <v>3794</v>
      </c>
      <c r="J750" s="112" t="s">
        <v>1231</v>
      </c>
      <c r="K750" s="112" t="s">
        <v>1232</v>
      </c>
      <c r="L750" s="112" t="s">
        <v>1084</v>
      </c>
      <c r="M750" s="112" t="s">
        <v>478</v>
      </c>
      <c r="N750" s="113">
        <v>46097.64638888889</v>
      </c>
      <c r="O750" s="114">
        <v>19002810555</v>
      </c>
      <c r="P750" s="112">
        <v>50</v>
      </c>
      <c r="Q750" s="112" t="s">
        <v>1131</v>
      </c>
      <c r="R750" s="112" t="s">
        <v>1206</v>
      </c>
      <c r="S750" s="113">
        <v>46087.491388888891</v>
      </c>
      <c r="T750" s="112" t="s">
        <v>3795</v>
      </c>
      <c r="U750" s="112" t="s">
        <v>1065</v>
      </c>
      <c r="V750" s="112" t="s">
        <v>1066</v>
      </c>
      <c r="W750" s="112" t="s">
        <v>1066</v>
      </c>
      <c r="X750" s="112" t="s">
        <v>983</v>
      </c>
      <c r="Y750" s="112" t="s">
        <v>1066</v>
      </c>
      <c r="Z750" s="112" t="s">
        <v>1066</v>
      </c>
      <c r="AA750" s="112" t="s">
        <v>1067</v>
      </c>
      <c r="AB750" s="112" t="s">
        <v>1066</v>
      </c>
      <c r="AC750" s="112" t="s">
        <v>92</v>
      </c>
      <c r="AD750" s="112" t="s">
        <v>1066</v>
      </c>
      <c r="AE750" s="112" t="s">
        <v>1066</v>
      </c>
      <c r="AF750" s="112" t="s">
        <v>1066</v>
      </c>
      <c r="AG750" s="112" t="s">
        <v>1066</v>
      </c>
      <c r="AH750" s="112" t="s">
        <v>3796</v>
      </c>
      <c r="AI750" s="112" t="s">
        <v>785</v>
      </c>
      <c r="AJ750" s="112">
        <v>8659514</v>
      </c>
      <c r="AK750" s="112" t="s">
        <v>2081</v>
      </c>
      <c r="AL750" s="112">
        <v>991087</v>
      </c>
      <c r="AM750" s="112" t="s">
        <v>1066</v>
      </c>
      <c r="AN750" s="112" t="s">
        <v>1066</v>
      </c>
    </row>
    <row r="751" spans="1:40" ht="55.5" customHeight="1" x14ac:dyDescent="0.25">
      <c r="A751" s="111" t="s">
        <v>3797</v>
      </c>
      <c r="B751" s="112">
        <v>2026</v>
      </c>
      <c r="C751" s="112" t="s">
        <v>3798</v>
      </c>
      <c r="D751" s="113">
        <v>46059.498055555552</v>
      </c>
      <c r="E751" s="112">
        <v>9000451096</v>
      </c>
      <c r="F751" s="112" t="s">
        <v>136</v>
      </c>
      <c r="G751" s="112">
        <v>2</v>
      </c>
      <c r="H751" s="112">
        <v>7900451096</v>
      </c>
      <c r="I751" s="112" t="s">
        <v>3799</v>
      </c>
      <c r="J751" s="112" t="s">
        <v>1071</v>
      </c>
      <c r="K751" s="112" t="s">
        <v>1282</v>
      </c>
      <c r="L751" s="112" t="s">
        <v>1073</v>
      </c>
      <c r="M751" s="112" t="s">
        <v>478</v>
      </c>
      <c r="N751" s="113">
        <v>46062.498055555552</v>
      </c>
      <c r="O751" s="114">
        <v>19000103865</v>
      </c>
      <c r="P751" s="112">
        <v>264</v>
      </c>
      <c r="Q751" s="112" t="s">
        <v>1131</v>
      </c>
      <c r="R751" s="112" t="s">
        <v>1075</v>
      </c>
      <c r="S751" s="113">
        <v>46077.477430555555</v>
      </c>
      <c r="T751" s="112" t="s">
        <v>3800</v>
      </c>
      <c r="U751" s="112" t="s">
        <v>1065</v>
      </c>
      <c r="V751" s="112" t="s">
        <v>1066</v>
      </c>
      <c r="W751" s="112" t="s">
        <v>1066</v>
      </c>
      <c r="X751" s="112" t="s">
        <v>983</v>
      </c>
      <c r="Y751" s="112" t="s">
        <v>1066</v>
      </c>
      <c r="Z751" s="112" t="s">
        <v>1078</v>
      </c>
      <c r="AA751" s="112" t="s">
        <v>1067</v>
      </c>
      <c r="AB751" s="112" t="s">
        <v>1066</v>
      </c>
      <c r="AC751" s="112" t="s">
        <v>92</v>
      </c>
      <c r="AD751" s="112" t="s">
        <v>1142</v>
      </c>
      <c r="AE751" s="112" t="s">
        <v>1066</v>
      </c>
      <c r="AF751" s="112" t="s">
        <v>1066</v>
      </c>
      <c r="AG751" s="112" t="s">
        <v>1066</v>
      </c>
      <c r="AH751" s="112" t="s">
        <v>1066</v>
      </c>
      <c r="AI751" s="112" t="s">
        <v>785</v>
      </c>
      <c r="AJ751" s="112">
        <v>8767081</v>
      </c>
      <c r="AK751" s="112" t="s">
        <v>310</v>
      </c>
      <c r="AL751" s="112">
        <v>874631</v>
      </c>
      <c r="AM751" s="112" t="s">
        <v>1066</v>
      </c>
      <c r="AN751" s="112" t="s">
        <v>1066</v>
      </c>
    </row>
    <row r="752" spans="1:40" ht="55.5" customHeight="1" x14ac:dyDescent="0.25">
      <c r="A752" s="115" t="s">
        <v>3801</v>
      </c>
      <c r="B752" s="116">
        <v>2026</v>
      </c>
      <c r="C752" s="116" t="s">
        <v>3802</v>
      </c>
      <c r="D752" s="118">
        <v>45774.461724537039</v>
      </c>
      <c r="E752" s="116">
        <v>9023928122</v>
      </c>
      <c r="F752" s="116" t="s">
        <v>234</v>
      </c>
      <c r="G752" s="116">
        <v>1</v>
      </c>
      <c r="H752" s="116">
        <v>7923927122</v>
      </c>
      <c r="I752" s="116" t="s">
        <v>3803</v>
      </c>
      <c r="J752" s="116" t="s">
        <v>1071</v>
      </c>
      <c r="K752" s="116" t="s">
        <v>1323</v>
      </c>
      <c r="L752" s="116" t="s">
        <v>1073</v>
      </c>
      <c r="M752" s="116" t="s">
        <v>588</v>
      </c>
      <c r="N752" s="118">
        <v>46222.453206018516</v>
      </c>
      <c r="O752" s="119">
        <v>19001217437</v>
      </c>
      <c r="P752" s="116">
        <v>0</v>
      </c>
      <c r="Q752" s="116" t="s">
        <v>1131</v>
      </c>
      <c r="R752" s="116" t="s">
        <v>1075</v>
      </c>
      <c r="S752" s="116" t="s">
        <v>1066</v>
      </c>
      <c r="T752" s="116" t="s">
        <v>1066</v>
      </c>
      <c r="U752" s="116" t="s">
        <v>1066</v>
      </c>
      <c r="V752" s="116" t="s">
        <v>1066</v>
      </c>
      <c r="W752" s="116" t="s">
        <v>1066</v>
      </c>
      <c r="X752" s="116" t="s">
        <v>983</v>
      </c>
      <c r="Y752" s="116" t="s">
        <v>1066</v>
      </c>
      <c r="Z752" s="116" t="s">
        <v>1174</v>
      </c>
      <c r="AA752" s="116" t="s">
        <v>1067</v>
      </c>
      <c r="AB752" s="116" t="s">
        <v>1066</v>
      </c>
      <c r="AC752" s="116" t="s">
        <v>92</v>
      </c>
      <c r="AD752" s="116" t="s">
        <v>1142</v>
      </c>
      <c r="AE752" s="116" t="s">
        <v>1066</v>
      </c>
      <c r="AF752" s="116" t="s">
        <v>1066</v>
      </c>
      <c r="AG752" s="116" t="s">
        <v>1066</v>
      </c>
      <c r="AH752" s="116" t="s">
        <v>3804</v>
      </c>
      <c r="AI752" s="116" t="s">
        <v>785</v>
      </c>
      <c r="AJ752" s="116">
        <v>8867579</v>
      </c>
      <c r="AK752" s="116" t="s">
        <v>264</v>
      </c>
      <c r="AL752" s="116">
        <v>798247</v>
      </c>
      <c r="AM752" s="116" t="s">
        <v>1066</v>
      </c>
      <c r="AN752" s="116" t="s">
        <v>1066</v>
      </c>
    </row>
    <row r="753" spans="1:40" ht="55.5" customHeight="1" x14ac:dyDescent="0.25">
      <c r="A753" s="111" t="s">
        <v>477</v>
      </c>
      <c r="B753" s="112">
        <v>2026</v>
      </c>
      <c r="C753" s="112" t="s">
        <v>3805</v>
      </c>
      <c r="D753" s="113">
        <v>45940.307534722226</v>
      </c>
      <c r="E753" s="112">
        <v>9007740122</v>
      </c>
      <c r="F753" s="112" t="s">
        <v>692</v>
      </c>
      <c r="G753" s="112">
        <v>2</v>
      </c>
      <c r="H753" s="112">
        <v>7931610122</v>
      </c>
      <c r="I753" s="112" t="s">
        <v>3806</v>
      </c>
      <c r="J753" s="112" t="s">
        <v>1071</v>
      </c>
      <c r="K753" s="112" t="s">
        <v>1099</v>
      </c>
      <c r="L753" s="112" t="s">
        <v>1073</v>
      </c>
      <c r="M753" s="112" t="s">
        <v>478</v>
      </c>
      <c r="N753" s="113">
        <v>46228.604247685187</v>
      </c>
      <c r="O753" s="114">
        <v>19001279168</v>
      </c>
      <c r="P753" s="112">
        <v>2.4550000000000001</v>
      </c>
      <c r="Q753" s="112" t="s">
        <v>1131</v>
      </c>
      <c r="R753" s="112" t="s">
        <v>1075</v>
      </c>
      <c r="S753" s="113">
        <v>46238.73201388889</v>
      </c>
      <c r="T753" s="112" t="s">
        <v>3807</v>
      </c>
      <c r="U753" s="112" t="s">
        <v>1065</v>
      </c>
      <c r="V753" s="112" t="s">
        <v>1066</v>
      </c>
      <c r="W753" s="112" t="s">
        <v>1066</v>
      </c>
      <c r="X753" s="112" t="s">
        <v>983</v>
      </c>
      <c r="Y753" s="112" t="s">
        <v>1066</v>
      </c>
      <c r="Z753" s="112" t="s">
        <v>1101</v>
      </c>
      <c r="AA753" s="112" t="s">
        <v>1067</v>
      </c>
      <c r="AB753" s="112" t="s">
        <v>1066</v>
      </c>
      <c r="AC753" s="112" t="s">
        <v>92</v>
      </c>
      <c r="AD753" s="112" t="s">
        <v>1142</v>
      </c>
      <c r="AE753" s="112" t="s">
        <v>1066</v>
      </c>
      <c r="AF753" s="112" t="s">
        <v>1066</v>
      </c>
      <c r="AG753" s="112" t="s">
        <v>1066</v>
      </c>
      <c r="AH753" s="112" t="s">
        <v>3808</v>
      </c>
      <c r="AI753" s="112" t="s">
        <v>785</v>
      </c>
      <c r="AJ753" s="112">
        <v>8874945</v>
      </c>
      <c r="AK753" s="112" t="s">
        <v>264</v>
      </c>
      <c r="AL753" s="112">
        <v>793159</v>
      </c>
      <c r="AM753" s="112" t="s">
        <v>1066</v>
      </c>
      <c r="AN753" s="112" t="s">
        <v>1066</v>
      </c>
    </row>
    <row r="754" spans="1:40" ht="55.5" customHeight="1" x14ac:dyDescent="0.25">
      <c r="A754" s="111" t="s">
        <v>3809</v>
      </c>
      <c r="B754" s="112">
        <v>2026</v>
      </c>
      <c r="C754" s="112" t="s">
        <v>1251</v>
      </c>
      <c r="D754" s="113">
        <v>46031.603807870371</v>
      </c>
      <c r="E754" s="112">
        <v>7908712101</v>
      </c>
      <c r="F754" s="112" t="s">
        <v>1377</v>
      </c>
      <c r="G754" s="112">
        <v>1</v>
      </c>
      <c r="H754" s="112">
        <v>7908712101</v>
      </c>
      <c r="I754" s="112" t="s">
        <v>3810</v>
      </c>
      <c r="J754" s="112" t="s">
        <v>1059</v>
      </c>
      <c r="K754" s="112" t="s">
        <v>1060</v>
      </c>
      <c r="L754" s="112" t="s">
        <v>1061</v>
      </c>
      <c r="M754" s="112" t="s">
        <v>478</v>
      </c>
      <c r="N754" s="113">
        <v>46431.603807870371</v>
      </c>
      <c r="O754" s="114">
        <v>19002213105</v>
      </c>
      <c r="P754" s="112">
        <v>257</v>
      </c>
      <c r="Q754" s="112" t="s">
        <v>1062</v>
      </c>
      <c r="R754" s="112" t="s">
        <v>1063</v>
      </c>
      <c r="S754" s="113">
        <v>46031.729166666664</v>
      </c>
      <c r="T754" s="112" t="s">
        <v>1253</v>
      </c>
      <c r="U754" s="112" t="s">
        <v>1065</v>
      </c>
      <c r="V754" s="112" t="s">
        <v>1066</v>
      </c>
      <c r="W754" s="112" t="s">
        <v>1066</v>
      </c>
      <c r="X754" s="112" t="s">
        <v>1066</v>
      </c>
      <c r="Y754" s="112" t="s">
        <v>1066</v>
      </c>
      <c r="Z754" s="112" t="s">
        <v>1066</v>
      </c>
      <c r="AA754" s="112" t="s">
        <v>1067</v>
      </c>
      <c r="AB754" s="112" t="s">
        <v>1066</v>
      </c>
      <c r="AC754" s="112" t="s">
        <v>92</v>
      </c>
      <c r="AD754" s="112" t="s">
        <v>1066</v>
      </c>
      <c r="AE754" s="112" t="s">
        <v>1066</v>
      </c>
      <c r="AF754" s="112" t="s">
        <v>1066</v>
      </c>
      <c r="AG754" s="112" t="s">
        <v>1066</v>
      </c>
      <c r="AH754" s="112" t="s">
        <v>1066</v>
      </c>
      <c r="AI754" s="112" t="s">
        <v>785</v>
      </c>
      <c r="AJ754" s="112">
        <v>8714396</v>
      </c>
      <c r="AK754" s="112" t="s">
        <v>1381</v>
      </c>
      <c r="AL754" s="112">
        <v>930740</v>
      </c>
      <c r="AM754" s="112" t="s">
        <v>1066</v>
      </c>
      <c r="AN754" s="112" t="s">
        <v>1066</v>
      </c>
    </row>
    <row r="755" spans="1:40" ht="55.5" customHeight="1" x14ac:dyDescent="0.25">
      <c r="A755" s="111" t="s">
        <v>3811</v>
      </c>
      <c r="B755" s="112">
        <v>2026</v>
      </c>
      <c r="C755" s="112" t="s">
        <v>1057</v>
      </c>
      <c r="D755" s="113">
        <v>46122.378541666665</v>
      </c>
      <c r="E755" s="112">
        <v>7927751004</v>
      </c>
      <c r="F755" s="112" t="s">
        <v>3016</v>
      </c>
      <c r="G755" s="112">
        <v>2</v>
      </c>
      <c r="H755" s="112">
        <v>7927751004</v>
      </c>
      <c r="I755" s="112" t="s">
        <v>3812</v>
      </c>
      <c r="J755" s="112" t="s">
        <v>1059</v>
      </c>
      <c r="K755" s="112" t="s">
        <v>1060</v>
      </c>
      <c r="L755" s="112" t="s">
        <v>1061</v>
      </c>
      <c r="M755" s="112" t="s">
        <v>478</v>
      </c>
      <c r="N755" s="113">
        <v>46522.378541666665</v>
      </c>
      <c r="O755" s="114">
        <v>19002205222</v>
      </c>
      <c r="P755" s="112">
        <v>0</v>
      </c>
      <c r="Q755" s="112" t="s">
        <v>1062</v>
      </c>
      <c r="R755" s="112" t="s">
        <v>1063</v>
      </c>
      <c r="S755" s="113">
        <v>46132.453599537039</v>
      </c>
      <c r="T755" s="112" t="s">
        <v>3813</v>
      </c>
      <c r="U755" s="112" t="s">
        <v>1065</v>
      </c>
      <c r="V755" s="112" t="s">
        <v>1066</v>
      </c>
      <c r="W755" s="112" t="s">
        <v>1066</v>
      </c>
      <c r="X755" s="112" t="s">
        <v>1066</v>
      </c>
      <c r="Y755" s="112" t="s">
        <v>1066</v>
      </c>
      <c r="Z755" s="112" t="s">
        <v>1066</v>
      </c>
      <c r="AA755" s="112" t="s">
        <v>1067</v>
      </c>
      <c r="AB755" s="112" t="s">
        <v>1066</v>
      </c>
      <c r="AC755" s="112" t="s">
        <v>92</v>
      </c>
      <c r="AD755" s="112" t="s">
        <v>1066</v>
      </c>
      <c r="AE755" s="112" t="s">
        <v>1066</v>
      </c>
      <c r="AF755" s="112" t="s">
        <v>1066</v>
      </c>
      <c r="AG755" s="112" t="s">
        <v>1066</v>
      </c>
      <c r="AH755" s="112" t="s">
        <v>1066</v>
      </c>
      <c r="AI755" s="112" t="s">
        <v>785</v>
      </c>
      <c r="AJ755" s="112">
        <v>9199830</v>
      </c>
      <c r="AK755" s="112" t="s">
        <v>69</v>
      </c>
      <c r="AL755" s="112">
        <v>806620</v>
      </c>
      <c r="AM755" s="112" t="s">
        <v>1066</v>
      </c>
      <c r="AN755" s="112" t="s">
        <v>1066</v>
      </c>
    </row>
    <row r="756" spans="1:40" ht="55.5" customHeight="1" x14ac:dyDescent="0.25">
      <c r="A756" s="111" t="s">
        <v>3814</v>
      </c>
      <c r="B756" s="112">
        <v>2026</v>
      </c>
      <c r="C756" s="112" t="s">
        <v>3815</v>
      </c>
      <c r="D756" s="113">
        <v>46212.696331018517</v>
      </c>
      <c r="E756" s="112">
        <v>9000441256</v>
      </c>
      <c r="F756" s="112" t="s">
        <v>136</v>
      </c>
      <c r="G756" s="112">
        <v>2</v>
      </c>
      <c r="H756" s="112">
        <v>5800440256</v>
      </c>
      <c r="I756" s="112" t="s">
        <v>1579</v>
      </c>
      <c r="J756" s="112" t="s">
        <v>1092</v>
      </c>
      <c r="K756" s="112" t="s">
        <v>1330</v>
      </c>
      <c r="L756" s="112" t="s">
        <v>1061</v>
      </c>
      <c r="M756" s="112" t="s">
        <v>478</v>
      </c>
      <c r="N756" s="113">
        <v>46612.696331018517</v>
      </c>
      <c r="O756" s="114">
        <v>19002682289</v>
      </c>
      <c r="P756" s="112">
        <v>2.08</v>
      </c>
      <c r="Q756" s="112" t="s">
        <v>1074</v>
      </c>
      <c r="R756" s="112" t="s">
        <v>1063</v>
      </c>
      <c r="S756" s="113">
        <v>46239.654004629629</v>
      </c>
      <c r="T756" s="112" t="s">
        <v>3816</v>
      </c>
      <c r="U756" s="112" t="s">
        <v>1065</v>
      </c>
      <c r="V756" s="112" t="s">
        <v>1066</v>
      </c>
      <c r="W756" s="112" t="s">
        <v>1066</v>
      </c>
      <c r="X756" s="112" t="s">
        <v>1332</v>
      </c>
      <c r="Y756" s="112" t="s">
        <v>1066</v>
      </c>
      <c r="Z756" s="112" t="s">
        <v>1066</v>
      </c>
      <c r="AA756" s="112" t="s">
        <v>1067</v>
      </c>
      <c r="AB756" s="112" t="s">
        <v>1066</v>
      </c>
      <c r="AC756" s="112" t="s">
        <v>92</v>
      </c>
      <c r="AD756" s="112" t="s">
        <v>1066</v>
      </c>
      <c r="AE756" s="112" t="s">
        <v>1066</v>
      </c>
      <c r="AF756" s="112" t="s">
        <v>1066</v>
      </c>
      <c r="AG756" s="112" t="s">
        <v>1066</v>
      </c>
      <c r="AH756" s="112" t="s">
        <v>1066</v>
      </c>
      <c r="AI756" s="112" t="s">
        <v>785</v>
      </c>
      <c r="AJ756" s="112">
        <v>8833252</v>
      </c>
      <c r="AK756" s="112" t="s">
        <v>134</v>
      </c>
      <c r="AL756" s="112">
        <v>999988</v>
      </c>
      <c r="AM756" s="112" t="s">
        <v>1066</v>
      </c>
      <c r="AN756" s="112" t="s">
        <v>1066</v>
      </c>
    </row>
    <row r="757" spans="1:40" ht="55.5" customHeight="1" x14ac:dyDescent="0.25">
      <c r="A757" s="111" t="s">
        <v>3817</v>
      </c>
      <c r="B757" s="112">
        <v>2026</v>
      </c>
      <c r="C757" s="112" t="s">
        <v>3818</v>
      </c>
      <c r="D757" s="113">
        <v>46186.676493055558</v>
      </c>
      <c r="E757" s="112">
        <v>9000510045</v>
      </c>
      <c r="F757" s="112" t="s">
        <v>2446</v>
      </c>
      <c r="G757" s="112">
        <v>2</v>
      </c>
      <c r="H757" s="112">
        <v>7900510045</v>
      </c>
      <c r="I757" s="112" t="s">
        <v>3819</v>
      </c>
      <c r="J757" s="112" t="s">
        <v>1071</v>
      </c>
      <c r="K757" s="112" t="s">
        <v>1171</v>
      </c>
      <c r="L757" s="112" t="s">
        <v>1073</v>
      </c>
      <c r="M757" s="112" t="s">
        <v>478</v>
      </c>
      <c r="N757" s="113">
        <v>46189.676493055558</v>
      </c>
      <c r="O757" s="114">
        <v>19000003832</v>
      </c>
      <c r="P757" s="112">
        <v>599</v>
      </c>
      <c r="Q757" s="112" t="s">
        <v>1131</v>
      </c>
      <c r="R757" s="112" t="s">
        <v>1075</v>
      </c>
      <c r="S757" s="113">
        <v>46199.411817129629</v>
      </c>
      <c r="T757" s="112" t="s">
        <v>3820</v>
      </c>
      <c r="U757" s="112" t="s">
        <v>1065</v>
      </c>
      <c r="V757" s="112" t="s">
        <v>1066</v>
      </c>
      <c r="W757" s="112" t="s">
        <v>1066</v>
      </c>
      <c r="X757" s="112" t="s">
        <v>1117</v>
      </c>
      <c r="Y757" s="112" t="s">
        <v>1066</v>
      </c>
      <c r="Z757" s="112" t="s">
        <v>1409</v>
      </c>
      <c r="AA757" s="112" t="s">
        <v>1067</v>
      </c>
      <c r="AB757" s="112" t="s">
        <v>1066</v>
      </c>
      <c r="AC757" s="112" t="s">
        <v>92</v>
      </c>
      <c r="AD757" s="112" t="s">
        <v>1142</v>
      </c>
      <c r="AE757" s="112" t="s">
        <v>1066</v>
      </c>
      <c r="AF757" s="112" t="s">
        <v>1066</v>
      </c>
      <c r="AG757" s="112" t="s">
        <v>1066</v>
      </c>
      <c r="AH757" s="112" t="s">
        <v>1066</v>
      </c>
      <c r="AI757" s="112" t="s">
        <v>785</v>
      </c>
      <c r="AJ757" s="112">
        <v>9394652</v>
      </c>
      <c r="AK757" s="112" t="s">
        <v>58</v>
      </c>
      <c r="AL757" s="112">
        <v>843053</v>
      </c>
      <c r="AM757" s="112" t="s">
        <v>1066</v>
      </c>
      <c r="AN757" s="112" t="s">
        <v>1066</v>
      </c>
    </row>
    <row r="758" spans="1:40" ht="55.5" customHeight="1" x14ac:dyDescent="0.25">
      <c r="A758" s="124" t="s">
        <v>3821</v>
      </c>
      <c r="B758" s="125">
        <v>2026</v>
      </c>
      <c r="C758" s="125" t="s">
        <v>1449</v>
      </c>
      <c r="D758" s="126">
        <v>46244.660034722219</v>
      </c>
      <c r="E758" s="125">
        <v>7928250037</v>
      </c>
      <c r="F758" s="125" t="s">
        <v>186</v>
      </c>
      <c r="G758" s="125">
        <v>2</v>
      </c>
      <c r="H758" s="125">
        <v>7928250037</v>
      </c>
      <c r="I758" s="125" t="s">
        <v>3600</v>
      </c>
      <c r="J758" s="125" t="s">
        <v>1066</v>
      </c>
      <c r="K758" s="125" t="s">
        <v>1125</v>
      </c>
      <c r="L758" s="125" t="s">
        <v>1061</v>
      </c>
      <c r="M758" s="125" t="s">
        <v>510</v>
      </c>
      <c r="N758" s="126">
        <v>46644.660034722219</v>
      </c>
      <c r="O758" s="127">
        <v>19002208172</v>
      </c>
      <c r="P758" s="125">
        <v>89</v>
      </c>
      <c r="Q758" s="125" t="s">
        <v>1062</v>
      </c>
      <c r="R758" s="125" t="s">
        <v>1063</v>
      </c>
      <c r="S758" s="125" t="s">
        <v>1066</v>
      </c>
      <c r="T758" s="125" t="s">
        <v>1066</v>
      </c>
      <c r="U758" s="125" t="s">
        <v>1066</v>
      </c>
      <c r="V758" s="125" t="s">
        <v>1066</v>
      </c>
      <c r="W758" s="125" t="s">
        <v>1066</v>
      </c>
      <c r="X758" s="125" t="s">
        <v>1066</v>
      </c>
      <c r="Y758" s="125" t="s">
        <v>1066</v>
      </c>
      <c r="Z758" s="125" t="s">
        <v>1066</v>
      </c>
      <c r="AA758" s="125" t="s">
        <v>1067</v>
      </c>
      <c r="AB758" s="125" t="s">
        <v>1066</v>
      </c>
      <c r="AC758" s="125" t="s">
        <v>92</v>
      </c>
      <c r="AD758" s="125" t="s">
        <v>1066</v>
      </c>
      <c r="AE758" s="125" t="s">
        <v>1066</v>
      </c>
      <c r="AF758" s="125" t="s">
        <v>1066</v>
      </c>
      <c r="AG758" s="125" t="s">
        <v>1066</v>
      </c>
      <c r="AH758" s="125" t="s">
        <v>1066</v>
      </c>
      <c r="AI758" s="125" t="s">
        <v>785</v>
      </c>
      <c r="AJ758" s="125">
        <v>8755092</v>
      </c>
      <c r="AK758" s="125" t="s">
        <v>1160</v>
      </c>
      <c r="AL758" s="125">
        <v>725539</v>
      </c>
      <c r="AM758" s="125" t="s">
        <v>1066</v>
      </c>
      <c r="AN758" s="125" t="s">
        <v>1066</v>
      </c>
    </row>
    <row r="759" spans="1:40" ht="55.5" customHeight="1" x14ac:dyDescent="0.25">
      <c r="A759" s="111" t="s">
        <v>3822</v>
      </c>
      <c r="B759" s="112">
        <v>2026</v>
      </c>
      <c r="C759" s="112" t="s">
        <v>1210</v>
      </c>
      <c r="D759" s="113">
        <v>46114.608900462961</v>
      </c>
      <c r="E759" s="112">
        <v>7924614139</v>
      </c>
      <c r="F759" s="112" t="s">
        <v>1740</v>
      </c>
      <c r="G759" s="112">
        <v>1</v>
      </c>
      <c r="H759" s="112">
        <v>7924614139</v>
      </c>
      <c r="I759" s="112" t="s">
        <v>3398</v>
      </c>
      <c r="J759" s="112" t="s">
        <v>1066</v>
      </c>
      <c r="K759" s="112" t="s">
        <v>1125</v>
      </c>
      <c r="L759" s="112" t="s">
        <v>1061</v>
      </c>
      <c r="M759" s="112" t="s">
        <v>478</v>
      </c>
      <c r="N759" s="113">
        <v>46514.608900462961</v>
      </c>
      <c r="O759" s="114">
        <v>19002206400</v>
      </c>
      <c r="P759" s="112">
        <v>0</v>
      </c>
      <c r="Q759" s="112" t="s">
        <v>1062</v>
      </c>
      <c r="R759" s="112" t="s">
        <v>1063</v>
      </c>
      <c r="S759" s="113">
        <v>46148.727314814816</v>
      </c>
      <c r="T759" s="112" t="s">
        <v>3823</v>
      </c>
      <c r="U759" s="112" t="s">
        <v>1065</v>
      </c>
      <c r="V759" s="112" t="s">
        <v>1066</v>
      </c>
      <c r="W759" s="112" t="s">
        <v>1066</v>
      </c>
      <c r="X759" s="112" t="s">
        <v>1066</v>
      </c>
      <c r="Y759" s="112" t="s">
        <v>1066</v>
      </c>
      <c r="Z759" s="112" t="s">
        <v>1066</v>
      </c>
      <c r="AA759" s="112" t="s">
        <v>1067</v>
      </c>
      <c r="AB759" s="112" t="s">
        <v>1066</v>
      </c>
      <c r="AC759" s="112" t="s">
        <v>92</v>
      </c>
      <c r="AD759" s="112" t="s">
        <v>1066</v>
      </c>
      <c r="AE759" s="112" t="s">
        <v>1066</v>
      </c>
      <c r="AF759" s="112" t="s">
        <v>1066</v>
      </c>
      <c r="AG759" s="112" t="s">
        <v>1066</v>
      </c>
      <c r="AH759" s="112" t="s">
        <v>1066</v>
      </c>
      <c r="AI759" s="112" t="s">
        <v>785</v>
      </c>
      <c r="AJ759" s="112">
        <v>8646197</v>
      </c>
      <c r="AK759" s="112" t="s">
        <v>1787</v>
      </c>
      <c r="AL759" s="112">
        <v>636025</v>
      </c>
      <c r="AM759" s="112" t="s">
        <v>1066</v>
      </c>
      <c r="AN759" s="112" t="s">
        <v>1066</v>
      </c>
    </row>
    <row r="760" spans="1:40" ht="55.5" customHeight="1" x14ac:dyDescent="0.25">
      <c r="A760" s="111" t="s">
        <v>3824</v>
      </c>
      <c r="B760" s="112">
        <v>2026</v>
      </c>
      <c r="C760" s="112" t="s">
        <v>3825</v>
      </c>
      <c r="D760" s="113">
        <v>46152.416412037041</v>
      </c>
      <c r="E760" s="112">
        <v>7957920111</v>
      </c>
      <c r="F760" s="112" t="s">
        <v>2465</v>
      </c>
      <c r="G760" s="112">
        <v>3</v>
      </c>
      <c r="H760" s="112">
        <v>7957920111</v>
      </c>
      <c r="I760" s="112" t="s">
        <v>3826</v>
      </c>
      <c r="J760" s="112" t="s">
        <v>1092</v>
      </c>
      <c r="K760" s="112" t="s">
        <v>1446</v>
      </c>
      <c r="L760" s="112" t="s">
        <v>1073</v>
      </c>
      <c r="M760" s="112" t="s">
        <v>478</v>
      </c>
      <c r="N760" s="113">
        <v>46155.416412037041</v>
      </c>
      <c r="O760" s="114">
        <v>19002736797</v>
      </c>
      <c r="P760" s="112">
        <v>232</v>
      </c>
      <c r="Q760" s="112" t="s">
        <v>1062</v>
      </c>
      <c r="R760" s="112" t="s">
        <v>1075</v>
      </c>
      <c r="S760" s="113">
        <v>46184.379861111112</v>
      </c>
      <c r="T760" s="112" t="s">
        <v>3827</v>
      </c>
      <c r="U760" s="112" t="s">
        <v>1065</v>
      </c>
      <c r="V760" s="112" t="s">
        <v>1066</v>
      </c>
      <c r="W760" s="112" t="s">
        <v>1066</v>
      </c>
      <c r="X760" s="112" t="s">
        <v>1066</v>
      </c>
      <c r="Y760" s="112" t="s">
        <v>1066</v>
      </c>
      <c r="Z760" s="112" t="s">
        <v>1066</v>
      </c>
      <c r="AA760" s="112" t="s">
        <v>1067</v>
      </c>
      <c r="AB760" s="112" t="s">
        <v>1066</v>
      </c>
      <c r="AC760" s="112" t="s">
        <v>92</v>
      </c>
      <c r="AD760" s="112" t="s">
        <v>1066</v>
      </c>
      <c r="AE760" s="112" t="s">
        <v>1066</v>
      </c>
      <c r="AF760" s="112" t="s">
        <v>1066</v>
      </c>
      <c r="AG760" s="112" t="s">
        <v>1066</v>
      </c>
      <c r="AH760" s="112" t="s">
        <v>1066</v>
      </c>
      <c r="AI760" s="112" t="s">
        <v>785</v>
      </c>
      <c r="AJ760" s="112">
        <v>9091910</v>
      </c>
      <c r="AK760" s="112" t="s">
        <v>2467</v>
      </c>
      <c r="AL760" s="112">
        <v>729092</v>
      </c>
      <c r="AM760" s="112" t="s">
        <v>1066</v>
      </c>
      <c r="AN760" s="112" t="s">
        <v>1066</v>
      </c>
    </row>
    <row r="761" spans="1:40" ht="55.5" customHeight="1" x14ac:dyDescent="0.25">
      <c r="A761" s="111" t="s">
        <v>3828</v>
      </c>
      <c r="B761" s="112">
        <v>2026</v>
      </c>
      <c r="C761" s="112" t="s">
        <v>3829</v>
      </c>
      <c r="D761" s="113">
        <v>46125.670925925922</v>
      </c>
      <c r="E761" s="112">
        <v>8800256193</v>
      </c>
      <c r="F761" s="112" t="s">
        <v>370</v>
      </c>
      <c r="G761" s="112">
        <v>2</v>
      </c>
      <c r="H761" s="112">
        <v>5855165193</v>
      </c>
      <c r="I761" s="112" t="s">
        <v>3830</v>
      </c>
      <c r="J761" s="112" t="s">
        <v>1071</v>
      </c>
      <c r="K761" s="112" t="s">
        <v>1072</v>
      </c>
      <c r="L761" s="112" t="s">
        <v>1073</v>
      </c>
      <c r="M761" s="112" t="s">
        <v>478</v>
      </c>
      <c r="N761" s="113">
        <v>46128.670925925922</v>
      </c>
      <c r="O761" s="114">
        <v>19002728155</v>
      </c>
      <c r="P761" s="112">
        <v>2.984</v>
      </c>
      <c r="Q761" s="112" t="s">
        <v>1074</v>
      </c>
      <c r="R761" s="112" t="s">
        <v>1075</v>
      </c>
      <c r="S761" s="113">
        <v>46139.732974537037</v>
      </c>
      <c r="T761" s="112" t="s">
        <v>3831</v>
      </c>
      <c r="U761" s="112" t="s">
        <v>1065</v>
      </c>
      <c r="V761" s="112" t="s">
        <v>1066</v>
      </c>
      <c r="W761" s="112" t="s">
        <v>1066</v>
      </c>
      <c r="X761" s="112" t="s">
        <v>1726</v>
      </c>
      <c r="Y761" s="112" t="s">
        <v>1066</v>
      </c>
      <c r="Z761" s="112" t="s">
        <v>1479</v>
      </c>
      <c r="AA761" s="112" t="s">
        <v>1067</v>
      </c>
      <c r="AB761" s="112" t="s">
        <v>1066</v>
      </c>
      <c r="AC761" s="112" t="s">
        <v>92</v>
      </c>
      <c r="AD761" s="112" t="s">
        <v>1066</v>
      </c>
      <c r="AE761" s="112" t="s">
        <v>1066</v>
      </c>
      <c r="AF761" s="112" t="s">
        <v>1066</v>
      </c>
      <c r="AG761" s="112" t="s">
        <v>1066</v>
      </c>
      <c r="AH761" s="112" t="s">
        <v>1066</v>
      </c>
      <c r="AI761" s="112" t="s">
        <v>785</v>
      </c>
      <c r="AJ761" s="112">
        <v>9114146</v>
      </c>
      <c r="AK761" s="112" t="s">
        <v>369</v>
      </c>
      <c r="AL761" s="112">
        <v>966215</v>
      </c>
      <c r="AM761" s="112" t="s">
        <v>1066</v>
      </c>
      <c r="AN761" s="112" t="s">
        <v>1066</v>
      </c>
    </row>
    <row r="762" spans="1:40" ht="55.5" customHeight="1" x14ac:dyDescent="0.25">
      <c r="A762" s="111" t="s">
        <v>3832</v>
      </c>
      <c r="B762" s="112">
        <v>2026</v>
      </c>
      <c r="C762" s="112" t="s">
        <v>1089</v>
      </c>
      <c r="D762" s="113">
        <v>46028.41065972222</v>
      </c>
      <c r="E762" s="112">
        <v>7904411001</v>
      </c>
      <c r="F762" s="112" t="s">
        <v>711</v>
      </c>
      <c r="G762" s="112">
        <v>1</v>
      </c>
      <c r="H762" s="112">
        <v>7904411001</v>
      </c>
      <c r="I762" s="112" t="s">
        <v>3833</v>
      </c>
      <c r="J762" s="112" t="s">
        <v>1092</v>
      </c>
      <c r="K762" s="112" t="s">
        <v>1093</v>
      </c>
      <c r="L762" s="112" t="s">
        <v>1061</v>
      </c>
      <c r="M762" s="112" t="s">
        <v>478</v>
      </c>
      <c r="N762" s="113">
        <v>46428.41065972222</v>
      </c>
      <c r="O762" s="114">
        <v>19002607683</v>
      </c>
      <c r="P762" s="112">
        <v>2.4780000000000002</v>
      </c>
      <c r="Q762" s="112" t="s">
        <v>1062</v>
      </c>
      <c r="R762" s="112" t="s">
        <v>1063</v>
      </c>
      <c r="S762" s="113">
        <v>46045.654178240744</v>
      </c>
      <c r="T762" s="112" t="s">
        <v>3834</v>
      </c>
      <c r="U762" s="112" t="s">
        <v>1065</v>
      </c>
      <c r="V762" s="112" t="s">
        <v>1066</v>
      </c>
      <c r="W762" s="112" t="s">
        <v>1066</v>
      </c>
      <c r="X762" s="112" t="s">
        <v>1066</v>
      </c>
      <c r="Y762" s="112" t="s">
        <v>1066</v>
      </c>
      <c r="Z762" s="112" t="s">
        <v>1066</v>
      </c>
      <c r="AA762" s="112" t="s">
        <v>1067</v>
      </c>
      <c r="AB762" s="112" t="s">
        <v>1066</v>
      </c>
      <c r="AC762" s="112" t="s">
        <v>92</v>
      </c>
      <c r="AD762" s="112" t="s">
        <v>1066</v>
      </c>
      <c r="AE762" s="112" t="s">
        <v>1066</v>
      </c>
      <c r="AF762" s="112" t="s">
        <v>1066</v>
      </c>
      <c r="AG762" s="112" t="s">
        <v>1066</v>
      </c>
      <c r="AH762" s="112" t="s">
        <v>1066</v>
      </c>
      <c r="AI762" s="112" t="s">
        <v>785</v>
      </c>
      <c r="AJ762" s="112">
        <v>8815181</v>
      </c>
      <c r="AK762" s="112" t="s">
        <v>50</v>
      </c>
      <c r="AL762" s="112">
        <v>783044</v>
      </c>
      <c r="AM762" s="112" t="s">
        <v>1066</v>
      </c>
      <c r="AN762" s="112" t="s">
        <v>1066</v>
      </c>
    </row>
    <row r="763" spans="1:40" ht="55.5" customHeight="1" x14ac:dyDescent="0.25">
      <c r="A763" s="111" t="s">
        <v>3835</v>
      </c>
      <c r="B763" s="112">
        <v>2026</v>
      </c>
      <c r="C763" s="112" t="s">
        <v>3836</v>
      </c>
      <c r="D763" s="113">
        <v>46114.608900462961</v>
      </c>
      <c r="E763" s="112">
        <v>7926078046</v>
      </c>
      <c r="F763" s="112" t="s">
        <v>1219</v>
      </c>
      <c r="G763" s="112">
        <v>3</v>
      </c>
      <c r="H763" s="112">
        <v>7926078046</v>
      </c>
      <c r="I763" s="112" t="s">
        <v>1220</v>
      </c>
      <c r="J763" s="112" t="s">
        <v>1066</v>
      </c>
      <c r="K763" s="112" t="s">
        <v>1125</v>
      </c>
      <c r="L763" s="112" t="s">
        <v>1061</v>
      </c>
      <c r="M763" s="112" t="s">
        <v>478</v>
      </c>
      <c r="N763" s="113">
        <v>46546.341087962966</v>
      </c>
      <c r="O763" s="114">
        <v>19002206318</v>
      </c>
      <c r="P763" s="112">
        <v>219</v>
      </c>
      <c r="Q763" s="112" t="s">
        <v>1062</v>
      </c>
      <c r="R763" s="112" t="s">
        <v>1075</v>
      </c>
      <c r="S763" s="113">
        <v>46167.730671296296</v>
      </c>
      <c r="T763" s="112" t="s">
        <v>3837</v>
      </c>
      <c r="U763" s="112" t="s">
        <v>1065</v>
      </c>
      <c r="V763" s="112" t="s">
        <v>1066</v>
      </c>
      <c r="W763" s="112" t="s">
        <v>1066</v>
      </c>
      <c r="X763" s="112" t="s">
        <v>1066</v>
      </c>
      <c r="Y763" s="112" t="s">
        <v>1066</v>
      </c>
      <c r="Z763" s="112" t="s">
        <v>1066</v>
      </c>
      <c r="AA763" s="112" t="s">
        <v>1067</v>
      </c>
      <c r="AB763" s="112" t="s">
        <v>1066</v>
      </c>
      <c r="AC763" s="112" t="s">
        <v>92</v>
      </c>
      <c r="AD763" s="112" t="s">
        <v>1066</v>
      </c>
      <c r="AE763" s="112" t="s">
        <v>1066</v>
      </c>
      <c r="AF763" s="112" t="s">
        <v>1066</v>
      </c>
      <c r="AG763" s="112" t="s">
        <v>1066</v>
      </c>
      <c r="AH763" s="112" t="s">
        <v>1217</v>
      </c>
      <c r="AI763" s="112" t="s">
        <v>785</v>
      </c>
      <c r="AJ763" s="112">
        <v>8822512</v>
      </c>
      <c r="AK763" s="112" t="s">
        <v>1221</v>
      </c>
      <c r="AL763" s="112">
        <v>728423</v>
      </c>
      <c r="AM763" s="112" t="s">
        <v>1066</v>
      </c>
      <c r="AN763" s="112" t="s">
        <v>1066</v>
      </c>
    </row>
    <row r="764" spans="1:40" ht="55.5" customHeight="1" x14ac:dyDescent="0.25">
      <c r="A764" s="111" t="s">
        <v>646</v>
      </c>
      <c r="B764" s="112">
        <v>2026</v>
      </c>
      <c r="C764" s="112" t="s">
        <v>3838</v>
      </c>
      <c r="D764" s="113">
        <v>46223.887858796297</v>
      </c>
      <c r="E764" s="112">
        <v>7900451096</v>
      </c>
      <c r="F764" s="112" t="s">
        <v>136</v>
      </c>
      <c r="G764" s="112">
        <v>2</v>
      </c>
      <c r="H764" s="112">
        <v>7900451096</v>
      </c>
      <c r="I764" s="112" t="s">
        <v>3839</v>
      </c>
      <c r="J764" s="112" t="s">
        <v>1071</v>
      </c>
      <c r="K764" s="112" t="s">
        <v>1072</v>
      </c>
      <c r="L764" s="112" t="s">
        <v>1073</v>
      </c>
      <c r="M764" s="112" t="s">
        <v>478</v>
      </c>
      <c r="N764" s="113">
        <v>46226.887858796297</v>
      </c>
      <c r="O764" s="114">
        <v>19002223565</v>
      </c>
      <c r="P764" s="112">
        <v>264</v>
      </c>
      <c r="Q764" s="112" t="s">
        <v>1062</v>
      </c>
      <c r="R764" s="112" t="s">
        <v>1075</v>
      </c>
      <c r="S764" s="113">
        <v>46232.627303240741</v>
      </c>
      <c r="T764" s="112" t="s">
        <v>3840</v>
      </c>
      <c r="U764" s="112" t="s">
        <v>1065</v>
      </c>
      <c r="V764" s="112" t="s">
        <v>1066</v>
      </c>
      <c r="W764" s="112" t="s">
        <v>1066</v>
      </c>
      <c r="X764" s="112" t="s">
        <v>983</v>
      </c>
      <c r="Y764" s="112" t="s">
        <v>1066</v>
      </c>
      <c r="Z764" s="112" t="s">
        <v>1078</v>
      </c>
      <c r="AA764" s="112" t="s">
        <v>1067</v>
      </c>
      <c r="AB764" s="112" t="s">
        <v>1066</v>
      </c>
      <c r="AC764" s="112" t="s">
        <v>92</v>
      </c>
      <c r="AD764" s="112" t="s">
        <v>1066</v>
      </c>
      <c r="AE764" s="112" t="s">
        <v>1066</v>
      </c>
      <c r="AF764" s="112" t="s">
        <v>1066</v>
      </c>
      <c r="AG764" s="112" t="s">
        <v>1066</v>
      </c>
      <c r="AH764" s="112" t="s">
        <v>1066</v>
      </c>
      <c r="AI764" s="112" t="s">
        <v>785</v>
      </c>
      <c r="AJ764" s="112">
        <v>8767081</v>
      </c>
      <c r="AK764" s="112" t="s">
        <v>310</v>
      </c>
      <c r="AL764" s="112">
        <v>874631</v>
      </c>
      <c r="AM764" s="112" t="s">
        <v>1066</v>
      </c>
      <c r="AN764" s="112" t="s">
        <v>1066</v>
      </c>
    </row>
    <row r="765" spans="1:40" ht="55.5" customHeight="1" x14ac:dyDescent="0.25">
      <c r="A765" s="111" t="s">
        <v>3841</v>
      </c>
      <c r="B765" s="112">
        <v>2026</v>
      </c>
      <c r="C765" s="112" t="s">
        <v>1089</v>
      </c>
      <c r="D765" s="113">
        <v>46028.41065972222</v>
      </c>
      <c r="E765" s="112">
        <v>7937535059</v>
      </c>
      <c r="F765" s="112" t="s">
        <v>234</v>
      </c>
      <c r="G765" s="112">
        <v>3</v>
      </c>
      <c r="H765" s="112">
        <v>7937535059</v>
      </c>
      <c r="I765" s="112" t="s">
        <v>3591</v>
      </c>
      <c r="J765" s="112" t="s">
        <v>1092</v>
      </c>
      <c r="K765" s="112" t="s">
        <v>1093</v>
      </c>
      <c r="L765" s="112" t="s">
        <v>1061</v>
      </c>
      <c r="M765" s="112" t="s">
        <v>478</v>
      </c>
      <c r="N765" s="113">
        <v>46428.41065972222</v>
      </c>
      <c r="O765" s="114">
        <v>19002204768</v>
      </c>
      <c r="P765" s="112">
        <v>149</v>
      </c>
      <c r="Q765" s="112" t="s">
        <v>1062</v>
      </c>
      <c r="R765" s="112" t="s">
        <v>1063</v>
      </c>
      <c r="S765" s="113">
        <v>46176.659247685187</v>
      </c>
      <c r="T765" s="112" t="s">
        <v>3592</v>
      </c>
      <c r="U765" s="112" t="s">
        <v>1065</v>
      </c>
      <c r="V765" s="112" t="s">
        <v>1066</v>
      </c>
      <c r="W765" s="112" t="s">
        <v>1066</v>
      </c>
      <c r="X765" s="112" t="s">
        <v>1066</v>
      </c>
      <c r="Y765" s="112" t="s">
        <v>1066</v>
      </c>
      <c r="Z765" s="112" t="s">
        <v>1066</v>
      </c>
      <c r="AA765" s="112" t="s">
        <v>1067</v>
      </c>
      <c r="AB765" s="112" t="s">
        <v>1066</v>
      </c>
      <c r="AC765" s="112" t="s">
        <v>92</v>
      </c>
      <c r="AD765" s="112" t="s">
        <v>1066</v>
      </c>
      <c r="AE765" s="112" t="s">
        <v>1066</v>
      </c>
      <c r="AF765" s="112" t="s">
        <v>1066</v>
      </c>
      <c r="AG765" s="112" t="s">
        <v>1066</v>
      </c>
      <c r="AH765" s="112" t="s">
        <v>1066</v>
      </c>
      <c r="AI765" s="112" t="s">
        <v>785</v>
      </c>
      <c r="AJ765" s="112">
        <v>8862524</v>
      </c>
      <c r="AK765" s="112" t="s">
        <v>264</v>
      </c>
      <c r="AL765" s="112">
        <v>800392</v>
      </c>
      <c r="AM765" s="112" t="s">
        <v>1066</v>
      </c>
      <c r="AN765" s="112" t="s">
        <v>1066</v>
      </c>
    </row>
    <row r="766" spans="1:40" ht="55.5" customHeight="1" x14ac:dyDescent="0.25">
      <c r="A766" s="111" t="s">
        <v>3842</v>
      </c>
      <c r="B766" s="112">
        <v>2026</v>
      </c>
      <c r="C766" s="112" t="s">
        <v>3843</v>
      </c>
      <c r="D766" s="113">
        <v>46212.675358796296</v>
      </c>
      <c r="E766" s="112">
        <v>8855078104</v>
      </c>
      <c r="F766" s="112" t="s">
        <v>170</v>
      </c>
      <c r="G766" s="112">
        <v>3</v>
      </c>
      <c r="H766" s="112">
        <v>5854977104</v>
      </c>
      <c r="I766" s="112" t="s">
        <v>3844</v>
      </c>
      <c r="J766" s="112" t="s">
        <v>1092</v>
      </c>
      <c r="K766" s="112" t="s">
        <v>1330</v>
      </c>
      <c r="L766" s="112" t="s">
        <v>1061</v>
      </c>
      <c r="M766" s="112" t="s">
        <v>478</v>
      </c>
      <c r="N766" s="113">
        <v>46612.675358796296</v>
      </c>
      <c r="O766" s="114">
        <v>19002717013</v>
      </c>
      <c r="P766" s="112">
        <v>79</v>
      </c>
      <c r="Q766" s="112" t="s">
        <v>1074</v>
      </c>
      <c r="R766" s="112" t="s">
        <v>1063</v>
      </c>
      <c r="S766" s="113">
        <v>46224.728576388887</v>
      </c>
      <c r="T766" s="112" t="s">
        <v>3845</v>
      </c>
      <c r="U766" s="112" t="s">
        <v>1065</v>
      </c>
      <c r="V766" s="112" t="s">
        <v>1066</v>
      </c>
      <c r="W766" s="112" t="s">
        <v>1066</v>
      </c>
      <c r="X766" s="112" t="s">
        <v>1332</v>
      </c>
      <c r="Y766" s="112" t="s">
        <v>1066</v>
      </c>
      <c r="Z766" s="112" t="s">
        <v>1066</v>
      </c>
      <c r="AA766" s="112" t="s">
        <v>1067</v>
      </c>
      <c r="AB766" s="112" t="s">
        <v>1066</v>
      </c>
      <c r="AC766" s="112" t="s">
        <v>92</v>
      </c>
      <c r="AD766" s="112" t="s">
        <v>1066</v>
      </c>
      <c r="AE766" s="112" t="s">
        <v>1066</v>
      </c>
      <c r="AF766" s="112" t="s">
        <v>1066</v>
      </c>
      <c r="AG766" s="112" t="s">
        <v>1066</v>
      </c>
      <c r="AH766" s="112" t="s">
        <v>1066</v>
      </c>
      <c r="AI766" s="112" t="s">
        <v>785</v>
      </c>
      <c r="AJ766" s="112">
        <v>9022773</v>
      </c>
      <c r="AK766" s="112" t="s">
        <v>1688</v>
      </c>
      <c r="AL766" s="112">
        <v>821241</v>
      </c>
      <c r="AM766" s="112" t="s">
        <v>1066</v>
      </c>
      <c r="AN766" s="112" t="s">
        <v>1066</v>
      </c>
    </row>
    <row r="767" spans="1:40" ht="55.5" customHeight="1" x14ac:dyDescent="0.25">
      <c r="A767" s="111" t="s">
        <v>3846</v>
      </c>
      <c r="B767" s="112">
        <v>2026</v>
      </c>
      <c r="C767" s="112" t="s">
        <v>1089</v>
      </c>
      <c r="D767" s="113">
        <v>46028.41065972222</v>
      </c>
      <c r="E767" s="112">
        <v>7900969084</v>
      </c>
      <c r="F767" s="112" t="s">
        <v>682</v>
      </c>
      <c r="G767" s="112">
        <v>2</v>
      </c>
      <c r="H767" s="112">
        <v>7900969084</v>
      </c>
      <c r="I767" s="112" t="s">
        <v>3847</v>
      </c>
      <c r="J767" s="112" t="s">
        <v>1092</v>
      </c>
      <c r="K767" s="112" t="s">
        <v>1093</v>
      </c>
      <c r="L767" s="112" t="s">
        <v>1061</v>
      </c>
      <c r="M767" s="112" t="s">
        <v>478</v>
      </c>
      <c r="N767" s="113">
        <v>46428.41065972222</v>
      </c>
      <c r="O767" s="114">
        <v>19002295975</v>
      </c>
      <c r="P767" s="112">
        <v>1.36</v>
      </c>
      <c r="Q767" s="112" t="s">
        <v>1062</v>
      </c>
      <c r="R767" s="112" t="s">
        <v>1063</v>
      </c>
      <c r="S767" s="113">
        <v>46028.476388888892</v>
      </c>
      <c r="T767" s="112" t="s">
        <v>3848</v>
      </c>
      <c r="U767" s="112" t="s">
        <v>1065</v>
      </c>
      <c r="V767" s="112" t="s">
        <v>1066</v>
      </c>
      <c r="W767" s="112" t="s">
        <v>1066</v>
      </c>
      <c r="X767" s="112" t="s">
        <v>1066</v>
      </c>
      <c r="Y767" s="112" t="s">
        <v>1066</v>
      </c>
      <c r="Z767" s="112" t="s">
        <v>1066</v>
      </c>
      <c r="AA767" s="112" t="s">
        <v>1067</v>
      </c>
      <c r="AB767" s="112" t="s">
        <v>1066</v>
      </c>
      <c r="AC767" s="112" t="s">
        <v>92</v>
      </c>
      <c r="AD767" s="112" t="s">
        <v>1066</v>
      </c>
      <c r="AE767" s="112" t="s">
        <v>1066</v>
      </c>
      <c r="AF767" s="112" t="s">
        <v>1066</v>
      </c>
      <c r="AG767" s="112" t="s">
        <v>1066</v>
      </c>
      <c r="AH767" s="112" t="s">
        <v>1066</v>
      </c>
      <c r="AI767" s="112" t="s">
        <v>785</v>
      </c>
      <c r="AJ767" s="112">
        <v>8917015</v>
      </c>
      <c r="AK767" s="112" t="s">
        <v>1311</v>
      </c>
      <c r="AL767" s="112">
        <v>695600</v>
      </c>
      <c r="AM767" s="112" t="s">
        <v>1066</v>
      </c>
      <c r="AN767" s="112" t="s">
        <v>1066</v>
      </c>
    </row>
    <row r="768" spans="1:40" ht="55.5" customHeight="1" x14ac:dyDescent="0.25">
      <c r="A768" s="111" t="s">
        <v>3849</v>
      </c>
      <c r="B768" s="112">
        <v>2026</v>
      </c>
      <c r="C768" s="112" t="s">
        <v>1089</v>
      </c>
      <c r="D768" s="113">
        <v>46028.41065972222</v>
      </c>
      <c r="E768" s="112">
        <v>7908688001</v>
      </c>
      <c r="F768" s="112" t="s">
        <v>2513</v>
      </c>
      <c r="G768" s="112">
        <v>2</v>
      </c>
      <c r="H768" s="112">
        <v>7908688001</v>
      </c>
      <c r="I768" s="112" t="s">
        <v>3850</v>
      </c>
      <c r="J768" s="112" t="s">
        <v>1092</v>
      </c>
      <c r="K768" s="112" t="s">
        <v>1093</v>
      </c>
      <c r="L768" s="112" t="s">
        <v>1061</v>
      </c>
      <c r="M768" s="112" t="s">
        <v>478</v>
      </c>
      <c r="N768" s="113">
        <v>46428.41065972222</v>
      </c>
      <c r="O768" s="114">
        <v>19002218771</v>
      </c>
      <c r="P768" s="112">
        <v>0</v>
      </c>
      <c r="Q768" s="112" t="s">
        <v>1062</v>
      </c>
      <c r="R768" s="112" t="s">
        <v>1063</v>
      </c>
      <c r="S768" s="113">
        <v>46045.629467592589</v>
      </c>
      <c r="T768" s="112" t="s">
        <v>3851</v>
      </c>
      <c r="U768" s="112" t="s">
        <v>1065</v>
      </c>
      <c r="V768" s="112" t="s">
        <v>1066</v>
      </c>
      <c r="W768" s="112" t="s">
        <v>1066</v>
      </c>
      <c r="X768" s="112" t="s">
        <v>1066</v>
      </c>
      <c r="Y768" s="112" t="s">
        <v>1066</v>
      </c>
      <c r="Z768" s="112" t="s">
        <v>1066</v>
      </c>
      <c r="AA768" s="112" t="s">
        <v>1067</v>
      </c>
      <c r="AB768" s="112" t="s">
        <v>1066</v>
      </c>
      <c r="AC768" s="112" t="s">
        <v>92</v>
      </c>
      <c r="AD768" s="112" t="s">
        <v>1066</v>
      </c>
      <c r="AE768" s="112" t="s">
        <v>1066</v>
      </c>
      <c r="AF768" s="112" t="s">
        <v>1066</v>
      </c>
      <c r="AG768" s="112" t="s">
        <v>1066</v>
      </c>
      <c r="AH768" s="112" t="s">
        <v>1066</v>
      </c>
      <c r="AI768" s="112" t="s">
        <v>785</v>
      </c>
      <c r="AJ768" s="112">
        <v>8815403</v>
      </c>
      <c r="AK768" s="112" t="s">
        <v>50</v>
      </c>
      <c r="AL768" s="112">
        <v>784453</v>
      </c>
      <c r="AM768" s="112" t="s">
        <v>1066</v>
      </c>
      <c r="AN768" s="112" t="s">
        <v>1066</v>
      </c>
    </row>
    <row r="769" spans="1:40" ht="55.5" customHeight="1" x14ac:dyDescent="0.25">
      <c r="A769" s="111" t="s">
        <v>3852</v>
      </c>
      <c r="B769" s="112">
        <v>2026</v>
      </c>
      <c r="C769" s="112" t="s">
        <v>1080</v>
      </c>
      <c r="D769" s="113">
        <v>46154.726712962962</v>
      </c>
      <c r="E769" s="112">
        <v>8800469018</v>
      </c>
      <c r="F769" s="112" t="s">
        <v>289</v>
      </c>
      <c r="G769" s="112">
        <v>3</v>
      </c>
      <c r="H769" s="112">
        <v>7957460018</v>
      </c>
      <c r="I769" s="112" t="s">
        <v>3853</v>
      </c>
      <c r="J769" s="112" t="s">
        <v>1082</v>
      </c>
      <c r="K769" s="112" t="s">
        <v>1083</v>
      </c>
      <c r="L769" s="112" t="s">
        <v>1084</v>
      </c>
      <c r="M769" s="112" t="s">
        <v>478</v>
      </c>
      <c r="N769" s="113">
        <v>46214.730011574073</v>
      </c>
      <c r="O769" s="114">
        <v>19002748822</v>
      </c>
      <c r="P769" s="112">
        <v>148</v>
      </c>
      <c r="Q769" s="112" t="s">
        <v>1131</v>
      </c>
      <c r="R769" s="112" t="s">
        <v>1085</v>
      </c>
      <c r="S769" s="113">
        <v>46171.605555555558</v>
      </c>
      <c r="T769" s="112" t="s">
        <v>3854</v>
      </c>
      <c r="U769" s="112" t="s">
        <v>1065</v>
      </c>
      <c r="V769" s="112" t="s">
        <v>1066</v>
      </c>
      <c r="W769" s="112" t="s">
        <v>1066</v>
      </c>
      <c r="X769" s="112" t="s">
        <v>1066</v>
      </c>
      <c r="Y769" s="112" t="s">
        <v>1066</v>
      </c>
      <c r="Z769" s="112" t="s">
        <v>1066</v>
      </c>
      <c r="AA769" s="112" t="s">
        <v>1067</v>
      </c>
      <c r="AB769" s="112" t="s">
        <v>1066</v>
      </c>
      <c r="AC769" s="112" t="s">
        <v>92</v>
      </c>
      <c r="AD769" s="112" t="s">
        <v>1066</v>
      </c>
      <c r="AE769" s="112" t="s">
        <v>1066</v>
      </c>
      <c r="AF769" s="112" t="s">
        <v>1066</v>
      </c>
      <c r="AG769" s="112" t="s">
        <v>1066</v>
      </c>
      <c r="AH769" s="112" t="s">
        <v>3855</v>
      </c>
      <c r="AI769" s="112" t="s">
        <v>785</v>
      </c>
      <c r="AJ769" s="112">
        <v>8995504</v>
      </c>
      <c r="AK769" s="112" t="s">
        <v>1766</v>
      </c>
      <c r="AL769" s="112">
        <v>858910</v>
      </c>
      <c r="AM769" s="112" t="s">
        <v>1066</v>
      </c>
      <c r="AN769" s="112" t="s">
        <v>1066</v>
      </c>
    </row>
    <row r="770" spans="1:40" ht="55.5" customHeight="1" x14ac:dyDescent="0.25">
      <c r="A770" s="111" t="s">
        <v>3856</v>
      </c>
      <c r="B770" s="112">
        <v>2026</v>
      </c>
      <c r="C770" s="112" t="s">
        <v>3857</v>
      </c>
      <c r="D770" s="113">
        <v>46225.298067129632</v>
      </c>
      <c r="E770" s="112">
        <v>8800168265</v>
      </c>
      <c r="F770" s="112" t="s">
        <v>191</v>
      </c>
      <c r="G770" s="112">
        <v>2</v>
      </c>
      <c r="H770" s="112">
        <v>5855189265</v>
      </c>
      <c r="I770" s="112" t="s">
        <v>3858</v>
      </c>
      <c r="J770" s="112" t="s">
        <v>1071</v>
      </c>
      <c r="K770" s="112" t="s">
        <v>1130</v>
      </c>
      <c r="L770" s="112" t="s">
        <v>1073</v>
      </c>
      <c r="M770" s="112" t="s">
        <v>478</v>
      </c>
      <c r="N770" s="113">
        <v>46228.298067129632</v>
      </c>
      <c r="O770" s="114">
        <v>19002725721</v>
      </c>
      <c r="P770" s="112">
        <v>3.2890000000000001</v>
      </c>
      <c r="Q770" s="112" t="s">
        <v>1074</v>
      </c>
      <c r="R770" s="112" t="s">
        <v>1063</v>
      </c>
      <c r="S770" s="113">
        <v>46248.729166666664</v>
      </c>
      <c r="T770" s="112" t="s">
        <v>3859</v>
      </c>
      <c r="U770" s="112" t="s">
        <v>1065</v>
      </c>
      <c r="V770" s="112" t="s">
        <v>1066</v>
      </c>
      <c r="W770" s="112" t="s">
        <v>1066</v>
      </c>
      <c r="X770" s="112" t="s">
        <v>1077</v>
      </c>
      <c r="Y770" s="112" t="s">
        <v>1066</v>
      </c>
      <c r="Z770" s="112" t="s">
        <v>2311</v>
      </c>
      <c r="AA770" s="112" t="s">
        <v>1067</v>
      </c>
      <c r="AB770" s="112" t="s">
        <v>1066</v>
      </c>
      <c r="AC770" s="112" t="s">
        <v>92</v>
      </c>
      <c r="AD770" s="112" t="s">
        <v>1066</v>
      </c>
      <c r="AE770" s="112" t="s">
        <v>1066</v>
      </c>
      <c r="AF770" s="112" t="s">
        <v>1066</v>
      </c>
      <c r="AG770" s="112" t="s">
        <v>1066</v>
      </c>
      <c r="AH770" s="112" t="s">
        <v>1066</v>
      </c>
      <c r="AI770" s="112" t="s">
        <v>785</v>
      </c>
      <c r="AJ770" s="112">
        <v>9151003</v>
      </c>
      <c r="AK770" s="112" t="s">
        <v>3860</v>
      </c>
      <c r="AL770" s="112">
        <v>871871</v>
      </c>
      <c r="AM770" s="112" t="s">
        <v>1066</v>
      </c>
      <c r="AN770" s="112" t="s">
        <v>1066</v>
      </c>
    </row>
    <row r="771" spans="1:40" ht="55.5" customHeight="1" x14ac:dyDescent="0.25">
      <c r="A771" s="111" t="s">
        <v>3861</v>
      </c>
      <c r="B771" s="112">
        <v>2026</v>
      </c>
      <c r="C771" s="112" t="s">
        <v>3862</v>
      </c>
      <c r="D771" s="113">
        <v>46170.731921296298</v>
      </c>
      <c r="E771" s="112">
        <v>7926078046</v>
      </c>
      <c r="F771" s="112" t="s">
        <v>1219</v>
      </c>
      <c r="G771" s="112">
        <v>3</v>
      </c>
      <c r="H771" s="112">
        <v>7926078046</v>
      </c>
      <c r="I771" s="112" t="s">
        <v>1220</v>
      </c>
      <c r="J771" s="112" t="s">
        <v>1092</v>
      </c>
      <c r="K771" s="112" t="s">
        <v>1093</v>
      </c>
      <c r="L771" s="112" t="s">
        <v>1084</v>
      </c>
      <c r="M771" s="112" t="s">
        <v>478</v>
      </c>
      <c r="N771" s="113">
        <v>46230.731921296298</v>
      </c>
      <c r="O771" s="114">
        <v>19002206318</v>
      </c>
      <c r="P771" s="112">
        <v>219</v>
      </c>
      <c r="Q771" s="112" t="s">
        <v>1062</v>
      </c>
      <c r="R771" s="112" t="s">
        <v>1085</v>
      </c>
      <c r="S771" s="113">
        <v>46167.730671296296</v>
      </c>
      <c r="T771" s="112" t="s">
        <v>3837</v>
      </c>
      <c r="U771" s="112" t="s">
        <v>1065</v>
      </c>
      <c r="V771" s="112" t="s">
        <v>1066</v>
      </c>
      <c r="W771" s="112" t="s">
        <v>1066</v>
      </c>
      <c r="X771" s="112" t="s">
        <v>983</v>
      </c>
      <c r="Y771" s="112" t="s">
        <v>1066</v>
      </c>
      <c r="Z771" s="112" t="s">
        <v>1066</v>
      </c>
      <c r="AA771" s="112" t="s">
        <v>1067</v>
      </c>
      <c r="AB771" s="112" t="s">
        <v>1066</v>
      </c>
      <c r="AC771" s="112" t="s">
        <v>92</v>
      </c>
      <c r="AD771" s="112" t="s">
        <v>1066</v>
      </c>
      <c r="AE771" s="112" t="s">
        <v>1066</v>
      </c>
      <c r="AF771" s="112" t="s">
        <v>1066</v>
      </c>
      <c r="AG771" s="112" t="s">
        <v>1066</v>
      </c>
      <c r="AH771" s="112" t="s">
        <v>1066</v>
      </c>
      <c r="AI771" s="112" t="s">
        <v>785</v>
      </c>
      <c r="AJ771" s="112">
        <v>8822512</v>
      </c>
      <c r="AK771" s="112" t="s">
        <v>1221</v>
      </c>
      <c r="AL771" s="112">
        <v>728423</v>
      </c>
      <c r="AM771" s="112" t="s">
        <v>1066</v>
      </c>
      <c r="AN771" s="112" t="s">
        <v>1066</v>
      </c>
    </row>
    <row r="772" spans="1:40" ht="55.5" customHeight="1" x14ac:dyDescent="0.25">
      <c r="A772" s="111" t="s">
        <v>3863</v>
      </c>
      <c r="B772" s="112">
        <v>2026</v>
      </c>
      <c r="C772" s="112" t="s">
        <v>1213</v>
      </c>
      <c r="D772" s="113">
        <v>46122.549942129626</v>
      </c>
      <c r="E772" s="112">
        <v>7900005068</v>
      </c>
      <c r="F772" s="112" t="s">
        <v>2446</v>
      </c>
      <c r="G772" s="112">
        <v>3</v>
      </c>
      <c r="H772" s="112">
        <v>7900005068</v>
      </c>
      <c r="I772" s="112" t="s">
        <v>3864</v>
      </c>
      <c r="J772" s="112" t="s">
        <v>1066</v>
      </c>
      <c r="K772" s="112" t="s">
        <v>1125</v>
      </c>
      <c r="L772" s="112" t="s">
        <v>1061</v>
      </c>
      <c r="M772" s="112" t="s">
        <v>478</v>
      </c>
      <c r="N772" s="113">
        <v>46522.549942129626</v>
      </c>
      <c r="O772" s="114">
        <v>19002218590</v>
      </c>
      <c r="P772" s="112">
        <v>4.367</v>
      </c>
      <c r="Q772" s="112" t="s">
        <v>1062</v>
      </c>
      <c r="R772" s="112" t="s">
        <v>1063</v>
      </c>
      <c r="S772" s="113">
        <v>46135.729166666664</v>
      </c>
      <c r="T772" s="112" t="s">
        <v>3865</v>
      </c>
      <c r="U772" s="112" t="s">
        <v>1065</v>
      </c>
      <c r="V772" s="112" t="s">
        <v>1066</v>
      </c>
      <c r="W772" s="112" t="s">
        <v>1066</v>
      </c>
      <c r="X772" s="112" t="s">
        <v>1066</v>
      </c>
      <c r="Y772" s="112" t="s">
        <v>1066</v>
      </c>
      <c r="Z772" s="112" t="s">
        <v>1066</v>
      </c>
      <c r="AA772" s="112" t="s">
        <v>1067</v>
      </c>
      <c r="AB772" s="112" t="s">
        <v>1066</v>
      </c>
      <c r="AC772" s="112" t="s">
        <v>92</v>
      </c>
      <c r="AD772" s="112" t="s">
        <v>1066</v>
      </c>
      <c r="AE772" s="112" t="s">
        <v>1066</v>
      </c>
      <c r="AF772" s="112" t="s">
        <v>1066</v>
      </c>
      <c r="AG772" s="112" t="s">
        <v>1066</v>
      </c>
      <c r="AH772" s="112" t="s">
        <v>1066</v>
      </c>
      <c r="AI772" s="112" t="s">
        <v>785</v>
      </c>
      <c r="AJ772" s="112">
        <v>9413915</v>
      </c>
      <c r="AK772" s="112" t="s">
        <v>3728</v>
      </c>
      <c r="AL772" s="112">
        <v>809945</v>
      </c>
      <c r="AM772" s="112" t="s">
        <v>1066</v>
      </c>
      <c r="AN772" s="112" t="s">
        <v>1066</v>
      </c>
    </row>
    <row r="773" spans="1:40" ht="55.5" customHeight="1" x14ac:dyDescent="0.25">
      <c r="A773" s="111" t="s">
        <v>3866</v>
      </c>
      <c r="B773" s="112">
        <v>2026</v>
      </c>
      <c r="C773" s="112" t="s">
        <v>1057</v>
      </c>
      <c r="D773" s="113">
        <v>46125.584386574075</v>
      </c>
      <c r="E773" s="112">
        <v>7923110021</v>
      </c>
      <c r="F773" s="112" t="s">
        <v>377</v>
      </c>
      <c r="G773" s="112">
        <v>3</v>
      </c>
      <c r="H773" s="112">
        <v>7923110021</v>
      </c>
      <c r="I773" s="112" t="s">
        <v>3867</v>
      </c>
      <c r="J773" s="112" t="s">
        <v>1066</v>
      </c>
      <c r="K773" s="112" t="s">
        <v>1125</v>
      </c>
      <c r="L773" s="112" t="s">
        <v>1061</v>
      </c>
      <c r="M773" s="112" t="s">
        <v>478</v>
      </c>
      <c r="N773" s="113">
        <v>46525.584386574075</v>
      </c>
      <c r="O773" s="114">
        <v>19002223315</v>
      </c>
      <c r="P773" s="112">
        <v>526</v>
      </c>
      <c r="Q773" s="112" t="s">
        <v>1062</v>
      </c>
      <c r="R773" s="112" t="s">
        <v>1063</v>
      </c>
      <c r="S773" s="113">
        <v>46176.573055555556</v>
      </c>
      <c r="T773" s="112" t="s">
        <v>3868</v>
      </c>
      <c r="U773" s="112" t="s">
        <v>1065</v>
      </c>
      <c r="V773" s="112" t="s">
        <v>1066</v>
      </c>
      <c r="W773" s="112" t="s">
        <v>1066</v>
      </c>
      <c r="X773" s="112" t="s">
        <v>1066</v>
      </c>
      <c r="Y773" s="112" t="s">
        <v>1066</v>
      </c>
      <c r="Z773" s="112" t="s">
        <v>1066</v>
      </c>
      <c r="AA773" s="112" t="s">
        <v>1067</v>
      </c>
      <c r="AB773" s="112" t="s">
        <v>1066</v>
      </c>
      <c r="AC773" s="112" t="s">
        <v>92</v>
      </c>
      <c r="AD773" s="112" t="s">
        <v>1066</v>
      </c>
      <c r="AE773" s="112" t="s">
        <v>1066</v>
      </c>
      <c r="AF773" s="112" t="s">
        <v>1066</v>
      </c>
      <c r="AG773" s="112" t="s">
        <v>1066</v>
      </c>
      <c r="AH773" s="112" t="s">
        <v>1066</v>
      </c>
      <c r="AI773" s="112" t="s">
        <v>785</v>
      </c>
      <c r="AJ773" s="112">
        <v>8598385</v>
      </c>
      <c r="AK773" s="112" t="s">
        <v>223</v>
      </c>
      <c r="AL773" s="112">
        <v>848856</v>
      </c>
      <c r="AM773" s="112" t="s">
        <v>1066</v>
      </c>
      <c r="AN773" s="112" t="s">
        <v>1066</v>
      </c>
    </row>
    <row r="774" spans="1:40" ht="55.5" customHeight="1" x14ac:dyDescent="0.25">
      <c r="A774" s="115" t="s">
        <v>3869</v>
      </c>
      <c r="B774" s="116">
        <v>2026</v>
      </c>
      <c r="C774" s="116" t="s">
        <v>3870</v>
      </c>
      <c r="D774" s="118">
        <v>46211.438703703701</v>
      </c>
      <c r="E774" s="116">
        <v>7910027196</v>
      </c>
      <c r="F774" s="116" t="s">
        <v>234</v>
      </c>
      <c r="G774" s="116">
        <v>3</v>
      </c>
      <c r="H774" s="116">
        <v>7910027196</v>
      </c>
      <c r="I774" s="116" t="s">
        <v>1608</v>
      </c>
      <c r="J774" s="116" t="s">
        <v>1092</v>
      </c>
      <c r="K774" s="116" t="s">
        <v>1191</v>
      </c>
      <c r="L774" s="116" t="s">
        <v>1061</v>
      </c>
      <c r="M774" s="116" t="s">
        <v>588</v>
      </c>
      <c r="N774" s="118">
        <v>46625.337175925924</v>
      </c>
      <c r="O774" s="119">
        <v>19002212975</v>
      </c>
      <c r="P774" s="116">
        <v>211</v>
      </c>
      <c r="Q774" s="116" t="s">
        <v>1062</v>
      </c>
      <c r="R774" s="116" t="s">
        <v>1063</v>
      </c>
      <c r="S774" s="116" t="s">
        <v>1066</v>
      </c>
      <c r="T774" s="116" t="s">
        <v>1066</v>
      </c>
      <c r="U774" s="116" t="s">
        <v>1066</v>
      </c>
      <c r="V774" s="116" t="s">
        <v>1066</v>
      </c>
      <c r="W774" s="116" t="s">
        <v>1066</v>
      </c>
      <c r="X774" s="116" t="s">
        <v>1066</v>
      </c>
      <c r="Y774" s="116" t="s">
        <v>1066</v>
      </c>
      <c r="Z774" s="116" t="s">
        <v>1066</v>
      </c>
      <c r="AA774" s="116" t="s">
        <v>1067</v>
      </c>
      <c r="AB774" s="116" t="s">
        <v>1066</v>
      </c>
      <c r="AC774" s="116" t="s">
        <v>92</v>
      </c>
      <c r="AD774" s="116" t="s">
        <v>1066</v>
      </c>
      <c r="AE774" s="116" t="s">
        <v>1066</v>
      </c>
      <c r="AF774" s="116" t="s">
        <v>1066</v>
      </c>
      <c r="AG774" s="116" t="s">
        <v>1066</v>
      </c>
      <c r="AH774" s="116" t="s">
        <v>3871</v>
      </c>
      <c r="AI774" s="116" t="s">
        <v>785</v>
      </c>
      <c r="AJ774" s="116">
        <v>8859703</v>
      </c>
      <c r="AK774" s="116" t="s">
        <v>233</v>
      </c>
      <c r="AL774" s="116">
        <v>876869</v>
      </c>
      <c r="AM774" s="116" t="s">
        <v>1066</v>
      </c>
      <c r="AN774" s="116" t="s">
        <v>1066</v>
      </c>
    </row>
    <row r="775" spans="1:40" ht="55.5" customHeight="1" x14ac:dyDescent="0.25">
      <c r="A775" s="111" t="s">
        <v>3872</v>
      </c>
      <c r="B775" s="112">
        <v>2026</v>
      </c>
      <c r="C775" s="112" t="s">
        <v>1089</v>
      </c>
      <c r="D775" s="113">
        <v>46028.41065972222</v>
      </c>
      <c r="E775" s="112">
        <v>7900290092</v>
      </c>
      <c r="F775" s="112" t="s">
        <v>1090</v>
      </c>
      <c r="G775" s="112">
        <v>2</v>
      </c>
      <c r="H775" s="112">
        <v>7900290092</v>
      </c>
      <c r="I775" s="112" t="s">
        <v>3873</v>
      </c>
      <c r="J775" s="112" t="s">
        <v>1092</v>
      </c>
      <c r="K775" s="112" t="s">
        <v>1093</v>
      </c>
      <c r="L775" s="112" t="s">
        <v>1061</v>
      </c>
      <c r="M775" s="112" t="s">
        <v>478</v>
      </c>
      <c r="N775" s="113">
        <v>46428.41065972222</v>
      </c>
      <c r="O775" s="114">
        <v>19002295962</v>
      </c>
      <c r="P775" s="112">
        <v>0</v>
      </c>
      <c r="Q775" s="112" t="s">
        <v>1062</v>
      </c>
      <c r="R775" s="112" t="s">
        <v>1063</v>
      </c>
      <c r="S775" s="113">
        <v>46086.713101851848</v>
      </c>
      <c r="T775" s="112" t="s">
        <v>3874</v>
      </c>
      <c r="U775" s="112" t="s">
        <v>1065</v>
      </c>
      <c r="V775" s="112" t="s">
        <v>1066</v>
      </c>
      <c r="W775" s="112" t="s">
        <v>1066</v>
      </c>
      <c r="X775" s="112" t="s">
        <v>1066</v>
      </c>
      <c r="Y775" s="112" t="s">
        <v>1066</v>
      </c>
      <c r="Z775" s="112" t="s">
        <v>1066</v>
      </c>
      <c r="AA775" s="112" t="s">
        <v>1067</v>
      </c>
      <c r="AB775" s="112" t="s">
        <v>1066</v>
      </c>
      <c r="AC775" s="112" t="s">
        <v>92</v>
      </c>
      <c r="AD775" s="112" t="s">
        <v>1066</v>
      </c>
      <c r="AE775" s="112" t="s">
        <v>1066</v>
      </c>
      <c r="AF775" s="112" t="s">
        <v>1066</v>
      </c>
      <c r="AG775" s="112" t="s">
        <v>1066</v>
      </c>
      <c r="AH775" s="112" t="s">
        <v>1066</v>
      </c>
      <c r="AI775" s="112" t="s">
        <v>785</v>
      </c>
      <c r="AJ775" s="112">
        <v>8893996</v>
      </c>
      <c r="AK775" s="112" t="s">
        <v>1095</v>
      </c>
      <c r="AL775" s="112">
        <v>856532</v>
      </c>
      <c r="AM775" s="112" t="s">
        <v>1066</v>
      </c>
      <c r="AN775" s="112" t="s">
        <v>1066</v>
      </c>
    </row>
    <row r="776" spans="1:40" ht="55.5" customHeight="1" x14ac:dyDescent="0.25">
      <c r="A776" s="111" t="s">
        <v>3875</v>
      </c>
      <c r="B776" s="112">
        <v>2026</v>
      </c>
      <c r="C776" s="112" t="s">
        <v>3876</v>
      </c>
      <c r="D776" s="113">
        <v>46179.216944444444</v>
      </c>
      <c r="E776" s="112">
        <v>7900648055</v>
      </c>
      <c r="F776" s="112" t="s">
        <v>2035</v>
      </c>
      <c r="G776" s="112">
        <v>3</v>
      </c>
      <c r="H776" s="112">
        <v>7900648055</v>
      </c>
      <c r="I776" s="112" t="s">
        <v>3877</v>
      </c>
      <c r="J776" s="112" t="s">
        <v>1071</v>
      </c>
      <c r="K776" s="112" t="s">
        <v>1323</v>
      </c>
      <c r="L776" s="112" t="s">
        <v>1073</v>
      </c>
      <c r="M776" s="112" t="s">
        <v>478</v>
      </c>
      <c r="N776" s="113">
        <v>46182.216944444444</v>
      </c>
      <c r="O776" s="114">
        <v>19002223256</v>
      </c>
      <c r="P776" s="112">
        <v>0</v>
      </c>
      <c r="Q776" s="112" t="s">
        <v>1062</v>
      </c>
      <c r="R776" s="112" t="s">
        <v>1324</v>
      </c>
      <c r="S776" s="113">
        <v>46163.683993055558</v>
      </c>
      <c r="T776" s="112" t="s">
        <v>3878</v>
      </c>
      <c r="U776" s="112" t="s">
        <v>1065</v>
      </c>
      <c r="V776" s="112" t="s">
        <v>1066</v>
      </c>
      <c r="W776" s="112" t="s">
        <v>1066</v>
      </c>
      <c r="X776" s="112" t="s">
        <v>1117</v>
      </c>
      <c r="Y776" s="112" t="s">
        <v>1066</v>
      </c>
      <c r="Z776" s="112" t="s">
        <v>1318</v>
      </c>
      <c r="AA776" s="112" t="s">
        <v>1067</v>
      </c>
      <c r="AB776" s="112" t="s">
        <v>1066</v>
      </c>
      <c r="AC776" s="112" t="s">
        <v>92</v>
      </c>
      <c r="AD776" s="112" t="s">
        <v>1066</v>
      </c>
      <c r="AE776" s="112" t="s">
        <v>1066</v>
      </c>
      <c r="AF776" s="112" t="s">
        <v>1066</v>
      </c>
      <c r="AG776" s="112" t="s">
        <v>1066</v>
      </c>
      <c r="AH776" s="112" t="s">
        <v>1066</v>
      </c>
      <c r="AI776" s="112" t="s">
        <v>785</v>
      </c>
      <c r="AJ776" s="112">
        <v>9025445</v>
      </c>
      <c r="AK776" s="112" t="s">
        <v>482</v>
      </c>
      <c r="AL776" s="112">
        <v>659568</v>
      </c>
      <c r="AM776" s="112" t="s">
        <v>1066</v>
      </c>
      <c r="AN776" s="112" t="s">
        <v>1066</v>
      </c>
    </row>
    <row r="777" spans="1:40" ht="55.5" customHeight="1" x14ac:dyDescent="0.25">
      <c r="A777" s="111" t="s">
        <v>3879</v>
      </c>
      <c r="B777" s="112">
        <v>2026</v>
      </c>
      <c r="C777" s="112" t="s">
        <v>1089</v>
      </c>
      <c r="D777" s="113">
        <v>46028.41065972222</v>
      </c>
      <c r="E777" s="112">
        <v>7921201014</v>
      </c>
      <c r="F777" s="112" t="s">
        <v>1274</v>
      </c>
      <c r="G777" s="112">
        <v>3</v>
      </c>
      <c r="H777" s="112">
        <v>7921201014</v>
      </c>
      <c r="I777" s="112" t="s">
        <v>1275</v>
      </c>
      <c r="J777" s="112" t="s">
        <v>1092</v>
      </c>
      <c r="K777" s="112" t="s">
        <v>1093</v>
      </c>
      <c r="L777" s="112" t="s">
        <v>1061</v>
      </c>
      <c r="M777" s="112" t="s">
        <v>478</v>
      </c>
      <c r="N777" s="113">
        <v>46428.41065972222</v>
      </c>
      <c r="O777" s="114">
        <v>19002682454</v>
      </c>
      <c r="P777" s="112">
        <v>0</v>
      </c>
      <c r="Q777" s="112" t="s">
        <v>1062</v>
      </c>
      <c r="R777" s="112" t="s">
        <v>1063</v>
      </c>
      <c r="S777" s="113">
        <v>46049.731365740743</v>
      </c>
      <c r="T777" s="112" t="s">
        <v>1276</v>
      </c>
      <c r="U777" s="112" t="s">
        <v>1065</v>
      </c>
      <c r="V777" s="112" t="s">
        <v>1066</v>
      </c>
      <c r="W777" s="112" t="s">
        <v>1066</v>
      </c>
      <c r="X777" s="112" t="s">
        <v>1066</v>
      </c>
      <c r="Y777" s="112" t="s">
        <v>1066</v>
      </c>
      <c r="Z777" s="112" t="s">
        <v>1066</v>
      </c>
      <c r="AA777" s="112" t="s">
        <v>1067</v>
      </c>
      <c r="AB777" s="112" t="s">
        <v>1066</v>
      </c>
      <c r="AC777" s="112" t="s">
        <v>92</v>
      </c>
      <c r="AD777" s="112" t="s">
        <v>1066</v>
      </c>
      <c r="AE777" s="112" t="s">
        <v>1066</v>
      </c>
      <c r="AF777" s="112" t="s">
        <v>1066</v>
      </c>
      <c r="AG777" s="112" t="s">
        <v>1066</v>
      </c>
      <c r="AH777" s="112" t="s">
        <v>1066</v>
      </c>
      <c r="AI777" s="112" t="s">
        <v>785</v>
      </c>
      <c r="AJ777" s="112">
        <v>8842507</v>
      </c>
      <c r="AK777" s="112" t="s">
        <v>164</v>
      </c>
      <c r="AL777" s="112">
        <v>655322</v>
      </c>
      <c r="AM777" s="112" t="s">
        <v>1066</v>
      </c>
      <c r="AN777" s="112" t="s">
        <v>1066</v>
      </c>
    </row>
    <row r="778" spans="1:40" ht="55.5" customHeight="1" x14ac:dyDescent="0.25">
      <c r="A778" s="111" t="s">
        <v>3880</v>
      </c>
      <c r="B778" s="112">
        <v>2026</v>
      </c>
      <c r="C778" s="112" t="s">
        <v>1089</v>
      </c>
      <c r="D778" s="113">
        <v>46028.41065972222</v>
      </c>
      <c r="E778" s="112">
        <v>7900117013</v>
      </c>
      <c r="F778" s="112" t="s">
        <v>118</v>
      </c>
      <c r="G778" s="112">
        <v>1</v>
      </c>
      <c r="H778" s="112">
        <v>7900117013</v>
      </c>
      <c r="I778" s="112" t="s">
        <v>3881</v>
      </c>
      <c r="J778" s="112" t="s">
        <v>1092</v>
      </c>
      <c r="K778" s="112" t="s">
        <v>1093</v>
      </c>
      <c r="L778" s="112" t="s">
        <v>1061</v>
      </c>
      <c r="M778" s="112" t="s">
        <v>478</v>
      </c>
      <c r="N778" s="113">
        <v>46428.41065972222</v>
      </c>
      <c r="O778" s="114">
        <v>19002220069</v>
      </c>
      <c r="P778" s="112">
        <v>4.5330000000000004</v>
      </c>
      <c r="Q778" s="112" t="s">
        <v>1062</v>
      </c>
      <c r="R778" s="112" t="s">
        <v>1063</v>
      </c>
      <c r="S778" s="113">
        <v>46030.462500000001</v>
      </c>
      <c r="T778" s="112" t="s">
        <v>3882</v>
      </c>
      <c r="U778" s="112" t="s">
        <v>1065</v>
      </c>
      <c r="V778" s="112" t="s">
        <v>1066</v>
      </c>
      <c r="W778" s="112" t="s">
        <v>1066</v>
      </c>
      <c r="X778" s="112" t="s">
        <v>1066</v>
      </c>
      <c r="Y778" s="112" t="s">
        <v>1066</v>
      </c>
      <c r="Z778" s="112" t="s">
        <v>1066</v>
      </c>
      <c r="AA778" s="112" t="s">
        <v>1067</v>
      </c>
      <c r="AB778" s="112" t="s">
        <v>1066</v>
      </c>
      <c r="AC778" s="112" t="s">
        <v>92</v>
      </c>
      <c r="AD778" s="112" t="s">
        <v>1066</v>
      </c>
      <c r="AE778" s="112" t="s">
        <v>1066</v>
      </c>
      <c r="AF778" s="112" t="s">
        <v>1066</v>
      </c>
      <c r="AG778" s="112" t="s">
        <v>1066</v>
      </c>
      <c r="AH778" s="112" t="s">
        <v>1066</v>
      </c>
      <c r="AI778" s="112" t="s">
        <v>785</v>
      </c>
      <c r="AJ778" s="112">
        <v>8875436</v>
      </c>
      <c r="AK778" s="112" t="s">
        <v>117</v>
      </c>
      <c r="AL778" s="112">
        <v>731274</v>
      </c>
      <c r="AM778" s="112" t="s">
        <v>1066</v>
      </c>
      <c r="AN778" s="112" t="s">
        <v>1066</v>
      </c>
    </row>
    <row r="779" spans="1:40" ht="55.5" customHeight="1" x14ac:dyDescent="0.25">
      <c r="A779" s="111" t="s">
        <v>3883</v>
      </c>
      <c r="B779" s="112">
        <v>2026</v>
      </c>
      <c r="C779" s="112" t="s">
        <v>3884</v>
      </c>
      <c r="D779" s="113">
        <v>45999.623206018521</v>
      </c>
      <c r="E779" s="112">
        <v>8800519038</v>
      </c>
      <c r="F779" s="112" t="s">
        <v>674</v>
      </c>
      <c r="G779" s="112">
        <v>2</v>
      </c>
      <c r="H779" s="112">
        <v>7963521038</v>
      </c>
      <c r="I779" s="112" t="s">
        <v>3885</v>
      </c>
      <c r="J779" s="112" t="s">
        <v>1231</v>
      </c>
      <c r="K779" s="112" t="s">
        <v>1232</v>
      </c>
      <c r="L779" s="112" t="s">
        <v>1084</v>
      </c>
      <c r="M779" s="112" t="s">
        <v>478</v>
      </c>
      <c r="N779" s="113">
        <v>46097.652303240742</v>
      </c>
      <c r="O779" s="114">
        <v>19002813267</v>
      </c>
      <c r="P779" s="112">
        <v>127</v>
      </c>
      <c r="Q779" s="112" t="s">
        <v>1131</v>
      </c>
      <c r="R779" s="112" t="s">
        <v>1206</v>
      </c>
      <c r="S779" s="113">
        <v>46078.75271990741</v>
      </c>
      <c r="T779" s="112" t="s">
        <v>3886</v>
      </c>
      <c r="U779" s="112" t="s">
        <v>1065</v>
      </c>
      <c r="V779" s="112" t="s">
        <v>1066</v>
      </c>
      <c r="W779" s="112" t="s">
        <v>1066</v>
      </c>
      <c r="X779" s="112" t="s">
        <v>983</v>
      </c>
      <c r="Y779" s="112" t="s">
        <v>1066</v>
      </c>
      <c r="Z779" s="112" t="s">
        <v>1066</v>
      </c>
      <c r="AA779" s="112" t="s">
        <v>1067</v>
      </c>
      <c r="AB779" s="112" t="s">
        <v>1066</v>
      </c>
      <c r="AC779" s="112" t="s">
        <v>92</v>
      </c>
      <c r="AD779" s="112" t="s">
        <v>1066</v>
      </c>
      <c r="AE779" s="112" t="s">
        <v>1066</v>
      </c>
      <c r="AF779" s="112" t="s">
        <v>1066</v>
      </c>
      <c r="AG779" s="112" t="s">
        <v>1066</v>
      </c>
      <c r="AH779" s="112" t="s">
        <v>3887</v>
      </c>
      <c r="AI779" s="112" t="s">
        <v>785</v>
      </c>
      <c r="AJ779" s="112">
        <v>8634569</v>
      </c>
      <c r="AK779" s="112" t="s">
        <v>627</v>
      </c>
      <c r="AL779" s="112">
        <v>986101</v>
      </c>
      <c r="AM779" s="112" t="s">
        <v>1066</v>
      </c>
      <c r="AN779" s="112" t="s">
        <v>1066</v>
      </c>
    </row>
    <row r="780" spans="1:40" ht="55.5" customHeight="1" x14ac:dyDescent="0.25">
      <c r="A780" s="111" t="s">
        <v>3888</v>
      </c>
      <c r="B780" s="112">
        <v>2026</v>
      </c>
      <c r="C780" s="112" t="s">
        <v>1057</v>
      </c>
      <c r="D780" s="113">
        <v>46125.614548611113</v>
      </c>
      <c r="E780" s="112">
        <v>7900757013</v>
      </c>
      <c r="F780" s="112" t="s">
        <v>118</v>
      </c>
      <c r="G780" s="112">
        <v>2</v>
      </c>
      <c r="H780" s="112">
        <v>7900757013</v>
      </c>
      <c r="I780" s="112" t="s">
        <v>3889</v>
      </c>
      <c r="J780" s="112" t="s">
        <v>1066</v>
      </c>
      <c r="K780" s="112" t="s">
        <v>1125</v>
      </c>
      <c r="L780" s="112" t="s">
        <v>1061</v>
      </c>
      <c r="M780" s="112" t="s">
        <v>478</v>
      </c>
      <c r="N780" s="113">
        <v>46525.614548611113</v>
      </c>
      <c r="O780" s="114">
        <v>19002766299</v>
      </c>
      <c r="P780" s="112">
        <v>0</v>
      </c>
      <c r="Q780" s="112" t="s">
        <v>1062</v>
      </c>
      <c r="R780" s="112" t="s">
        <v>1063</v>
      </c>
      <c r="S780" s="113">
        <v>46174.3125</v>
      </c>
      <c r="T780" s="112" t="s">
        <v>1307</v>
      </c>
      <c r="U780" s="112" t="s">
        <v>1065</v>
      </c>
      <c r="V780" s="112" t="s">
        <v>1066</v>
      </c>
      <c r="W780" s="112" t="s">
        <v>1066</v>
      </c>
      <c r="X780" s="112" t="s">
        <v>1066</v>
      </c>
      <c r="Y780" s="112" t="s">
        <v>1066</v>
      </c>
      <c r="Z780" s="112" t="s">
        <v>1066</v>
      </c>
      <c r="AA780" s="112" t="s">
        <v>1067</v>
      </c>
      <c r="AB780" s="112" t="s">
        <v>1066</v>
      </c>
      <c r="AC780" s="112" t="s">
        <v>92</v>
      </c>
      <c r="AD780" s="112" t="s">
        <v>1066</v>
      </c>
      <c r="AE780" s="112" t="s">
        <v>1066</v>
      </c>
      <c r="AF780" s="112" t="s">
        <v>1066</v>
      </c>
      <c r="AG780" s="112" t="s">
        <v>1066</v>
      </c>
      <c r="AH780" s="112" t="s">
        <v>1066</v>
      </c>
      <c r="AI780" s="112" t="s">
        <v>785</v>
      </c>
      <c r="AJ780" s="112">
        <v>8875196</v>
      </c>
      <c r="AK780" s="112" t="s">
        <v>117</v>
      </c>
      <c r="AL780" s="112">
        <v>732139</v>
      </c>
      <c r="AM780" s="112" t="s">
        <v>1066</v>
      </c>
      <c r="AN780" s="112" t="s">
        <v>1066</v>
      </c>
    </row>
    <row r="781" spans="1:40" ht="55.5" customHeight="1" x14ac:dyDescent="0.25">
      <c r="A781" s="111" t="s">
        <v>3890</v>
      </c>
      <c r="B781" s="112">
        <v>2026</v>
      </c>
      <c r="C781" s="112" t="s">
        <v>3891</v>
      </c>
      <c r="D781" s="113">
        <v>46148.985520833332</v>
      </c>
      <c r="E781" s="112">
        <v>9001665014</v>
      </c>
      <c r="F781" s="112" t="s">
        <v>1274</v>
      </c>
      <c r="G781" s="112">
        <v>3</v>
      </c>
      <c r="H781" s="112">
        <v>7921201014</v>
      </c>
      <c r="I781" s="112" t="s">
        <v>3892</v>
      </c>
      <c r="J781" s="112" t="s">
        <v>1071</v>
      </c>
      <c r="K781" s="112" t="s">
        <v>1130</v>
      </c>
      <c r="L781" s="112" t="s">
        <v>1073</v>
      </c>
      <c r="M781" s="112" t="s">
        <v>478</v>
      </c>
      <c r="N781" s="113">
        <v>46151.985520833332</v>
      </c>
      <c r="O781" s="114">
        <v>19001183611</v>
      </c>
      <c r="P781" s="112">
        <v>0</v>
      </c>
      <c r="Q781" s="112" t="s">
        <v>1131</v>
      </c>
      <c r="R781" s="112" t="s">
        <v>1324</v>
      </c>
      <c r="S781" s="113">
        <v>46168.682152777779</v>
      </c>
      <c r="T781" s="112" t="s">
        <v>3893</v>
      </c>
      <c r="U781" s="112" t="s">
        <v>1065</v>
      </c>
      <c r="V781" s="112" t="s">
        <v>1066</v>
      </c>
      <c r="W781" s="112" t="s">
        <v>1066</v>
      </c>
      <c r="X781" s="112" t="s">
        <v>1117</v>
      </c>
      <c r="Y781" s="112" t="s">
        <v>1066</v>
      </c>
      <c r="Z781" s="112" t="s">
        <v>1133</v>
      </c>
      <c r="AA781" s="112" t="s">
        <v>1067</v>
      </c>
      <c r="AB781" s="112" t="s">
        <v>1066</v>
      </c>
      <c r="AC781" s="112" t="s">
        <v>92</v>
      </c>
      <c r="AD781" s="112" t="s">
        <v>1142</v>
      </c>
      <c r="AE781" s="112" t="s">
        <v>1066</v>
      </c>
      <c r="AF781" s="112" t="s">
        <v>1066</v>
      </c>
      <c r="AG781" s="112" t="s">
        <v>1066</v>
      </c>
      <c r="AH781" s="112" t="s">
        <v>1066</v>
      </c>
      <c r="AI781" s="112" t="s">
        <v>785</v>
      </c>
      <c r="AJ781" s="112">
        <v>8842507</v>
      </c>
      <c r="AK781" s="112" t="s">
        <v>164</v>
      </c>
      <c r="AL781" s="112">
        <v>655322</v>
      </c>
      <c r="AM781" s="112" t="s">
        <v>1066</v>
      </c>
      <c r="AN781" s="112" t="s">
        <v>1066</v>
      </c>
    </row>
    <row r="782" spans="1:40" ht="55.5" customHeight="1" x14ac:dyDescent="0.25">
      <c r="A782" s="111" t="s">
        <v>525</v>
      </c>
      <c r="B782" s="112">
        <v>2026</v>
      </c>
      <c r="C782" s="112" t="s">
        <v>527</v>
      </c>
      <c r="D782" s="113">
        <v>46213.569513888891</v>
      </c>
      <c r="E782" s="112">
        <v>7908302256</v>
      </c>
      <c r="F782" s="112" t="s">
        <v>136</v>
      </c>
      <c r="G782" s="112">
        <v>2</v>
      </c>
      <c r="H782" s="112">
        <v>7908302256</v>
      </c>
      <c r="I782" s="112" t="s">
        <v>3553</v>
      </c>
      <c r="J782" s="112" t="s">
        <v>1092</v>
      </c>
      <c r="K782" s="112" t="s">
        <v>1191</v>
      </c>
      <c r="L782" s="112" t="s">
        <v>1061</v>
      </c>
      <c r="M782" s="112" t="s">
        <v>478</v>
      </c>
      <c r="N782" s="113">
        <v>46613.569513888891</v>
      </c>
      <c r="O782" s="114">
        <v>19002702851</v>
      </c>
      <c r="P782" s="112">
        <v>2.13</v>
      </c>
      <c r="Q782" s="112" t="s">
        <v>1062</v>
      </c>
      <c r="R782" s="112" t="s">
        <v>1075</v>
      </c>
      <c r="S782" s="113">
        <v>46240.504525462966</v>
      </c>
      <c r="T782" s="112" t="s">
        <v>3894</v>
      </c>
      <c r="U782" s="112" t="s">
        <v>1065</v>
      </c>
      <c r="V782" s="112" t="s">
        <v>1066</v>
      </c>
      <c r="W782" s="112" t="s">
        <v>1066</v>
      </c>
      <c r="X782" s="112" t="s">
        <v>1066</v>
      </c>
      <c r="Y782" s="112" t="s">
        <v>1066</v>
      </c>
      <c r="Z782" s="112" t="s">
        <v>1066</v>
      </c>
      <c r="AA782" s="112" t="s">
        <v>1067</v>
      </c>
      <c r="AB782" s="112" t="s">
        <v>1066</v>
      </c>
      <c r="AC782" s="112" t="s">
        <v>92</v>
      </c>
      <c r="AD782" s="112" t="s">
        <v>1066</v>
      </c>
      <c r="AE782" s="112" t="s">
        <v>1066</v>
      </c>
      <c r="AF782" s="112" t="s">
        <v>1066</v>
      </c>
      <c r="AG782" s="112" t="s">
        <v>1066</v>
      </c>
      <c r="AH782" s="112" t="s">
        <v>1066</v>
      </c>
      <c r="AI782" s="112" t="s">
        <v>785</v>
      </c>
      <c r="AJ782" s="112">
        <v>8838426</v>
      </c>
      <c r="AK782" s="112" t="s">
        <v>134</v>
      </c>
      <c r="AL782" s="112">
        <v>936573</v>
      </c>
      <c r="AM782" s="112" t="s">
        <v>1066</v>
      </c>
      <c r="AN782" s="112" t="s">
        <v>1066</v>
      </c>
    </row>
    <row r="783" spans="1:40" ht="55.5" customHeight="1" x14ac:dyDescent="0.25">
      <c r="A783" s="111" t="s">
        <v>3895</v>
      </c>
      <c r="B783" s="112">
        <v>2026</v>
      </c>
      <c r="C783" s="112" t="s">
        <v>3896</v>
      </c>
      <c r="D783" s="113">
        <v>46223.45003472222</v>
      </c>
      <c r="E783" s="112">
        <v>7937107003</v>
      </c>
      <c r="F783" s="112" t="s">
        <v>2420</v>
      </c>
      <c r="G783" s="112">
        <v>1</v>
      </c>
      <c r="H783" s="112">
        <v>7937107003</v>
      </c>
      <c r="I783" s="112" t="s">
        <v>3897</v>
      </c>
      <c r="J783" s="112" t="s">
        <v>1092</v>
      </c>
      <c r="K783" s="112" t="s">
        <v>1191</v>
      </c>
      <c r="L783" s="112" t="s">
        <v>1061</v>
      </c>
      <c r="M783" s="112" t="s">
        <v>478</v>
      </c>
      <c r="N783" s="113">
        <v>46623.45003472222</v>
      </c>
      <c r="O783" s="114">
        <v>19002210805</v>
      </c>
      <c r="P783" s="112">
        <v>6.7439999999999998</v>
      </c>
      <c r="Q783" s="112" t="s">
        <v>1062</v>
      </c>
      <c r="R783" s="112" t="s">
        <v>1063</v>
      </c>
      <c r="S783" s="113">
        <v>46231.423217592594</v>
      </c>
      <c r="T783" s="112" t="s">
        <v>3898</v>
      </c>
      <c r="U783" s="112" t="s">
        <v>1065</v>
      </c>
      <c r="V783" s="112" t="s">
        <v>1066</v>
      </c>
      <c r="W783" s="112" t="s">
        <v>1066</v>
      </c>
      <c r="X783" s="112" t="s">
        <v>1066</v>
      </c>
      <c r="Y783" s="112" t="s">
        <v>1066</v>
      </c>
      <c r="Z783" s="112" t="s">
        <v>1066</v>
      </c>
      <c r="AA783" s="112" t="s">
        <v>1067</v>
      </c>
      <c r="AB783" s="112" t="s">
        <v>1066</v>
      </c>
      <c r="AC783" s="112" t="s">
        <v>92</v>
      </c>
      <c r="AD783" s="112" t="s">
        <v>1066</v>
      </c>
      <c r="AE783" s="112" t="s">
        <v>1066</v>
      </c>
      <c r="AF783" s="112" t="s">
        <v>1066</v>
      </c>
      <c r="AG783" s="112" t="s">
        <v>1066</v>
      </c>
      <c r="AH783" s="112" t="s">
        <v>1066</v>
      </c>
      <c r="AI783" s="112" t="s">
        <v>785</v>
      </c>
      <c r="AJ783" s="112">
        <v>8703287</v>
      </c>
      <c r="AK783" s="112" t="s">
        <v>210</v>
      </c>
      <c r="AL783" s="112">
        <v>711497</v>
      </c>
      <c r="AM783" s="112" t="s">
        <v>1066</v>
      </c>
      <c r="AN783" s="112" t="s">
        <v>1066</v>
      </c>
    </row>
    <row r="784" spans="1:40" ht="55.5" customHeight="1" x14ac:dyDescent="0.25">
      <c r="A784" s="124" t="s">
        <v>3899</v>
      </c>
      <c r="B784" s="125">
        <v>2026</v>
      </c>
      <c r="C784" s="125" t="s">
        <v>1449</v>
      </c>
      <c r="D784" s="126">
        <v>46244.660034722219</v>
      </c>
      <c r="E784" s="125">
        <v>7933531028</v>
      </c>
      <c r="F784" s="125" t="s">
        <v>3900</v>
      </c>
      <c r="G784" s="125">
        <v>3</v>
      </c>
      <c r="H784" s="125">
        <v>7933531028</v>
      </c>
      <c r="I784" s="125" t="s">
        <v>3901</v>
      </c>
      <c r="J784" s="125" t="s">
        <v>1066</v>
      </c>
      <c r="K784" s="125" t="s">
        <v>1125</v>
      </c>
      <c r="L784" s="125" t="s">
        <v>1061</v>
      </c>
      <c r="M784" s="125" t="s">
        <v>510</v>
      </c>
      <c r="N784" s="126">
        <v>46644.660034722219</v>
      </c>
      <c r="O784" s="127">
        <v>19002207409</v>
      </c>
      <c r="P784" s="125">
        <v>511</v>
      </c>
      <c r="Q784" s="125" t="s">
        <v>1062</v>
      </c>
      <c r="R784" s="125" t="s">
        <v>1063</v>
      </c>
      <c r="S784" s="125" t="s">
        <v>1066</v>
      </c>
      <c r="T784" s="125" t="s">
        <v>1066</v>
      </c>
      <c r="U784" s="125" t="s">
        <v>1066</v>
      </c>
      <c r="V784" s="125" t="s">
        <v>1066</v>
      </c>
      <c r="W784" s="125" t="s">
        <v>1066</v>
      </c>
      <c r="X784" s="125" t="s">
        <v>1066</v>
      </c>
      <c r="Y784" s="125" t="s">
        <v>1066</v>
      </c>
      <c r="Z784" s="125" t="s">
        <v>1066</v>
      </c>
      <c r="AA784" s="125" t="s">
        <v>1067</v>
      </c>
      <c r="AB784" s="125" t="s">
        <v>1066</v>
      </c>
      <c r="AC784" s="125" t="s">
        <v>92</v>
      </c>
      <c r="AD784" s="125" t="s">
        <v>1066</v>
      </c>
      <c r="AE784" s="125" t="s">
        <v>1066</v>
      </c>
      <c r="AF784" s="125" t="s">
        <v>1066</v>
      </c>
      <c r="AG784" s="125" t="s">
        <v>1066</v>
      </c>
      <c r="AH784" s="125" t="s">
        <v>1066</v>
      </c>
      <c r="AI784" s="125" t="s">
        <v>785</v>
      </c>
      <c r="AJ784" s="125">
        <v>8703986</v>
      </c>
      <c r="AK784" s="125" t="s">
        <v>403</v>
      </c>
      <c r="AL784" s="125">
        <v>857128</v>
      </c>
      <c r="AM784" s="125" t="s">
        <v>1066</v>
      </c>
      <c r="AN784" s="125" t="s">
        <v>1066</v>
      </c>
    </row>
    <row r="785" spans="1:40" ht="55.5" customHeight="1" x14ac:dyDescent="0.25">
      <c r="A785" s="111" t="s">
        <v>3902</v>
      </c>
      <c r="B785" s="112">
        <v>2026</v>
      </c>
      <c r="C785" s="112" t="s">
        <v>3903</v>
      </c>
      <c r="D785" s="113">
        <v>46123.801215277781</v>
      </c>
      <c r="E785" s="112">
        <v>7926080073</v>
      </c>
      <c r="F785" s="112" t="s">
        <v>3423</v>
      </c>
      <c r="G785" s="112">
        <v>3</v>
      </c>
      <c r="H785" s="112">
        <v>7926080073</v>
      </c>
      <c r="I785" s="112" t="s">
        <v>3904</v>
      </c>
      <c r="J785" s="112" t="s">
        <v>1071</v>
      </c>
      <c r="K785" s="112" t="s">
        <v>1282</v>
      </c>
      <c r="L785" s="112" t="s">
        <v>1073</v>
      </c>
      <c r="M785" s="112" t="s">
        <v>478</v>
      </c>
      <c r="N785" s="113">
        <v>46126.801215277781</v>
      </c>
      <c r="O785" s="114">
        <v>19002206069</v>
      </c>
      <c r="P785" s="112">
        <v>160</v>
      </c>
      <c r="Q785" s="112" t="s">
        <v>1062</v>
      </c>
      <c r="R785" s="112" t="s">
        <v>1075</v>
      </c>
      <c r="S785" s="113">
        <v>46140.730868055558</v>
      </c>
      <c r="T785" s="112" t="s">
        <v>3905</v>
      </c>
      <c r="U785" s="112" t="s">
        <v>1065</v>
      </c>
      <c r="V785" s="112" t="s">
        <v>1066</v>
      </c>
      <c r="W785" s="112" t="s">
        <v>1066</v>
      </c>
      <c r="X785" s="112" t="s">
        <v>983</v>
      </c>
      <c r="Y785" s="112" t="s">
        <v>1066</v>
      </c>
      <c r="Z785" s="112" t="s">
        <v>1078</v>
      </c>
      <c r="AA785" s="112" t="s">
        <v>1067</v>
      </c>
      <c r="AB785" s="112" t="s">
        <v>1066</v>
      </c>
      <c r="AC785" s="112" t="s">
        <v>92</v>
      </c>
      <c r="AD785" s="112" t="s">
        <v>1066</v>
      </c>
      <c r="AE785" s="112" t="s">
        <v>1066</v>
      </c>
      <c r="AF785" s="112" t="s">
        <v>1066</v>
      </c>
      <c r="AG785" s="112" t="s">
        <v>1066</v>
      </c>
      <c r="AH785" s="112" t="s">
        <v>1066</v>
      </c>
      <c r="AI785" s="112" t="s">
        <v>785</v>
      </c>
      <c r="AJ785" s="112">
        <v>8763313</v>
      </c>
      <c r="AK785" s="112" t="s">
        <v>1166</v>
      </c>
      <c r="AL785" s="112">
        <v>622347</v>
      </c>
      <c r="AM785" s="112" t="s">
        <v>1066</v>
      </c>
      <c r="AN785" s="112" t="s">
        <v>1066</v>
      </c>
    </row>
    <row r="786" spans="1:40" ht="55.5" customHeight="1" x14ac:dyDescent="0.25">
      <c r="A786" s="111" t="s">
        <v>3906</v>
      </c>
      <c r="B786" s="112">
        <v>2026</v>
      </c>
      <c r="C786" s="112" t="s">
        <v>3907</v>
      </c>
      <c r="D786" s="113">
        <v>46150.501180555555</v>
      </c>
      <c r="E786" s="112">
        <v>7955681036</v>
      </c>
      <c r="F786" s="112" t="s">
        <v>1679</v>
      </c>
      <c r="G786" s="112">
        <v>1</v>
      </c>
      <c r="H786" s="112">
        <v>7955681036</v>
      </c>
      <c r="I786" s="112" t="s">
        <v>3908</v>
      </c>
      <c r="J786" s="112" t="s">
        <v>1071</v>
      </c>
      <c r="K786" s="112" t="s">
        <v>2279</v>
      </c>
      <c r="L786" s="112" t="s">
        <v>1073</v>
      </c>
      <c r="M786" s="112" t="s">
        <v>478</v>
      </c>
      <c r="N786" s="113">
        <v>46153.501180555555</v>
      </c>
      <c r="O786" s="114">
        <v>19002765366</v>
      </c>
      <c r="P786" s="112">
        <v>219</v>
      </c>
      <c r="Q786" s="112" t="s">
        <v>1062</v>
      </c>
      <c r="R786" s="112" t="s">
        <v>1075</v>
      </c>
      <c r="S786" s="113">
        <v>46160.480810185189</v>
      </c>
      <c r="T786" s="112" t="s">
        <v>3909</v>
      </c>
      <c r="U786" s="112" t="s">
        <v>1065</v>
      </c>
      <c r="V786" s="112" t="s">
        <v>1066</v>
      </c>
      <c r="W786" s="112" t="s">
        <v>1066</v>
      </c>
      <c r="X786" s="112" t="s">
        <v>983</v>
      </c>
      <c r="Y786" s="112" t="s">
        <v>1066</v>
      </c>
      <c r="Z786" s="112" t="s">
        <v>1318</v>
      </c>
      <c r="AA786" s="112" t="s">
        <v>1067</v>
      </c>
      <c r="AB786" s="112" t="s">
        <v>1066</v>
      </c>
      <c r="AC786" s="112" t="s">
        <v>92</v>
      </c>
      <c r="AD786" s="112" t="s">
        <v>1066</v>
      </c>
      <c r="AE786" s="112" t="s">
        <v>1066</v>
      </c>
      <c r="AF786" s="112" t="s">
        <v>1066</v>
      </c>
      <c r="AG786" s="112" t="s">
        <v>1066</v>
      </c>
      <c r="AH786" s="112" t="s">
        <v>1066</v>
      </c>
      <c r="AI786" s="112" t="s">
        <v>785</v>
      </c>
      <c r="AJ786" s="112">
        <v>8618085</v>
      </c>
      <c r="AK786" s="112" t="s">
        <v>470</v>
      </c>
      <c r="AL786" s="112">
        <v>704752</v>
      </c>
      <c r="AM786" s="112" t="s">
        <v>1066</v>
      </c>
      <c r="AN786" s="112" t="s">
        <v>1066</v>
      </c>
    </row>
    <row r="787" spans="1:40" ht="55.5" customHeight="1" x14ac:dyDescent="0.25">
      <c r="A787" s="111" t="s">
        <v>3910</v>
      </c>
      <c r="B787" s="112">
        <v>2026</v>
      </c>
      <c r="C787" s="112" t="s">
        <v>712</v>
      </c>
      <c r="D787" s="113">
        <v>46099.473865740743</v>
      </c>
      <c r="E787" s="112">
        <v>9000664193</v>
      </c>
      <c r="F787" s="112" t="s">
        <v>370</v>
      </c>
      <c r="G787" s="112">
        <v>2</v>
      </c>
      <c r="H787" s="112">
        <v>7900618193</v>
      </c>
      <c r="I787" s="112" t="s">
        <v>3911</v>
      </c>
      <c r="J787" s="112" t="s">
        <v>1071</v>
      </c>
      <c r="K787" s="112" t="s">
        <v>1130</v>
      </c>
      <c r="L787" s="112" t="s">
        <v>1073</v>
      </c>
      <c r="M787" s="112" t="s">
        <v>478</v>
      </c>
      <c r="N787" s="113">
        <v>46102.473865740743</v>
      </c>
      <c r="O787" s="114">
        <v>19000021528</v>
      </c>
      <c r="P787" s="112">
        <v>2.9529999999999998</v>
      </c>
      <c r="Q787" s="112" t="s">
        <v>1131</v>
      </c>
      <c r="R787" s="112" t="s">
        <v>1075</v>
      </c>
      <c r="S787" s="113">
        <v>46112.734027777777</v>
      </c>
      <c r="T787" s="112" t="s">
        <v>3912</v>
      </c>
      <c r="U787" s="112" t="s">
        <v>1065</v>
      </c>
      <c r="V787" s="112" t="s">
        <v>1066</v>
      </c>
      <c r="W787" s="112" t="s">
        <v>1066</v>
      </c>
      <c r="X787" s="112" t="s">
        <v>1117</v>
      </c>
      <c r="Y787" s="112" t="s">
        <v>1066</v>
      </c>
      <c r="Z787" s="112" t="s">
        <v>1133</v>
      </c>
      <c r="AA787" s="112" t="s">
        <v>1067</v>
      </c>
      <c r="AB787" s="112" t="s">
        <v>1066</v>
      </c>
      <c r="AC787" s="112" t="s">
        <v>92</v>
      </c>
      <c r="AD787" s="112" t="s">
        <v>1142</v>
      </c>
      <c r="AE787" s="112" t="s">
        <v>1066</v>
      </c>
      <c r="AF787" s="112" t="s">
        <v>1066</v>
      </c>
      <c r="AG787" s="112" t="s">
        <v>1066</v>
      </c>
      <c r="AH787" s="112" t="s">
        <v>1066</v>
      </c>
      <c r="AI787" s="112" t="s">
        <v>785</v>
      </c>
      <c r="AJ787" s="112">
        <v>9115173</v>
      </c>
      <c r="AK787" s="112" t="s">
        <v>369</v>
      </c>
      <c r="AL787" s="112">
        <v>964332</v>
      </c>
      <c r="AM787" s="112" t="s">
        <v>1066</v>
      </c>
      <c r="AN787" s="112" t="s">
        <v>1066</v>
      </c>
    </row>
    <row r="788" spans="1:40" ht="55.5" customHeight="1" x14ac:dyDescent="0.25">
      <c r="A788" s="111" t="s">
        <v>3913</v>
      </c>
      <c r="B788" s="112">
        <v>2026</v>
      </c>
      <c r="C788" s="112" t="s">
        <v>1057</v>
      </c>
      <c r="D788" s="113">
        <v>46125.614548611113</v>
      </c>
      <c r="E788" s="112">
        <v>7900654055</v>
      </c>
      <c r="F788" s="112" t="s">
        <v>2035</v>
      </c>
      <c r="G788" s="112">
        <v>3</v>
      </c>
      <c r="H788" s="112">
        <v>7900654055</v>
      </c>
      <c r="I788" s="112" t="s">
        <v>2036</v>
      </c>
      <c r="J788" s="112" t="s">
        <v>1066</v>
      </c>
      <c r="K788" s="112" t="s">
        <v>1125</v>
      </c>
      <c r="L788" s="112" t="s">
        <v>1061</v>
      </c>
      <c r="M788" s="112" t="s">
        <v>478</v>
      </c>
      <c r="N788" s="113">
        <v>46525.614548611113</v>
      </c>
      <c r="O788" s="114">
        <v>19002674373</v>
      </c>
      <c r="P788" s="112">
        <v>0</v>
      </c>
      <c r="Q788" s="112" t="s">
        <v>1062</v>
      </c>
      <c r="R788" s="112" t="s">
        <v>1063</v>
      </c>
      <c r="S788" s="113">
        <v>46174.3125</v>
      </c>
      <c r="T788" s="112" t="s">
        <v>1307</v>
      </c>
      <c r="U788" s="112" t="s">
        <v>1065</v>
      </c>
      <c r="V788" s="112" t="s">
        <v>1066</v>
      </c>
      <c r="W788" s="112" t="s">
        <v>1066</v>
      </c>
      <c r="X788" s="112" t="s">
        <v>1066</v>
      </c>
      <c r="Y788" s="112" t="s">
        <v>1066</v>
      </c>
      <c r="Z788" s="112" t="s">
        <v>1066</v>
      </c>
      <c r="AA788" s="112" t="s">
        <v>1067</v>
      </c>
      <c r="AB788" s="112" t="s">
        <v>1066</v>
      </c>
      <c r="AC788" s="112" t="s">
        <v>92</v>
      </c>
      <c r="AD788" s="112" t="s">
        <v>1066</v>
      </c>
      <c r="AE788" s="112" t="s">
        <v>1066</v>
      </c>
      <c r="AF788" s="112" t="s">
        <v>1066</v>
      </c>
      <c r="AG788" s="112" t="s">
        <v>1066</v>
      </c>
      <c r="AH788" s="112" t="s">
        <v>1066</v>
      </c>
      <c r="AI788" s="112" t="s">
        <v>785</v>
      </c>
      <c r="AJ788" s="112">
        <v>9025467</v>
      </c>
      <c r="AK788" s="112" t="s">
        <v>482</v>
      </c>
      <c r="AL788" s="112">
        <v>659555</v>
      </c>
      <c r="AM788" s="112" t="s">
        <v>1066</v>
      </c>
      <c r="AN788" s="112" t="s">
        <v>1066</v>
      </c>
    </row>
    <row r="789" spans="1:40" ht="55.5" customHeight="1" x14ac:dyDescent="0.25">
      <c r="A789" s="111" t="s">
        <v>3914</v>
      </c>
      <c r="B789" s="112">
        <v>2026</v>
      </c>
      <c r="C789" s="112" t="s">
        <v>1057</v>
      </c>
      <c r="D789" s="113">
        <v>46125.614548611113</v>
      </c>
      <c r="E789" s="112">
        <v>7919385073</v>
      </c>
      <c r="F789" s="112" t="s">
        <v>1274</v>
      </c>
      <c r="G789" s="112">
        <v>2</v>
      </c>
      <c r="H789" s="112">
        <v>7919385073</v>
      </c>
      <c r="I789" s="112" t="s">
        <v>3915</v>
      </c>
      <c r="J789" s="112" t="s">
        <v>1066</v>
      </c>
      <c r="K789" s="112" t="s">
        <v>1125</v>
      </c>
      <c r="L789" s="112" t="s">
        <v>1061</v>
      </c>
      <c r="M789" s="112" t="s">
        <v>478</v>
      </c>
      <c r="N789" s="113">
        <v>46525.614548611113</v>
      </c>
      <c r="O789" s="114">
        <v>19002720258</v>
      </c>
      <c r="P789" s="112">
        <v>63</v>
      </c>
      <c r="Q789" s="112" t="s">
        <v>1062</v>
      </c>
      <c r="R789" s="112" t="s">
        <v>1063</v>
      </c>
      <c r="S789" s="113">
        <v>46174.3125</v>
      </c>
      <c r="T789" s="112" t="s">
        <v>1307</v>
      </c>
      <c r="U789" s="112" t="s">
        <v>1065</v>
      </c>
      <c r="V789" s="112" t="s">
        <v>1066</v>
      </c>
      <c r="W789" s="112" t="s">
        <v>1066</v>
      </c>
      <c r="X789" s="112" t="s">
        <v>1066</v>
      </c>
      <c r="Y789" s="112" t="s">
        <v>1066</v>
      </c>
      <c r="Z789" s="112" t="s">
        <v>1066</v>
      </c>
      <c r="AA789" s="112" t="s">
        <v>1067</v>
      </c>
      <c r="AB789" s="112" t="s">
        <v>1066</v>
      </c>
      <c r="AC789" s="112" t="s">
        <v>92</v>
      </c>
      <c r="AD789" s="112" t="s">
        <v>1066</v>
      </c>
      <c r="AE789" s="112" t="s">
        <v>1066</v>
      </c>
      <c r="AF789" s="112" t="s">
        <v>1066</v>
      </c>
      <c r="AG789" s="112" t="s">
        <v>1066</v>
      </c>
      <c r="AH789" s="112" t="s">
        <v>1066</v>
      </c>
      <c r="AI789" s="112" t="s">
        <v>785</v>
      </c>
      <c r="AJ789" s="112">
        <v>8832632</v>
      </c>
      <c r="AK789" s="112" t="s">
        <v>1166</v>
      </c>
      <c r="AL789" s="112">
        <v>643575</v>
      </c>
      <c r="AM789" s="112" t="s">
        <v>1066</v>
      </c>
      <c r="AN789" s="112" t="s">
        <v>1066</v>
      </c>
    </row>
    <row r="790" spans="1:40" ht="55.5" customHeight="1" x14ac:dyDescent="0.25">
      <c r="A790" s="111" t="s">
        <v>3916</v>
      </c>
      <c r="B790" s="112">
        <v>2026</v>
      </c>
      <c r="C790" s="112" t="s">
        <v>2179</v>
      </c>
      <c r="D790" s="113">
        <v>46135.721446759257</v>
      </c>
      <c r="E790" s="112">
        <v>7908301026</v>
      </c>
      <c r="F790" s="112" t="s">
        <v>3917</v>
      </c>
      <c r="G790" s="112">
        <v>3</v>
      </c>
      <c r="H790" s="112">
        <v>7908301026</v>
      </c>
      <c r="I790" s="112" t="s">
        <v>3918</v>
      </c>
      <c r="J790" s="112" t="s">
        <v>1071</v>
      </c>
      <c r="K790" s="112" t="s">
        <v>1072</v>
      </c>
      <c r="L790" s="112" t="s">
        <v>1073</v>
      </c>
      <c r="M790" s="112" t="s">
        <v>478</v>
      </c>
      <c r="N790" s="113">
        <v>46138.721446759257</v>
      </c>
      <c r="O790" s="114">
        <v>19002223419</v>
      </c>
      <c r="P790" s="112">
        <v>2.4900000000000002</v>
      </c>
      <c r="Q790" s="112" t="s">
        <v>1062</v>
      </c>
      <c r="R790" s="112" t="s">
        <v>1324</v>
      </c>
      <c r="S790" s="113">
        <v>46149.729166666664</v>
      </c>
      <c r="T790" s="112" t="s">
        <v>3919</v>
      </c>
      <c r="U790" s="112" t="s">
        <v>1065</v>
      </c>
      <c r="V790" s="112" t="s">
        <v>1066</v>
      </c>
      <c r="W790" s="112" t="s">
        <v>1066</v>
      </c>
      <c r="X790" s="112" t="s">
        <v>983</v>
      </c>
      <c r="Y790" s="112" t="s">
        <v>1066</v>
      </c>
      <c r="Z790" s="112" t="s">
        <v>1078</v>
      </c>
      <c r="AA790" s="112" t="s">
        <v>1067</v>
      </c>
      <c r="AB790" s="112" t="s">
        <v>1066</v>
      </c>
      <c r="AC790" s="112" t="s">
        <v>92</v>
      </c>
      <c r="AD790" s="112" t="s">
        <v>1066</v>
      </c>
      <c r="AE790" s="112" t="s">
        <v>1066</v>
      </c>
      <c r="AF790" s="112" t="s">
        <v>1066</v>
      </c>
      <c r="AG790" s="112" t="s">
        <v>1066</v>
      </c>
      <c r="AH790" s="112" t="s">
        <v>1066</v>
      </c>
      <c r="AI790" s="112" t="s">
        <v>785</v>
      </c>
      <c r="AJ790" s="112">
        <v>8809520</v>
      </c>
      <c r="AK790" s="112" t="s">
        <v>792</v>
      </c>
      <c r="AL790" s="112">
        <v>879252</v>
      </c>
      <c r="AM790" s="112" t="s">
        <v>1066</v>
      </c>
      <c r="AN790" s="112" t="s">
        <v>1066</v>
      </c>
    </row>
    <row r="791" spans="1:40" ht="55.5" customHeight="1" x14ac:dyDescent="0.25">
      <c r="A791" s="111" t="s">
        <v>3920</v>
      </c>
      <c r="B791" s="112">
        <v>2026</v>
      </c>
      <c r="C791" s="112" t="s">
        <v>3798</v>
      </c>
      <c r="D791" s="113">
        <v>46059.498055555552</v>
      </c>
      <c r="E791" s="112">
        <v>9000259096</v>
      </c>
      <c r="F791" s="112" t="s">
        <v>136</v>
      </c>
      <c r="G791" s="112">
        <v>2</v>
      </c>
      <c r="H791" s="112">
        <v>7900259096</v>
      </c>
      <c r="I791" s="112" t="s">
        <v>3921</v>
      </c>
      <c r="J791" s="112" t="s">
        <v>1071</v>
      </c>
      <c r="K791" s="112" t="s">
        <v>1282</v>
      </c>
      <c r="L791" s="112" t="s">
        <v>1073</v>
      </c>
      <c r="M791" s="112" t="s">
        <v>478</v>
      </c>
      <c r="N791" s="113">
        <v>46062.498055555552</v>
      </c>
      <c r="O791" s="114">
        <v>19000103587</v>
      </c>
      <c r="P791" s="112">
        <v>2.1480000000000001</v>
      </c>
      <c r="Q791" s="112" t="s">
        <v>1131</v>
      </c>
      <c r="R791" s="112" t="s">
        <v>1075</v>
      </c>
      <c r="S791" s="113">
        <v>46077.426458333335</v>
      </c>
      <c r="T791" s="112" t="s">
        <v>3922</v>
      </c>
      <c r="U791" s="112" t="s">
        <v>1065</v>
      </c>
      <c r="V791" s="112" t="s">
        <v>1066</v>
      </c>
      <c r="W791" s="112" t="s">
        <v>1066</v>
      </c>
      <c r="X791" s="112" t="s">
        <v>983</v>
      </c>
      <c r="Y791" s="112" t="s">
        <v>1066</v>
      </c>
      <c r="Z791" s="112" t="s">
        <v>1078</v>
      </c>
      <c r="AA791" s="112" t="s">
        <v>1067</v>
      </c>
      <c r="AB791" s="112" t="s">
        <v>1066</v>
      </c>
      <c r="AC791" s="112" t="s">
        <v>92</v>
      </c>
      <c r="AD791" s="112" t="s">
        <v>1142</v>
      </c>
      <c r="AE791" s="112" t="s">
        <v>1066</v>
      </c>
      <c r="AF791" s="112" t="s">
        <v>1066</v>
      </c>
      <c r="AG791" s="112" t="s">
        <v>1066</v>
      </c>
      <c r="AH791" s="112" t="s">
        <v>1066</v>
      </c>
      <c r="AI791" s="112" t="s">
        <v>785</v>
      </c>
      <c r="AJ791" s="112">
        <v>8767197</v>
      </c>
      <c r="AK791" s="112" t="s">
        <v>310</v>
      </c>
      <c r="AL791" s="112">
        <v>874651</v>
      </c>
      <c r="AM791" s="112" t="s">
        <v>1066</v>
      </c>
      <c r="AN791" s="112" t="s">
        <v>1066</v>
      </c>
    </row>
    <row r="792" spans="1:40" ht="55.5" customHeight="1" x14ac:dyDescent="0.25">
      <c r="A792" s="111" t="s">
        <v>3923</v>
      </c>
      <c r="B792" s="112">
        <v>2026</v>
      </c>
      <c r="C792" s="112" t="s">
        <v>3924</v>
      </c>
      <c r="D792" s="113">
        <v>46059.726689814815</v>
      </c>
      <c r="E792" s="112">
        <v>7955986084</v>
      </c>
      <c r="F792" s="112" t="s">
        <v>153</v>
      </c>
      <c r="G792" s="112">
        <v>2</v>
      </c>
      <c r="H792" s="112">
        <v>7955986084</v>
      </c>
      <c r="I792" s="112" t="s">
        <v>2001</v>
      </c>
      <c r="J792" s="112" t="s">
        <v>1071</v>
      </c>
      <c r="K792" s="112" t="s">
        <v>1110</v>
      </c>
      <c r="L792" s="112" t="s">
        <v>1073</v>
      </c>
      <c r="M792" s="112" t="s">
        <v>478</v>
      </c>
      <c r="N792" s="113">
        <v>46062.726689814815</v>
      </c>
      <c r="O792" s="114">
        <v>19002736237</v>
      </c>
      <c r="P792" s="112">
        <v>445</v>
      </c>
      <c r="Q792" s="112" t="s">
        <v>1062</v>
      </c>
      <c r="R792" s="112" t="s">
        <v>1075</v>
      </c>
      <c r="S792" s="113">
        <v>46098.488703703704</v>
      </c>
      <c r="T792" s="112" t="s">
        <v>3925</v>
      </c>
      <c r="U792" s="112" t="s">
        <v>1065</v>
      </c>
      <c r="V792" s="112" t="s">
        <v>1066</v>
      </c>
      <c r="W792" s="112" t="s">
        <v>1066</v>
      </c>
      <c r="X792" s="112" t="s">
        <v>1066</v>
      </c>
      <c r="Y792" s="112" t="s">
        <v>1066</v>
      </c>
      <c r="Z792" s="112" t="s">
        <v>1066</v>
      </c>
      <c r="AA792" s="112" t="s">
        <v>1067</v>
      </c>
      <c r="AB792" s="112" t="s">
        <v>1066</v>
      </c>
      <c r="AC792" s="112" t="s">
        <v>92</v>
      </c>
      <c r="AD792" s="112" t="s">
        <v>1066</v>
      </c>
      <c r="AE792" s="112" t="s">
        <v>1066</v>
      </c>
      <c r="AF792" s="112" t="s">
        <v>1066</v>
      </c>
      <c r="AG792" s="112" t="s">
        <v>1066</v>
      </c>
      <c r="AH792" s="112" t="s">
        <v>1066</v>
      </c>
      <c r="AI792" s="112" t="s">
        <v>785</v>
      </c>
      <c r="AJ792" s="112">
        <v>8916924</v>
      </c>
      <c r="AK792" s="112" t="s">
        <v>1311</v>
      </c>
      <c r="AL792" s="112">
        <v>695371</v>
      </c>
      <c r="AM792" s="112" t="s">
        <v>1066</v>
      </c>
      <c r="AN792" s="112" t="s">
        <v>1066</v>
      </c>
    </row>
    <row r="793" spans="1:40" ht="55.5" customHeight="1" x14ac:dyDescent="0.25">
      <c r="A793" s="111" t="s">
        <v>3926</v>
      </c>
      <c r="B793" s="112">
        <v>2026</v>
      </c>
      <c r="C793" s="112" t="s">
        <v>3927</v>
      </c>
      <c r="D793" s="113">
        <v>46122.905671296299</v>
      </c>
      <c r="E793" s="112">
        <v>7931110122</v>
      </c>
      <c r="F793" s="112" t="s">
        <v>2398</v>
      </c>
      <c r="G793" s="112">
        <v>1</v>
      </c>
      <c r="H793" s="112">
        <v>7931110122</v>
      </c>
      <c r="I793" s="112" t="s">
        <v>3150</v>
      </c>
      <c r="J793" s="112" t="s">
        <v>1071</v>
      </c>
      <c r="K793" s="112" t="s">
        <v>1099</v>
      </c>
      <c r="L793" s="112" t="s">
        <v>1073</v>
      </c>
      <c r="M793" s="112" t="s">
        <v>478</v>
      </c>
      <c r="N793" s="113">
        <v>46125.905671296299</v>
      </c>
      <c r="O793" s="114">
        <v>19002220080</v>
      </c>
      <c r="P793" s="112">
        <v>1.1279999999999999</v>
      </c>
      <c r="Q793" s="112" t="s">
        <v>1062</v>
      </c>
      <c r="R793" s="112" t="s">
        <v>1075</v>
      </c>
      <c r="S793" s="113">
        <v>46125.411111111112</v>
      </c>
      <c r="T793" s="112" t="s">
        <v>3928</v>
      </c>
      <c r="U793" s="112" t="s">
        <v>1065</v>
      </c>
      <c r="V793" s="112" t="s">
        <v>1066</v>
      </c>
      <c r="W793" s="112" t="s">
        <v>1066</v>
      </c>
      <c r="X793" s="112" t="s">
        <v>1117</v>
      </c>
      <c r="Y793" s="112" t="s">
        <v>1066</v>
      </c>
      <c r="Z793" s="112" t="s">
        <v>1318</v>
      </c>
      <c r="AA793" s="112" t="s">
        <v>1067</v>
      </c>
      <c r="AB793" s="112" t="s">
        <v>1066</v>
      </c>
      <c r="AC793" s="112" t="s">
        <v>92</v>
      </c>
      <c r="AD793" s="112" t="s">
        <v>1066</v>
      </c>
      <c r="AE793" s="112" t="s">
        <v>1066</v>
      </c>
      <c r="AF793" s="112" t="s">
        <v>1066</v>
      </c>
      <c r="AG793" s="112" t="s">
        <v>1066</v>
      </c>
      <c r="AH793" s="112" t="s">
        <v>1066</v>
      </c>
      <c r="AI793" s="112" t="s">
        <v>785</v>
      </c>
      <c r="AJ793" s="112">
        <v>8863869</v>
      </c>
      <c r="AK793" s="112" t="s">
        <v>264</v>
      </c>
      <c r="AL793" s="112">
        <v>793107</v>
      </c>
      <c r="AM793" s="112" t="s">
        <v>1066</v>
      </c>
      <c r="AN793" s="112" t="s">
        <v>1066</v>
      </c>
    </row>
    <row r="794" spans="1:40" ht="55.5" customHeight="1" x14ac:dyDescent="0.25">
      <c r="A794" s="111" t="s">
        <v>3929</v>
      </c>
      <c r="B794" s="112">
        <v>2026</v>
      </c>
      <c r="C794" s="112" t="s">
        <v>3930</v>
      </c>
      <c r="D794" s="113">
        <v>46212.668993055559</v>
      </c>
      <c r="E794" s="112">
        <v>2224194001</v>
      </c>
      <c r="F794" s="112" t="s">
        <v>2024</v>
      </c>
      <c r="G794" s="112">
        <v>3</v>
      </c>
      <c r="H794" s="112">
        <v>5851857001</v>
      </c>
      <c r="I794" s="112" t="s">
        <v>3931</v>
      </c>
      <c r="J794" s="112" t="s">
        <v>1092</v>
      </c>
      <c r="K794" s="112" t="s">
        <v>1330</v>
      </c>
      <c r="L794" s="112" t="s">
        <v>1061</v>
      </c>
      <c r="M794" s="112" t="s">
        <v>478</v>
      </c>
      <c r="N794" s="113">
        <v>46612.668993055559</v>
      </c>
      <c r="O794" s="114">
        <v>19002680174</v>
      </c>
      <c r="P794" s="112">
        <v>1</v>
      </c>
      <c r="Q794" s="112" t="s">
        <v>1074</v>
      </c>
      <c r="R794" s="112" t="s">
        <v>1063</v>
      </c>
      <c r="S794" s="113">
        <v>46227.460416666669</v>
      </c>
      <c r="T794" s="112" t="s">
        <v>3932</v>
      </c>
      <c r="U794" s="112" t="s">
        <v>1065</v>
      </c>
      <c r="V794" s="112" t="s">
        <v>1066</v>
      </c>
      <c r="W794" s="112" t="s">
        <v>1066</v>
      </c>
      <c r="X794" s="112" t="s">
        <v>1332</v>
      </c>
      <c r="Y794" s="112" t="s">
        <v>1066</v>
      </c>
      <c r="Z794" s="112" t="s">
        <v>1066</v>
      </c>
      <c r="AA794" s="112" t="s">
        <v>1067</v>
      </c>
      <c r="AB794" s="112" t="s">
        <v>1066</v>
      </c>
      <c r="AC794" s="112" t="s">
        <v>92</v>
      </c>
      <c r="AD794" s="112" t="s">
        <v>1066</v>
      </c>
      <c r="AE794" s="112" t="s">
        <v>1066</v>
      </c>
      <c r="AF794" s="112" t="s">
        <v>1066</v>
      </c>
      <c r="AG794" s="112" t="s">
        <v>1066</v>
      </c>
      <c r="AH794" s="112" t="s">
        <v>1066</v>
      </c>
      <c r="AI794" s="112" t="s">
        <v>785</v>
      </c>
      <c r="AJ794" s="112">
        <v>8838657</v>
      </c>
      <c r="AK794" s="112" t="s">
        <v>50</v>
      </c>
      <c r="AL794" s="112">
        <v>769651</v>
      </c>
      <c r="AM794" s="112" t="s">
        <v>1066</v>
      </c>
      <c r="AN794" s="112" t="s">
        <v>1066</v>
      </c>
    </row>
    <row r="795" spans="1:40" ht="55.5" customHeight="1" x14ac:dyDescent="0.25">
      <c r="A795" s="111" t="s">
        <v>3933</v>
      </c>
      <c r="B795" s="112">
        <v>2026</v>
      </c>
      <c r="C795" s="112" t="s">
        <v>1089</v>
      </c>
      <c r="D795" s="113">
        <v>46028.453888888886</v>
      </c>
      <c r="E795" s="112">
        <v>7900474148</v>
      </c>
      <c r="F795" s="112" t="s">
        <v>302</v>
      </c>
      <c r="G795" s="112">
        <v>2</v>
      </c>
      <c r="H795" s="112">
        <v>7900474148</v>
      </c>
      <c r="I795" s="112" t="s">
        <v>3934</v>
      </c>
      <c r="J795" s="112" t="s">
        <v>1092</v>
      </c>
      <c r="K795" s="112" t="s">
        <v>1093</v>
      </c>
      <c r="L795" s="112" t="s">
        <v>1061</v>
      </c>
      <c r="M795" s="112" t="s">
        <v>478</v>
      </c>
      <c r="N795" s="113">
        <v>46428.453888888886</v>
      </c>
      <c r="O795" s="114">
        <v>19002295993</v>
      </c>
      <c r="P795" s="112">
        <v>2.3540000000000001</v>
      </c>
      <c r="Q795" s="112" t="s">
        <v>1062</v>
      </c>
      <c r="R795" s="112" t="s">
        <v>1063</v>
      </c>
      <c r="S795" s="113">
        <v>46035.425000000003</v>
      </c>
      <c r="T795" s="112" t="s">
        <v>3935</v>
      </c>
      <c r="U795" s="112" t="s">
        <v>1065</v>
      </c>
      <c r="V795" s="112" t="s">
        <v>1066</v>
      </c>
      <c r="W795" s="112" t="s">
        <v>1066</v>
      </c>
      <c r="X795" s="112" t="s">
        <v>1066</v>
      </c>
      <c r="Y795" s="112" t="s">
        <v>1066</v>
      </c>
      <c r="Z795" s="112" t="s">
        <v>1066</v>
      </c>
      <c r="AA795" s="112" t="s">
        <v>1067</v>
      </c>
      <c r="AB795" s="112" t="s">
        <v>1066</v>
      </c>
      <c r="AC795" s="112" t="s">
        <v>92</v>
      </c>
      <c r="AD795" s="112" t="s">
        <v>1066</v>
      </c>
      <c r="AE795" s="112" t="s">
        <v>1066</v>
      </c>
      <c r="AF795" s="112" t="s">
        <v>1066</v>
      </c>
      <c r="AG795" s="112" t="s">
        <v>1066</v>
      </c>
      <c r="AH795" s="112" t="s">
        <v>1066</v>
      </c>
      <c r="AI795" s="112" t="s">
        <v>785</v>
      </c>
      <c r="AJ795" s="112">
        <v>8673810</v>
      </c>
      <c r="AK795" s="112" t="s">
        <v>1344</v>
      </c>
      <c r="AL795" s="112">
        <v>801040</v>
      </c>
      <c r="AM795" s="112" t="s">
        <v>1066</v>
      </c>
      <c r="AN795" s="112" t="s">
        <v>1066</v>
      </c>
    </row>
    <row r="796" spans="1:40" ht="55.5" customHeight="1" x14ac:dyDescent="0.25">
      <c r="A796" s="111" t="s">
        <v>3936</v>
      </c>
      <c r="B796" s="112">
        <v>2026</v>
      </c>
      <c r="C796" s="112" t="s">
        <v>1210</v>
      </c>
      <c r="D796" s="113">
        <v>46114.608900462961</v>
      </c>
      <c r="E796" s="112">
        <v>7908694196</v>
      </c>
      <c r="F796" s="112" t="s">
        <v>234</v>
      </c>
      <c r="G796" s="112">
        <v>3</v>
      </c>
      <c r="H796" s="112">
        <v>7908694196</v>
      </c>
      <c r="I796" s="112" t="s">
        <v>3937</v>
      </c>
      <c r="J796" s="112" t="s">
        <v>1066</v>
      </c>
      <c r="K796" s="112" t="s">
        <v>1125</v>
      </c>
      <c r="L796" s="112" t="s">
        <v>1061</v>
      </c>
      <c r="M796" s="112" t="s">
        <v>478</v>
      </c>
      <c r="N796" s="113">
        <v>46514.608900462961</v>
      </c>
      <c r="O796" s="114">
        <v>19002223722</v>
      </c>
      <c r="P796" s="112">
        <v>1.5209999999999999</v>
      </c>
      <c r="Q796" s="112" t="s">
        <v>1062</v>
      </c>
      <c r="R796" s="112" t="s">
        <v>1063</v>
      </c>
      <c r="S796" s="113">
        <v>46190.538229166668</v>
      </c>
      <c r="T796" s="112" t="s">
        <v>3938</v>
      </c>
      <c r="U796" s="112" t="s">
        <v>1065</v>
      </c>
      <c r="V796" s="112" t="s">
        <v>1066</v>
      </c>
      <c r="W796" s="112" t="s">
        <v>1066</v>
      </c>
      <c r="X796" s="112" t="s">
        <v>1066</v>
      </c>
      <c r="Y796" s="112" t="s">
        <v>1066</v>
      </c>
      <c r="Z796" s="112" t="s">
        <v>1066</v>
      </c>
      <c r="AA796" s="112" t="s">
        <v>1067</v>
      </c>
      <c r="AB796" s="112" t="s">
        <v>1066</v>
      </c>
      <c r="AC796" s="112" t="s">
        <v>92</v>
      </c>
      <c r="AD796" s="112" t="s">
        <v>1066</v>
      </c>
      <c r="AE796" s="112" t="s">
        <v>1066</v>
      </c>
      <c r="AF796" s="112" t="s">
        <v>1066</v>
      </c>
      <c r="AG796" s="112" t="s">
        <v>1066</v>
      </c>
      <c r="AH796" s="112" t="s">
        <v>1066</v>
      </c>
      <c r="AI796" s="112" t="s">
        <v>785</v>
      </c>
      <c r="AJ796" s="112">
        <v>8859353</v>
      </c>
      <c r="AK796" s="112" t="s">
        <v>233</v>
      </c>
      <c r="AL796" s="112">
        <v>874944</v>
      </c>
      <c r="AM796" s="112" t="s">
        <v>1066</v>
      </c>
      <c r="AN796" s="112" t="s">
        <v>1066</v>
      </c>
    </row>
    <row r="797" spans="1:40" ht="55.5" customHeight="1" x14ac:dyDescent="0.25">
      <c r="A797" s="111" t="s">
        <v>3939</v>
      </c>
      <c r="B797" s="112">
        <v>2026</v>
      </c>
      <c r="C797" s="112" t="s">
        <v>1057</v>
      </c>
      <c r="D797" s="113">
        <v>46125.614548611113</v>
      </c>
      <c r="E797" s="112">
        <v>7919146006</v>
      </c>
      <c r="F797" s="112" t="s">
        <v>239</v>
      </c>
      <c r="G797" s="112">
        <v>3</v>
      </c>
      <c r="H797" s="112">
        <v>7919146006</v>
      </c>
      <c r="I797" s="112" t="s">
        <v>3940</v>
      </c>
      <c r="J797" s="112" t="s">
        <v>1066</v>
      </c>
      <c r="K797" s="112" t="s">
        <v>1125</v>
      </c>
      <c r="L797" s="112" t="s">
        <v>1061</v>
      </c>
      <c r="M797" s="112" t="s">
        <v>478</v>
      </c>
      <c r="N797" s="113">
        <v>46525.614548611113</v>
      </c>
      <c r="O797" s="114">
        <v>19002223863</v>
      </c>
      <c r="P797" s="112">
        <v>0</v>
      </c>
      <c r="Q797" s="112" t="s">
        <v>1062</v>
      </c>
      <c r="R797" s="112" t="s">
        <v>1063</v>
      </c>
      <c r="S797" s="113">
        <v>46196.468611111108</v>
      </c>
      <c r="T797" s="112" t="s">
        <v>3941</v>
      </c>
      <c r="U797" s="112" t="s">
        <v>1065</v>
      </c>
      <c r="V797" s="112" t="s">
        <v>1066</v>
      </c>
      <c r="W797" s="112" t="s">
        <v>1066</v>
      </c>
      <c r="X797" s="112" t="s">
        <v>1066</v>
      </c>
      <c r="Y797" s="112" t="s">
        <v>1066</v>
      </c>
      <c r="Z797" s="112" t="s">
        <v>1066</v>
      </c>
      <c r="AA797" s="112" t="s">
        <v>1067</v>
      </c>
      <c r="AB797" s="112" t="s">
        <v>1066</v>
      </c>
      <c r="AC797" s="112" t="s">
        <v>92</v>
      </c>
      <c r="AD797" s="112" t="s">
        <v>1066</v>
      </c>
      <c r="AE797" s="112" t="s">
        <v>1066</v>
      </c>
      <c r="AF797" s="112" t="s">
        <v>1066</v>
      </c>
      <c r="AG797" s="112" t="s">
        <v>1066</v>
      </c>
      <c r="AH797" s="112" t="s">
        <v>1066</v>
      </c>
      <c r="AI797" s="112" t="s">
        <v>785</v>
      </c>
      <c r="AJ797" s="112">
        <v>8940043</v>
      </c>
      <c r="AK797" s="112" t="s">
        <v>1243</v>
      </c>
      <c r="AL797" s="112">
        <v>787795</v>
      </c>
      <c r="AM797" s="112" t="s">
        <v>1066</v>
      </c>
      <c r="AN797" s="112" t="s">
        <v>1066</v>
      </c>
    </row>
    <row r="798" spans="1:40" ht="55.5" customHeight="1" x14ac:dyDescent="0.25">
      <c r="A798" s="111" t="s">
        <v>3942</v>
      </c>
      <c r="B798" s="112">
        <v>2026</v>
      </c>
      <c r="C798" s="112" t="s">
        <v>3943</v>
      </c>
      <c r="D798" s="113">
        <v>46153.434837962966</v>
      </c>
      <c r="E798" s="112">
        <v>8841526122</v>
      </c>
      <c r="F798" s="112" t="s">
        <v>689</v>
      </c>
      <c r="G798" s="112">
        <v>2</v>
      </c>
      <c r="H798" s="112">
        <v>7908683122</v>
      </c>
      <c r="I798" s="112" t="s">
        <v>3944</v>
      </c>
      <c r="J798" s="112" t="s">
        <v>1231</v>
      </c>
      <c r="K798" s="112" t="s">
        <v>1494</v>
      </c>
      <c r="L798" s="112" t="s">
        <v>1084</v>
      </c>
      <c r="M798" s="112" t="s">
        <v>478</v>
      </c>
      <c r="N798" s="113">
        <v>46244.466805555552</v>
      </c>
      <c r="O798" s="114">
        <v>19000093060</v>
      </c>
      <c r="P798" s="112">
        <v>2.8130000000000002</v>
      </c>
      <c r="Q798" s="112" t="s">
        <v>1131</v>
      </c>
      <c r="R798" s="112" t="s">
        <v>1206</v>
      </c>
      <c r="S798" s="113">
        <v>46192.478437500002</v>
      </c>
      <c r="T798" s="112" t="s">
        <v>3945</v>
      </c>
      <c r="U798" s="112" t="s">
        <v>1065</v>
      </c>
      <c r="V798" s="112" t="s">
        <v>1066</v>
      </c>
      <c r="W798" s="112" t="s">
        <v>1066</v>
      </c>
      <c r="X798" s="112" t="s">
        <v>983</v>
      </c>
      <c r="Y798" s="112" t="s">
        <v>1066</v>
      </c>
      <c r="Z798" s="112" t="s">
        <v>1066</v>
      </c>
      <c r="AA798" s="112" t="s">
        <v>1067</v>
      </c>
      <c r="AB798" s="112" t="s">
        <v>1066</v>
      </c>
      <c r="AC798" s="112" t="s">
        <v>92</v>
      </c>
      <c r="AD798" s="112" t="s">
        <v>1142</v>
      </c>
      <c r="AE798" s="112" t="s">
        <v>1066</v>
      </c>
      <c r="AF798" s="112" t="s">
        <v>1066</v>
      </c>
      <c r="AG798" s="112" t="s">
        <v>1066</v>
      </c>
      <c r="AH798" s="112" t="s">
        <v>3946</v>
      </c>
      <c r="AI798" s="112" t="s">
        <v>785</v>
      </c>
      <c r="AJ798" s="112">
        <v>8875807</v>
      </c>
      <c r="AK798" s="112" t="s">
        <v>264</v>
      </c>
      <c r="AL798" s="112">
        <v>795114</v>
      </c>
      <c r="AM798" s="112" t="s">
        <v>1066</v>
      </c>
      <c r="AN798" s="112" t="s">
        <v>1066</v>
      </c>
    </row>
    <row r="799" spans="1:40" ht="55.5" customHeight="1" x14ac:dyDescent="0.25">
      <c r="A799" s="124" t="s">
        <v>3947</v>
      </c>
      <c r="B799" s="125">
        <v>2026</v>
      </c>
      <c r="C799" s="125" t="s">
        <v>3948</v>
      </c>
      <c r="D799" s="126">
        <v>46064.620763888888</v>
      </c>
      <c r="E799" s="125">
        <v>9031219078</v>
      </c>
      <c r="F799" s="125" t="s">
        <v>170</v>
      </c>
      <c r="G799" s="125">
        <v>3</v>
      </c>
      <c r="H799" s="125">
        <v>5863384078</v>
      </c>
      <c r="I799" s="125" t="s">
        <v>3949</v>
      </c>
      <c r="J799" s="125" t="s">
        <v>1231</v>
      </c>
      <c r="K799" s="125" t="s">
        <v>1232</v>
      </c>
      <c r="L799" s="125" t="s">
        <v>1084</v>
      </c>
      <c r="M799" s="125" t="s">
        <v>510</v>
      </c>
      <c r="N799" s="126">
        <v>46124.620763888888</v>
      </c>
      <c r="O799" s="127">
        <v>19002809060</v>
      </c>
      <c r="P799" s="125">
        <v>345</v>
      </c>
      <c r="Q799" s="125" t="s">
        <v>1074</v>
      </c>
      <c r="R799" s="125" t="s">
        <v>1206</v>
      </c>
      <c r="S799" s="125" t="s">
        <v>1066</v>
      </c>
      <c r="T799" s="125" t="s">
        <v>1066</v>
      </c>
      <c r="U799" s="125" t="s">
        <v>1066</v>
      </c>
      <c r="V799" s="125" t="s">
        <v>1066</v>
      </c>
      <c r="W799" s="125" t="s">
        <v>1066</v>
      </c>
      <c r="X799" s="125" t="s">
        <v>1077</v>
      </c>
      <c r="Y799" s="125" t="s">
        <v>1066</v>
      </c>
      <c r="Z799" s="125" t="s">
        <v>1066</v>
      </c>
      <c r="AA799" s="125" t="s">
        <v>1067</v>
      </c>
      <c r="AB799" s="125" t="s">
        <v>1066</v>
      </c>
      <c r="AC799" s="125" t="s">
        <v>92</v>
      </c>
      <c r="AD799" s="125" t="s">
        <v>1066</v>
      </c>
      <c r="AE799" s="125" t="s">
        <v>1066</v>
      </c>
      <c r="AF799" s="125" t="s">
        <v>1066</v>
      </c>
      <c r="AG799" s="125" t="s">
        <v>1066</v>
      </c>
      <c r="AH799" s="125" t="s">
        <v>3950</v>
      </c>
      <c r="AI799" s="125" t="s">
        <v>785</v>
      </c>
      <c r="AJ799" s="125">
        <v>9050209</v>
      </c>
      <c r="AK799" s="125" t="s">
        <v>396</v>
      </c>
      <c r="AL799" s="125">
        <v>856794</v>
      </c>
      <c r="AM799" s="125" t="s">
        <v>1066</v>
      </c>
      <c r="AN799" s="125" t="s">
        <v>1066</v>
      </c>
    </row>
    <row r="800" spans="1:40" ht="55.5" customHeight="1" x14ac:dyDescent="0.25">
      <c r="A800" s="111" t="s">
        <v>3951</v>
      </c>
      <c r="B800" s="112">
        <v>2026</v>
      </c>
      <c r="C800" s="112" t="s">
        <v>1057</v>
      </c>
      <c r="D800" s="113">
        <v>46125.584386574075</v>
      </c>
      <c r="E800" s="112">
        <v>7933640003</v>
      </c>
      <c r="F800" s="112" t="s">
        <v>1285</v>
      </c>
      <c r="G800" s="112">
        <v>1</v>
      </c>
      <c r="H800" s="112">
        <v>7933640003</v>
      </c>
      <c r="I800" s="112" t="s">
        <v>3952</v>
      </c>
      <c r="J800" s="112" t="s">
        <v>1066</v>
      </c>
      <c r="K800" s="112" t="s">
        <v>1125</v>
      </c>
      <c r="L800" s="112" t="s">
        <v>1061</v>
      </c>
      <c r="M800" s="112" t="s">
        <v>478</v>
      </c>
      <c r="N800" s="113">
        <v>46525.584386574075</v>
      </c>
      <c r="O800" s="114">
        <v>19002209380</v>
      </c>
      <c r="P800" s="112">
        <v>0</v>
      </c>
      <c r="Q800" s="112" t="s">
        <v>1062</v>
      </c>
      <c r="R800" s="112" t="s">
        <v>1063</v>
      </c>
      <c r="S800" s="113">
        <v>46153.696319444447</v>
      </c>
      <c r="T800" s="112" t="s">
        <v>3953</v>
      </c>
      <c r="U800" s="112" t="s">
        <v>1065</v>
      </c>
      <c r="V800" s="112" t="s">
        <v>1066</v>
      </c>
      <c r="W800" s="112" t="s">
        <v>1066</v>
      </c>
      <c r="X800" s="112" t="s">
        <v>1066</v>
      </c>
      <c r="Y800" s="112" t="s">
        <v>1066</v>
      </c>
      <c r="Z800" s="112" t="s">
        <v>1066</v>
      </c>
      <c r="AA800" s="112" t="s">
        <v>1067</v>
      </c>
      <c r="AB800" s="112" t="s">
        <v>1066</v>
      </c>
      <c r="AC800" s="112" t="s">
        <v>92</v>
      </c>
      <c r="AD800" s="112" t="s">
        <v>1066</v>
      </c>
      <c r="AE800" s="112" t="s">
        <v>1066</v>
      </c>
      <c r="AF800" s="112" t="s">
        <v>1066</v>
      </c>
      <c r="AG800" s="112" t="s">
        <v>1066</v>
      </c>
      <c r="AH800" s="112" t="s">
        <v>1066</v>
      </c>
      <c r="AI800" s="112" t="s">
        <v>785</v>
      </c>
      <c r="AJ800" s="112">
        <v>8699934</v>
      </c>
      <c r="AK800" s="112" t="s">
        <v>210</v>
      </c>
      <c r="AL800" s="112">
        <v>709673</v>
      </c>
      <c r="AM800" s="112" t="s">
        <v>1066</v>
      </c>
      <c r="AN800" s="112" t="s">
        <v>1066</v>
      </c>
    </row>
    <row r="801" spans="1:40" ht="55.5" customHeight="1" x14ac:dyDescent="0.25">
      <c r="A801" s="111" t="s">
        <v>3954</v>
      </c>
      <c r="B801" s="112">
        <v>2026</v>
      </c>
      <c r="C801" s="112" t="s">
        <v>1089</v>
      </c>
      <c r="D801" s="113">
        <v>46028.41065972222</v>
      </c>
      <c r="E801" s="112">
        <v>7931645122</v>
      </c>
      <c r="F801" s="112" t="s">
        <v>692</v>
      </c>
      <c r="G801" s="112">
        <v>1</v>
      </c>
      <c r="H801" s="112">
        <v>7931645122</v>
      </c>
      <c r="I801" s="112" t="s">
        <v>3192</v>
      </c>
      <c r="J801" s="112" t="s">
        <v>1092</v>
      </c>
      <c r="K801" s="112" t="s">
        <v>1093</v>
      </c>
      <c r="L801" s="112" t="s">
        <v>1061</v>
      </c>
      <c r="M801" s="112" t="s">
        <v>478</v>
      </c>
      <c r="N801" s="113">
        <v>46428.41065972222</v>
      </c>
      <c r="O801" s="114">
        <v>19002203361</v>
      </c>
      <c r="P801" s="112">
        <v>3.01</v>
      </c>
      <c r="Q801" s="112" t="s">
        <v>1062</v>
      </c>
      <c r="R801" s="112" t="s">
        <v>1063</v>
      </c>
      <c r="S801" s="113">
        <v>46199.373263888891</v>
      </c>
      <c r="T801" s="112" t="s">
        <v>3955</v>
      </c>
      <c r="U801" s="112" t="s">
        <v>1065</v>
      </c>
      <c r="V801" s="112" t="s">
        <v>1066</v>
      </c>
      <c r="W801" s="112" t="s">
        <v>1066</v>
      </c>
      <c r="X801" s="112" t="s">
        <v>1066</v>
      </c>
      <c r="Y801" s="112" t="s">
        <v>1066</v>
      </c>
      <c r="Z801" s="112" t="s">
        <v>1066</v>
      </c>
      <c r="AA801" s="112" t="s">
        <v>1067</v>
      </c>
      <c r="AB801" s="112" t="s">
        <v>1066</v>
      </c>
      <c r="AC801" s="112" t="s">
        <v>92</v>
      </c>
      <c r="AD801" s="112" t="s">
        <v>1066</v>
      </c>
      <c r="AE801" s="112" t="s">
        <v>1066</v>
      </c>
      <c r="AF801" s="112" t="s">
        <v>1066</v>
      </c>
      <c r="AG801" s="112" t="s">
        <v>1066</v>
      </c>
      <c r="AH801" s="112" t="s">
        <v>1066</v>
      </c>
      <c r="AI801" s="112" t="s">
        <v>785</v>
      </c>
      <c r="AJ801" s="112">
        <v>8874621</v>
      </c>
      <c r="AK801" s="112" t="s">
        <v>264</v>
      </c>
      <c r="AL801" s="112">
        <v>791855</v>
      </c>
      <c r="AM801" s="112" t="s">
        <v>1066</v>
      </c>
      <c r="AN801" s="112" t="s">
        <v>1066</v>
      </c>
    </row>
    <row r="802" spans="1:40" ht="55.5" customHeight="1" x14ac:dyDescent="0.25">
      <c r="A802" s="111" t="s">
        <v>3956</v>
      </c>
      <c r="B802" s="112">
        <v>2026</v>
      </c>
      <c r="C802" s="112" t="s">
        <v>1213</v>
      </c>
      <c r="D802" s="113">
        <v>46122.549942129626</v>
      </c>
      <c r="E802" s="112">
        <v>7923679004</v>
      </c>
      <c r="F802" s="112" t="s">
        <v>1203</v>
      </c>
      <c r="G802" s="112">
        <v>3</v>
      </c>
      <c r="H802" s="112">
        <v>7923679004</v>
      </c>
      <c r="I802" s="112" t="s">
        <v>3957</v>
      </c>
      <c r="J802" s="112" t="s">
        <v>1066</v>
      </c>
      <c r="K802" s="112" t="s">
        <v>1125</v>
      </c>
      <c r="L802" s="112" t="s">
        <v>1061</v>
      </c>
      <c r="M802" s="112" t="s">
        <v>478</v>
      </c>
      <c r="N802" s="113">
        <v>46522.549942129626</v>
      </c>
      <c r="O802" s="114">
        <v>19002260301</v>
      </c>
      <c r="P802" s="112">
        <v>113</v>
      </c>
      <c r="Q802" s="112" t="s">
        <v>1062</v>
      </c>
      <c r="R802" s="112" t="s">
        <v>1063</v>
      </c>
      <c r="S802" s="113">
        <v>46129.4375</v>
      </c>
      <c r="T802" s="112" t="s">
        <v>3958</v>
      </c>
      <c r="U802" s="112" t="s">
        <v>1065</v>
      </c>
      <c r="V802" s="112" t="s">
        <v>1066</v>
      </c>
      <c r="W802" s="112" t="s">
        <v>1066</v>
      </c>
      <c r="X802" s="112" t="s">
        <v>1066</v>
      </c>
      <c r="Y802" s="112" t="s">
        <v>1066</v>
      </c>
      <c r="Z802" s="112" t="s">
        <v>1066</v>
      </c>
      <c r="AA802" s="112" t="s">
        <v>1067</v>
      </c>
      <c r="AB802" s="112" t="s">
        <v>1066</v>
      </c>
      <c r="AC802" s="112" t="s">
        <v>92</v>
      </c>
      <c r="AD802" s="112" t="s">
        <v>1066</v>
      </c>
      <c r="AE802" s="112" t="s">
        <v>1066</v>
      </c>
      <c r="AF802" s="112" t="s">
        <v>1066</v>
      </c>
      <c r="AG802" s="112" t="s">
        <v>1066</v>
      </c>
      <c r="AH802" s="112" t="s">
        <v>1066</v>
      </c>
      <c r="AI802" s="112" t="s">
        <v>785</v>
      </c>
      <c r="AJ802" s="112">
        <v>9192916</v>
      </c>
      <c r="AK802" s="112" t="s">
        <v>69</v>
      </c>
      <c r="AL802" s="112">
        <v>804685</v>
      </c>
      <c r="AM802" s="112" t="s">
        <v>1066</v>
      </c>
      <c r="AN802" s="112" t="s">
        <v>1066</v>
      </c>
    </row>
    <row r="803" spans="1:40" ht="55.5" customHeight="1" x14ac:dyDescent="0.25">
      <c r="A803" s="111" t="s">
        <v>3959</v>
      </c>
      <c r="B803" s="112">
        <v>2026</v>
      </c>
      <c r="C803" s="112" t="s">
        <v>3960</v>
      </c>
      <c r="D803" s="113">
        <v>46204.716087962966</v>
      </c>
      <c r="E803" s="112">
        <v>7900385081</v>
      </c>
      <c r="F803" s="112" t="s">
        <v>364</v>
      </c>
      <c r="G803" s="112">
        <v>3</v>
      </c>
      <c r="H803" s="112">
        <v>7900385081</v>
      </c>
      <c r="I803" s="112" t="s">
        <v>3961</v>
      </c>
      <c r="J803" s="112" t="s">
        <v>1059</v>
      </c>
      <c r="K803" s="112" t="s">
        <v>1060</v>
      </c>
      <c r="L803" s="112" t="s">
        <v>1061</v>
      </c>
      <c r="M803" s="112" t="s">
        <v>478</v>
      </c>
      <c r="N803" s="113">
        <v>46604.716087962966</v>
      </c>
      <c r="O803" s="114">
        <v>19002766324</v>
      </c>
      <c r="P803" s="112">
        <v>568</v>
      </c>
      <c r="Q803" s="112" t="s">
        <v>1062</v>
      </c>
      <c r="R803" s="112" t="s">
        <v>1063</v>
      </c>
      <c r="S803" s="113">
        <v>46226.622916666667</v>
      </c>
      <c r="T803" s="112" t="s">
        <v>3962</v>
      </c>
      <c r="U803" s="112" t="s">
        <v>1065</v>
      </c>
      <c r="V803" s="112" t="s">
        <v>1066</v>
      </c>
      <c r="W803" s="112" t="s">
        <v>1066</v>
      </c>
      <c r="X803" s="112" t="s">
        <v>1066</v>
      </c>
      <c r="Y803" s="112" t="s">
        <v>1066</v>
      </c>
      <c r="Z803" s="112" t="s">
        <v>1066</v>
      </c>
      <c r="AA803" s="112" t="s">
        <v>1067</v>
      </c>
      <c r="AB803" s="112" t="s">
        <v>1066</v>
      </c>
      <c r="AC803" s="112" t="s">
        <v>92</v>
      </c>
      <c r="AD803" s="112" t="s">
        <v>1066</v>
      </c>
      <c r="AE803" s="112" t="s">
        <v>1066</v>
      </c>
      <c r="AF803" s="112" t="s">
        <v>1066</v>
      </c>
      <c r="AG803" s="112" t="s">
        <v>1066</v>
      </c>
      <c r="AH803" s="112" t="s">
        <v>1066</v>
      </c>
      <c r="AI803" s="112" t="s">
        <v>785</v>
      </c>
      <c r="AJ803" s="112">
        <v>9359400</v>
      </c>
      <c r="AK803" s="112" t="s">
        <v>1721</v>
      </c>
      <c r="AL803" s="112">
        <v>889373</v>
      </c>
      <c r="AM803" s="112" t="s">
        <v>1066</v>
      </c>
      <c r="AN803" s="112" t="s">
        <v>1066</v>
      </c>
    </row>
    <row r="804" spans="1:40" ht="55.5" customHeight="1" x14ac:dyDescent="0.25">
      <c r="A804" s="111" t="s">
        <v>3963</v>
      </c>
      <c r="B804" s="112">
        <v>2026</v>
      </c>
      <c r="C804" s="112" t="s">
        <v>3964</v>
      </c>
      <c r="D804" s="113">
        <v>45670.197928240741</v>
      </c>
      <c r="E804" s="112">
        <v>7908715122</v>
      </c>
      <c r="F804" s="112" t="s">
        <v>1747</v>
      </c>
      <c r="G804" s="112">
        <v>1</v>
      </c>
      <c r="H804" s="112">
        <v>7908715122</v>
      </c>
      <c r="I804" s="112" t="s">
        <v>3965</v>
      </c>
      <c r="J804" s="112" t="s">
        <v>1071</v>
      </c>
      <c r="K804" s="112" t="s">
        <v>2167</v>
      </c>
      <c r="L804" s="112" t="s">
        <v>1073</v>
      </c>
      <c r="M804" s="112" t="s">
        <v>478</v>
      </c>
      <c r="N804" s="113">
        <v>46046.563113425924</v>
      </c>
      <c r="O804" s="114">
        <v>19002223871</v>
      </c>
      <c r="P804" s="112">
        <v>1.9370000000000001</v>
      </c>
      <c r="Q804" s="112" t="s">
        <v>1062</v>
      </c>
      <c r="R804" s="112" t="s">
        <v>1263</v>
      </c>
      <c r="S804" s="113">
        <v>46135.612500000003</v>
      </c>
      <c r="T804" s="112" t="s">
        <v>3966</v>
      </c>
      <c r="U804" s="112" t="s">
        <v>1065</v>
      </c>
      <c r="V804" s="112" t="s">
        <v>1066</v>
      </c>
      <c r="W804" s="112" t="s">
        <v>1066</v>
      </c>
      <c r="X804" s="112" t="s">
        <v>1117</v>
      </c>
      <c r="Y804" s="112" t="s">
        <v>1066</v>
      </c>
      <c r="Z804" s="112" t="s">
        <v>1532</v>
      </c>
      <c r="AA804" s="112" t="s">
        <v>1067</v>
      </c>
      <c r="AB804" s="112" t="s">
        <v>1066</v>
      </c>
      <c r="AC804" s="112" t="s">
        <v>92</v>
      </c>
      <c r="AD804" s="112" t="s">
        <v>1066</v>
      </c>
      <c r="AE804" s="112" t="s">
        <v>1066</v>
      </c>
      <c r="AF804" s="112" t="s">
        <v>1066</v>
      </c>
      <c r="AG804" s="112" t="s">
        <v>1066</v>
      </c>
      <c r="AH804" s="112" t="s">
        <v>3967</v>
      </c>
      <c r="AI804" s="112" t="s">
        <v>785</v>
      </c>
      <c r="AJ804" s="112">
        <v>8871508</v>
      </c>
      <c r="AK804" s="112" t="s">
        <v>264</v>
      </c>
      <c r="AL804" s="112">
        <v>792973</v>
      </c>
      <c r="AM804" s="112" t="s">
        <v>1066</v>
      </c>
      <c r="AN804" s="112" t="s">
        <v>1066</v>
      </c>
    </row>
    <row r="805" spans="1:40" ht="55.5" customHeight="1" x14ac:dyDescent="0.25">
      <c r="A805" s="111" t="s">
        <v>3968</v>
      </c>
      <c r="B805" s="112">
        <v>2026</v>
      </c>
      <c r="C805" s="112" t="s">
        <v>1240</v>
      </c>
      <c r="D805" s="113">
        <v>46183.597349537034</v>
      </c>
      <c r="E805" s="112">
        <v>7924271059</v>
      </c>
      <c r="F805" s="112" t="s">
        <v>274</v>
      </c>
      <c r="G805" s="112">
        <v>3</v>
      </c>
      <c r="H805" s="112">
        <v>7924271059</v>
      </c>
      <c r="I805" s="112" t="s">
        <v>1782</v>
      </c>
      <c r="J805" s="112" t="s">
        <v>1066</v>
      </c>
      <c r="K805" s="112" t="s">
        <v>1125</v>
      </c>
      <c r="L805" s="112" t="s">
        <v>1061</v>
      </c>
      <c r="M805" s="112" t="s">
        <v>478</v>
      </c>
      <c r="N805" s="113">
        <v>46583.597349537034</v>
      </c>
      <c r="O805" s="114">
        <v>19002223714</v>
      </c>
      <c r="P805" s="112">
        <v>0</v>
      </c>
      <c r="Q805" s="112" t="s">
        <v>1062</v>
      </c>
      <c r="R805" s="112" t="s">
        <v>1063</v>
      </c>
      <c r="S805" s="113">
        <v>46176.731805555559</v>
      </c>
      <c r="T805" s="112" t="s">
        <v>1783</v>
      </c>
      <c r="U805" s="112" t="s">
        <v>1065</v>
      </c>
      <c r="V805" s="112" t="s">
        <v>1066</v>
      </c>
      <c r="W805" s="112" t="s">
        <v>1066</v>
      </c>
      <c r="X805" s="112" t="s">
        <v>1066</v>
      </c>
      <c r="Y805" s="112" t="s">
        <v>1066</v>
      </c>
      <c r="Z805" s="112" t="s">
        <v>1066</v>
      </c>
      <c r="AA805" s="112" t="s">
        <v>1067</v>
      </c>
      <c r="AB805" s="112" t="s">
        <v>1066</v>
      </c>
      <c r="AC805" s="112" t="s">
        <v>92</v>
      </c>
      <c r="AD805" s="112" t="s">
        <v>1066</v>
      </c>
      <c r="AE805" s="112" t="s">
        <v>1066</v>
      </c>
      <c r="AF805" s="112" t="s">
        <v>1066</v>
      </c>
      <c r="AG805" s="112" t="s">
        <v>1066</v>
      </c>
      <c r="AH805" s="112" t="s">
        <v>1066</v>
      </c>
      <c r="AI805" s="112" t="s">
        <v>785</v>
      </c>
      <c r="AJ805" s="112">
        <v>8857499</v>
      </c>
      <c r="AK805" s="112" t="s">
        <v>264</v>
      </c>
      <c r="AL805" s="112">
        <v>802688</v>
      </c>
      <c r="AM805" s="112" t="s">
        <v>1066</v>
      </c>
      <c r="AN805" s="112" t="s">
        <v>1066</v>
      </c>
    </row>
    <row r="806" spans="1:40" ht="55.5" customHeight="1" x14ac:dyDescent="0.25">
      <c r="A806" s="111" t="s">
        <v>3969</v>
      </c>
      <c r="B806" s="112">
        <v>2026</v>
      </c>
      <c r="C806" s="112" t="s">
        <v>1089</v>
      </c>
      <c r="D806" s="113">
        <v>46028.41065972222</v>
      </c>
      <c r="E806" s="112">
        <v>7910063075</v>
      </c>
      <c r="F806" s="112" t="s">
        <v>1415</v>
      </c>
      <c r="G806" s="112">
        <v>3</v>
      </c>
      <c r="H806" s="112">
        <v>7910063075</v>
      </c>
      <c r="I806" s="112" t="s">
        <v>2614</v>
      </c>
      <c r="J806" s="112" t="s">
        <v>1092</v>
      </c>
      <c r="K806" s="112" t="s">
        <v>1093</v>
      </c>
      <c r="L806" s="112" t="s">
        <v>1061</v>
      </c>
      <c r="M806" s="112" t="s">
        <v>478</v>
      </c>
      <c r="N806" s="113">
        <v>46428.41065972222</v>
      </c>
      <c r="O806" s="114">
        <v>19002777109</v>
      </c>
      <c r="P806" s="112">
        <v>94</v>
      </c>
      <c r="Q806" s="112" t="s">
        <v>1062</v>
      </c>
      <c r="R806" s="112" t="s">
        <v>1063</v>
      </c>
      <c r="S806" s="113">
        <v>46098.747511574074</v>
      </c>
      <c r="T806" s="112" t="s">
        <v>2631</v>
      </c>
      <c r="U806" s="112" t="s">
        <v>1065</v>
      </c>
      <c r="V806" s="112" t="s">
        <v>1066</v>
      </c>
      <c r="W806" s="112" t="s">
        <v>1066</v>
      </c>
      <c r="X806" s="112" t="s">
        <v>1066</v>
      </c>
      <c r="Y806" s="112" t="s">
        <v>1066</v>
      </c>
      <c r="Z806" s="112" t="s">
        <v>1066</v>
      </c>
      <c r="AA806" s="112" t="s">
        <v>1067</v>
      </c>
      <c r="AB806" s="112" t="s">
        <v>1066</v>
      </c>
      <c r="AC806" s="112" t="s">
        <v>92</v>
      </c>
      <c r="AD806" s="112" t="s">
        <v>1066</v>
      </c>
      <c r="AE806" s="112" t="s">
        <v>1066</v>
      </c>
      <c r="AF806" s="112" t="s">
        <v>1066</v>
      </c>
      <c r="AG806" s="112" t="s">
        <v>1066</v>
      </c>
      <c r="AH806" s="112" t="s">
        <v>1066</v>
      </c>
      <c r="AI806" s="112" t="s">
        <v>785</v>
      </c>
      <c r="AJ806" s="112">
        <v>8980764</v>
      </c>
      <c r="AK806" s="112" t="s">
        <v>590</v>
      </c>
      <c r="AL806" s="112">
        <v>730810</v>
      </c>
      <c r="AM806" s="112" t="s">
        <v>1066</v>
      </c>
      <c r="AN806" s="112" t="s">
        <v>1066</v>
      </c>
    </row>
    <row r="807" spans="1:40" ht="55.5" customHeight="1" x14ac:dyDescent="0.25">
      <c r="A807" s="111" t="s">
        <v>3970</v>
      </c>
      <c r="B807" s="112">
        <v>2026</v>
      </c>
      <c r="C807" s="112" t="s">
        <v>3971</v>
      </c>
      <c r="D807" s="113">
        <v>46085.892534722225</v>
      </c>
      <c r="E807" s="112" t="s">
        <v>2078</v>
      </c>
      <c r="F807" s="112" t="s">
        <v>2078</v>
      </c>
      <c r="G807" s="112">
        <v>2</v>
      </c>
      <c r="H807" s="112">
        <v>7929763027</v>
      </c>
      <c r="I807" s="112" t="s">
        <v>2079</v>
      </c>
      <c r="J807" s="112" t="s">
        <v>1071</v>
      </c>
      <c r="K807" s="112" t="s">
        <v>1145</v>
      </c>
      <c r="L807" s="112" t="s">
        <v>1073</v>
      </c>
      <c r="M807" s="112" t="s">
        <v>478</v>
      </c>
      <c r="N807" s="113">
        <v>46108.686215277776</v>
      </c>
      <c r="O807" s="114">
        <v>19002810720</v>
      </c>
      <c r="P807" s="112">
        <v>1.609</v>
      </c>
      <c r="Q807" s="112" t="s">
        <v>1131</v>
      </c>
      <c r="R807" s="112" t="s">
        <v>1085</v>
      </c>
      <c r="S807" s="113">
        <v>46129.729097222225</v>
      </c>
      <c r="T807" s="112" t="s">
        <v>3972</v>
      </c>
      <c r="U807" s="112" t="s">
        <v>1065</v>
      </c>
      <c r="V807" s="112" t="s">
        <v>1066</v>
      </c>
      <c r="W807" s="112" t="s">
        <v>1066</v>
      </c>
      <c r="X807" s="112" t="s">
        <v>983</v>
      </c>
      <c r="Y807" s="112" t="s">
        <v>1066</v>
      </c>
      <c r="Z807" s="112" t="s">
        <v>1148</v>
      </c>
      <c r="AA807" s="112" t="s">
        <v>1067</v>
      </c>
      <c r="AB807" s="112" t="s">
        <v>1066</v>
      </c>
      <c r="AC807" s="112" t="s">
        <v>92</v>
      </c>
      <c r="AD807" s="112" t="s">
        <v>1066</v>
      </c>
      <c r="AE807" s="112" t="s">
        <v>1066</v>
      </c>
      <c r="AF807" s="112" t="s">
        <v>1066</v>
      </c>
      <c r="AG807" s="112" t="s">
        <v>1066</v>
      </c>
      <c r="AH807" s="112" t="s">
        <v>3973</v>
      </c>
      <c r="AI807" s="112" t="s">
        <v>785</v>
      </c>
      <c r="AJ807" s="112">
        <v>8658621</v>
      </c>
      <c r="AK807" s="112" t="s">
        <v>2081</v>
      </c>
      <c r="AL807" s="112">
        <v>991723</v>
      </c>
      <c r="AM807" s="112" t="s">
        <v>1066</v>
      </c>
      <c r="AN807" s="112" t="s">
        <v>1066</v>
      </c>
    </row>
    <row r="808" spans="1:40" ht="55.5" customHeight="1" x14ac:dyDescent="0.25">
      <c r="A808" s="120" t="s">
        <v>3974</v>
      </c>
      <c r="B808" s="121">
        <v>2026</v>
      </c>
      <c r="C808" s="121" t="s">
        <v>3103</v>
      </c>
      <c r="D808" s="122">
        <v>46141.725081018521</v>
      </c>
      <c r="E808" s="121">
        <v>9000376063</v>
      </c>
      <c r="F808" s="121" t="s">
        <v>148</v>
      </c>
      <c r="G808" s="121">
        <v>3</v>
      </c>
      <c r="H808" s="121">
        <v>5838020063</v>
      </c>
      <c r="I808" s="121" t="s">
        <v>3975</v>
      </c>
      <c r="J808" s="121" t="s">
        <v>1071</v>
      </c>
      <c r="K808" s="121" t="s">
        <v>1171</v>
      </c>
      <c r="L808" s="121" t="s">
        <v>1073</v>
      </c>
      <c r="M808" s="121" t="s">
        <v>1116</v>
      </c>
      <c r="N808" s="122">
        <v>46144.725081018521</v>
      </c>
      <c r="O808" s="123">
        <v>19002317691</v>
      </c>
      <c r="P808" s="121">
        <v>149</v>
      </c>
      <c r="Q808" s="121" t="s">
        <v>1074</v>
      </c>
      <c r="R808" s="121" t="s">
        <v>1263</v>
      </c>
      <c r="S808" s="122">
        <v>46147.394375000003</v>
      </c>
      <c r="T808" s="121" t="s">
        <v>1066</v>
      </c>
      <c r="U808" s="121" t="s">
        <v>1066</v>
      </c>
      <c r="V808" s="121" t="s">
        <v>1066</v>
      </c>
      <c r="W808" s="121" t="s">
        <v>1066</v>
      </c>
      <c r="X808" s="121" t="s">
        <v>1582</v>
      </c>
      <c r="Y808" s="121" t="s">
        <v>1066</v>
      </c>
      <c r="Z808" s="121" t="s">
        <v>1174</v>
      </c>
      <c r="AA808" s="121" t="s">
        <v>1067</v>
      </c>
      <c r="AB808" s="121" t="s">
        <v>1066</v>
      </c>
      <c r="AC808" s="121" t="s">
        <v>92</v>
      </c>
      <c r="AD808" s="121" t="s">
        <v>1066</v>
      </c>
      <c r="AE808" s="121" t="s">
        <v>1066</v>
      </c>
      <c r="AF808" s="121" t="s">
        <v>1066</v>
      </c>
      <c r="AG808" s="121" t="s">
        <v>1066</v>
      </c>
      <c r="AH808" s="121" t="s">
        <v>1066</v>
      </c>
      <c r="AI808" s="121" t="s">
        <v>785</v>
      </c>
      <c r="AJ808" s="121">
        <v>9143781</v>
      </c>
      <c r="AK808" s="121" t="s">
        <v>147</v>
      </c>
      <c r="AL808" s="121">
        <v>757875</v>
      </c>
      <c r="AM808" s="121" t="s">
        <v>1066</v>
      </c>
      <c r="AN808" s="121" t="s">
        <v>1066</v>
      </c>
    </row>
    <row r="809" spans="1:40" ht="55.5" customHeight="1" x14ac:dyDescent="0.25">
      <c r="A809" s="111" t="s">
        <v>3976</v>
      </c>
      <c r="B809" s="112">
        <v>2026</v>
      </c>
      <c r="C809" s="112" t="s">
        <v>3977</v>
      </c>
      <c r="D809" s="113">
        <v>46150.718171296299</v>
      </c>
      <c r="E809" s="112">
        <v>8800325097</v>
      </c>
      <c r="F809" s="112" t="s">
        <v>1574</v>
      </c>
      <c r="G809" s="112">
        <v>2</v>
      </c>
      <c r="H809" s="112">
        <v>5849892032</v>
      </c>
      <c r="I809" s="112" t="s">
        <v>3978</v>
      </c>
      <c r="J809" s="112" t="s">
        <v>1071</v>
      </c>
      <c r="K809" s="112" t="s">
        <v>1072</v>
      </c>
      <c r="L809" s="112" t="s">
        <v>1707</v>
      </c>
      <c r="M809" s="112" t="s">
        <v>478</v>
      </c>
      <c r="N809" s="113">
        <v>46330.718171296299</v>
      </c>
      <c r="O809" s="114">
        <v>19002682687</v>
      </c>
      <c r="P809" s="112">
        <v>1.1279999999999999</v>
      </c>
      <c r="Q809" s="112" t="s">
        <v>1074</v>
      </c>
      <c r="R809" s="112" t="s">
        <v>1075</v>
      </c>
      <c r="S809" s="113">
        <v>46161.493923611109</v>
      </c>
      <c r="T809" s="112" t="s">
        <v>3979</v>
      </c>
      <c r="U809" s="112" t="s">
        <v>1065</v>
      </c>
      <c r="V809" s="112" t="s">
        <v>1066</v>
      </c>
      <c r="W809" s="112" t="s">
        <v>1066</v>
      </c>
      <c r="X809" s="112" t="s">
        <v>1077</v>
      </c>
      <c r="Y809" s="112" t="s">
        <v>1066</v>
      </c>
      <c r="Z809" s="112" t="s">
        <v>1078</v>
      </c>
      <c r="AA809" s="112" t="s">
        <v>1067</v>
      </c>
      <c r="AB809" s="112" t="s">
        <v>1066</v>
      </c>
      <c r="AC809" s="112" t="s">
        <v>92</v>
      </c>
      <c r="AD809" s="112" t="s">
        <v>1066</v>
      </c>
      <c r="AE809" s="112" t="s">
        <v>1066</v>
      </c>
      <c r="AF809" s="112" t="s">
        <v>1066</v>
      </c>
      <c r="AG809" s="112" t="s">
        <v>1066</v>
      </c>
      <c r="AH809" s="112" t="s">
        <v>1066</v>
      </c>
      <c r="AI809" s="112" t="s">
        <v>785</v>
      </c>
      <c r="AJ809" s="112">
        <v>8604379</v>
      </c>
      <c r="AK809" s="112" t="s">
        <v>469</v>
      </c>
      <c r="AL809" s="112">
        <v>679431</v>
      </c>
      <c r="AM809" s="112" t="s">
        <v>1066</v>
      </c>
      <c r="AN809" s="112" t="s">
        <v>1066</v>
      </c>
    </row>
    <row r="810" spans="1:40" ht="55.5" customHeight="1" x14ac:dyDescent="0.25">
      <c r="A810" s="111" t="s">
        <v>3980</v>
      </c>
      <c r="B810" s="112">
        <v>2026</v>
      </c>
      <c r="C810" s="112" t="s">
        <v>1057</v>
      </c>
      <c r="D810" s="113">
        <v>46125.63863425926</v>
      </c>
      <c r="E810" s="112">
        <v>7926894122</v>
      </c>
      <c r="F810" s="112" t="s">
        <v>409</v>
      </c>
      <c r="G810" s="112">
        <v>1</v>
      </c>
      <c r="H810" s="112">
        <v>7926894122</v>
      </c>
      <c r="I810" s="112" t="s">
        <v>3981</v>
      </c>
      <c r="J810" s="112" t="s">
        <v>1066</v>
      </c>
      <c r="K810" s="112" t="s">
        <v>1125</v>
      </c>
      <c r="L810" s="112" t="s">
        <v>1061</v>
      </c>
      <c r="M810" s="112" t="s">
        <v>478</v>
      </c>
      <c r="N810" s="113">
        <v>46525.63863425926</v>
      </c>
      <c r="O810" s="114">
        <v>19002204213</v>
      </c>
      <c r="P810" s="112">
        <v>2.0230000000000001</v>
      </c>
      <c r="Q810" s="112" t="s">
        <v>1062</v>
      </c>
      <c r="R810" s="112" t="s">
        <v>1063</v>
      </c>
      <c r="S810" s="113">
        <v>46174.3125</v>
      </c>
      <c r="T810" s="112" t="s">
        <v>1307</v>
      </c>
      <c r="U810" s="112" t="s">
        <v>1065</v>
      </c>
      <c r="V810" s="112" t="s">
        <v>1066</v>
      </c>
      <c r="W810" s="112" t="s">
        <v>1066</v>
      </c>
      <c r="X810" s="112" t="s">
        <v>1066</v>
      </c>
      <c r="Y810" s="112" t="s">
        <v>1066</v>
      </c>
      <c r="Z810" s="112" t="s">
        <v>1066</v>
      </c>
      <c r="AA810" s="112" t="s">
        <v>1067</v>
      </c>
      <c r="AB810" s="112" t="s">
        <v>1066</v>
      </c>
      <c r="AC810" s="112" t="s">
        <v>92</v>
      </c>
      <c r="AD810" s="112" t="s">
        <v>1066</v>
      </c>
      <c r="AE810" s="112" t="s">
        <v>1066</v>
      </c>
      <c r="AF810" s="112" t="s">
        <v>1066</v>
      </c>
      <c r="AG810" s="112" t="s">
        <v>1066</v>
      </c>
      <c r="AH810" s="112" t="s">
        <v>1066</v>
      </c>
      <c r="AI810" s="112" t="s">
        <v>785</v>
      </c>
      <c r="AJ810" s="112">
        <v>8872870</v>
      </c>
      <c r="AK810" s="112" t="s">
        <v>264</v>
      </c>
      <c r="AL810" s="112">
        <v>794309</v>
      </c>
      <c r="AM810" s="112" t="s">
        <v>1066</v>
      </c>
      <c r="AN810" s="112" t="s">
        <v>1066</v>
      </c>
    </row>
    <row r="811" spans="1:40" ht="55.5" customHeight="1" x14ac:dyDescent="0.25">
      <c r="A811" s="124" t="s">
        <v>3982</v>
      </c>
      <c r="B811" s="125">
        <v>2026</v>
      </c>
      <c r="C811" s="125" t="s">
        <v>1818</v>
      </c>
      <c r="D811" s="126">
        <v>46192.594305555554</v>
      </c>
      <c r="E811" s="125">
        <v>6800001079</v>
      </c>
      <c r="F811" s="125" t="s">
        <v>360</v>
      </c>
      <c r="G811" s="125">
        <v>3</v>
      </c>
      <c r="H811" s="125">
        <v>7953211079</v>
      </c>
      <c r="I811" s="125" t="s">
        <v>3983</v>
      </c>
      <c r="J811" s="125" t="s">
        <v>1157</v>
      </c>
      <c r="K811" s="125" t="s">
        <v>1158</v>
      </c>
      <c r="L811" s="125" t="s">
        <v>1084</v>
      </c>
      <c r="M811" s="125" t="s">
        <v>510</v>
      </c>
      <c r="N811" s="126">
        <v>46252.594305555554</v>
      </c>
      <c r="O811" s="127">
        <v>19002678734</v>
      </c>
      <c r="P811" s="125">
        <v>1.59</v>
      </c>
      <c r="Q811" s="125" t="s">
        <v>1131</v>
      </c>
      <c r="R811" s="125" t="s">
        <v>1085</v>
      </c>
      <c r="S811" s="125" t="s">
        <v>1066</v>
      </c>
      <c r="T811" s="125" t="s">
        <v>1066</v>
      </c>
      <c r="U811" s="125" t="s">
        <v>1066</v>
      </c>
      <c r="V811" s="125" t="s">
        <v>1066</v>
      </c>
      <c r="W811" s="125" t="s">
        <v>1066</v>
      </c>
      <c r="X811" s="125" t="s">
        <v>1117</v>
      </c>
      <c r="Y811" s="125" t="s">
        <v>1066</v>
      </c>
      <c r="Z811" s="125" t="s">
        <v>1148</v>
      </c>
      <c r="AA811" s="125" t="s">
        <v>1067</v>
      </c>
      <c r="AB811" s="125" t="s">
        <v>1066</v>
      </c>
      <c r="AC811" s="125" t="s">
        <v>92</v>
      </c>
      <c r="AD811" s="125" t="s">
        <v>1066</v>
      </c>
      <c r="AE811" s="125" t="s">
        <v>1066</v>
      </c>
      <c r="AF811" s="125" t="s">
        <v>1066</v>
      </c>
      <c r="AG811" s="125" t="s">
        <v>1066</v>
      </c>
      <c r="AH811" s="125" t="s">
        <v>1066</v>
      </c>
      <c r="AI811" s="125" t="s">
        <v>785</v>
      </c>
      <c r="AJ811" s="125">
        <v>9070549</v>
      </c>
      <c r="AK811" s="125" t="s">
        <v>359</v>
      </c>
      <c r="AL811" s="125">
        <v>819863</v>
      </c>
      <c r="AM811" s="125" t="s">
        <v>1066</v>
      </c>
      <c r="AN811" s="125" t="s">
        <v>1066</v>
      </c>
    </row>
    <row r="812" spans="1:40" ht="55.5" customHeight="1" x14ac:dyDescent="0.25">
      <c r="A812" s="111" t="s">
        <v>3984</v>
      </c>
      <c r="B812" s="112">
        <v>2026</v>
      </c>
      <c r="C812" s="112" t="s">
        <v>1213</v>
      </c>
      <c r="D812" s="113">
        <v>46122.549942129626</v>
      </c>
      <c r="E812" s="112">
        <v>7930295015</v>
      </c>
      <c r="F812" s="112" t="s">
        <v>706</v>
      </c>
      <c r="G812" s="112">
        <v>2</v>
      </c>
      <c r="H812" s="112">
        <v>7930295015</v>
      </c>
      <c r="I812" s="112" t="s">
        <v>3985</v>
      </c>
      <c r="J812" s="112" t="s">
        <v>1066</v>
      </c>
      <c r="K812" s="112" t="s">
        <v>1125</v>
      </c>
      <c r="L812" s="112" t="s">
        <v>1061</v>
      </c>
      <c r="M812" s="112" t="s">
        <v>478</v>
      </c>
      <c r="N812" s="113">
        <v>46522.549942129626</v>
      </c>
      <c r="O812" s="114">
        <v>19002204454</v>
      </c>
      <c r="P812" s="112">
        <v>0</v>
      </c>
      <c r="Q812" s="112" t="s">
        <v>1062</v>
      </c>
      <c r="R812" s="112" t="s">
        <v>1063</v>
      </c>
      <c r="S812" s="113">
        <v>46160.729166666664</v>
      </c>
      <c r="T812" s="112" t="s">
        <v>3986</v>
      </c>
      <c r="U812" s="112" t="s">
        <v>1065</v>
      </c>
      <c r="V812" s="112" t="s">
        <v>1066</v>
      </c>
      <c r="W812" s="112" t="s">
        <v>1066</v>
      </c>
      <c r="X812" s="112" t="s">
        <v>1066</v>
      </c>
      <c r="Y812" s="112" t="s">
        <v>1066</v>
      </c>
      <c r="Z812" s="112" t="s">
        <v>1066</v>
      </c>
      <c r="AA812" s="112" t="s">
        <v>1067</v>
      </c>
      <c r="AB812" s="112" t="s">
        <v>1066</v>
      </c>
      <c r="AC812" s="112" t="s">
        <v>92</v>
      </c>
      <c r="AD812" s="112" t="s">
        <v>1066</v>
      </c>
      <c r="AE812" s="112" t="s">
        <v>1066</v>
      </c>
      <c r="AF812" s="112" t="s">
        <v>1066</v>
      </c>
      <c r="AG812" s="112" t="s">
        <v>1066</v>
      </c>
      <c r="AH812" s="112" t="s">
        <v>1066</v>
      </c>
      <c r="AI812" s="112" t="s">
        <v>785</v>
      </c>
      <c r="AJ812" s="112">
        <v>9006730</v>
      </c>
      <c r="AK812" s="112" t="s">
        <v>288</v>
      </c>
      <c r="AL812" s="112">
        <v>811270</v>
      </c>
      <c r="AM812" s="112" t="s">
        <v>1066</v>
      </c>
      <c r="AN812" s="112" t="s">
        <v>1066</v>
      </c>
    </row>
    <row r="813" spans="1:40" ht="55.5" customHeight="1" x14ac:dyDescent="0.25">
      <c r="A813" s="111" t="s">
        <v>3987</v>
      </c>
      <c r="B813" s="112">
        <v>2026</v>
      </c>
      <c r="C813" s="112" t="s">
        <v>1240</v>
      </c>
      <c r="D813" s="113">
        <v>46183.597349537034</v>
      </c>
      <c r="E813" s="112">
        <v>7930524036</v>
      </c>
      <c r="F813" s="112" t="s">
        <v>1852</v>
      </c>
      <c r="G813" s="112">
        <v>3</v>
      </c>
      <c r="H813" s="112">
        <v>7930524036</v>
      </c>
      <c r="I813" s="112" t="s">
        <v>3988</v>
      </c>
      <c r="J813" s="112" t="s">
        <v>1066</v>
      </c>
      <c r="K813" s="112" t="s">
        <v>1125</v>
      </c>
      <c r="L813" s="112" t="s">
        <v>1061</v>
      </c>
      <c r="M813" s="112" t="s">
        <v>478</v>
      </c>
      <c r="N813" s="113">
        <v>46583.597349537034</v>
      </c>
      <c r="O813" s="114">
        <v>19002207994</v>
      </c>
      <c r="P813" s="112">
        <v>778</v>
      </c>
      <c r="Q813" s="112" t="s">
        <v>1062</v>
      </c>
      <c r="R813" s="112" t="s">
        <v>1063</v>
      </c>
      <c r="S813" s="113">
        <v>46203.729375000003</v>
      </c>
      <c r="T813" s="112" t="s">
        <v>3989</v>
      </c>
      <c r="U813" s="112" t="s">
        <v>1065</v>
      </c>
      <c r="V813" s="112" t="s">
        <v>1066</v>
      </c>
      <c r="W813" s="112" t="s">
        <v>1066</v>
      </c>
      <c r="X813" s="112" t="s">
        <v>1066</v>
      </c>
      <c r="Y813" s="112" t="s">
        <v>1066</v>
      </c>
      <c r="Z813" s="112" t="s">
        <v>1066</v>
      </c>
      <c r="AA813" s="112" t="s">
        <v>1067</v>
      </c>
      <c r="AB813" s="112" t="s">
        <v>1066</v>
      </c>
      <c r="AC813" s="112" t="s">
        <v>92</v>
      </c>
      <c r="AD813" s="112" t="s">
        <v>1066</v>
      </c>
      <c r="AE813" s="112" t="s">
        <v>1066</v>
      </c>
      <c r="AF813" s="112" t="s">
        <v>1066</v>
      </c>
      <c r="AG813" s="112" t="s">
        <v>1066</v>
      </c>
      <c r="AH813" s="112" t="s">
        <v>1066</v>
      </c>
      <c r="AI813" s="112" t="s">
        <v>785</v>
      </c>
      <c r="AJ813" s="112">
        <v>8620095</v>
      </c>
      <c r="AK813" s="112" t="s">
        <v>470</v>
      </c>
      <c r="AL813" s="112">
        <v>704089</v>
      </c>
      <c r="AM813" s="112" t="s">
        <v>1066</v>
      </c>
      <c r="AN813" s="112" t="s">
        <v>1066</v>
      </c>
    </row>
    <row r="814" spans="1:40" ht="55.5" customHeight="1" x14ac:dyDescent="0.25">
      <c r="A814" s="111" t="s">
        <v>3990</v>
      </c>
      <c r="B814" s="112">
        <v>2026</v>
      </c>
      <c r="C814" s="112" t="s">
        <v>3991</v>
      </c>
      <c r="D814" s="113">
        <v>45631.97896990741</v>
      </c>
      <c r="E814" s="112">
        <v>9002912039</v>
      </c>
      <c r="F814" s="112" t="s">
        <v>60</v>
      </c>
      <c r="G814" s="112">
        <v>2</v>
      </c>
      <c r="H814" s="112">
        <v>7928565039</v>
      </c>
      <c r="I814" s="112" t="s">
        <v>3992</v>
      </c>
      <c r="J814" s="112" t="s">
        <v>1071</v>
      </c>
      <c r="K814" s="112" t="s">
        <v>1130</v>
      </c>
      <c r="L814" s="112" t="s">
        <v>1073</v>
      </c>
      <c r="M814" s="112" t="s">
        <v>478</v>
      </c>
      <c r="N814" s="113">
        <v>46164.697881944441</v>
      </c>
      <c r="O814" s="114">
        <v>19001267866</v>
      </c>
      <c r="P814" s="112">
        <v>1.2529999999999999</v>
      </c>
      <c r="Q814" s="112" t="s">
        <v>1131</v>
      </c>
      <c r="R814" s="112" t="s">
        <v>1063</v>
      </c>
      <c r="S814" s="113">
        <v>46225.637499999997</v>
      </c>
      <c r="T814" s="112" t="s">
        <v>3993</v>
      </c>
      <c r="U814" s="112" t="s">
        <v>1065</v>
      </c>
      <c r="V814" s="112" t="s">
        <v>1066</v>
      </c>
      <c r="W814" s="112" t="s">
        <v>1066</v>
      </c>
      <c r="X814" s="112" t="s">
        <v>1117</v>
      </c>
      <c r="Y814" s="112" t="s">
        <v>1066</v>
      </c>
      <c r="Z814" s="112" t="s">
        <v>1133</v>
      </c>
      <c r="AA814" s="112" t="s">
        <v>1067</v>
      </c>
      <c r="AB814" s="112" t="s">
        <v>1066</v>
      </c>
      <c r="AC814" s="112" t="s">
        <v>92</v>
      </c>
      <c r="AD814" s="112" t="s">
        <v>1142</v>
      </c>
      <c r="AE814" s="112" t="s">
        <v>1066</v>
      </c>
      <c r="AF814" s="112" t="s">
        <v>1066</v>
      </c>
      <c r="AG814" s="112" t="s">
        <v>1066</v>
      </c>
      <c r="AH814" s="112" t="s">
        <v>3994</v>
      </c>
      <c r="AI814" s="112" t="s">
        <v>785</v>
      </c>
      <c r="AJ814" s="112">
        <v>9390974</v>
      </c>
      <c r="AK814" s="112" t="s">
        <v>57</v>
      </c>
      <c r="AL814" s="112">
        <v>819703</v>
      </c>
      <c r="AM814" s="112" t="s">
        <v>1066</v>
      </c>
      <c r="AN814" s="112" t="s">
        <v>1066</v>
      </c>
    </row>
    <row r="815" spans="1:40" ht="55.5" customHeight="1" x14ac:dyDescent="0.25">
      <c r="A815" s="115" t="s">
        <v>3995</v>
      </c>
      <c r="B815" s="116">
        <v>2025</v>
      </c>
      <c r="C815" s="116" t="s">
        <v>3996</v>
      </c>
      <c r="D815" s="118">
        <v>45953.701655092591</v>
      </c>
      <c r="E815" s="116" t="s">
        <v>1066</v>
      </c>
      <c r="F815" s="116" t="s">
        <v>200</v>
      </c>
      <c r="G815" s="116" t="s">
        <v>1066</v>
      </c>
      <c r="H815" s="116">
        <v>5862464001</v>
      </c>
      <c r="I815" s="116" t="s">
        <v>3997</v>
      </c>
      <c r="J815" s="116" t="s">
        <v>1231</v>
      </c>
      <c r="K815" s="116" t="s">
        <v>1232</v>
      </c>
      <c r="L815" s="116" t="s">
        <v>1084</v>
      </c>
      <c r="M815" s="116" t="s">
        <v>588</v>
      </c>
      <c r="N815" s="118">
        <v>46090.689479166664</v>
      </c>
      <c r="O815" s="119">
        <v>19002806992</v>
      </c>
      <c r="P815" s="116">
        <v>0</v>
      </c>
      <c r="Q815" s="116" t="s">
        <v>1074</v>
      </c>
      <c r="R815" s="116" t="s">
        <v>1206</v>
      </c>
      <c r="S815" s="116" t="s">
        <v>1066</v>
      </c>
      <c r="T815" s="116" t="s">
        <v>1066</v>
      </c>
      <c r="U815" s="116" t="s">
        <v>1066</v>
      </c>
      <c r="V815" s="116" t="s">
        <v>1066</v>
      </c>
      <c r="W815" s="116" t="s">
        <v>1066</v>
      </c>
      <c r="X815" s="116" t="s">
        <v>1077</v>
      </c>
      <c r="Y815" s="116" t="s">
        <v>1066</v>
      </c>
      <c r="Z815" s="116" t="s">
        <v>1066</v>
      </c>
      <c r="AA815" s="116" t="s">
        <v>1067</v>
      </c>
      <c r="AB815" s="116" t="s">
        <v>1066</v>
      </c>
      <c r="AC815" s="116" t="s">
        <v>92</v>
      </c>
      <c r="AD815" s="116" t="s">
        <v>1066</v>
      </c>
      <c r="AE815" s="116" t="s">
        <v>1066</v>
      </c>
      <c r="AF815" s="116" t="s">
        <v>1066</v>
      </c>
      <c r="AG815" s="116" t="s">
        <v>1066</v>
      </c>
      <c r="AH815" s="116" t="s">
        <v>3998</v>
      </c>
      <c r="AI815" s="116" t="s">
        <v>785</v>
      </c>
      <c r="AJ815" s="116">
        <v>8872566</v>
      </c>
      <c r="AK815" s="116" t="s">
        <v>50</v>
      </c>
      <c r="AL815" s="116">
        <v>763814</v>
      </c>
      <c r="AM815" s="116" t="s">
        <v>1066</v>
      </c>
      <c r="AN815" s="116" t="s">
        <v>1066</v>
      </c>
    </row>
    <row r="816" spans="1:40" ht="55.5" customHeight="1" x14ac:dyDescent="0.25">
      <c r="A816" s="111" t="s">
        <v>3999</v>
      </c>
      <c r="B816" s="112">
        <v>2026</v>
      </c>
      <c r="C816" s="112" t="s">
        <v>4000</v>
      </c>
      <c r="D816" s="113">
        <v>46101.425729166665</v>
      </c>
      <c r="E816" s="112">
        <v>7925870030</v>
      </c>
      <c r="F816" s="112" t="s">
        <v>1920</v>
      </c>
      <c r="G816" s="112">
        <v>3</v>
      </c>
      <c r="H816" s="112">
        <v>7925870030</v>
      </c>
      <c r="I816" s="112" t="s">
        <v>4001</v>
      </c>
      <c r="J816" s="112" t="s">
        <v>1071</v>
      </c>
      <c r="K816" s="112" t="s">
        <v>1296</v>
      </c>
      <c r="L816" s="112" t="s">
        <v>1073</v>
      </c>
      <c r="M816" s="112" t="s">
        <v>478</v>
      </c>
      <c r="N816" s="113">
        <v>46104.425729166665</v>
      </c>
      <c r="O816" s="114">
        <v>19002205109</v>
      </c>
      <c r="P816" s="112">
        <v>1.534</v>
      </c>
      <c r="Q816" s="112" t="s">
        <v>1062</v>
      </c>
      <c r="R816" s="112" t="s">
        <v>1297</v>
      </c>
      <c r="S816" s="113">
        <v>46149.522210648145</v>
      </c>
      <c r="T816" s="112" t="s">
        <v>4002</v>
      </c>
      <c r="U816" s="112" t="s">
        <v>1065</v>
      </c>
      <c r="V816" s="112" t="s">
        <v>1066</v>
      </c>
      <c r="W816" s="112" t="s">
        <v>1066</v>
      </c>
      <c r="X816" s="112" t="s">
        <v>983</v>
      </c>
      <c r="Y816" s="112" t="s">
        <v>1066</v>
      </c>
      <c r="Z816" s="112" t="s">
        <v>1299</v>
      </c>
      <c r="AA816" s="112" t="s">
        <v>1067</v>
      </c>
      <c r="AB816" s="112" t="s">
        <v>1066</v>
      </c>
      <c r="AC816" s="112" t="s">
        <v>92</v>
      </c>
      <c r="AD816" s="112" t="s">
        <v>1066</v>
      </c>
      <c r="AE816" s="112" t="s">
        <v>1066</v>
      </c>
      <c r="AF816" s="112" t="s">
        <v>1066</v>
      </c>
      <c r="AG816" s="112" t="s">
        <v>1066</v>
      </c>
      <c r="AH816" s="112" t="s">
        <v>1066</v>
      </c>
      <c r="AI816" s="112" t="s">
        <v>785</v>
      </c>
      <c r="AJ816" s="112">
        <v>9289691</v>
      </c>
      <c r="AK816" s="112" t="s">
        <v>2051</v>
      </c>
      <c r="AL816" s="112">
        <v>773289</v>
      </c>
      <c r="AM816" s="112" t="s">
        <v>1066</v>
      </c>
      <c r="AN816" s="112" t="s">
        <v>1066</v>
      </c>
    </row>
    <row r="817" spans="1:40" ht="55.5" customHeight="1" x14ac:dyDescent="0.25">
      <c r="A817" s="111" t="s">
        <v>4003</v>
      </c>
      <c r="B817" s="112">
        <v>2026</v>
      </c>
      <c r="C817" s="112" t="s">
        <v>1057</v>
      </c>
      <c r="D817" s="113">
        <v>46122.378541666665</v>
      </c>
      <c r="E817" s="112">
        <v>7900308104</v>
      </c>
      <c r="F817" s="112" t="s">
        <v>170</v>
      </c>
      <c r="G817" s="112">
        <v>3</v>
      </c>
      <c r="H817" s="112">
        <v>7900308104</v>
      </c>
      <c r="I817" s="112" t="s">
        <v>4004</v>
      </c>
      <c r="J817" s="112" t="s">
        <v>1059</v>
      </c>
      <c r="K817" s="112" t="s">
        <v>1060</v>
      </c>
      <c r="L817" s="112" t="s">
        <v>1061</v>
      </c>
      <c r="M817" s="112" t="s">
        <v>478</v>
      </c>
      <c r="N817" s="113">
        <v>46522.378541666665</v>
      </c>
      <c r="O817" s="114">
        <v>19002295947</v>
      </c>
      <c r="P817" s="112">
        <v>2.843</v>
      </c>
      <c r="Q817" s="112" t="s">
        <v>1062</v>
      </c>
      <c r="R817" s="112" t="s">
        <v>1063</v>
      </c>
      <c r="S817" s="113">
        <v>46161.445138888892</v>
      </c>
      <c r="T817" s="112" t="s">
        <v>4005</v>
      </c>
      <c r="U817" s="112" t="s">
        <v>1065</v>
      </c>
      <c r="V817" s="112" t="s">
        <v>1066</v>
      </c>
      <c r="W817" s="112" t="s">
        <v>1066</v>
      </c>
      <c r="X817" s="112" t="s">
        <v>1066</v>
      </c>
      <c r="Y817" s="112" t="s">
        <v>1066</v>
      </c>
      <c r="Z817" s="112" t="s">
        <v>1066</v>
      </c>
      <c r="AA817" s="112" t="s">
        <v>1067</v>
      </c>
      <c r="AB817" s="112" t="s">
        <v>1066</v>
      </c>
      <c r="AC817" s="112" t="s">
        <v>92</v>
      </c>
      <c r="AD817" s="112" t="s">
        <v>1066</v>
      </c>
      <c r="AE817" s="112" t="s">
        <v>1066</v>
      </c>
      <c r="AF817" s="112" t="s">
        <v>1066</v>
      </c>
      <c r="AG817" s="112" t="s">
        <v>1066</v>
      </c>
      <c r="AH817" s="112" t="s">
        <v>1066</v>
      </c>
      <c r="AI817" s="112" t="s">
        <v>785</v>
      </c>
      <c r="AJ817" s="112">
        <v>9028577</v>
      </c>
      <c r="AK817" s="112" t="s">
        <v>1688</v>
      </c>
      <c r="AL817" s="112">
        <v>858343</v>
      </c>
      <c r="AM817" s="112" t="s">
        <v>1066</v>
      </c>
      <c r="AN817" s="112" t="s">
        <v>1066</v>
      </c>
    </row>
    <row r="818" spans="1:40" ht="55.5" customHeight="1" x14ac:dyDescent="0.25">
      <c r="A818" s="111" t="s">
        <v>4006</v>
      </c>
      <c r="B818" s="112">
        <v>2026</v>
      </c>
      <c r="C818" s="112" t="s">
        <v>4007</v>
      </c>
      <c r="D818" s="113">
        <v>46040.861898148149</v>
      </c>
      <c r="E818" s="112">
        <v>7924611052</v>
      </c>
      <c r="F818" s="112" t="s">
        <v>1123</v>
      </c>
      <c r="G818" s="112">
        <v>1</v>
      </c>
      <c r="H818" s="112">
        <v>7924611052</v>
      </c>
      <c r="I818" s="112" t="s">
        <v>4008</v>
      </c>
      <c r="J818" s="112" t="s">
        <v>1071</v>
      </c>
      <c r="K818" s="112" t="s">
        <v>2694</v>
      </c>
      <c r="L818" s="112" t="s">
        <v>1073</v>
      </c>
      <c r="M818" s="112" t="s">
        <v>478</v>
      </c>
      <c r="N818" s="113">
        <v>46043.861898148149</v>
      </c>
      <c r="O818" s="114">
        <v>19002206386</v>
      </c>
      <c r="P818" s="112">
        <v>455</v>
      </c>
      <c r="Q818" s="112" t="s">
        <v>1062</v>
      </c>
      <c r="R818" s="112" t="s">
        <v>1075</v>
      </c>
      <c r="S818" s="113">
        <v>46087.628472222219</v>
      </c>
      <c r="T818" s="112" t="s">
        <v>4009</v>
      </c>
      <c r="U818" s="112" t="s">
        <v>1065</v>
      </c>
      <c r="V818" s="112" t="s">
        <v>1066</v>
      </c>
      <c r="W818" s="112" t="s">
        <v>1066</v>
      </c>
      <c r="X818" s="112" t="s">
        <v>983</v>
      </c>
      <c r="Y818" s="112" t="s">
        <v>1066</v>
      </c>
      <c r="Z818" s="112" t="s">
        <v>2831</v>
      </c>
      <c r="AA818" s="112" t="s">
        <v>1208</v>
      </c>
      <c r="AB818" s="112" t="s">
        <v>1066</v>
      </c>
      <c r="AC818" s="112" t="s">
        <v>92</v>
      </c>
      <c r="AD818" s="112" t="s">
        <v>1066</v>
      </c>
      <c r="AE818" s="112" t="s">
        <v>1066</v>
      </c>
      <c r="AF818" s="112" t="s">
        <v>1066</v>
      </c>
      <c r="AG818" s="112" t="s">
        <v>1066</v>
      </c>
      <c r="AH818" s="112" t="s">
        <v>1066</v>
      </c>
      <c r="AI818" s="112" t="s">
        <v>785</v>
      </c>
      <c r="AJ818" s="112">
        <v>8696130</v>
      </c>
      <c r="AK818" s="112" t="s">
        <v>112</v>
      </c>
      <c r="AL818" s="112">
        <v>634222</v>
      </c>
      <c r="AM818" s="112" t="s">
        <v>1066</v>
      </c>
      <c r="AN818" s="112" t="s">
        <v>1066</v>
      </c>
    </row>
    <row r="819" spans="1:40" ht="55.5" customHeight="1" x14ac:dyDescent="0.25">
      <c r="A819" s="111" t="s">
        <v>4010</v>
      </c>
      <c r="B819" s="112">
        <v>2026</v>
      </c>
      <c r="C819" s="112" t="s">
        <v>1057</v>
      </c>
      <c r="D819" s="113">
        <v>46125.614548611113</v>
      </c>
      <c r="E819" s="112">
        <v>7900648055</v>
      </c>
      <c r="F819" s="112" t="s">
        <v>2035</v>
      </c>
      <c r="G819" s="112">
        <v>3</v>
      </c>
      <c r="H819" s="112">
        <v>7900648055</v>
      </c>
      <c r="I819" s="112" t="s">
        <v>3877</v>
      </c>
      <c r="J819" s="112" t="s">
        <v>1066</v>
      </c>
      <c r="K819" s="112" t="s">
        <v>1125</v>
      </c>
      <c r="L819" s="112" t="s">
        <v>1061</v>
      </c>
      <c r="M819" s="112" t="s">
        <v>478</v>
      </c>
      <c r="N819" s="113">
        <v>46525.614548611113</v>
      </c>
      <c r="O819" s="114">
        <v>19002223256</v>
      </c>
      <c r="P819" s="112">
        <v>0</v>
      </c>
      <c r="Q819" s="112" t="s">
        <v>1062</v>
      </c>
      <c r="R819" s="112" t="s">
        <v>1063</v>
      </c>
      <c r="S819" s="113">
        <v>46163.683993055558</v>
      </c>
      <c r="T819" s="112" t="s">
        <v>3878</v>
      </c>
      <c r="U819" s="112" t="s">
        <v>1065</v>
      </c>
      <c r="V819" s="112" t="s">
        <v>1066</v>
      </c>
      <c r="W819" s="112" t="s">
        <v>1066</v>
      </c>
      <c r="X819" s="112" t="s">
        <v>1066</v>
      </c>
      <c r="Y819" s="112" t="s">
        <v>1066</v>
      </c>
      <c r="Z819" s="112" t="s">
        <v>1066</v>
      </c>
      <c r="AA819" s="112" t="s">
        <v>1067</v>
      </c>
      <c r="AB819" s="112" t="s">
        <v>1066</v>
      </c>
      <c r="AC819" s="112" t="s">
        <v>92</v>
      </c>
      <c r="AD819" s="112" t="s">
        <v>1066</v>
      </c>
      <c r="AE819" s="112" t="s">
        <v>1066</v>
      </c>
      <c r="AF819" s="112" t="s">
        <v>1066</v>
      </c>
      <c r="AG819" s="112" t="s">
        <v>1066</v>
      </c>
      <c r="AH819" s="112" t="s">
        <v>1066</v>
      </c>
      <c r="AI819" s="112" t="s">
        <v>785</v>
      </c>
      <c r="AJ819" s="112">
        <v>9025445</v>
      </c>
      <c r="AK819" s="112" t="s">
        <v>482</v>
      </c>
      <c r="AL819" s="112">
        <v>659568</v>
      </c>
      <c r="AM819" s="112" t="s">
        <v>1066</v>
      </c>
      <c r="AN819" s="112" t="s">
        <v>1066</v>
      </c>
    </row>
    <row r="820" spans="1:40" ht="55.5" customHeight="1" x14ac:dyDescent="0.25">
      <c r="A820" s="111" t="s">
        <v>4011</v>
      </c>
      <c r="B820" s="112">
        <v>2026</v>
      </c>
      <c r="C820" s="112" t="s">
        <v>1057</v>
      </c>
      <c r="D820" s="113">
        <v>46125.614548611113</v>
      </c>
      <c r="E820" s="112">
        <v>7931380233</v>
      </c>
      <c r="F820" s="112" t="s">
        <v>682</v>
      </c>
      <c r="G820" s="112">
        <v>2</v>
      </c>
      <c r="H820" s="112">
        <v>7931380233</v>
      </c>
      <c r="I820" s="112" t="s">
        <v>4012</v>
      </c>
      <c r="J820" s="112" t="s">
        <v>1066</v>
      </c>
      <c r="K820" s="112" t="s">
        <v>1125</v>
      </c>
      <c r="L820" s="112" t="s">
        <v>1061</v>
      </c>
      <c r="M820" s="112" t="s">
        <v>478</v>
      </c>
      <c r="N820" s="113">
        <v>46525.614548611113</v>
      </c>
      <c r="O820" s="114">
        <v>19002208067</v>
      </c>
      <c r="P820" s="112">
        <v>1.056</v>
      </c>
      <c r="Q820" s="112" t="s">
        <v>1062</v>
      </c>
      <c r="R820" s="112" t="s">
        <v>1063</v>
      </c>
      <c r="S820" s="113">
        <v>46205.415370370371</v>
      </c>
      <c r="T820" s="112" t="s">
        <v>4013</v>
      </c>
      <c r="U820" s="112" t="s">
        <v>1065</v>
      </c>
      <c r="V820" s="112" t="s">
        <v>1066</v>
      </c>
      <c r="W820" s="112" t="s">
        <v>1066</v>
      </c>
      <c r="X820" s="112" t="s">
        <v>1066</v>
      </c>
      <c r="Y820" s="112" t="s">
        <v>1066</v>
      </c>
      <c r="Z820" s="112" t="s">
        <v>1066</v>
      </c>
      <c r="AA820" s="112" t="s">
        <v>1067</v>
      </c>
      <c r="AB820" s="112" t="s">
        <v>1066</v>
      </c>
      <c r="AC820" s="112" t="s">
        <v>92</v>
      </c>
      <c r="AD820" s="112" t="s">
        <v>1066</v>
      </c>
      <c r="AE820" s="112" t="s">
        <v>1066</v>
      </c>
      <c r="AF820" s="112" t="s">
        <v>1066</v>
      </c>
      <c r="AG820" s="112" t="s">
        <v>1066</v>
      </c>
      <c r="AH820" s="112" t="s">
        <v>1066</v>
      </c>
      <c r="AI820" s="112" t="s">
        <v>785</v>
      </c>
      <c r="AJ820" s="112">
        <v>8935536</v>
      </c>
      <c r="AK820" s="112" t="s">
        <v>1834</v>
      </c>
      <c r="AL820" s="112">
        <v>702176</v>
      </c>
      <c r="AM820" s="112" t="s">
        <v>1066</v>
      </c>
      <c r="AN820" s="112" t="s">
        <v>1066</v>
      </c>
    </row>
    <row r="821" spans="1:40" ht="55.5" customHeight="1" x14ac:dyDescent="0.25">
      <c r="A821" s="115" t="s">
        <v>4014</v>
      </c>
      <c r="B821" s="116">
        <v>2026</v>
      </c>
      <c r="C821" s="116" t="s">
        <v>4015</v>
      </c>
      <c r="D821" s="118">
        <v>46181.65896990741</v>
      </c>
      <c r="E821" s="116">
        <v>7913662076</v>
      </c>
      <c r="F821" s="116" t="s">
        <v>211</v>
      </c>
      <c r="G821" s="116">
        <v>3</v>
      </c>
      <c r="H821" s="116">
        <v>7913662076</v>
      </c>
      <c r="I821" s="116" t="s">
        <v>4016</v>
      </c>
      <c r="J821" s="116" t="s">
        <v>1071</v>
      </c>
      <c r="K821" s="116" t="s">
        <v>2229</v>
      </c>
      <c r="L821" s="116" t="s">
        <v>1073</v>
      </c>
      <c r="M821" s="116" t="s">
        <v>588</v>
      </c>
      <c r="N821" s="118">
        <v>46186.659733796296</v>
      </c>
      <c r="O821" s="119">
        <v>19002214206</v>
      </c>
      <c r="P821" s="116">
        <v>185</v>
      </c>
      <c r="Q821" s="116" t="s">
        <v>1062</v>
      </c>
      <c r="R821" s="116" t="s">
        <v>1297</v>
      </c>
      <c r="S821" s="116" t="s">
        <v>1066</v>
      </c>
      <c r="T821" s="116" t="s">
        <v>1066</v>
      </c>
      <c r="U821" s="116" t="s">
        <v>1066</v>
      </c>
      <c r="V821" s="116" t="s">
        <v>1066</v>
      </c>
      <c r="W821" s="116" t="s">
        <v>1066</v>
      </c>
      <c r="X821" s="116" t="s">
        <v>1066</v>
      </c>
      <c r="Y821" s="116" t="s">
        <v>1066</v>
      </c>
      <c r="Z821" s="116" t="s">
        <v>1066</v>
      </c>
      <c r="AA821" s="116" t="s">
        <v>1067</v>
      </c>
      <c r="AB821" s="116" t="s">
        <v>1066</v>
      </c>
      <c r="AC821" s="116" t="s">
        <v>92</v>
      </c>
      <c r="AD821" s="116" t="s">
        <v>1066</v>
      </c>
      <c r="AE821" s="116" t="s">
        <v>1066</v>
      </c>
      <c r="AF821" s="116" t="s">
        <v>1066</v>
      </c>
      <c r="AG821" s="116" t="s">
        <v>1066</v>
      </c>
      <c r="AH821" s="116" t="s">
        <v>4017</v>
      </c>
      <c r="AI821" s="116" t="s">
        <v>785</v>
      </c>
      <c r="AJ821" s="116">
        <v>8746092</v>
      </c>
      <c r="AK821" s="116" t="s">
        <v>209</v>
      </c>
      <c r="AL821" s="116">
        <v>689369</v>
      </c>
      <c r="AM821" s="116" t="s">
        <v>1066</v>
      </c>
      <c r="AN821" s="116" t="s">
        <v>1066</v>
      </c>
    </row>
    <row r="822" spans="1:40" ht="55.5" customHeight="1" x14ac:dyDescent="0.25">
      <c r="A822" s="111" t="s">
        <v>4018</v>
      </c>
      <c r="B822" s="112">
        <v>2026</v>
      </c>
      <c r="C822" s="112" t="s">
        <v>1089</v>
      </c>
      <c r="D822" s="113">
        <v>46028.41065972222</v>
      </c>
      <c r="E822" s="112">
        <v>7937506122</v>
      </c>
      <c r="F822" s="112" t="s">
        <v>1372</v>
      </c>
      <c r="G822" s="112">
        <v>3</v>
      </c>
      <c r="H822" s="112">
        <v>7937506122</v>
      </c>
      <c r="I822" s="112" t="s">
        <v>4019</v>
      </c>
      <c r="J822" s="112" t="s">
        <v>1092</v>
      </c>
      <c r="K822" s="112" t="s">
        <v>1093</v>
      </c>
      <c r="L822" s="112" t="s">
        <v>1061</v>
      </c>
      <c r="M822" s="112" t="s">
        <v>478</v>
      </c>
      <c r="N822" s="113">
        <v>46428.41065972222</v>
      </c>
      <c r="O822" s="114">
        <v>19002208106</v>
      </c>
      <c r="P822" s="112">
        <v>688</v>
      </c>
      <c r="Q822" s="112" t="s">
        <v>1062</v>
      </c>
      <c r="R822" s="112" t="s">
        <v>1063</v>
      </c>
      <c r="S822" s="113">
        <v>46038.73474537037</v>
      </c>
      <c r="T822" s="112" t="s">
        <v>4020</v>
      </c>
      <c r="U822" s="112" t="s">
        <v>1065</v>
      </c>
      <c r="V822" s="112" t="s">
        <v>1066</v>
      </c>
      <c r="W822" s="112" t="s">
        <v>1066</v>
      </c>
      <c r="X822" s="112" t="s">
        <v>1066</v>
      </c>
      <c r="Y822" s="112" t="s">
        <v>1066</v>
      </c>
      <c r="Z822" s="112" t="s">
        <v>1066</v>
      </c>
      <c r="AA822" s="112" t="s">
        <v>1067</v>
      </c>
      <c r="AB822" s="112" t="s">
        <v>1066</v>
      </c>
      <c r="AC822" s="112" t="s">
        <v>92</v>
      </c>
      <c r="AD822" s="112" t="s">
        <v>1066</v>
      </c>
      <c r="AE822" s="112" t="s">
        <v>1066</v>
      </c>
      <c r="AF822" s="112" t="s">
        <v>1066</v>
      </c>
      <c r="AG822" s="112" t="s">
        <v>1066</v>
      </c>
      <c r="AH822" s="112" t="s">
        <v>1066</v>
      </c>
      <c r="AI822" s="112" t="s">
        <v>785</v>
      </c>
      <c r="AJ822" s="112">
        <v>8879777</v>
      </c>
      <c r="AK822" s="112" t="s">
        <v>264</v>
      </c>
      <c r="AL822" s="112">
        <v>795067</v>
      </c>
      <c r="AM822" s="112" t="s">
        <v>1066</v>
      </c>
      <c r="AN822" s="112" t="s">
        <v>1066</v>
      </c>
    </row>
    <row r="823" spans="1:40" ht="55.5" customHeight="1" x14ac:dyDescent="0.25">
      <c r="A823" s="111" t="s">
        <v>4021</v>
      </c>
      <c r="B823" s="112">
        <v>2026</v>
      </c>
      <c r="C823" s="112" t="s">
        <v>1089</v>
      </c>
      <c r="D823" s="113">
        <v>46028.41065972222</v>
      </c>
      <c r="E823" s="112">
        <v>7931619122</v>
      </c>
      <c r="F823" s="112" t="s">
        <v>692</v>
      </c>
      <c r="G823" s="112">
        <v>2</v>
      </c>
      <c r="H823" s="112">
        <v>7931619122</v>
      </c>
      <c r="I823" s="112" t="s">
        <v>4022</v>
      </c>
      <c r="J823" s="112" t="s">
        <v>1092</v>
      </c>
      <c r="K823" s="112" t="s">
        <v>1093</v>
      </c>
      <c r="L823" s="112" t="s">
        <v>1061</v>
      </c>
      <c r="M823" s="112" t="s">
        <v>478</v>
      </c>
      <c r="N823" s="113">
        <v>46428.41065972222</v>
      </c>
      <c r="O823" s="114">
        <v>19002613425</v>
      </c>
      <c r="P823" s="112">
        <v>0</v>
      </c>
      <c r="Q823" s="112" t="s">
        <v>1062</v>
      </c>
      <c r="R823" s="112" t="s">
        <v>1063</v>
      </c>
      <c r="S823" s="113">
        <v>46034.480914351851</v>
      </c>
      <c r="T823" s="112" t="s">
        <v>4023</v>
      </c>
      <c r="U823" s="112" t="s">
        <v>1065</v>
      </c>
      <c r="V823" s="112" t="s">
        <v>1066</v>
      </c>
      <c r="W823" s="112" t="s">
        <v>1066</v>
      </c>
      <c r="X823" s="112" t="s">
        <v>1066</v>
      </c>
      <c r="Y823" s="112" t="s">
        <v>1066</v>
      </c>
      <c r="Z823" s="112" t="s">
        <v>1066</v>
      </c>
      <c r="AA823" s="112" t="s">
        <v>1067</v>
      </c>
      <c r="AB823" s="112" t="s">
        <v>1066</v>
      </c>
      <c r="AC823" s="112" t="s">
        <v>92</v>
      </c>
      <c r="AD823" s="112" t="s">
        <v>1066</v>
      </c>
      <c r="AE823" s="112" t="s">
        <v>1066</v>
      </c>
      <c r="AF823" s="112" t="s">
        <v>1066</v>
      </c>
      <c r="AG823" s="112" t="s">
        <v>1066</v>
      </c>
      <c r="AH823" s="112" t="s">
        <v>1066</v>
      </c>
      <c r="AI823" s="112" t="s">
        <v>785</v>
      </c>
      <c r="AJ823" s="112">
        <v>8874996</v>
      </c>
      <c r="AK823" s="112" t="s">
        <v>264</v>
      </c>
      <c r="AL823" s="112">
        <v>792039</v>
      </c>
      <c r="AM823" s="112" t="s">
        <v>1066</v>
      </c>
      <c r="AN823" s="112" t="s">
        <v>1066</v>
      </c>
    </row>
    <row r="824" spans="1:40" ht="55.5" customHeight="1" x14ac:dyDescent="0.25">
      <c r="A824" s="124" t="s">
        <v>4024</v>
      </c>
      <c r="B824" s="125">
        <v>2026</v>
      </c>
      <c r="C824" s="125" t="s">
        <v>1449</v>
      </c>
      <c r="D824" s="126">
        <v>46244.660034722219</v>
      </c>
      <c r="E824" s="125">
        <v>7943291004</v>
      </c>
      <c r="F824" s="125" t="s">
        <v>2735</v>
      </c>
      <c r="G824" s="125">
        <v>1</v>
      </c>
      <c r="H824" s="125">
        <v>7943291004</v>
      </c>
      <c r="I824" s="125" t="s">
        <v>4025</v>
      </c>
      <c r="J824" s="125" t="s">
        <v>1066</v>
      </c>
      <c r="K824" s="125" t="s">
        <v>1125</v>
      </c>
      <c r="L824" s="125" t="s">
        <v>1061</v>
      </c>
      <c r="M824" s="125" t="s">
        <v>510</v>
      </c>
      <c r="N824" s="126">
        <v>46644.660034722219</v>
      </c>
      <c r="O824" s="127">
        <v>19002223426</v>
      </c>
      <c r="P824" s="125">
        <v>985</v>
      </c>
      <c r="Q824" s="125" t="s">
        <v>1062</v>
      </c>
      <c r="R824" s="125" t="s">
        <v>1063</v>
      </c>
      <c r="S824" s="125" t="s">
        <v>1066</v>
      </c>
      <c r="T824" s="125" t="s">
        <v>4026</v>
      </c>
      <c r="U824" s="125" t="s">
        <v>1559</v>
      </c>
      <c r="V824" s="125" t="s">
        <v>1066</v>
      </c>
      <c r="W824" s="125" t="s">
        <v>1066</v>
      </c>
      <c r="X824" s="125" t="s">
        <v>1066</v>
      </c>
      <c r="Y824" s="125" t="s">
        <v>1066</v>
      </c>
      <c r="Z824" s="125" t="s">
        <v>1066</v>
      </c>
      <c r="AA824" s="125" t="s">
        <v>1067</v>
      </c>
      <c r="AB824" s="125" t="s">
        <v>1066</v>
      </c>
      <c r="AC824" s="125" t="s">
        <v>92</v>
      </c>
      <c r="AD824" s="125" t="s">
        <v>1066</v>
      </c>
      <c r="AE824" s="125" t="s">
        <v>1066</v>
      </c>
      <c r="AF824" s="125" t="s">
        <v>1066</v>
      </c>
      <c r="AG824" s="125" t="s">
        <v>1066</v>
      </c>
      <c r="AH824" s="125" t="s">
        <v>1066</v>
      </c>
      <c r="AI824" s="125" t="s">
        <v>785</v>
      </c>
      <c r="AJ824" s="125">
        <v>9204341</v>
      </c>
      <c r="AK824" s="125" t="s">
        <v>69</v>
      </c>
      <c r="AL824" s="125">
        <v>806894</v>
      </c>
      <c r="AM824" s="125" t="s">
        <v>1066</v>
      </c>
      <c r="AN824" s="125" t="s">
        <v>1066</v>
      </c>
    </row>
    <row r="825" spans="1:40" ht="55.5" customHeight="1" x14ac:dyDescent="0.25">
      <c r="A825" s="115" t="s">
        <v>1463</v>
      </c>
      <c r="B825" s="116">
        <v>2025</v>
      </c>
      <c r="C825" s="116" t="s">
        <v>4027</v>
      </c>
      <c r="D825" s="118">
        <v>46016.024062500001</v>
      </c>
      <c r="E825" s="116">
        <v>9021040031</v>
      </c>
      <c r="F825" s="116" t="s">
        <v>1346</v>
      </c>
      <c r="G825" s="116">
        <v>2</v>
      </c>
      <c r="H825" s="116">
        <v>7921040031</v>
      </c>
      <c r="I825" s="116" t="s">
        <v>1461</v>
      </c>
      <c r="J825" s="116" t="s">
        <v>1071</v>
      </c>
      <c r="K825" s="116" t="s">
        <v>1099</v>
      </c>
      <c r="L825" s="116" t="s">
        <v>1073</v>
      </c>
      <c r="M825" s="116" t="s">
        <v>588</v>
      </c>
      <c r="N825" s="118">
        <v>46030.714386574073</v>
      </c>
      <c r="O825" s="119">
        <v>19001233650</v>
      </c>
      <c r="P825" s="116">
        <v>1.3819999999999999</v>
      </c>
      <c r="Q825" s="116" t="s">
        <v>1131</v>
      </c>
      <c r="R825" s="116" t="s">
        <v>1297</v>
      </c>
      <c r="S825" s="116" t="s">
        <v>1066</v>
      </c>
      <c r="T825" s="116" t="s">
        <v>1066</v>
      </c>
      <c r="U825" s="116" t="s">
        <v>1066</v>
      </c>
      <c r="V825" s="116" t="s">
        <v>1066</v>
      </c>
      <c r="W825" s="116" t="s">
        <v>1066</v>
      </c>
      <c r="X825" s="116" t="s">
        <v>983</v>
      </c>
      <c r="Y825" s="116" t="s">
        <v>1066</v>
      </c>
      <c r="Z825" s="116" t="s">
        <v>1174</v>
      </c>
      <c r="AA825" s="116" t="s">
        <v>1067</v>
      </c>
      <c r="AB825" s="116" t="s">
        <v>1066</v>
      </c>
      <c r="AC825" s="116" t="s">
        <v>92</v>
      </c>
      <c r="AD825" s="116" t="s">
        <v>1142</v>
      </c>
      <c r="AE825" s="116" t="s">
        <v>1066</v>
      </c>
      <c r="AF825" s="116" t="s">
        <v>1066</v>
      </c>
      <c r="AG825" s="116" t="s">
        <v>1066</v>
      </c>
      <c r="AH825" s="116" t="s">
        <v>1066</v>
      </c>
      <c r="AI825" s="116" t="s">
        <v>785</v>
      </c>
      <c r="AJ825" s="116">
        <v>8965141</v>
      </c>
      <c r="AK825" s="116" t="s">
        <v>502</v>
      </c>
      <c r="AL825" s="116">
        <v>770359</v>
      </c>
      <c r="AM825" s="116" t="s">
        <v>1066</v>
      </c>
      <c r="AN825" s="116" t="s">
        <v>1066</v>
      </c>
    </row>
    <row r="826" spans="1:40" ht="55.5" customHeight="1" x14ac:dyDescent="0.25">
      <c r="A826" s="111" t="s">
        <v>4028</v>
      </c>
      <c r="B826" s="112">
        <v>2026</v>
      </c>
      <c r="C826" s="112" t="s">
        <v>1089</v>
      </c>
      <c r="D826" s="113">
        <v>46028.453888888886</v>
      </c>
      <c r="E826" s="112">
        <v>7908707049</v>
      </c>
      <c r="F826" s="112" t="s">
        <v>380</v>
      </c>
      <c r="G826" s="112">
        <v>2</v>
      </c>
      <c r="H826" s="112">
        <v>7908707049</v>
      </c>
      <c r="I826" s="112" t="s">
        <v>1649</v>
      </c>
      <c r="J826" s="112" t="s">
        <v>1092</v>
      </c>
      <c r="K826" s="112" t="s">
        <v>1093</v>
      </c>
      <c r="L826" s="112" t="s">
        <v>1061</v>
      </c>
      <c r="M826" s="112" t="s">
        <v>478</v>
      </c>
      <c r="N826" s="113">
        <v>46428.453888888886</v>
      </c>
      <c r="O826" s="114">
        <v>19002295970</v>
      </c>
      <c r="P826" s="112">
        <v>357</v>
      </c>
      <c r="Q826" s="112" t="s">
        <v>1062</v>
      </c>
      <c r="R826" s="112" t="s">
        <v>1063</v>
      </c>
      <c r="S826" s="113">
        <v>46051.441666666666</v>
      </c>
      <c r="T826" s="112" t="s">
        <v>4029</v>
      </c>
      <c r="U826" s="112" t="s">
        <v>1065</v>
      </c>
      <c r="V826" s="112" t="s">
        <v>1066</v>
      </c>
      <c r="W826" s="112" t="s">
        <v>1066</v>
      </c>
      <c r="X826" s="112" t="s">
        <v>1066</v>
      </c>
      <c r="Y826" s="112" t="s">
        <v>1066</v>
      </c>
      <c r="Z826" s="112" t="s">
        <v>1066</v>
      </c>
      <c r="AA826" s="112" t="s">
        <v>1067</v>
      </c>
      <c r="AB826" s="112" t="s">
        <v>1066</v>
      </c>
      <c r="AC826" s="112" t="s">
        <v>92</v>
      </c>
      <c r="AD826" s="112" t="s">
        <v>1066</v>
      </c>
      <c r="AE826" s="112" t="s">
        <v>1066</v>
      </c>
      <c r="AF826" s="112" t="s">
        <v>1066</v>
      </c>
      <c r="AG826" s="112" t="s">
        <v>1066</v>
      </c>
      <c r="AH826" s="112" t="s">
        <v>1066</v>
      </c>
      <c r="AI826" s="112" t="s">
        <v>785</v>
      </c>
      <c r="AJ826" s="112">
        <v>8589606</v>
      </c>
      <c r="AK826" s="112" t="s">
        <v>64</v>
      </c>
      <c r="AL826" s="112">
        <v>998982</v>
      </c>
      <c r="AM826" s="112" t="s">
        <v>1066</v>
      </c>
      <c r="AN826" s="112" t="s">
        <v>1066</v>
      </c>
    </row>
    <row r="827" spans="1:40" ht="55.5" customHeight="1" x14ac:dyDescent="0.25">
      <c r="A827" s="120" t="s">
        <v>4030</v>
      </c>
      <c r="B827" s="121">
        <v>2026</v>
      </c>
      <c r="C827" s="121" t="s">
        <v>4031</v>
      </c>
      <c r="D827" s="122">
        <v>46154.726712962962</v>
      </c>
      <c r="E827" s="121">
        <v>9001166015</v>
      </c>
      <c r="F827" s="121" t="s">
        <v>289</v>
      </c>
      <c r="G827" s="121">
        <v>3</v>
      </c>
      <c r="H827" s="121">
        <v>7925733015</v>
      </c>
      <c r="I827" s="121" t="s">
        <v>2068</v>
      </c>
      <c r="J827" s="121" t="s">
        <v>1082</v>
      </c>
      <c r="K827" s="121" t="s">
        <v>1083</v>
      </c>
      <c r="L827" s="121" t="s">
        <v>1084</v>
      </c>
      <c r="M827" s="121" t="s">
        <v>1116</v>
      </c>
      <c r="N827" s="122">
        <v>46234.616631944446</v>
      </c>
      <c r="O827" s="123">
        <v>19001239174</v>
      </c>
      <c r="P827" s="121">
        <v>365</v>
      </c>
      <c r="Q827" s="121" t="s">
        <v>1131</v>
      </c>
      <c r="R827" s="121" t="s">
        <v>1085</v>
      </c>
      <c r="S827" s="122">
        <v>46190.387395833335</v>
      </c>
      <c r="T827" s="121" t="s">
        <v>1066</v>
      </c>
      <c r="U827" s="121" t="s">
        <v>1066</v>
      </c>
      <c r="V827" s="121" t="s">
        <v>1066</v>
      </c>
      <c r="W827" s="121" t="s">
        <v>1066</v>
      </c>
      <c r="X827" s="121" t="s">
        <v>1066</v>
      </c>
      <c r="Y827" s="121" t="s">
        <v>1066</v>
      </c>
      <c r="Z827" s="121" t="s">
        <v>1066</v>
      </c>
      <c r="AA827" s="121" t="s">
        <v>1067</v>
      </c>
      <c r="AB827" s="121" t="s">
        <v>1066</v>
      </c>
      <c r="AC827" s="121" t="s">
        <v>92</v>
      </c>
      <c r="AD827" s="121" t="s">
        <v>1142</v>
      </c>
      <c r="AE827" s="121" t="s">
        <v>1066</v>
      </c>
      <c r="AF827" s="121" t="s">
        <v>1066</v>
      </c>
      <c r="AG827" s="121" t="s">
        <v>1066</v>
      </c>
      <c r="AH827" s="121" t="s">
        <v>4032</v>
      </c>
      <c r="AI827" s="121" t="s">
        <v>785</v>
      </c>
      <c r="AJ827" s="121">
        <v>8984037</v>
      </c>
      <c r="AK827" s="121" t="s">
        <v>288</v>
      </c>
      <c r="AL827" s="121">
        <v>813445</v>
      </c>
      <c r="AM827" s="121" t="s">
        <v>1066</v>
      </c>
      <c r="AN827" s="121" t="s">
        <v>1066</v>
      </c>
    </row>
    <row r="828" spans="1:40" ht="55.5" customHeight="1" x14ac:dyDescent="0.25">
      <c r="A828" s="111" t="s">
        <v>4033</v>
      </c>
      <c r="B828" s="112">
        <v>2026</v>
      </c>
      <c r="C828" s="112" t="s">
        <v>4034</v>
      </c>
      <c r="D828" s="113">
        <v>46079.551782407405</v>
      </c>
      <c r="E828" s="112">
        <v>9001184084</v>
      </c>
      <c r="F828" s="112" t="s">
        <v>153</v>
      </c>
      <c r="G828" s="112">
        <v>2</v>
      </c>
      <c r="H828" s="112">
        <v>7926077084</v>
      </c>
      <c r="I828" s="112" t="s">
        <v>4035</v>
      </c>
      <c r="J828" s="112" t="s">
        <v>1157</v>
      </c>
      <c r="K828" s="112" t="s">
        <v>1417</v>
      </c>
      <c r="L828" s="112" t="s">
        <v>1084</v>
      </c>
      <c r="M828" s="112" t="s">
        <v>478</v>
      </c>
      <c r="N828" s="113">
        <v>46139.551782407405</v>
      </c>
      <c r="O828" s="114">
        <v>19001240311</v>
      </c>
      <c r="P828" s="112">
        <v>874</v>
      </c>
      <c r="Q828" s="112" t="s">
        <v>1131</v>
      </c>
      <c r="R828" s="112" t="s">
        <v>1085</v>
      </c>
      <c r="S828" s="113">
        <v>46121.40625</v>
      </c>
      <c r="T828" s="112" t="s">
        <v>4036</v>
      </c>
      <c r="U828" s="112" t="s">
        <v>1065</v>
      </c>
      <c r="V828" s="112" t="s">
        <v>1066</v>
      </c>
      <c r="W828" s="112" t="s">
        <v>1066</v>
      </c>
      <c r="X828" s="112" t="s">
        <v>983</v>
      </c>
      <c r="Y828" s="112" t="s">
        <v>1066</v>
      </c>
      <c r="Z828" s="112" t="s">
        <v>1133</v>
      </c>
      <c r="AA828" s="112" t="s">
        <v>1067</v>
      </c>
      <c r="AB828" s="112" t="s">
        <v>1066</v>
      </c>
      <c r="AC828" s="112" t="s">
        <v>92</v>
      </c>
      <c r="AD828" s="112" t="s">
        <v>1142</v>
      </c>
      <c r="AE828" s="112" t="s">
        <v>1066</v>
      </c>
      <c r="AF828" s="112" t="s">
        <v>1066</v>
      </c>
      <c r="AG828" s="112" t="s">
        <v>1066</v>
      </c>
      <c r="AH828" s="112" t="s">
        <v>1066</v>
      </c>
      <c r="AI828" s="112" t="s">
        <v>785</v>
      </c>
      <c r="AJ828" s="112">
        <v>8902922</v>
      </c>
      <c r="AK828" s="112" t="s">
        <v>1311</v>
      </c>
      <c r="AL828" s="112">
        <v>705534</v>
      </c>
      <c r="AM828" s="112" t="s">
        <v>1066</v>
      </c>
      <c r="AN828" s="112" t="s">
        <v>1066</v>
      </c>
    </row>
    <row r="829" spans="1:40" ht="55.5" customHeight="1" x14ac:dyDescent="0.25">
      <c r="A829" s="111" t="s">
        <v>4037</v>
      </c>
      <c r="B829" s="112">
        <v>2026</v>
      </c>
      <c r="C829" s="112" t="s">
        <v>1210</v>
      </c>
      <c r="D829" s="113">
        <v>46114.608900462961</v>
      </c>
      <c r="E829" s="112">
        <v>7925872019</v>
      </c>
      <c r="F829" s="112" t="s">
        <v>191</v>
      </c>
      <c r="G829" s="112">
        <v>1</v>
      </c>
      <c r="H829" s="112">
        <v>7925872019</v>
      </c>
      <c r="I829" s="112" t="s">
        <v>4038</v>
      </c>
      <c r="J829" s="112" t="s">
        <v>1066</v>
      </c>
      <c r="K829" s="112" t="s">
        <v>1125</v>
      </c>
      <c r="L829" s="112" t="s">
        <v>1061</v>
      </c>
      <c r="M829" s="112" t="s">
        <v>478</v>
      </c>
      <c r="N829" s="113">
        <v>46514.608900462961</v>
      </c>
      <c r="O829" s="114">
        <v>19002206428</v>
      </c>
      <c r="P829" s="112">
        <v>1.925</v>
      </c>
      <c r="Q829" s="112" t="s">
        <v>1062</v>
      </c>
      <c r="R829" s="112" t="s">
        <v>1063</v>
      </c>
      <c r="S829" s="113">
        <v>46162.493842592594</v>
      </c>
      <c r="T829" s="112" t="s">
        <v>4039</v>
      </c>
      <c r="U829" s="112" t="s">
        <v>1065</v>
      </c>
      <c r="V829" s="112" t="s">
        <v>1066</v>
      </c>
      <c r="W829" s="112" t="s">
        <v>1066</v>
      </c>
      <c r="X829" s="112" t="s">
        <v>1066</v>
      </c>
      <c r="Y829" s="112" t="s">
        <v>1066</v>
      </c>
      <c r="Z829" s="112" t="s">
        <v>1066</v>
      </c>
      <c r="AA829" s="112" t="s">
        <v>1067</v>
      </c>
      <c r="AB829" s="112" t="s">
        <v>1066</v>
      </c>
      <c r="AC829" s="112" t="s">
        <v>92</v>
      </c>
      <c r="AD829" s="112" t="s">
        <v>1066</v>
      </c>
      <c r="AE829" s="112" t="s">
        <v>1066</v>
      </c>
      <c r="AF829" s="112" t="s">
        <v>1066</v>
      </c>
      <c r="AG829" s="112" t="s">
        <v>1066</v>
      </c>
      <c r="AH829" s="112" t="s">
        <v>1066</v>
      </c>
      <c r="AI829" s="112" t="s">
        <v>785</v>
      </c>
      <c r="AJ829" s="112">
        <v>9153374</v>
      </c>
      <c r="AK829" s="112" t="s">
        <v>1181</v>
      </c>
      <c r="AL829" s="112">
        <v>869014</v>
      </c>
      <c r="AM829" s="112" t="s">
        <v>1066</v>
      </c>
      <c r="AN829" s="112" t="s">
        <v>1066</v>
      </c>
    </row>
    <row r="830" spans="1:40" ht="55.5" customHeight="1" x14ac:dyDescent="0.25">
      <c r="A830" s="111" t="s">
        <v>4040</v>
      </c>
      <c r="B830" s="112">
        <v>2026</v>
      </c>
      <c r="C830" s="112" t="s">
        <v>4041</v>
      </c>
      <c r="D830" s="113">
        <v>45572.723460648151</v>
      </c>
      <c r="E830" s="112">
        <v>7925722023</v>
      </c>
      <c r="F830" s="112" t="s">
        <v>2350</v>
      </c>
      <c r="G830" s="112">
        <v>1</v>
      </c>
      <c r="H830" s="112">
        <v>7925722023</v>
      </c>
      <c r="I830" s="112" t="s">
        <v>4042</v>
      </c>
      <c r="J830" s="112" t="s">
        <v>1071</v>
      </c>
      <c r="K830" s="112" t="s">
        <v>1379</v>
      </c>
      <c r="L830" s="112" t="s">
        <v>1073</v>
      </c>
      <c r="M830" s="112" t="s">
        <v>478</v>
      </c>
      <c r="N830" s="113">
        <v>46030.591944444444</v>
      </c>
      <c r="O830" s="114">
        <v>19002617684</v>
      </c>
      <c r="P830" s="112">
        <v>3.2869999999999999</v>
      </c>
      <c r="Q830" s="112" t="s">
        <v>1062</v>
      </c>
      <c r="R830" s="112" t="s">
        <v>1085</v>
      </c>
      <c r="S830" s="113">
        <v>46056.715277777781</v>
      </c>
      <c r="T830" s="112" t="s">
        <v>4043</v>
      </c>
      <c r="U830" s="112" t="s">
        <v>1065</v>
      </c>
      <c r="V830" s="112" t="s">
        <v>1066</v>
      </c>
      <c r="W830" s="112" t="s">
        <v>1066</v>
      </c>
      <c r="X830" s="112" t="s">
        <v>1066</v>
      </c>
      <c r="Y830" s="112" t="s">
        <v>1066</v>
      </c>
      <c r="Z830" s="112" t="s">
        <v>1066</v>
      </c>
      <c r="AA830" s="112" t="s">
        <v>1067</v>
      </c>
      <c r="AB830" s="112" t="s">
        <v>1066</v>
      </c>
      <c r="AC830" s="112" t="s">
        <v>92</v>
      </c>
      <c r="AD830" s="112" t="s">
        <v>1066</v>
      </c>
      <c r="AE830" s="112" t="s">
        <v>1066</v>
      </c>
      <c r="AF830" s="112" t="s">
        <v>1066</v>
      </c>
      <c r="AG830" s="112" t="s">
        <v>1066</v>
      </c>
      <c r="AH830" s="112" t="s">
        <v>4044</v>
      </c>
      <c r="AI830" s="112" t="s">
        <v>785</v>
      </c>
      <c r="AJ830" s="112">
        <v>9108824</v>
      </c>
      <c r="AK830" s="112" t="s">
        <v>94</v>
      </c>
      <c r="AL830" s="112">
        <v>777994</v>
      </c>
      <c r="AM830" s="112" t="s">
        <v>1066</v>
      </c>
      <c r="AN830" s="112" t="s">
        <v>1066</v>
      </c>
    </row>
    <row r="831" spans="1:40" ht="55.5" customHeight="1" x14ac:dyDescent="0.25">
      <c r="A831" s="115" t="s">
        <v>2865</v>
      </c>
      <c r="B831" s="116">
        <v>2025</v>
      </c>
      <c r="C831" s="116" t="s">
        <v>4045</v>
      </c>
      <c r="D831" s="118">
        <v>45984.908599537041</v>
      </c>
      <c r="E831" s="116">
        <v>8800157070</v>
      </c>
      <c r="F831" s="116" t="s">
        <v>418</v>
      </c>
      <c r="G831" s="116">
        <v>3</v>
      </c>
      <c r="H831" s="116">
        <v>7947203070</v>
      </c>
      <c r="I831" s="116" t="s">
        <v>2864</v>
      </c>
      <c r="J831" s="116" t="s">
        <v>1071</v>
      </c>
      <c r="K831" s="116" t="s">
        <v>1580</v>
      </c>
      <c r="L831" s="116" t="s">
        <v>1073</v>
      </c>
      <c r="M831" s="116" t="s">
        <v>588</v>
      </c>
      <c r="N831" s="118">
        <v>46069.373784722222</v>
      </c>
      <c r="O831" s="119">
        <v>19002641084</v>
      </c>
      <c r="P831" s="116">
        <v>1.776</v>
      </c>
      <c r="Q831" s="116" t="s">
        <v>1131</v>
      </c>
      <c r="R831" s="116" t="s">
        <v>1075</v>
      </c>
      <c r="S831" s="116" t="s">
        <v>1066</v>
      </c>
      <c r="T831" s="116" t="s">
        <v>1066</v>
      </c>
      <c r="U831" s="116" t="s">
        <v>1066</v>
      </c>
      <c r="V831" s="116" t="s">
        <v>1066</v>
      </c>
      <c r="W831" s="116" t="s">
        <v>1066</v>
      </c>
      <c r="X831" s="116" t="s">
        <v>983</v>
      </c>
      <c r="Y831" s="116" t="s">
        <v>1066</v>
      </c>
      <c r="Z831" s="116" t="s">
        <v>1148</v>
      </c>
      <c r="AA831" s="116" t="s">
        <v>1067</v>
      </c>
      <c r="AB831" s="116" t="s">
        <v>1066</v>
      </c>
      <c r="AC831" s="116" t="s">
        <v>92</v>
      </c>
      <c r="AD831" s="116" t="s">
        <v>1066</v>
      </c>
      <c r="AE831" s="116" t="s">
        <v>1066</v>
      </c>
      <c r="AF831" s="116" t="s">
        <v>1066</v>
      </c>
      <c r="AG831" s="116" t="s">
        <v>1066</v>
      </c>
      <c r="AH831" s="116" t="s">
        <v>1066</v>
      </c>
      <c r="AI831" s="116" t="s">
        <v>785</v>
      </c>
      <c r="AJ831" s="116">
        <v>8950905</v>
      </c>
      <c r="AK831" s="116" t="s">
        <v>87</v>
      </c>
      <c r="AL831" s="116">
        <v>851948</v>
      </c>
      <c r="AM831" s="116" t="s">
        <v>1066</v>
      </c>
      <c r="AN831" s="116" t="s">
        <v>1066</v>
      </c>
    </row>
    <row r="832" spans="1:40" ht="55.5" customHeight="1" x14ac:dyDescent="0.25">
      <c r="A832" s="111" t="s">
        <v>669</v>
      </c>
      <c r="B832" s="112">
        <v>2026</v>
      </c>
      <c r="C832" s="112" t="s">
        <v>670</v>
      </c>
      <c r="D832" s="113">
        <v>46162.566527777781</v>
      </c>
      <c r="E832" s="112">
        <v>7957021094</v>
      </c>
      <c r="F832" s="112" t="s">
        <v>302</v>
      </c>
      <c r="G832" s="112">
        <v>3</v>
      </c>
      <c r="H832" s="112">
        <v>7957021094</v>
      </c>
      <c r="I832" s="112" t="s">
        <v>3058</v>
      </c>
      <c r="J832" s="112" t="s">
        <v>1071</v>
      </c>
      <c r="K832" s="112" t="s">
        <v>1681</v>
      </c>
      <c r="L832" s="112" t="s">
        <v>1073</v>
      </c>
      <c r="M832" s="112" t="s">
        <v>478</v>
      </c>
      <c r="N832" s="113">
        <v>46165.566527777781</v>
      </c>
      <c r="O832" s="114">
        <v>19002742765</v>
      </c>
      <c r="P832" s="112">
        <v>116</v>
      </c>
      <c r="Q832" s="112" t="s">
        <v>1062</v>
      </c>
      <c r="R832" s="112" t="s">
        <v>1075</v>
      </c>
      <c r="S832" s="113">
        <v>46213.729942129627</v>
      </c>
      <c r="T832" s="112" t="s">
        <v>4046</v>
      </c>
      <c r="U832" s="112" t="s">
        <v>1065</v>
      </c>
      <c r="V832" s="112" t="s">
        <v>1066</v>
      </c>
      <c r="W832" s="112" t="s">
        <v>1066</v>
      </c>
      <c r="X832" s="112" t="s">
        <v>983</v>
      </c>
      <c r="Y832" s="112" t="s">
        <v>1066</v>
      </c>
      <c r="Z832" s="112" t="s">
        <v>1066</v>
      </c>
      <c r="AA832" s="112" t="s">
        <v>1067</v>
      </c>
      <c r="AB832" s="112" t="s">
        <v>1066</v>
      </c>
      <c r="AC832" s="112" t="s">
        <v>92</v>
      </c>
      <c r="AD832" s="112" t="s">
        <v>1066</v>
      </c>
      <c r="AE832" s="112" t="s">
        <v>1066</v>
      </c>
      <c r="AF832" s="112" t="s">
        <v>1066</v>
      </c>
      <c r="AG832" s="112" t="s">
        <v>1066</v>
      </c>
      <c r="AH832" s="112" t="s">
        <v>1066</v>
      </c>
      <c r="AI832" s="112" t="s">
        <v>785</v>
      </c>
      <c r="AJ832" s="112">
        <v>8670289</v>
      </c>
      <c r="AK832" s="112" t="s">
        <v>224</v>
      </c>
      <c r="AL832" s="112">
        <v>770758</v>
      </c>
      <c r="AM832" s="112" t="s">
        <v>1066</v>
      </c>
      <c r="AN832" s="112" t="s">
        <v>1066</v>
      </c>
    </row>
    <row r="833" spans="1:40" ht="55.5" customHeight="1" x14ac:dyDescent="0.25">
      <c r="A833" s="115" t="s">
        <v>4047</v>
      </c>
      <c r="B833" s="116">
        <v>2026</v>
      </c>
      <c r="C833" s="116" t="s">
        <v>4048</v>
      </c>
      <c r="D833" s="118">
        <v>46090.706597222219</v>
      </c>
      <c r="E833" s="116" t="s">
        <v>1066</v>
      </c>
      <c r="F833" s="116" t="s">
        <v>1654</v>
      </c>
      <c r="G833" s="116" t="s">
        <v>1066</v>
      </c>
      <c r="H833" s="116">
        <v>5800366016</v>
      </c>
      <c r="I833" s="116" t="s">
        <v>2957</v>
      </c>
      <c r="J833" s="116" t="s">
        <v>1071</v>
      </c>
      <c r="K833" s="116" t="s">
        <v>1115</v>
      </c>
      <c r="L833" s="116" t="s">
        <v>1073</v>
      </c>
      <c r="M833" s="116" t="s">
        <v>588</v>
      </c>
      <c r="N833" s="118">
        <v>46108.485844907409</v>
      </c>
      <c r="O833" s="119">
        <v>19002682934</v>
      </c>
      <c r="P833" s="116">
        <v>0</v>
      </c>
      <c r="Q833" s="116" t="s">
        <v>1074</v>
      </c>
      <c r="R833" s="116" t="s">
        <v>1324</v>
      </c>
      <c r="S833" s="116" t="s">
        <v>1066</v>
      </c>
      <c r="T833" s="116" t="s">
        <v>1066</v>
      </c>
      <c r="U833" s="116" t="s">
        <v>1066</v>
      </c>
      <c r="V833" s="116" t="s">
        <v>1066</v>
      </c>
      <c r="W833" s="116" t="s">
        <v>1066</v>
      </c>
      <c r="X833" s="116" t="s">
        <v>1726</v>
      </c>
      <c r="Y833" s="116" t="s">
        <v>1066</v>
      </c>
      <c r="Z833" s="116" t="s">
        <v>1479</v>
      </c>
      <c r="AA833" s="116" t="s">
        <v>1067</v>
      </c>
      <c r="AB833" s="116" t="s">
        <v>1066</v>
      </c>
      <c r="AC833" s="116" t="s">
        <v>92</v>
      </c>
      <c r="AD833" s="116" t="s">
        <v>1066</v>
      </c>
      <c r="AE833" s="116" t="s">
        <v>1066</v>
      </c>
      <c r="AF833" s="116" t="s">
        <v>1066</v>
      </c>
      <c r="AG833" s="116" t="s">
        <v>1066</v>
      </c>
      <c r="AH833" s="116" t="s">
        <v>1066</v>
      </c>
      <c r="AI833" s="116" t="s">
        <v>785</v>
      </c>
      <c r="AJ833" s="116">
        <v>9241712</v>
      </c>
      <c r="AK833" s="116" t="s">
        <v>537</v>
      </c>
      <c r="AL833" s="116">
        <v>834683</v>
      </c>
      <c r="AM833" s="116" t="s">
        <v>1066</v>
      </c>
      <c r="AN833" s="116" t="s">
        <v>1066</v>
      </c>
    </row>
    <row r="834" spans="1:40" ht="55.5" customHeight="1" x14ac:dyDescent="0.25">
      <c r="A834" s="111" t="s">
        <v>4049</v>
      </c>
      <c r="B834" s="112">
        <v>2026</v>
      </c>
      <c r="C834" s="112" t="s">
        <v>1210</v>
      </c>
      <c r="D834" s="113">
        <v>46114.608900462961</v>
      </c>
      <c r="E834" s="112">
        <v>7924624186</v>
      </c>
      <c r="F834" s="112" t="s">
        <v>1236</v>
      </c>
      <c r="G834" s="112">
        <v>2</v>
      </c>
      <c r="H834" s="112">
        <v>7924624186</v>
      </c>
      <c r="I834" s="112" t="s">
        <v>1436</v>
      </c>
      <c r="J834" s="112" t="s">
        <v>1066</v>
      </c>
      <c r="K834" s="112" t="s">
        <v>1125</v>
      </c>
      <c r="L834" s="112" t="s">
        <v>1061</v>
      </c>
      <c r="M834" s="112" t="s">
        <v>478</v>
      </c>
      <c r="N834" s="113">
        <v>46514.608900462961</v>
      </c>
      <c r="O834" s="114">
        <v>19002223287</v>
      </c>
      <c r="P834" s="112">
        <v>1.65</v>
      </c>
      <c r="Q834" s="112" t="s">
        <v>1062</v>
      </c>
      <c r="R834" s="112" t="s">
        <v>1063</v>
      </c>
      <c r="S834" s="113">
        <v>46192.406122685185</v>
      </c>
      <c r="T834" s="112" t="s">
        <v>4050</v>
      </c>
      <c r="U834" s="112" t="s">
        <v>1065</v>
      </c>
      <c r="V834" s="112" t="s">
        <v>1066</v>
      </c>
      <c r="W834" s="112" t="s">
        <v>1066</v>
      </c>
      <c r="X834" s="112" t="s">
        <v>1066</v>
      </c>
      <c r="Y834" s="112" t="s">
        <v>1066</v>
      </c>
      <c r="Z834" s="112" t="s">
        <v>1066</v>
      </c>
      <c r="AA834" s="112" t="s">
        <v>1067</v>
      </c>
      <c r="AB834" s="112" t="s">
        <v>1066</v>
      </c>
      <c r="AC834" s="112" t="s">
        <v>92</v>
      </c>
      <c r="AD834" s="112" t="s">
        <v>1066</v>
      </c>
      <c r="AE834" s="112" t="s">
        <v>1066</v>
      </c>
      <c r="AF834" s="112" t="s">
        <v>1066</v>
      </c>
      <c r="AG834" s="112" t="s">
        <v>1066</v>
      </c>
      <c r="AH834" s="112" t="s">
        <v>1066</v>
      </c>
      <c r="AI834" s="112" t="s">
        <v>785</v>
      </c>
      <c r="AJ834" s="112">
        <v>8600371</v>
      </c>
      <c r="AK834" s="112" t="s">
        <v>1438</v>
      </c>
      <c r="AL834" s="112">
        <v>761132</v>
      </c>
      <c r="AM834" s="112" t="s">
        <v>1066</v>
      </c>
      <c r="AN834" s="112" t="s">
        <v>1066</v>
      </c>
    </row>
    <row r="835" spans="1:40" ht="55.5" customHeight="1" x14ac:dyDescent="0.25">
      <c r="A835" s="111" t="s">
        <v>4051</v>
      </c>
      <c r="B835" s="112">
        <v>2026</v>
      </c>
      <c r="C835" s="112" t="s">
        <v>1057</v>
      </c>
      <c r="D835" s="113">
        <v>46122.378541666665</v>
      </c>
      <c r="E835" s="112">
        <v>7929374004</v>
      </c>
      <c r="F835" s="112" t="s">
        <v>383</v>
      </c>
      <c r="G835" s="112">
        <v>2</v>
      </c>
      <c r="H835" s="112">
        <v>7929374004</v>
      </c>
      <c r="I835" s="112" t="s">
        <v>4052</v>
      </c>
      <c r="J835" s="112" t="s">
        <v>1059</v>
      </c>
      <c r="K835" s="112" t="s">
        <v>1060</v>
      </c>
      <c r="L835" s="112" t="s">
        <v>1061</v>
      </c>
      <c r="M835" s="112" t="s">
        <v>478</v>
      </c>
      <c r="N835" s="113">
        <v>46522.378541666665</v>
      </c>
      <c r="O835" s="114">
        <v>19002764959</v>
      </c>
      <c r="P835" s="112">
        <v>0</v>
      </c>
      <c r="Q835" s="112" t="s">
        <v>1062</v>
      </c>
      <c r="R835" s="112" t="s">
        <v>1063</v>
      </c>
      <c r="S835" s="113">
        <v>46139.699386574073</v>
      </c>
      <c r="T835" s="112" t="s">
        <v>4053</v>
      </c>
      <c r="U835" s="112" t="s">
        <v>1065</v>
      </c>
      <c r="V835" s="112" t="s">
        <v>1066</v>
      </c>
      <c r="W835" s="112" t="s">
        <v>1066</v>
      </c>
      <c r="X835" s="112" t="s">
        <v>1066</v>
      </c>
      <c r="Y835" s="112" t="s">
        <v>1066</v>
      </c>
      <c r="Z835" s="112" t="s">
        <v>1066</v>
      </c>
      <c r="AA835" s="112" t="s">
        <v>1067</v>
      </c>
      <c r="AB835" s="112" t="s">
        <v>1066</v>
      </c>
      <c r="AC835" s="112" t="s">
        <v>92</v>
      </c>
      <c r="AD835" s="112" t="s">
        <v>1066</v>
      </c>
      <c r="AE835" s="112" t="s">
        <v>1066</v>
      </c>
      <c r="AF835" s="112" t="s">
        <v>1066</v>
      </c>
      <c r="AG835" s="112" t="s">
        <v>1066</v>
      </c>
      <c r="AH835" s="112" t="s">
        <v>1066</v>
      </c>
      <c r="AI835" s="112" t="s">
        <v>785</v>
      </c>
      <c r="AJ835" s="112">
        <v>9208820</v>
      </c>
      <c r="AK835" s="112" t="s">
        <v>69</v>
      </c>
      <c r="AL835" s="112">
        <v>810450</v>
      </c>
      <c r="AM835" s="112" t="s">
        <v>1066</v>
      </c>
      <c r="AN835" s="112" t="s">
        <v>1066</v>
      </c>
    </row>
    <row r="836" spans="1:40" ht="55.5" customHeight="1" x14ac:dyDescent="0.25">
      <c r="A836" s="115" t="s">
        <v>4054</v>
      </c>
      <c r="B836" s="116">
        <v>2026</v>
      </c>
      <c r="C836" s="116" t="s">
        <v>4055</v>
      </c>
      <c r="D836" s="118">
        <v>45842.454224537039</v>
      </c>
      <c r="E836" s="116">
        <v>9000422200</v>
      </c>
      <c r="F836" s="116" t="s">
        <v>324</v>
      </c>
      <c r="G836" s="116">
        <v>2</v>
      </c>
      <c r="H836" s="116">
        <v>7928241200</v>
      </c>
      <c r="I836" s="116" t="s">
        <v>4056</v>
      </c>
      <c r="J836" s="116" t="s">
        <v>1092</v>
      </c>
      <c r="K836" s="116" t="s">
        <v>1191</v>
      </c>
      <c r="L836" s="116" t="s">
        <v>1084</v>
      </c>
      <c r="M836" s="116" t="s">
        <v>588</v>
      </c>
      <c r="N836" s="118">
        <v>46270.655405092592</v>
      </c>
      <c r="O836" s="119">
        <v>19001267319</v>
      </c>
      <c r="P836" s="116">
        <v>281</v>
      </c>
      <c r="Q836" s="116" t="s">
        <v>1131</v>
      </c>
      <c r="R836" s="116" t="s">
        <v>1075</v>
      </c>
      <c r="S836" s="116" t="s">
        <v>1066</v>
      </c>
      <c r="T836" s="116" t="s">
        <v>1066</v>
      </c>
      <c r="U836" s="116" t="s">
        <v>1066</v>
      </c>
      <c r="V836" s="116" t="s">
        <v>1066</v>
      </c>
      <c r="W836" s="116" t="s">
        <v>1066</v>
      </c>
      <c r="X836" s="116" t="s">
        <v>983</v>
      </c>
      <c r="Y836" s="116" t="s">
        <v>1066</v>
      </c>
      <c r="Z836" s="116" t="s">
        <v>1078</v>
      </c>
      <c r="AA836" s="116" t="s">
        <v>1067</v>
      </c>
      <c r="AB836" s="116" t="s">
        <v>1066</v>
      </c>
      <c r="AC836" s="116" t="s">
        <v>92</v>
      </c>
      <c r="AD836" s="116" t="s">
        <v>1142</v>
      </c>
      <c r="AE836" s="116" t="s">
        <v>1066</v>
      </c>
      <c r="AF836" s="116" t="s">
        <v>1066</v>
      </c>
      <c r="AG836" s="116" t="s">
        <v>1066</v>
      </c>
      <c r="AH836" s="116" t="s">
        <v>4057</v>
      </c>
      <c r="AI836" s="116" t="s">
        <v>785</v>
      </c>
      <c r="AJ836" s="116">
        <v>8603487</v>
      </c>
      <c r="AK836" s="116" t="s">
        <v>293</v>
      </c>
      <c r="AL836" s="116">
        <v>794701</v>
      </c>
      <c r="AM836" s="116" t="s">
        <v>1066</v>
      </c>
      <c r="AN836" s="116" t="s">
        <v>1066</v>
      </c>
    </row>
    <row r="837" spans="1:40" ht="55.5" customHeight="1" x14ac:dyDescent="0.25">
      <c r="A837" s="111" t="s">
        <v>4058</v>
      </c>
      <c r="B837" s="112">
        <v>2026</v>
      </c>
      <c r="C837" s="112" t="s">
        <v>1089</v>
      </c>
      <c r="D837" s="113">
        <v>46028.41065972222</v>
      </c>
      <c r="E837" s="112">
        <v>7900611073</v>
      </c>
      <c r="F837" s="112" t="s">
        <v>1274</v>
      </c>
      <c r="G837" s="112">
        <v>1</v>
      </c>
      <c r="H837" s="112">
        <v>7900611073</v>
      </c>
      <c r="I837" s="112" t="s">
        <v>4059</v>
      </c>
      <c r="J837" s="112" t="s">
        <v>1092</v>
      </c>
      <c r="K837" s="112" t="s">
        <v>1093</v>
      </c>
      <c r="L837" s="112" t="s">
        <v>1061</v>
      </c>
      <c r="M837" s="112" t="s">
        <v>478</v>
      </c>
      <c r="N837" s="113">
        <v>46428.41065972222</v>
      </c>
      <c r="O837" s="114">
        <v>19002206582</v>
      </c>
      <c r="P837" s="112">
        <v>151</v>
      </c>
      <c r="Q837" s="112" t="s">
        <v>1062</v>
      </c>
      <c r="R837" s="112" t="s">
        <v>1063</v>
      </c>
      <c r="S837" s="113">
        <v>46062.468055555553</v>
      </c>
      <c r="T837" s="112" t="s">
        <v>4060</v>
      </c>
      <c r="U837" s="112" t="s">
        <v>1065</v>
      </c>
      <c r="V837" s="112" t="s">
        <v>1066</v>
      </c>
      <c r="W837" s="112" t="s">
        <v>1066</v>
      </c>
      <c r="X837" s="112" t="s">
        <v>1066</v>
      </c>
      <c r="Y837" s="112" t="s">
        <v>1066</v>
      </c>
      <c r="Z837" s="112" t="s">
        <v>1066</v>
      </c>
      <c r="AA837" s="112" t="s">
        <v>1067</v>
      </c>
      <c r="AB837" s="112" t="s">
        <v>1066</v>
      </c>
      <c r="AC837" s="112" t="s">
        <v>92</v>
      </c>
      <c r="AD837" s="112" t="s">
        <v>1066</v>
      </c>
      <c r="AE837" s="112" t="s">
        <v>1066</v>
      </c>
      <c r="AF837" s="112" t="s">
        <v>1066</v>
      </c>
      <c r="AG837" s="112" t="s">
        <v>1066</v>
      </c>
      <c r="AH837" s="112" t="s">
        <v>1066</v>
      </c>
      <c r="AI837" s="112" t="s">
        <v>785</v>
      </c>
      <c r="AJ837" s="112">
        <v>8813312</v>
      </c>
      <c r="AK837" s="112" t="s">
        <v>1166</v>
      </c>
      <c r="AL837" s="112">
        <v>659179</v>
      </c>
      <c r="AM837" s="112" t="s">
        <v>1066</v>
      </c>
      <c r="AN837" s="112" t="s">
        <v>1066</v>
      </c>
    </row>
    <row r="838" spans="1:40" ht="55.5" customHeight="1" x14ac:dyDescent="0.25">
      <c r="A838" s="111" t="s">
        <v>4061</v>
      </c>
      <c r="B838" s="112">
        <v>2026</v>
      </c>
      <c r="C838" s="112" t="s">
        <v>4062</v>
      </c>
      <c r="D838" s="113">
        <v>46052.619363425925</v>
      </c>
      <c r="E838" s="112">
        <v>8800592186</v>
      </c>
      <c r="F838" s="112" t="s">
        <v>1236</v>
      </c>
      <c r="G838" s="112">
        <v>2</v>
      </c>
      <c r="H838" s="112">
        <v>5844369186</v>
      </c>
      <c r="I838" s="112" t="s">
        <v>1477</v>
      </c>
      <c r="J838" s="112" t="s">
        <v>1231</v>
      </c>
      <c r="K838" s="112" t="s">
        <v>1232</v>
      </c>
      <c r="L838" s="112" t="s">
        <v>1084</v>
      </c>
      <c r="M838" s="112" t="s">
        <v>478</v>
      </c>
      <c r="N838" s="113">
        <v>46115.64267361111</v>
      </c>
      <c r="O838" s="114">
        <v>19002317752</v>
      </c>
      <c r="P838" s="112">
        <v>751</v>
      </c>
      <c r="Q838" s="112" t="s">
        <v>1074</v>
      </c>
      <c r="R838" s="112" t="s">
        <v>1206</v>
      </c>
      <c r="S838" s="113">
        <v>46077.684166666666</v>
      </c>
      <c r="T838" s="112" t="s">
        <v>4063</v>
      </c>
      <c r="U838" s="112" t="s">
        <v>1065</v>
      </c>
      <c r="V838" s="112" t="s">
        <v>1066</v>
      </c>
      <c r="W838" s="112" t="s">
        <v>1066</v>
      </c>
      <c r="X838" s="112" t="s">
        <v>1077</v>
      </c>
      <c r="Y838" s="112" t="s">
        <v>1066</v>
      </c>
      <c r="Z838" s="112" t="s">
        <v>1066</v>
      </c>
      <c r="AA838" s="112" t="s">
        <v>1067</v>
      </c>
      <c r="AB838" s="112" t="s">
        <v>1066</v>
      </c>
      <c r="AC838" s="112" t="s">
        <v>92</v>
      </c>
      <c r="AD838" s="112" t="s">
        <v>1066</v>
      </c>
      <c r="AE838" s="112" t="s">
        <v>1066</v>
      </c>
      <c r="AF838" s="112" t="s">
        <v>1066</v>
      </c>
      <c r="AG838" s="112" t="s">
        <v>1066</v>
      </c>
      <c r="AH838" s="112" t="s">
        <v>4064</v>
      </c>
      <c r="AI838" s="112" t="s">
        <v>785</v>
      </c>
      <c r="AJ838" s="112">
        <v>8584277</v>
      </c>
      <c r="AK838" s="112" t="s">
        <v>1438</v>
      </c>
      <c r="AL838" s="112">
        <v>761730</v>
      </c>
      <c r="AM838" s="112" t="s">
        <v>1066</v>
      </c>
      <c r="AN838" s="112" t="s">
        <v>1066</v>
      </c>
    </row>
    <row r="839" spans="1:40" ht="55.5" customHeight="1" x14ac:dyDescent="0.25">
      <c r="A839" s="115" t="s">
        <v>4065</v>
      </c>
      <c r="B839" s="116">
        <v>2026</v>
      </c>
      <c r="C839" s="116" t="s">
        <v>4066</v>
      </c>
      <c r="D839" s="118">
        <v>46031.381874999999</v>
      </c>
      <c r="E839" s="116">
        <v>7927646026</v>
      </c>
      <c r="F839" s="116" t="s">
        <v>136</v>
      </c>
      <c r="G839" s="116">
        <v>2</v>
      </c>
      <c r="H839" s="116">
        <v>7927646026</v>
      </c>
      <c r="I839" s="116" t="s">
        <v>4067</v>
      </c>
      <c r="J839" s="116" t="s">
        <v>1071</v>
      </c>
      <c r="K839" s="116" t="s">
        <v>1379</v>
      </c>
      <c r="L839" s="116" t="s">
        <v>1073</v>
      </c>
      <c r="M839" s="116" t="s">
        <v>588</v>
      </c>
      <c r="N839" s="118">
        <v>46060.369456018518</v>
      </c>
      <c r="O839" s="119">
        <v>19002702975</v>
      </c>
      <c r="P839" s="116">
        <v>2.2290000000000001</v>
      </c>
      <c r="Q839" s="116" t="s">
        <v>1062</v>
      </c>
      <c r="R839" s="116" t="s">
        <v>1075</v>
      </c>
      <c r="S839" s="116" t="s">
        <v>1066</v>
      </c>
      <c r="T839" s="116" t="s">
        <v>1066</v>
      </c>
      <c r="U839" s="116" t="s">
        <v>1066</v>
      </c>
      <c r="V839" s="116" t="s">
        <v>1066</v>
      </c>
      <c r="W839" s="116" t="s">
        <v>1066</v>
      </c>
      <c r="X839" s="116" t="s">
        <v>1066</v>
      </c>
      <c r="Y839" s="116" t="s">
        <v>1066</v>
      </c>
      <c r="Z839" s="116" t="s">
        <v>1066</v>
      </c>
      <c r="AA839" s="116" t="s">
        <v>1067</v>
      </c>
      <c r="AB839" s="116" t="s">
        <v>1066</v>
      </c>
      <c r="AC839" s="116" t="s">
        <v>92</v>
      </c>
      <c r="AD839" s="116" t="s">
        <v>1066</v>
      </c>
      <c r="AE839" s="116" t="s">
        <v>1066</v>
      </c>
      <c r="AF839" s="116" t="s">
        <v>1066</v>
      </c>
      <c r="AG839" s="116" t="s">
        <v>1066</v>
      </c>
      <c r="AH839" s="116" t="s">
        <v>1066</v>
      </c>
      <c r="AI839" s="116" t="s">
        <v>785</v>
      </c>
      <c r="AJ839" s="116">
        <v>8841819</v>
      </c>
      <c r="AK839" s="116" t="s">
        <v>792</v>
      </c>
      <c r="AL839" s="116">
        <v>918776</v>
      </c>
      <c r="AM839" s="116" t="s">
        <v>1066</v>
      </c>
      <c r="AN839" s="116" t="s">
        <v>1066</v>
      </c>
    </row>
    <row r="840" spans="1:40" ht="55.5" customHeight="1" x14ac:dyDescent="0.25">
      <c r="A840" s="111" t="s">
        <v>4068</v>
      </c>
      <c r="B840" s="112">
        <v>2026</v>
      </c>
      <c r="C840" s="112" t="s">
        <v>4069</v>
      </c>
      <c r="D840" s="113">
        <v>46057.414687500001</v>
      </c>
      <c r="E840" s="112">
        <v>9025588055</v>
      </c>
      <c r="F840" s="112" t="s">
        <v>1415</v>
      </c>
      <c r="G840" s="112">
        <v>3</v>
      </c>
      <c r="H840" s="112">
        <v>7925588055</v>
      </c>
      <c r="I840" s="112" t="s">
        <v>4070</v>
      </c>
      <c r="J840" s="112" t="s">
        <v>1157</v>
      </c>
      <c r="K840" s="112" t="s">
        <v>1417</v>
      </c>
      <c r="L840" s="112" t="s">
        <v>1084</v>
      </c>
      <c r="M840" s="112" t="s">
        <v>478</v>
      </c>
      <c r="N840" s="113">
        <v>46117.414687500001</v>
      </c>
      <c r="O840" s="114">
        <v>19001233823</v>
      </c>
      <c r="P840" s="112">
        <v>159</v>
      </c>
      <c r="Q840" s="112" t="s">
        <v>1131</v>
      </c>
      <c r="R840" s="112" t="s">
        <v>1085</v>
      </c>
      <c r="S840" s="113">
        <v>46107.64303240741</v>
      </c>
      <c r="T840" s="112" t="s">
        <v>4071</v>
      </c>
      <c r="U840" s="112" t="s">
        <v>1065</v>
      </c>
      <c r="V840" s="112" t="s">
        <v>1066</v>
      </c>
      <c r="W840" s="112" t="s">
        <v>1066</v>
      </c>
      <c r="X840" s="112" t="s">
        <v>983</v>
      </c>
      <c r="Y840" s="112" t="s">
        <v>1066</v>
      </c>
      <c r="Z840" s="112" t="s">
        <v>1133</v>
      </c>
      <c r="AA840" s="112" t="s">
        <v>1067</v>
      </c>
      <c r="AB840" s="112" t="s">
        <v>1066</v>
      </c>
      <c r="AC840" s="112" t="s">
        <v>92</v>
      </c>
      <c r="AD840" s="112" t="s">
        <v>1142</v>
      </c>
      <c r="AE840" s="112" t="s">
        <v>1066</v>
      </c>
      <c r="AF840" s="112" t="s">
        <v>1066</v>
      </c>
      <c r="AG840" s="112" t="s">
        <v>1066</v>
      </c>
      <c r="AH840" s="112" t="s">
        <v>1066</v>
      </c>
      <c r="AI840" s="112" t="s">
        <v>785</v>
      </c>
      <c r="AJ840" s="112">
        <v>8984837</v>
      </c>
      <c r="AK840" s="112" t="s">
        <v>482</v>
      </c>
      <c r="AL840" s="112">
        <v>672679</v>
      </c>
      <c r="AM840" s="112" t="s">
        <v>1066</v>
      </c>
      <c r="AN840" s="112" t="s">
        <v>1066</v>
      </c>
    </row>
    <row r="841" spans="1:40" ht="55.5" customHeight="1" x14ac:dyDescent="0.25">
      <c r="A841" s="111" t="s">
        <v>4072</v>
      </c>
      <c r="B841" s="112">
        <v>2026</v>
      </c>
      <c r="C841" s="112" t="s">
        <v>4073</v>
      </c>
      <c r="D841" s="113">
        <v>46123.980763888889</v>
      </c>
      <c r="E841" s="112">
        <v>3328334072</v>
      </c>
      <c r="F841" s="112" t="s">
        <v>225</v>
      </c>
      <c r="G841" s="112">
        <v>3</v>
      </c>
      <c r="H841" s="112">
        <v>7964802072</v>
      </c>
      <c r="I841" s="112" t="s">
        <v>4074</v>
      </c>
      <c r="J841" s="112" t="s">
        <v>1071</v>
      </c>
      <c r="K841" s="112" t="s">
        <v>1145</v>
      </c>
      <c r="L841" s="112" t="s">
        <v>1073</v>
      </c>
      <c r="M841" s="112" t="s">
        <v>478</v>
      </c>
      <c r="N841" s="113">
        <v>46126.980763888889</v>
      </c>
      <c r="O841" s="114">
        <v>19002806552</v>
      </c>
      <c r="P841" s="112">
        <v>82</v>
      </c>
      <c r="Q841" s="112" t="s">
        <v>1131</v>
      </c>
      <c r="R841" s="112" t="s">
        <v>1075</v>
      </c>
      <c r="S841" s="113">
        <v>46185.729421296295</v>
      </c>
      <c r="T841" s="112" t="s">
        <v>4075</v>
      </c>
      <c r="U841" s="112" t="s">
        <v>1065</v>
      </c>
      <c r="V841" s="112" t="s">
        <v>1066</v>
      </c>
      <c r="W841" s="112" t="s">
        <v>1066</v>
      </c>
      <c r="X841" s="112" t="s">
        <v>983</v>
      </c>
      <c r="Y841" s="112" t="s">
        <v>1066</v>
      </c>
      <c r="Z841" s="112" t="s">
        <v>1148</v>
      </c>
      <c r="AA841" s="112" t="s">
        <v>1067</v>
      </c>
      <c r="AB841" s="112" t="s">
        <v>1066</v>
      </c>
      <c r="AC841" s="112" t="s">
        <v>92</v>
      </c>
      <c r="AD841" s="112" t="s">
        <v>1066</v>
      </c>
      <c r="AE841" s="112" t="s">
        <v>1066</v>
      </c>
      <c r="AF841" s="112" t="s">
        <v>1066</v>
      </c>
      <c r="AG841" s="112" t="s">
        <v>1066</v>
      </c>
      <c r="AH841" s="112" t="s">
        <v>1066</v>
      </c>
      <c r="AI841" s="112" t="s">
        <v>785</v>
      </c>
      <c r="AJ841" s="112">
        <v>8644929</v>
      </c>
      <c r="AK841" s="112" t="s">
        <v>1590</v>
      </c>
      <c r="AL841" s="112">
        <v>901853</v>
      </c>
      <c r="AM841" s="112" t="s">
        <v>1066</v>
      </c>
      <c r="AN841" s="112" t="s">
        <v>1066</v>
      </c>
    </row>
    <row r="842" spans="1:40" ht="55.5" customHeight="1" x14ac:dyDescent="0.25">
      <c r="A842" s="111" t="s">
        <v>4076</v>
      </c>
      <c r="B842" s="112">
        <v>2026</v>
      </c>
      <c r="C842" s="112" t="s">
        <v>1057</v>
      </c>
      <c r="D842" s="113">
        <v>46125.614548611113</v>
      </c>
      <c r="E842" s="112">
        <v>7927647001</v>
      </c>
      <c r="F842" s="112" t="s">
        <v>711</v>
      </c>
      <c r="G842" s="112">
        <v>1</v>
      </c>
      <c r="H842" s="112">
        <v>7927647001</v>
      </c>
      <c r="I842" s="112" t="s">
        <v>4077</v>
      </c>
      <c r="J842" s="112" t="s">
        <v>1066</v>
      </c>
      <c r="K842" s="112" t="s">
        <v>1125</v>
      </c>
      <c r="L842" s="112" t="s">
        <v>1061</v>
      </c>
      <c r="M842" s="112" t="s">
        <v>478</v>
      </c>
      <c r="N842" s="113">
        <v>46525.614548611113</v>
      </c>
      <c r="O842" s="114">
        <v>19002260444</v>
      </c>
      <c r="P842" s="112">
        <v>0</v>
      </c>
      <c r="Q842" s="112" t="s">
        <v>1062</v>
      </c>
      <c r="R842" s="112" t="s">
        <v>1063</v>
      </c>
      <c r="S842" s="113">
        <v>46174.3125</v>
      </c>
      <c r="T842" s="112" t="s">
        <v>1307</v>
      </c>
      <c r="U842" s="112" t="s">
        <v>1065</v>
      </c>
      <c r="V842" s="112" t="s">
        <v>1066</v>
      </c>
      <c r="W842" s="112" t="s">
        <v>1066</v>
      </c>
      <c r="X842" s="112" t="s">
        <v>1066</v>
      </c>
      <c r="Y842" s="112" t="s">
        <v>1066</v>
      </c>
      <c r="Z842" s="112" t="s">
        <v>1066</v>
      </c>
      <c r="AA842" s="112" t="s">
        <v>1067</v>
      </c>
      <c r="AB842" s="112" t="s">
        <v>1066</v>
      </c>
      <c r="AC842" s="112" t="s">
        <v>92</v>
      </c>
      <c r="AD842" s="112" t="s">
        <v>1066</v>
      </c>
      <c r="AE842" s="112" t="s">
        <v>1066</v>
      </c>
      <c r="AF842" s="112" t="s">
        <v>1066</v>
      </c>
      <c r="AG842" s="112" t="s">
        <v>1066</v>
      </c>
      <c r="AH842" s="112" t="s">
        <v>1066</v>
      </c>
      <c r="AI842" s="112" t="s">
        <v>785</v>
      </c>
      <c r="AJ842" s="112">
        <v>8815927</v>
      </c>
      <c r="AK842" s="112" t="s">
        <v>50</v>
      </c>
      <c r="AL842" s="112">
        <v>783137</v>
      </c>
      <c r="AM842" s="112" t="s">
        <v>1066</v>
      </c>
      <c r="AN842" s="112" t="s">
        <v>1066</v>
      </c>
    </row>
    <row r="843" spans="1:40" ht="55.5" customHeight="1" x14ac:dyDescent="0.25">
      <c r="A843" s="124" t="s">
        <v>4078</v>
      </c>
      <c r="B843" s="125">
        <v>2026</v>
      </c>
      <c r="C843" s="125" t="s">
        <v>4079</v>
      </c>
      <c r="D843" s="126">
        <v>46247.779039351852</v>
      </c>
      <c r="E843" s="125">
        <v>7949808058</v>
      </c>
      <c r="F843" s="125" t="s">
        <v>95</v>
      </c>
      <c r="G843" s="125">
        <v>3</v>
      </c>
      <c r="H843" s="125">
        <v>7949808058</v>
      </c>
      <c r="I843" s="125" t="s">
        <v>1388</v>
      </c>
      <c r="J843" s="125" t="s">
        <v>1071</v>
      </c>
      <c r="K843" s="125" t="s">
        <v>2694</v>
      </c>
      <c r="L843" s="125" t="s">
        <v>1073</v>
      </c>
      <c r="M843" s="125" t="s">
        <v>510</v>
      </c>
      <c r="N843" s="126">
        <v>46250.779039351852</v>
      </c>
      <c r="O843" s="127">
        <v>19002619751</v>
      </c>
      <c r="P843" s="125">
        <v>0</v>
      </c>
      <c r="Q843" s="125" t="s">
        <v>1062</v>
      </c>
      <c r="R843" s="125" t="s">
        <v>1324</v>
      </c>
      <c r="S843" s="125" t="s">
        <v>1066</v>
      </c>
      <c r="T843" s="125" t="s">
        <v>1066</v>
      </c>
      <c r="U843" s="125" t="s">
        <v>1066</v>
      </c>
      <c r="V843" s="125" t="s">
        <v>1066</v>
      </c>
      <c r="W843" s="125" t="s">
        <v>1066</v>
      </c>
      <c r="X843" s="125" t="s">
        <v>983</v>
      </c>
      <c r="Y843" s="125" t="s">
        <v>1066</v>
      </c>
      <c r="Z843" s="125" t="s">
        <v>2831</v>
      </c>
      <c r="AA843" s="125" t="s">
        <v>1067</v>
      </c>
      <c r="AB843" s="125" t="s">
        <v>1066</v>
      </c>
      <c r="AC843" s="125" t="s">
        <v>92</v>
      </c>
      <c r="AD843" s="125" t="s">
        <v>1066</v>
      </c>
      <c r="AE843" s="125" t="s">
        <v>1066</v>
      </c>
      <c r="AF843" s="125" t="s">
        <v>1066</v>
      </c>
      <c r="AG843" s="125" t="s">
        <v>1066</v>
      </c>
      <c r="AH843" s="125" t="s">
        <v>1066</v>
      </c>
      <c r="AI843" s="125" t="s">
        <v>785</v>
      </c>
      <c r="AJ843" s="125">
        <v>9203805</v>
      </c>
      <c r="AK843" s="125" t="s">
        <v>283</v>
      </c>
      <c r="AL843" s="125">
        <v>717238</v>
      </c>
      <c r="AM843" s="125" t="s">
        <v>1066</v>
      </c>
      <c r="AN843" s="125" t="s">
        <v>1066</v>
      </c>
    </row>
    <row r="844" spans="1:40" ht="55.5" customHeight="1" x14ac:dyDescent="0.25">
      <c r="A844" s="115" t="s">
        <v>4080</v>
      </c>
      <c r="B844" s="116">
        <v>2026</v>
      </c>
      <c r="C844" s="116" t="s">
        <v>4081</v>
      </c>
      <c r="D844" s="118">
        <v>46070.783263888887</v>
      </c>
      <c r="E844" s="116">
        <v>8813726028</v>
      </c>
      <c r="F844" s="116" t="s">
        <v>43</v>
      </c>
      <c r="G844" s="116">
        <v>2</v>
      </c>
      <c r="H844" s="116">
        <v>7955523028</v>
      </c>
      <c r="I844" s="116" t="s">
        <v>4082</v>
      </c>
      <c r="J844" s="116" t="s">
        <v>1071</v>
      </c>
      <c r="K844" s="116" t="s">
        <v>2080</v>
      </c>
      <c r="L844" s="116" t="s">
        <v>1073</v>
      </c>
      <c r="M844" s="116" t="s">
        <v>588</v>
      </c>
      <c r="N844" s="118">
        <v>46087.738668981481</v>
      </c>
      <c r="O844" s="119">
        <v>19002742779</v>
      </c>
      <c r="P844" s="116">
        <v>554</v>
      </c>
      <c r="Q844" s="116" t="s">
        <v>1131</v>
      </c>
      <c r="R844" s="116" t="s">
        <v>1075</v>
      </c>
      <c r="S844" s="116" t="s">
        <v>1066</v>
      </c>
      <c r="T844" s="116" t="s">
        <v>1066</v>
      </c>
      <c r="U844" s="116" t="s">
        <v>1066</v>
      </c>
      <c r="V844" s="116" t="s">
        <v>1066</v>
      </c>
      <c r="W844" s="116" t="s">
        <v>1066</v>
      </c>
      <c r="X844" s="116" t="s">
        <v>983</v>
      </c>
      <c r="Y844" s="116" t="s">
        <v>1066</v>
      </c>
      <c r="Z844" s="116" t="s">
        <v>1148</v>
      </c>
      <c r="AA844" s="116" t="s">
        <v>1067</v>
      </c>
      <c r="AB844" s="116" t="s">
        <v>1066</v>
      </c>
      <c r="AC844" s="116" t="s">
        <v>92</v>
      </c>
      <c r="AD844" s="116" t="s">
        <v>1066</v>
      </c>
      <c r="AE844" s="116" t="s">
        <v>1066</v>
      </c>
      <c r="AF844" s="116" t="s">
        <v>1066</v>
      </c>
      <c r="AG844" s="116" t="s">
        <v>1066</v>
      </c>
      <c r="AH844" s="116" t="s">
        <v>1066</v>
      </c>
      <c r="AI844" s="116" t="s">
        <v>785</v>
      </c>
      <c r="AJ844" s="116">
        <v>8706111</v>
      </c>
      <c r="AK844" s="116" t="s">
        <v>403</v>
      </c>
      <c r="AL844" s="116">
        <v>857140</v>
      </c>
      <c r="AM844" s="116" t="s">
        <v>1066</v>
      </c>
      <c r="AN844" s="116" t="s">
        <v>1066</v>
      </c>
    </row>
    <row r="845" spans="1:40" ht="55.5" customHeight="1" x14ac:dyDescent="0.25">
      <c r="A845" s="111" t="s">
        <v>4083</v>
      </c>
      <c r="B845" s="112">
        <v>2026</v>
      </c>
      <c r="C845" s="112" t="s">
        <v>4084</v>
      </c>
      <c r="D845" s="113">
        <v>46069.338495370372</v>
      </c>
      <c r="E845" s="112">
        <v>9000443025</v>
      </c>
      <c r="F845" s="112" t="s">
        <v>95</v>
      </c>
      <c r="G845" s="112">
        <v>2</v>
      </c>
      <c r="H845" s="112">
        <v>7900355025</v>
      </c>
      <c r="I845" s="112" t="s">
        <v>4085</v>
      </c>
      <c r="J845" s="112" t="s">
        <v>1157</v>
      </c>
      <c r="K845" s="112" t="s">
        <v>1417</v>
      </c>
      <c r="L845" s="112" t="s">
        <v>1084</v>
      </c>
      <c r="M845" s="112" t="s">
        <v>478</v>
      </c>
      <c r="N845" s="113">
        <v>46129.338495370372</v>
      </c>
      <c r="O845" s="114">
        <v>19000026424</v>
      </c>
      <c r="P845" s="112">
        <v>1.88</v>
      </c>
      <c r="Q845" s="112" t="s">
        <v>1131</v>
      </c>
      <c r="R845" s="112" t="s">
        <v>1063</v>
      </c>
      <c r="S845" s="113">
        <v>46078.729166666664</v>
      </c>
      <c r="T845" s="112" t="s">
        <v>4086</v>
      </c>
      <c r="U845" s="112" t="s">
        <v>1065</v>
      </c>
      <c r="V845" s="112" t="s">
        <v>1066</v>
      </c>
      <c r="W845" s="112" t="s">
        <v>1066</v>
      </c>
      <c r="X845" s="112" t="s">
        <v>983</v>
      </c>
      <c r="Y845" s="112" t="s">
        <v>1066</v>
      </c>
      <c r="Z845" s="112" t="s">
        <v>1133</v>
      </c>
      <c r="AA845" s="112" t="s">
        <v>1067</v>
      </c>
      <c r="AB845" s="112" t="s">
        <v>1066</v>
      </c>
      <c r="AC845" s="112" t="s">
        <v>92</v>
      </c>
      <c r="AD845" s="112" t="s">
        <v>1142</v>
      </c>
      <c r="AE845" s="112" t="s">
        <v>1066</v>
      </c>
      <c r="AF845" s="112" t="s">
        <v>1066</v>
      </c>
      <c r="AG845" s="112" t="s">
        <v>1066</v>
      </c>
      <c r="AH845" s="112" t="s">
        <v>1066</v>
      </c>
      <c r="AI845" s="112" t="s">
        <v>785</v>
      </c>
      <c r="AJ845" s="112">
        <v>9152936</v>
      </c>
      <c r="AK845" s="112" t="s">
        <v>93</v>
      </c>
      <c r="AL845" s="112">
        <v>714117</v>
      </c>
      <c r="AM845" s="112" t="s">
        <v>1066</v>
      </c>
      <c r="AN845" s="112" t="s">
        <v>1066</v>
      </c>
    </row>
    <row r="846" spans="1:40" ht="55.5" customHeight="1" x14ac:dyDescent="0.25">
      <c r="A846" s="111" t="s">
        <v>4087</v>
      </c>
      <c r="B846" s="112">
        <v>2026</v>
      </c>
      <c r="C846" s="112" t="s">
        <v>1057</v>
      </c>
      <c r="D846" s="113">
        <v>46125.614548611113</v>
      </c>
      <c r="E846" s="112">
        <v>7926789001</v>
      </c>
      <c r="F846" s="112" t="s">
        <v>200</v>
      </c>
      <c r="G846" s="112">
        <v>1</v>
      </c>
      <c r="H846" s="112">
        <v>7926789001</v>
      </c>
      <c r="I846" s="112" t="s">
        <v>4088</v>
      </c>
      <c r="J846" s="112" t="s">
        <v>1066</v>
      </c>
      <c r="K846" s="112" t="s">
        <v>1125</v>
      </c>
      <c r="L846" s="112" t="s">
        <v>1061</v>
      </c>
      <c r="M846" s="112" t="s">
        <v>478</v>
      </c>
      <c r="N846" s="113">
        <v>46525.614548611113</v>
      </c>
      <c r="O846" s="114">
        <v>19002208490</v>
      </c>
      <c r="P846" s="112">
        <v>0</v>
      </c>
      <c r="Q846" s="112" t="s">
        <v>1062</v>
      </c>
      <c r="R846" s="112" t="s">
        <v>1063</v>
      </c>
      <c r="S846" s="113">
        <v>46241.729861111111</v>
      </c>
      <c r="T846" s="112" t="s">
        <v>4089</v>
      </c>
      <c r="U846" s="112" t="s">
        <v>1065</v>
      </c>
      <c r="V846" s="112" t="s">
        <v>1066</v>
      </c>
      <c r="W846" s="112" t="s">
        <v>1066</v>
      </c>
      <c r="X846" s="112" t="s">
        <v>1066</v>
      </c>
      <c r="Y846" s="112" t="s">
        <v>1066</v>
      </c>
      <c r="Z846" s="112" t="s">
        <v>1066</v>
      </c>
      <c r="AA846" s="112" t="s">
        <v>1067</v>
      </c>
      <c r="AB846" s="112" t="s">
        <v>1066</v>
      </c>
      <c r="AC846" s="112" t="s">
        <v>92</v>
      </c>
      <c r="AD846" s="112" t="s">
        <v>1066</v>
      </c>
      <c r="AE846" s="112" t="s">
        <v>1066</v>
      </c>
      <c r="AF846" s="112" t="s">
        <v>1066</v>
      </c>
      <c r="AG846" s="112" t="s">
        <v>1066</v>
      </c>
      <c r="AH846" s="112" t="s">
        <v>1066</v>
      </c>
      <c r="AI846" s="112" t="s">
        <v>785</v>
      </c>
      <c r="AJ846" s="112">
        <v>8873020</v>
      </c>
      <c r="AK846" s="112" t="s">
        <v>50</v>
      </c>
      <c r="AL846" s="112">
        <v>753673</v>
      </c>
      <c r="AM846" s="112" t="s">
        <v>1066</v>
      </c>
      <c r="AN846" s="112" t="s">
        <v>1066</v>
      </c>
    </row>
    <row r="847" spans="1:40" ht="55.5" customHeight="1" x14ac:dyDescent="0.25">
      <c r="A847" s="111" t="s">
        <v>4090</v>
      </c>
      <c r="B847" s="112">
        <v>2026</v>
      </c>
      <c r="C847" s="112" t="s">
        <v>4091</v>
      </c>
      <c r="D847" s="113">
        <v>46134.712118055555</v>
      </c>
      <c r="E847" s="112">
        <v>7902099003</v>
      </c>
      <c r="F847" s="112" t="s">
        <v>2742</v>
      </c>
      <c r="G847" s="112">
        <v>1</v>
      </c>
      <c r="H847" s="112">
        <v>7902099003</v>
      </c>
      <c r="I847" s="112" t="s">
        <v>2743</v>
      </c>
      <c r="J847" s="112" t="s">
        <v>1071</v>
      </c>
      <c r="K847" s="112" t="s">
        <v>1247</v>
      </c>
      <c r="L847" s="112" t="s">
        <v>1073</v>
      </c>
      <c r="M847" s="112" t="s">
        <v>478</v>
      </c>
      <c r="N847" s="113">
        <v>46137.712118055555</v>
      </c>
      <c r="O847" s="114">
        <v>19002219987</v>
      </c>
      <c r="P847" s="112">
        <v>2.1819999999999999</v>
      </c>
      <c r="Q847" s="112" t="s">
        <v>1062</v>
      </c>
      <c r="R847" s="112" t="s">
        <v>1075</v>
      </c>
      <c r="S847" s="113">
        <v>46140.478703703702</v>
      </c>
      <c r="T847" s="112" t="s">
        <v>2744</v>
      </c>
      <c r="U847" s="112" t="s">
        <v>1065</v>
      </c>
      <c r="V847" s="112" t="s">
        <v>1066</v>
      </c>
      <c r="W847" s="112" t="s">
        <v>1066</v>
      </c>
      <c r="X847" s="112" t="s">
        <v>983</v>
      </c>
      <c r="Y847" s="112" t="s">
        <v>1066</v>
      </c>
      <c r="Z847" s="112" t="s">
        <v>1078</v>
      </c>
      <c r="AA847" s="112" t="s">
        <v>1067</v>
      </c>
      <c r="AB847" s="112" t="s">
        <v>1066</v>
      </c>
      <c r="AC847" s="112" t="s">
        <v>92</v>
      </c>
      <c r="AD847" s="112" t="s">
        <v>1066</v>
      </c>
      <c r="AE847" s="112" t="s">
        <v>1066</v>
      </c>
      <c r="AF847" s="112" t="s">
        <v>1066</v>
      </c>
      <c r="AG847" s="112" t="s">
        <v>1066</v>
      </c>
      <c r="AH847" s="112" t="s">
        <v>1066</v>
      </c>
      <c r="AI847" s="112" t="s">
        <v>785</v>
      </c>
      <c r="AJ847" s="112">
        <v>8702130</v>
      </c>
      <c r="AK847" s="112" t="s">
        <v>210</v>
      </c>
      <c r="AL847" s="112">
        <v>711822</v>
      </c>
      <c r="AM847" s="112" t="s">
        <v>1066</v>
      </c>
      <c r="AN847" s="112" t="s">
        <v>1066</v>
      </c>
    </row>
    <row r="848" spans="1:40" ht="55.5" customHeight="1" x14ac:dyDescent="0.25">
      <c r="A848" s="111" t="s">
        <v>4092</v>
      </c>
      <c r="B848" s="112">
        <v>2026</v>
      </c>
      <c r="C848" s="112" t="s">
        <v>1213</v>
      </c>
      <c r="D848" s="113">
        <v>46122.549942129626</v>
      </c>
      <c r="E848" s="112">
        <v>7925854127</v>
      </c>
      <c r="F848" s="112" t="s">
        <v>260</v>
      </c>
      <c r="G848" s="112">
        <v>3</v>
      </c>
      <c r="H848" s="112">
        <v>7925854127</v>
      </c>
      <c r="I848" s="112" t="s">
        <v>4093</v>
      </c>
      <c r="J848" s="112" t="s">
        <v>1066</v>
      </c>
      <c r="K848" s="112" t="s">
        <v>1125</v>
      </c>
      <c r="L848" s="112" t="s">
        <v>1061</v>
      </c>
      <c r="M848" s="112" t="s">
        <v>478</v>
      </c>
      <c r="N848" s="113">
        <v>46522.549942129626</v>
      </c>
      <c r="O848" s="114">
        <v>19002205600</v>
      </c>
      <c r="P848" s="112">
        <v>2.2759999999999998</v>
      </c>
      <c r="Q848" s="112" t="s">
        <v>1062</v>
      </c>
      <c r="R848" s="112" t="s">
        <v>1063</v>
      </c>
      <c r="S848" s="113">
        <v>46136.624305555553</v>
      </c>
      <c r="T848" s="112" t="s">
        <v>4094</v>
      </c>
      <c r="U848" s="112" t="s">
        <v>1065</v>
      </c>
      <c r="V848" s="112" t="s">
        <v>1066</v>
      </c>
      <c r="W848" s="112" t="s">
        <v>1066</v>
      </c>
      <c r="X848" s="112" t="s">
        <v>1066</v>
      </c>
      <c r="Y848" s="112" t="s">
        <v>1066</v>
      </c>
      <c r="Z848" s="112" t="s">
        <v>1066</v>
      </c>
      <c r="AA848" s="112" t="s">
        <v>1067</v>
      </c>
      <c r="AB848" s="112" t="s">
        <v>1066</v>
      </c>
      <c r="AC848" s="112" t="s">
        <v>92</v>
      </c>
      <c r="AD848" s="112" t="s">
        <v>1066</v>
      </c>
      <c r="AE848" s="112" t="s">
        <v>1066</v>
      </c>
      <c r="AF848" s="112" t="s">
        <v>1066</v>
      </c>
      <c r="AG848" s="112" t="s">
        <v>1066</v>
      </c>
      <c r="AH848" s="112" t="s">
        <v>1066</v>
      </c>
      <c r="AI848" s="112" t="s">
        <v>785</v>
      </c>
      <c r="AJ848" s="112">
        <v>9268461</v>
      </c>
      <c r="AK848" s="112" t="s">
        <v>258</v>
      </c>
      <c r="AL848" s="112">
        <v>882405</v>
      </c>
      <c r="AM848" s="112" t="s">
        <v>1066</v>
      </c>
      <c r="AN848" s="112" t="s">
        <v>1066</v>
      </c>
    </row>
    <row r="849" spans="1:40" ht="55.5" customHeight="1" x14ac:dyDescent="0.25">
      <c r="A849" s="111" t="s">
        <v>4095</v>
      </c>
      <c r="B849" s="112">
        <v>2026</v>
      </c>
      <c r="C849" s="112" t="s">
        <v>1057</v>
      </c>
      <c r="D849" s="113">
        <v>46125.614548611113</v>
      </c>
      <c r="E849" s="112">
        <v>7931608059</v>
      </c>
      <c r="F849" s="112" t="s">
        <v>75</v>
      </c>
      <c r="G849" s="112">
        <v>2</v>
      </c>
      <c r="H849" s="112">
        <v>7931608059</v>
      </c>
      <c r="I849" s="112" t="s">
        <v>4096</v>
      </c>
      <c r="J849" s="112" t="s">
        <v>1066</v>
      </c>
      <c r="K849" s="112" t="s">
        <v>1125</v>
      </c>
      <c r="L849" s="112" t="s">
        <v>1061</v>
      </c>
      <c r="M849" s="112" t="s">
        <v>478</v>
      </c>
      <c r="N849" s="113">
        <v>46525.614548611113</v>
      </c>
      <c r="O849" s="114">
        <v>19002208145</v>
      </c>
      <c r="P849" s="112">
        <v>0</v>
      </c>
      <c r="Q849" s="112" t="s">
        <v>1062</v>
      </c>
      <c r="R849" s="112" t="s">
        <v>1063</v>
      </c>
      <c r="S849" s="113">
        <v>46174.3125</v>
      </c>
      <c r="T849" s="112" t="s">
        <v>1307</v>
      </c>
      <c r="U849" s="112" t="s">
        <v>1065</v>
      </c>
      <c r="V849" s="112" t="s">
        <v>1066</v>
      </c>
      <c r="W849" s="112" t="s">
        <v>1066</v>
      </c>
      <c r="X849" s="112" t="s">
        <v>1066</v>
      </c>
      <c r="Y849" s="112" t="s">
        <v>1066</v>
      </c>
      <c r="Z849" s="112" t="s">
        <v>1066</v>
      </c>
      <c r="AA849" s="112" t="s">
        <v>1067</v>
      </c>
      <c r="AB849" s="112" t="s">
        <v>1066</v>
      </c>
      <c r="AC849" s="112" t="s">
        <v>92</v>
      </c>
      <c r="AD849" s="112" t="s">
        <v>1066</v>
      </c>
      <c r="AE849" s="112" t="s">
        <v>1066</v>
      </c>
      <c r="AF849" s="112" t="s">
        <v>1066</v>
      </c>
      <c r="AG849" s="112" t="s">
        <v>1066</v>
      </c>
      <c r="AH849" s="112" t="s">
        <v>1066</v>
      </c>
      <c r="AI849" s="112" t="s">
        <v>785</v>
      </c>
      <c r="AJ849" s="112">
        <v>8854562</v>
      </c>
      <c r="AK849" s="112" t="s">
        <v>264</v>
      </c>
      <c r="AL849" s="112">
        <v>796501</v>
      </c>
      <c r="AM849" s="112" t="s">
        <v>1066</v>
      </c>
      <c r="AN849" s="112" t="s">
        <v>1066</v>
      </c>
    </row>
    <row r="850" spans="1:40" ht="55.5" customHeight="1" x14ac:dyDescent="0.25">
      <c r="A850" s="111" t="s">
        <v>4097</v>
      </c>
      <c r="B850" s="112">
        <v>2026</v>
      </c>
      <c r="C850" s="112" t="s">
        <v>4098</v>
      </c>
      <c r="D850" s="113">
        <v>46056.603310185186</v>
      </c>
      <c r="E850" s="112">
        <v>9030429075</v>
      </c>
      <c r="F850" s="112" t="s">
        <v>1415</v>
      </c>
      <c r="G850" s="112">
        <v>3</v>
      </c>
      <c r="H850" s="112">
        <v>7955430075</v>
      </c>
      <c r="I850" s="112" t="s">
        <v>4099</v>
      </c>
      <c r="J850" s="112" t="s">
        <v>1157</v>
      </c>
      <c r="K850" s="112" t="s">
        <v>1417</v>
      </c>
      <c r="L850" s="112" t="s">
        <v>1084</v>
      </c>
      <c r="M850" s="112" t="s">
        <v>478</v>
      </c>
      <c r="N850" s="113">
        <v>46116.603310185186</v>
      </c>
      <c r="O850" s="114">
        <v>19002737837</v>
      </c>
      <c r="P850" s="112">
        <v>14</v>
      </c>
      <c r="Q850" s="112" t="s">
        <v>1131</v>
      </c>
      <c r="R850" s="112" t="s">
        <v>1085</v>
      </c>
      <c r="S850" s="113">
        <v>46087.726145833331</v>
      </c>
      <c r="T850" s="112" t="s">
        <v>4100</v>
      </c>
      <c r="U850" s="112" t="s">
        <v>1065</v>
      </c>
      <c r="V850" s="112" t="s">
        <v>1066</v>
      </c>
      <c r="W850" s="112" t="s">
        <v>1066</v>
      </c>
      <c r="X850" s="112" t="s">
        <v>983</v>
      </c>
      <c r="Y850" s="112" t="s">
        <v>1066</v>
      </c>
      <c r="Z850" s="112" t="s">
        <v>1133</v>
      </c>
      <c r="AA850" s="112" t="s">
        <v>1067</v>
      </c>
      <c r="AB850" s="112" t="s">
        <v>1066</v>
      </c>
      <c r="AC850" s="112" t="s">
        <v>92</v>
      </c>
      <c r="AD850" s="112" t="s">
        <v>1066</v>
      </c>
      <c r="AE850" s="112" t="s">
        <v>1066</v>
      </c>
      <c r="AF850" s="112" t="s">
        <v>1066</v>
      </c>
      <c r="AG850" s="112" t="s">
        <v>1066</v>
      </c>
      <c r="AH850" s="112" t="s">
        <v>1066</v>
      </c>
      <c r="AI850" s="112" t="s">
        <v>785</v>
      </c>
      <c r="AJ850" s="112">
        <v>8977629</v>
      </c>
      <c r="AK850" s="112" t="s">
        <v>590</v>
      </c>
      <c r="AL850" s="112">
        <v>736962</v>
      </c>
      <c r="AM850" s="112" t="s">
        <v>1066</v>
      </c>
      <c r="AN850" s="112" t="s">
        <v>1066</v>
      </c>
    </row>
    <row r="851" spans="1:40" ht="55.5" customHeight="1" x14ac:dyDescent="0.25">
      <c r="A851" s="111" t="s">
        <v>4101</v>
      </c>
      <c r="B851" s="112">
        <v>2026</v>
      </c>
      <c r="C851" s="112" t="s">
        <v>4102</v>
      </c>
      <c r="D851" s="113">
        <v>46097.379259259258</v>
      </c>
      <c r="E851" s="112">
        <v>9005318122</v>
      </c>
      <c r="F851" s="112" t="s">
        <v>412</v>
      </c>
      <c r="G851" s="112">
        <v>2</v>
      </c>
      <c r="H851" s="112">
        <v>7905318122</v>
      </c>
      <c r="I851" s="112" t="s">
        <v>3236</v>
      </c>
      <c r="J851" s="112" t="s">
        <v>1082</v>
      </c>
      <c r="K851" s="112" t="s">
        <v>1083</v>
      </c>
      <c r="L851" s="112" t="s">
        <v>1084</v>
      </c>
      <c r="M851" s="112" t="s">
        <v>478</v>
      </c>
      <c r="N851" s="113">
        <v>46157.379259259258</v>
      </c>
      <c r="O851" s="114">
        <v>19000092337</v>
      </c>
      <c r="P851" s="112">
        <v>3.42</v>
      </c>
      <c r="Q851" s="112" t="s">
        <v>1131</v>
      </c>
      <c r="R851" s="112" t="s">
        <v>1085</v>
      </c>
      <c r="S851" s="113">
        <v>46134.432638888888</v>
      </c>
      <c r="T851" s="112" t="s">
        <v>4103</v>
      </c>
      <c r="U851" s="112" t="s">
        <v>1065</v>
      </c>
      <c r="V851" s="112" t="s">
        <v>1066</v>
      </c>
      <c r="W851" s="112" t="s">
        <v>1066</v>
      </c>
      <c r="X851" s="112" t="s">
        <v>983</v>
      </c>
      <c r="Y851" s="112" t="s">
        <v>1066</v>
      </c>
      <c r="Z851" s="112" t="s">
        <v>1066</v>
      </c>
      <c r="AA851" s="112" t="s">
        <v>1067</v>
      </c>
      <c r="AB851" s="112" t="s">
        <v>1066</v>
      </c>
      <c r="AC851" s="112" t="s">
        <v>92</v>
      </c>
      <c r="AD851" s="112" t="s">
        <v>1142</v>
      </c>
      <c r="AE851" s="112" t="s">
        <v>1066</v>
      </c>
      <c r="AF851" s="112" t="s">
        <v>1066</v>
      </c>
      <c r="AG851" s="112" t="s">
        <v>1066</v>
      </c>
      <c r="AH851" s="112" t="s">
        <v>1066</v>
      </c>
      <c r="AI851" s="112" t="s">
        <v>785</v>
      </c>
      <c r="AJ851" s="112">
        <v>8875152</v>
      </c>
      <c r="AK851" s="112" t="s">
        <v>264</v>
      </c>
      <c r="AL851" s="112">
        <v>790695</v>
      </c>
      <c r="AM851" s="112" t="s">
        <v>1066</v>
      </c>
      <c r="AN851" s="112" t="s">
        <v>1066</v>
      </c>
    </row>
    <row r="852" spans="1:40" ht="55.5" customHeight="1" x14ac:dyDescent="0.25">
      <c r="A852" s="111" t="s">
        <v>648</v>
      </c>
      <c r="B852" s="112">
        <v>2026</v>
      </c>
      <c r="C852" s="112" t="s">
        <v>4104</v>
      </c>
      <c r="D852" s="113">
        <v>46223.896701388891</v>
      </c>
      <c r="E852" s="112">
        <v>7900259096</v>
      </c>
      <c r="F852" s="112" t="s">
        <v>136</v>
      </c>
      <c r="G852" s="112">
        <v>2</v>
      </c>
      <c r="H852" s="112">
        <v>7900259096</v>
      </c>
      <c r="I852" s="112" t="s">
        <v>4105</v>
      </c>
      <c r="J852" s="112" t="s">
        <v>1071</v>
      </c>
      <c r="K852" s="112" t="s">
        <v>1072</v>
      </c>
      <c r="L852" s="112" t="s">
        <v>1073</v>
      </c>
      <c r="M852" s="112" t="s">
        <v>478</v>
      </c>
      <c r="N852" s="113">
        <v>46226.896701388891</v>
      </c>
      <c r="O852" s="114">
        <v>19002223564</v>
      </c>
      <c r="P852" s="112">
        <v>2.1480000000000001</v>
      </c>
      <c r="Q852" s="112" t="s">
        <v>1062</v>
      </c>
      <c r="R852" s="112" t="s">
        <v>1075</v>
      </c>
      <c r="S852" s="113">
        <v>46232.674618055556</v>
      </c>
      <c r="T852" s="112" t="s">
        <v>4106</v>
      </c>
      <c r="U852" s="112" t="s">
        <v>1065</v>
      </c>
      <c r="V852" s="112" t="s">
        <v>1066</v>
      </c>
      <c r="W852" s="112" t="s">
        <v>1066</v>
      </c>
      <c r="X852" s="112" t="s">
        <v>983</v>
      </c>
      <c r="Y852" s="112" t="s">
        <v>1066</v>
      </c>
      <c r="Z852" s="112" t="s">
        <v>1078</v>
      </c>
      <c r="AA852" s="112" t="s">
        <v>1067</v>
      </c>
      <c r="AB852" s="112" t="s">
        <v>1066</v>
      </c>
      <c r="AC852" s="112" t="s">
        <v>92</v>
      </c>
      <c r="AD852" s="112" t="s">
        <v>1066</v>
      </c>
      <c r="AE852" s="112" t="s">
        <v>1066</v>
      </c>
      <c r="AF852" s="112" t="s">
        <v>1066</v>
      </c>
      <c r="AG852" s="112" t="s">
        <v>1066</v>
      </c>
      <c r="AH852" s="112" t="s">
        <v>1066</v>
      </c>
      <c r="AI852" s="112" t="s">
        <v>785</v>
      </c>
      <c r="AJ852" s="112">
        <v>8767197</v>
      </c>
      <c r="AK852" s="112" t="s">
        <v>310</v>
      </c>
      <c r="AL852" s="112">
        <v>874651</v>
      </c>
      <c r="AM852" s="112" t="s">
        <v>1066</v>
      </c>
      <c r="AN852" s="112" t="s">
        <v>1066</v>
      </c>
    </row>
    <row r="853" spans="1:40" ht="55.5" customHeight="1" x14ac:dyDescent="0.25">
      <c r="A853" s="111" t="s">
        <v>4107</v>
      </c>
      <c r="B853" s="112">
        <v>2026</v>
      </c>
      <c r="C853" s="112" t="s">
        <v>4108</v>
      </c>
      <c r="D853" s="113">
        <v>46204.016608796293</v>
      </c>
      <c r="E853" s="112" t="s">
        <v>4109</v>
      </c>
      <c r="F853" s="112" t="s">
        <v>4109</v>
      </c>
      <c r="G853" s="112">
        <v>1</v>
      </c>
      <c r="H853" s="112" t="s">
        <v>4110</v>
      </c>
      <c r="I853" s="112" t="s">
        <v>4111</v>
      </c>
      <c r="J853" s="112" t="s">
        <v>1071</v>
      </c>
      <c r="K853" s="112" t="s">
        <v>1145</v>
      </c>
      <c r="L853" s="112" t="s">
        <v>1073</v>
      </c>
      <c r="M853" s="112" t="s">
        <v>478</v>
      </c>
      <c r="N853" s="113">
        <v>46207.387638888889</v>
      </c>
      <c r="O853" s="114">
        <v>19001088612</v>
      </c>
      <c r="P853" s="112">
        <v>1.31</v>
      </c>
      <c r="Q853" s="112" t="s">
        <v>1262</v>
      </c>
      <c r="R853" s="112" t="s">
        <v>1263</v>
      </c>
      <c r="S853" s="113">
        <v>46218.397060185183</v>
      </c>
      <c r="T853" s="112" t="s">
        <v>4112</v>
      </c>
      <c r="U853" s="112" t="s">
        <v>1065</v>
      </c>
      <c r="V853" s="112" t="s">
        <v>1066</v>
      </c>
      <c r="W853" s="112" t="s">
        <v>1066</v>
      </c>
      <c r="X853" s="112" t="s">
        <v>1148</v>
      </c>
      <c r="Y853" s="112" t="s">
        <v>1066</v>
      </c>
      <c r="Z853" s="112" t="s">
        <v>4113</v>
      </c>
      <c r="AA853" s="112" t="s">
        <v>1067</v>
      </c>
      <c r="AB853" s="112" t="s">
        <v>1066</v>
      </c>
      <c r="AC853" s="112" t="s">
        <v>92</v>
      </c>
      <c r="AD853" s="112" t="s">
        <v>1142</v>
      </c>
      <c r="AE853" s="112" t="s">
        <v>1066</v>
      </c>
      <c r="AF853" s="112" t="s">
        <v>1066</v>
      </c>
      <c r="AG853" s="112" t="s">
        <v>1066</v>
      </c>
      <c r="AH853" s="112" t="s">
        <v>4114</v>
      </c>
      <c r="AI853" s="112" t="s">
        <v>785</v>
      </c>
      <c r="AJ853" s="112">
        <v>8613081</v>
      </c>
      <c r="AK853" s="112" t="s">
        <v>1787</v>
      </c>
      <c r="AL853" s="112">
        <v>616015</v>
      </c>
      <c r="AM853" s="112" t="s">
        <v>4115</v>
      </c>
      <c r="AN853" s="112" t="s">
        <v>1066</v>
      </c>
    </row>
    <row r="854" spans="1:40" ht="55.5" customHeight="1" x14ac:dyDescent="0.25">
      <c r="A854" s="120" t="s">
        <v>4116</v>
      </c>
      <c r="B854" s="121">
        <v>2026</v>
      </c>
      <c r="C854" s="121" t="s">
        <v>4117</v>
      </c>
      <c r="D854" s="122">
        <v>46029.326898148145</v>
      </c>
      <c r="E854" s="121" t="s">
        <v>1066</v>
      </c>
      <c r="F854" s="121" t="s">
        <v>200</v>
      </c>
      <c r="G854" s="121" t="s">
        <v>1066</v>
      </c>
      <c r="H854" s="121">
        <v>5862464001</v>
      </c>
      <c r="I854" s="121" t="s">
        <v>3997</v>
      </c>
      <c r="J854" s="121" t="s">
        <v>1092</v>
      </c>
      <c r="K854" s="121" t="s">
        <v>4118</v>
      </c>
      <c r="L854" s="121" t="s">
        <v>1073</v>
      </c>
      <c r="M854" s="121" t="s">
        <v>1116</v>
      </c>
      <c r="N854" s="122">
        <v>46032.641574074078</v>
      </c>
      <c r="O854" s="123">
        <v>19002806992</v>
      </c>
      <c r="P854" s="121">
        <v>0</v>
      </c>
      <c r="Q854" s="121" t="s">
        <v>1074</v>
      </c>
      <c r="R854" s="121" t="s">
        <v>1206</v>
      </c>
      <c r="S854" s="122">
        <v>46092.751180555555</v>
      </c>
      <c r="T854" s="121" t="s">
        <v>1066</v>
      </c>
      <c r="U854" s="121" t="s">
        <v>1066</v>
      </c>
      <c r="V854" s="121" t="s">
        <v>1066</v>
      </c>
      <c r="W854" s="121" t="s">
        <v>1066</v>
      </c>
      <c r="X854" s="121" t="s">
        <v>1726</v>
      </c>
      <c r="Y854" s="121" t="s">
        <v>1066</v>
      </c>
      <c r="Z854" s="121" t="s">
        <v>2311</v>
      </c>
      <c r="AA854" s="121" t="s">
        <v>1067</v>
      </c>
      <c r="AB854" s="121" t="s">
        <v>1066</v>
      </c>
      <c r="AC854" s="121" t="s">
        <v>92</v>
      </c>
      <c r="AD854" s="121" t="s">
        <v>1066</v>
      </c>
      <c r="AE854" s="121" t="s">
        <v>1066</v>
      </c>
      <c r="AF854" s="121" t="s">
        <v>1066</v>
      </c>
      <c r="AG854" s="121" t="s">
        <v>1066</v>
      </c>
      <c r="AH854" s="121" t="s">
        <v>4119</v>
      </c>
      <c r="AI854" s="121" t="s">
        <v>785</v>
      </c>
      <c r="AJ854" s="121">
        <v>8872566</v>
      </c>
      <c r="AK854" s="121" t="s">
        <v>50</v>
      </c>
      <c r="AL854" s="121">
        <v>763814</v>
      </c>
      <c r="AM854" s="121" t="s">
        <v>1066</v>
      </c>
      <c r="AN854" s="121" t="s">
        <v>1066</v>
      </c>
    </row>
    <row r="855" spans="1:40" ht="55.5" customHeight="1" x14ac:dyDescent="0.25">
      <c r="A855" s="111" t="s">
        <v>4120</v>
      </c>
      <c r="B855" s="112">
        <v>2026</v>
      </c>
      <c r="C855" s="112" t="s">
        <v>4121</v>
      </c>
      <c r="D855" s="113">
        <v>46212.661597222221</v>
      </c>
      <c r="E855" s="112">
        <v>8844800028</v>
      </c>
      <c r="F855" s="112" t="s">
        <v>43</v>
      </c>
      <c r="G855" s="112">
        <v>2</v>
      </c>
      <c r="H855" s="112">
        <v>5848305116</v>
      </c>
      <c r="I855" s="112" t="s">
        <v>3617</v>
      </c>
      <c r="J855" s="112" t="s">
        <v>1059</v>
      </c>
      <c r="K855" s="112" t="s">
        <v>1060</v>
      </c>
      <c r="L855" s="112" t="s">
        <v>1061</v>
      </c>
      <c r="M855" s="112" t="s">
        <v>478</v>
      </c>
      <c r="N855" s="113">
        <v>46612.661597222221</v>
      </c>
      <c r="O855" s="114">
        <v>19002706614</v>
      </c>
      <c r="P855" s="112">
        <v>113</v>
      </c>
      <c r="Q855" s="112" t="s">
        <v>1074</v>
      </c>
      <c r="R855" s="112" t="s">
        <v>1063</v>
      </c>
      <c r="S855" s="113">
        <v>46224.729583333334</v>
      </c>
      <c r="T855" s="112" t="s">
        <v>4122</v>
      </c>
      <c r="U855" s="112" t="s">
        <v>1065</v>
      </c>
      <c r="V855" s="112" t="s">
        <v>1066</v>
      </c>
      <c r="W855" s="112" t="s">
        <v>1066</v>
      </c>
      <c r="X855" s="112" t="s">
        <v>1066</v>
      </c>
      <c r="Y855" s="112" t="s">
        <v>1066</v>
      </c>
      <c r="Z855" s="112" t="s">
        <v>1066</v>
      </c>
      <c r="AA855" s="112" t="s">
        <v>1067</v>
      </c>
      <c r="AB855" s="112" t="s">
        <v>1066</v>
      </c>
      <c r="AC855" s="112" t="s">
        <v>92</v>
      </c>
      <c r="AD855" s="112" t="s">
        <v>1066</v>
      </c>
      <c r="AE855" s="112" t="s">
        <v>1066</v>
      </c>
      <c r="AF855" s="112" t="s">
        <v>1066</v>
      </c>
      <c r="AG855" s="112" t="s">
        <v>1066</v>
      </c>
      <c r="AH855" s="112" t="s">
        <v>1066</v>
      </c>
      <c r="AI855" s="112" t="s">
        <v>785</v>
      </c>
      <c r="AJ855" s="112">
        <v>8711981</v>
      </c>
      <c r="AK855" s="112" t="s">
        <v>403</v>
      </c>
      <c r="AL855" s="112">
        <v>861016</v>
      </c>
      <c r="AM855" s="112" t="s">
        <v>1066</v>
      </c>
      <c r="AN855" s="112" t="s">
        <v>1066</v>
      </c>
    </row>
    <row r="856" spans="1:40" ht="55.5" customHeight="1" x14ac:dyDescent="0.25">
      <c r="A856" s="111" t="s">
        <v>4123</v>
      </c>
      <c r="B856" s="112">
        <v>2026</v>
      </c>
      <c r="C856" s="112" t="s">
        <v>1089</v>
      </c>
      <c r="D856" s="113">
        <v>46028.41065972222</v>
      </c>
      <c r="E856" s="112">
        <v>7900453110</v>
      </c>
      <c r="F856" s="112" t="s">
        <v>186</v>
      </c>
      <c r="G856" s="112">
        <v>2</v>
      </c>
      <c r="H856" s="112">
        <v>7900453110</v>
      </c>
      <c r="I856" s="112" t="s">
        <v>4124</v>
      </c>
      <c r="J856" s="112" t="s">
        <v>1092</v>
      </c>
      <c r="K856" s="112" t="s">
        <v>1093</v>
      </c>
      <c r="L856" s="112" t="s">
        <v>1061</v>
      </c>
      <c r="M856" s="112" t="s">
        <v>478</v>
      </c>
      <c r="N856" s="113">
        <v>46428.41065972222</v>
      </c>
      <c r="O856" s="114">
        <v>19002295968</v>
      </c>
      <c r="P856" s="112">
        <v>0</v>
      </c>
      <c r="Q856" s="112" t="s">
        <v>1062</v>
      </c>
      <c r="R856" s="112" t="s">
        <v>1063</v>
      </c>
      <c r="S856" s="113">
        <v>46211.729421296295</v>
      </c>
      <c r="T856" s="112" t="s">
        <v>4125</v>
      </c>
      <c r="U856" s="112" t="s">
        <v>1065</v>
      </c>
      <c r="V856" s="112" t="s">
        <v>1066</v>
      </c>
      <c r="W856" s="112" t="s">
        <v>1066</v>
      </c>
      <c r="X856" s="112" t="s">
        <v>1066</v>
      </c>
      <c r="Y856" s="112" t="s">
        <v>1066</v>
      </c>
      <c r="Z856" s="112" t="s">
        <v>1066</v>
      </c>
      <c r="AA856" s="112" t="s">
        <v>1067</v>
      </c>
      <c r="AB856" s="112" t="s">
        <v>1066</v>
      </c>
      <c r="AC856" s="112" t="s">
        <v>92</v>
      </c>
      <c r="AD856" s="112" t="s">
        <v>1066</v>
      </c>
      <c r="AE856" s="112" t="s">
        <v>1066</v>
      </c>
      <c r="AF856" s="112" t="s">
        <v>1066</v>
      </c>
      <c r="AG856" s="112" t="s">
        <v>1066</v>
      </c>
      <c r="AH856" s="112" t="s">
        <v>1066</v>
      </c>
      <c r="AI856" s="112" t="s">
        <v>785</v>
      </c>
      <c r="AJ856" s="112">
        <v>8773164</v>
      </c>
      <c r="AK856" s="112" t="s">
        <v>185</v>
      </c>
      <c r="AL856" s="112">
        <v>727212</v>
      </c>
      <c r="AM856" s="112" t="s">
        <v>1066</v>
      </c>
      <c r="AN856" s="112" t="s">
        <v>1066</v>
      </c>
    </row>
    <row r="857" spans="1:40" ht="55.5" customHeight="1" x14ac:dyDescent="0.25">
      <c r="A857" s="111" t="s">
        <v>4126</v>
      </c>
      <c r="B857" s="112">
        <v>2026</v>
      </c>
      <c r="C857" s="112" t="s">
        <v>4127</v>
      </c>
      <c r="D857" s="113">
        <v>46076.539409722223</v>
      </c>
      <c r="E857" s="112">
        <v>7925733015</v>
      </c>
      <c r="F857" s="112" t="s">
        <v>418</v>
      </c>
      <c r="G857" s="112">
        <v>3</v>
      </c>
      <c r="H857" s="112">
        <v>7925733015</v>
      </c>
      <c r="I857" s="112" t="s">
        <v>2739</v>
      </c>
      <c r="J857" s="112" t="s">
        <v>1071</v>
      </c>
      <c r="K857" s="112" t="s">
        <v>1918</v>
      </c>
      <c r="L857" s="112" t="s">
        <v>1073</v>
      </c>
      <c r="M857" s="112" t="s">
        <v>478</v>
      </c>
      <c r="N857" s="113">
        <v>46079.539409722223</v>
      </c>
      <c r="O857" s="114">
        <v>19002260336</v>
      </c>
      <c r="P857" s="112">
        <v>365</v>
      </c>
      <c r="Q857" s="112" t="s">
        <v>1062</v>
      </c>
      <c r="R857" s="112" t="s">
        <v>1075</v>
      </c>
      <c r="S857" s="113">
        <v>46090.424305555556</v>
      </c>
      <c r="T857" s="112" t="s">
        <v>4128</v>
      </c>
      <c r="U857" s="112" t="s">
        <v>1065</v>
      </c>
      <c r="V857" s="112" t="s">
        <v>1066</v>
      </c>
      <c r="W857" s="112" t="s">
        <v>1066</v>
      </c>
      <c r="X857" s="112" t="s">
        <v>1117</v>
      </c>
      <c r="Y857" s="112" t="s">
        <v>1066</v>
      </c>
      <c r="Z857" s="112" t="s">
        <v>1652</v>
      </c>
      <c r="AA857" s="112" t="s">
        <v>1067</v>
      </c>
      <c r="AB857" s="112" t="s">
        <v>1066</v>
      </c>
      <c r="AC857" s="112" t="s">
        <v>92</v>
      </c>
      <c r="AD857" s="112" t="s">
        <v>1066</v>
      </c>
      <c r="AE857" s="112" t="s">
        <v>1066</v>
      </c>
      <c r="AF857" s="112" t="s">
        <v>1066</v>
      </c>
      <c r="AG857" s="112" t="s">
        <v>1066</v>
      </c>
      <c r="AH857" s="112" t="s">
        <v>1066</v>
      </c>
      <c r="AI857" s="112" t="s">
        <v>785</v>
      </c>
      <c r="AJ857" s="112">
        <v>8984037</v>
      </c>
      <c r="AK857" s="112" t="s">
        <v>288</v>
      </c>
      <c r="AL857" s="112">
        <v>813445</v>
      </c>
      <c r="AM857" s="112" t="s">
        <v>1066</v>
      </c>
      <c r="AN857" s="112" t="s">
        <v>1066</v>
      </c>
    </row>
    <row r="858" spans="1:40" ht="55.5" customHeight="1" x14ac:dyDescent="0.25">
      <c r="A858" s="120" t="s">
        <v>4129</v>
      </c>
      <c r="B858" s="121">
        <v>2026</v>
      </c>
      <c r="C858" s="121" t="s">
        <v>1210</v>
      </c>
      <c r="D858" s="122">
        <v>46114.608900462961</v>
      </c>
      <c r="E858" s="121">
        <v>7925899022</v>
      </c>
      <c r="F858" s="121" t="s">
        <v>79</v>
      </c>
      <c r="G858" s="121">
        <v>2</v>
      </c>
      <c r="H858" s="121">
        <v>7925899022</v>
      </c>
      <c r="I858" s="121" t="s">
        <v>4130</v>
      </c>
      <c r="J858" s="121" t="s">
        <v>1066</v>
      </c>
      <c r="K858" s="121" t="s">
        <v>1125</v>
      </c>
      <c r="L858" s="121" t="s">
        <v>1061</v>
      </c>
      <c r="M858" s="121" t="s">
        <v>1116</v>
      </c>
      <c r="N858" s="122">
        <v>46514.608900462961</v>
      </c>
      <c r="O858" s="123">
        <v>19002205282</v>
      </c>
      <c r="P858" s="121">
        <v>1.881</v>
      </c>
      <c r="Q858" s="121" t="s">
        <v>1062</v>
      </c>
      <c r="R858" s="121" t="s">
        <v>1063</v>
      </c>
      <c r="S858" s="122">
        <v>46199.408634259256</v>
      </c>
      <c r="T858" s="121" t="s">
        <v>1066</v>
      </c>
      <c r="U858" s="121" t="s">
        <v>1066</v>
      </c>
      <c r="V858" s="121" t="s">
        <v>1066</v>
      </c>
      <c r="W858" s="121" t="s">
        <v>1066</v>
      </c>
      <c r="X858" s="121" t="s">
        <v>1066</v>
      </c>
      <c r="Y858" s="121" t="s">
        <v>1066</v>
      </c>
      <c r="Z858" s="121" t="s">
        <v>1066</v>
      </c>
      <c r="AA858" s="121" t="s">
        <v>1067</v>
      </c>
      <c r="AB858" s="121" t="s">
        <v>1066</v>
      </c>
      <c r="AC858" s="121" t="s">
        <v>92</v>
      </c>
      <c r="AD858" s="121" t="s">
        <v>1066</v>
      </c>
      <c r="AE858" s="121" t="s">
        <v>1066</v>
      </c>
      <c r="AF858" s="121" t="s">
        <v>1066</v>
      </c>
      <c r="AG858" s="121" t="s">
        <v>1066</v>
      </c>
      <c r="AH858" s="121" t="s">
        <v>1066</v>
      </c>
      <c r="AI858" s="121" t="s">
        <v>785</v>
      </c>
      <c r="AJ858" s="121">
        <v>9201071</v>
      </c>
      <c r="AK858" s="121" t="s">
        <v>125</v>
      </c>
      <c r="AL858" s="121">
        <v>843853</v>
      </c>
      <c r="AM858" s="121" t="s">
        <v>1066</v>
      </c>
      <c r="AN858" s="121" t="s">
        <v>1066</v>
      </c>
    </row>
    <row r="859" spans="1:40" ht="55.5" customHeight="1" x14ac:dyDescent="0.25">
      <c r="A859" s="111" t="s">
        <v>4131</v>
      </c>
      <c r="B859" s="112">
        <v>2026</v>
      </c>
      <c r="C859" s="112" t="s">
        <v>1213</v>
      </c>
      <c r="D859" s="113">
        <v>46122.549942129626</v>
      </c>
      <c r="E859" s="112">
        <v>7934655004</v>
      </c>
      <c r="F859" s="112" t="s">
        <v>1499</v>
      </c>
      <c r="G859" s="112">
        <v>1</v>
      </c>
      <c r="H859" s="112">
        <v>7934655004</v>
      </c>
      <c r="I859" s="112" t="s">
        <v>4132</v>
      </c>
      <c r="J859" s="112" t="s">
        <v>1066</v>
      </c>
      <c r="K859" s="112" t="s">
        <v>1125</v>
      </c>
      <c r="L859" s="112" t="s">
        <v>1061</v>
      </c>
      <c r="M859" s="112" t="s">
        <v>478</v>
      </c>
      <c r="N859" s="113">
        <v>46522.549942129626</v>
      </c>
      <c r="O859" s="114">
        <v>19002207616</v>
      </c>
      <c r="P859" s="112">
        <v>0</v>
      </c>
      <c r="Q859" s="112" t="s">
        <v>1062</v>
      </c>
      <c r="R859" s="112" t="s">
        <v>1063</v>
      </c>
      <c r="S859" s="113">
        <v>46125.729166666664</v>
      </c>
      <c r="T859" s="112" t="s">
        <v>4133</v>
      </c>
      <c r="U859" s="112" t="s">
        <v>1065</v>
      </c>
      <c r="V859" s="112" t="s">
        <v>1066</v>
      </c>
      <c r="W859" s="112" t="s">
        <v>1066</v>
      </c>
      <c r="X859" s="112" t="s">
        <v>1066</v>
      </c>
      <c r="Y859" s="112" t="s">
        <v>1066</v>
      </c>
      <c r="Z859" s="112" t="s">
        <v>1066</v>
      </c>
      <c r="AA859" s="112" t="s">
        <v>1067</v>
      </c>
      <c r="AB859" s="112" t="s">
        <v>1066</v>
      </c>
      <c r="AC859" s="112" t="s">
        <v>92</v>
      </c>
      <c r="AD859" s="112" t="s">
        <v>1066</v>
      </c>
      <c r="AE859" s="112" t="s">
        <v>1066</v>
      </c>
      <c r="AF859" s="112" t="s">
        <v>1066</v>
      </c>
      <c r="AG859" s="112" t="s">
        <v>1066</v>
      </c>
      <c r="AH859" s="112" t="s">
        <v>1066</v>
      </c>
      <c r="AI859" s="112" t="s">
        <v>785</v>
      </c>
      <c r="AJ859" s="112">
        <v>9195848</v>
      </c>
      <c r="AK859" s="112" t="s">
        <v>69</v>
      </c>
      <c r="AL859" s="112">
        <v>802221</v>
      </c>
      <c r="AM859" s="112" t="s">
        <v>1066</v>
      </c>
      <c r="AN859" s="112" t="s">
        <v>1066</v>
      </c>
    </row>
    <row r="860" spans="1:40" ht="55.5" customHeight="1" x14ac:dyDescent="0.25">
      <c r="A860" s="120" t="s">
        <v>4134</v>
      </c>
      <c r="B860" s="121">
        <v>2026</v>
      </c>
      <c r="C860" s="121" t="s">
        <v>4135</v>
      </c>
      <c r="D860" s="122">
        <v>46058.825300925928</v>
      </c>
      <c r="E860" s="121">
        <v>300056005</v>
      </c>
      <c r="F860" s="121" t="s">
        <v>3371</v>
      </c>
      <c r="G860" s="121">
        <v>3</v>
      </c>
      <c r="H860" s="121">
        <v>7956117005</v>
      </c>
      <c r="I860" s="121" t="s">
        <v>3372</v>
      </c>
      <c r="J860" s="121" t="s">
        <v>1071</v>
      </c>
      <c r="K860" s="121" t="s">
        <v>1171</v>
      </c>
      <c r="L860" s="121" t="s">
        <v>1073</v>
      </c>
      <c r="M860" s="121" t="s">
        <v>1116</v>
      </c>
      <c r="N860" s="122">
        <v>46061.825300925928</v>
      </c>
      <c r="O860" s="123">
        <v>19002744453</v>
      </c>
      <c r="P860" s="121">
        <v>178</v>
      </c>
      <c r="Q860" s="121" t="s">
        <v>1131</v>
      </c>
      <c r="R860" s="121" t="s">
        <v>1075</v>
      </c>
      <c r="S860" s="122">
        <v>46075.629108796296</v>
      </c>
      <c r="T860" s="121" t="s">
        <v>1066</v>
      </c>
      <c r="U860" s="121" t="s">
        <v>1066</v>
      </c>
      <c r="V860" s="121" t="s">
        <v>1066</v>
      </c>
      <c r="W860" s="121" t="s">
        <v>1066</v>
      </c>
      <c r="X860" s="121" t="s">
        <v>1117</v>
      </c>
      <c r="Y860" s="121" t="s">
        <v>1066</v>
      </c>
      <c r="Z860" s="121" t="s">
        <v>1174</v>
      </c>
      <c r="AA860" s="121" t="s">
        <v>1067</v>
      </c>
      <c r="AB860" s="121" t="s">
        <v>1066</v>
      </c>
      <c r="AC860" s="121" t="s">
        <v>92</v>
      </c>
      <c r="AD860" s="121" t="s">
        <v>1066</v>
      </c>
      <c r="AE860" s="121" t="s">
        <v>1066</v>
      </c>
      <c r="AF860" s="121" t="s">
        <v>1066</v>
      </c>
      <c r="AG860" s="121" t="s">
        <v>1066</v>
      </c>
      <c r="AH860" s="121" t="s">
        <v>1066</v>
      </c>
      <c r="AI860" s="121" t="s">
        <v>785</v>
      </c>
      <c r="AJ860" s="121">
        <v>8569276</v>
      </c>
      <c r="AK860" s="121" t="s">
        <v>695</v>
      </c>
      <c r="AL860" s="121">
        <v>939067</v>
      </c>
      <c r="AM860" s="121" t="s">
        <v>1066</v>
      </c>
      <c r="AN860" s="121" t="s">
        <v>1066</v>
      </c>
    </row>
    <row r="861" spans="1:40" ht="55.5" customHeight="1" x14ac:dyDescent="0.25">
      <c r="A861" s="111" t="s">
        <v>4136</v>
      </c>
      <c r="B861" s="112">
        <v>2026</v>
      </c>
      <c r="C861" s="112" t="s">
        <v>4137</v>
      </c>
      <c r="D861" s="113">
        <v>45995.63386574074</v>
      </c>
      <c r="E861" s="112">
        <v>7926078046</v>
      </c>
      <c r="F861" s="112" t="s">
        <v>1219</v>
      </c>
      <c r="G861" s="112">
        <v>3</v>
      </c>
      <c r="H861" s="112">
        <v>7926078046</v>
      </c>
      <c r="I861" s="112" t="s">
        <v>1220</v>
      </c>
      <c r="J861" s="112" t="s">
        <v>1157</v>
      </c>
      <c r="K861" s="112" t="s">
        <v>1158</v>
      </c>
      <c r="L861" s="112" t="s">
        <v>1084</v>
      </c>
      <c r="M861" s="112" t="s">
        <v>478</v>
      </c>
      <c r="N861" s="113">
        <v>46210.582650462966</v>
      </c>
      <c r="O861" s="114">
        <v>19002206318</v>
      </c>
      <c r="P861" s="112">
        <v>219</v>
      </c>
      <c r="Q861" s="112" t="s">
        <v>1062</v>
      </c>
      <c r="R861" s="112" t="s">
        <v>1198</v>
      </c>
      <c r="S861" s="113">
        <v>46167.730671296296</v>
      </c>
      <c r="T861" s="112" t="s">
        <v>3837</v>
      </c>
      <c r="U861" s="112" t="s">
        <v>1065</v>
      </c>
      <c r="V861" s="112" t="s">
        <v>1066</v>
      </c>
      <c r="W861" s="112" t="s">
        <v>1066</v>
      </c>
      <c r="X861" s="112" t="s">
        <v>1117</v>
      </c>
      <c r="Y861" s="112" t="s">
        <v>1066</v>
      </c>
      <c r="Z861" s="112" t="s">
        <v>1532</v>
      </c>
      <c r="AA861" s="112" t="s">
        <v>1067</v>
      </c>
      <c r="AB861" s="112" t="s">
        <v>1066</v>
      </c>
      <c r="AC861" s="112" t="s">
        <v>92</v>
      </c>
      <c r="AD861" s="112" t="s">
        <v>1066</v>
      </c>
      <c r="AE861" s="112" t="s">
        <v>1066</v>
      </c>
      <c r="AF861" s="112" t="s">
        <v>1066</v>
      </c>
      <c r="AG861" s="112" t="s">
        <v>1066</v>
      </c>
      <c r="AH861" s="112" t="s">
        <v>2274</v>
      </c>
      <c r="AI861" s="112" t="s">
        <v>785</v>
      </c>
      <c r="AJ861" s="112">
        <v>8822512</v>
      </c>
      <c r="AK861" s="112" t="s">
        <v>1221</v>
      </c>
      <c r="AL861" s="112">
        <v>728423</v>
      </c>
      <c r="AM861" s="112" t="s">
        <v>1066</v>
      </c>
      <c r="AN861" s="112" t="s">
        <v>1066</v>
      </c>
    </row>
    <row r="862" spans="1:40" ht="55.5" customHeight="1" x14ac:dyDescent="0.25">
      <c r="A862" s="124" t="s">
        <v>4138</v>
      </c>
      <c r="B862" s="125">
        <v>2026</v>
      </c>
      <c r="C862" s="125" t="s">
        <v>4139</v>
      </c>
      <c r="D862" s="126">
        <v>46168.671319444446</v>
      </c>
      <c r="E862" s="125">
        <v>8863987038</v>
      </c>
      <c r="F862" s="125" t="s">
        <v>674</v>
      </c>
      <c r="G862" s="125">
        <v>3</v>
      </c>
      <c r="H862" s="125">
        <v>7963511038</v>
      </c>
      <c r="I862" s="125" t="s">
        <v>4140</v>
      </c>
      <c r="J862" s="125" t="s">
        <v>1066</v>
      </c>
      <c r="K862" s="125" t="s">
        <v>4141</v>
      </c>
      <c r="L862" s="125" t="s">
        <v>1084</v>
      </c>
      <c r="M862" s="125" t="s">
        <v>510</v>
      </c>
      <c r="N862" s="126">
        <v>46258.623078703706</v>
      </c>
      <c r="O862" s="127">
        <v>19002829222</v>
      </c>
      <c r="P862" s="125">
        <v>1</v>
      </c>
      <c r="Q862" s="125" t="s">
        <v>1131</v>
      </c>
      <c r="R862" s="125" t="s">
        <v>3297</v>
      </c>
      <c r="S862" s="125" t="s">
        <v>1066</v>
      </c>
      <c r="T862" s="125" t="s">
        <v>4142</v>
      </c>
      <c r="U862" s="125" t="s">
        <v>1147</v>
      </c>
      <c r="V862" s="125" t="s">
        <v>1066</v>
      </c>
      <c r="W862" s="125" t="s">
        <v>1066</v>
      </c>
      <c r="X862" s="125" t="s">
        <v>983</v>
      </c>
      <c r="Y862" s="125" t="s">
        <v>1066</v>
      </c>
      <c r="Z862" s="125" t="s">
        <v>1148</v>
      </c>
      <c r="AA862" s="125" t="s">
        <v>1067</v>
      </c>
      <c r="AB862" s="125" t="s">
        <v>1066</v>
      </c>
      <c r="AC862" s="125" t="s">
        <v>92</v>
      </c>
      <c r="AD862" s="125" t="s">
        <v>1066</v>
      </c>
      <c r="AE862" s="125" t="s">
        <v>1066</v>
      </c>
      <c r="AF862" s="125" t="s">
        <v>1066</v>
      </c>
      <c r="AG862" s="125" t="s">
        <v>1066</v>
      </c>
      <c r="AH862" s="125" t="s">
        <v>4143</v>
      </c>
      <c r="AI862" s="125" t="s">
        <v>785</v>
      </c>
      <c r="AJ862" s="125">
        <v>8625232</v>
      </c>
      <c r="AK862" s="125" t="s">
        <v>627</v>
      </c>
      <c r="AL862" s="125">
        <v>988215</v>
      </c>
      <c r="AM862" s="125" t="s">
        <v>1066</v>
      </c>
      <c r="AN862" s="125" t="s">
        <v>1066</v>
      </c>
    </row>
    <row r="863" spans="1:40" ht="55.5" customHeight="1" x14ac:dyDescent="0.25">
      <c r="A863" s="111" t="s">
        <v>4144</v>
      </c>
      <c r="B863" s="112">
        <v>2026</v>
      </c>
      <c r="C863" s="112" t="s">
        <v>1089</v>
      </c>
      <c r="D863" s="113">
        <v>46028.453888888886</v>
      </c>
      <c r="E863" s="112">
        <v>7908705049</v>
      </c>
      <c r="F863" s="112" t="s">
        <v>65</v>
      </c>
      <c r="G863" s="112">
        <v>1</v>
      </c>
      <c r="H863" s="112">
        <v>7908705049</v>
      </c>
      <c r="I863" s="112" t="s">
        <v>4145</v>
      </c>
      <c r="J863" s="112" t="s">
        <v>1092</v>
      </c>
      <c r="K863" s="112" t="s">
        <v>1093</v>
      </c>
      <c r="L863" s="112" t="s">
        <v>1061</v>
      </c>
      <c r="M863" s="112" t="s">
        <v>478</v>
      </c>
      <c r="N863" s="113">
        <v>46428.453888888886</v>
      </c>
      <c r="O863" s="114">
        <v>19002225722</v>
      </c>
      <c r="P863" s="112">
        <v>1.3580000000000001</v>
      </c>
      <c r="Q863" s="112" t="s">
        <v>1062</v>
      </c>
      <c r="R863" s="112" t="s">
        <v>1063</v>
      </c>
      <c r="S863" s="113">
        <v>46051.462500000001</v>
      </c>
      <c r="T863" s="112" t="s">
        <v>4146</v>
      </c>
      <c r="U863" s="112" t="s">
        <v>1065</v>
      </c>
      <c r="V863" s="112" t="s">
        <v>1066</v>
      </c>
      <c r="W863" s="112" t="s">
        <v>1066</v>
      </c>
      <c r="X863" s="112" t="s">
        <v>1066</v>
      </c>
      <c r="Y863" s="112" t="s">
        <v>1066</v>
      </c>
      <c r="Z863" s="112" t="s">
        <v>1066</v>
      </c>
      <c r="AA863" s="112" t="s">
        <v>1067</v>
      </c>
      <c r="AB863" s="112" t="s">
        <v>1066</v>
      </c>
      <c r="AC863" s="112" t="s">
        <v>92</v>
      </c>
      <c r="AD863" s="112" t="s">
        <v>1066</v>
      </c>
      <c r="AE863" s="112" t="s">
        <v>1066</v>
      </c>
      <c r="AF863" s="112" t="s">
        <v>1066</v>
      </c>
      <c r="AG863" s="112" t="s">
        <v>1066</v>
      </c>
      <c r="AH863" s="112" t="s">
        <v>1066</v>
      </c>
      <c r="AI863" s="112" t="s">
        <v>785</v>
      </c>
      <c r="AJ863" s="112">
        <v>8589651</v>
      </c>
      <c r="AK863" s="112" t="s">
        <v>64</v>
      </c>
      <c r="AL863" s="112">
        <v>998978</v>
      </c>
      <c r="AM863" s="112" t="s">
        <v>1066</v>
      </c>
      <c r="AN863" s="112" t="s">
        <v>1066</v>
      </c>
    </row>
    <row r="864" spans="1:40" ht="55.5" customHeight="1" x14ac:dyDescent="0.25">
      <c r="A864" s="124" t="s">
        <v>4147</v>
      </c>
      <c r="B864" s="125">
        <v>2026</v>
      </c>
      <c r="C864" s="125" t="s">
        <v>1210</v>
      </c>
      <c r="D864" s="126">
        <v>46114.608900462961</v>
      </c>
      <c r="E864" s="125">
        <v>7941306005</v>
      </c>
      <c r="F864" s="125" t="s">
        <v>4148</v>
      </c>
      <c r="G864" s="125">
        <v>1</v>
      </c>
      <c r="H864" s="125">
        <v>7941306005</v>
      </c>
      <c r="I864" s="125" t="s">
        <v>4149</v>
      </c>
      <c r="J864" s="125" t="s">
        <v>1066</v>
      </c>
      <c r="K864" s="125" t="s">
        <v>1125</v>
      </c>
      <c r="L864" s="125" t="s">
        <v>1061</v>
      </c>
      <c r="M864" s="125" t="s">
        <v>510</v>
      </c>
      <c r="N864" s="126">
        <v>46514.608900462961</v>
      </c>
      <c r="O864" s="127">
        <v>19002260771</v>
      </c>
      <c r="P864" s="125">
        <v>377</v>
      </c>
      <c r="Q864" s="125" t="s">
        <v>1062</v>
      </c>
      <c r="R864" s="125" t="s">
        <v>1063</v>
      </c>
      <c r="S864" s="125" t="s">
        <v>1066</v>
      </c>
      <c r="T864" s="125" t="s">
        <v>4150</v>
      </c>
      <c r="U864" s="125" t="s">
        <v>1559</v>
      </c>
      <c r="V864" s="125" t="s">
        <v>1066</v>
      </c>
      <c r="W864" s="125" t="s">
        <v>1066</v>
      </c>
      <c r="X864" s="125" t="s">
        <v>1066</v>
      </c>
      <c r="Y864" s="125" t="s">
        <v>1066</v>
      </c>
      <c r="Z864" s="125" t="s">
        <v>1066</v>
      </c>
      <c r="AA864" s="125" t="s">
        <v>1067</v>
      </c>
      <c r="AB864" s="125" t="s">
        <v>1066</v>
      </c>
      <c r="AC864" s="125" t="s">
        <v>92</v>
      </c>
      <c r="AD864" s="125" t="s">
        <v>1066</v>
      </c>
      <c r="AE864" s="125" t="s">
        <v>1066</v>
      </c>
      <c r="AF864" s="125" t="s">
        <v>1066</v>
      </c>
      <c r="AG864" s="125" t="s">
        <v>1066</v>
      </c>
      <c r="AH864" s="125" t="s">
        <v>1066</v>
      </c>
      <c r="AI864" s="125" t="s">
        <v>785</v>
      </c>
      <c r="AJ864" s="125">
        <v>8576235</v>
      </c>
      <c r="AK864" s="125" t="s">
        <v>695</v>
      </c>
      <c r="AL864" s="125">
        <v>959506</v>
      </c>
      <c r="AM864" s="125" t="s">
        <v>1066</v>
      </c>
      <c r="AN864" s="125" t="s">
        <v>1066</v>
      </c>
    </row>
    <row r="865" spans="1:40" ht="55.5" customHeight="1" x14ac:dyDescent="0.25">
      <c r="A865" s="111" t="s">
        <v>4151</v>
      </c>
      <c r="B865" s="112">
        <v>2026</v>
      </c>
      <c r="C865" s="112" t="s">
        <v>4152</v>
      </c>
      <c r="D865" s="113">
        <v>46098.208506944444</v>
      </c>
      <c r="E865" s="112" t="s">
        <v>4153</v>
      </c>
      <c r="F865" s="112" t="s">
        <v>4153</v>
      </c>
      <c r="G865" s="112">
        <v>1</v>
      </c>
      <c r="H865" s="112" t="s">
        <v>4154</v>
      </c>
      <c r="I865" s="112" t="s">
        <v>4155</v>
      </c>
      <c r="J865" s="112" t="s">
        <v>1071</v>
      </c>
      <c r="K865" s="112" t="s">
        <v>1171</v>
      </c>
      <c r="L865" s="112" t="s">
        <v>1073</v>
      </c>
      <c r="M865" s="112" t="s">
        <v>478</v>
      </c>
      <c r="N865" s="113">
        <v>46101.654594907406</v>
      </c>
      <c r="O865" s="114">
        <v>19000622600</v>
      </c>
      <c r="P865" s="112">
        <v>1.7969999999999999</v>
      </c>
      <c r="Q865" s="112" t="s">
        <v>1262</v>
      </c>
      <c r="R865" s="112" t="s">
        <v>1263</v>
      </c>
      <c r="S865" s="113">
        <v>46114.726990740739</v>
      </c>
      <c r="T865" s="112" t="s">
        <v>4156</v>
      </c>
      <c r="U865" s="112" t="s">
        <v>1065</v>
      </c>
      <c r="V865" s="112" t="s">
        <v>1066</v>
      </c>
      <c r="W865" s="112" t="s">
        <v>1066</v>
      </c>
      <c r="X865" s="112" t="s">
        <v>1318</v>
      </c>
      <c r="Y865" s="112" t="s">
        <v>1066</v>
      </c>
      <c r="Z865" s="112" t="s">
        <v>1133</v>
      </c>
      <c r="AA865" s="112" t="s">
        <v>1067</v>
      </c>
      <c r="AB865" s="112" t="s">
        <v>1066</v>
      </c>
      <c r="AC865" s="112" t="s">
        <v>92</v>
      </c>
      <c r="AD865" s="112" t="s">
        <v>1142</v>
      </c>
      <c r="AE865" s="112" t="s">
        <v>1066</v>
      </c>
      <c r="AF865" s="112" t="s">
        <v>1066</v>
      </c>
      <c r="AG865" s="112" t="s">
        <v>1066</v>
      </c>
      <c r="AH865" s="112" t="s">
        <v>4157</v>
      </c>
      <c r="AI865" s="112" t="s">
        <v>785</v>
      </c>
      <c r="AJ865" s="112">
        <v>9187041</v>
      </c>
      <c r="AK865" s="112" t="s">
        <v>1181</v>
      </c>
      <c r="AL865" s="112">
        <v>886098</v>
      </c>
      <c r="AM865" s="112" t="s">
        <v>4158</v>
      </c>
      <c r="AN865" s="112" t="s">
        <v>1066</v>
      </c>
    </row>
    <row r="866" spans="1:40" ht="55.5" customHeight="1" x14ac:dyDescent="0.25">
      <c r="A866" s="111" t="s">
        <v>4159</v>
      </c>
      <c r="B866" s="112">
        <v>2026</v>
      </c>
      <c r="C866" s="112" t="s">
        <v>4160</v>
      </c>
      <c r="D866" s="113">
        <v>46111.615659722222</v>
      </c>
      <c r="E866" s="112">
        <v>9002539094</v>
      </c>
      <c r="F866" s="112" t="s">
        <v>249</v>
      </c>
      <c r="G866" s="112">
        <v>3</v>
      </c>
      <c r="H866" s="112">
        <v>7940275094</v>
      </c>
      <c r="I866" s="112" t="s">
        <v>4161</v>
      </c>
      <c r="J866" s="112" t="s">
        <v>1071</v>
      </c>
      <c r="K866" s="112" t="s">
        <v>1681</v>
      </c>
      <c r="L866" s="112" t="s">
        <v>1073</v>
      </c>
      <c r="M866" s="112" t="s">
        <v>478</v>
      </c>
      <c r="N866" s="113">
        <v>46114.623611111114</v>
      </c>
      <c r="O866" s="114">
        <v>19001319204</v>
      </c>
      <c r="P866" s="112">
        <v>147</v>
      </c>
      <c r="Q866" s="112" t="s">
        <v>1131</v>
      </c>
      <c r="R866" s="112" t="s">
        <v>1075</v>
      </c>
      <c r="S866" s="113">
        <v>46136.48337962963</v>
      </c>
      <c r="T866" s="112" t="s">
        <v>4162</v>
      </c>
      <c r="U866" s="112" t="s">
        <v>1065</v>
      </c>
      <c r="V866" s="112" t="s">
        <v>1066</v>
      </c>
      <c r="W866" s="112" t="s">
        <v>1066</v>
      </c>
      <c r="X866" s="112" t="s">
        <v>983</v>
      </c>
      <c r="Y866" s="112" t="s">
        <v>1066</v>
      </c>
      <c r="Z866" s="112" t="s">
        <v>1066</v>
      </c>
      <c r="AA866" s="112" t="s">
        <v>1067</v>
      </c>
      <c r="AB866" s="112" t="s">
        <v>1066</v>
      </c>
      <c r="AC866" s="112" t="s">
        <v>92</v>
      </c>
      <c r="AD866" s="112" t="s">
        <v>1142</v>
      </c>
      <c r="AE866" s="112" t="s">
        <v>1066</v>
      </c>
      <c r="AF866" s="112" t="s">
        <v>1066</v>
      </c>
      <c r="AG866" s="112" t="s">
        <v>1066</v>
      </c>
      <c r="AH866" s="112" t="s">
        <v>4163</v>
      </c>
      <c r="AI866" s="112" t="s">
        <v>785</v>
      </c>
      <c r="AJ866" s="112">
        <v>8660647</v>
      </c>
      <c r="AK866" s="112" t="s">
        <v>224</v>
      </c>
      <c r="AL866" s="112">
        <v>747565</v>
      </c>
      <c r="AM866" s="112" t="s">
        <v>1066</v>
      </c>
      <c r="AN866" s="112" t="s">
        <v>1066</v>
      </c>
    </row>
    <row r="867" spans="1:40" ht="55.5" customHeight="1" x14ac:dyDescent="0.25">
      <c r="A867" s="111" t="s">
        <v>4164</v>
      </c>
      <c r="B867" s="112">
        <v>2026</v>
      </c>
      <c r="C867" s="112" t="s">
        <v>1089</v>
      </c>
      <c r="D867" s="113">
        <v>46028.41065972222</v>
      </c>
      <c r="E867" s="112">
        <v>7931104059</v>
      </c>
      <c r="F867" s="112" t="s">
        <v>3352</v>
      </c>
      <c r="G867" s="112">
        <v>3</v>
      </c>
      <c r="H867" s="112">
        <v>7931104059</v>
      </c>
      <c r="I867" s="112" t="s">
        <v>4165</v>
      </c>
      <c r="J867" s="112" t="s">
        <v>1092</v>
      </c>
      <c r="K867" s="112" t="s">
        <v>1093</v>
      </c>
      <c r="L867" s="112" t="s">
        <v>1061</v>
      </c>
      <c r="M867" s="112" t="s">
        <v>478</v>
      </c>
      <c r="N867" s="113">
        <v>46428.41065972222</v>
      </c>
      <c r="O867" s="114">
        <v>19002202967</v>
      </c>
      <c r="P867" s="112">
        <v>0</v>
      </c>
      <c r="Q867" s="112" t="s">
        <v>1062</v>
      </c>
      <c r="R867" s="112" t="s">
        <v>1063</v>
      </c>
      <c r="S867" s="113">
        <v>46038.454062500001</v>
      </c>
      <c r="T867" s="112" t="s">
        <v>4166</v>
      </c>
      <c r="U867" s="112" t="s">
        <v>1065</v>
      </c>
      <c r="V867" s="112" t="s">
        <v>1066</v>
      </c>
      <c r="W867" s="112" t="s">
        <v>1066</v>
      </c>
      <c r="X867" s="112" t="s">
        <v>1066</v>
      </c>
      <c r="Y867" s="112" t="s">
        <v>1066</v>
      </c>
      <c r="Z867" s="112" t="s">
        <v>1066</v>
      </c>
      <c r="AA867" s="112" t="s">
        <v>1067</v>
      </c>
      <c r="AB867" s="112" t="s">
        <v>1066</v>
      </c>
      <c r="AC867" s="112" t="s">
        <v>92</v>
      </c>
      <c r="AD867" s="112" t="s">
        <v>1066</v>
      </c>
      <c r="AE867" s="112" t="s">
        <v>1066</v>
      </c>
      <c r="AF867" s="112" t="s">
        <v>1066</v>
      </c>
      <c r="AG867" s="112" t="s">
        <v>1066</v>
      </c>
      <c r="AH867" s="112" t="s">
        <v>1066</v>
      </c>
      <c r="AI867" s="112" t="s">
        <v>785</v>
      </c>
      <c r="AJ867" s="112">
        <v>8859730</v>
      </c>
      <c r="AK867" s="112" t="s">
        <v>264</v>
      </c>
      <c r="AL867" s="112">
        <v>795210</v>
      </c>
      <c r="AM867" s="112" t="s">
        <v>1066</v>
      </c>
      <c r="AN867" s="112" t="s">
        <v>1066</v>
      </c>
    </row>
    <row r="868" spans="1:40" ht="55.5" customHeight="1" x14ac:dyDescent="0.25">
      <c r="A868" s="111" t="s">
        <v>4167</v>
      </c>
      <c r="B868" s="112">
        <v>2026</v>
      </c>
      <c r="C868" s="112" t="s">
        <v>4168</v>
      </c>
      <c r="D868" s="113">
        <v>46071.771122685182</v>
      </c>
      <c r="E868" s="112">
        <v>9001891013</v>
      </c>
      <c r="F868" s="112" t="s">
        <v>229</v>
      </c>
      <c r="G868" s="112">
        <v>1</v>
      </c>
      <c r="H868" s="112">
        <v>5801866013</v>
      </c>
      <c r="I868" s="112" t="s">
        <v>1725</v>
      </c>
      <c r="J868" s="112" t="s">
        <v>1071</v>
      </c>
      <c r="K868" s="112" t="s">
        <v>1619</v>
      </c>
      <c r="L868" s="112" t="s">
        <v>1073</v>
      </c>
      <c r="M868" s="112" t="s">
        <v>478</v>
      </c>
      <c r="N868" s="113">
        <v>46074.771122685182</v>
      </c>
      <c r="O868" s="114">
        <v>19002614888</v>
      </c>
      <c r="P868" s="112">
        <v>665</v>
      </c>
      <c r="Q868" s="112" t="s">
        <v>1074</v>
      </c>
      <c r="R868" s="112" t="s">
        <v>1263</v>
      </c>
      <c r="S868" s="113">
        <v>46083.721400462964</v>
      </c>
      <c r="T868" s="112" t="s">
        <v>4169</v>
      </c>
      <c r="U868" s="112" t="s">
        <v>1065</v>
      </c>
      <c r="V868" s="112" t="s">
        <v>1066</v>
      </c>
      <c r="W868" s="112" t="s">
        <v>1066</v>
      </c>
      <c r="X868" s="112" t="s">
        <v>1077</v>
      </c>
      <c r="Y868" s="112" t="s">
        <v>1066</v>
      </c>
      <c r="Z868" s="112" t="s">
        <v>2311</v>
      </c>
      <c r="AA868" s="112" t="s">
        <v>1067</v>
      </c>
      <c r="AB868" s="112" t="s">
        <v>1066</v>
      </c>
      <c r="AC868" s="112" t="s">
        <v>92</v>
      </c>
      <c r="AD868" s="112" t="s">
        <v>1066</v>
      </c>
      <c r="AE868" s="112" t="s">
        <v>1066</v>
      </c>
      <c r="AF868" s="112" t="s">
        <v>1066</v>
      </c>
      <c r="AG868" s="112" t="s">
        <v>1066</v>
      </c>
      <c r="AH868" s="112" t="s">
        <v>1066</v>
      </c>
      <c r="AI868" s="112" t="s">
        <v>785</v>
      </c>
      <c r="AJ868" s="112">
        <v>8870961</v>
      </c>
      <c r="AK868" s="112" t="s">
        <v>117</v>
      </c>
      <c r="AL868" s="112">
        <v>733022</v>
      </c>
      <c r="AM868" s="112" t="s">
        <v>1066</v>
      </c>
      <c r="AN868" s="112" t="s">
        <v>1066</v>
      </c>
    </row>
    <row r="869" spans="1:40" ht="55.5" customHeight="1" x14ac:dyDescent="0.25">
      <c r="A869" s="111" t="s">
        <v>4170</v>
      </c>
      <c r="B869" s="112">
        <v>2026</v>
      </c>
      <c r="C869" s="112" t="s">
        <v>4171</v>
      </c>
      <c r="D869" s="113">
        <v>46090.706597222219</v>
      </c>
      <c r="E869" s="112" t="s">
        <v>1066</v>
      </c>
      <c r="F869" s="112" t="s">
        <v>1654</v>
      </c>
      <c r="G869" s="112" t="s">
        <v>1066</v>
      </c>
      <c r="H869" s="112">
        <v>5800366016</v>
      </c>
      <c r="I869" s="112" t="s">
        <v>2957</v>
      </c>
      <c r="J869" s="112" t="s">
        <v>1071</v>
      </c>
      <c r="K869" s="112" t="s">
        <v>1115</v>
      </c>
      <c r="L869" s="112" t="s">
        <v>1073</v>
      </c>
      <c r="M869" s="112" t="s">
        <v>478</v>
      </c>
      <c r="N869" s="113">
        <v>46143.408518518518</v>
      </c>
      <c r="O869" s="114">
        <v>19002682934</v>
      </c>
      <c r="P869" s="112">
        <v>0</v>
      </c>
      <c r="Q869" s="112" t="s">
        <v>1074</v>
      </c>
      <c r="R869" s="112" t="s">
        <v>1075</v>
      </c>
      <c r="S869" s="113">
        <v>46148.586111111108</v>
      </c>
      <c r="T869" s="112" t="s">
        <v>4172</v>
      </c>
      <c r="U869" s="112" t="s">
        <v>1065</v>
      </c>
      <c r="V869" s="112" t="s">
        <v>1066</v>
      </c>
      <c r="W869" s="112" t="s">
        <v>1066</v>
      </c>
      <c r="X869" s="112" t="s">
        <v>1726</v>
      </c>
      <c r="Y869" s="112" t="s">
        <v>1066</v>
      </c>
      <c r="Z869" s="112" t="s">
        <v>1479</v>
      </c>
      <c r="AA869" s="112" t="s">
        <v>1067</v>
      </c>
      <c r="AB869" s="112" t="s">
        <v>1066</v>
      </c>
      <c r="AC869" s="112" t="s">
        <v>92</v>
      </c>
      <c r="AD869" s="112" t="s">
        <v>1066</v>
      </c>
      <c r="AE869" s="112" t="s">
        <v>1066</v>
      </c>
      <c r="AF869" s="112" t="s">
        <v>1066</v>
      </c>
      <c r="AG869" s="112" t="s">
        <v>1066</v>
      </c>
      <c r="AH869" s="112" t="s">
        <v>4047</v>
      </c>
      <c r="AI869" s="112" t="s">
        <v>785</v>
      </c>
      <c r="AJ869" s="112">
        <v>9241712</v>
      </c>
      <c r="AK869" s="112" t="s">
        <v>537</v>
      </c>
      <c r="AL869" s="112">
        <v>834683</v>
      </c>
      <c r="AM869" s="112" t="s">
        <v>1066</v>
      </c>
      <c r="AN869" s="112" t="s">
        <v>1066</v>
      </c>
    </row>
    <row r="870" spans="1:40" ht="55.5" customHeight="1" x14ac:dyDescent="0.25">
      <c r="A870" s="111" t="s">
        <v>4173</v>
      </c>
      <c r="B870" s="112">
        <v>2026</v>
      </c>
      <c r="C870" s="112" t="s">
        <v>4174</v>
      </c>
      <c r="D870" s="113">
        <v>46060.910925925928</v>
      </c>
      <c r="E870" s="112">
        <v>9000758045</v>
      </c>
      <c r="F870" s="112" t="s">
        <v>4175</v>
      </c>
      <c r="G870" s="112">
        <v>2</v>
      </c>
      <c r="H870" s="112">
        <v>7900759045</v>
      </c>
      <c r="I870" s="112" t="s">
        <v>4176</v>
      </c>
      <c r="J870" s="112" t="s">
        <v>1071</v>
      </c>
      <c r="K870" s="112" t="s">
        <v>1130</v>
      </c>
      <c r="L870" s="112" t="s">
        <v>1073</v>
      </c>
      <c r="M870" s="112" t="s">
        <v>478</v>
      </c>
      <c r="N870" s="113">
        <v>46063.910925925928</v>
      </c>
      <c r="O870" s="114">
        <v>19000136393</v>
      </c>
      <c r="P870" s="112">
        <v>2.0459999999999998</v>
      </c>
      <c r="Q870" s="112" t="s">
        <v>1131</v>
      </c>
      <c r="R870" s="112" t="s">
        <v>1063</v>
      </c>
      <c r="S870" s="113">
        <v>46079.448611111111</v>
      </c>
      <c r="T870" s="112" t="s">
        <v>4177</v>
      </c>
      <c r="U870" s="112" t="s">
        <v>1065</v>
      </c>
      <c r="V870" s="112" t="s">
        <v>1066</v>
      </c>
      <c r="W870" s="112" t="s">
        <v>1066</v>
      </c>
      <c r="X870" s="112" t="s">
        <v>4178</v>
      </c>
      <c r="Y870" s="112" t="s">
        <v>1066</v>
      </c>
      <c r="Z870" s="112" t="s">
        <v>1133</v>
      </c>
      <c r="AA870" s="112" t="s">
        <v>1067</v>
      </c>
      <c r="AB870" s="112" t="s">
        <v>1066</v>
      </c>
      <c r="AC870" s="112" t="s">
        <v>92</v>
      </c>
      <c r="AD870" s="112" t="s">
        <v>1142</v>
      </c>
      <c r="AE870" s="112" t="s">
        <v>1066</v>
      </c>
      <c r="AF870" s="112" t="s">
        <v>1066</v>
      </c>
      <c r="AG870" s="112" t="s">
        <v>1066</v>
      </c>
      <c r="AH870" s="112" t="s">
        <v>1066</v>
      </c>
      <c r="AI870" s="112" t="s">
        <v>785</v>
      </c>
      <c r="AJ870" s="112">
        <v>9399270</v>
      </c>
      <c r="AK870" s="112" t="s">
        <v>58</v>
      </c>
      <c r="AL870" s="112">
        <v>847713</v>
      </c>
      <c r="AM870" s="112" t="s">
        <v>1066</v>
      </c>
      <c r="AN870" s="112" t="s">
        <v>1066</v>
      </c>
    </row>
    <row r="871" spans="1:40" ht="55.5" customHeight="1" x14ac:dyDescent="0.25">
      <c r="A871" s="111" t="s">
        <v>4179</v>
      </c>
      <c r="B871" s="112">
        <v>2026</v>
      </c>
      <c r="C871" s="112" t="s">
        <v>1057</v>
      </c>
      <c r="D871" s="113">
        <v>46122.378541666665</v>
      </c>
      <c r="E871" s="112">
        <v>7934680004</v>
      </c>
      <c r="F871" s="112" t="s">
        <v>1644</v>
      </c>
      <c r="G871" s="112">
        <v>1</v>
      </c>
      <c r="H871" s="112">
        <v>7934680004</v>
      </c>
      <c r="I871" s="112" t="s">
        <v>4180</v>
      </c>
      <c r="J871" s="112" t="s">
        <v>1059</v>
      </c>
      <c r="K871" s="112" t="s">
        <v>1060</v>
      </c>
      <c r="L871" s="112" t="s">
        <v>1061</v>
      </c>
      <c r="M871" s="112" t="s">
        <v>478</v>
      </c>
      <c r="N871" s="113">
        <v>46522.378541666665</v>
      </c>
      <c r="O871" s="114">
        <v>19002207752</v>
      </c>
      <c r="P871" s="112">
        <v>816</v>
      </c>
      <c r="Q871" s="112" t="s">
        <v>1062</v>
      </c>
      <c r="R871" s="112" t="s">
        <v>1063</v>
      </c>
      <c r="S871" s="113">
        <v>46132.510393518518</v>
      </c>
      <c r="T871" s="112" t="s">
        <v>4181</v>
      </c>
      <c r="U871" s="112" t="s">
        <v>1065</v>
      </c>
      <c r="V871" s="112" t="s">
        <v>1066</v>
      </c>
      <c r="W871" s="112" t="s">
        <v>1066</v>
      </c>
      <c r="X871" s="112" t="s">
        <v>1066</v>
      </c>
      <c r="Y871" s="112" t="s">
        <v>1066</v>
      </c>
      <c r="Z871" s="112" t="s">
        <v>1066</v>
      </c>
      <c r="AA871" s="112" t="s">
        <v>1067</v>
      </c>
      <c r="AB871" s="112" t="s">
        <v>1066</v>
      </c>
      <c r="AC871" s="112" t="s">
        <v>92</v>
      </c>
      <c r="AD871" s="112" t="s">
        <v>1066</v>
      </c>
      <c r="AE871" s="112" t="s">
        <v>1066</v>
      </c>
      <c r="AF871" s="112" t="s">
        <v>1066</v>
      </c>
      <c r="AG871" s="112" t="s">
        <v>1066</v>
      </c>
      <c r="AH871" s="112" t="s">
        <v>1066</v>
      </c>
      <c r="AI871" s="112" t="s">
        <v>785</v>
      </c>
      <c r="AJ871" s="112">
        <v>9199594</v>
      </c>
      <c r="AK871" s="112" t="s">
        <v>69</v>
      </c>
      <c r="AL871" s="112">
        <v>803327</v>
      </c>
      <c r="AM871" s="112" t="s">
        <v>1066</v>
      </c>
      <c r="AN871" s="112" t="s">
        <v>1066</v>
      </c>
    </row>
    <row r="872" spans="1:40" ht="55.5" customHeight="1" x14ac:dyDescent="0.25">
      <c r="A872" s="111" t="s">
        <v>4182</v>
      </c>
      <c r="B872" s="112">
        <v>2026</v>
      </c>
      <c r="C872" s="112" t="s">
        <v>4183</v>
      </c>
      <c r="D872" s="113">
        <v>46138.617407407408</v>
      </c>
      <c r="E872" s="112">
        <v>355152004</v>
      </c>
      <c r="F872" s="112" t="s">
        <v>254</v>
      </c>
      <c r="G872" s="112">
        <v>3</v>
      </c>
      <c r="H872" s="112">
        <v>7955211004</v>
      </c>
      <c r="I872" s="112" t="s">
        <v>4184</v>
      </c>
      <c r="J872" s="112" t="s">
        <v>1071</v>
      </c>
      <c r="K872" s="112" t="s">
        <v>1145</v>
      </c>
      <c r="L872" s="112" t="s">
        <v>1073</v>
      </c>
      <c r="M872" s="112" t="s">
        <v>478</v>
      </c>
      <c r="N872" s="113">
        <v>46141.617407407408</v>
      </c>
      <c r="O872" s="114">
        <v>19002738029</v>
      </c>
      <c r="P872" s="112">
        <v>0</v>
      </c>
      <c r="Q872" s="112" t="s">
        <v>1131</v>
      </c>
      <c r="R872" s="112" t="s">
        <v>1075</v>
      </c>
      <c r="S872" s="113">
        <v>46146.729166666664</v>
      </c>
      <c r="T872" s="112" t="s">
        <v>4185</v>
      </c>
      <c r="U872" s="112" t="s">
        <v>1065</v>
      </c>
      <c r="V872" s="112" t="s">
        <v>1066</v>
      </c>
      <c r="W872" s="112" t="s">
        <v>1066</v>
      </c>
      <c r="X872" s="112" t="s">
        <v>983</v>
      </c>
      <c r="Y872" s="112" t="s">
        <v>1066</v>
      </c>
      <c r="Z872" s="112" t="s">
        <v>1148</v>
      </c>
      <c r="AA872" s="112" t="s">
        <v>1067</v>
      </c>
      <c r="AB872" s="112" t="s">
        <v>1066</v>
      </c>
      <c r="AC872" s="112" t="s">
        <v>92</v>
      </c>
      <c r="AD872" s="112" t="s">
        <v>1066</v>
      </c>
      <c r="AE872" s="112" t="s">
        <v>1066</v>
      </c>
      <c r="AF872" s="112" t="s">
        <v>1066</v>
      </c>
      <c r="AG872" s="112" t="s">
        <v>1066</v>
      </c>
      <c r="AH872" s="112" t="s">
        <v>1066</v>
      </c>
      <c r="AI872" s="112" t="s">
        <v>785</v>
      </c>
      <c r="AJ872" s="112">
        <v>9173959</v>
      </c>
      <c r="AK872" s="112" t="s">
        <v>69</v>
      </c>
      <c r="AL872" s="112">
        <v>789687</v>
      </c>
      <c r="AM872" s="112" t="s">
        <v>1066</v>
      </c>
      <c r="AN872" s="112" t="s">
        <v>1066</v>
      </c>
    </row>
    <row r="873" spans="1:40" ht="55.5" customHeight="1" x14ac:dyDescent="0.25">
      <c r="A873" s="111" t="s">
        <v>4186</v>
      </c>
      <c r="B873" s="112">
        <v>2026</v>
      </c>
      <c r="C873" s="112" t="s">
        <v>4187</v>
      </c>
      <c r="D873" s="113">
        <v>46128.69734953704</v>
      </c>
      <c r="E873" s="112">
        <v>9000298092</v>
      </c>
      <c r="F873" s="112" t="s">
        <v>1090</v>
      </c>
      <c r="G873" s="112">
        <v>2</v>
      </c>
      <c r="H873" s="112">
        <v>7907536092</v>
      </c>
      <c r="I873" s="112" t="s">
        <v>4188</v>
      </c>
      <c r="J873" s="112" t="s">
        <v>1071</v>
      </c>
      <c r="K873" s="112" t="s">
        <v>1408</v>
      </c>
      <c r="L873" s="112" t="s">
        <v>1073</v>
      </c>
      <c r="M873" s="112" t="s">
        <v>478</v>
      </c>
      <c r="N873" s="113">
        <v>46131.69734953704</v>
      </c>
      <c r="O873" s="114">
        <v>19001191219</v>
      </c>
      <c r="P873" s="112">
        <v>2.0390000000000001</v>
      </c>
      <c r="Q873" s="112" t="s">
        <v>1131</v>
      </c>
      <c r="R873" s="112" t="s">
        <v>1075</v>
      </c>
      <c r="S873" s="113">
        <v>46189.47997685185</v>
      </c>
      <c r="T873" s="112" t="s">
        <v>4189</v>
      </c>
      <c r="U873" s="112" t="s">
        <v>1065</v>
      </c>
      <c r="V873" s="112" t="s">
        <v>1066</v>
      </c>
      <c r="W873" s="112" t="s">
        <v>1066</v>
      </c>
      <c r="X873" s="112" t="s">
        <v>1173</v>
      </c>
      <c r="Y873" s="112" t="s">
        <v>1066</v>
      </c>
      <c r="Z873" s="112" t="s">
        <v>1174</v>
      </c>
      <c r="AA873" s="112" t="s">
        <v>1067</v>
      </c>
      <c r="AB873" s="112" t="s">
        <v>1066</v>
      </c>
      <c r="AC873" s="112" t="s">
        <v>92</v>
      </c>
      <c r="AD873" s="112" t="s">
        <v>1142</v>
      </c>
      <c r="AE873" s="112" t="s">
        <v>1066</v>
      </c>
      <c r="AF873" s="112" t="s">
        <v>1066</v>
      </c>
      <c r="AG873" s="112" t="s">
        <v>1066</v>
      </c>
      <c r="AH873" s="112" t="s">
        <v>1066</v>
      </c>
      <c r="AI873" s="112" t="s">
        <v>785</v>
      </c>
      <c r="AJ873" s="112">
        <v>8893683</v>
      </c>
      <c r="AK873" s="112" t="s">
        <v>1095</v>
      </c>
      <c r="AL873" s="112">
        <v>856523</v>
      </c>
      <c r="AM873" s="112" t="s">
        <v>1066</v>
      </c>
      <c r="AN873" s="112" t="s">
        <v>1066</v>
      </c>
    </row>
    <row r="874" spans="1:40" ht="55.5" customHeight="1" x14ac:dyDescent="0.25">
      <c r="A874" s="124" t="s">
        <v>4190</v>
      </c>
      <c r="B874" s="125">
        <v>2026</v>
      </c>
      <c r="C874" s="125" t="s">
        <v>1449</v>
      </c>
      <c r="D874" s="126">
        <v>46244.660034722219</v>
      </c>
      <c r="E874" s="125">
        <v>7951972003</v>
      </c>
      <c r="F874" s="125" t="s">
        <v>249</v>
      </c>
      <c r="G874" s="125">
        <v>1</v>
      </c>
      <c r="H874" s="125">
        <v>7951972003</v>
      </c>
      <c r="I874" s="125" t="s">
        <v>4191</v>
      </c>
      <c r="J874" s="125" t="s">
        <v>1066</v>
      </c>
      <c r="K874" s="125" t="s">
        <v>1125</v>
      </c>
      <c r="L874" s="125" t="s">
        <v>1061</v>
      </c>
      <c r="M874" s="125" t="s">
        <v>510</v>
      </c>
      <c r="N874" s="126">
        <v>46644.660034722219</v>
      </c>
      <c r="O874" s="127">
        <v>19002678721</v>
      </c>
      <c r="P874" s="125">
        <v>1.9219999999999999</v>
      </c>
      <c r="Q874" s="125" t="s">
        <v>1062</v>
      </c>
      <c r="R874" s="125" t="s">
        <v>1063</v>
      </c>
      <c r="S874" s="125" t="s">
        <v>1066</v>
      </c>
      <c r="T874" s="125" t="s">
        <v>4192</v>
      </c>
      <c r="U874" s="125" t="s">
        <v>1147</v>
      </c>
      <c r="V874" s="125" t="s">
        <v>1066</v>
      </c>
      <c r="W874" s="125" t="s">
        <v>1066</v>
      </c>
      <c r="X874" s="125" t="s">
        <v>1066</v>
      </c>
      <c r="Y874" s="125" t="s">
        <v>1066</v>
      </c>
      <c r="Z874" s="125" t="s">
        <v>1066</v>
      </c>
      <c r="AA874" s="125" t="s">
        <v>1067</v>
      </c>
      <c r="AB874" s="125" t="s">
        <v>1066</v>
      </c>
      <c r="AC874" s="125" t="s">
        <v>92</v>
      </c>
      <c r="AD874" s="125" t="s">
        <v>1066</v>
      </c>
      <c r="AE874" s="125" t="s">
        <v>1066</v>
      </c>
      <c r="AF874" s="125" t="s">
        <v>1066</v>
      </c>
      <c r="AG874" s="125" t="s">
        <v>1066</v>
      </c>
      <c r="AH874" s="125" t="s">
        <v>1066</v>
      </c>
      <c r="AI874" s="125" t="s">
        <v>785</v>
      </c>
      <c r="AJ874" s="125">
        <v>8696567</v>
      </c>
      <c r="AK874" s="125" t="s">
        <v>210</v>
      </c>
      <c r="AL874" s="125">
        <v>719485</v>
      </c>
      <c r="AM874" s="125" t="s">
        <v>1066</v>
      </c>
      <c r="AN874" s="125" t="s">
        <v>1066</v>
      </c>
    </row>
    <row r="875" spans="1:40" ht="55.5" customHeight="1" x14ac:dyDescent="0.25">
      <c r="A875" s="111" t="s">
        <v>4193</v>
      </c>
      <c r="B875" s="112">
        <v>2026</v>
      </c>
      <c r="C875" s="112" t="s">
        <v>1089</v>
      </c>
      <c r="D875" s="113">
        <v>46028.41065972222</v>
      </c>
      <c r="E875" s="112">
        <v>7900351152</v>
      </c>
      <c r="F875" s="112" t="s">
        <v>52</v>
      </c>
      <c r="G875" s="112">
        <v>3</v>
      </c>
      <c r="H875" s="112">
        <v>7900351152</v>
      </c>
      <c r="I875" s="112" t="s">
        <v>4194</v>
      </c>
      <c r="J875" s="112" t="s">
        <v>1092</v>
      </c>
      <c r="K875" s="112" t="s">
        <v>1093</v>
      </c>
      <c r="L875" s="112" t="s">
        <v>1061</v>
      </c>
      <c r="M875" s="112" t="s">
        <v>478</v>
      </c>
      <c r="N875" s="113">
        <v>46428.41065972222</v>
      </c>
      <c r="O875" s="114">
        <v>19002206513</v>
      </c>
      <c r="P875" s="112">
        <v>2.7280000000000002</v>
      </c>
      <c r="Q875" s="112" t="s">
        <v>1062</v>
      </c>
      <c r="R875" s="112" t="s">
        <v>1063</v>
      </c>
      <c r="S875" s="113">
        <v>46045.627800925926</v>
      </c>
      <c r="T875" s="112" t="s">
        <v>4195</v>
      </c>
      <c r="U875" s="112" t="s">
        <v>1065</v>
      </c>
      <c r="V875" s="112" t="s">
        <v>1066</v>
      </c>
      <c r="W875" s="112" t="s">
        <v>1066</v>
      </c>
      <c r="X875" s="112" t="s">
        <v>1066</v>
      </c>
      <c r="Y875" s="112" t="s">
        <v>1066</v>
      </c>
      <c r="Z875" s="112" t="s">
        <v>1066</v>
      </c>
      <c r="AA875" s="112" t="s">
        <v>1067</v>
      </c>
      <c r="AB875" s="112" t="s">
        <v>1066</v>
      </c>
      <c r="AC875" s="112" t="s">
        <v>92</v>
      </c>
      <c r="AD875" s="112" t="s">
        <v>1066</v>
      </c>
      <c r="AE875" s="112" t="s">
        <v>1066</v>
      </c>
      <c r="AF875" s="112" t="s">
        <v>1066</v>
      </c>
      <c r="AG875" s="112" t="s">
        <v>1066</v>
      </c>
      <c r="AH875" s="112" t="s">
        <v>1066</v>
      </c>
      <c r="AI875" s="112" t="s">
        <v>785</v>
      </c>
      <c r="AJ875" s="112">
        <v>8733421</v>
      </c>
      <c r="AK875" s="112" t="s">
        <v>306</v>
      </c>
      <c r="AL875" s="112">
        <v>814525</v>
      </c>
      <c r="AM875" s="112" t="s">
        <v>1066</v>
      </c>
      <c r="AN875" s="112" t="s">
        <v>1066</v>
      </c>
    </row>
    <row r="876" spans="1:40" ht="55.5" customHeight="1" x14ac:dyDescent="0.25">
      <c r="A876" s="111" t="s">
        <v>4196</v>
      </c>
      <c r="B876" s="112">
        <v>2026</v>
      </c>
      <c r="C876" s="112" t="s">
        <v>4197</v>
      </c>
      <c r="D876" s="113">
        <v>46076.639293981483</v>
      </c>
      <c r="E876" s="112">
        <v>9000552037</v>
      </c>
      <c r="F876" s="112" t="s">
        <v>1155</v>
      </c>
      <c r="G876" s="112">
        <v>2</v>
      </c>
      <c r="H876" s="112">
        <v>7933639037</v>
      </c>
      <c r="I876" s="112" t="s">
        <v>1156</v>
      </c>
      <c r="J876" s="112" t="s">
        <v>1157</v>
      </c>
      <c r="K876" s="112" t="s">
        <v>1158</v>
      </c>
      <c r="L876" s="112" t="s">
        <v>1084</v>
      </c>
      <c r="M876" s="112" t="s">
        <v>478</v>
      </c>
      <c r="N876" s="113">
        <v>46136.639293981483</v>
      </c>
      <c r="O876" s="114">
        <v>19001315834</v>
      </c>
      <c r="P876" s="112">
        <v>860</v>
      </c>
      <c r="Q876" s="112" t="s">
        <v>1131</v>
      </c>
      <c r="R876" s="112" t="s">
        <v>1085</v>
      </c>
      <c r="S876" s="113">
        <v>46077.484467592592</v>
      </c>
      <c r="T876" s="112" t="s">
        <v>4198</v>
      </c>
      <c r="U876" s="112" t="s">
        <v>1065</v>
      </c>
      <c r="V876" s="112" t="s">
        <v>1066</v>
      </c>
      <c r="W876" s="112" t="s">
        <v>1066</v>
      </c>
      <c r="X876" s="112" t="s">
        <v>1117</v>
      </c>
      <c r="Y876" s="112" t="s">
        <v>1066</v>
      </c>
      <c r="Z876" s="112" t="s">
        <v>1148</v>
      </c>
      <c r="AA876" s="112" t="s">
        <v>1067</v>
      </c>
      <c r="AB876" s="112" t="s">
        <v>1066</v>
      </c>
      <c r="AC876" s="112" t="s">
        <v>92</v>
      </c>
      <c r="AD876" s="112" t="s">
        <v>1142</v>
      </c>
      <c r="AE876" s="112" t="s">
        <v>1066</v>
      </c>
      <c r="AF876" s="112" t="s">
        <v>1066</v>
      </c>
      <c r="AG876" s="112" t="s">
        <v>1066</v>
      </c>
      <c r="AH876" s="112" t="s">
        <v>1066</v>
      </c>
      <c r="AI876" s="112" t="s">
        <v>785</v>
      </c>
      <c r="AJ876" s="112">
        <v>8749523</v>
      </c>
      <c r="AK876" s="112" t="s">
        <v>1160</v>
      </c>
      <c r="AL876" s="112">
        <v>724678</v>
      </c>
      <c r="AM876" s="112" t="s">
        <v>1066</v>
      </c>
      <c r="AN876" s="112" t="s">
        <v>1066</v>
      </c>
    </row>
    <row r="877" spans="1:40" ht="55.5" customHeight="1" x14ac:dyDescent="0.25">
      <c r="A877" s="111" t="s">
        <v>4199</v>
      </c>
      <c r="B877" s="112">
        <v>2026</v>
      </c>
      <c r="C877" s="112" t="s">
        <v>1213</v>
      </c>
      <c r="D877" s="113">
        <v>46122.549942129626</v>
      </c>
      <c r="E877" s="112">
        <v>7900581153</v>
      </c>
      <c r="F877" s="112" t="s">
        <v>2465</v>
      </c>
      <c r="G877" s="112">
        <v>2</v>
      </c>
      <c r="H877" s="112">
        <v>7900581153</v>
      </c>
      <c r="I877" s="112" t="s">
        <v>4200</v>
      </c>
      <c r="J877" s="112" t="s">
        <v>1066</v>
      </c>
      <c r="K877" s="112" t="s">
        <v>1125</v>
      </c>
      <c r="L877" s="112" t="s">
        <v>1061</v>
      </c>
      <c r="M877" s="112" t="s">
        <v>478</v>
      </c>
      <c r="N877" s="113">
        <v>46522.549942129626</v>
      </c>
      <c r="O877" s="114">
        <v>19002295946</v>
      </c>
      <c r="P877" s="112">
        <v>428</v>
      </c>
      <c r="Q877" s="112" t="s">
        <v>1062</v>
      </c>
      <c r="R877" s="112" t="s">
        <v>1063</v>
      </c>
      <c r="S877" s="113">
        <v>46150.618750000001</v>
      </c>
      <c r="T877" s="112" t="s">
        <v>4201</v>
      </c>
      <c r="U877" s="112" t="s">
        <v>1065</v>
      </c>
      <c r="V877" s="112" t="s">
        <v>1066</v>
      </c>
      <c r="W877" s="112" t="s">
        <v>1066</v>
      </c>
      <c r="X877" s="112" t="s">
        <v>1066</v>
      </c>
      <c r="Y877" s="112" t="s">
        <v>1066</v>
      </c>
      <c r="Z877" s="112" t="s">
        <v>1066</v>
      </c>
      <c r="AA877" s="112" t="s">
        <v>1067</v>
      </c>
      <c r="AB877" s="112" t="s">
        <v>1066</v>
      </c>
      <c r="AC877" s="112" t="s">
        <v>92</v>
      </c>
      <c r="AD877" s="112" t="s">
        <v>1066</v>
      </c>
      <c r="AE877" s="112" t="s">
        <v>1066</v>
      </c>
      <c r="AF877" s="112" t="s">
        <v>1066</v>
      </c>
      <c r="AG877" s="112" t="s">
        <v>1066</v>
      </c>
      <c r="AH877" s="112" t="s">
        <v>1066</v>
      </c>
      <c r="AI877" s="112" t="s">
        <v>785</v>
      </c>
      <c r="AJ877" s="112">
        <v>9107687</v>
      </c>
      <c r="AK877" s="112" t="s">
        <v>1773</v>
      </c>
      <c r="AL877" s="112">
        <v>733731</v>
      </c>
      <c r="AM877" s="112" t="s">
        <v>1066</v>
      </c>
      <c r="AN877" s="112" t="s">
        <v>1066</v>
      </c>
    </row>
    <row r="878" spans="1:40" ht="55.5" customHeight="1" x14ac:dyDescent="0.25">
      <c r="A878" s="111" t="s">
        <v>4202</v>
      </c>
      <c r="B878" s="112">
        <v>2026</v>
      </c>
      <c r="C878" s="112" t="s">
        <v>4203</v>
      </c>
      <c r="D878" s="113">
        <v>46142.67695601852</v>
      </c>
      <c r="E878" s="112">
        <v>9000088147</v>
      </c>
      <c r="F878" s="112" t="s">
        <v>697</v>
      </c>
      <c r="G878" s="112">
        <v>2</v>
      </c>
      <c r="H878" s="112">
        <v>7913657147</v>
      </c>
      <c r="I878" s="112" t="s">
        <v>4204</v>
      </c>
      <c r="J878" s="112" t="s">
        <v>1071</v>
      </c>
      <c r="K878" s="112" t="s">
        <v>2080</v>
      </c>
      <c r="L878" s="112" t="s">
        <v>1073</v>
      </c>
      <c r="M878" s="112" t="s">
        <v>478</v>
      </c>
      <c r="N878" s="113">
        <v>46145.67695601852</v>
      </c>
      <c r="O878" s="114">
        <v>19000039414</v>
      </c>
      <c r="P878" s="112">
        <v>522</v>
      </c>
      <c r="Q878" s="112" t="s">
        <v>1131</v>
      </c>
      <c r="R878" s="112" t="s">
        <v>1075</v>
      </c>
      <c r="S878" s="113">
        <v>46175.487650462965</v>
      </c>
      <c r="T878" s="112" t="s">
        <v>4205</v>
      </c>
      <c r="U878" s="112" t="s">
        <v>1065</v>
      </c>
      <c r="V878" s="112" t="s">
        <v>1066</v>
      </c>
      <c r="W878" s="112" t="s">
        <v>1066</v>
      </c>
      <c r="X878" s="112" t="s">
        <v>983</v>
      </c>
      <c r="Y878" s="112" t="s">
        <v>1066</v>
      </c>
      <c r="Z878" s="112" t="s">
        <v>1148</v>
      </c>
      <c r="AA878" s="112" t="s">
        <v>1067</v>
      </c>
      <c r="AB878" s="112" t="s">
        <v>1066</v>
      </c>
      <c r="AC878" s="112" t="s">
        <v>92</v>
      </c>
      <c r="AD878" s="112" t="s">
        <v>1142</v>
      </c>
      <c r="AE878" s="112" t="s">
        <v>1066</v>
      </c>
      <c r="AF878" s="112" t="s">
        <v>1066</v>
      </c>
      <c r="AG878" s="112" t="s">
        <v>1066</v>
      </c>
      <c r="AH878" s="112" t="s">
        <v>1066</v>
      </c>
      <c r="AI878" s="112" t="s">
        <v>785</v>
      </c>
      <c r="AJ878" s="112">
        <v>8646733</v>
      </c>
      <c r="AK878" s="112" t="s">
        <v>547</v>
      </c>
      <c r="AL878" s="112">
        <v>936458</v>
      </c>
      <c r="AM878" s="112" t="s">
        <v>1066</v>
      </c>
      <c r="AN878" s="112" t="s">
        <v>1066</v>
      </c>
    </row>
    <row r="879" spans="1:40" ht="55.5" customHeight="1" x14ac:dyDescent="0.25">
      <c r="A879" s="124" t="s">
        <v>4206</v>
      </c>
      <c r="B879" s="125">
        <v>2026</v>
      </c>
      <c r="C879" s="125" t="s">
        <v>1449</v>
      </c>
      <c r="D879" s="126">
        <v>46244.660034722219</v>
      </c>
      <c r="E879" s="125">
        <v>7930286009</v>
      </c>
      <c r="F879" s="125" t="s">
        <v>360</v>
      </c>
      <c r="G879" s="125">
        <v>3</v>
      </c>
      <c r="H879" s="125">
        <v>7930286009</v>
      </c>
      <c r="I879" s="125" t="s">
        <v>4207</v>
      </c>
      <c r="J879" s="125" t="s">
        <v>1066</v>
      </c>
      <c r="K879" s="125" t="s">
        <v>1125</v>
      </c>
      <c r="L879" s="125" t="s">
        <v>1061</v>
      </c>
      <c r="M879" s="125" t="s">
        <v>510</v>
      </c>
      <c r="N879" s="126">
        <v>46644.660034722219</v>
      </c>
      <c r="O879" s="127">
        <v>19002206944</v>
      </c>
      <c r="P879" s="125">
        <v>63</v>
      </c>
      <c r="Q879" s="125" t="s">
        <v>1062</v>
      </c>
      <c r="R879" s="125" t="s">
        <v>1063</v>
      </c>
      <c r="S879" s="125" t="s">
        <v>1066</v>
      </c>
      <c r="T879" s="125" t="s">
        <v>1066</v>
      </c>
      <c r="U879" s="125" t="s">
        <v>1066</v>
      </c>
      <c r="V879" s="125" t="s">
        <v>1066</v>
      </c>
      <c r="W879" s="125" t="s">
        <v>1066</v>
      </c>
      <c r="X879" s="125" t="s">
        <v>1066</v>
      </c>
      <c r="Y879" s="125" t="s">
        <v>1066</v>
      </c>
      <c r="Z879" s="125" t="s">
        <v>1066</v>
      </c>
      <c r="AA879" s="125" t="s">
        <v>1067</v>
      </c>
      <c r="AB879" s="125" t="s">
        <v>1066</v>
      </c>
      <c r="AC879" s="125" t="s">
        <v>92</v>
      </c>
      <c r="AD879" s="125" t="s">
        <v>1066</v>
      </c>
      <c r="AE879" s="125" t="s">
        <v>1066</v>
      </c>
      <c r="AF879" s="125" t="s">
        <v>1066</v>
      </c>
      <c r="AG879" s="125" t="s">
        <v>1066</v>
      </c>
      <c r="AH879" s="125" t="s">
        <v>1066</v>
      </c>
      <c r="AI879" s="125" t="s">
        <v>785</v>
      </c>
      <c r="AJ879" s="125">
        <v>9040421</v>
      </c>
      <c r="AK879" s="125" t="s">
        <v>106</v>
      </c>
      <c r="AL879" s="125">
        <v>775112</v>
      </c>
      <c r="AM879" s="125" t="s">
        <v>1066</v>
      </c>
      <c r="AN879" s="125" t="s">
        <v>1066</v>
      </c>
    </row>
    <row r="880" spans="1:40" ht="55.5" customHeight="1" x14ac:dyDescent="0.25">
      <c r="A880" s="111" t="s">
        <v>4208</v>
      </c>
      <c r="B880" s="112">
        <v>2026</v>
      </c>
      <c r="C880" s="112" t="s">
        <v>4209</v>
      </c>
      <c r="D880" s="113">
        <v>46056.6565162037</v>
      </c>
      <c r="E880" s="112">
        <v>9000001075</v>
      </c>
      <c r="F880" s="112" t="s">
        <v>1415</v>
      </c>
      <c r="G880" s="112">
        <v>3</v>
      </c>
      <c r="H880" s="112">
        <v>7900861075</v>
      </c>
      <c r="I880" s="112" t="s">
        <v>4210</v>
      </c>
      <c r="J880" s="112" t="s">
        <v>1157</v>
      </c>
      <c r="K880" s="112" t="s">
        <v>1417</v>
      </c>
      <c r="L880" s="112" t="s">
        <v>1084</v>
      </c>
      <c r="M880" s="112" t="s">
        <v>478</v>
      </c>
      <c r="N880" s="113">
        <v>46116.6565162037</v>
      </c>
      <c r="O880" s="114">
        <v>19000118389</v>
      </c>
      <c r="P880" s="112">
        <v>1.8049999999999999</v>
      </c>
      <c r="Q880" s="112" t="s">
        <v>1131</v>
      </c>
      <c r="R880" s="112" t="s">
        <v>1085</v>
      </c>
      <c r="S880" s="113">
        <v>46099.452986111108</v>
      </c>
      <c r="T880" s="112" t="s">
        <v>4211</v>
      </c>
      <c r="U880" s="112" t="s">
        <v>1065</v>
      </c>
      <c r="V880" s="112" t="s">
        <v>1066</v>
      </c>
      <c r="W880" s="112" t="s">
        <v>1066</v>
      </c>
      <c r="X880" s="112" t="s">
        <v>983</v>
      </c>
      <c r="Y880" s="112" t="s">
        <v>1066</v>
      </c>
      <c r="Z880" s="112" t="s">
        <v>1133</v>
      </c>
      <c r="AA880" s="112" t="s">
        <v>1067</v>
      </c>
      <c r="AB880" s="112" t="s">
        <v>1066</v>
      </c>
      <c r="AC880" s="112" t="s">
        <v>92</v>
      </c>
      <c r="AD880" s="112" t="s">
        <v>1142</v>
      </c>
      <c r="AE880" s="112" t="s">
        <v>1066</v>
      </c>
      <c r="AF880" s="112" t="s">
        <v>1066</v>
      </c>
      <c r="AG880" s="112" t="s">
        <v>1066</v>
      </c>
      <c r="AH880" s="112" t="s">
        <v>1066</v>
      </c>
      <c r="AI880" s="112" t="s">
        <v>785</v>
      </c>
      <c r="AJ880" s="112">
        <v>8975636</v>
      </c>
      <c r="AK880" s="112" t="s">
        <v>590</v>
      </c>
      <c r="AL880" s="112">
        <v>713285</v>
      </c>
      <c r="AM880" s="112" t="s">
        <v>1066</v>
      </c>
      <c r="AN880" s="112" t="s">
        <v>1066</v>
      </c>
    </row>
    <row r="881" spans="1:40" ht="55.5" customHeight="1" x14ac:dyDescent="0.25">
      <c r="A881" s="111" t="s">
        <v>4212</v>
      </c>
      <c r="B881" s="112">
        <v>2026</v>
      </c>
      <c r="C881" s="112" t="s">
        <v>4213</v>
      </c>
      <c r="D881" s="113">
        <v>46136.647743055553</v>
      </c>
      <c r="E881" s="112">
        <v>8805104122</v>
      </c>
      <c r="F881" s="112" t="s">
        <v>1090</v>
      </c>
      <c r="G881" s="112">
        <v>2</v>
      </c>
      <c r="H881" s="112">
        <v>7942799122</v>
      </c>
      <c r="I881" s="112" t="s">
        <v>4214</v>
      </c>
      <c r="J881" s="112" t="s">
        <v>1071</v>
      </c>
      <c r="K881" s="112" t="s">
        <v>1130</v>
      </c>
      <c r="L881" s="112" t="s">
        <v>1073</v>
      </c>
      <c r="M881" s="112" t="s">
        <v>478</v>
      </c>
      <c r="N881" s="113">
        <v>46139.647743055553</v>
      </c>
      <c r="O881" s="114">
        <v>19002641083</v>
      </c>
      <c r="P881" s="112">
        <v>5.2030000000000003</v>
      </c>
      <c r="Q881" s="112" t="s">
        <v>1131</v>
      </c>
      <c r="R881" s="112" t="s">
        <v>1324</v>
      </c>
      <c r="S881" s="113">
        <v>46191.729328703703</v>
      </c>
      <c r="T881" s="112" t="s">
        <v>4215</v>
      </c>
      <c r="U881" s="112" t="s">
        <v>1065</v>
      </c>
      <c r="V881" s="112" t="s">
        <v>1066</v>
      </c>
      <c r="W881" s="112" t="s">
        <v>1066</v>
      </c>
      <c r="X881" s="112" t="s">
        <v>1117</v>
      </c>
      <c r="Y881" s="112" t="s">
        <v>1066</v>
      </c>
      <c r="Z881" s="112" t="s">
        <v>1133</v>
      </c>
      <c r="AA881" s="112" t="s">
        <v>1067</v>
      </c>
      <c r="AB881" s="112" t="s">
        <v>1066</v>
      </c>
      <c r="AC881" s="112" t="s">
        <v>92</v>
      </c>
      <c r="AD881" s="112" t="s">
        <v>1066</v>
      </c>
      <c r="AE881" s="112" t="s">
        <v>1066</v>
      </c>
      <c r="AF881" s="112" t="s">
        <v>1066</v>
      </c>
      <c r="AG881" s="112" t="s">
        <v>1066</v>
      </c>
      <c r="AH881" s="112" t="s">
        <v>1066</v>
      </c>
      <c r="AI881" s="112" t="s">
        <v>785</v>
      </c>
      <c r="AJ881" s="112">
        <v>8875828</v>
      </c>
      <c r="AK881" s="112" t="s">
        <v>264</v>
      </c>
      <c r="AL881" s="112">
        <v>810591</v>
      </c>
      <c r="AM881" s="112" t="s">
        <v>1066</v>
      </c>
      <c r="AN881" s="112" t="s">
        <v>1066</v>
      </c>
    </row>
    <row r="882" spans="1:40" ht="55.5" customHeight="1" x14ac:dyDescent="0.25">
      <c r="A882" s="111" t="s">
        <v>4216</v>
      </c>
      <c r="B882" s="112">
        <v>2026</v>
      </c>
      <c r="C882" s="112" t="s">
        <v>1213</v>
      </c>
      <c r="D882" s="113">
        <v>46122.549942129626</v>
      </c>
      <c r="E882" s="112">
        <v>7935864004</v>
      </c>
      <c r="F882" s="112" t="s">
        <v>83</v>
      </c>
      <c r="G882" s="112">
        <v>2</v>
      </c>
      <c r="H882" s="112">
        <v>7935864004</v>
      </c>
      <c r="I882" s="112" t="s">
        <v>4217</v>
      </c>
      <c r="J882" s="112" t="s">
        <v>1066</v>
      </c>
      <c r="K882" s="112" t="s">
        <v>1125</v>
      </c>
      <c r="L882" s="112" t="s">
        <v>1061</v>
      </c>
      <c r="M882" s="112" t="s">
        <v>478</v>
      </c>
      <c r="N882" s="113">
        <v>46522.549942129626</v>
      </c>
      <c r="O882" s="114">
        <v>19002679825</v>
      </c>
      <c r="P882" s="112">
        <v>181</v>
      </c>
      <c r="Q882" s="112" t="s">
        <v>1062</v>
      </c>
      <c r="R882" s="112" t="s">
        <v>1063</v>
      </c>
      <c r="S882" s="113">
        <v>46132.729166666664</v>
      </c>
      <c r="T882" s="112" t="s">
        <v>4218</v>
      </c>
      <c r="U882" s="112" t="s">
        <v>1065</v>
      </c>
      <c r="V882" s="112" t="s">
        <v>1066</v>
      </c>
      <c r="W882" s="112" t="s">
        <v>1066</v>
      </c>
      <c r="X882" s="112" t="s">
        <v>1066</v>
      </c>
      <c r="Y882" s="112" t="s">
        <v>1066</v>
      </c>
      <c r="Z882" s="112" t="s">
        <v>1066</v>
      </c>
      <c r="AA882" s="112" t="s">
        <v>1067</v>
      </c>
      <c r="AB882" s="112" t="s">
        <v>1066</v>
      </c>
      <c r="AC882" s="112" t="s">
        <v>92</v>
      </c>
      <c r="AD882" s="112" t="s">
        <v>1066</v>
      </c>
      <c r="AE882" s="112" t="s">
        <v>1066</v>
      </c>
      <c r="AF882" s="112" t="s">
        <v>1066</v>
      </c>
      <c r="AG882" s="112" t="s">
        <v>1066</v>
      </c>
      <c r="AH882" s="112" t="s">
        <v>1066</v>
      </c>
      <c r="AI882" s="112" t="s">
        <v>785</v>
      </c>
      <c r="AJ882" s="112">
        <v>9203010</v>
      </c>
      <c r="AK882" s="112" t="s">
        <v>69</v>
      </c>
      <c r="AL882" s="112">
        <v>807478</v>
      </c>
      <c r="AM882" s="112" t="s">
        <v>1066</v>
      </c>
      <c r="AN882" s="112" t="s">
        <v>1066</v>
      </c>
    </row>
    <row r="883" spans="1:40" ht="55.5" customHeight="1" x14ac:dyDescent="0.25">
      <c r="A883" s="111" t="s">
        <v>4219</v>
      </c>
      <c r="B883" s="112">
        <v>2026</v>
      </c>
      <c r="C883" s="112" t="s">
        <v>4220</v>
      </c>
      <c r="D883" s="113">
        <v>45980.397905092592</v>
      </c>
      <c r="E883" s="112">
        <v>8806186122</v>
      </c>
      <c r="F883" s="112" t="s">
        <v>234</v>
      </c>
      <c r="G883" s="112">
        <v>2</v>
      </c>
      <c r="H883" s="112">
        <v>7961675122</v>
      </c>
      <c r="I883" s="112" t="s">
        <v>4221</v>
      </c>
      <c r="J883" s="112" t="s">
        <v>1231</v>
      </c>
      <c r="K883" s="112" t="s">
        <v>1232</v>
      </c>
      <c r="L883" s="112" t="s">
        <v>1084</v>
      </c>
      <c r="M883" s="112" t="s">
        <v>478</v>
      </c>
      <c r="N883" s="113">
        <v>46097.662476851852</v>
      </c>
      <c r="O883" s="114">
        <v>19002805508</v>
      </c>
      <c r="P883" s="112">
        <v>109</v>
      </c>
      <c r="Q883" s="112" t="s">
        <v>1131</v>
      </c>
      <c r="R883" s="112" t="s">
        <v>1206</v>
      </c>
      <c r="S883" s="113">
        <v>46059.728680555556</v>
      </c>
      <c r="T883" s="112" t="s">
        <v>4222</v>
      </c>
      <c r="U883" s="112" t="s">
        <v>1065</v>
      </c>
      <c r="V883" s="112" t="s">
        <v>1066</v>
      </c>
      <c r="W883" s="112" t="s">
        <v>1066</v>
      </c>
      <c r="X883" s="112" t="s">
        <v>983</v>
      </c>
      <c r="Y883" s="112" t="s">
        <v>1066</v>
      </c>
      <c r="Z883" s="112" t="s">
        <v>1066</v>
      </c>
      <c r="AA883" s="112" t="s">
        <v>1067</v>
      </c>
      <c r="AB883" s="112" t="s">
        <v>1066</v>
      </c>
      <c r="AC883" s="112" t="s">
        <v>92</v>
      </c>
      <c r="AD883" s="112" t="s">
        <v>1066</v>
      </c>
      <c r="AE883" s="112" t="s">
        <v>1066</v>
      </c>
      <c r="AF883" s="112" t="s">
        <v>1066</v>
      </c>
      <c r="AG883" s="112" t="s">
        <v>1066</v>
      </c>
      <c r="AH883" s="112" t="s">
        <v>4223</v>
      </c>
      <c r="AI883" s="112" t="s">
        <v>785</v>
      </c>
      <c r="AJ883" s="112">
        <v>8871378</v>
      </c>
      <c r="AK883" s="112" t="s">
        <v>264</v>
      </c>
      <c r="AL883" s="112">
        <v>815872</v>
      </c>
      <c r="AM883" s="112" t="s">
        <v>1066</v>
      </c>
      <c r="AN883" s="112" t="s">
        <v>1066</v>
      </c>
    </row>
    <row r="884" spans="1:40" ht="55.5" customHeight="1" x14ac:dyDescent="0.25">
      <c r="A884" s="124" t="s">
        <v>420</v>
      </c>
      <c r="B884" s="125">
        <v>2026</v>
      </c>
      <c r="C884" s="125" t="s">
        <v>4224</v>
      </c>
      <c r="D884" s="126">
        <v>46241.657430555555</v>
      </c>
      <c r="E884" s="125">
        <v>9008693026</v>
      </c>
      <c r="F884" s="125" t="s">
        <v>136</v>
      </c>
      <c r="G884" s="125">
        <v>2</v>
      </c>
      <c r="H884" s="125">
        <v>7908693026</v>
      </c>
      <c r="I884" s="125" t="s">
        <v>4225</v>
      </c>
      <c r="J884" s="125" t="s">
        <v>1071</v>
      </c>
      <c r="K884" s="125" t="s">
        <v>1261</v>
      </c>
      <c r="L884" s="125" t="s">
        <v>1073</v>
      </c>
      <c r="M884" s="125" t="s">
        <v>510</v>
      </c>
      <c r="N884" s="126">
        <v>46244.657430555555</v>
      </c>
      <c r="O884" s="127">
        <v>19000097286</v>
      </c>
      <c r="P884" s="125">
        <v>0</v>
      </c>
      <c r="Q884" s="125" t="s">
        <v>1131</v>
      </c>
      <c r="R884" s="125" t="s">
        <v>1075</v>
      </c>
      <c r="S884" s="125" t="s">
        <v>1066</v>
      </c>
      <c r="T884" s="125" t="s">
        <v>1066</v>
      </c>
      <c r="U884" s="125" t="s">
        <v>1066</v>
      </c>
      <c r="V884" s="125" t="s">
        <v>1066</v>
      </c>
      <c r="W884" s="125" t="s">
        <v>1066</v>
      </c>
      <c r="X884" s="125" t="s">
        <v>983</v>
      </c>
      <c r="Y884" s="125" t="s">
        <v>1066</v>
      </c>
      <c r="Z884" s="125" t="s">
        <v>1148</v>
      </c>
      <c r="AA884" s="125" t="s">
        <v>1067</v>
      </c>
      <c r="AB884" s="125" t="s">
        <v>1066</v>
      </c>
      <c r="AC884" s="125" t="s">
        <v>92</v>
      </c>
      <c r="AD884" s="125" t="s">
        <v>1142</v>
      </c>
      <c r="AE884" s="125" t="s">
        <v>1066</v>
      </c>
      <c r="AF884" s="125" t="s">
        <v>1066</v>
      </c>
      <c r="AG884" s="125" t="s">
        <v>1066</v>
      </c>
      <c r="AH884" s="125" t="s">
        <v>1066</v>
      </c>
      <c r="AI884" s="125" t="s">
        <v>785</v>
      </c>
      <c r="AJ884" s="125">
        <v>8832915</v>
      </c>
      <c r="AK884" s="125" t="s">
        <v>792</v>
      </c>
      <c r="AL884" s="125">
        <v>877351</v>
      </c>
      <c r="AM884" s="125" t="s">
        <v>1066</v>
      </c>
      <c r="AN884" s="125" t="s">
        <v>1066</v>
      </c>
    </row>
    <row r="885" spans="1:40" ht="55.5" customHeight="1" x14ac:dyDescent="0.25">
      <c r="A885" s="111" t="s">
        <v>4226</v>
      </c>
      <c r="B885" s="112">
        <v>2026</v>
      </c>
      <c r="C885" s="112" t="s">
        <v>4227</v>
      </c>
      <c r="D885" s="113">
        <v>46083.315312500003</v>
      </c>
      <c r="E885" s="112">
        <v>9000399070</v>
      </c>
      <c r="F885" s="112" t="s">
        <v>1090</v>
      </c>
      <c r="G885" s="112">
        <v>3</v>
      </c>
      <c r="H885" s="112">
        <v>7932924070</v>
      </c>
      <c r="I885" s="112" t="s">
        <v>1407</v>
      </c>
      <c r="J885" s="112" t="s">
        <v>1071</v>
      </c>
      <c r="K885" s="112" t="s">
        <v>1662</v>
      </c>
      <c r="L885" s="112" t="s">
        <v>1073</v>
      </c>
      <c r="M885" s="112" t="s">
        <v>478</v>
      </c>
      <c r="N885" s="113">
        <v>46086.315312500003</v>
      </c>
      <c r="O885" s="114">
        <v>19001318993</v>
      </c>
      <c r="P885" s="112">
        <v>204</v>
      </c>
      <c r="Q885" s="112" t="s">
        <v>1131</v>
      </c>
      <c r="R885" s="112" t="s">
        <v>1075</v>
      </c>
      <c r="S885" s="113">
        <v>46160.465277777781</v>
      </c>
      <c r="T885" s="112" t="s">
        <v>4228</v>
      </c>
      <c r="U885" s="112" t="s">
        <v>1065</v>
      </c>
      <c r="V885" s="112" t="s">
        <v>1066</v>
      </c>
      <c r="W885" s="112" t="s">
        <v>1066</v>
      </c>
      <c r="X885" s="112" t="s">
        <v>1173</v>
      </c>
      <c r="Y885" s="112" t="s">
        <v>1066</v>
      </c>
      <c r="Z885" s="112" t="s">
        <v>1133</v>
      </c>
      <c r="AA885" s="112" t="s">
        <v>1067</v>
      </c>
      <c r="AB885" s="112" t="s">
        <v>1066</v>
      </c>
      <c r="AC885" s="112" t="s">
        <v>92</v>
      </c>
      <c r="AD885" s="112" t="s">
        <v>1142</v>
      </c>
      <c r="AE885" s="112" t="s">
        <v>1066</v>
      </c>
      <c r="AF885" s="112" t="s">
        <v>1066</v>
      </c>
      <c r="AG885" s="112" t="s">
        <v>1066</v>
      </c>
      <c r="AH885" s="112" t="s">
        <v>1066</v>
      </c>
      <c r="AI885" s="112" t="s">
        <v>785</v>
      </c>
      <c r="AJ885" s="112">
        <v>8930097</v>
      </c>
      <c r="AK885" s="112" t="s">
        <v>87</v>
      </c>
      <c r="AL885" s="112">
        <v>864377</v>
      </c>
      <c r="AM885" s="112" t="s">
        <v>1066</v>
      </c>
      <c r="AN885" s="112" t="s">
        <v>1066</v>
      </c>
    </row>
    <row r="886" spans="1:40" ht="55.5" customHeight="1" x14ac:dyDescent="0.25">
      <c r="A886" s="111" t="s">
        <v>4229</v>
      </c>
      <c r="B886" s="112">
        <v>2026</v>
      </c>
      <c r="C886" s="112" t="s">
        <v>2179</v>
      </c>
      <c r="D886" s="113">
        <v>46135.704641203702</v>
      </c>
      <c r="E886" s="112">
        <v>7908692026</v>
      </c>
      <c r="F886" s="112" t="s">
        <v>136</v>
      </c>
      <c r="G886" s="112">
        <v>2</v>
      </c>
      <c r="H886" s="112">
        <v>7908692026</v>
      </c>
      <c r="I886" s="112" t="s">
        <v>4230</v>
      </c>
      <c r="J886" s="112" t="s">
        <v>1071</v>
      </c>
      <c r="K886" s="112" t="s">
        <v>1072</v>
      </c>
      <c r="L886" s="112" t="s">
        <v>1073</v>
      </c>
      <c r="M886" s="112" t="s">
        <v>478</v>
      </c>
      <c r="N886" s="113">
        <v>46138.704641203702</v>
      </c>
      <c r="O886" s="114">
        <v>19002207138</v>
      </c>
      <c r="P886" s="112">
        <v>188</v>
      </c>
      <c r="Q886" s="112" t="s">
        <v>1062</v>
      </c>
      <c r="R886" s="112" t="s">
        <v>1324</v>
      </c>
      <c r="S886" s="113">
        <v>46205.731469907405</v>
      </c>
      <c r="T886" s="112" t="s">
        <v>4231</v>
      </c>
      <c r="U886" s="112" t="s">
        <v>1065</v>
      </c>
      <c r="V886" s="112" t="s">
        <v>1066</v>
      </c>
      <c r="W886" s="112" t="s">
        <v>1066</v>
      </c>
      <c r="X886" s="112" t="s">
        <v>983</v>
      </c>
      <c r="Y886" s="112" t="s">
        <v>1066</v>
      </c>
      <c r="Z886" s="112" t="s">
        <v>1078</v>
      </c>
      <c r="AA886" s="112" t="s">
        <v>1067</v>
      </c>
      <c r="AB886" s="112" t="s">
        <v>1066</v>
      </c>
      <c r="AC886" s="112" t="s">
        <v>92</v>
      </c>
      <c r="AD886" s="112" t="s">
        <v>1066</v>
      </c>
      <c r="AE886" s="112" t="s">
        <v>1066</v>
      </c>
      <c r="AF886" s="112" t="s">
        <v>1066</v>
      </c>
      <c r="AG886" s="112" t="s">
        <v>1066</v>
      </c>
      <c r="AH886" s="112" t="s">
        <v>1066</v>
      </c>
      <c r="AI886" s="112" t="s">
        <v>785</v>
      </c>
      <c r="AJ886" s="112">
        <v>8811947</v>
      </c>
      <c r="AK886" s="112" t="s">
        <v>792</v>
      </c>
      <c r="AL886" s="112">
        <v>878937</v>
      </c>
      <c r="AM886" s="112" t="s">
        <v>1066</v>
      </c>
      <c r="AN886" s="112" t="s">
        <v>1066</v>
      </c>
    </row>
    <row r="887" spans="1:40" ht="55.5" customHeight="1" x14ac:dyDescent="0.25">
      <c r="A887" s="111" t="s">
        <v>4232</v>
      </c>
      <c r="B887" s="112">
        <v>2026</v>
      </c>
      <c r="C887" s="112" t="s">
        <v>4233</v>
      </c>
      <c r="D887" s="113">
        <v>46153.320474537039</v>
      </c>
      <c r="E887" s="112">
        <v>9001830073</v>
      </c>
      <c r="F887" s="112" t="s">
        <v>3423</v>
      </c>
      <c r="G887" s="112">
        <v>3</v>
      </c>
      <c r="H887" s="112">
        <v>7926080073</v>
      </c>
      <c r="I887" s="112" t="s">
        <v>4234</v>
      </c>
      <c r="J887" s="112" t="s">
        <v>1071</v>
      </c>
      <c r="K887" s="112" t="s">
        <v>1130</v>
      </c>
      <c r="L887" s="112" t="s">
        <v>1073</v>
      </c>
      <c r="M887" s="112" t="s">
        <v>478</v>
      </c>
      <c r="N887" s="113">
        <v>46156.320474537039</v>
      </c>
      <c r="O887" s="114">
        <v>19001240293</v>
      </c>
      <c r="P887" s="112">
        <v>160</v>
      </c>
      <c r="Q887" s="112" t="s">
        <v>1131</v>
      </c>
      <c r="R887" s="112" t="s">
        <v>1324</v>
      </c>
      <c r="S887" s="113">
        <v>46168.417372685188</v>
      </c>
      <c r="T887" s="112" t="s">
        <v>4235</v>
      </c>
      <c r="U887" s="112" t="s">
        <v>1065</v>
      </c>
      <c r="V887" s="112" t="s">
        <v>1066</v>
      </c>
      <c r="W887" s="112" t="s">
        <v>1066</v>
      </c>
      <c r="X887" s="112" t="s">
        <v>1117</v>
      </c>
      <c r="Y887" s="112" t="s">
        <v>1066</v>
      </c>
      <c r="Z887" s="112" t="s">
        <v>1133</v>
      </c>
      <c r="AA887" s="112" t="s">
        <v>1067</v>
      </c>
      <c r="AB887" s="112" t="s">
        <v>1066</v>
      </c>
      <c r="AC887" s="112" t="s">
        <v>92</v>
      </c>
      <c r="AD887" s="112" t="s">
        <v>1142</v>
      </c>
      <c r="AE887" s="112" t="s">
        <v>1066</v>
      </c>
      <c r="AF887" s="112" t="s">
        <v>1066</v>
      </c>
      <c r="AG887" s="112" t="s">
        <v>1066</v>
      </c>
      <c r="AH887" s="112" t="s">
        <v>1066</v>
      </c>
      <c r="AI887" s="112" t="s">
        <v>785</v>
      </c>
      <c r="AJ887" s="112">
        <v>8763313</v>
      </c>
      <c r="AK887" s="112" t="s">
        <v>1166</v>
      </c>
      <c r="AL887" s="112">
        <v>622347</v>
      </c>
      <c r="AM887" s="112" t="s">
        <v>1066</v>
      </c>
      <c r="AN887" s="112" t="s">
        <v>1066</v>
      </c>
    </row>
    <row r="888" spans="1:40" ht="55.5" customHeight="1" x14ac:dyDescent="0.25">
      <c r="A888" s="124" t="s">
        <v>4236</v>
      </c>
      <c r="B888" s="125">
        <v>2026</v>
      </c>
      <c r="C888" s="125" t="s">
        <v>4237</v>
      </c>
      <c r="D888" s="126">
        <v>46236.50712962963</v>
      </c>
      <c r="E888" s="125">
        <v>8853119122</v>
      </c>
      <c r="F888" s="125" t="s">
        <v>3352</v>
      </c>
      <c r="G888" s="125">
        <v>2</v>
      </c>
      <c r="H888" s="125">
        <v>7937521059</v>
      </c>
      <c r="I888" s="125" t="s">
        <v>4238</v>
      </c>
      <c r="J888" s="125" t="s">
        <v>1071</v>
      </c>
      <c r="K888" s="125" t="s">
        <v>1099</v>
      </c>
      <c r="L888" s="125" t="s">
        <v>1073</v>
      </c>
      <c r="M888" s="125" t="s">
        <v>510</v>
      </c>
      <c r="N888" s="126">
        <v>46239.50712962963</v>
      </c>
      <c r="O888" s="127">
        <v>19001290139</v>
      </c>
      <c r="P888" s="125">
        <v>4.5910000000000002</v>
      </c>
      <c r="Q888" s="125" t="s">
        <v>1131</v>
      </c>
      <c r="R888" s="125" t="s">
        <v>1085</v>
      </c>
      <c r="S888" s="125" t="s">
        <v>1066</v>
      </c>
      <c r="T888" s="125" t="s">
        <v>4239</v>
      </c>
      <c r="U888" s="125" t="s">
        <v>621</v>
      </c>
      <c r="V888" s="125" t="s">
        <v>1066</v>
      </c>
      <c r="W888" s="125" t="s">
        <v>1066</v>
      </c>
      <c r="X888" s="125" t="s">
        <v>983</v>
      </c>
      <c r="Y888" s="125" t="s">
        <v>1066</v>
      </c>
      <c r="Z888" s="125" t="s">
        <v>1078</v>
      </c>
      <c r="AA888" s="125" t="s">
        <v>1067</v>
      </c>
      <c r="AB888" s="125" t="s">
        <v>1066</v>
      </c>
      <c r="AC888" s="125" t="s">
        <v>92</v>
      </c>
      <c r="AD888" s="125" t="s">
        <v>1142</v>
      </c>
      <c r="AE888" s="125" t="s">
        <v>1066</v>
      </c>
      <c r="AF888" s="125" t="s">
        <v>1066</v>
      </c>
      <c r="AG888" s="125" t="s">
        <v>1066</v>
      </c>
      <c r="AH888" s="125" t="s">
        <v>1066</v>
      </c>
      <c r="AI888" s="125" t="s">
        <v>785</v>
      </c>
      <c r="AJ888" s="125">
        <v>8859326</v>
      </c>
      <c r="AK888" s="125" t="s">
        <v>264</v>
      </c>
      <c r="AL888" s="125">
        <v>795948</v>
      </c>
      <c r="AM888" s="125" t="s">
        <v>1066</v>
      </c>
      <c r="AN888" s="125" t="s">
        <v>1066</v>
      </c>
    </row>
    <row r="889" spans="1:40" ht="55.5" customHeight="1" x14ac:dyDescent="0.25">
      <c r="A889" s="111" t="s">
        <v>4240</v>
      </c>
      <c r="B889" s="112">
        <v>2026</v>
      </c>
      <c r="C889" s="112" t="s">
        <v>1089</v>
      </c>
      <c r="D889" s="113">
        <v>46028.41065972222</v>
      </c>
      <c r="E889" s="112">
        <v>7900416044</v>
      </c>
      <c r="F889" s="112" t="s">
        <v>1219</v>
      </c>
      <c r="G889" s="112">
        <v>2</v>
      </c>
      <c r="H889" s="112">
        <v>7900416044</v>
      </c>
      <c r="I889" s="112" t="s">
        <v>4241</v>
      </c>
      <c r="J889" s="112" t="s">
        <v>1092</v>
      </c>
      <c r="K889" s="112" t="s">
        <v>1093</v>
      </c>
      <c r="L889" s="112" t="s">
        <v>1061</v>
      </c>
      <c r="M889" s="112" t="s">
        <v>478</v>
      </c>
      <c r="N889" s="113">
        <v>46428.41065972222</v>
      </c>
      <c r="O889" s="114">
        <v>19002219779</v>
      </c>
      <c r="P889" s="112">
        <v>1.056</v>
      </c>
      <c r="Q889" s="112" t="s">
        <v>1062</v>
      </c>
      <c r="R889" s="112" t="s">
        <v>1063</v>
      </c>
      <c r="S889" s="113">
        <v>46147.63559027778</v>
      </c>
      <c r="T889" s="112" t="s">
        <v>4242</v>
      </c>
      <c r="U889" s="112" t="s">
        <v>1065</v>
      </c>
      <c r="V889" s="112" t="s">
        <v>1066</v>
      </c>
      <c r="W889" s="112" t="s">
        <v>1066</v>
      </c>
      <c r="X889" s="112" t="s">
        <v>1066</v>
      </c>
      <c r="Y889" s="112" t="s">
        <v>1066</v>
      </c>
      <c r="Z889" s="112" t="s">
        <v>1066</v>
      </c>
      <c r="AA889" s="112" t="s">
        <v>1067</v>
      </c>
      <c r="AB889" s="112" t="s">
        <v>1066</v>
      </c>
      <c r="AC889" s="112" t="s">
        <v>92</v>
      </c>
      <c r="AD889" s="112" t="s">
        <v>1066</v>
      </c>
      <c r="AE889" s="112" t="s">
        <v>1066</v>
      </c>
      <c r="AF889" s="112" t="s">
        <v>1066</v>
      </c>
      <c r="AG889" s="112" t="s">
        <v>1066</v>
      </c>
      <c r="AH889" s="112" t="s">
        <v>1066</v>
      </c>
      <c r="AI889" s="112" t="s">
        <v>785</v>
      </c>
      <c r="AJ889" s="112">
        <v>8810822</v>
      </c>
      <c r="AK889" s="112" t="s">
        <v>1941</v>
      </c>
      <c r="AL889" s="112">
        <v>729313</v>
      </c>
      <c r="AM889" s="112" t="s">
        <v>1066</v>
      </c>
      <c r="AN889" s="112" t="s">
        <v>1066</v>
      </c>
    </row>
    <row r="890" spans="1:40" ht="55.5" customHeight="1" x14ac:dyDescent="0.25">
      <c r="A890" s="124" t="s">
        <v>4243</v>
      </c>
      <c r="B890" s="125">
        <v>2026</v>
      </c>
      <c r="C890" s="125" t="s">
        <v>1057</v>
      </c>
      <c r="D890" s="126">
        <v>46125.584386574075</v>
      </c>
      <c r="E890" s="125">
        <v>7937101032</v>
      </c>
      <c r="F890" s="125" t="s">
        <v>4244</v>
      </c>
      <c r="G890" s="125">
        <v>1</v>
      </c>
      <c r="H890" s="125">
        <v>7937101032</v>
      </c>
      <c r="I890" s="125" t="s">
        <v>4245</v>
      </c>
      <c r="J890" s="125" t="s">
        <v>1066</v>
      </c>
      <c r="K890" s="125" t="s">
        <v>1125</v>
      </c>
      <c r="L890" s="125" t="s">
        <v>1061</v>
      </c>
      <c r="M890" s="125" t="s">
        <v>510</v>
      </c>
      <c r="N890" s="126">
        <v>46525.584386574075</v>
      </c>
      <c r="O890" s="127">
        <v>19002203329</v>
      </c>
      <c r="P890" s="125">
        <v>19</v>
      </c>
      <c r="Q890" s="125" t="s">
        <v>1062</v>
      </c>
      <c r="R890" s="125" t="s">
        <v>1063</v>
      </c>
      <c r="S890" s="125" t="s">
        <v>1066</v>
      </c>
      <c r="T890" s="125" t="s">
        <v>4246</v>
      </c>
      <c r="U890" s="125" t="s">
        <v>3780</v>
      </c>
      <c r="V890" s="125" t="s">
        <v>1066</v>
      </c>
      <c r="W890" s="125" t="s">
        <v>1066</v>
      </c>
      <c r="X890" s="125" t="s">
        <v>1066</v>
      </c>
      <c r="Y890" s="125" t="s">
        <v>1066</v>
      </c>
      <c r="Z890" s="125" t="s">
        <v>1066</v>
      </c>
      <c r="AA890" s="125" t="s">
        <v>1067</v>
      </c>
      <c r="AB890" s="125" t="s">
        <v>1066</v>
      </c>
      <c r="AC890" s="125" t="s">
        <v>92</v>
      </c>
      <c r="AD890" s="125" t="s">
        <v>1066</v>
      </c>
      <c r="AE890" s="125" t="s">
        <v>1066</v>
      </c>
      <c r="AF890" s="125" t="s">
        <v>1066</v>
      </c>
      <c r="AG890" s="125" t="s">
        <v>1066</v>
      </c>
      <c r="AH890" s="125" t="s">
        <v>1066</v>
      </c>
      <c r="AI890" s="125" t="s">
        <v>785</v>
      </c>
      <c r="AJ890" s="125">
        <v>8555182</v>
      </c>
      <c r="AK890" s="125" t="s">
        <v>469</v>
      </c>
      <c r="AL890" s="125">
        <v>640406</v>
      </c>
      <c r="AM890" s="125" t="s">
        <v>1066</v>
      </c>
      <c r="AN890" s="125" t="s">
        <v>1066</v>
      </c>
    </row>
    <row r="891" spans="1:40" ht="55.5" customHeight="1" x14ac:dyDescent="0.25">
      <c r="A891" s="111" t="s">
        <v>4247</v>
      </c>
      <c r="B891" s="112">
        <v>2026</v>
      </c>
      <c r="C891" s="112" t="s">
        <v>1057</v>
      </c>
      <c r="D891" s="113">
        <v>46125.614548611113</v>
      </c>
      <c r="E891" s="112">
        <v>7931611122</v>
      </c>
      <c r="F891" s="112" t="s">
        <v>4248</v>
      </c>
      <c r="G891" s="112">
        <v>2</v>
      </c>
      <c r="H891" s="112">
        <v>7931611122</v>
      </c>
      <c r="I891" s="112" t="s">
        <v>4249</v>
      </c>
      <c r="J891" s="112" t="s">
        <v>1066</v>
      </c>
      <c r="K891" s="112" t="s">
        <v>1125</v>
      </c>
      <c r="L891" s="112" t="s">
        <v>1061</v>
      </c>
      <c r="M891" s="112" t="s">
        <v>478</v>
      </c>
      <c r="N891" s="113">
        <v>46525.614548611113</v>
      </c>
      <c r="O891" s="114">
        <v>19002207718</v>
      </c>
      <c r="P891" s="112">
        <v>0</v>
      </c>
      <c r="Q891" s="112" t="s">
        <v>1062</v>
      </c>
      <c r="R891" s="112" t="s">
        <v>1063</v>
      </c>
      <c r="S891" s="113">
        <v>46183.620462962965</v>
      </c>
      <c r="T891" s="112" t="s">
        <v>4250</v>
      </c>
      <c r="U891" s="112" t="s">
        <v>1065</v>
      </c>
      <c r="V891" s="112" t="s">
        <v>1066</v>
      </c>
      <c r="W891" s="112" t="s">
        <v>1066</v>
      </c>
      <c r="X891" s="112" t="s">
        <v>1066</v>
      </c>
      <c r="Y891" s="112" t="s">
        <v>1066</v>
      </c>
      <c r="Z891" s="112" t="s">
        <v>1066</v>
      </c>
      <c r="AA891" s="112" t="s">
        <v>1067</v>
      </c>
      <c r="AB891" s="112" t="s">
        <v>1066</v>
      </c>
      <c r="AC891" s="112" t="s">
        <v>92</v>
      </c>
      <c r="AD891" s="112" t="s">
        <v>1066</v>
      </c>
      <c r="AE891" s="112" t="s">
        <v>1066</v>
      </c>
      <c r="AF891" s="112" t="s">
        <v>1066</v>
      </c>
      <c r="AG891" s="112" t="s">
        <v>1066</v>
      </c>
      <c r="AH891" s="112" t="s">
        <v>1066</v>
      </c>
      <c r="AI891" s="112" t="s">
        <v>785</v>
      </c>
      <c r="AJ891" s="112">
        <v>8868305</v>
      </c>
      <c r="AK891" s="112" t="s">
        <v>264</v>
      </c>
      <c r="AL891" s="112">
        <v>793839</v>
      </c>
      <c r="AM891" s="112" t="s">
        <v>1066</v>
      </c>
      <c r="AN891" s="112" t="s">
        <v>1066</v>
      </c>
    </row>
    <row r="892" spans="1:40" ht="55.5" customHeight="1" x14ac:dyDescent="0.25">
      <c r="A892" s="111" t="s">
        <v>4251</v>
      </c>
      <c r="B892" s="112">
        <v>2026</v>
      </c>
      <c r="C892" s="112" t="s">
        <v>1057</v>
      </c>
      <c r="D892" s="113">
        <v>46122.378541666665</v>
      </c>
      <c r="E892" s="112">
        <v>7930942025</v>
      </c>
      <c r="F892" s="112" t="s">
        <v>148</v>
      </c>
      <c r="G892" s="112">
        <v>3</v>
      </c>
      <c r="H892" s="112">
        <v>7930942025</v>
      </c>
      <c r="I892" s="112" t="s">
        <v>4252</v>
      </c>
      <c r="J892" s="112" t="s">
        <v>1059</v>
      </c>
      <c r="K892" s="112" t="s">
        <v>1060</v>
      </c>
      <c r="L892" s="112" t="s">
        <v>1061</v>
      </c>
      <c r="M892" s="112" t="s">
        <v>478</v>
      </c>
      <c r="N892" s="113">
        <v>46522.378541666665</v>
      </c>
      <c r="O892" s="114">
        <v>19002260527</v>
      </c>
      <c r="P892" s="112">
        <v>6</v>
      </c>
      <c r="Q892" s="112" t="s">
        <v>1062</v>
      </c>
      <c r="R892" s="112" t="s">
        <v>1063</v>
      </c>
      <c r="S892" s="113">
        <v>46136.47996527778</v>
      </c>
      <c r="T892" s="112" t="s">
        <v>4253</v>
      </c>
      <c r="U892" s="112" t="s">
        <v>1065</v>
      </c>
      <c r="V892" s="112" t="s">
        <v>1066</v>
      </c>
      <c r="W892" s="112" t="s">
        <v>1066</v>
      </c>
      <c r="X892" s="112" t="s">
        <v>1066</v>
      </c>
      <c r="Y892" s="112" t="s">
        <v>1066</v>
      </c>
      <c r="Z892" s="112" t="s">
        <v>1066</v>
      </c>
      <c r="AA892" s="112" t="s">
        <v>1067</v>
      </c>
      <c r="AB892" s="112" t="s">
        <v>1066</v>
      </c>
      <c r="AC892" s="112" t="s">
        <v>92</v>
      </c>
      <c r="AD892" s="112" t="s">
        <v>1066</v>
      </c>
      <c r="AE892" s="112" t="s">
        <v>1066</v>
      </c>
      <c r="AF892" s="112" t="s">
        <v>1066</v>
      </c>
      <c r="AG892" s="112" t="s">
        <v>1066</v>
      </c>
      <c r="AH892" s="112" t="s">
        <v>1066</v>
      </c>
      <c r="AI892" s="112" t="s">
        <v>785</v>
      </c>
      <c r="AJ892" s="112">
        <v>9154783</v>
      </c>
      <c r="AK892" s="112" t="s">
        <v>93</v>
      </c>
      <c r="AL892" s="112">
        <v>743884</v>
      </c>
      <c r="AM892" s="112" t="s">
        <v>1066</v>
      </c>
      <c r="AN892" s="112" t="s">
        <v>1066</v>
      </c>
    </row>
    <row r="893" spans="1:40" ht="55.5" customHeight="1" x14ac:dyDescent="0.25">
      <c r="A893" s="111" t="s">
        <v>4254</v>
      </c>
      <c r="B893" s="112">
        <v>2026</v>
      </c>
      <c r="C893" s="112" t="s">
        <v>4255</v>
      </c>
      <c r="D893" s="113">
        <v>46074.624675925923</v>
      </c>
      <c r="E893" s="112">
        <v>9000712080</v>
      </c>
      <c r="F893" s="112" t="s">
        <v>1654</v>
      </c>
      <c r="G893" s="112">
        <v>2</v>
      </c>
      <c r="H893" s="112">
        <v>7929377080</v>
      </c>
      <c r="I893" s="112" t="s">
        <v>4256</v>
      </c>
      <c r="J893" s="112" t="s">
        <v>1092</v>
      </c>
      <c r="K893" s="112" t="s">
        <v>1446</v>
      </c>
      <c r="L893" s="112" t="s">
        <v>1073</v>
      </c>
      <c r="M893" s="112" t="s">
        <v>478</v>
      </c>
      <c r="N893" s="113">
        <v>46077.624675925923</v>
      </c>
      <c r="O893" s="114">
        <v>19001253807</v>
      </c>
      <c r="P893" s="112">
        <v>2.9820000000000002</v>
      </c>
      <c r="Q893" s="112" t="s">
        <v>1131</v>
      </c>
      <c r="R893" s="112" t="s">
        <v>1075</v>
      </c>
      <c r="S893" s="113">
        <v>46101.729166666664</v>
      </c>
      <c r="T893" s="112" t="s">
        <v>4257</v>
      </c>
      <c r="U893" s="112" t="s">
        <v>1065</v>
      </c>
      <c r="V893" s="112" t="s">
        <v>1066</v>
      </c>
      <c r="W893" s="112" t="s">
        <v>1066</v>
      </c>
      <c r="X893" s="112" t="s">
        <v>1173</v>
      </c>
      <c r="Y893" s="112" t="s">
        <v>1066</v>
      </c>
      <c r="Z893" s="112" t="s">
        <v>1133</v>
      </c>
      <c r="AA893" s="112" t="s">
        <v>1067</v>
      </c>
      <c r="AB893" s="112" t="s">
        <v>1066</v>
      </c>
      <c r="AC893" s="112" t="s">
        <v>92</v>
      </c>
      <c r="AD893" s="112" t="s">
        <v>1142</v>
      </c>
      <c r="AE893" s="112" t="s">
        <v>1066</v>
      </c>
      <c r="AF893" s="112" t="s">
        <v>1066</v>
      </c>
      <c r="AG893" s="112" t="s">
        <v>1066</v>
      </c>
      <c r="AH893" s="112" t="s">
        <v>1066</v>
      </c>
      <c r="AI893" s="112" t="s">
        <v>785</v>
      </c>
      <c r="AJ893" s="112">
        <v>9245294</v>
      </c>
      <c r="AK893" s="112" t="s">
        <v>1656</v>
      </c>
      <c r="AL893" s="112">
        <v>851865</v>
      </c>
      <c r="AM893" s="112" t="s">
        <v>1066</v>
      </c>
      <c r="AN893" s="112" t="s">
        <v>1066</v>
      </c>
    </row>
    <row r="894" spans="1:40" ht="55.5" customHeight="1" x14ac:dyDescent="0.25">
      <c r="A894" s="111" t="s">
        <v>4258</v>
      </c>
      <c r="B894" s="112">
        <v>2026</v>
      </c>
      <c r="C894" s="112" t="s">
        <v>1089</v>
      </c>
      <c r="D894" s="113">
        <v>46028.41065972222</v>
      </c>
      <c r="E894" s="112">
        <v>7900197151</v>
      </c>
      <c r="F894" s="112" t="s">
        <v>234</v>
      </c>
      <c r="G894" s="112">
        <v>3</v>
      </c>
      <c r="H894" s="112">
        <v>7900197151</v>
      </c>
      <c r="I894" s="112" t="s">
        <v>4259</v>
      </c>
      <c r="J894" s="112" t="s">
        <v>1092</v>
      </c>
      <c r="K894" s="112" t="s">
        <v>1093</v>
      </c>
      <c r="L894" s="112" t="s">
        <v>1061</v>
      </c>
      <c r="M894" s="112" t="s">
        <v>478</v>
      </c>
      <c r="N894" s="113">
        <v>46428.41065972222</v>
      </c>
      <c r="O894" s="114">
        <v>19002295976</v>
      </c>
      <c r="P894" s="112">
        <v>1.7889999999999999</v>
      </c>
      <c r="Q894" s="112" t="s">
        <v>1062</v>
      </c>
      <c r="R894" s="112" t="s">
        <v>1063</v>
      </c>
      <c r="S894" s="113">
        <v>46078.619513888887</v>
      </c>
      <c r="T894" s="112" t="s">
        <v>4260</v>
      </c>
      <c r="U894" s="112" t="s">
        <v>1065</v>
      </c>
      <c r="V894" s="112" t="s">
        <v>1066</v>
      </c>
      <c r="W894" s="112" t="s">
        <v>1066</v>
      </c>
      <c r="X894" s="112" t="s">
        <v>1066</v>
      </c>
      <c r="Y894" s="112" t="s">
        <v>1066</v>
      </c>
      <c r="Z894" s="112" t="s">
        <v>1066</v>
      </c>
      <c r="AA894" s="112" t="s">
        <v>1067</v>
      </c>
      <c r="AB894" s="112" t="s">
        <v>1066</v>
      </c>
      <c r="AC894" s="112" t="s">
        <v>92</v>
      </c>
      <c r="AD894" s="112" t="s">
        <v>1066</v>
      </c>
      <c r="AE894" s="112" t="s">
        <v>1066</v>
      </c>
      <c r="AF894" s="112" t="s">
        <v>1066</v>
      </c>
      <c r="AG894" s="112" t="s">
        <v>1066</v>
      </c>
      <c r="AH894" s="112" t="s">
        <v>1066</v>
      </c>
      <c r="AI894" s="112" t="s">
        <v>785</v>
      </c>
      <c r="AJ894" s="112">
        <v>8863521</v>
      </c>
      <c r="AK894" s="112" t="s">
        <v>1455</v>
      </c>
      <c r="AL894" s="112">
        <v>854826</v>
      </c>
      <c r="AM894" s="112" t="s">
        <v>1066</v>
      </c>
      <c r="AN894" s="112" t="s">
        <v>1066</v>
      </c>
    </row>
    <row r="895" spans="1:40" ht="55.5" customHeight="1" x14ac:dyDescent="0.25">
      <c r="A895" s="111" t="s">
        <v>4261</v>
      </c>
      <c r="B895" s="112">
        <v>2026</v>
      </c>
      <c r="C895" s="112" t="s">
        <v>4262</v>
      </c>
      <c r="D895" s="113">
        <v>46107.452893518515</v>
      </c>
      <c r="E895" s="112">
        <v>7925880056</v>
      </c>
      <c r="F895" s="112" t="s">
        <v>284</v>
      </c>
      <c r="G895" s="112">
        <v>2</v>
      </c>
      <c r="H895" s="112">
        <v>7925880056</v>
      </c>
      <c r="I895" s="112" t="s">
        <v>2643</v>
      </c>
      <c r="J895" s="112" t="s">
        <v>1071</v>
      </c>
      <c r="K895" s="112" t="s">
        <v>4263</v>
      </c>
      <c r="L895" s="112" t="s">
        <v>1073</v>
      </c>
      <c r="M895" s="112" t="s">
        <v>478</v>
      </c>
      <c r="N895" s="113">
        <v>46110.452893518515</v>
      </c>
      <c r="O895" s="114">
        <v>19002203869</v>
      </c>
      <c r="P895" s="112">
        <v>682</v>
      </c>
      <c r="Q895" s="112" t="s">
        <v>1062</v>
      </c>
      <c r="R895" s="112" t="s">
        <v>1075</v>
      </c>
      <c r="S895" s="113">
        <v>46113.728472222225</v>
      </c>
      <c r="T895" s="112" t="s">
        <v>4264</v>
      </c>
      <c r="U895" s="112" t="s">
        <v>1065</v>
      </c>
      <c r="V895" s="112" t="s">
        <v>1066</v>
      </c>
      <c r="W895" s="112" t="s">
        <v>1066</v>
      </c>
      <c r="X895" s="112" t="s">
        <v>1066</v>
      </c>
      <c r="Y895" s="112" t="s">
        <v>1066</v>
      </c>
      <c r="Z895" s="112" t="s">
        <v>1066</v>
      </c>
      <c r="AA895" s="112" t="s">
        <v>1067</v>
      </c>
      <c r="AB895" s="112" t="s">
        <v>1066</v>
      </c>
      <c r="AC895" s="112" t="s">
        <v>92</v>
      </c>
      <c r="AD895" s="112" t="s">
        <v>1066</v>
      </c>
      <c r="AE895" s="112" t="s">
        <v>1066</v>
      </c>
      <c r="AF895" s="112" t="s">
        <v>1066</v>
      </c>
      <c r="AG895" s="112" t="s">
        <v>1066</v>
      </c>
      <c r="AH895" s="112" t="s">
        <v>1066</v>
      </c>
      <c r="AI895" s="112" t="s">
        <v>785</v>
      </c>
      <c r="AJ895" s="112">
        <v>9222044</v>
      </c>
      <c r="AK895" s="112" t="s">
        <v>2645</v>
      </c>
      <c r="AL895" s="112">
        <v>787611</v>
      </c>
      <c r="AM895" s="112" t="s">
        <v>1066</v>
      </c>
      <c r="AN895" s="112" t="s">
        <v>1066</v>
      </c>
    </row>
    <row r="896" spans="1:40" ht="55.5" customHeight="1" x14ac:dyDescent="0.25">
      <c r="A896" s="111" t="s">
        <v>4265</v>
      </c>
      <c r="B896" s="112">
        <v>2026</v>
      </c>
      <c r="C896" s="112" t="s">
        <v>1213</v>
      </c>
      <c r="D896" s="113">
        <v>46122.549942129626</v>
      </c>
      <c r="E896" s="112">
        <v>7900010004</v>
      </c>
      <c r="F896" s="112" t="s">
        <v>4266</v>
      </c>
      <c r="G896" s="112">
        <v>1</v>
      </c>
      <c r="H896" s="112">
        <v>7900010004</v>
      </c>
      <c r="I896" s="112" t="s">
        <v>4267</v>
      </c>
      <c r="J896" s="112" t="s">
        <v>1066</v>
      </c>
      <c r="K896" s="112" t="s">
        <v>1125</v>
      </c>
      <c r="L896" s="112" t="s">
        <v>1061</v>
      </c>
      <c r="M896" s="112" t="s">
        <v>478</v>
      </c>
      <c r="N896" s="113">
        <v>46522.549942129626</v>
      </c>
      <c r="O896" s="114">
        <v>19002208168</v>
      </c>
      <c r="P896" s="112">
        <v>1.851</v>
      </c>
      <c r="Q896" s="112" t="s">
        <v>1062</v>
      </c>
      <c r="R896" s="112" t="s">
        <v>1063</v>
      </c>
      <c r="S896" s="113">
        <v>46126.729166666664</v>
      </c>
      <c r="T896" s="112" t="s">
        <v>4268</v>
      </c>
      <c r="U896" s="112" t="s">
        <v>1065</v>
      </c>
      <c r="V896" s="112" t="s">
        <v>1066</v>
      </c>
      <c r="W896" s="112" t="s">
        <v>1066</v>
      </c>
      <c r="X896" s="112" t="s">
        <v>1066</v>
      </c>
      <c r="Y896" s="112" t="s">
        <v>1066</v>
      </c>
      <c r="Z896" s="112" t="s">
        <v>1066</v>
      </c>
      <c r="AA896" s="112" t="s">
        <v>1067</v>
      </c>
      <c r="AB896" s="112" t="s">
        <v>1066</v>
      </c>
      <c r="AC896" s="112" t="s">
        <v>92</v>
      </c>
      <c r="AD896" s="112" t="s">
        <v>1066</v>
      </c>
      <c r="AE896" s="112" t="s">
        <v>1066</v>
      </c>
      <c r="AF896" s="112" t="s">
        <v>1066</v>
      </c>
      <c r="AG896" s="112" t="s">
        <v>1066</v>
      </c>
      <c r="AH896" s="112" t="s">
        <v>1066</v>
      </c>
      <c r="AI896" s="112" t="s">
        <v>785</v>
      </c>
      <c r="AJ896" s="112">
        <v>9205818</v>
      </c>
      <c r="AK896" s="112" t="s">
        <v>69</v>
      </c>
      <c r="AL896" s="112">
        <v>805356</v>
      </c>
      <c r="AM896" s="112" t="s">
        <v>1066</v>
      </c>
      <c r="AN896" s="112" t="s">
        <v>1066</v>
      </c>
    </row>
    <row r="897" spans="1:40" ht="55.5" customHeight="1" x14ac:dyDescent="0.25">
      <c r="A897" s="115" t="s">
        <v>4269</v>
      </c>
      <c r="B897" s="116">
        <v>2026</v>
      </c>
      <c r="C897" s="116" t="s">
        <v>4270</v>
      </c>
      <c r="D897" s="118">
        <v>46128.480381944442</v>
      </c>
      <c r="E897" s="116">
        <v>9002534094</v>
      </c>
      <c r="F897" s="116" t="s">
        <v>302</v>
      </c>
      <c r="G897" s="116">
        <v>1</v>
      </c>
      <c r="H897" s="116">
        <v>5836786094</v>
      </c>
      <c r="I897" s="116" t="s">
        <v>4271</v>
      </c>
      <c r="J897" s="116" t="s">
        <v>1071</v>
      </c>
      <c r="K897" s="116" t="s">
        <v>3119</v>
      </c>
      <c r="L897" s="116" t="s">
        <v>1073</v>
      </c>
      <c r="M897" s="116" t="s">
        <v>588</v>
      </c>
      <c r="N897" s="118">
        <v>46163.578229166669</v>
      </c>
      <c r="O897" s="119">
        <v>19002784564</v>
      </c>
      <c r="P897" s="116">
        <v>4.7069999999999999</v>
      </c>
      <c r="Q897" s="116" t="s">
        <v>1074</v>
      </c>
      <c r="R897" s="116" t="s">
        <v>1075</v>
      </c>
      <c r="S897" s="116" t="s">
        <v>1066</v>
      </c>
      <c r="T897" s="116" t="s">
        <v>1066</v>
      </c>
      <c r="U897" s="116" t="s">
        <v>1066</v>
      </c>
      <c r="V897" s="116" t="s">
        <v>1066</v>
      </c>
      <c r="W897" s="116" t="s">
        <v>1066</v>
      </c>
      <c r="X897" s="116" t="s">
        <v>1077</v>
      </c>
      <c r="Y897" s="116" t="s">
        <v>1066</v>
      </c>
      <c r="Z897" s="116" t="s">
        <v>1078</v>
      </c>
      <c r="AA897" s="116" t="s">
        <v>1067</v>
      </c>
      <c r="AB897" s="116" t="s">
        <v>1066</v>
      </c>
      <c r="AC897" s="116" t="s">
        <v>92</v>
      </c>
      <c r="AD897" s="116" t="s">
        <v>1066</v>
      </c>
      <c r="AE897" s="116" t="s">
        <v>1066</v>
      </c>
      <c r="AF897" s="116" t="s">
        <v>1066</v>
      </c>
      <c r="AG897" s="116" t="s">
        <v>1066</v>
      </c>
      <c r="AH897" s="116" t="s">
        <v>1066</v>
      </c>
      <c r="AI897" s="116" t="s">
        <v>785</v>
      </c>
      <c r="AJ897" s="116">
        <v>8664418</v>
      </c>
      <c r="AK897" s="116" t="s">
        <v>224</v>
      </c>
      <c r="AL897" s="116">
        <v>782353</v>
      </c>
      <c r="AM897" s="116" t="s">
        <v>1066</v>
      </c>
      <c r="AN897" s="116" t="s">
        <v>1066</v>
      </c>
    </row>
    <row r="898" spans="1:40" ht="55.5" customHeight="1" x14ac:dyDescent="0.25">
      <c r="A898" s="111" t="s">
        <v>4272</v>
      </c>
      <c r="B898" s="112">
        <v>2026</v>
      </c>
      <c r="C898" s="112" t="s">
        <v>1251</v>
      </c>
      <c r="D898" s="113">
        <v>46031.603807870371</v>
      </c>
      <c r="E898" s="112">
        <v>7937147003</v>
      </c>
      <c r="F898" s="112" t="s">
        <v>1189</v>
      </c>
      <c r="G898" s="112">
        <v>2</v>
      </c>
      <c r="H898" s="112">
        <v>7937147003</v>
      </c>
      <c r="I898" s="112" t="s">
        <v>4273</v>
      </c>
      <c r="J898" s="112" t="s">
        <v>1059</v>
      </c>
      <c r="K898" s="112" t="s">
        <v>1060</v>
      </c>
      <c r="L898" s="112" t="s">
        <v>1061</v>
      </c>
      <c r="M898" s="112" t="s">
        <v>478</v>
      </c>
      <c r="N898" s="113">
        <v>46431.603807870371</v>
      </c>
      <c r="O898" s="114">
        <v>19002260520</v>
      </c>
      <c r="P898" s="112">
        <v>0</v>
      </c>
      <c r="Q898" s="112" t="s">
        <v>1062</v>
      </c>
      <c r="R898" s="112" t="s">
        <v>1063</v>
      </c>
      <c r="S898" s="113">
        <v>46031.729166666664</v>
      </c>
      <c r="T898" s="112" t="s">
        <v>1253</v>
      </c>
      <c r="U898" s="112" t="s">
        <v>1065</v>
      </c>
      <c r="V898" s="112" t="s">
        <v>1066</v>
      </c>
      <c r="W898" s="112" t="s">
        <v>1066</v>
      </c>
      <c r="X898" s="112" t="s">
        <v>1066</v>
      </c>
      <c r="Y898" s="112" t="s">
        <v>1066</v>
      </c>
      <c r="Z898" s="112" t="s">
        <v>1066</v>
      </c>
      <c r="AA898" s="112" t="s">
        <v>1067</v>
      </c>
      <c r="AB898" s="112" t="s">
        <v>1066</v>
      </c>
      <c r="AC898" s="112" t="s">
        <v>92</v>
      </c>
      <c r="AD898" s="112" t="s">
        <v>1066</v>
      </c>
      <c r="AE898" s="112" t="s">
        <v>1066</v>
      </c>
      <c r="AF898" s="112" t="s">
        <v>1066</v>
      </c>
      <c r="AG898" s="112" t="s">
        <v>1066</v>
      </c>
      <c r="AH898" s="112" t="s">
        <v>1066</v>
      </c>
      <c r="AI898" s="112" t="s">
        <v>785</v>
      </c>
      <c r="AJ898" s="112">
        <v>8702918</v>
      </c>
      <c r="AK898" s="112" t="s">
        <v>210</v>
      </c>
      <c r="AL898" s="112">
        <v>710699</v>
      </c>
      <c r="AM898" s="112" t="s">
        <v>1066</v>
      </c>
      <c r="AN898" s="112" t="s">
        <v>1066</v>
      </c>
    </row>
    <row r="899" spans="1:40" ht="55.5" customHeight="1" x14ac:dyDescent="0.25">
      <c r="A899" s="111" t="s">
        <v>4274</v>
      </c>
      <c r="B899" s="112">
        <v>2026</v>
      </c>
      <c r="C899" s="112" t="s">
        <v>4275</v>
      </c>
      <c r="D899" s="113">
        <v>46077.600671296299</v>
      </c>
      <c r="E899" s="112" t="s">
        <v>1066</v>
      </c>
      <c r="F899" s="112" t="s">
        <v>4276</v>
      </c>
      <c r="G899" s="112" t="s">
        <v>1066</v>
      </c>
      <c r="H899" s="112" t="s">
        <v>1066</v>
      </c>
      <c r="I899" s="112" t="s">
        <v>4277</v>
      </c>
      <c r="J899" s="112" t="s">
        <v>1059</v>
      </c>
      <c r="K899" s="112" t="s">
        <v>1060</v>
      </c>
      <c r="L899" s="112" t="s">
        <v>1061</v>
      </c>
      <c r="M899" s="112" t="s">
        <v>478</v>
      </c>
      <c r="N899" s="113">
        <v>46477.600671296299</v>
      </c>
      <c r="O899" s="114">
        <v>19000248426</v>
      </c>
      <c r="P899" s="112">
        <v>0</v>
      </c>
      <c r="Q899" s="112" t="s">
        <v>1794</v>
      </c>
      <c r="R899" s="112" t="s">
        <v>1063</v>
      </c>
      <c r="S899" s="113">
        <v>46086.731377314813</v>
      </c>
      <c r="T899" s="112" t="s">
        <v>4278</v>
      </c>
      <c r="U899" s="112" t="s">
        <v>1065</v>
      </c>
      <c r="V899" s="112" t="s">
        <v>1066</v>
      </c>
      <c r="W899" s="112" t="s">
        <v>1066</v>
      </c>
      <c r="X899" s="112" t="s">
        <v>1066</v>
      </c>
      <c r="Y899" s="112" t="s">
        <v>1066</v>
      </c>
      <c r="Z899" s="112" t="s">
        <v>1066</v>
      </c>
      <c r="AA899" s="112" t="s">
        <v>1067</v>
      </c>
      <c r="AB899" s="112" t="s">
        <v>1066</v>
      </c>
      <c r="AC899" s="112" t="s">
        <v>92</v>
      </c>
      <c r="AD899" s="112" t="s">
        <v>1142</v>
      </c>
      <c r="AE899" s="112" t="s">
        <v>1066</v>
      </c>
      <c r="AF899" s="112" t="s">
        <v>1066</v>
      </c>
      <c r="AG899" s="112" t="s">
        <v>1066</v>
      </c>
      <c r="AH899" s="112" t="s">
        <v>1066</v>
      </c>
      <c r="AI899" s="112" t="s">
        <v>785</v>
      </c>
      <c r="AJ899" s="112" t="s">
        <v>1066</v>
      </c>
      <c r="AK899" s="112" t="s">
        <v>1066</v>
      </c>
      <c r="AL899" s="112" t="s">
        <v>1066</v>
      </c>
      <c r="AM899" s="112" t="s">
        <v>1066</v>
      </c>
      <c r="AN899" s="112" t="s">
        <v>1066</v>
      </c>
    </row>
    <row r="900" spans="1:40" ht="55.5" customHeight="1" x14ac:dyDescent="0.25">
      <c r="A900" s="111" t="s">
        <v>4279</v>
      </c>
      <c r="B900" s="112">
        <v>2026</v>
      </c>
      <c r="C900" s="112" t="s">
        <v>4280</v>
      </c>
      <c r="D900" s="113">
        <v>46045.390370370369</v>
      </c>
      <c r="E900" s="112">
        <v>310005053</v>
      </c>
      <c r="F900" s="112" t="s">
        <v>1654</v>
      </c>
      <c r="G900" s="112">
        <v>3</v>
      </c>
      <c r="H900" s="112">
        <v>7956805053</v>
      </c>
      <c r="I900" s="112" t="s">
        <v>4281</v>
      </c>
      <c r="J900" s="112" t="s">
        <v>1231</v>
      </c>
      <c r="K900" s="112" t="s">
        <v>1232</v>
      </c>
      <c r="L900" s="112" t="s">
        <v>1084</v>
      </c>
      <c r="M900" s="112" t="s">
        <v>478</v>
      </c>
      <c r="N900" s="113">
        <v>46164.743136574078</v>
      </c>
      <c r="O900" s="114">
        <v>19002813265</v>
      </c>
      <c r="P900" s="112">
        <v>2</v>
      </c>
      <c r="Q900" s="112" t="s">
        <v>1131</v>
      </c>
      <c r="R900" s="112" t="s">
        <v>1206</v>
      </c>
      <c r="S900" s="113">
        <v>46136.729166666664</v>
      </c>
      <c r="T900" s="112" t="s">
        <v>4282</v>
      </c>
      <c r="U900" s="112" t="s">
        <v>1065</v>
      </c>
      <c r="V900" s="112" t="s">
        <v>1066</v>
      </c>
      <c r="W900" s="112" t="s">
        <v>1066</v>
      </c>
      <c r="X900" s="112" t="s">
        <v>983</v>
      </c>
      <c r="Y900" s="112" t="s">
        <v>1066</v>
      </c>
      <c r="Z900" s="112" t="s">
        <v>1066</v>
      </c>
      <c r="AA900" s="112" t="s">
        <v>1067</v>
      </c>
      <c r="AB900" s="112" t="s">
        <v>1066</v>
      </c>
      <c r="AC900" s="112" t="s">
        <v>92</v>
      </c>
      <c r="AD900" s="112" t="s">
        <v>1066</v>
      </c>
      <c r="AE900" s="112" t="s">
        <v>1066</v>
      </c>
      <c r="AF900" s="112" t="s">
        <v>1066</v>
      </c>
      <c r="AG900" s="112" t="s">
        <v>1066</v>
      </c>
      <c r="AH900" s="112" t="s">
        <v>4283</v>
      </c>
      <c r="AI900" s="112" t="s">
        <v>785</v>
      </c>
      <c r="AJ900" s="112">
        <v>9248040</v>
      </c>
      <c r="AK900" s="112" t="s">
        <v>612</v>
      </c>
      <c r="AL900" s="112">
        <v>799936</v>
      </c>
      <c r="AM900" s="112" t="s">
        <v>1066</v>
      </c>
      <c r="AN900" s="112" t="s">
        <v>1066</v>
      </c>
    </row>
    <row r="901" spans="1:40" ht="55.5" customHeight="1" x14ac:dyDescent="0.25">
      <c r="A901" s="111" t="s">
        <v>4284</v>
      </c>
      <c r="B901" s="112">
        <v>2026</v>
      </c>
      <c r="C901" s="112" t="s">
        <v>1057</v>
      </c>
      <c r="D901" s="113">
        <v>46122.378541666665</v>
      </c>
      <c r="E901" s="112">
        <v>7910001004</v>
      </c>
      <c r="F901" s="112" t="s">
        <v>3749</v>
      </c>
      <c r="G901" s="112">
        <v>1</v>
      </c>
      <c r="H901" s="112">
        <v>7910001004</v>
      </c>
      <c r="I901" s="112" t="s">
        <v>4285</v>
      </c>
      <c r="J901" s="112" t="s">
        <v>1059</v>
      </c>
      <c r="K901" s="112" t="s">
        <v>1060</v>
      </c>
      <c r="L901" s="112" t="s">
        <v>1061</v>
      </c>
      <c r="M901" s="112" t="s">
        <v>478</v>
      </c>
      <c r="N901" s="113">
        <v>46522.378541666665</v>
      </c>
      <c r="O901" s="114">
        <v>19002679826</v>
      </c>
      <c r="P901" s="112">
        <v>1.7150000000000001</v>
      </c>
      <c r="Q901" s="112" t="s">
        <v>1062</v>
      </c>
      <c r="R901" s="112" t="s">
        <v>1063</v>
      </c>
      <c r="S901" s="113">
        <v>46132.424629629626</v>
      </c>
      <c r="T901" s="112" t="s">
        <v>4286</v>
      </c>
      <c r="U901" s="112" t="s">
        <v>1065</v>
      </c>
      <c r="V901" s="112" t="s">
        <v>1066</v>
      </c>
      <c r="W901" s="112" t="s">
        <v>1066</v>
      </c>
      <c r="X901" s="112" t="s">
        <v>1066</v>
      </c>
      <c r="Y901" s="112" t="s">
        <v>1066</v>
      </c>
      <c r="Z901" s="112" t="s">
        <v>1066</v>
      </c>
      <c r="AA901" s="112" t="s">
        <v>1067</v>
      </c>
      <c r="AB901" s="112" t="s">
        <v>1066</v>
      </c>
      <c r="AC901" s="112" t="s">
        <v>92</v>
      </c>
      <c r="AD901" s="112" t="s">
        <v>1066</v>
      </c>
      <c r="AE901" s="112" t="s">
        <v>1066</v>
      </c>
      <c r="AF901" s="112" t="s">
        <v>1066</v>
      </c>
      <c r="AG901" s="112" t="s">
        <v>1066</v>
      </c>
      <c r="AH901" s="112" t="s">
        <v>1066</v>
      </c>
      <c r="AI901" s="112" t="s">
        <v>785</v>
      </c>
      <c r="AJ901" s="112">
        <v>9203726</v>
      </c>
      <c r="AK901" s="112" t="s">
        <v>69</v>
      </c>
      <c r="AL901" s="112">
        <v>810564</v>
      </c>
      <c r="AM901" s="112" t="s">
        <v>1066</v>
      </c>
      <c r="AN901" s="112" t="s">
        <v>1066</v>
      </c>
    </row>
    <row r="902" spans="1:40" ht="55.5" customHeight="1" x14ac:dyDescent="0.25">
      <c r="A902" s="111" t="s">
        <v>4287</v>
      </c>
      <c r="B902" s="112">
        <v>2026</v>
      </c>
      <c r="C902" s="112" t="s">
        <v>4288</v>
      </c>
      <c r="D902" s="113">
        <v>46097.734502314815</v>
      </c>
      <c r="E902" s="112">
        <v>9000464096</v>
      </c>
      <c r="F902" s="112" t="s">
        <v>136</v>
      </c>
      <c r="G902" s="112">
        <v>2</v>
      </c>
      <c r="H902" s="112">
        <v>7908300096</v>
      </c>
      <c r="I902" s="112" t="s">
        <v>4289</v>
      </c>
      <c r="J902" s="112" t="s">
        <v>1071</v>
      </c>
      <c r="K902" s="112" t="s">
        <v>1282</v>
      </c>
      <c r="L902" s="112" t="s">
        <v>1073</v>
      </c>
      <c r="M902" s="112" t="s">
        <v>478</v>
      </c>
      <c r="N902" s="113">
        <v>46100.734502314815</v>
      </c>
      <c r="O902" s="114">
        <v>19000104240</v>
      </c>
      <c r="P902" s="112">
        <v>1.609</v>
      </c>
      <c r="Q902" s="112" t="s">
        <v>1131</v>
      </c>
      <c r="R902" s="112" t="s">
        <v>1075</v>
      </c>
      <c r="S902" s="113">
        <v>46106.479027777779</v>
      </c>
      <c r="T902" s="112" t="s">
        <v>4290</v>
      </c>
      <c r="U902" s="112" t="s">
        <v>1065</v>
      </c>
      <c r="V902" s="112" t="s">
        <v>1066</v>
      </c>
      <c r="W902" s="112" t="s">
        <v>1066</v>
      </c>
      <c r="X902" s="112" t="s">
        <v>983</v>
      </c>
      <c r="Y902" s="112" t="s">
        <v>1066</v>
      </c>
      <c r="Z902" s="112" t="s">
        <v>1078</v>
      </c>
      <c r="AA902" s="112" t="s">
        <v>1067</v>
      </c>
      <c r="AB902" s="112" t="s">
        <v>1066</v>
      </c>
      <c r="AC902" s="112" t="s">
        <v>92</v>
      </c>
      <c r="AD902" s="112" t="s">
        <v>1142</v>
      </c>
      <c r="AE902" s="112" t="s">
        <v>1066</v>
      </c>
      <c r="AF902" s="112" t="s">
        <v>1066</v>
      </c>
      <c r="AG902" s="112" t="s">
        <v>1066</v>
      </c>
      <c r="AH902" s="112" t="s">
        <v>1066</v>
      </c>
      <c r="AI902" s="112" t="s">
        <v>785</v>
      </c>
      <c r="AJ902" s="112">
        <v>8767115</v>
      </c>
      <c r="AK902" s="112" t="s">
        <v>310</v>
      </c>
      <c r="AL902" s="112">
        <v>874602</v>
      </c>
      <c r="AM902" s="112" t="s">
        <v>1066</v>
      </c>
      <c r="AN902" s="112" t="s">
        <v>1066</v>
      </c>
    </row>
    <row r="903" spans="1:40" ht="55.5" customHeight="1" x14ac:dyDescent="0.25">
      <c r="A903" s="115" t="s">
        <v>4291</v>
      </c>
      <c r="B903" s="116">
        <v>2026</v>
      </c>
      <c r="C903" s="116" t="s">
        <v>4292</v>
      </c>
      <c r="D903" s="118">
        <v>46009.565671296295</v>
      </c>
      <c r="E903" s="116">
        <v>7937102148</v>
      </c>
      <c r="F903" s="116" t="s">
        <v>302</v>
      </c>
      <c r="G903" s="116">
        <v>2</v>
      </c>
      <c r="H903" s="116">
        <v>7937102148</v>
      </c>
      <c r="I903" s="116" t="s">
        <v>4293</v>
      </c>
      <c r="J903" s="116" t="s">
        <v>1059</v>
      </c>
      <c r="K903" s="116" t="s">
        <v>1060</v>
      </c>
      <c r="L903" s="116" t="s">
        <v>1061</v>
      </c>
      <c r="M903" s="116" t="s">
        <v>588</v>
      </c>
      <c r="N903" s="118">
        <v>46610.660277777781</v>
      </c>
      <c r="O903" s="119">
        <v>19002678526</v>
      </c>
      <c r="P903" s="116">
        <v>234</v>
      </c>
      <c r="Q903" s="116" t="s">
        <v>1062</v>
      </c>
      <c r="R903" s="116" t="s">
        <v>1075</v>
      </c>
      <c r="S903" s="116" t="s">
        <v>1066</v>
      </c>
      <c r="T903" s="116" t="s">
        <v>1066</v>
      </c>
      <c r="U903" s="116" t="s">
        <v>1066</v>
      </c>
      <c r="V903" s="116" t="s">
        <v>1066</v>
      </c>
      <c r="W903" s="116" t="s">
        <v>1066</v>
      </c>
      <c r="X903" s="116" t="s">
        <v>1066</v>
      </c>
      <c r="Y903" s="116" t="s">
        <v>1066</v>
      </c>
      <c r="Z903" s="116" t="s">
        <v>1066</v>
      </c>
      <c r="AA903" s="116" t="s">
        <v>1067</v>
      </c>
      <c r="AB903" s="116" t="s">
        <v>1066</v>
      </c>
      <c r="AC903" s="116" t="s">
        <v>92</v>
      </c>
      <c r="AD903" s="116" t="s">
        <v>1066</v>
      </c>
      <c r="AE903" s="116" t="s">
        <v>1066</v>
      </c>
      <c r="AF903" s="116" t="s">
        <v>1066</v>
      </c>
      <c r="AG903" s="116" t="s">
        <v>1066</v>
      </c>
      <c r="AH903" s="116" t="s">
        <v>4294</v>
      </c>
      <c r="AI903" s="116" t="s">
        <v>785</v>
      </c>
      <c r="AJ903" s="116">
        <v>8668465</v>
      </c>
      <c r="AK903" s="116" t="s">
        <v>1344</v>
      </c>
      <c r="AL903" s="116">
        <v>823519</v>
      </c>
      <c r="AM903" s="116" t="s">
        <v>1066</v>
      </c>
      <c r="AN903" s="116" t="s">
        <v>1066</v>
      </c>
    </row>
    <row r="904" spans="1:40" ht="55.5" customHeight="1" x14ac:dyDescent="0.25">
      <c r="A904" s="115" t="s">
        <v>4295</v>
      </c>
      <c r="B904" s="116">
        <v>2026</v>
      </c>
      <c r="C904" s="116" t="s">
        <v>4296</v>
      </c>
      <c r="D904" s="118">
        <v>46218.835196759261</v>
      </c>
      <c r="E904" s="116">
        <v>7953211079</v>
      </c>
      <c r="F904" s="116" t="s">
        <v>360</v>
      </c>
      <c r="G904" s="116">
        <v>3</v>
      </c>
      <c r="H904" s="116">
        <v>7953211079</v>
      </c>
      <c r="I904" s="116" t="s">
        <v>1114</v>
      </c>
      <c r="J904" s="116" t="s">
        <v>1071</v>
      </c>
      <c r="K904" s="116" t="s">
        <v>1072</v>
      </c>
      <c r="L904" s="116" t="s">
        <v>1073</v>
      </c>
      <c r="M904" s="116" t="s">
        <v>588</v>
      </c>
      <c r="N904" s="118">
        <v>46222.382604166669</v>
      </c>
      <c r="O904" s="119">
        <v>19002678790</v>
      </c>
      <c r="P904" s="116">
        <v>1.59</v>
      </c>
      <c r="Q904" s="116" t="s">
        <v>1062</v>
      </c>
      <c r="R904" s="116" t="s">
        <v>1075</v>
      </c>
      <c r="S904" s="116" t="s">
        <v>1066</v>
      </c>
      <c r="T904" s="116" t="s">
        <v>1066</v>
      </c>
      <c r="U904" s="116" t="s">
        <v>1066</v>
      </c>
      <c r="V904" s="116" t="s">
        <v>1066</v>
      </c>
      <c r="W904" s="116" t="s">
        <v>1066</v>
      </c>
      <c r="X904" s="116" t="s">
        <v>1117</v>
      </c>
      <c r="Y904" s="116" t="s">
        <v>1066</v>
      </c>
      <c r="Z904" s="116" t="s">
        <v>1078</v>
      </c>
      <c r="AA904" s="116" t="s">
        <v>1067</v>
      </c>
      <c r="AB904" s="116" t="s">
        <v>1066</v>
      </c>
      <c r="AC904" s="116" t="s">
        <v>92</v>
      </c>
      <c r="AD904" s="116" t="s">
        <v>1066</v>
      </c>
      <c r="AE904" s="116" t="s">
        <v>1066</v>
      </c>
      <c r="AF904" s="116" t="s">
        <v>1066</v>
      </c>
      <c r="AG904" s="116" t="s">
        <v>1066</v>
      </c>
      <c r="AH904" s="116" t="s">
        <v>1066</v>
      </c>
      <c r="AI904" s="116" t="s">
        <v>785</v>
      </c>
      <c r="AJ904" s="116">
        <v>9070549</v>
      </c>
      <c r="AK904" s="116" t="s">
        <v>359</v>
      </c>
      <c r="AL904" s="116">
        <v>819863</v>
      </c>
      <c r="AM904" s="116" t="s">
        <v>1066</v>
      </c>
      <c r="AN904" s="116" t="s">
        <v>1066</v>
      </c>
    </row>
    <row r="905" spans="1:40" ht="55.5" customHeight="1" x14ac:dyDescent="0.25">
      <c r="A905" s="111" t="s">
        <v>4297</v>
      </c>
      <c r="B905" s="112">
        <v>2026</v>
      </c>
      <c r="C905" s="112" t="s">
        <v>1057</v>
      </c>
      <c r="D905" s="113">
        <v>46125.584386574075</v>
      </c>
      <c r="E905" s="112">
        <v>7924623200</v>
      </c>
      <c r="F905" s="112" t="s">
        <v>324</v>
      </c>
      <c r="G905" s="112">
        <v>2</v>
      </c>
      <c r="H905" s="112">
        <v>7924623200</v>
      </c>
      <c r="I905" s="112" t="s">
        <v>4298</v>
      </c>
      <c r="J905" s="112" t="s">
        <v>1066</v>
      </c>
      <c r="K905" s="112" t="s">
        <v>1125</v>
      </c>
      <c r="L905" s="112" t="s">
        <v>1061</v>
      </c>
      <c r="M905" s="112" t="s">
        <v>478</v>
      </c>
      <c r="N905" s="113">
        <v>46525.584386574075</v>
      </c>
      <c r="O905" s="114">
        <v>19002223291</v>
      </c>
      <c r="P905" s="112">
        <v>0</v>
      </c>
      <c r="Q905" s="112" t="s">
        <v>1062</v>
      </c>
      <c r="R905" s="112" t="s">
        <v>1063</v>
      </c>
      <c r="S905" s="113">
        <v>46241.72997685185</v>
      </c>
      <c r="T905" s="112" t="s">
        <v>4299</v>
      </c>
      <c r="U905" s="112" t="s">
        <v>1065</v>
      </c>
      <c r="V905" s="112" t="s">
        <v>1066</v>
      </c>
      <c r="W905" s="112" t="s">
        <v>1066</v>
      </c>
      <c r="X905" s="112" t="s">
        <v>1066</v>
      </c>
      <c r="Y905" s="112" t="s">
        <v>1066</v>
      </c>
      <c r="Z905" s="112" t="s">
        <v>1066</v>
      </c>
      <c r="AA905" s="112" t="s">
        <v>1067</v>
      </c>
      <c r="AB905" s="112" t="s">
        <v>1066</v>
      </c>
      <c r="AC905" s="112" t="s">
        <v>92</v>
      </c>
      <c r="AD905" s="112" t="s">
        <v>1066</v>
      </c>
      <c r="AE905" s="112" t="s">
        <v>1066</v>
      </c>
      <c r="AF905" s="112" t="s">
        <v>1066</v>
      </c>
      <c r="AG905" s="112" t="s">
        <v>1066</v>
      </c>
      <c r="AH905" s="112" t="s">
        <v>1066</v>
      </c>
      <c r="AI905" s="112" t="s">
        <v>785</v>
      </c>
      <c r="AJ905" s="112">
        <v>8587478</v>
      </c>
      <c r="AK905" s="112" t="s">
        <v>293</v>
      </c>
      <c r="AL905" s="112">
        <v>796755</v>
      </c>
      <c r="AM905" s="112" t="s">
        <v>1066</v>
      </c>
      <c r="AN905" s="112" t="s">
        <v>1066</v>
      </c>
    </row>
    <row r="906" spans="1:40" ht="55.5" customHeight="1" x14ac:dyDescent="0.25">
      <c r="A906" s="111" t="s">
        <v>4300</v>
      </c>
      <c r="B906" s="112">
        <v>2026</v>
      </c>
      <c r="C906" s="112" t="s">
        <v>1240</v>
      </c>
      <c r="D906" s="113">
        <v>46183.597349537034</v>
      </c>
      <c r="E906" s="112">
        <v>7900416044</v>
      </c>
      <c r="F906" s="112" t="s">
        <v>1219</v>
      </c>
      <c r="G906" s="112">
        <v>2</v>
      </c>
      <c r="H906" s="112">
        <v>7900416044</v>
      </c>
      <c r="I906" s="112" t="s">
        <v>4241</v>
      </c>
      <c r="J906" s="112" t="s">
        <v>1066</v>
      </c>
      <c r="K906" s="112" t="s">
        <v>1125</v>
      </c>
      <c r="L906" s="112" t="s">
        <v>1061</v>
      </c>
      <c r="M906" s="112" t="s">
        <v>478</v>
      </c>
      <c r="N906" s="113">
        <v>46583.597349537034</v>
      </c>
      <c r="O906" s="114">
        <v>19002219779</v>
      </c>
      <c r="P906" s="112">
        <v>1.056</v>
      </c>
      <c r="Q906" s="112" t="s">
        <v>1062</v>
      </c>
      <c r="R906" s="112" t="s">
        <v>1063</v>
      </c>
      <c r="S906" s="113">
        <v>46147.63559027778</v>
      </c>
      <c r="T906" s="112" t="s">
        <v>4242</v>
      </c>
      <c r="U906" s="112" t="s">
        <v>1065</v>
      </c>
      <c r="V906" s="112" t="s">
        <v>1066</v>
      </c>
      <c r="W906" s="112" t="s">
        <v>1066</v>
      </c>
      <c r="X906" s="112" t="s">
        <v>1066</v>
      </c>
      <c r="Y906" s="112" t="s">
        <v>1066</v>
      </c>
      <c r="Z906" s="112" t="s">
        <v>1066</v>
      </c>
      <c r="AA906" s="112" t="s">
        <v>1067</v>
      </c>
      <c r="AB906" s="112" t="s">
        <v>1066</v>
      </c>
      <c r="AC906" s="112" t="s">
        <v>92</v>
      </c>
      <c r="AD906" s="112" t="s">
        <v>1066</v>
      </c>
      <c r="AE906" s="112" t="s">
        <v>1066</v>
      </c>
      <c r="AF906" s="112" t="s">
        <v>1066</v>
      </c>
      <c r="AG906" s="112" t="s">
        <v>1066</v>
      </c>
      <c r="AH906" s="112" t="s">
        <v>1066</v>
      </c>
      <c r="AI906" s="112" t="s">
        <v>785</v>
      </c>
      <c r="AJ906" s="112">
        <v>8810822</v>
      </c>
      <c r="AK906" s="112" t="s">
        <v>1941</v>
      </c>
      <c r="AL906" s="112">
        <v>729313</v>
      </c>
      <c r="AM906" s="112" t="s">
        <v>1066</v>
      </c>
      <c r="AN906" s="112" t="s">
        <v>1066</v>
      </c>
    </row>
    <row r="907" spans="1:40" ht="55.5" customHeight="1" x14ac:dyDescent="0.25">
      <c r="A907" s="111" t="s">
        <v>4301</v>
      </c>
      <c r="B907" s="112">
        <v>2026</v>
      </c>
      <c r="C907" s="112" t="s">
        <v>1089</v>
      </c>
      <c r="D907" s="113">
        <v>46028.41065972222</v>
      </c>
      <c r="E907" s="112">
        <v>7900015059</v>
      </c>
      <c r="F907" s="112" t="s">
        <v>4302</v>
      </c>
      <c r="G907" s="112">
        <v>1</v>
      </c>
      <c r="H907" s="112">
        <v>7900015059</v>
      </c>
      <c r="I907" s="112" t="s">
        <v>4303</v>
      </c>
      <c r="J907" s="112" t="s">
        <v>1092</v>
      </c>
      <c r="K907" s="112" t="s">
        <v>1093</v>
      </c>
      <c r="L907" s="112" t="s">
        <v>1061</v>
      </c>
      <c r="M907" s="112" t="s">
        <v>478</v>
      </c>
      <c r="N907" s="113">
        <v>46428.41065972222</v>
      </c>
      <c r="O907" s="114">
        <v>19002223728</v>
      </c>
      <c r="P907" s="112">
        <v>5.7750000000000004</v>
      </c>
      <c r="Q907" s="112" t="s">
        <v>1062</v>
      </c>
      <c r="R907" s="112" t="s">
        <v>1063</v>
      </c>
      <c r="S907" s="113">
        <v>46036.727407407408</v>
      </c>
      <c r="T907" s="112" t="s">
        <v>4304</v>
      </c>
      <c r="U907" s="112" t="s">
        <v>1065</v>
      </c>
      <c r="V907" s="112" t="s">
        <v>1066</v>
      </c>
      <c r="W907" s="112" t="s">
        <v>1066</v>
      </c>
      <c r="X907" s="112" t="s">
        <v>1066</v>
      </c>
      <c r="Y907" s="112" t="s">
        <v>1066</v>
      </c>
      <c r="Z907" s="112" t="s">
        <v>1066</v>
      </c>
      <c r="AA907" s="112" t="s">
        <v>1067</v>
      </c>
      <c r="AB907" s="112" t="s">
        <v>1066</v>
      </c>
      <c r="AC907" s="112" t="s">
        <v>92</v>
      </c>
      <c r="AD907" s="112" t="s">
        <v>1066</v>
      </c>
      <c r="AE907" s="112" t="s">
        <v>1066</v>
      </c>
      <c r="AF907" s="112" t="s">
        <v>1066</v>
      </c>
      <c r="AG907" s="112" t="s">
        <v>1066</v>
      </c>
      <c r="AH907" s="112" t="s">
        <v>1066</v>
      </c>
      <c r="AI907" s="112" t="s">
        <v>785</v>
      </c>
      <c r="AJ907" s="112">
        <v>8858375</v>
      </c>
      <c r="AK907" s="112" t="s">
        <v>264</v>
      </c>
      <c r="AL907" s="112">
        <v>795696</v>
      </c>
      <c r="AM907" s="112" t="s">
        <v>1066</v>
      </c>
      <c r="AN907" s="112" t="s">
        <v>1066</v>
      </c>
    </row>
    <row r="908" spans="1:40" ht="55.5" customHeight="1" x14ac:dyDescent="0.25">
      <c r="A908" s="111" t="s">
        <v>4305</v>
      </c>
      <c r="B908" s="112">
        <v>2026</v>
      </c>
      <c r="C908" s="112" t="s">
        <v>4306</v>
      </c>
      <c r="D908" s="113">
        <v>46013.606585648151</v>
      </c>
      <c r="E908" s="112">
        <v>3300225031</v>
      </c>
      <c r="F908" s="112" t="s">
        <v>1346</v>
      </c>
      <c r="G908" s="112">
        <v>3</v>
      </c>
      <c r="H908" s="112">
        <v>7963500031</v>
      </c>
      <c r="I908" s="112" t="s">
        <v>4307</v>
      </c>
      <c r="J908" s="112" t="s">
        <v>1231</v>
      </c>
      <c r="K908" s="112" t="s">
        <v>1232</v>
      </c>
      <c r="L908" s="112" t="s">
        <v>1084</v>
      </c>
      <c r="M908" s="112" t="s">
        <v>478</v>
      </c>
      <c r="N908" s="113">
        <v>46097.702916666669</v>
      </c>
      <c r="O908" s="114">
        <v>19002817569</v>
      </c>
      <c r="P908" s="112">
        <v>51</v>
      </c>
      <c r="Q908" s="112" t="s">
        <v>1131</v>
      </c>
      <c r="R908" s="112" t="s">
        <v>1206</v>
      </c>
      <c r="S908" s="113">
        <v>46057.402870370373</v>
      </c>
      <c r="T908" s="112" t="s">
        <v>4308</v>
      </c>
      <c r="U908" s="112" t="s">
        <v>1065</v>
      </c>
      <c r="V908" s="112" t="s">
        <v>1066</v>
      </c>
      <c r="W908" s="112" t="s">
        <v>1066</v>
      </c>
      <c r="X908" s="112" t="s">
        <v>983</v>
      </c>
      <c r="Y908" s="112" t="s">
        <v>1066</v>
      </c>
      <c r="Z908" s="112" t="s">
        <v>1066</v>
      </c>
      <c r="AA908" s="112" t="s">
        <v>1067</v>
      </c>
      <c r="AB908" s="112" t="s">
        <v>1066</v>
      </c>
      <c r="AC908" s="112" t="s">
        <v>92</v>
      </c>
      <c r="AD908" s="112" t="s">
        <v>1066</v>
      </c>
      <c r="AE908" s="112" t="s">
        <v>1066</v>
      </c>
      <c r="AF908" s="112" t="s">
        <v>1066</v>
      </c>
      <c r="AG908" s="112" t="s">
        <v>1066</v>
      </c>
      <c r="AH908" s="112" t="s">
        <v>4309</v>
      </c>
      <c r="AI908" s="112" t="s">
        <v>785</v>
      </c>
      <c r="AJ908" s="112">
        <v>8957465</v>
      </c>
      <c r="AK908" s="112" t="s">
        <v>502</v>
      </c>
      <c r="AL908" s="112">
        <v>767893</v>
      </c>
      <c r="AM908" s="112" t="s">
        <v>1066</v>
      </c>
      <c r="AN908" s="112" t="s">
        <v>1066</v>
      </c>
    </row>
    <row r="909" spans="1:40" ht="55.5" customHeight="1" x14ac:dyDescent="0.25">
      <c r="A909" s="111" t="s">
        <v>4310</v>
      </c>
      <c r="B909" s="112">
        <v>2026</v>
      </c>
      <c r="C909" s="112" t="s">
        <v>4311</v>
      </c>
      <c r="D909" s="113">
        <v>46115.883726851855</v>
      </c>
      <c r="E909" s="112">
        <v>8800288077</v>
      </c>
      <c r="F909" s="112" t="s">
        <v>191</v>
      </c>
      <c r="G909" s="112">
        <v>2</v>
      </c>
      <c r="H909" s="112">
        <v>5800291077</v>
      </c>
      <c r="I909" s="112" t="s">
        <v>3646</v>
      </c>
      <c r="J909" s="112" t="s">
        <v>1071</v>
      </c>
      <c r="K909" s="112" t="s">
        <v>1428</v>
      </c>
      <c r="L909" s="112" t="s">
        <v>1073</v>
      </c>
      <c r="M909" s="112" t="s">
        <v>478</v>
      </c>
      <c r="N909" s="113">
        <v>46160.415243055555</v>
      </c>
      <c r="O909" s="114">
        <v>19002725814</v>
      </c>
      <c r="P909" s="112">
        <v>2.8679999999999999</v>
      </c>
      <c r="Q909" s="112" t="s">
        <v>1074</v>
      </c>
      <c r="R909" s="112" t="s">
        <v>1075</v>
      </c>
      <c r="S909" s="113">
        <v>46164.674305555556</v>
      </c>
      <c r="T909" s="112" t="s">
        <v>4312</v>
      </c>
      <c r="U909" s="112" t="s">
        <v>1065</v>
      </c>
      <c r="V909" s="112" t="s">
        <v>1066</v>
      </c>
      <c r="W909" s="112" t="s">
        <v>1066</v>
      </c>
      <c r="X909" s="112" t="s">
        <v>2026</v>
      </c>
      <c r="Y909" s="112" t="s">
        <v>1066</v>
      </c>
      <c r="Z909" s="112" t="s">
        <v>1479</v>
      </c>
      <c r="AA909" s="112" t="s">
        <v>1067</v>
      </c>
      <c r="AB909" s="112" t="s">
        <v>1066</v>
      </c>
      <c r="AC909" s="112" t="s">
        <v>92</v>
      </c>
      <c r="AD909" s="112" t="s">
        <v>1066</v>
      </c>
      <c r="AE909" s="112" t="s">
        <v>1066</v>
      </c>
      <c r="AF909" s="112" t="s">
        <v>1066</v>
      </c>
      <c r="AG909" s="112" t="s">
        <v>1066</v>
      </c>
      <c r="AH909" s="112" t="s">
        <v>3644</v>
      </c>
      <c r="AI909" s="112" t="s">
        <v>785</v>
      </c>
      <c r="AJ909" s="112">
        <v>9145471</v>
      </c>
      <c r="AK909" s="112" t="s">
        <v>190</v>
      </c>
      <c r="AL909" s="112">
        <v>905726</v>
      </c>
      <c r="AM909" s="112" t="s">
        <v>1066</v>
      </c>
      <c r="AN909" s="112" t="s">
        <v>1066</v>
      </c>
    </row>
    <row r="910" spans="1:40" ht="55.5" customHeight="1" x14ac:dyDescent="0.25">
      <c r="A910" s="111" t="s">
        <v>4313</v>
      </c>
      <c r="B910" s="112">
        <v>2026</v>
      </c>
      <c r="C910" s="112" t="s">
        <v>4314</v>
      </c>
      <c r="D910" s="113">
        <v>46097.382476851853</v>
      </c>
      <c r="E910" s="112">
        <v>9007768122</v>
      </c>
      <c r="F910" s="112" t="s">
        <v>412</v>
      </c>
      <c r="G910" s="112">
        <v>3</v>
      </c>
      <c r="H910" s="112">
        <v>7937520122</v>
      </c>
      <c r="I910" s="112" t="s">
        <v>4315</v>
      </c>
      <c r="J910" s="112" t="s">
        <v>1082</v>
      </c>
      <c r="K910" s="112" t="s">
        <v>1083</v>
      </c>
      <c r="L910" s="112" t="s">
        <v>1084</v>
      </c>
      <c r="M910" s="112" t="s">
        <v>478</v>
      </c>
      <c r="N910" s="113">
        <v>46157.382476851853</v>
      </c>
      <c r="O910" s="114">
        <v>19001290274</v>
      </c>
      <c r="P910" s="112">
        <v>339</v>
      </c>
      <c r="Q910" s="112" t="s">
        <v>1131</v>
      </c>
      <c r="R910" s="112" t="s">
        <v>1085</v>
      </c>
      <c r="S910" s="113">
        <v>46134.434027777781</v>
      </c>
      <c r="T910" s="112" t="s">
        <v>4316</v>
      </c>
      <c r="U910" s="112" t="s">
        <v>1065</v>
      </c>
      <c r="V910" s="112" t="s">
        <v>1066</v>
      </c>
      <c r="W910" s="112" t="s">
        <v>1066</v>
      </c>
      <c r="X910" s="112" t="s">
        <v>983</v>
      </c>
      <c r="Y910" s="112" t="s">
        <v>1066</v>
      </c>
      <c r="Z910" s="112" t="s">
        <v>1066</v>
      </c>
      <c r="AA910" s="112" t="s">
        <v>1067</v>
      </c>
      <c r="AB910" s="112" t="s">
        <v>1066</v>
      </c>
      <c r="AC910" s="112" t="s">
        <v>92</v>
      </c>
      <c r="AD910" s="112" t="s">
        <v>1142</v>
      </c>
      <c r="AE910" s="112" t="s">
        <v>1066</v>
      </c>
      <c r="AF910" s="112" t="s">
        <v>1066</v>
      </c>
      <c r="AG910" s="112" t="s">
        <v>1066</v>
      </c>
      <c r="AH910" s="112" t="s">
        <v>1066</v>
      </c>
      <c r="AI910" s="112" t="s">
        <v>785</v>
      </c>
      <c r="AJ910" s="112">
        <v>8878016</v>
      </c>
      <c r="AK910" s="112" t="s">
        <v>264</v>
      </c>
      <c r="AL910" s="112">
        <v>790244</v>
      </c>
      <c r="AM910" s="112" t="s">
        <v>1066</v>
      </c>
      <c r="AN910" s="112" t="s">
        <v>1066</v>
      </c>
    </row>
    <row r="911" spans="1:40" ht="55.5" customHeight="1" x14ac:dyDescent="0.25">
      <c r="A911" s="111" t="s">
        <v>4317</v>
      </c>
      <c r="B911" s="112">
        <v>2026</v>
      </c>
      <c r="C911" s="112" t="s">
        <v>1057</v>
      </c>
      <c r="D911" s="113">
        <v>46125.584386574075</v>
      </c>
      <c r="E911" s="112">
        <v>7900468037</v>
      </c>
      <c r="F911" s="112" t="s">
        <v>186</v>
      </c>
      <c r="G911" s="112">
        <v>2</v>
      </c>
      <c r="H911" s="112">
        <v>7900468037</v>
      </c>
      <c r="I911" s="112" t="s">
        <v>4318</v>
      </c>
      <c r="J911" s="112" t="s">
        <v>1066</v>
      </c>
      <c r="K911" s="112" t="s">
        <v>1125</v>
      </c>
      <c r="L911" s="112" t="s">
        <v>1061</v>
      </c>
      <c r="M911" s="112" t="s">
        <v>478</v>
      </c>
      <c r="N911" s="113">
        <v>46525.584386574075</v>
      </c>
      <c r="O911" s="114">
        <v>19002776689</v>
      </c>
      <c r="P911" s="112">
        <v>198</v>
      </c>
      <c r="Q911" s="112" t="s">
        <v>1062</v>
      </c>
      <c r="R911" s="112" t="s">
        <v>1063</v>
      </c>
      <c r="S911" s="113">
        <v>46181.487523148149</v>
      </c>
      <c r="T911" s="112" t="s">
        <v>4319</v>
      </c>
      <c r="U911" s="112" t="s">
        <v>1065</v>
      </c>
      <c r="V911" s="112" t="s">
        <v>1066</v>
      </c>
      <c r="W911" s="112" t="s">
        <v>1066</v>
      </c>
      <c r="X911" s="112" t="s">
        <v>1066</v>
      </c>
      <c r="Y911" s="112" t="s">
        <v>1066</v>
      </c>
      <c r="Z911" s="112" t="s">
        <v>1066</v>
      </c>
      <c r="AA911" s="112" t="s">
        <v>1067</v>
      </c>
      <c r="AB911" s="112" t="s">
        <v>1066</v>
      </c>
      <c r="AC911" s="112" t="s">
        <v>92</v>
      </c>
      <c r="AD911" s="112" t="s">
        <v>1066</v>
      </c>
      <c r="AE911" s="112" t="s">
        <v>1066</v>
      </c>
      <c r="AF911" s="112" t="s">
        <v>1066</v>
      </c>
      <c r="AG911" s="112" t="s">
        <v>1066</v>
      </c>
      <c r="AH911" s="112" t="s">
        <v>1066</v>
      </c>
      <c r="AI911" s="112" t="s">
        <v>785</v>
      </c>
      <c r="AJ911" s="112">
        <v>8749291</v>
      </c>
      <c r="AK911" s="112" t="s">
        <v>1160</v>
      </c>
      <c r="AL911" s="112">
        <v>725603</v>
      </c>
      <c r="AM911" s="112" t="s">
        <v>1066</v>
      </c>
      <c r="AN911" s="112" t="s">
        <v>1066</v>
      </c>
    </row>
    <row r="912" spans="1:40" ht="55.5" customHeight="1" x14ac:dyDescent="0.25">
      <c r="A912" s="111" t="s">
        <v>4320</v>
      </c>
      <c r="B912" s="112">
        <v>2026</v>
      </c>
      <c r="C912" s="112" t="s">
        <v>1057</v>
      </c>
      <c r="D912" s="113">
        <v>46125.614548611113</v>
      </c>
      <c r="E912" s="112">
        <v>7900543083</v>
      </c>
      <c r="F912" s="112" t="s">
        <v>1090</v>
      </c>
      <c r="G912" s="112">
        <v>2</v>
      </c>
      <c r="H912" s="112">
        <v>7900543083</v>
      </c>
      <c r="I912" s="112" t="s">
        <v>2367</v>
      </c>
      <c r="J912" s="112" t="s">
        <v>1066</v>
      </c>
      <c r="K912" s="112" t="s">
        <v>1125</v>
      </c>
      <c r="L912" s="112" t="s">
        <v>1061</v>
      </c>
      <c r="M912" s="112" t="s">
        <v>478</v>
      </c>
      <c r="N912" s="113">
        <v>46525.614548611113</v>
      </c>
      <c r="O912" s="114">
        <v>19002212249</v>
      </c>
      <c r="P912" s="112">
        <v>1.9530000000000001</v>
      </c>
      <c r="Q912" s="112" t="s">
        <v>1062</v>
      </c>
      <c r="R912" s="112" t="s">
        <v>1063</v>
      </c>
      <c r="S912" s="113">
        <v>46209.481122685182</v>
      </c>
      <c r="T912" s="112" t="s">
        <v>4321</v>
      </c>
      <c r="U912" s="112" t="s">
        <v>1065</v>
      </c>
      <c r="V912" s="112" t="s">
        <v>1066</v>
      </c>
      <c r="W912" s="112" t="s">
        <v>1066</v>
      </c>
      <c r="X912" s="112" t="s">
        <v>1066</v>
      </c>
      <c r="Y912" s="112" t="s">
        <v>1066</v>
      </c>
      <c r="Z912" s="112" t="s">
        <v>1066</v>
      </c>
      <c r="AA912" s="112" t="s">
        <v>1067</v>
      </c>
      <c r="AB912" s="112" t="s">
        <v>1066</v>
      </c>
      <c r="AC912" s="112" t="s">
        <v>92</v>
      </c>
      <c r="AD912" s="112" t="s">
        <v>1066</v>
      </c>
      <c r="AE912" s="112" t="s">
        <v>1066</v>
      </c>
      <c r="AF912" s="112" t="s">
        <v>1066</v>
      </c>
      <c r="AG912" s="112" t="s">
        <v>1066</v>
      </c>
      <c r="AH912" s="112" t="s">
        <v>1066</v>
      </c>
      <c r="AI912" s="112" t="s">
        <v>785</v>
      </c>
      <c r="AJ912" s="112">
        <v>8899173</v>
      </c>
      <c r="AK912" s="112" t="s">
        <v>519</v>
      </c>
      <c r="AL912" s="112">
        <v>831823</v>
      </c>
      <c r="AM912" s="112" t="s">
        <v>1066</v>
      </c>
      <c r="AN912" s="112" t="s">
        <v>1066</v>
      </c>
    </row>
    <row r="913" spans="1:40" ht="55.5" customHeight="1" x14ac:dyDescent="0.25">
      <c r="A913" s="111" t="s">
        <v>4322</v>
      </c>
      <c r="B913" s="112">
        <v>2026</v>
      </c>
      <c r="C913" s="112" t="s">
        <v>4323</v>
      </c>
      <c r="D913" s="113">
        <v>46212.66679398148</v>
      </c>
      <c r="E913" s="112">
        <v>9001184091</v>
      </c>
      <c r="F913" s="112" t="s">
        <v>3023</v>
      </c>
      <c r="G913" s="112">
        <v>1</v>
      </c>
      <c r="H913" s="112">
        <v>5809431091</v>
      </c>
      <c r="I913" s="112" t="s">
        <v>4324</v>
      </c>
      <c r="J913" s="112" t="s">
        <v>1092</v>
      </c>
      <c r="K913" s="112" t="s">
        <v>1330</v>
      </c>
      <c r="L913" s="112" t="s">
        <v>1061</v>
      </c>
      <c r="M913" s="112" t="s">
        <v>478</v>
      </c>
      <c r="N913" s="113">
        <v>46612.66679398148</v>
      </c>
      <c r="O913" s="114">
        <v>19002788890</v>
      </c>
      <c r="P913" s="112">
        <v>7</v>
      </c>
      <c r="Q913" s="112" t="s">
        <v>1074</v>
      </c>
      <c r="R913" s="112" t="s">
        <v>1063</v>
      </c>
      <c r="S913" s="113">
        <v>46227.729317129626</v>
      </c>
      <c r="T913" s="112" t="s">
        <v>4325</v>
      </c>
      <c r="U913" s="112" t="s">
        <v>1065</v>
      </c>
      <c r="V913" s="112" t="s">
        <v>1066</v>
      </c>
      <c r="W913" s="112" t="s">
        <v>1066</v>
      </c>
      <c r="X913" s="112" t="s">
        <v>1332</v>
      </c>
      <c r="Y913" s="112" t="s">
        <v>1066</v>
      </c>
      <c r="Z913" s="112" t="s">
        <v>1066</v>
      </c>
      <c r="AA913" s="112" t="s">
        <v>1067</v>
      </c>
      <c r="AB913" s="112" t="s">
        <v>1066</v>
      </c>
      <c r="AC913" s="112" t="s">
        <v>92</v>
      </c>
      <c r="AD913" s="112" t="s">
        <v>1066</v>
      </c>
      <c r="AE913" s="112" t="s">
        <v>1066</v>
      </c>
      <c r="AF913" s="112" t="s">
        <v>1066</v>
      </c>
      <c r="AG913" s="112" t="s">
        <v>1066</v>
      </c>
      <c r="AH913" s="112" t="s">
        <v>1066</v>
      </c>
      <c r="AI913" s="112" t="s">
        <v>785</v>
      </c>
      <c r="AJ913" s="112">
        <v>8710149</v>
      </c>
      <c r="AK913" s="112" t="s">
        <v>40</v>
      </c>
      <c r="AL913" s="112">
        <v>892798</v>
      </c>
      <c r="AM913" s="112" t="s">
        <v>1066</v>
      </c>
      <c r="AN913" s="112" t="s">
        <v>1066</v>
      </c>
    </row>
    <row r="914" spans="1:40" ht="55.5" customHeight="1" x14ac:dyDescent="0.25">
      <c r="A914" s="111" t="s">
        <v>4326</v>
      </c>
      <c r="B914" s="112">
        <v>2026</v>
      </c>
      <c r="C914" s="112" t="s">
        <v>1057</v>
      </c>
      <c r="D914" s="113">
        <v>46122.378541666665</v>
      </c>
      <c r="E914" s="112">
        <v>7900182004</v>
      </c>
      <c r="F914" s="112" t="s">
        <v>2735</v>
      </c>
      <c r="G914" s="112">
        <v>1</v>
      </c>
      <c r="H914" s="112">
        <v>7900182004</v>
      </c>
      <c r="I914" s="112" t="s">
        <v>4327</v>
      </c>
      <c r="J914" s="112" t="s">
        <v>1059</v>
      </c>
      <c r="K914" s="112" t="s">
        <v>1060</v>
      </c>
      <c r="L914" s="112" t="s">
        <v>1061</v>
      </c>
      <c r="M914" s="112" t="s">
        <v>478</v>
      </c>
      <c r="N914" s="113">
        <v>46522.378541666665</v>
      </c>
      <c r="O914" s="114">
        <v>19002295934</v>
      </c>
      <c r="P914" s="112">
        <v>0</v>
      </c>
      <c r="Q914" s="112" t="s">
        <v>1062</v>
      </c>
      <c r="R914" s="112" t="s">
        <v>1063</v>
      </c>
      <c r="S914" s="113">
        <v>46132.398530092592</v>
      </c>
      <c r="T914" s="112" t="s">
        <v>4328</v>
      </c>
      <c r="U914" s="112" t="s">
        <v>1065</v>
      </c>
      <c r="V914" s="112" t="s">
        <v>1066</v>
      </c>
      <c r="W914" s="112" t="s">
        <v>1066</v>
      </c>
      <c r="X914" s="112" t="s">
        <v>1066</v>
      </c>
      <c r="Y914" s="112" t="s">
        <v>1066</v>
      </c>
      <c r="Z914" s="112" t="s">
        <v>1066</v>
      </c>
      <c r="AA914" s="112" t="s">
        <v>1067</v>
      </c>
      <c r="AB914" s="112" t="s">
        <v>1066</v>
      </c>
      <c r="AC914" s="112" t="s">
        <v>92</v>
      </c>
      <c r="AD914" s="112" t="s">
        <v>1066</v>
      </c>
      <c r="AE914" s="112" t="s">
        <v>1066</v>
      </c>
      <c r="AF914" s="112" t="s">
        <v>1066</v>
      </c>
      <c r="AG914" s="112" t="s">
        <v>1066</v>
      </c>
      <c r="AH914" s="112" t="s">
        <v>1066</v>
      </c>
      <c r="AI914" s="112" t="s">
        <v>785</v>
      </c>
      <c r="AJ914" s="112">
        <v>9204383</v>
      </c>
      <c r="AK914" s="112" t="s">
        <v>69</v>
      </c>
      <c r="AL914" s="112">
        <v>806716</v>
      </c>
      <c r="AM914" s="112" t="s">
        <v>1066</v>
      </c>
      <c r="AN914" s="112" t="s">
        <v>1066</v>
      </c>
    </row>
    <row r="915" spans="1:40" ht="55.5" customHeight="1" x14ac:dyDescent="0.25">
      <c r="A915" s="111" t="s">
        <v>4329</v>
      </c>
      <c r="B915" s="112">
        <v>2026</v>
      </c>
      <c r="C915" s="112" t="s">
        <v>1240</v>
      </c>
      <c r="D915" s="113">
        <v>46183.597349537034</v>
      </c>
      <c r="E915" s="112">
        <v>7900651085</v>
      </c>
      <c r="F915" s="112" t="s">
        <v>153</v>
      </c>
      <c r="G915" s="112">
        <v>2</v>
      </c>
      <c r="H915" s="112">
        <v>7900651085</v>
      </c>
      <c r="I915" s="112" t="s">
        <v>2869</v>
      </c>
      <c r="J915" s="112" t="s">
        <v>1066</v>
      </c>
      <c r="K915" s="112" t="s">
        <v>1125</v>
      </c>
      <c r="L915" s="112" t="s">
        <v>1061</v>
      </c>
      <c r="M915" s="112" t="s">
        <v>478</v>
      </c>
      <c r="N915" s="113">
        <v>46583.597349537034</v>
      </c>
      <c r="O915" s="114">
        <v>19002259110</v>
      </c>
      <c r="P915" s="112">
        <v>163</v>
      </c>
      <c r="Q915" s="112" t="s">
        <v>1062</v>
      </c>
      <c r="R915" s="112" t="s">
        <v>1063</v>
      </c>
      <c r="S915" s="113">
        <v>46183.353703703702</v>
      </c>
      <c r="T915" s="112" t="s">
        <v>2870</v>
      </c>
      <c r="U915" s="112" t="s">
        <v>1065</v>
      </c>
      <c r="V915" s="112" t="s">
        <v>1066</v>
      </c>
      <c r="W915" s="112" t="s">
        <v>1066</v>
      </c>
      <c r="X915" s="112" t="s">
        <v>1066</v>
      </c>
      <c r="Y915" s="112" t="s">
        <v>1066</v>
      </c>
      <c r="Z915" s="112" t="s">
        <v>1066</v>
      </c>
      <c r="AA915" s="112" t="s">
        <v>1067</v>
      </c>
      <c r="AB915" s="112" t="s">
        <v>1066</v>
      </c>
      <c r="AC915" s="112" t="s">
        <v>92</v>
      </c>
      <c r="AD915" s="112" t="s">
        <v>1066</v>
      </c>
      <c r="AE915" s="112" t="s">
        <v>1066</v>
      </c>
      <c r="AF915" s="112" t="s">
        <v>1066</v>
      </c>
      <c r="AG915" s="112" t="s">
        <v>1066</v>
      </c>
      <c r="AH915" s="112" t="s">
        <v>1066</v>
      </c>
      <c r="AI915" s="112" t="s">
        <v>785</v>
      </c>
      <c r="AJ915" s="112">
        <v>8898258</v>
      </c>
      <c r="AK915" s="112" t="s">
        <v>579</v>
      </c>
      <c r="AL915" s="112">
        <v>714341</v>
      </c>
      <c r="AM915" s="112" t="s">
        <v>1066</v>
      </c>
      <c r="AN915" s="112" t="s">
        <v>1066</v>
      </c>
    </row>
    <row r="916" spans="1:40" ht="55.5" customHeight="1" x14ac:dyDescent="0.25">
      <c r="A916" s="115" t="s">
        <v>4330</v>
      </c>
      <c r="B916" s="116">
        <v>2026</v>
      </c>
      <c r="C916" s="116" t="s">
        <v>4331</v>
      </c>
      <c r="D916" s="118">
        <v>46149.575162037036</v>
      </c>
      <c r="E916" s="116">
        <v>8846927086</v>
      </c>
      <c r="F916" s="116" t="s">
        <v>355</v>
      </c>
      <c r="G916" s="116">
        <v>3</v>
      </c>
      <c r="H916" s="116">
        <v>8846927086</v>
      </c>
      <c r="I916" s="116" t="s">
        <v>4332</v>
      </c>
      <c r="J916" s="116" t="s">
        <v>1231</v>
      </c>
      <c r="K916" s="116" t="s">
        <v>1494</v>
      </c>
      <c r="L916" s="116" t="s">
        <v>1084</v>
      </c>
      <c r="M916" s="116" t="s">
        <v>588</v>
      </c>
      <c r="N916" s="118">
        <v>46266.465046296296</v>
      </c>
      <c r="O916" s="119">
        <v>19002624984</v>
      </c>
      <c r="P916" s="116">
        <v>668</v>
      </c>
      <c r="Q916" s="116" t="s">
        <v>1262</v>
      </c>
      <c r="R916" s="116" t="s">
        <v>1206</v>
      </c>
      <c r="S916" s="116" t="s">
        <v>1066</v>
      </c>
      <c r="T916" s="116" t="s">
        <v>1066</v>
      </c>
      <c r="U916" s="116" t="s">
        <v>1066</v>
      </c>
      <c r="V916" s="116" t="s">
        <v>1066</v>
      </c>
      <c r="W916" s="116" t="s">
        <v>1066</v>
      </c>
      <c r="X916" s="116" t="s">
        <v>1066</v>
      </c>
      <c r="Y916" s="116" t="s">
        <v>1066</v>
      </c>
      <c r="Z916" s="116" t="s">
        <v>1066</v>
      </c>
      <c r="AA916" s="116" t="s">
        <v>1067</v>
      </c>
      <c r="AB916" s="116" t="s">
        <v>1066</v>
      </c>
      <c r="AC916" s="116" t="s">
        <v>92</v>
      </c>
      <c r="AD916" s="116" t="s">
        <v>1066</v>
      </c>
      <c r="AE916" s="116" t="s">
        <v>1066</v>
      </c>
      <c r="AF916" s="116" t="s">
        <v>1066</v>
      </c>
      <c r="AG916" s="116" t="s">
        <v>1066</v>
      </c>
      <c r="AH916" s="116" t="s">
        <v>4333</v>
      </c>
      <c r="AI916" s="116" t="s">
        <v>785</v>
      </c>
      <c r="AJ916" s="116">
        <v>8917098</v>
      </c>
      <c r="AK916" s="116" t="s">
        <v>1143</v>
      </c>
      <c r="AL916" s="116">
        <v>643201</v>
      </c>
      <c r="AM916" s="116" t="s">
        <v>2676</v>
      </c>
      <c r="AN916" s="116" t="s">
        <v>1066</v>
      </c>
    </row>
    <row r="917" spans="1:40" ht="55.5" customHeight="1" x14ac:dyDescent="0.25">
      <c r="A917" s="111" t="s">
        <v>4334</v>
      </c>
      <c r="B917" s="112">
        <v>2026</v>
      </c>
      <c r="C917" s="112" t="s">
        <v>1089</v>
      </c>
      <c r="D917" s="113">
        <v>46028.41065972222</v>
      </c>
      <c r="E917" s="112">
        <v>7931556013</v>
      </c>
      <c r="F917" s="112" t="s">
        <v>3461</v>
      </c>
      <c r="G917" s="112">
        <v>1</v>
      </c>
      <c r="H917" s="112">
        <v>7931556013</v>
      </c>
      <c r="I917" s="112" t="s">
        <v>4335</v>
      </c>
      <c r="J917" s="112" t="s">
        <v>1092</v>
      </c>
      <c r="K917" s="112" t="s">
        <v>1093</v>
      </c>
      <c r="L917" s="112" t="s">
        <v>1061</v>
      </c>
      <c r="M917" s="112" t="s">
        <v>478</v>
      </c>
      <c r="N917" s="113">
        <v>46428.41065972222</v>
      </c>
      <c r="O917" s="114">
        <v>19002679816</v>
      </c>
      <c r="P917" s="112">
        <v>3.7879999999999998</v>
      </c>
      <c r="Q917" s="112" t="s">
        <v>1062</v>
      </c>
      <c r="R917" s="112" t="s">
        <v>1063</v>
      </c>
      <c r="S917" s="113">
        <v>46030.458333333336</v>
      </c>
      <c r="T917" s="112" t="s">
        <v>4336</v>
      </c>
      <c r="U917" s="112" t="s">
        <v>1065</v>
      </c>
      <c r="V917" s="112" t="s">
        <v>1066</v>
      </c>
      <c r="W917" s="112" t="s">
        <v>1066</v>
      </c>
      <c r="X917" s="112" t="s">
        <v>1066</v>
      </c>
      <c r="Y917" s="112" t="s">
        <v>1066</v>
      </c>
      <c r="Z917" s="112" t="s">
        <v>1066</v>
      </c>
      <c r="AA917" s="112" t="s">
        <v>1067</v>
      </c>
      <c r="AB917" s="112" t="s">
        <v>1066</v>
      </c>
      <c r="AC917" s="112" t="s">
        <v>92</v>
      </c>
      <c r="AD917" s="112" t="s">
        <v>1066</v>
      </c>
      <c r="AE917" s="112" t="s">
        <v>1066</v>
      </c>
      <c r="AF917" s="112" t="s">
        <v>1066</v>
      </c>
      <c r="AG917" s="112" t="s">
        <v>1066</v>
      </c>
      <c r="AH917" s="112" t="s">
        <v>1066</v>
      </c>
      <c r="AI917" s="112" t="s">
        <v>785</v>
      </c>
      <c r="AJ917" s="112">
        <v>8874721</v>
      </c>
      <c r="AK917" s="112" t="s">
        <v>117</v>
      </c>
      <c r="AL917" s="112">
        <v>731688</v>
      </c>
      <c r="AM917" s="112" t="s">
        <v>1066</v>
      </c>
      <c r="AN917" s="112" t="s">
        <v>1066</v>
      </c>
    </row>
    <row r="918" spans="1:40" ht="55.5" customHeight="1" x14ac:dyDescent="0.25">
      <c r="A918" s="111" t="s">
        <v>4337</v>
      </c>
      <c r="B918" s="112">
        <v>2026</v>
      </c>
      <c r="C918" s="112" t="s">
        <v>1213</v>
      </c>
      <c r="D918" s="113">
        <v>46122.549942129626</v>
      </c>
      <c r="E918" s="112">
        <v>7924850004</v>
      </c>
      <c r="F918" s="112" t="s">
        <v>284</v>
      </c>
      <c r="G918" s="112">
        <v>3</v>
      </c>
      <c r="H918" s="112">
        <v>7924850004</v>
      </c>
      <c r="I918" s="112" t="s">
        <v>4338</v>
      </c>
      <c r="J918" s="112" t="s">
        <v>1066</v>
      </c>
      <c r="K918" s="112" t="s">
        <v>1125</v>
      </c>
      <c r="L918" s="112" t="s">
        <v>1061</v>
      </c>
      <c r="M918" s="112" t="s">
        <v>478</v>
      </c>
      <c r="N918" s="113">
        <v>46522.549942129626</v>
      </c>
      <c r="O918" s="114">
        <v>19002218200</v>
      </c>
      <c r="P918" s="112">
        <v>0</v>
      </c>
      <c r="Q918" s="112" t="s">
        <v>1062</v>
      </c>
      <c r="R918" s="112" t="s">
        <v>1063</v>
      </c>
      <c r="S918" s="113">
        <v>46129.423611111109</v>
      </c>
      <c r="T918" s="112" t="s">
        <v>4339</v>
      </c>
      <c r="U918" s="112" t="s">
        <v>1065</v>
      </c>
      <c r="V918" s="112" t="s">
        <v>1066</v>
      </c>
      <c r="W918" s="112" t="s">
        <v>1066</v>
      </c>
      <c r="X918" s="112" t="s">
        <v>1066</v>
      </c>
      <c r="Y918" s="112" t="s">
        <v>1066</v>
      </c>
      <c r="Z918" s="112" t="s">
        <v>1066</v>
      </c>
      <c r="AA918" s="112" t="s">
        <v>1067</v>
      </c>
      <c r="AB918" s="112" t="s">
        <v>1066</v>
      </c>
      <c r="AC918" s="112" t="s">
        <v>92</v>
      </c>
      <c r="AD918" s="112" t="s">
        <v>1066</v>
      </c>
      <c r="AE918" s="112" t="s">
        <v>1066</v>
      </c>
      <c r="AF918" s="112" t="s">
        <v>1066</v>
      </c>
      <c r="AG918" s="112" t="s">
        <v>1066</v>
      </c>
      <c r="AH918" s="112" t="s">
        <v>1066</v>
      </c>
      <c r="AI918" s="112" t="s">
        <v>785</v>
      </c>
      <c r="AJ918" s="112">
        <v>9182896</v>
      </c>
      <c r="AK918" s="112" t="s">
        <v>69</v>
      </c>
      <c r="AL918" s="112">
        <v>743597</v>
      </c>
      <c r="AM918" s="112" t="s">
        <v>1066</v>
      </c>
      <c r="AN918" s="112" t="s">
        <v>1066</v>
      </c>
    </row>
    <row r="919" spans="1:40" ht="55.5" customHeight="1" x14ac:dyDescent="0.25">
      <c r="A919" s="124" t="s">
        <v>4340</v>
      </c>
      <c r="B919" s="125">
        <v>2026</v>
      </c>
      <c r="C919" s="125" t="s">
        <v>1449</v>
      </c>
      <c r="D919" s="126">
        <v>46244.660034722219</v>
      </c>
      <c r="E919" s="125">
        <v>7900308104</v>
      </c>
      <c r="F919" s="125" t="s">
        <v>170</v>
      </c>
      <c r="G919" s="125">
        <v>3</v>
      </c>
      <c r="H919" s="125">
        <v>7900308104</v>
      </c>
      <c r="I919" s="125" t="s">
        <v>4004</v>
      </c>
      <c r="J919" s="125" t="s">
        <v>1066</v>
      </c>
      <c r="K919" s="125" t="s">
        <v>1125</v>
      </c>
      <c r="L919" s="125" t="s">
        <v>1061</v>
      </c>
      <c r="M919" s="125" t="s">
        <v>510</v>
      </c>
      <c r="N919" s="126">
        <v>46644.660034722219</v>
      </c>
      <c r="O919" s="127">
        <v>19002295947</v>
      </c>
      <c r="P919" s="125">
        <v>2.843</v>
      </c>
      <c r="Q919" s="125" t="s">
        <v>1062</v>
      </c>
      <c r="R919" s="125" t="s">
        <v>1063</v>
      </c>
      <c r="S919" s="125" t="s">
        <v>1066</v>
      </c>
      <c r="T919" s="125" t="s">
        <v>1066</v>
      </c>
      <c r="U919" s="125" t="s">
        <v>1066</v>
      </c>
      <c r="V919" s="125" t="s">
        <v>1066</v>
      </c>
      <c r="W919" s="125" t="s">
        <v>1066</v>
      </c>
      <c r="X919" s="125" t="s">
        <v>1066</v>
      </c>
      <c r="Y919" s="125" t="s">
        <v>1066</v>
      </c>
      <c r="Z919" s="125" t="s">
        <v>1066</v>
      </c>
      <c r="AA919" s="125" t="s">
        <v>1067</v>
      </c>
      <c r="AB919" s="125" t="s">
        <v>1066</v>
      </c>
      <c r="AC919" s="125" t="s">
        <v>92</v>
      </c>
      <c r="AD919" s="125" t="s">
        <v>1066</v>
      </c>
      <c r="AE919" s="125" t="s">
        <v>1066</v>
      </c>
      <c r="AF919" s="125" t="s">
        <v>1066</v>
      </c>
      <c r="AG919" s="125" t="s">
        <v>1066</v>
      </c>
      <c r="AH919" s="125" t="s">
        <v>1066</v>
      </c>
      <c r="AI919" s="125" t="s">
        <v>785</v>
      </c>
      <c r="AJ919" s="125">
        <v>9028577</v>
      </c>
      <c r="AK919" s="125" t="s">
        <v>1688</v>
      </c>
      <c r="AL919" s="125">
        <v>858343</v>
      </c>
      <c r="AM919" s="125" t="s">
        <v>1066</v>
      </c>
      <c r="AN919" s="125" t="s">
        <v>1066</v>
      </c>
    </row>
    <row r="920" spans="1:40" ht="55.5" customHeight="1" x14ac:dyDescent="0.25">
      <c r="A920" s="124" t="s">
        <v>4341</v>
      </c>
      <c r="B920" s="125">
        <v>2026</v>
      </c>
      <c r="C920" s="125" t="s">
        <v>1449</v>
      </c>
      <c r="D920" s="126">
        <v>46244.660034722219</v>
      </c>
      <c r="E920" s="125">
        <v>7925051094</v>
      </c>
      <c r="F920" s="125" t="s">
        <v>249</v>
      </c>
      <c r="G920" s="125">
        <v>2</v>
      </c>
      <c r="H920" s="125">
        <v>7925051094</v>
      </c>
      <c r="I920" s="125" t="s">
        <v>2409</v>
      </c>
      <c r="J920" s="125" t="s">
        <v>1066</v>
      </c>
      <c r="K920" s="125" t="s">
        <v>1125</v>
      </c>
      <c r="L920" s="125" t="s">
        <v>1061</v>
      </c>
      <c r="M920" s="125" t="s">
        <v>510</v>
      </c>
      <c r="N920" s="126">
        <v>46644.660034722219</v>
      </c>
      <c r="O920" s="127">
        <v>19002205178</v>
      </c>
      <c r="P920" s="125">
        <v>647</v>
      </c>
      <c r="Q920" s="125" t="s">
        <v>1062</v>
      </c>
      <c r="R920" s="125" t="s">
        <v>1063</v>
      </c>
      <c r="S920" s="125" t="s">
        <v>1066</v>
      </c>
      <c r="T920" s="125" t="s">
        <v>4342</v>
      </c>
      <c r="U920" s="125" t="s">
        <v>1147</v>
      </c>
      <c r="V920" s="125" t="s">
        <v>1066</v>
      </c>
      <c r="W920" s="125" t="s">
        <v>1066</v>
      </c>
      <c r="X920" s="125" t="s">
        <v>1066</v>
      </c>
      <c r="Y920" s="125" t="s">
        <v>1066</v>
      </c>
      <c r="Z920" s="125" t="s">
        <v>1066</v>
      </c>
      <c r="AA920" s="125" t="s">
        <v>1067</v>
      </c>
      <c r="AB920" s="125" t="s">
        <v>1066</v>
      </c>
      <c r="AC920" s="125" t="s">
        <v>92</v>
      </c>
      <c r="AD920" s="125" t="s">
        <v>1066</v>
      </c>
      <c r="AE920" s="125" t="s">
        <v>1066</v>
      </c>
      <c r="AF920" s="125" t="s">
        <v>1066</v>
      </c>
      <c r="AG920" s="125" t="s">
        <v>1066</v>
      </c>
      <c r="AH920" s="125" t="s">
        <v>1066</v>
      </c>
      <c r="AI920" s="125" t="s">
        <v>785</v>
      </c>
      <c r="AJ920" s="125">
        <v>8684972</v>
      </c>
      <c r="AK920" s="125" t="s">
        <v>224</v>
      </c>
      <c r="AL920" s="125">
        <v>735809</v>
      </c>
      <c r="AM920" s="125" t="s">
        <v>1066</v>
      </c>
      <c r="AN920" s="125" t="s">
        <v>1066</v>
      </c>
    </row>
    <row r="921" spans="1:40" ht="55.5" customHeight="1" x14ac:dyDescent="0.25">
      <c r="A921" s="111" t="s">
        <v>4343</v>
      </c>
      <c r="B921" s="112">
        <v>2026</v>
      </c>
      <c r="C921" s="112" t="s">
        <v>4344</v>
      </c>
      <c r="D921" s="113">
        <v>46056.584629629629</v>
      </c>
      <c r="E921" s="112">
        <v>9000421075</v>
      </c>
      <c r="F921" s="112" t="s">
        <v>1415</v>
      </c>
      <c r="G921" s="112">
        <v>3</v>
      </c>
      <c r="H921" s="112">
        <v>7930427075</v>
      </c>
      <c r="I921" s="112" t="s">
        <v>4345</v>
      </c>
      <c r="J921" s="112" t="s">
        <v>1157</v>
      </c>
      <c r="K921" s="112" t="s">
        <v>1417</v>
      </c>
      <c r="L921" s="112" t="s">
        <v>1084</v>
      </c>
      <c r="M921" s="112" t="s">
        <v>478</v>
      </c>
      <c r="N921" s="113">
        <v>46116.584629629629</v>
      </c>
      <c r="O921" s="114">
        <v>19001268964</v>
      </c>
      <c r="P921" s="112">
        <v>261</v>
      </c>
      <c r="Q921" s="112" t="s">
        <v>1131</v>
      </c>
      <c r="R921" s="112" t="s">
        <v>1085</v>
      </c>
      <c r="S921" s="113">
        <v>46086.682696759257</v>
      </c>
      <c r="T921" s="112" t="s">
        <v>4346</v>
      </c>
      <c r="U921" s="112" t="s">
        <v>1065</v>
      </c>
      <c r="V921" s="112" t="s">
        <v>1066</v>
      </c>
      <c r="W921" s="112" t="s">
        <v>1066</v>
      </c>
      <c r="X921" s="112" t="s">
        <v>983</v>
      </c>
      <c r="Y921" s="112" t="s">
        <v>1066</v>
      </c>
      <c r="Z921" s="112" t="s">
        <v>1133</v>
      </c>
      <c r="AA921" s="112" t="s">
        <v>1067</v>
      </c>
      <c r="AB921" s="112" t="s">
        <v>1066</v>
      </c>
      <c r="AC921" s="112" t="s">
        <v>92</v>
      </c>
      <c r="AD921" s="112" t="s">
        <v>1142</v>
      </c>
      <c r="AE921" s="112" t="s">
        <v>1066</v>
      </c>
      <c r="AF921" s="112" t="s">
        <v>1066</v>
      </c>
      <c r="AG921" s="112" t="s">
        <v>1066</v>
      </c>
      <c r="AH921" s="112" t="s">
        <v>1066</v>
      </c>
      <c r="AI921" s="112" t="s">
        <v>785</v>
      </c>
      <c r="AJ921" s="112">
        <v>8955969</v>
      </c>
      <c r="AK921" s="112" t="s">
        <v>590</v>
      </c>
      <c r="AL921" s="112">
        <v>724702</v>
      </c>
      <c r="AM921" s="112" t="s">
        <v>1066</v>
      </c>
      <c r="AN921" s="112" t="s">
        <v>1066</v>
      </c>
    </row>
    <row r="922" spans="1:40" ht="55.5" customHeight="1" x14ac:dyDescent="0.25">
      <c r="A922" s="111" t="s">
        <v>4347</v>
      </c>
      <c r="B922" s="112">
        <v>2026</v>
      </c>
      <c r="C922" s="112" t="s">
        <v>4348</v>
      </c>
      <c r="D922" s="113">
        <v>46044.015266203707</v>
      </c>
      <c r="E922" s="112">
        <v>9036038076</v>
      </c>
      <c r="F922" s="112" t="s">
        <v>663</v>
      </c>
      <c r="G922" s="112">
        <v>3</v>
      </c>
      <c r="H922" s="112">
        <v>7936038076</v>
      </c>
      <c r="I922" s="112" t="s">
        <v>4349</v>
      </c>
      <c r="J922" s="112" t="s">
        <v>1071</v>
      </c>
      <c r="K922" s="112" t="s">
        <v>3119</v>
      </c>
      <c r="L922" s="112" t="s">
        <v>1073</v>
      </c>
      <c r="M922" s="112" t="s">
        <v>478</v>
      </c>
      <c r="N922" s="113">
        <v>46047.015266203707</v>
      </c>
      <c r="O922" s="114">
        <v>19001318792</v>
      </c>
      <c r="P922" s="112">
        <v>17</v>
      </c>
      <c r="Q922" s="112" t="s">
        <v>1131</v>
      </c>
      <c r="R922" s="112" t="s">
        <v>1297</v>
      </c>
      <c r="S922" s="113">
        <v>46072.59946759259</v>
      </c>
      <c r="T922" s="112" t="s">
        <v>4350</v>
      </c>
      <c r="U922" s="112" t="s">
        <v>1065</v>
      </c>
      <c r="V922" s="112" t="s">
        <v>1066</v>
      </c>
      <c r="W922" s="112" t="s">
        <v>1066</v>
      </c>
      <c r="X922" s="112" t="s">
        <v>983</v>
      </c>
      <c r="Y922" s="112" t="s">
        <v>1066</v>
      </c>
      <c r="Z922" s="112" t="s">
        <v>1066</v>
      </c>
      <c r="AA922" s="112" t="s">
        <v>1208</v>
      </c>
      <c r="AB922" s="112" t="s">
        <v>1066</v>
      </c>
      <c r="AC922" s="112" t="s">
        <v>92</v>
      </c>
      <c r="AD922" s="112" t="s">
        <v>1142</v>
      </c>
      <c r="AE922" s="112" t="s">
        <v>1066</v>
      </c>
      <c r="AF922" s="112" t="s">
        <v>1066</v>
      </c>
      <c r="AG922" s="112" t="s">
        <v>1066</v>
      </c>
      <c r="AH922" s="112" t="s">
        <v>1066</v>
      </c>
      <c r="AI922" s="112" t="s">
        <v>785</v>
      </c>
      <c r="AJ922" s="112">
        <v>8742101</v>
      </c>
      <c r="AK922" s="112" t="s">
        <v>209</v>
      </c>
      <c r="AL922" s="112">
        <v>666106</v>
      </c>
      <c r="AM922" s="112" t="s">
        <v>1066</v>
      </c>
      <c r="AN922" s="112" t="s">
        <v>1066</v>
      </c>
    </row>
    <row r="923" spans="1:40" ht="55.5" customHeight="1" x14ac:dyDescent="0.25">
      <c r="A923" s="111" t="s">
        <v>4351</v>
      </c>
      <c r="B923" s="112">
        <v>2026</v>
      </c>
      <c r="C923" s="112" t="s">
        <v>4352</v>
      </c>
      <c r="D923" s="113">
        <v>45789.386516203704</v>
      </c>
      <c r="E923" s="112">
        <v>8835419017</v>
      </c>
      <c r="F923" s="112" t="s">
        <v>101</v>
      </c>
      <c r="G923" s="112">
        <v>1</v>
      </c>
      <c r="H923" s="112">
        <v>7962052017</v>
      </c>
      <c r="I923" s="112" t="s">
        <v>4353</v>
      </c>
      <c r="J923" s="112" t="s">
        <v>1231</v>
      </c>
      <c r="K923" s="112" t="s">
        <v>1232</v>
      </c>
      <c r="L923" s="112" t="s">
        <v>1084</v>
      </c>
      <c r="M923" s="112" t="s">
        <v>478</v>
      </c>
      <c r="N923" s="113">
        <v>46151.428368055553</v>
      </c>
      <c r="O923" s="114">
        <v>19002781452</v>
      </c>
      <c r="P923" s="112">
        <v>210</v>
      </c>
      <c r="Q923" s="112" t="s">
        <v>1131</v>
      </c>
      <c r="R923" s="112" t="s">
        <v>1206</v>
      </c>
      <c r="S923" s="113">
        <v>45945.740277777775</v>
      </c>
      <c r="T923" s="112" t="s">
        <v>4354</v>
      </c>
      <c r="U923" s="112" t="s">
        <v>1065</v>
      </c>
      <c r="V923" s="112" t="s">
        <v>1066</v>
      </c>
      <c r="W923" s="112" t="s">
        <v>1066</v>
      </c>
      <c r="X923" s="112" t="s">
        <v>983</v>
      </c>
      <c r="Y923" s="112" t="s">
        <v>1066</v>
      </c>
      <c r="Z923" s="112" t="s">
        <v>1066</v>
      </c>
      <c r="AA923" s="112" t="s">
        <v>1067</v>
      </c>
      <c r="AB923" s="112" t="s">
        <v>1066</v>
      </c>
      <c r="AC923" s="112" t="s">
        <v>92</v>
      </c>
      <c r="AD923" s="112" t="s">
        <v>1066</v>
      </c>
      <c r="AE923" s="112" t="s">
        <v>1066</v>
      </c>
      <c r="AF923" s="112" t="s">
        <v>1066</v>
      </c>
      <c r="AG923" s="112" t="s">
        <v>1066</v>
      </c>
      <c r="AH923" s="112" t="s">
        <v>4355</v>
      </c>
      <c r="AI923" s="112" t="s">
        <v>785</v>
      </c>
      <c r="AJ923" s="112">
        <v>8911788</v>
      </c>
      <c r="AK923" s="112" t="s">
        <v>99</v>
      </c>
      <c r="AL923" s="112">
        <v>749051</v>
      </c>
      <c r="AM923" s="112" t="s">
        <v>1066</v>
      </c>
      <c r="AN923" s="112" t="s">
        <v>1066</v>
      </c>
    </row>
    <row r="924" spans="1:40" ht="55.5" customHeight="1" x14ac:dyDescent="0.25">
      <c r="A924" s="111" t="s">
        <v>4356</v>
      </c>
      <c r="B924" s="112">
        <v>2026</v>
      </c>
      <c r="C924" s="112" t="s">
        <v>4357</v>
      </c>
      <c r="D924" s="113">
        <v>45982.630740740744</v>
      </c>
      <c r="E924" s="112">
        <v>9000157013</v>
      </c>
      <c r="F924" s="112" t="s">
        <v>3461</v>
      </c>
      <c r="G924" s="112">
        <v>2</v>
      </c>
      <c r="H924" s="112">
        <v>7900178013</v>
      </c>
      <c r="I924" s="112" t="s">
        <v>4358</v>
      </c>
      <c r="J924" s="112" t="s">
        <v>1071</v>
      </c>
      <c r="K924" s="112" t="s">
        <v>1323</v>
      </c>
      <c r="L924" s="112" t="s">
        <v>1073</v>
      </c>
      <c r="M924" s="112" t="s">
        <v>478</v>
      </c>
      <c r="N924" s="113">
        <v>46110.389363425929</v>
      </c>
      <c r="O924" s="114">
        <v>19001337346</v>
      </c>
      <c r="P924" s="112">
        <v>2.3119999999999998</v>
      </c>
      <c r="Q924" s="112" t="s">
        <v>1131</v>
      </c>
      <c r="R924" s="112" t="s">
        <v>1085</v>
      </c>
      <c r="S924" s="113">
        <v>46129.745138888888</v>
      </c>
      <c r="T924" s="112" t="s">
        <v>4359</v>
      </c>
      <c r="U924" s="112" t="s">
        <v>1065</v>
      </c>
      <c r="V924" s="112" t="s">
        <v>1066</v>
      </c>
      <c r="W924" s="112" t="s">
        <v>1066</v>
      </c>
      <c r="X924" s="112" t="s">
        <v>1117</v>
      </c>
      <c r="Y924" s="112" t="s">
        <v>1066</v>
      </c>
      <c r="Z924" s="112" t="s">
        <v>1148</v>
      </c>
      <c r="AA924" s="112" t="s">
        <v>1067</v>
      </c>
      <c r="AB924" s="112" t="s">
        <v>1066</v>
      </c>
      <c r="AC924" s="112" t="s">
        <v>92</v>
      </c>
      <c r="AD924" s="112" t="s">
        <v>1142</v>
      </c>
      <c r="AE924" s="112" t="s">
        <v>1066</v>
      </c>
      <c r="AF924" s="112" t="s">
        <v>1066</v>
      </c>
      <c r="AG924" s="112" t="s">
        <v>1066</v>
      </c>
      <c r="AH924" s="112" t="s">
        <v>4360</v>
      </c>
      <c r="AI924" s="112" t="s">
        <v>785</v>
      </c>
      <c r="AJ924" s="112">
        <v>8874546</v>
      </c>
      <c r="AK924" s="112" t="s">
        <v>117</v>
      </c>
      <c r="AL924" s="112">
        <v>731789</v>
      </c>
      <c r="AM924" s="112" t="s">
        <v>1066</v>
      </c>
      <c r="AN924" s="112" t="s">
        <v>1066</v>
      </c>
    </row>
    <row r="925" spans="1:40" ht="55.5" customHeight="1" x14ac:dyDescent="0.25">
      <c r="A925" s="111" t="s">
        <v>4361</v>
      </c>
      <c r="B925" s="112">
        <v>2026</v>
      </c>
      <c r="C925" s="112" t="s">
        <v>1057</v>
      </c>
      <c r="D925" s="113">
        <v>46122.378541666665</v>
      </c>
      <c r="E925" s="112">
        <v>7942707040</v>
      </c>
      <c r="F925" s="112" t="s">
        <v>284</v>
      </c>
      <c r="G925" s="112">
        <v>3</v>
      </c>
      <c r="H925" s="112">
        <v>7942707040</v>
      </c>
      <c r="I925" s="112" t="s">
        <v>4362</v>
      </c>
      <c r="J925" s="112" t="s">
        <v>1059</v>
      </c>
      <c r="K925" s="112" t="s">
        <v>1060</v>
      </c>
      <c r="L925" s="112" t="s">
        <v>1061</v>
      </c>
      <c r="M925" s="112" t="s">
        <v>478</v>
      </c>
      <c r="N925" s="113">
        <v>46522.378541666665</v>
      </c>
      <c r="O925" s="114">
        <v>19002211827</v>
      </c>
      <c r="P925" s="112">
        <v>272</v>
      </c>
      <c r="Q925" s="112" t="s">
        <v>1062</v>
      </c>
      <c r="R925" s="112" t="s">
        <v>1063</v>
      </c>
      <c r="S925" s="113">
        <v>46135.382905092592</v>
      </c>
      <c r="T925" s="112" t="s">
        <v>4363</v>
      </c>
      <c r="U925" s="112" t="s">
        <v>1065</v>
      </c>
      <c r="V925" s="112" t="s">
        <v>1066</v>
      </c>
      <c r="W925" s="112" t="s">
        <v>1066</v>
      </c>
      <c r="X925" s="112" t="s">
        <v>1066</v>
      </c>
      <c r="Y925" s="112" t="s">
        <v>1066</v>
      </c>
      <c r="Z925" s="112" t="s">
        <v>1066</v>
      </c>
      <c r="AA925" s="112" t="s">
        <v>1067</v>
      </c>
      <c r="AB925" s="112" t="s">
        <v>1066</v>
      </c>
      <c r="AC925" s="112" t="s">
        <v>92</v>
      </c>
      <c r="AD925" s="112" t="s">
        <v>1066</v>
      </c>
      <c r="AE925" s="112" t="s">
        <v>1066</v>
      </c>
      <c r="AF925" s="112" t="s">
        <v>1066</v>
      </c>
      <c r="AG925" s="112" t="s">
        <v>1066</v>
      </c>
      <c r="AH925" s="112" t="s">
        <v>1066</v>
      </c>
      <c r="AI925" s="112" t="s">
        <v>785</v>
      </c>
      <c r="AJ925" s="112">
        <v>9248221</v>
      </c>
      <c r="AK925" s="112" t="s">
        <v>521</v>
      </c>
      <c r="AL925" s="112">
        <v>749737</v>
      </c>
      <c r="AM925" s="112" t="s">
        <v>1066</v>
      </c>
      <c r="AN925" s="112" t="s">
        <v>1066</v>
      </c>
    </row>
    <row r="926" spans="1:40" ht="55.5" customHeight="1" x14ac:dyDescent="0.25">
      <c r="A926" s="111" t="s">
        <v>4364</v>
      </c>
      <c r="B926" s="112">
        <v>2026</v>
      </c>
      <c r="C926" s="112" t="s">
        <v>1213</v>
      </c>
      <c r="D926" s="113">
        <v>46122.549942129626</v>
      </c>
      <c r="E926" s="112">
        <v>7925107033</v>
      </c>
      <c r="F926" s="112" t="s">
        <v>1564</v>
      </c>
      <c r="G926" s="112">
        <v>2</v>
      </c>
      <c r="H926" s="112">
        <v>7925107033</v>
      </c>
      <c r="I926" s="112" t="s">
        <v>2818</v>
      </c>
      <c r="J926" s="112" t="s">
        <v>1066</v>
      </c>
      <c r="K926" s="112" t="s">
        <v>1125</v>
      </c>
      <c r="L926" s="112" t="s">
        <v>1061</v>
      </c>
      <c r="M926" s="112" t="s">
        <v>478</v>
      </c>
      <c r="N926" s="113">
        <v>46522.549942129626</v>
      </c>
      <c r="O926" s="114">
        <v>19002213287</v>
      </c>
      <c r="P926" s="112">
        <v>0</v>
      </c>
      <c r="Q926" s="112" t="s">
        <v>1062</v>
      </c>
      <c r="R926" s="112" t="s">
        <v>1063</v>
      </c>
      <c r="S926" s="113">
        <v>46224.413668981484</v>
      </c>
      <c r="T926" s="112" t="s">
        <v>4365</v>
      </c>
      <c r="U926" s="112" t="s">
        <v>1065</v>
      </c>
      <c r="V926" s="112" t="s">
        <v>1066</v>
      </c>
      <c r="W926" s="112" t="s">
        <v>1066</v>
      </c>
      <c r="X926" s="112" t="s">
        <v>1066</v>
      </c>
      <c r="Y926" s="112" t="s">
        <v>1066</v>
      </c>
      <c r="Z926" s="112" t="s">
        <v>1066</v>
      </c>
      <c r="AA926" s="112" t="s">
        <v>1067</v>
      </c>
      <c r="AB926" s="112" t="s">
        <v>1066</v>
      </c>
      <c r="AC926" s="112" t="s">
        <v>92</v>
      </c>
      <c r="AD926" s="112" t="s">
        <v>1066</v>
      </c>
      <c r="AE926" s="112" t="s">
        <v>1066</v>
      </c>
      <c r="AF926" s="112" t="s">
        <v>1066</v>
      </c>
      <c r="AG926" s="112" t="s">
        <v>1066</v>
      </c>
      <c r="AH926" s="112" t="s">
        <v>1066</v>
      </c>
      <c r="AI926" s="112" t="s">
        <v>785</v>
      </c>
      <c r="AJ926" s="112">
        <v>9033118</v>
      </c>
      <c r="AK926" s="112" t="s">
        <v>1566</v>
      </c>
      <c r="AL926" s="112">
        <v>747070</v>
      </c>
      <c r="AM926" s="112" t="s">
        <v>1066</v>
      </c>
      <c r="AN926" s="112" t="s">
        <v>1066</v>
      </c>
    </row>
    <row r="927" spans="1:40" ht="55.5" customHeight="1" x14ac:dyDescent="0.25">
      <c r="A927" s="115" t="s">
        <v>4366</v>
      </c>
      <c r="B927" s="116">
        <v>2026</v>
      </c>
      <c r="C927" s="116" t="s">
        <v>4367</v>
      </c>
      <c r="D927" s="118">
        <v>46135.712037037039</v>
      </c>
      <c r="E927" s="116">
        <v>7900594026</v>
      </c>
      <c r="F927" s="116" t="s">
        <v>136</v>
      </c>
      <c r="G927" s="116">
        <v>2</v>
      </c>
      <c r="H927" s="116">
        <v>7900594026</v>
      </c>
      <c r="I927" s="116" t="s">
        <v>3754</v>
      </c>
      <c r="J927" s="116" t="s">
        <v>1071</v>
      </c>
      <c r="K927" s="116" t="s">
        <v>1072</v>
      </c>
      <c r="L927" s="116" t="s">
        <v>1073</v>
      </c>
      <c r="M927" s="116" t="s">
        <v>588</v>
      </c>
      <c r="N927" s="118">
        <v>46186.466874999998</v>
      </c>
      <c r="O927" s="119">
        <v>19002260126</v>
      </c>
      <c r="P927" s="116">
        <v>2.7269999999999999</v>
      </c>
      <c r="Q927" s="116" t="s">
        <v>1062</v>
      </c>
      <c r="R927" s="116" t="s">
        <v>1324</v>
      </c>
      <c r="S927" s="116" t="s">
        <v>1066</v>
      </c>
      <c r="T927" s="116" t="s">
        <v>1066</v>
      </c>
      <c r="U927" s="116" t="s">
        <v>1066</v>
      </c>
      <c r="V927" s="116" t="s">
        <v>1066</v>
      </c>
      <c r="W927" s="116" t="s">
        <v>1066</v>
      </c>
      <c r="X927" s="116" t="s">
        <v>983</v>
      </c>
      <c r="Y927" s="116" t="s">
        <v>1066</v>
      </c>
      <c r="Z927" s="116" t="s">
        <v>1078</v>
      </c>
      <c r="AA927" s="116" t="s">
        <v>1067</v>
      </c>
      <c r="AB927" s="116" t="s">
        <v>1066</v>
      </c>
      <c r="AC927" s="116" t="s">
        <v>92</v>
      </c>
      <c r="AD927" s="116" t="s">
        <v>1066</v>
      </c>
      <c r="AE927" s="116" t="s">
        <v>1066</v>
      </c>
      <c r="AF927" s="116" t="s">
        <v>1066</v>
      </c>
      <c r="AG927" s="116" t="s">
        <v>1066</v>
      </c>
      <c r="AH927" s="116" t="s">
        <v>1066</v>
      </c>
      <c r="AI927" s="116" t="s">
        <v>785</v>
      </c>
      <c r="AJ927" s="116">
        <v>8809524</v>
      </c>
      <c r="AK927" s="116" t="s">
        <v>792</v>
      </c>
      <c r="AL927" s="116">
        <v>879287</v>
      </c>
      <c r="AM927" s="116" t="s">
        <v>1066</v>
      </c>
      <c r="AN927" s="116" t="s">
        <v>1066</v>
      </c>
    </row>
    <row r="928" spans="1:40" ht="55.5" customHeight="1" x14ac:dyDescent="0.25">
      <c r="A928" s="120" t="s">
        <v>4368</v>
      </c>
      <c r="B928" s="121">
        <v>2026</v>
      </c>
      <c r="C928" s="121" t="s">
        <v>4369</v>
      </c>
      <c r="D928" s="122">
        <v>46033.371354166666</v>
      </c>
      <c r="E928" s="121">
        <v>7900666072</v>
      </c>
      <c r="F928" s="121" t="s">
        <v>697</v>
      </c>
      <c r="G928" s="121">
        <v>2</v>
      </c>
      <c r="H928" s="121">
        <v>7900666072</v>
      </c>
      <c r="I928" s="121" t="s">
        <v>4370</v>
      </c>
      <c r="J928" s="121" t="s">
        <v>1071</v>
      </c>
      <c r="K928" s="121" t="s">
        <v>1619</v>
      </c>
      <c r="L928" s="121" t="s">
        <v>1073</v>
      </c>
      <c r="M928" s="121" t="s">
        <v>1116</v>
      </c>
      <c r="N928" s="122">
        <v>46036.371354166666</v>
      </c>
      <c r="O928" s="123">
        <v>19001180119</v>
      </c>
      <c r="P928" s="121">
        <v>1.7070000000000001</v>
      </c>
      <c r="Q928" s="121" t="s">
        <v>4371</v>
      </c>
      <c r="R928" s="121" t="s">
        <v>1075</v>
      </c>
      <c r="S928" s="122">
        <v>46087.638483796298</v>
      </c>
      <c r="T928" s="121" t="s">
        <v>1066</v>
      </c>
      <c r="U928" s="121" t="s">
        <v>1066</v>
      </c>
      <c r="V928" s="121" t="s">
        <v>1066</v>
      </c>
      <c r="W928" s="121" t="s">
        <v>1066</v>
      </c>
      <c r="X928" s="121" t="s">
        <v>983</v>
      </c>
      <c r="Y928" s="121" t="s">
        <v>1066</v>
      </c>
      <c r="Z928" s="121" t="s">
        <v>1620</v>
      </c>
      <c r="AA928" s="121" t="s">
        <v>1067</v>
      </c>
      <c r="AB928" s="121" t="s">
        <v>1066</v>
      </c>
      <c r="AC928" s="121" t="s">
        <v>92</v>
      </c>
      <c r="AD928" s="121" t="s">
        <v>1142</v>
      </c>
      <c r="AE928" s="121" t="s">
        <v>1066</v>
      </c>
      <c r="AF928" s="121" t="s">
        <v>1066</v>
      </c>
      <c r="AG928" s="121" t="s">
        <v>1066</v>
      </c>
      <c r="AH928" s="121" t="s">
        <v>1066</v>
      </c>
      <c r="AI928" s="121" t="s">
        <v>785</v>
      </c>
      <c r="AJ928" s="121" t="s">
        <v>1066</v>
      </c>
      <c r="AK928" s="121" t="s">
        <v>1066</v>
      </c>
      <c r="AL928" s="121" t="s">
        <v>1066</v>
      </c>
      <c r="AM928" s="121" t="s">
        <v>1066</v>
      </c>
      <c r="AN928" s="121" t="s">
        <v>1066</v>
      </c>
    </row>
    <row r="929" spans="1:40" ht="55.5" customHeight="1" x14ac:dyDescent="0.25">
      <c r="A929" s="111" t="s">
        <v>4372</v>
      </c>
      <c r="B929" s="112">
        <v>2026</v>
      </c>
      <c r="C929" s="112" t="s">
        <v>1240</v>
      </c>
      <c r="D929" s="113">
        <v>46183.597349537034</v>
      </c>
      <c r="E929" s="112">
        <v>7900404044</v>
      </c>
      <c r="F929" s="112" t="s">
        <v>1219</v>
      </c>
      <c r="G929" s="112">
        <v>2</v>
      </c>
      <c r="H929" s="112">
        <v>7900404044</v>
      </c>
      <c r="I929" s="112" t="s">
        <v>4373</v>
      </c>
      <c r="J929" s="112" t="s">
        <v>1066</v>
      </c>
      <c r="K929" s="112" t="s">
        <v>1125</v>
      </c>
      <c r="L929" s="112" t="s">
        <v>1061</v>
      </c>
      <c r="M929" s="112" t="s">
        <v>478</v>
      </c>
      <c r="N929" s="113">
        <v>46583.597349537034</v>
      </c>
      <c r="O929" s="114">
        <v>19002219775</v>
      </c>
      <c r="P929" s="112">
        <v>1.056</v>
      </c>
      <c r="Q929" s="112" t="s">
        <v>1062</v>
      </c>
      <c r="R929" s="112" t="s">
        <v>1063</v>
      </c>
      <c r="S929" s="113">
        <v>46147.729259259257</v>
      </c>
      <c r="T929" s="112" t="s">
        <v>4374</v>
      </c>
      <c r="U929" s="112" t="s">
        <v>1065</v>
      </c>
      <c r="V929" s="112" t="s">
        <v>1066</v>
      </c>
      <c r="W929" s="112" t="s">
        <v>1066</v>
      </c>
      <c r="X929" s="112" t="s">
        <v>1066</v>
      </c>
      <c r="Y929" s="112" t="s">
        <v>1066</v>
      </c>
      <c r="Z929" s="112" t="s">
        <v>1066</v>
      </c>
      <c r="AA929" s="112" t="s">
        <v>1067</v>
      </c>
      <c r="AB929" s="112" t="s">
        <v>1066</v>
      </c>
      <c r="AC929" s="112" t="s">
        <v>92</v>
      </c>
      <c r="AD929" s="112" t="s">
        <v>1066</v>
      </c>
      <c r="AE929" s="112" t="s">
        <v>1066</v>
      </c>
      <c r="AF929" s="112" t="s">
        <v>1066</v>
      </c>
      <c r="AG929" s="112" t="s">
        <v>1066</v>
      </c>
      <c r="AH929" s="112" t="s">
        <v>1066</v>
      </c>
      <c r="AI929" s="112" t="s">
        <v>785</v>
      </c>
      <c r="AJ929" s="112">
        <v>8810683</v>
      </c>
      <c r="AK929" s="112" t="s">
        <v>1941</v>
      </c>
      <c r="AL929" s="112">
        <v>729322</v>
      </c>
      <c r="AM929" s="112" t="s">
        <v>1066</v>
      </c>
      <c r="AN929" s="112" t="s">
        <v>1066</v>
      </c>
    </row>
    <row r="930" spans="1:40" ht="55.5" customHeight="1" x14ac:dyDescent="0.25">
      <c r="A930" s="111" t="s">
        <v>4375</v>
      </c>
      <c r="B930" s="112">
        <v>2026</v>
      </c>
      <c r="C930" s="112" t="s">
        <v>1089</v>
      </c>
      <c r="D930" s="113">
        <v>46028.41065972222</v>
      </c>
      <c r="E930" s="112">
        <v>7900557122</v>
      </c>
      <c r="F930" s="112" t="s">
        <v>4248</v>
      </c>
      <c r="G930" s="112">
        <v>2</v>
      </c>
      <c r="H930" s="112">
        <v>7900557122</v>
      </c>
      <c r="I930" s="112" t="s">
        <v>4376</v>
      </c>
      <c r="J930" s="112" t="s">
        <v>1092</v>
      </c>
      <c r="K930" s="112" t="s">
        <v>1093</v>
      </c>
      <c r="L930" s="112" t="s">
        <v>1061</v>
      </c>
      <c r="M930" s="112" t="s">
        <v>478</v>
      </c>
      <c r="N930" s="113">
        <v>46428.41065972222</v>
      </c>
      <c r="O930" s="114">
        <v>19002261284</v>
      </c>
      <c r="P930" s="112">
        <v>3.5459999999999998</v>
      </c>
      <c r="Q930" s="112" t="s">
        <v>1062</v>
      </c>
      <c r="R930" s="112" t="s">
        <v>1063</v>
      </c>
      <c r="S930" s="113">
        <v>46035.479618055557</v>
      </c>
      <c r="T930" s="112" t="s">
        <v>4377</v>
      </c>
      <c r="U930" s="112" t="s">
        <v>1065</v>
      </c>
      <c r="V930" s="112" t="s">
        <v>1066</v>
      </c>
      <c r="W930" s="112" t="s">
        <v>1066</v>
      </c>
      <c r="X930" s="112" t="s">
        <v>1066</v>
      </c>
      <c r="Y930" s="112" t="s">
        <v>1066</v>
      </c>
      <c r="Z930" s="112" t="s">
        <v>1066</v>
      </c>
      <c r="AA930" s="112" t="s">
        <v>1067</v>
      </c>
      <c r="AB930" s="112" t="s">
        <v>1066</v>
      </c>
      <c r="AC930" s="112" t="s">
        <v>92</v>
      </c>
      <c r="AD930" s="112" t="s">
        <v>1066</v>
      </c>
      <c r="AE930" s="112" t="s">
        <v>1066</v>
      </c>
      <c r="AF930" s="112" t="s">
        <v>1066</v>
      </c>
      <c r="AG930" s="112" t="s">
        <v>1066</v>
      </c>
      <c r="AH930" s="112" t="s">
        <v>1066</v>
      </c>
      <c r="AI930" s="112" t="s">
        <v>785</v>
      </c>
      <c r="AJ930" s="112">
        <v>8868628</v>
      </c>
      <c r="AK930" s="112" t="s">
        <v>264</v>
      </c>
      <c r="AL930" s="112">
        <v>793242</v>
      </c>
      <c r="AM930" s="112" t="s">
        <v>1066</v>
      </c>
      <c r="AN930" s="112" t="s">
        <v>1066</v>
      </c>
    </row>
    <row r="931" spans="1:40" ht="55.5" customHeight="1" x14ac:dyDescent="0.25">
      <c r="A931" s="111" t="s">
        <v>4378</v>
      </c>
      <c r="B931" s="112">
        <v>2026</v>
      </c>
      <c r="C931" s="112" t="s">
        <v>4379</v>
      </c>
      <c r="D931" s="113">
        <v>46044.399178240739</v>
      </c>
      <c r="E931" s="112">
        <v>9000789029</v>
      </c>
      <c r="F931" s="112" t="s">
        <v>1150</v>
      </c>
      <c r="G931" s="112">
        <v>3</v>
      </c>
      <c r="H931" s="112">
        <v>7936789029</v>
      </c>
      <c r="I931" s="112" t="s">
        <v>4380</v>
      </c>
      <c r="J931" s="112" t="s">
        <v>1157</v>
      </c>
      <c r="K931" s="112" t="s">
        <v>1417</v>
      </c>
      <c r="L931" s="112" t="s">
        <v>1084</v>
      </c>
      <c r="M931" s="112" t="s">
        <v>478</v>
      </c>
      <c r="N931" s="113">
        <v>46104.399178240739</v>
      </c>
      <c r="O931" s="114">
        <v>19001288358</v>
      </c>
      <c r="P931" s="112">
        <v>417</v>
      </c>
      <c r="Q931" s="112" t="s">
        <v>1131</v>
      </c>
      <c r="R931" s="112" t="s">
        <v>1085</v>
      </c>
      <c r="S931" s="113">
        <v>46097.727268518516</v>
      </c>
      <c r="T931" s="112" t="s">
        <v>4381</v>
      </c>
      <c r="U931" s="112" t="s">
        <v>1065</v>
      </c>
      <c r="V931" s="112" t="s">
        <v>1066</v>
      </c>
      <c r="W931" s="112" t="s">
        <v>1066</v>
      </c>
      <c r="X931" s="112" t="s">
        <v>983</v>
      </c>
      <c r="Y931" s="112" t="s">
        <v>1066</v>
      </c>
      <c r="Z931" s="112" t="s">
        <v>1133</v>
      </c>
      <c r="AA931" s="112" t="s">
        <v>1067</v>
      </c>
      <c r="AB931" s="112" t="s">
        <v>1066</v>
      </c>
      <c r="AC931" s="112" t="s">
        <v>92</v>
      </c>
      <c r="AD931" s="112" t="s">
        <v>1142</v>
      </c>
      <c r="AE931" s="112" t="s">
        <v>1066</v>
      </c>
      <c r="AF931" s="112" t="s">
        <v>1066</v>
      </c>
      <c r="AG931" s="112" t="s">
        <v>1066</v>
      </c>
      <c r="AH931" s="112" t="s">
        <v>1066</v>
      </c>
      <c r="AI931" s="112" t="s">
        <v>785</v>
      </c>
      <c r="AJ931" s="112">
        <v>8556619</v>
      </c>
      <c r="AK931" s="112" t="s">
        <v>415</v>
      </c>
      <c r="AL931" s="112">
        <v>782254</v>
      </c>
      <c r="AM931" s="112" t="s">
        <v>1066</v>
      </c>
      <c r="AN931" s="112" t="s">
        <v>1066</v>
      </c>
    </row>
    <row r="932" spans="1:40" ht="55.5" customHeight="1" x14ac:dyDescent="0.25">
      <c r="A932" s="111" t="s">
        <v>4382</v>
      </c>
      <c r="B932" s="112">
        <v>2026</v>
      </c>
      <c r="C932" s="112" t="s">
        <v>4383</v>
      </c>
      <c r="D932" s="113">
        <v>46049.474131944444</v>
      </c>
      <c r="E932" s="112">
        <v>9001323008</v>
      </c>
      <c r="F932" s="112" t="s">
        <v>1415</v>
      </c>
      <c r="G932" s="112">
        <v>2</v>
      </c>
      <c r="H932" s="112">
        <v>7930424008</v>
      </c>
      <c r="I932" s="112" t="s">
        <v>4384</v>
      </c>
      <c r="J932" s="112" t="s">
        <v>1157</v>
      </c>
      <c r="K932" s="112" t="s">
        <v>1417</v>
      </c>
      <c r="L932" s="112" t="s">
        <v>1084</v>
      </c>
      <c r="M932" s="112" t="s">
        <v>478</v>
      </c>
      <c r="N932" s="113">
        <v>46109.474131944444</v>
      </c>
      <c r="O932" s="114">
        <v>19001268951</v>
      </c>
      <c r="P932" s="112">
        <v>3.8130000000000002</v>
      </c>
      <c r="Q932" s="112" t="s">
        <v>1131</v>
      </c>
      <c r="R932" s="112" t="s">
        <v>1085</v>
      </c>
      <c r="S932" s="113">
        <v>46085.50335648148</v>
      </c>
      <c r="T932" s="112" t="s">
        <v>4385</v>
      </c>
      <c r="U932" s="112" t="s">
        <v>1065</v>
      </c>
      <c r="V932" s="112" t="s">
        <v>1066</v>
      </c>
      <c r="W932" s="112" t="s">
        <v>1066</v>
      </c>
      <c r="X932" s="112" t="s">
        <v>983</v>
      </c>
      <c r="Y932" s="112" t="s">
        <v>1066</v>
      </c>
      <c r="Z932" s="112" t="s">
        <v>1133</v>
      </c>
      <c r="AA932" s="112" t="s">
        <v>1067</v>
      </c>
      <c r="AB932" s="112" t="s">
        <v>1066</v>
      </c>
      <c r="AC932" s="112" t="s">
        <v>92</v>
      </c>
      <c r="AD932" s="112" t="s">
        <v>1142</v>
      </c>
      <c r="AE932" s="112" t="s">
        <v>1066</v>
      </c>
      <c r="AF932" s="112" t="s">
        <v>1066</v>
      </c>
      <c r="AG932" s="112" t="s">
        <v>1066</v>
      </c>
      <c r="AH932" s="112" t="s">
        <v>1066</v>
      </c>
      <c r="AI932" s="112" t="s">
        <v>785</v>
      </c>
      <c r="AJ932" s="112">
        <v>8955160</v>
      </c>
      <c r="AK932" s="112" t="s">
        <v>2954</v>
      </c>
      <c r="AL932" s="112">
        <v>751647</v>
      </c>
      <c r="AM932" s="112" t="s">
        <v>1066</v>
      </c>
      <c r="AN932" s="112" t="s">
        <v>1066</v>
      </c>
    </row>
    <row r="933" spans="1:40" ht="55.5" customHeight="1" x14ac:dyDescent="0.25">
      <c r="A933" s="124" t="s">
        <v>248</v>
      </c>
      <c r="B933" s="125">
        <v>2026</v>
      </c>
      <c r="C933" s="125" t="s">
        <v>4386</v>
      </c>
      <c r="D933" s="126">
        <v>46156.481307870374</v>
      </c>
      <c r="E933" s="125">
        <v>3594901</v>
      </c>
      <c r="F933" s="125" t="s">
        <v>249</v>
      </c>
      <c r="G933" s="125">
        <v>2</v>
      </c>
      <c r="H933" s="125">
        <v>5846328094</v>
      </c>
      <c r="I933" s="125" t="s">
        <v>3084</v>
      </c>
      <c r="J933" s="125" t="s">
        <v>1071</v>
      </c>
      <c r="K933" s="125" t="s">
        <v>1247</v>
      </c>
      <c r="L933" s="125" t="s">
        <v>1073</v>
      </c>
      <c r="M933" s="125" t="s">
        <v>510</v>
      </c>
      <c r="N933" s="126">
        <v>46214.609432870369</v>
      </c>
      <c r="O933" s="127">
        <v>19002682685</v>
      </c>
      <c r="P933" s="125">
        <v>1.796</v>
      </c>
      <c r="Q933" s="125" t="s">
        <v>1074</v>
      </c>
      <c r="R933" s="125" t="s">
        <v>1075</v>
      </c>
      <c r="S933" s="125" t="s">
        <v>1066</v>
      </c>
      <c r="T933" s="125" t="s">
        <v>4387</v>
      </c>
      <c r="U933" s="125" t="s">
        <v>621</v>
      </c>
      <c r="V933" s="125" t="s">
        <v>1066</v>
      </c>
      <c r="W933" s="125" t="s">
        <v>1066</v>
      </c>
      <c r="X933" s="125" t="s">
        <v>1077</v>
      </c>
      <c r="Y933" s="125" t="s">
        <v>1066</v>
      </c>
      <c r="Z933" s="125" t="s">
        <v>1479</v>
      </c>
      <c r="AA933" s="125" t="s">
        <v>1067</v>
      </c>
      <c r="AB933" s="125" t="s">
        <v>1066</v>
      </c>
      <c r="AC933" s="125" t="s">
        <v>92</v>
      </c>
      <c r="AD933" s="125" t="s">
        <v>1066</v>
      </c>
      <c r="AE933" s="125" t="s">
        <v>1066</v>
      </c>
      <c r="AF933" s="125" t="s">
        <v>1066</v>
      </c>
      <c r="AG933" s="125" t="s">
        <v>1066</v>
      </c>
      <c r="AH933" s="125" t="s">
        <v>3082</v>
      </c>
      <c r="AI933" s="125" t="s">
        <v>785</v>
      </c>
      <c r="AJ933" s="125">
        <v>8685986</v>
      </c>
      <c r="AK933" s="125" t="s">
        <v>224</v>
      </c>
      <c r="AL933" s="125">
        <v>734260</v>
      </c>
      <c r="AM933" s="125" t="s">
        <v>1066</v>
      </c>
      <c r="AN933" s="125" t="s">
        <v>1066</v>
      </c>
    </row>
    <row r="934" spans="1:40" ht="55.5" customHeight="1" x14ac:dyDescent="0.25">
      <c r="A934" s="111" t="s">
        <v>4388</v>
      </c>
      <c r="B934" s="112">
        <v>2026</v>
      </c>
      <c r="C934" s="112" t="s">
        <v>1057</v>
      </c>
      <c r="D934" s="113">
        <v>46125.584386574075</v>
      </c>
      <c r="E934" s="112">
        <v>7933526003</v>
      </c>
      <c r="F934" s="112" t="s">
        <v>3478</v>
      </c>
      <c r="G934" s="112">
        <v>1</v>
      </c>
      <c r="H934" s="112">
        <v>7933526003</v>
      </c>
      <c r="I934" s="112" t="s">
        <v>4389</v>
      </c>
      <c r="J934" s="112" t="s">
        <v>1066</v>
      </c>
      <c r="K934" s="112" t="s">
        <v>1125</v>
      </c>
      <c r="L934" s="112" t="s">
        <v>1061</v>
      </c>
      <c r="M934" s="112" t="s">
        <v>478</v>
      </c>
      <c r="N934" s="113">
        <v>46525.584386574075</v>
      </c>
      <c r="O934" s="114">
        <v>19002209185</v>
      </c>
      <c r="P934" s="112">
        <v>5.0999999999999996</v>
      </c>
      <c r="Q934" s="112" t="s">
        <v>1062</v>
      </c>
      <c r="R934" s="112" t="s">
        <v>1063</v>
      </c>
      <c r="S934" s="113">
        <v>46153.423425925925</v>
      </c>
      <c r="T934" s="112" t="s">
        <v>4390</v>
      </c>
      <c r="U934" s="112" t="s">
        <v>1065</v>
      </c>
      <c r="V934" s="112" t="s">
        <v>1066</v>
      </c>
      <c r="W934" s="112" t="s">
        <v>1066</v>
      </c>
      <c r="X934" s="112" t="s">
        <v>1066</v>
      </c>
      <c r="Y934" s="112" t="s">
        <v>1066</v>
      </c>
      <c r="Z934" s="112" t="s">
        <v>1066</v>
      </c>
      <c r="AA934" s="112" t="s">
        <v>1067</v>
      </c>
      <c r="AB934" s="112" t="s">
        <v>1066</v>
      </c>
      <c r="AC934" s="112" t="s">
        <v>92</v>
      </c>
      <c r="AD934" s="112" t="s">
        <v>1066</v>
      </c>
      <c r="AE934" s="112" t="s">
        <v>1066</v>
      </c>
      <c r="AF934" s="112" t="s">
        <v>1066</v>
      </c>
      <c r="AG934" s="112" t="s">
        <v>1066</v>
      </c>
      <c r="AH934" s="112" t="s">
        <v>1066</v>
      </c>
      <c r="AI934" s="112" t="s">
        <v>785</v>
      </c>
      <c r="AJ934" s="112">
        <v>8701234</v>
      </c>
      <c r="AK934" s="112" t="s">
        <v>210</v>
      </c>
      <c r="AL934" s="112">
        <v>711124</v>
      </c>
      <c r="AM934" s="112" t="s">
        <v>1066</v>
      </c>
      <c r="AN934" s="112" t="s">
        <v>1066</v>
      </c>
    </row>
    <row r="935" spans="1:40" ht="55.5" customHeight="1" x14ac:dyDescent="0.25">
      <c r="A935" s="111" t="s">
        <v>4391</v>
      </c>
      <c r="B935" s="112">
        <v>2026</v>
      </c>
      <c r="C935" s="112" t="s">
        <v>1057</v>
      </c>
      <c r="D935" s="113">
        <v>46125.584386574075</v>
      </c>
      <c r="E935" s="112">
        <v>7901716003</v>
      </c>
      <c r="F935" s="112" t="s">
        <v>4392</v>
      </c>
      <c r="G935" s="112">
        <v>1</v>
      </c>
      <c r="H935" s="112">
        <v>7901716003</v>
      </c>
      <c r="I935" s="112" t="s">
        <v>4393</v>
      </c>
      <c r="J935" s="112" t="s">
        <v>1066</v>
      </c>
      <c r="K935" s="112" t="s">
        <v>1125</v>
      </c>
      <c r="L935" s="112" t="s">
        <v>1061</v>
      </c>
      <c r="M935" s="112" t="s">
        <v>478</v>
      </c>
      <c r="N935" s="113">
        <v>46525.584386574075</v>
      </c>
      <c r="O935" s="114">
        <v>19002215062</v>
      </c>
      <c r="P935" s="112">
        <v>583</v>
      </c>
      <c r="Q935" s="112" t="s">
        <v>1062</v>
      </c>
      <c r="R935" s="112" t="s">
        <v>1063</v>
      </c>
      <c r="S935" s="113">
        <v>46157.430254629631</v>
      </c>
      <c r="T935" s="112" t="s">
        <v>4394</v>
      </c>
      <c r="U935" s="112" t="s">
        <v>1065</v>
      </c>
      <c r="V935" s="112" t="s">
        <v>1066</v>
      </c>
      <c r="W935" s="112" t="s">
        <v>1066</v>
      </c>
      <c r="X935" s="112" t="s">
        <v>1066</v>
      </c>
      <c r="Y935" s="112" t="s">
        <v>1066</v>
      </c>
      <c r="Z935" s="112" t="s">
        <v>1066</v>
      </c>
      <c r="AA935" s="112" t="s">
        <v>1067</v>
      </c>
      <c r="AB935" s="112" t="s">
        <v>1066</v>
      </c>
      <c r="AC935" s="112" t="s">
        <v>92</v>
      </c>
      <c r="AD935" s="112" t="s">
        <v>1066</v>
      </c>
      <c r="AE935" s="112" t="s">
        <v>1066</v>
      </c>
      <c r="AF935" s="112" t="s">
        <v>1066</v>
      </c>
      <c r="AG935" s="112" t="s">
        <v>1066</v>
      </c>
      <c r="AH935" s="112" t="s">
        <v>1066</v>
      </c>
      <c r="AI935" s="112" t="s">
        <v>785</v>
      </c>
      <c r="AJ935" s="112">
        <v>8704798</v>
      </c>
      <c r="AK935" s="112" t="s">
        <v>210</v>
      </c>
      <c r="AL935" s="112">
        <v>708933</v>
      </c>
      <c r="AM935" s="112" t="s">
        <v>1066</v>
      </c>
      <c r="AN935" s="112" t="s">
        <v>1066</v>
      </c>
    </row>
    <row r="936" spans="1:40" ht="55.5" customHeight="1" x14ac:dyDescent="0.25">
      <c r="A936" s="111" t="s">
        <v>4395</v>
      </c>
      <c r="B936" s="112">
        <v>2026</v>
      </c>
      <c r="C936" s="112" t="s">
        <v>1057</v>
      </c>
      <c r="D936" s="113">
        <v>46125.60460648148</v>
      </c>
      <c r="E936" s="112">
        <v>7940262032</v>
      </c>
      <c r="F936" s="112" t="s">
        <v>1574</v>
      </c>
      <c r="G936" s="112">
        <v>1</v>
      </c>
      <c r="H936" s="112">
        <v>7940262032</v>
      </c>
      <c r="I936" s="112" t="s">
        <v>4396</v>
      </c>
      <c r="J936" s="112" t="s">
        <v>1066</v>
      </c>
      <c r="K936" s="112" t="s">
        <v>1125</v>
      </c>
      <c r="L936" s="112" t="s">
        <v>1061</v>
      </c>
      <c r="M936" s="112" t="s">
        <v>478</v>
      </c>
      <c r="N936" s="113">
        <v>46525.60460648148</v>
      </c>
      <c r="O936" s="114">
        <v>19002209193</v>
      </c>
      <c r="P936" s="112">
        <v>0</v>
      </c>
      <c r="Q936" s="112" t="s">
        <v>1062</v>
      </c>
      <c r="R936" s="112" t="s">
        <v>1063</v>
      </c>
      <c r="S936" s="113">
        <v>46162.481979166667</v>
      </c>
      <c r="T936" s="112" t="s">
        <v>4397</v>
      </c>
      <c r="U936" s="112" t="s">
        <v>1065</v>
      </c>
      <c r="V936" s="112" t="s">
        <v>1066</v>
      </c>
      <c r="W936" s="112" t="s">
        <v>1066</v>
      </c>
      <c r="X936" s="112" t="s">
        <v>1066</v>
      </c>
      <c r="Y936" s="112" t="s">
        <v>1066</v>
      </c>
      <c r="Z936" s="112" t="s">
        <v>1066</v>
      </c>
      <c r="AA936" s="112" t="s">
        <v>1067</v>
      </c>
      <c r="AB936" s="112" t="s">
        <v>1066</v>
      </c>
      <c r="AC936" s="112" t="s">
        <v>92</v>
      </c>
      <c r="AD936" s="112" t="s">
        <v>1066</v>
      </c>
      <c r="AE936" s="112" t="s">
        <v>1066</v>
      </c>
      <c r="AF936" s="112" t="s">
        <v>1066</v>
      </c>
      <c r="AG936" s="112" t="s">
        <v>1066</v>
      </c>
      <c r="AH936" s="112" t="s">
        <v>1066</v>
      </c>
      <c r="AI936" s="112" t="s">
        <v>785</v>
      </c>
      <c r="AJ936" s="112">
        <v>8591017</v>
      </c>
      <c r="AK936" s="112" t="s">
        <v>469</v>
      </c>
      <c r="AL936" s="112">
        <v>615506</v>
      </c>
      <c r="AM936" s="112" t="s">
        <v>1066</v>
      </c>
      <c r="AN936" s="112" t="s">
        <v>1066</v>
      </c>
    </row>
    <row r="937" spans="1:40" ht="55.5" customHeight="1" x14ac:dyDescent="0.25">
      <c r="A937" s="124" t="s">
        <v>4398</v>
      </c>
      <c r="B937" s="125">
        <v>2026</v>
      </c>
      <c r="C937" s="125" t="s">
        <v>4399</v>
      </c>
      <c r="D937" s="126">
        <v>46246.43645833333</v>
      </c>
      <c r="E937" s="125">
        <v>7908714038</v>
      </c>
      <c r="F937" s="125" t="s">
        <v>1704</v>
      </c>
      <c r="G937" s="125">
        <v>1</v>
      </c>
      <c r="H937" s="125">
        <v>7908714038</v>
      </c>
      <c r="I937" s="125" t="s">
        <v>1252</v>
      </c>
      <c r="J937" s="125" t="s">
        <v>1157</v>
      </c>
      <c r="K937" s="125" t="s">
        <v>1158</v>
      </c>
      <c r="L937" s="125" t="s">
        <v>1084</v>
      </c>
      <c r="M937" s="125" t="s">
        <v>510</v>
      </c>
      <c r="N937" s="126">
        <v>46306.43645833333</v>
      </c>
      <c r="O937" s="127">
        <v>19002259092</v>
      </c>
      <c r="P937" s="125">
        <v>34</v>
      </c>
      <c r="Q937" s="125" t="s">
        <v>1062</v>
      </c>
      <c r="R937" s="125" t="s">
        <v>1297</v>
      </c>
      <c r="S937" s="125" t="s">
        <v>1066</v>
      </c>
      <c r="T937" s="125" t="s">
        <v>1911</v>
      </c>
      <c r="U937" s="125" t="s">
        <v>1147</v>
      </c>
      <c r="V937" s="125" t="s">
        <v>1066</v>
      </c>
      <c r="W937" s="125" t="s">
        <v>1066</v>
      </c>
      <c r="X937" s="125" t="s">
        <v>1117</v>
      </c>
      <c r="Y937" s="125" t="s">
        <v>1066</v>
      </c>
      <c r="Z937" s="125" t="s">
        <v>2152</v>
      </c>
      <c r="AA937" s="125" t="s">
        <v>1067</v>
      </c>
      <c r="AB937" s="125" t="s">
        <v>1066</v>
      </c>
      <c r="AC937" s="125" t="s">
        <v>92</v>
      </c>
      <c r="AD937" s="125" t="s">
        <v>1066</v>
      </c>
      <c r="AE937" s="125" t="s">
        <v>1066</v>
      </c>
      <c r="AF937" s="125" t="s">
        <v>1066</v>
      </c>
      <c r="AG937" s="125" t="s">
        <v>1066</v>
      </c>
      <c r="AH937" s="125" t="s">
        <v>1066</v>
      </c>
      <c r="AI937" s="125" t="s">
        <v>785</v>
      </c>
      <c r="AJ937" s="125">
        <v>8622182</v>
      </c>
      <c r="AK937" s="125" t="s">
        <v>627</v>
      </c>
      <c r="AL937" s="125">
        <v>997109</v>
      </c>
      <c r="AM937" s="125" t="s">
        <v>1066</v>
      </c>
      <c r="AN937" s="125" t="s">
        <v>1066</v>
      </c>
    </row>
    <row r="938" spans="1:40" ht="55.5" customHeight="1" x14ac:dyDescent="0.25">
      <c r="A938" s="120" t="s">
        <v>4400</v>
      </c>
      <c r="B938" s="121">
        <v>2026</v>
      </c>
      <c r="C938" s="121" t="s">
        <v>1089</v>
      </c>
      <c r="D938" s="122">
        <v>46028.41065972222</v>
      </c>
      <c r="E938" s="121">
        <v>7938137007</v>
      </c>
      <c r="F938" s="121" t="s">
        <v>101</v>
      </c>
      <c r="G938" s="121">
        <v>3</v>
      </c>
      <c r="H938" s="121">
        <v>7938137007</v>
      </c>
      <c r="I938" s="121" t="s">
        <v>4401</v>
      </c>
      <c r="J938" s="121" t="s">
        <v>1092</v>
      </c>
      <c r="K938" s="121" t="s">
        <v>1093</v>
      </c>
      <c r="L938" s="121" t="s">
        <v>1061</v>
      </c>
      <c r="M938" s="121" t="s">
        <v>1116</v>
      </c>
      <c r="N938" s="122">
        <v>46428.41065972222</v>
      </c>
      <c r="O938" s="123">
        <v>19002209781</v>
      </c>
      <c r="P938" s="121">
        <v>241</v>
      </c>
      <c r="Q938" s="121" t="s">
        <v>1062</v>
      </c>
      <c r="R938" s="121" t="s">
        <v>1063</v>
      </c>
      <c r="S938" s="122">
        <v>46097.433622685188</v>
      </c>
      <c r="T938" s="121" t="s">
        <v>1066</v>
      </c>
      <c r="U938" s="121" t="s">
        <v>1066</v>
      </c>
      <c r="V938" s="121" t="s">
        <v>1066</v>
      </c>
      <c r="W938" s="121" t="s">
        <v>1066</v>
      </c>
      <c r="X938" s="121" t="s">
        <v>1066</v>
      </c>
      <c r="Y938" s="121" t="s">
        <v>1066</v>
      </c>
      <c r="Z938" s="121" t="s">
        <v>1066</v>
      </c>
      <c r="AA938" s="121" t="s">
        <v>1067</v>
      </c>
      <c r="AB938" s="121" t="s">
        <v>1066</v>
      </c>
      <c r="AC938" s="121" t="s">
        <v>92</v>
      </c>
      <c r="AD938" s="121" t="s">
        <v>1066</v>
      </c>
      <c r="AE938" s="121" t="s">
        <v>1066</v>
      </c>
      <c r="AF938" s="121" t="s">
        <v>1066</v>
      </c>
      <c r="AG938" s="121" t="s">
        <v>1066</v>
      </c>
      <c r="AH938" s="121" t="s">
        <v>1066</v>
      </c>
      <c r="AI938" s="121" t="s">
        <v>785</v>
      </c>
      <c r="AJ938" s="121">
        <v>8894217</v>
      </c>
      <c r="AK938" s="121" t="s">
        <v>100</v>
      </c>
      <c r="AL938" s="121">
        <v>765777</v>
      </c>
      <c r="AM938" s="121" t="s">
        <v>1066</v>
      </c>
      <c r="AN938" s="121" t="s">
        <v>1066</v>
      </c>
    </row>
    <row r="939" spans="1:40" ht="55.5" customHeight="1" x14ac:dyDescent="0.25">
      <c r="A939" s="115" t="s">
        <v>4402</v>
      </c>
      <c r="B939" s="116">
        <v>2026</v>
      </c>
      <c r="C939" s="116" t="s">
        <v>4403</v>
      </c>
      <c r="D939" s="118">
        <v>46070.793437499997</v>
      </c>
      <c r="E939" s="116">
        <v>9001632052</v>
      </c>
      <c r="F939" s="116" t="s">
        <v>181</v>
      </c>
      <c r="G939" s="116">
        <v>3</v>
      </c>
      <c r="H939" s="116">
        <v>7927396052</v>
      </c>
      <c r="I939" s="116" t="s">
        <v>4404</v>
      </c>
      <c r="J939" s="116" t="s">
        <v>1071</v>
      </c>
      <c r="K939" s="116" t="s">
        <v>2080</v>
      </c>
      <c r="L939" s="116" t="s">
        <v>1073</v>
      </c>
      <c r="M939" s="116" t="s">
        <v>588</v>
      </c>
      <c r="N939" s="118">
        <v>46086.89261574074</v>
      </c>
      <c r="O939" s="119">
        <v>19002666831</v>
      </c>
      <c r="P939" s="116">
        <v>0</v>
      </c>
      <c r="Q939" s="116" t="s">
        <v>1131</v>
      </c>
      <c r="R939" s="116" t="s">
        <v>1075</v>
      </c>
      <c r="S939" s="116" t="s">
        <v>1066</v>
      </c>
      <c r="T939" s="116" t="s">
        <v>1066</v>
      </c>
      <c r="U939" s="116" t="s">
        <v>1066</v>
      </c>
      <c r="V939" s="116" t="s">
        <v>1066</v>
      </c>
      <c r="W939" s="116" t="s">
        <v>1066</v>
      </c>
      <c r="X939" s="116" t="s">
        <v>983</v>
      </c>
      <c r="Y939" s="116" t="s">
        <v>1066</v>
      </c>
      <c r="Z939" s="116" t="s">
        <v>1148</v>
      </c>
      <c r="AA939" s="116" t="s">
        <v>1067</v>
      </c>
      <c r="AB939" s="116" t="s">
        <v>1066</v>
      </c>
      <c r="AC939" s="116" t="s">
        <v>92</v>
      </c>
      <c r="AD939" s="116" t="s">
        <v>1066</v>
      </c>
      <c r="AE939" s="116" t="s">
        <v>1066</v>
      </c>
      <c r="AF939" s="116" t="s">
        <v>1066</v>
      </c>
      <c r="AG939" s="116" t="s">
        <v>1066</v>
      </c>
      <c r="AH939" s="116" t="s">
        <v>1066</v>
      </c>
      <c r="AI939" s="116" t="s">
        <v>785</v>
      </c>
      <c r="AJ939" s="116">
        <v>8723116</v>
      </c>
      <c r="AK939" s="116" t="s">
        <v>112</v>
      </c>
      <c r="AL939" s="116">
        <v>645739</v>
      </c>
      <c r="AM939" s="116" t="s">
        <v>1066</v>
      </c>
      <c r="AN939" s="116" t="s">
        <v>1066</v>
      </c>
    </row>
    <row r="940" spans="1:40" ht="55.5" customHeight="1" x14ac:dyDescent="0.25">
      <c r="A940" s="111" t="s">
        <v>4405</v>
      </c>
      <c r="B940" s="112">
        <v>2026</v>
      </c>
      <c r="C940" s="112" t="s">
        <v>4406</v>
      </c>
      <c r="D940" s="113">
        <v>46171.722939814812</v>
      </c>
      <c r="E940" s="112">
        <v>9000387070</v>
      </c>
      <c r="F940" s="112" t="s">
        <v>88</v>
      </c>
      <c r="G940" s="112">
        <v>3</v>
      </c>
      <c r="H940" s="112">
        <v>7926785070</v>
      </c>
      <c r="I940" s="112" t="s">
        <v>4407</v>
      </c>
      <c r="J940" s="112" t="s">
        <v>1092</v>
      </c>
      <c r="K940" s="112" t="s">
        <v>2271</v>
      </c>
      <c r="L940" s="112" t="s">
        <v>1073</v>
      </c>
      <c r="M940" s="112" t="s">
        <v>478</v>
      </c>
      <c r="N940" s="113">
        <v>46174.722939814812</v>
      </c>
      <c r="O940" s="114">
        <v>19001242105</v>
      </c>
      <c r="P940" s="112">
        <v>1.637</v>
      </c>
      <c r="Q940" s="112" t="s">
        <v>1131</v>
      </c>
      <c r="R940" s="112" t="s">
        <v>1075</v>
      </c>
      <c r="S940" s="113">
        <v>46198.730729166666</v>
      </c>
      <c r="T940" s="112" t="s">
        <v>4408</v>
      </c>
      <c r="U940" s="112" t="s">
        <v>1065</v>
      </c>
      <c r="V940" s="112" t="s">
        <v>1066</v>
      </c>
      <c r="W940" s="112" t="s">
        <v>1066</v>
      </c>
      <c r="X940" s="112" t="s">
        <v>983</v>
      </c>
      <c r="Y940" s="112" t="s">
        <v>1066</v>
      </c>
      <c r="Z940" s="112" t="s">
        <v>1078</v>
      </c>
      <c r="AA940" s="112" t="s">
        <v>1067</v>
      </c>
      <c r="AB940" s="112" t="s">
        <v>1066</v>
      </c>
      <c r="AC940" s="112" t="s">
        <v>92</v>
      </c>
      <c r="AD940" s="112" t="s">
        <v>1142</v>
      </c>
      <c r="AE940" s="112" t="s">
        <v>1066</v>
      </c>
      <c r="AF940" s="112" t="s">
        <v>1066</v>
      </c>
      <c r="AG940" s="112" t="s">
        <v>1066</v>
      </c>
      <c r="AH940" s="112" t="s">
        <v>1066</v>
      </c>
      <c r="AI940" s="112" t="s">
        <v>785</v>
      </c>
      <c r="AJ940" s="112">
        <v>8943762</v>
      </c>
      <c r="AK940" s="112" t="s">
        <v>87</v>
      </c>
      <c r="AL940" s="112">
        <v>863697</v>
      </c>
      <c r="AM940" s="112" t="s">
        <v>1066</v>
      </c>
      <c r="AN940" s="112" t="s">
        <v>1066</v>
      </c>
    </row>
    <row r="941" spans="1:40" ht="55.5" customHeight="1" x14ac:dyDescent="0.25">
      <c r="A941" s="111" t="s">
        <v>4409</v>
      </c>
      <c r="B941" s="112">
        <v>2026</v>
      </c>
      <c r="C941" s="112" t="s">
        <v>1057</v>
      </c>
      <c r="D941" s="113">
        <v>46125.584386574075</v>
      </c>
      <c r="E941" s="112">
        <v>7924621097</v>
      </c>
      <c r="F941" s="112" t="s">
        <v>1679</v>
      </c>
      <c r="G941" s="112">
        <v>3</v>
      </c>
      <c r="H941" s="112">
        <v>7924621097</v>
      </c>
      <c r="I941" s="112" t="s">
        <v>4410</v>
      </c>
      <c r="J941" s="112" t="s">
        <v>1066</v>
      </c>
      <c r="K941" s="112" t="s">
        <v>1125</v>
      </c>
      <c r="L941" s="112" t="s">
        <v>1061</v>
      </c>
      <c r="M941" s="112" t="s">
        <v>478</v>
      </c>
      <c r="N941" s="113">
        <v>46525.584386574075</v>
      </c>
      <c r="O941" s="114">
        <v>19002205271</v>
      </c>
      <c r="P941" s="112">
        <v>967</v>
      </c>
      <c r="Q941" s="112" t="s">
        <v>1062</v>
      </c>
      <c r="R941" s="112" t="s">
        <v>1063</v>
      </c>
      <c r="S941" s="113">
        <v>46184.729421296295</v>
      </c>
      <c r="T941" s="112" t="s">
        <v>4411</v>
      </c>
      <c r="U941" s="112" t="s">
        <v>1065</v>
      </c>
      <c r="V941" s="112" t="s">
        <v>1066</v>
      </c>
      <c r="W941" s="112" t="s">
        <v>1066</v>
      </c>
      <c r="X941" s="112" t="s">
        <v>1066</v>
      </c>
      <c r="Y941" s="112" t="s">
        <v>1066</v>
      </c>
      <c r="Z941" s="112" t="s">
        <v>1066</v>
      </c>
      <c r="AA941" s="112" t="s">
        <v>1067</v>
      </c>
      <c r="AB941" s="112" t="s">
        <v>1066</v>
      </c>
      <c r="AC941" s="112" t="s">
        <v>92</v>
      </c>
      <c r="AD941" s="112" t="s">
        <v>1066</v>
      </c>
      <c r="AE941" s="112" t="s">
        <v>1066</v>
      </c>
      <c r="AF941" s="112" t="s">
        <v>1066</v>
      </c>
      <c r="AG941" s="112" t="s">
        <v>1066</v>
      </c>
      <c r="AH941" s="112" t="s">
        <v>1066</v>
      </c>
      <c r="AI941" s="112" t="s">
        <v>785</v>
      </c>
      <c r="AJ941" s="112">
        <v>8582644</v>
      </c>
      <c r="AK941" s="112" t="s">
        <v>2841</v>
      </c>
      <c r="AL941" s="112">
        <v>706412</v>
      </c>
      <c r="AM941" s="112" t="s">
        <v>1066</v>
      </c>
      <c r="AN941" s="112" t="s">
        <v>1066</v>
      </c>
    </row>
    <row r="942" spans="1:40" ht="55.5" customHeight="1" x14ac:dyDescent="0.25">
      <c r="A942" s="111" t="s">
        <v>667</v>
      </c>
      <c r="B942" s="112">
        <v>2026</v>
      </c>
      <c r="C942" s="112" t="s">
        <v>4412</v>
      </c>
      <c r="D942" s="113">
        <v>45992.675532407404</v>
      </c>
      <c r="E942" s="112">
        <v>7927713200</v>
      </c>
      <c r="F942" s="112" t="s">
        <v>294</v>
      </c>
      <c r="G942" s="112">
        <v>3</v>
      </c>
      <c r="H942" s="112">
        <v>7927713200</v>
      </c>
      <c r="I942" s="112" t="s">
        <v>1584</v>
      </c>
      <c r="J942" s="112" t="s">
        <v>1092</v>
      </c>
      <c r="K942" s="112" t="s">
        <v>1060</v>
      </c>
      <c r="L942" s="112" t="s">
        <v>1061</v>
      </c>
      <c r="M942" s="112" t="s">
        <v>478</v>
      </c>
      <c r="N942" s="113">
        <v>46602.65320601852</v>
      </c>
      <c r="O942" s="114">
        <v>19002207480</v>
      </c>
      <c r="P942" s="112">
        <v>0</v>
      </c>
      <c r="Q942" s="112" t="s">
        <v>1062</v>
      </c>
      <c r="R942" s="112" t="s">
        <v>1075</v>
      </c>
      <c r="S942" s="113">
        <v>46211.334953703707</v>
      </c>
      <c r="T942" s="112" t="s">
        <v>4413</v>
      </c>
      <c r="U942" s="112" t="s">
        <v>1065</v>
      </c>
      <c r="V942" s="112" t="s">
        <v>1066</v>
      </c>
      <c r="W942" s="112" t="s">
        <v>1066</v>
      </c>
      <c r="X942" s="112" t="s">
        <v>1066</v>
      </c>
      <c r="Y942" s="112" t="s">
        <v>1066</v>
      </c>
      <c r="Z942" s="112" t="s">
        <v>1066</v>
      </c>
      <c r="AA942" s="112" t="s">
        <v>1067</v>
      </c>
      <c r="AB942" s="112" t="s">
        <v>1066</v>
      </c>
      <c r="AC942" s="112" t="s">
        <v>92</v>
      </c>
      <c r="AD942" s="112" t="s">
        <v>1066</v>
      </c>
      <c r="AE942" s="112" t="s">
        <v>1066</v>
      </c>
      <c r="AF942" s="112" t="s">
        <v>1066</v>
      </c>
      <c r="AG942" s="112" t="s">
        <v>1066</v>
      </c>
      <c r="AH942" s="112" t="s">
        <v>4414</v>
      </c>
      <c r="AI942" s="112" t="s">
        <v>785</v>
      </c>
      <c r="AJ942" s="112">
        <v>8603359</v>
      </c>
      <c r="AK942" s="112" t="s">
        <v>293</v>
      </c>
      <c r="AL942" s="112">
        <v>794667</v>
      </c>
      <c r="AM942" s="112" t="s">
        <v>1066</v>
      </c>
      <c r="AN942" s="112" t="s">
        <v>1066</v>
      </c>
    </row>
    <row r="943" spans="1:40" ht="55.5" customHeight="1" x14ac:dyDescent="0.25">
      <c r="A943" s="111" t="s">
        <v>4415</v>
      </c>
      <c r="B943" s="112">
        <v>2026</v>
      </c>
      <c r="C943" s="112" t="s">
        <v>1240</v>
      </c>
      <c r="D943" s="113">
        <v>46183.597349537034</v>
      </c>
      <c r="E943" s="112">
        <v>7900528037</v>
      </c>
      <c r="F943" s="112" t="s">
        <v>186</v>
      </c>
      <c r="G943" s="112">
        <v>2</v>
      </c>
      <c r="H943" s="112">
        <v>7900528037</v>
      </c>
      <c r="I943" s="112" t="s">
        <v>4416</v>
      </c>
      <c r="J943" s="112" t="s">
        <v>1066</v>
      </c>
      <c r="K943" s="112" t="s">
        <v>1125</v>
      </c>
      <c r="L943" s="112" t="s">
        <v>1061</v>
      </c>
      <c r="M943" s="112" t="s">
        <v>478</v>
      </c>
      <c r="N943" s="113">
        <v>46583.597349537034</v>
      </c>
      <c r="O943" s="114">
        <v>19002223574</v>
      </c>
      <c r="P943" s="112">
        <v>199</v>
      </c>
      <c r="Q943" s="112" t="s">
        <v>1062</v>
      </c>
      <c r="R943" s="112" t="s">
        <v>1063</v>
      </c>
      <c r="S943" s="113">
        <v>46206.354756944442</v>
      </c>
      <c r="T943" s="112" t="s">
        <v>4417</v>
      </c>
      <c r="U943" s="112" t="s">
        <v>1065</v>
      </c>
      <c r="V943" s="112" t="s">
        <v>1066</v>
      </c>
      <c r="W943" s="112" t="s">
        <v>1066</v>
      </c>
      <c r="X943" s="112" t="s">
        <v>1066</v>
      </c>
      <c r="Y943" s="112" t="s">
        <v>1066</v>
      </c>
      <c r="Z943" s="112" t="s">
        <v>1066</v>
      </c>
      <c r="AA943" s="112" t="s">
        <v>1067</v>
      </c>
      <c r="AB943" s="112" t="s">
        <v>1066</v>
      </c>
      <c r="AC943" s="112" t="s">
        <v>92</v>
      </c>
      <c r="AD943" s="112" t="s">
        <v>1066</v>
      </c>
      <c r="AE943" s="112" t="s">
        <v>1066</v>
      </c>
      <c r="AF943" s="112" t="s">
        <v>1066</v>
      </c>
      <c r="AG943" s="112" t="s">
        <v>1066</v>
      </c>
      <c r="AH943" s="112" t="s">
        <v>1066</v>
      </c>
      <c r="AI943" s="112" t="s">
        <v>785</v>
      </c>
      <c r="AJ943" s="112">
        <v>8749220</v>
      </c>
      <c r="AK943" s="112" t="s">
        <v>1160</v>
      </c>
      <c r="AL943" s="112">
        <v>725589</v>
      </c>
      <c r="AM943" s="112" t="s">
        <v>1066</v>
      </c>
      <c r="AN943" s="112" t="s">
        <v>1066</v>
      </c>
    </row>
    <row r="944" spans="1:40" ht="55.5" customHeight="1" x14ac:dyDescent="0.25">
      <c r="A944" s="120" t="s">
        <v>4418</v>
      </c>
      <c r="B944" s="121">
        <v>2026</v>
      </c>
      <c r="C944" s="121" t="s">
        <v>4419</v>
      </c>
      <c r="D944" s="122">
        <v>46155.313900462963</v>
      </c>
      <c r="E944" s="121">
        <v>7931608059</v>
      </c>
      <c r="F944" s="121" t="s">
        <v>75</v>
      </c>
      <c r="G944" s="121">
        <v>2</v>
      </c>
      <c r="H944" s="121">
        <v>7931608059</v>
      </c>
      <c r="I944" s="121" t="s">
        <v>4096</v>
      </c>
      <c r="J944" s="121" t="s">
        <v>1071</v>
      </c>
      <c r="K944" s="121" t="s">
        <v>1379</v>
      </c>
      <c r="L944" s="121" t="s">
        <v>1073</v>
      </c>
      <c r="M944" s="121" t="s">
        <v>1116</v>
      </c>
      <c r="N944" s="122">
        <v>46166.653854166667</v>
      </c>
      <c r="O944" s="123">
        <v>19002208145</v>
      </c>
      <c r="P944" s="121">
        <v>0</v>
      </c>
      <c r="Q944" s="121" t="s">
        <v>1062</v>
      </c>
      <c r="R944" s="121" t="s">
        <v>1075</v>
      </c>
      <c r="S944" s="122">
        <v>46190.389108796298</v>
      </c>
      <c r="T944" s="121" t="s">
        <v>1066</v>
      </c>
      <c r="U944" s="121" t="s">
        <v>1066</v>
      </c>
      <c r="V944" s="121" t="s">
        <v>1066</v>
      </c>
      <c r="W944" s="121" t="s">
        <v>1066</v>
      </c>
      <c r="X944" s="121" t="s">
        <v>1066</v>
      </c>
      <c r="Y944" s="121" t="s">
        <v>1066</v>
      </c>
      <c r="Z944" s="121" t="s">
        <v>1066</v>
      </c>
      <c r="AA944" s="121" t="s">
        <v>1067</v>
      </c>
      <c r="AB944" s="121" t="s">
        <v>1066</v>
      </c>
      <c r="AC944" s="121" t="s">
        <v>92</v>
      </c>
      <c r="AD944" s="121" t="s">
        <v>1066</v>
      </c>
      <c r="AE944" s="121" t="s">
        <v>1066</v>
      </c>
      <c r="AF944" s="121" t="s">
        <v>1066</v>
      </c>
      <c r="AG944" s="121" t="s">
        <v>1066</v>
      </c>
      <c r="AH944" s="121" t="s">
        <v>1066</v>
      </c>
      <c r="AI944" s="121" t="s">
        <v>785</v>
      </c>
      <c r="AJ944" s="121">
        <v>8854562</v>
      </c>
      <c r="AK944" s="121" t="s">
        <v>264</v>
      </c>
      <c r="AL944" s="121">
        <v>796501</v>
      </c>
      <c r="AM944" s="121" t="s">
        <v>1066</v>
      </c>
      <c r="AN944" s="121" t="s">
        <v>1066</v>
      </c>
    </row>
    <row r="945" spans="1:40" ht="55.5" customHeight="1" x14ac:dyDescent="0.25">
      <c r="A945" s="111" t="s">
        <v>4420</v>
      </c>
      <c r="B945" s="112">
        <v>2026</v>
      </c>
      <c r="C945" s="112" t="s">
        <v>1089</v>
      </c>
      <c r="D945" s="113">
        <v>46028.41065972222</v>
      </c>
      <c r="E945" s="112">
        <v>7907570122</v>
      </c>
      <c r="F945" s="112" t="s">
        <v>409</v>
      </c>
      <c r="G945" s="112">
        <v>3</v>
      </c>
      <c r="H945" s="112">
        <v>7907570122</v>
      </c>
      <c r="I945" s="112" t="s">
        <v>4421</v>
      </c>
      <c r="J945" s="112" t="s">
        <v>1092</v>
      </c>
      <c r="K945" s="112" t="s">
        <v>1093</v>
      </c>
      <c r="L945" s="112" t="s">
        <v>1061</v>
      </c>
      <c r="M945" s="112" t="s">
        <v>478</v>
      </c>
      <c r="N945" s="113">
        <v>46428.41065972222</v>
      </c>
      <c r="O945" s="114">
        <v>19002206751</v>
      </c>
      <c r="P945" s="112">
        <v>505</v>
      </c>
      <c r="Q945" s="112" t="s">
        <v>1062</v>
      </c>
      <c r="R945" s="112" t="s">
        <v>1063</v>
      </c>
      <c r="S945" s="113">
        <v>46176.437349537038</v>
      </c>
      <c r="T945" s="112" t="s">
        <v>4422</v>
      </c>
      <c r="U945" s="112" t="s">
        <v>1065</v>
      </c>
      <c r="V945" s="112" t="s">
        <v>1066</v>
      </c>
      <c r="W945" s="112" t="s">
        <v>1066</v>
      </c>
      <c r="X945" s="112" t="s">
        <v>1066</v>
      </c>
      <c r="Y945" s="112" t="s">
        <v>1066</v>
      </c>
      <c r="Z945" s="112" t="s">
        <v>1066</v>
      </c>
      <c r="AA945" s="112" t="s">
        <v>1067</v>
      </c>
      <c r="AB945" s="112" t="s">
        <v>1066</v>
      </c>
      <c r="AC945" s="112" t="s">
        <v>92</v>
      </c>
      <c r="AD945" s="112" t="s">
        <v>1066</v>
      </c>
      <c r="AE945" s="112" t="s">
        <v>1066</v>
      </c>
      <c r="AF945" s="112" t="s">
        <v>1066</v>
      </c>
      <c r="AG945" s="112" t="s">
        <v>1066</v>
      </c>
      <c r="AH945" s="112" t="s">
        <v>1066</v>
      </c>
      <c r="AI945" s="112" t="s">
        <v>785</v>
      </c>
      <c r="AJ945" s="112">
        <v>8873650</v>
      </c>
      <c r="AK945" s="112" t="s">
        <v>264</v>
      </c>
      <c r="AL945" s="112">
        <v>792834</v>
      </c>
      <c r="AM945" s="112" t="s">
        <v>1066</v>
      </c>
      <c r="AN945" s="112" t="s">
        <v>1066</v>
      </c>
    </row>
    <row r="946" spans="1:40" ht="55.5" customHeight="1" x14ac:dyDescent="0.25">
      <c r="A946" s="111" t="s">
        <v>4423</v>
      </c>
      <c r="B946" s="112">
        <v>2026</v>
      </c>
      <c r="C946" s="112" t="s">
        <v>1089</v>
      </c>
      <c r="D946" s="113">
        <v>46028.453888888886</v>
      </c>
      <c r="E946" s="112">
        <v>7937112036</v>
      </c>
      <c r="F946" s="112" t="s">
        <v>1852</v>
      </c>
      <c r="G946" s="112">
        <v>3</v>
      </c>
      <c r="H946" s="112">
        <v>7937112036</v>
      </c>
      <c r="I946" s="112" t="s">
        <v>1853</v>
      </c>
      <c r="J946" s="112" t="s">
        <v>1092</v>
      </c>
      <c r="K946" s="112" t="s">
        <v>1093</v>
      </c>
      <c r="L946" s="112" t="s">
        <v>1061</v>
      </c>
      <c r="M946" s="112" t="s">
        <v>478</v>
      </c>
      <c r="N946" s="113">
        <v>46428.453888888886</v>
      </c>
      <c r="O946" s="114">
        <v>19002208187</v>
      </c>
      <c r="P946" s="112">
        <v>207</v>
      </c>
      <c r="Q946" s="112" t="s">
        <v>1062</v>
      </c>
      <c r="R946" s="112" t="s">
        <v>1063</v>
      </c>
      <c r="S946" s="113">
        <v>46035.420138888891</v>
      </c>
      <c r="T946" s="112" t="s">
        <v>4424</v>
      </c>
      <c r="U946" s="112" t="s">
        <v>1065</v>
      </c>
      <c r="V946" s="112" t="s">
        <v>1066</v>
      </c>
      <c r="W946" s="112" t="s">
        <v>1066</v>
      </c>
      <c r="X946" s="112" t="s">
        <v>1066</v>
      </c>
      <c r="Y946" s="112" t="s">
        <v>1066</v>
      </c>
      <c r="Z946" s="112" t="s">
        <v>1066</v>
      </c>
      <c r="AA946" s="112" t="s">
        <v>1067</v>
      </c>
      <c r="AB946" s="112" t="s">
        <v>1066</v>
      </c>
      <c r="AC946" s="112" t="s">
        <v>92</v>
      </c>
      <c r="AD946" s="112" t="s">
        <v>1066</v>
      </c>
      <c r="AE946" s="112" t="s">
        <v>1066</v>
      </c>
      <c r="AF946" s="112" t="s">
        <v>1066</v>
      </c>
      <c r="AG946" s="112" t="s">
        <v>1066</v>
      </c>
      <c r="AH946" s="112" t="s">
        <v>1066</v>
      </c>
      <c r="AI946" s="112" t="s">
        <v>785</v>
      </c>
      <c r="AJ946" s="112">
        <v>8633931</v>
      </c>
      <c r="AK946" s="112" t="s">
        <v>470</v>
      </c>
      <c r="AL946" s="112">
        <v>700843</v>
      </c>
      <c r="AM946" s="112" t="s">
        <v>1066</v>
      </c>
      <c r="AN946" s="112" t="s">
        <v>1066</v>
      </c>
    </row>
    <row r="947" spans="1:40" ht="55.5" customHeight="1" x14ac:dyDescent="0.25">
      <c r="A947" s="111" t="s">
        <v>4425</v>
      </c>
      <c r="B947" s="112">
        <v>2026</v>
      </c>
      <c r="C947" s="112" t="s">
        <v>1089</v>
      </c>
      <c r="D947" s="113">
        <v>46028.41065972222</v>
      </c>
      <c r="E947" s="112">
        <v>7903316001</v>
      </c>
      <c r="F947" s="112" t="s">
        <v>3505</v>
      </c>
      <c r="G947" s="112">
        <v>1</v>
      </c>
      <c r="H947" s="112">
        <v>7903316001</v>
      </c>
      <c r="I947" s="112" t="s">
        <v>4426</v>
      </c>
      <c r="J947" s="112" t="s">
        <v>1092</v>
      </c>
      <c r="K947" s="112" t="s">
        <v>1093</v>
      </c>
      <c r="L947" s="112" t="s">
        <v>1061</v>
      </c>
      <c r="M947" s="112" t="s">
        <v>478</v>
      </c>
      <c r="N947" s="113">
        <v>46428.41065972222</v>
      </c>
      <c r="O947" s="114">
        <v>19002631793</v>
      </c>
      <c r="P947" s="112">
        <v>1.9550000000000001</v>
      </c>
      <c r="Q947" s="112" t="s">
        <v>1062</v>
      </c>
      <c r="R947" s="112" t="s">
        <v>1063</v>
      </c>
      <c r="S947" s="113">
        <v>46045.674722222226</v>
      </c>
      <c r="T947" s="112" t="s">
        <v>4427</v>
      </c>
      <c r="U947" s="112" t="s">
        <v>1065</v>
      </c>
      <c r="V947" s="112" t="s">
        <v>1066</v>
      </c>
      <c r="W947" s="112" t="s">
        <v>1066</v>
      </c>
      <c r="X947" s="112" t="s">
        <v>1066</v>
      </c>
      <c r="Y947" s="112" t="s">
        <v>1066</v>
      </c>
      <c r="Z947" s="112" t="s">
        <v>1066</v>
      </c>
      <c r="AA947" s="112" t="s">
        <v>1067</v>
      </c>
      <c r="AB947" s="112" t="s">
        <v>1066</v>
      </c>
      <c r="AC947" s="112" t="s">
        <v>92</v>
      </c>
      <c r="AD947" s="112" t="s">
        <v>1066</v>
      </c>
      <c r="AE947" s="112" t="s">
        <v>1066</v>
      </c>
      <c r="AF947" s="112" t="s">
        <v>1066</v>
      </c>
      <c r="AG947" s="112" t="s">
        <v>1066</v>
      </c>
      <c r="AH947" s="112" t="s">
        <v>1066</v>
      </c>
      <c r="AI947" s="112" t="s">
        <v>785</v>
      </c>
      <c r="AJ947" s="112">
        <v>8814210</v>
      </c>
      <c r="AK947" s="112" t="s">
        <v>50</v>
      </c>
      <c r="AL947" s="112">
        <v>785727</v>
      </c>
      <c r="AM947" s="112" t="s">
        <v>1066</v>
      </c>
      <c r="AN947" s="112" t="s">
        <v>1066</v>
      </c>
    </row>
    <row r="948" spans="1:40" ht="55.5" customHeight="1" x14ac:dyDescent="0.25">
      <c r="A948" s="111" t="s">
        <v>4428</v>
      </c>
      <c r="B948" s="112">
        <v>2026</v>
      </c>
      <c r="C948" s="112" t="s">
        <v>1089</v>
      </c>
      <c r="D948" s="113">
        <v>46028.41065972222</v>
      </c>
      <c r="E948" s="112">
        <v>7823244233</v>
      </c>
      <c r="F948" s="112" t="s">
        <v>682</v>
      </c>
      <c r="G948" s="112">
        <v>3</v>
      </c>
      <c r="H948" s="112">
        <v>7823244233</v>
      </c>
      <c r="I948" s="112" t="s">
        <v>1832</v>
      </c>
      <c r="J948" s="112" t="s">
        <v>1092</v>
      </c>
      <c r="K948" s="112" t="s">
        <v>1093</v>
      </c>
      <c r="L948" s="112" t="s">
        <v>1061</v>
      </c>
      <c r="M948" s="112" t="s">
        <v>478</v>
      </c>
      <c r="N948" s="113">
        <v>46428.41065972222</v>
      </c>
      <c r="O948" s="114">
        <v>19002400721</v>
      </c>
      <c r="P948" s="112">
        <v>161</v>
      </c>
      <c r="Q948" s="112" t="s">
        <v>1062</v>
      </c>
      <c r="R948" s="112" t="s">
        <v>1063</v>
      </c>
      <c r="S948" s="113">
        <v>46205.729826388888</v>
      </c>
      <c r="T948" s="112" t="s">
        <v>1833</v>
      </c>
      <c r="U948" s="112" t="s">
        <v>1065</v>
      </c>
      <c r="V948" s="112" t="s">
        <v>1066</v>
      </c>
      <c r="W948" s="112" t="s">
        <v>1066</v>
      </c>
      <c r="X948" s="112" t="s">
        <v>1066</v>
      </c>
      <c r="Y948" s="112" t="s">
        <v>1066</v>
      </c>
      <c r="Z948" s="112" t="s">
        <v>1066</v>
      </c>
      <c r="AA948" s="112" t="s">
        <v>1067</v>
      </c>
      <c r="AB948" s="112" t="s">
        <v>1066</v>
      </c>
      <c r="AC948" s="112" t="s">
        <v>92</v>
      </c>
      <c r="AD948" s="112" t="s">
        <v>1066</v>
      </c>
      <c r="AE948" s="112" t="s">
        <v>1066</v>
      </c>
      <c r="AF948" s="112" t="s">
        <v>1066</v>
      </c>
      <c r="AG948" s="112" t="s">
        <v>1066</v>
      </c>
      <c r="AH948" s="112" t="s">
        <v>1066</v>
      </c>
      <c r="AI948" s="112" t="s">
        <v>785</v>
      </c>
      <c r="AJ948" s="112">
        <v>8936665</v>
      </c>
      <c r="AK948" s="112" t="s">
        <v>1834</v>
      </c>
      <c r="AL948" s="112">
        <v>704618</v>
      </c>
      <c r="AM948" s="112" t="s">
        <v>1066</v>
      </c>
      <c r="AN948" s="112" t="s">
        <v>1066</v>
      </c>
    </row>
    <row r="949" spans="1:40" ht="55.5" customHeight="1" x14ac:dyDescent="0.25">
      <c r="A949" s="120" t="s">
        <v>4429</v>
      </c>
      <c r="B949" s="121">
        <v>2025</v>
      </c>
      <c r="C949" s="121" t="s">
        <v>4430</v>
      </c>
      <c r="D949" s="122">
        <v>45741.848067129627</v>
      </c>
      <c r="E949" s="121">
        <v>8801059073</v>
      </c>
      <c r="F949" s="121" t="s">
        <v>335</v>
      </c>
      <c r="G949" s="121">
        <v>2</v>
      </c>
      <c r="H949" s="121">
        <v>7919270014</v>
      </c>
      <c r="I949" s="121" t="s">
        <v>1357</v>
      </c>
      <c r="J949" s="121" t="s">
        <v>1071</v>
      </c>
      <c r="K949" s="121" t="s">
        <v>1323</v>
      </c>
      <c r="L949" s="121" t="s">
        <v>1073</v>
      </c>
      <c r="M949" s="121" t="s">
        <v>1116</v>
      </c>
      <c r="N949" s="122">
        <v>46132.395590277774</v>
      </c>
      <c r="O949" s="123">
        <v>19001184126</v>
      </c>
      <c r="P949" s="121">
        <v>52</v>
      </c>
      <c r="Q949" s="121" t="s">
        <v>1131</v>
      </c>
      <c r="R949" s="121" t="s">
        <v>1324</v>
      </c>
      <c r="S949" s="122">
        <v>46140.615104166667</v>
      </c>
      <c r="T949" s="121" t="s">
        <v>1066</v>
      </c>
      <c r="U949" s="121" t="s">
        <v>1066</v>
      </c>
      <c r="V949" s="121" t="s">
        <v>1066</v>
      </c>
      <c r="W949" s="121" t="s">
        <v>1066</v>
      </c>
      <c r="X949" s="121" t="s">
        <v>1117</v>
      </c>
      <c r="Y949" s="121" t="s">
        <v>1066</v>
      </c>
      <c r="Z949" s="121" t="s">
        <v>1148</v>
      </c>
      <c r="AA949" s="121" t="s">
        <v>1067</v>
      </c>
      <c r="AB949" s="121" t="s">
        <v>1066</v>
      </c>
      <c r="AC949" s="121" t="s">
        <v>92</v>
      </c>
      <c r="AD949" s="121" t="s">
        <v>1142</v>
      </c>
      <c r="AE949" s="121" t="s">
        <v>1066</v>
      </c>
      <c r="AF949" s="121" t="s">
        <v>1066</v>
      </c>
      <c r="AG949" s="121" t="s">
        <v>1066</v>
      </c>
      <c r="AH949" s="121" t="s">
        <v>1066</v>
      </c>
      <c r="AI949" s="121" t="s">
        <v>785</v>
      </c>
      <c r="AJ949" s="121">
        <v>8830790</v>
      </c>
      <c r="AK949" s="121" t="s">
        <v>1166</v>
      </c>
      <c r="AL949" s="121">
        <v>617420</v>
      </c>
      <c r="AM949" s="121" t="s">
        <v>1066</v>
      </c>
      <c r="AN949" s="121" t="s">
        <v>1066</v>
      </c>
    </row>
    <row r="950" spans="1:40" ht="55.5" customHeight="1" x14ac:dyDescent="0.25">
      <c r="A950" s="111" t="s">
        <v>4431</v>
      </c>
      <c r="B950" s="112">
        <v>2026</v>
      </c>
      <c r="C950" s="112" t="s">
        <v>1089</v>
      </c>
      <c r="D950" s="113">
        <v>46028.41065972222</v>
      </c>
      <c r="E950" s="112">
        <v>7937505059</v>
      </c>
      <c r="F950" s="112" t="s">
        <v>691</v>
      </c>
      <c r="G950" s="112">
        <v>2</v>
      </c>
      <c r="H950" s="112">
        <v>7937505059</v>
      </c>
      <c r="I950" s="112" t="s">
        <v>4432</v>
      </c>
      <c r="J950" s="112" t="s">
        <v>1092</v>
      </c>
      <c r="K950" s="112" t="s">
        <v>1093</v>
      </c>
      <c r="L950" s="112" t="s">
        <v>1061</v>
      </c>
      <c r="M950" s="112" t="s">
        <v>478</v>
      </c>
      <c r="N950" s="113">
        <v>46428.41065972222</v>
      </c>
      <c r="O950" s="114">
        <v>19002208377</v>
      </c>
      <c r="P950" s="112">
        <v>2.65</v>
      </c>
      <c r="Q950" s="112" t="s">
        <v>1062</v>
      </c>
      <c r="R950" s="112" t="s">
        <v>1063</v>
      </c>
      <c r="S950" s="113">
        <v>46045.684120370373</v>
      </c>
      <c r="T950" s="112" t="s">
        <v>4433</v>
      </c>
      <c r="U950" s="112" t="s">
        <v>1065</v>
      </c>
      <c r="V950" s="112" t="s">
        <v>1066</v>
      </c>
      <c r="W950" s="112" t="s">
        <v>1066</v>
      </c>
      <c r="X950" s="112" t="s">
        <v>1066</v>
      </c>
      <c r="Y950" s="112" t="s">
        <v>1066</v>
      </c>
      <c r="Z950" s="112" t="s">
        <v>1066</v>
      </c>
      <c r="AA950" s="112" t="s">
        <v>1067</v>
      </c>
      <c r="AB950" s="112" t="s">
        <v>1066</v>
      </c>
      <c r="AC950" s="112" t="s">
        <v>92</v>
      </c>
      <c r="AD950" s="112" t="s">
        <v>1066</v>
      </c>
      <c r="AE950" s="112" t="s">
        <v>1066</v>
      </c>
      <c r="AF950" s="112" t="s">
        <v>1066</v>
      </c>
      <c r="AG950" s="112" t="s">
        <v>1066</v>
      </c>
      <c r="AH950" s="112" t="s">
        <v>1066</v>
      </c>
      <c r="AI950" s="112" t="s">
        <v>785</v>
      </c>
      <c r="AJ950" s="112">
        <v>8854648</v>
      </c>
      <c r="AK950" s="112" t="s">
        <v>264</v>
      </c>
      <c r="AL950" s="112">
        <v>792192</v>
      </c>
      <c r="AM950" s="112" t="s">
        <v>1066</v>
      </c>
      <c r="AN950" s="112" t="s">
        <v>1066</v>
      </c>
    </row>
    <row r="951" spans="1:40" ht="55.5" customHeight="1" x14ac:dyDescent="0.25">
      <c r="A951" s="111" t="s">
        <v>4434</v>
      </c>
      <c r="B951" s="112">
        <v>2026</v>
      </c>
      <c r="C951" s="112" t="s">
        <v>1213</v>
      </c>
      <c r="D951" s="113">
        <v>46122.549942129626</v>
      </c>
      <c r="E951" s="112">
        <v>7900558159</v>
      </c>
      <c r="F951" s="112" t="s">
        <v>284</v>
      </c>
      <c r="G951" s="112">
        <v>3</v>
      </c>
      <c r="H951" s="112">
        <v>7900558159</v>
      </c>
      <c r="I951" s="112" t="s">
        <v>4435</v>
      </c>
      <c r="J951" s="112" t="s">
        <v>1066</v>
      </c>
      <c r="K951" s="112" t="s">
        <v>1125</v>
      </c>
      <c r="L951" s="112" t="s">
        <v>1061</v>
      </c>
      <c r="M951" s="112" t="s">
        <v>478</v>
      </c>
      <c r="N951" s="113">
        <v>46522.549942129626</v>
      </c>
      <c r="O951" s="114">
        <v>19002295950</v>
      </c>
      <c r="P951" s="112">
        <v>582</v>
      </c>
      <c r="Q951" s="112" t="s">
        <v>1062</v>
      </c>
      <c r="R951" s="112" t="s">
        <v>1063</v>
      </c>
      <c r="S951" s="113">
        <v>46134.729166666664</v>
      </c>
      <c r="T951" s="112" t="s">
        <v>4436</v>
      </c>
      <c r="U951" s="112" t="s">
        <v>1065</v>
      </c>
      <c r="V951" s="112" t="s">
        <v>1066</v>
      </c>
      <c r="W951" s="112" t="s">
        <v>1066</v>
      </c>
      <c r="X951" s="112" t="s">
        <v>1066</v>
      </c>
      <c r="Y951" s="112" t="s">
        <v>1066</v>
      </c>
      <c r="Z951" s="112" t="s">
        <v>1066</v>
      </c>
      <c r="AA951" s="112" t="s">
        <v>1067</v>
      </c>
      <c r="AB951" s="112" t="s">
        <v>1066</v>
      </c>
      <c r="AC951" s="112" t="s">
        <v>92</v>
      </c>
      <c r="AD951" s="112" t="s">
        <v>1066</v>
      </c>
      <c r="AE951" s="112" t="s">
        <v>1066</v>
      </c>
      <c r="AF951" s="112" t="s">
        <v>1066</v>
      </c>
      <c r="AG951" s="112" t="s">
        <v>1066</v>
      </c>
      <c r="AH951" s="112" t="s">
        <v>1066</v>
      </c>
      <c r="AI951" s="112" t="s">
        <v>785</v>
      </c>
      <c r="AJ951" s="112">
        <v>9208138</v>
      </c>
      <c r="AK951" s="112" t="s">
        <v>4437</v>
      </c>
      <c r="AL951" s="112">
        <v>763888</v>
      </c>
      <c r="AM951" s="112" t="s">
        <v>1066</v>
      </c>
      <c r="AN951" s="112" t="s">
        <v>1066</v>
      </c>
    </row>
    <row r="952" spans="1:40" ht="55.5" customHeight="1" x14ac:dyDescent="0.25">
      <c r="A952" s="115" t="s">
        <v>4438</v>
      </c>
      <c r="B952" s="116">
        <v>2026</v>
      </c>
      <c r="C952" s="116" t="s">
        <v>4439</v>
      </c>
      <c r="D952" s="118">
        <v>46108.654699074075</v>
      </c>
      <c r="E952" s="116">
        <v>7926089013</v>
      </c>
      <c r="F952" s="116" t="s">
        <v>219</v>
      </c>
      <c r="G952" s="116">
        <v>3</v>
      </c>
      <c r="H952" s="116">
        <v>7926089013</v>
      </c>
      <c r="I952" s="116" t="s">
        <v>4440</v>
      </c>
      <c r="J952" s="116" t="s">
        <v>1157</v>
      </c>
      <c r="K952" s="116" t="s">
        <v>1417</v>
      </c>
      <c r="L952" s="116" t="s">
        <v>1084</v>
      </c>
      <c r="M952" s="116" t="s">
        <v>588</v>
      </c>
      <c r="N952" s="118">
        <v>46195.332002314812</v>
      </c>
      <c r="O952" s="119">
        <v>19002203075</v>
      </c>
      <c r="P952" s="116">
        <v>1.05</v>
      </c>
      <c r="Q952" s="116" t="s">
        <v>1062</v>
      </c>
      <c r="R952" s="116" t="s">
        <v>1085</v>
      </c>
      <c r="S952" s="116" t="s">
        <v>1066</v>
      </c>
      <c r="T952" s="116" t="s">
        <v>1066</v>
      </c>
      <c r="U952" s="116" t="s">
        <v>1066</v>
      </c>
      <c r="V952" s="116" t="s">
        <v>1066</v>
      </c>
      <c r="W952" s="116" t="s">
        <v>1066</v>
      </c>
      <c r="X952" s="116" t="s">
        <v>983</v>
      </c>
      <c r="Y952" s="116" t="s">
        <v>1066</v>
      </c>
      <c r="Z952" s="116" t="s">
        <v>2152</v>
      </c>
      <c r="AA952" s="116" t="s">
        <v>1067</v>
      </c>
      <c r="AB952" s="116" t="s">
        <v>1066</v>
      </c>
      <c r="AC952" s="116" t="s">
        <v>92</v>
      </c>
      <c r="AD952" s="116" t="s">
        <v>1066</v>
      </c>
      <c r="AE952" s="116" t="s">
        <v>1066</v>
      </c>
      <c r="AF952" s="116" t="s">
        <v>1066</v>
      </c>
      <c r="AG952" s="116" t="s">
        <v>1066</v>
      </c>
      <c r="AH952" s="116" t="s">
        <v>1066</v>
      </c>
      <c r="AI952" s="116" t="s">
        <v>785</v>
      </c>
      <c r="AJ952" s="116">
        <v>8867765</v>
      </c>
      <c r="AK952" s="116" t="s">
        <v>117</v>
      </c>
      <c r="AL952" s="116">
        <v>718799</v>
      </c>
      <c r="AM952" s="116" t="s">
        <v>1066</v>
      </c>
      <c r="AN952" s="116" t="s">
        <v>1066</v>
      </c>
    </row>
    <row r="953" spans="1:40" ht="55.5" customHeight="1" x14ac:dyDescent="0.25">
      <c r="A953" s="115" t="s">
        <v>4441</v>
      </c>
      <c r="B953" s="116">
        <v>2026</v>
      </c>
      <c r="C953" s="116" t="s">
        <v>4442</v>
      </c>
      <c r="D953" s="118">
        <v>45929.635717592595</v>
      </c>
      <c r="E953" s="116">
        <v>8859726047</v>
      </c>
      <c r="F953" s="116" t="s">
        <v>113</v>
      </c>
      <c r="G953" s="116">
        <v>3</v>
      </c>
      <c r="H953" s="116">
        <v>7908196047</v>
      </c>
      <c r="I953" s="116" t="s">
        <v>2770</v>
      </c>
      <c r="J953" s="116" t="s">
        <v>1231</v>
      </c>
      <c r="K953" s="116" t="s">
        <v>1232</v>
      </c>
      <c r="L953" s="116" t="s">
        <v>1084</v>
      </c>
      <c r="M953" s="116" t="s">
        <v>588</v>
      </c>
      <c r="N953" s="118">
        <v>46265.745879629627</v>
      </c>
      <c r="O953" s="119">
        <v>19000282287</v>
      </c>
      <c r="P953" s="116">
        <v>111</v>
      </c>
      <c r="Q953" s="116" t="s">
        <v>1131</v>
      </c>
      <c r="R953" s="116" t="s">
        <v>1206</v>
      </c>
      <c r="S953" s="116" t="s">
        <v>1066</v>
      </c>
      <c r="T953" s="116" t="s">
        <v>1066</v>
      </c>
      <c r="U953" s="116" t="s">
        <v>1066</v>
      </c>
      <c r="V953" s="116" t="s">
        <v>1066</v>
      </c>
      <c r="W953" s="116" t="s">
        <v>1066</v>
      </c>
      <c r="X953" s="116" t="s">
        <v>983</v>
      </c>
      <c r="Y953" s="116" t="s">
        <v>1066</v>
      </c>
      <c r="Z953" s="116" t="s">
        <v>1066</v>
      </c>
      <c r="AA953" s="116" t="s">
        <v>1067</v>
      </c>
      <c r="AB953" s="116" t="s">
        <v>1066</v>
      </c>
      <c r="AC953" s="116" t="s">
        <v>92</v>
      </c>
      <c r="AD953" s="116" t="s">
        <v>1142</v>
      </c>
      <c r="AE953" s="116" t="s">
        <v>1066</v>
      </c>
      <c r="AF953" s="116" t="s">
        <v>1066</v>
      </c>
      <c r="AG953" s="116" t="s">
        <v>1066</v>
      </c>
      <c r="AH953" s="116" t="s">
        <v>2771</v>
      </c>
      <c r="AI953" s="116" t="s">
        <v>785</v>
      </c>
      <c r="AJ953" s="116">
        <v>8657287</v>
      </c>
      <c r="AK953" s="116" t="s">
        <v>111</v>
      </c>
      <c r="AL953" s="116">
        <v>698485</v>
      </c>
      <c r="AM953" s="116" t="s">
        <v>1066</v>
      </c>
      <c r="AN953" s="116" t="s">
        <v>1066</v>
      </c>
    </row>
    <row r="954" spans="1:40" ht="55.5" customHeight="1" x14ac:dyDescent="0.25">
      <c r="A954" s="111" t="s">
        <v>4443</v>
      </c>
      <c r="B954" s="112">
        <v>2026</v>
      </c>
      <c r="C954" s="112" t="s">
        <v>4444</v>
      </c>
      <c r="D954" s="113">
        <v>45890.710185185184</v>
      </c>
      <c r="E954" s="112">
        <v>7900018004</v>
      </c>
      <c r="F954" s="112" t="s">
        <v>716</v>
      </c>
      <c r="G954" s="112">
        <v>1</v>
      </c>
      <c r="H954" s="112">
        <v>7900018004</v>
      </c>
      <c r="I954" s="112" t="s">
        <v>4445</v>
      </c>
      <c r="J954" s="112" t="s">
        <v>1071</v>
      </c>
      <c r="K954" s="112" t="s">
        <v>1130</v>
      </c>
      <c r="L954" s="112" t="s">
        <v>1073</v>
      </c>
      <c r="M954" s="112" t="s">
        <v>478</v>
      </c>
      <c r="N954" s="113">
        <v>46172.478935185187</v>
      </c>
      <c r="O954" s="114">
        <v>19002844042</v>
      </c>
      <c r="P954" s="112">
        <v>3.3690000000000002</v>
      </c>
      <c r="Q954" s="112" t="s">
        <v>1062</v>
      </c>
      <c r="R954" s="112" t="s">
        <v>1075</v>
      </c>
      <c r="S954" s="113">
        <v>46196.625</v>
      </c>
      <c r="T954" s="112" t="s">
        <v>4446</v>
      </c>
      <c r="U954" s="112" t="s">
        <v>1065</v>
      </c>
      <c r="V954" s="112" t="s">
        <v>1066</v>
      </c>
      <c r="W954" s="112" t="s">
        <v>1066</v>
      </c>
      <c r="X954" s="112" t="s">
        <v>1066</v>
      </c>
      <c r="Y954" s="112" t="s">
        <v>1066</v>
      </c>
      <c r="Z954" s="112" t="s">
        <v>1066</v>
      </c>
      <c r="AA954" s="112" t="s">
        <v>1067</v>
      </c>
      <c r="AB954" s="112" t="s">
        <v>1066</v>
      </c>
      <c r="AC954" s="112" t="s">
        <v>92</v>
      </c>
      <c r="AD954" s="112" t="s">
        <v>1066</v>
      </c>
      <c r="AE954" s="112" t="s">
        <v>1066</v>
      </c>
      <c r="AF954" s="112" t="s">
        <v>1066</v>
      </c>
      <c r="AG954" s="112" t="s">
        <v>1066</v>
      </c>
      <c r="AH954" s="112" t="s">
        <v>4447</v>
      </c>
      <c r="AI954" s="112" t="s">
        <v>785</v>
      </c>
      <c r="AJ954" s="112">
        <v>9204913</v>
      </c>
      <c r="AK954" s="112" t="s">
        <v>69</v>
      </c>
      <c r="AL954" s="112">
        <v>793354</v>
      </c>
      <c r="AM954" s="112" t="s">
        <v>1066</v>
      </c>
      <c r="AN954" s="112" t="s">
        <v>1066</v>
      </c>
    </row>
    <row r="955" spans="1:40" ht="55.5" customHeight="1" x14ac:dyDescent="0.25">
      <c r="A955" s="124" t="s">
        <v>366</v>
      </c>
      <c r="B955" s="125">
        <v>2026</v>
      </c>
      <c r="C955" s="125" t="s">
        <v>367</v>
      </c>
      <c r="D955" s="126">
        <v>46191.4843287037</v>
      </c>
      <c r="E955" s="125">
        <v>7908300096</v>
      </c>
      <c r="F955" s="125" t="s">
        <v>136</v>
      </c>
      <c r="G955" s="125">
        <v>2</v>
      </c>
      <c r="H955" s="125">
        <v>7908300096</v>
      </c>
      <c r="I955" s="125" t="s">
        <v>4448</v>
      </c>
      <c r="J955" s="125" t="s">
        <v>1071</v>
      </c>
      <c r="K955" s="125" t="s">
        <v>1072</v>
      </c>
      <c r="L955" s="125" t="s">
        <v>1073</v>
      </c>
      <c r="M955" s="125" t="s">
        <v>510</v>
      </c>
      <c r="N955" s="126">
        <v>46194.4843287037</v>
      </c>
      <c r="O955" s="127">
        <v>19002259114</v>
      </c>
      <c r="P955" s="125">
        <v>1.609</v>
      </c>
      <c r="Q955" s="125" t="s">
        <v>1062</v>
      </c>
      <c r="R955" s="125" t="s">
        <v>1075</v>
      </c>
      <c r="S955" s="125" t="s">
        <v>1066</v>
      </c>
      <c r="T955" s="125" t="s">
        <v>4449</v>
      </c>
      <c r="U955" s="125" t="s">
        <v>1559</v>
      </c>
      <c r="V955" s="125" t="s">
        <v>1066</v>
      </c>
      <c r="W955" s="125" t="s">
        <v>1066</v>
      </c>
      <c r="X955" s="125" t="s">
        <v>983</v>
      </c>
      <c r="Y955" s="125" t="s">
        <v>1066</v>
      </c>
      <c r="Z955" s="125" t="s">
        <v>1078</v>
      </c>
      <c r="AA955" s="125" t="s">
        <v>1067</v>
      </c>
      <c r="AB955" s="125" t="s">
        <v>1066</v>
      </c>
      <c r="AC955" s="125" t="s">
        <v>92</v>
      </c>
      <c r="AD955" s="125" t="s">
        <v>1066</v>
      </c>
      <c r="AE955" s="125" t="s">
        <v>1066</v>
      </c>
      <c r="AF955" s="125" t="s">
        <v>1066</v>
      </c>
      <c r="AG955" s="125" t="s">
        <v>1066</v>
      </c>
      <c r="AH955" s="125" t="s">
        <v>1066</v>
      </c>
      <c r="AI955" s="125" t="s">
        <v>785</v>
      </c>
      <c r="AJ955" s="125">
        <v>8767115</v>
      </c>
      <c r="AK955" s="125" t="s">
        <v>310</v>
      </c>
      <c r="AL955" s="125">
        <v>874602</v>
      </c>
      <c r="AM955" s="125" t="s">
        <v>1066</v>
      </c>
      <c r="AN955" s="125" t="s">
        <v>1066</v>
      </c>
    </row>
    <row r="956" spans="1:40" ht="55.5" customHeight="1" x14ac:dyDescent="0.25">
      <c r="A956" s="111" t="s">
        <v>4450</v>
      </c>
      <c r="B956" s="112">
        <v>2026</v>
      </c>
      <c r="C956" s="112" t="s">
        <v>4451</v>
      </c>
      <c r="D956" s="113">
        <v>46026.656493055554</v>
      </c>
      <c r="E956" s="112">
        <v>9001040055</v>
      </c>
      <c r="F956" s="112" t="s">
        <v>196</v>
      </c>
      <c r="G956" s="112">
        <v>3</v>
      </c>
      <c r="H956" s="112">
        <v>7951760055</v>
      </c>
      <c r="I956" s="112" t="s">
        <v>4452</v>
      </c>
      <c r="J956" s="112" t="s">
        <v>1071</v>
      </c>
      <c r="K956" s="112" t="s">
        <v>1261</v>
      </c>
      <c r="L956" s="112" t="s">
        <v>1073</v>
      </c>
      <c r="M956" s="112" t="s">
        <v>478</v>
      </c>
      <c r="N956" s="113">
        <v>46029.656493055554</v>
      </c>
      <c r="O956" s="114">
        <v>19002679299</v>
      </c>
      <c r="P956" s="112">
        <v>907</v>
      </c>
      <c r="Q956" s="112" t="s">
        <v>1131</v>
      </c>
      <c r="R956" s="112" t="s">
        <v>1075</v>
      </c>
      <c r="S956" s="113">
        <v>46029.729166666664</v>
      </c>
      <c r="T956" s="112" t="s">
        <v>4453</v>
      </c>
      <c r="U956" s="112" t="s">
        <v>1065</v>
      </c>
      <c r="V956" s="112" t="s">
        <v>1066</v>
      </c>
      <c r="W956" s="112" t="s">
        <v>1066</v>
      </c>
      <c r="X956" s="112" t="s">
        <v>1117</v>
      </c>
      <c r="Y956" s="112" t="s">
        <v>1066</v>
      </c>
      <c r="Z956" s="112" t="s">
        <v>1148</v>
      </c>
      <c r="AA956" s="112" t="s">
        <v>1067</v>
      </c>
      <c r="AB956" s="112" t="s">
        <v>1066</v>
      </c>
      <c r="AC956" s="112" t="s">
        <v>92</v>
      </c>
      <c r="AD956" s="112" t="s">
        <v>1066</v>
      </c>
      <c r="AE956" s="112" t="s">
        <v>1066</v>
      </c>
      <c r="AF956" s="112" t="s">
        <v>1066</v>
      </c>
      <c r="AG956" s="112" t="s">
        <v>1066</v>
      </c>
      <c r="AH956" s="112" t="s">
        <v>1066</v>
      </c>
      <c r="AI956" s="112" t="s">
        <v>785</v>
      </c>
      <c r="AJ956" s="112">
        <v>9006098</v>
      </c>
      <c r="AK956" s="112" t="s">
        <v>482</v>
      </c>
      <c r="AL956" s="112">
        <v>660325</v>
      </c>
      <c r="AM956" s="112" t="s">
        <v>1066</v>
      </c>
      <c r="AN956" s="112" t="s">
        <v>1066</v>
      </c>
    </row>
    <row r="957" spans="1:40" ht="55.5" customHeight="1" x14ac:dyDescent="0.25">
      <c r="A957" s="111" t="s">
        <v>4454</v>
      </c>
      <c r="B957" s="112">
        <v>2026</v>
      </c>
      <c r="C957" s="112" t="s">
        <v>4455</v>
      </c>
      <c r="D957" s="113">
        <v>46072.469548611109</v>
      </c>
      <c r="E957" s="112">
        <v>9001040055</v>
      </c>
      <c r="F957" s="112" t="s">
        <v>196</v>
      </c>
      <c r="G957" s="112">
        <v>3</v>
      </c>
      <c r="H957" s="112">
        <v>7951760055</v>
      </c>
      <c r="I957" s="112" t="s">
        <v>4452</v>
      </c>
      <c r="J957" s="112" t="s">
        <v>1071</v>
      </c>
      <c r="K957" s="112" t="s">
        <v>1824</v>
      </c>
      <c r="L957" s="112" t="s">
        <v>1073</v>
      </c>
      <c r="M957" s="112" t="s">
        <v>478</v>
      </c>
      <c r="N957" s="113">
        <v>46075.469548611109</v>
      </c>
      <c r="O957" s="114">
        <v>19002679299</v>
      </c>
      <c r="P957" s="112">
        <v>907</v>
      </c>
      <c r="Q957" s="112" t="s">
        <v>1131</v>
      </c>
      <c r="R957" s="112" t="s">
        <v>1075</v>
      </c>
      <c r="S957" s="113">
        <v>46098.72997685185</v>
      </c>
      <c r="T957" s="112" t="s">
        <v>4456</v>
      </c>
      <c r="U957" s="112" t="s">
        <v>1065</v>
      </c>
      <c r="V957" s="112" t="s">
        <v>1066</v>
      </c>
      <c r="W957" s="112" t="s">
        <v>1066</v>
      </c>
      <c r="X957" s="112" t="s">
        <v>983</v>
      </c>
      <c r="Y957" s="112" t="s">
        <v>1066</v>
      </c>
      <c r="Z957" s="112" t="s">
        <v>1148</v>
      </c>
      <c r="AA957" s="112" t="s">
        <v>1067</v>
      </c>
      <c r="AB957" s="112" t="s">
        <v>1066</v>
      </c>
      <c r="AC957" s="112" t="s">
        <v>92</v>
      </c>
      <c r="AD957" s="112" t="s">
        <v>1066</v>
      </c>
      <c r="AE957" s="112" t="s">
        <v>1066</v>
      </c>
      <c r="AF957" s="112" t="s">
        <v>1066</v>
      </c>
      <c r="AG957" s="112" t="s">
        <v>1066</v>
      </c>
      <c r="AH957" s="112" t="s">
        <v>1066</v>
      </c>
      <c r="AI957" s="112" t="s">
        <v>785</v>
      </c>
      <c r="AJ957" s="112">
        <v>9006098</v>
      </c>
      <c r="AK957" s="112" t="s">
        <v>482</v>
      </c>
      <c r="AL957" s="112">
        <v>660325</v>
      </c>
      <c r="AM957" s="112" t="s">
        <v>1066</v>
      </c>
      <c r="AN957" s="112" t="s">
        <v>1066</v>
      </c>
    </row>
    <row r="958" spans="1:40" ht="55.5" customHeight="1" x14ac:dyDescent="0.25">
      <c r="A958" s="111" t="s">
        <v>4457</v>
      </c>
      <c r="B958" s="112">
        <v>2026</v>
      </c>
      <c r="C958" s="112" t="s">
        <v>1057</v>
      </c>
      <c r="D958" s="113">
        <v>46125.614548611113</v>
      </c>
      <c r="E958" s="112">
        <v>7943023122</v>
      </c>
      <c r="F958" s="112" t="s">
        <v>1372</v>
      </c>
      <c r="G958" s="112">
        <v>1</v>
      </c>
      <c r="H958" s="112">
        <v>7943023122</v>
      </c>
      <c r="I958" s="112" t="s">
        <v>4458</v>
      </c>
      <c r="J958" s="112" t="s">
        <v>1066</v>
      </c>
      <c r="K958" s="112" t="s">
        <v>1125</v>
      </c>
      <c r="L958" s="112" t="s">
        <v>1061</v>
      </c>
      <c r="M958" s="112" t="s">
        <v>478</v>
      </c>
      <c r="N958" s="113">
        <v>46525.614548611113</v>
      </c>
      <c r="O958" s="114">
        <v>19002641261</v>
      </c>
      <c r="P958" s="112">
        <v>685</v>
      </c>
      <c r="Q958" s="112" t="s">
        <v>1062</v>
      </c>
      <c r="R958" s="112" t="s">
        <v>1063</v>
      </c>
      <c r="S958" s="113">
        <v>46146.483738425923</v>
      </c>
      <c r="T958" s="112" t="s">
        <v>4459</v>
      </c>
      <c r="U958" s="112" t="s">
        <v>1065</v>
      </c>
      <c r="V958" s="112" t="s">
        <v>1066</v>
      </c>
      <c r="W958" s="112" t="s">
        <v>1066</v>
      </c>
      <c r="X958" s="112" t="s">
        <v>1066</v>
      </c>
      <c r="Y958" s="112" t="s">
        <v>1066</v>
      </c>
      <c r="Z958" s="112" t="s">
        <v>1066</v>
      </c>
      <c r="AA958" s="112" t="s">
        <v>1067</v>
      </c>
      <c r="AB958" s="112" t="s">
        <v>1066</v>
      </c>
      <c r="AC958" s="112" t="s">
        <v>92</v>
      </c>
      <c r="AD958" s="112" t="s">
        <v>1066</v>
      </c>
      <c r="AE958" s="112" t="s">
        <v>1066</v>
      </c>
      <c r="AF958" s="112" t="s">
        <v>1066</v>
      </c>
      <c r="AG958" s="112" t="s">
        <v>1066</v>
      </c>
      <c r="AH958" s="112" t="s">
        <v>1066</v>
      </c>
      <c r="AI958" s="112" t="s">
        <v>785</v>
      </c>
      <c r="AJ958" s="112">
        <v>8870556</v>
      </c>
      <c r="AK958" s="112" t="s">
        <v>264</v>
      </c>
      <c r="AL958" s="112">
        <v>795043</v>
      </c>
      <c r="AM958" s="112" t="s">
        <v>1066</v>
      </c>
      <c r="AN958" s="112" t="s">
        <v>1066</v>
      </c>
    </row>
    <row r="959" spans="1:40" ht="55.5" customHeight="1" x14ac:dyDescent="0.25">
      <c r="A959" s="111" t="s">
        <v>4460</v>
      </c>
      <c r="B959" s="112">
        <v>2026</v>
      </c>
      <c r="C959" s="112" t="s">
        <v>1089</v>
      </c>
      <c r="D959" s="113">
        <v>46028.41065972222</v>
      </c>
      <c r="E959" s="112">
        <v>7908308006</v>
      </c>
      <c r="F959" s="112" t="s">
        <v>239</v>
      </c>
      <c r="G959" s="112">
        <v>3</v>
      </c>
      <c r="H959" s="112">
        <v>7908308006</v>
      </c>
      <c r="I959" s="112" t="s">
        <v>1241</v>
      </c>
      <c r="J959" s="112" t="s">
        <v>1092</v>
      </c>
      <c r="K959" s="112" t="s">
        <v>1093</v>
      </c>
      <c r="L959" s="112" t="s">
        <v>1061</v>
      </c>
      <c r="M959" s="112" t="s">
        <v>478</v>
      </c>
      <c r="N959" s="113">
        <v>46428.41065972222</v>
      </c>
      <c r="O959" s="114">
        <v>19002260308</v>
      </c>
      <c r="P959" s="112">
        <v>141</v>
      </c>
      <c r="Q959" s="112" t="s">
        <v>1062</v>
      </c>
      <c r="R959" s="112" t="s">
        <v>1063</v>
      </c>
      <c r="S959" s="113">
        <v>46196.413518518515</v>
      </c>
      <c r="T959" s="112" t="s">
        <v>1242</v>
      </c>
      <c r="U959" s="112" t="s">
        <v>1065</v>
      </c>
      <c r="V959" s="112" t="s">
        <v>1066</v>
      </c>
      <c r="W959" s="112" t="s">
        <v>1066</v>
      </c>
      <c r="X959" s="112" t="s">
        <v>1066</v>
      </c>
      <c r="Y959" s="112" t="s">
        <v>1066</v>
      </c>
      <c r="Z959" s="112" t="s">
        <v>1066</v>
      </c>
      <c r="AA959" s="112" t="s">
        <v>1067</v>
      </c>
      <c r="AB959" s="112" t="s">
        <v>1066</v>
      </c>
      <c r="AC959" s="112" t="s">
        <v>92</v>
      </c>
      <c r="AD959" s="112" t="s">
        <v>1066</v>
      </c>
      <c r="AE959" s="112" t="s">
        <v>1066</v>
      </c>
      <c r="AF959" s="112" t="s">
        <v>1066</v>
      </c>
      <c r="AG959" s="112" t="s">
        <v>1066</v>
      </c>
      <c r="AH959" s="112" t="s">
        <v>1066</v>
      </c>
      <c r="AI959" s="112" t="s">
        <v>785</v>
      </c>
      <c r="AJ959" s="112">
        <v>8931122</v>
      </c>
      <c r="AK959" s="112" t="s">
        <v>1243</v>
      </c>
      <c r="AL959" s="112">
        <v>789367</v>
      </c>
      <c r="AM959" s="112" t="s">
        <v>1066</v>
      </c>
      <c r="AN959" s="112" t="s">
        <v>1066</v>
      </c>
    </row>
    <row r="960" spans="1:40" ht="55.5" customHeight="1" x14ac:dyDescent="0.25">
      <c r="A960" s="111" t="s">
        <v>4461</v>
      </c>
      <c r="B960" s="112">
        <v>2026</v>
      </c>
      <c r="C960" s="112" t="s">
        <v>1057</v>
      </c>
      <c r="D960" s="113">
        <v>46125.614548611113</v>
      </c>
      <c r="E960" s="112">
        <v>7900536086</v>
      </c>
      <c r="F960" s="112" t="s">
        <v>355</v>
      </c>
      <c r="G960" s="112">
        <v>3</v>
      </c>
      <c r="H960" s="112">
        <v>7900536086</v>
      </c>
      <c r="I960" s="112" t="s">
        <v>4462</v>
      </c>
      <c r="J960" s="112" t="s">
        <v>1066</v>
      </c>
      <c r="K960" s="112" t="s">
        <v>1125</v>
      </c>
      <c r="L960" s="112" t="s">
        <v>1061</v>
      </c>
      <c r="M960" s="112" t="s">
        <v>478</v>
      </c>
      <c r="N960" s="113">
        <v>46525.614548611113</v>
      </c>
      <c r="O960" s="114">
        <v>19002260104</v>
      </c>
      <c r="P960" s="112">
        <v>431</v>
      </c>
      <c r="Q960" s="112" t="s">
        <v>1062</v>
      </c>
      <c r="R960" s="112" t="s">
        <v>1063</v>
      </c>
      <c r="S960" s="113">
        <v>46174.3125</v>
      </c>
      <c r="T960" s="112" t="s">
        <v>1307</v>
      </c>
      <c r="U960" s="112" t="s">
        <v>1065</v>
      </c>
      <c r="V960" s="112" t="s">
        <v>1066</v>
      </c>
      <c r="W960" s="112" t="s">
        <v>1066</v>
      </c>
      <c r="X960" s="112" t="s">
        <v>1066</v>
      </c>
      <c r="Y960" s="112" t="s">
        <v>1066</v>
      </c>
      <c r="Z960" s="112" t="s">
        <v>1066</v>
      </c>
      <c r="AA960" s="112" t="s">
        <v>1067</v>
      </c>
      <c r="AB960" s="112" t="s">
        <v>1066</v>
      </c>
      <c r="AC960" s="112" t="s">
        <v>92</v>
      </c>
      <c r="AD960" s="112" t="s">
        <v>1066</v>
      </c>
      <c r="AE960" s="112" t="s">
        <v>1066</v>
      </c>
      <c r="AF960" s="112" t="s">
        <v>1066</v>
      </c>
      <c r="AG960" s="112" t="s">
        <v>1066</v>
      </c>
      <c r="AH960" s="112" t="s">
        <v>1066</v>
      </c>
      <c r="AI960" s="112" t="s">
        <v>785</v>
      </c>
      <c r="AJ960" s="112">
        <v>8917466</v>
      </c>
      <c r="AK960" s="112" t="s">
        <v>1143</v>
      </c>
      <c r="AL960" s="112">
        <v>647661</v>
      </c>
      <c r="AM960" s="112" t="s">
        <v>1066</v>
      </c>
      <c r="AN960" s="112" t="s">
        <v>1066</v>
      </c>
    </row>
    <row r="961" spans="1:40" ht="55.5" customHeight="1" x14ac:dyDescent="0.25">
      <c r="A961" s="111" t="s">
        <v>4463</v>
      </c>
      <c r="B961" s="112">
        <v>2026</v>
      </c>
      <c r="C961" s="112" t="s">
        <v>4233</v>
      </c>
      <c r="D961" s="113">
        <v>46153.318136574075</v>
      </c>
      <c r="E961" s="112">
        <v>8851419046</v>
      </c>
      <c r="F961" s="112" t="s">
        <v>1219</v>
      </c>
      <c r="G961" s="112">
        <v>2</v>
      </c>
      <c r="H961" s="112">
        <v>7953394054</v>
      </c>
      <c r="I961" s="112" t="s">
        <v>4464</v>
      </c>
      <c r="J961" s="112" t="s">
        <v>1071</v>
      </c>
      <c r="K961" s="112" t="s">
        <v>1130</v>
      </c>
      <c r="L961" s="112" t="s">
        <v>1073</v>
      </c>
      <c r="M961" s="112" t="s">
        <v>478</v>
      </c>
      <c r="N961" s="113">
        <v>46156.318136574075</v>
      </c>
      <c r="O961" s="114">
        <v>19002691696</v>
      </c>
      <c r="P961" s="112">
        <v>312</v>
      </c>
      <c r="Q961" s="112" t="s">
        <v>1131</v>
      </c>
      <c r="R961" s="112" t="s">
        <v>1324</v>
      </c>
      <c r="S961" s="113">
        <v>46167.697800925926</v>
      </c>
      <c r="T961" s="112" t="s">
        <v>4465</v>
      </c>
      <c r="U961" s="112" t="s">
        <v>1065</v>
      </c>
      <c r="V961" s="112" t="s">
        <v>1066</v>
      </c>
      <c r="W961" s="112" t="s">
        <v>1066</v>
      </c>
      <c r="X961" s="112" t="s">
        <v>1117</v>
      </c>
      <c r="Y961" s="112" t="s">
        <v>1066</v>
      </c>
      <c r="Z961" s="112" t="s">
        <v>1133</v>
      </c>
      <c r="AA961" s="112" t="s">
        <v>1067</v>
      </c>
      <c r="AB961" s="112" t="s">
        <v>1066</v>
      </c>
      <c r="AC961" s="112" t="s">
        <v>92</v>
      </c>
      <c r="AD961" s="112" t="s">
        <v>1066</v>
      </c>
      <c r="AE961" s="112" t="s">
        <v>1066</v>
      </c>
      <c r="AF961" s="112" t="s">
        <v>1066</v>
      </c>
      <c r="AG961" s="112" t="s">
        <v>1066</v>
      </c>
      <c r="AH961" s="112" t="s">
        <v>1066</v>
      </c>
      <c r="AI961" s="112" t="s">
        <v>785</v>
      </c>
      <c r="AJ961" s="112">
        <v>8838231</v>
      </c>
      <c r="AK961" s="112" t="s">
        <v>278</v>
      </c>
      <c r="AL961" s="112">
        <v>729045</v>
      </c>
      <c r="AM961" s="112" t="s">
        <v>1066</v>
      </c>
      <c r="AN961" s="112" t="s">
        <v>1066</v>
      </c>
    </row>
    <row r="962" spans="1:40" ht="55.5" customHeight="1" x14ac:dyDescent="0.25">
      <c r="A962" s="111" t="s">
        <v>4466</v>
      </c>
      <c r="B962" s="112">
        <v>2026</v>
      </c>
      <c r="C962" s="112" t="s">
        <v>4467</v>
      </c>
      <c r="D962" s="113">
        <v>46209.357847222222</v>
      </c>
      <c r="E962" s="112">
        <v>7956903122</v>
      </c>
      <c r="F962" s="112" t="s">
        <v>1884</v>
      </c>
      <c r="G962" s="112">
        <v>1</v>
      </c>
      <c r="H962" s="112">
        <v>7956903122</v>
      </c>
      <c r="I962" s="112" t="s">
        <v>4468</v>
      </c>
      <c r="J962" s="112" t="s">
        <v>1071</v>
      </c>
      <c r="K962" s="112" t="s">
        <v>1323</v>
      </c>
      <c r="L962" s="112" t="s">
        <v>1073</v>
      </c>
      <c r="M962" s="112" t="s">
        <v>478</v>
      </c>
      <c r="N962" s="113">
        <v>46212.357847222222</v>
      </c>
      <c r="O962" s="114">
        <v>19002737285</v>
      </c>
      <c r="P962" s="112">
        <v>1.77</v>
      </c>
      <c r="Q962" s="112" t="s">
        <v>1062</v>
      </c>
      <c r="R962" s="112" t="s">
        <v>4469</v>
      </c>
      <c r="S962" s="113">
        <v>46218.604930555557</v>
      </c>
      <c r="T962" s="112" t="s">
        <v>4470</v>
      </c>
      <c r="U962" s="112" t="s">
        <v>1065</v>
      </c>
      <c r="V962" s="112" t="s">
        <v>1066</v>
      </c>
      <c r="W962" s="112" t="s">
        <v>1066</v>
      </c>
      <c r="X962" s="112" t="s">
        <v>1117</v>
      </c>
      <c r="Y962" s="112" t="s">
        <v>1066</v>
      </c>
      <c r="Z962" s="112" t="s">
        <v>4471</v>
      </c>
      <c r="AA962" s="112" t="s">
        <v>1067</v>
      </c>
      <c r="AB962" s="112" t="s">
        <v>1066</v>
      </c>
      <c r="AC962" s="112" t="s">
        <v>92</v>
      </c>
      <c r="AD962" s="112" t="s">
        <v>1066</v>
      </c>
      <c r="AE962" s="112" t="s">
        <v>1066</v>
      </c>
      <c r="AF962" s="112" t="s">
        <v>1066</v>
      </c>
      <c r="AG962" s="112" t="s">
        <v>1066</v>
      </c>
      <c r="AH962" s="112" t="s">
        <v>1066</v>
      </c>
      <c r="AI962" s="112" t="s">
        <v>785</v>
      </c>
      <c r="AJ962" s="112">
        <v>8873502</v>
      </c>
      <c r="AK962" s="112" t="s">
        <v>264</v>
      </c>
      <c r="AL962" s="112">
        <v>795745</v>
      </c>
      <c r="AM962" s="112" t="s">
        <v>1066</v>
      </c>
      <c r="AN962" s="112" t="s">
        <v>1066</v>
      </c>
    </row>
    <row r="963" spans="1:40" ht="55.5" customHeight="1" x14ac:dyDescent="0.25">
      <c r="A963" s="111" t="s">
        <v>4472</v>
      </c>
      <c r="B963" s="112">
        <v>2026</v>
      </c>
      <c r="C963" s="112" t="s">
        <v>4473</v>
      </c>
      <c r="D963" s="113">
        <v>46036.31077546296</v>
      </c>
      <c r="E963" s="112">
        <v>9000545083</v>
      </c>
      <c r="F963" s="112" t="s">
        <v>1090</v>
      </c>
      <c r="G963" s="112">
        <v>2</v>
      </c>
      <c r="H963" s="112">
        <v>7900543083</v>
      </c>
      <c r="I963" s="112" t="s">
        <v>3027</v>
      </c>
      <c r="J963" s="112" t="s">
        <v>1071</v>
      </c>
      <c r="K963" s="112" t="s">
        <v>1099</v>
      </c>
      <c r="L963" s="112" t="s">
        <v>1073</v>
      </c>
      <c r="M963" s="112" t="s">
        <v>478</v>
      </c>
      <c r="N963" s="113">
        <v>46039.31077546296</v>
      </c>
      <c r="O963" s="114">
        <v>19000094215</v>
      </c>
      <c r="P963" s="112">
        <v>1.9530000000000001</v>
      </c>
      <c r="Q963" s="112" t="s">
        <v>1131</v>
      </c>
      <c r="R963" s="112" t="s">
        <v>1075</v>
      </c>
      <c r="S963" s="113">
        <v>46041.727453703701</v>
      </c>
      <c r="T963" s="112" t="s">
        <v>4474</v>
      </c>
      <c r="U963" s="112" t="s">
        <v>1065</v>
      </c>
      <c r="V963" s="112" t="s">
        <v>1066</v>
      </c>
      <c r="W963" s="112" t="s">
        <v>1066</v>
      </c>
      <c r="X963" s="112" t="s">
        <v>1148</v>
      </c>
      <c r="Y963" s="112" t="s">
        <v>1066</v>
      </c>
      <c r="Z963" s="112" t="s">
        <v>1078</v>
      </c>
      <c r="AA963" s="112" t="s">
        <v>1067</v>
      </c>
      <c r="AB963" s="112" t="s">
        <v>1066</v>
      </c>
      <c r="AC963" s="112" t="s">
        <v>92</v>
      </c>
      <c r="AD963" s="112" t="s">
        <v>1142</v>
      </c>
      <c r="AE963" s="112" t="s">
        <v>1066</v>
      </c>
      <c r="AF963" s="112" t="s">
        <v>1066</v>
      </c>
      <c r="AG963" s="112" t="s">
        <v>1066</v>
      </c>
      <c r="AH963" s="112" t="s">
        <v>1066</v>
      </c>
      <c r="AI963" s="112" t="s">
        <v>785</v>
      </c>
      <c r="AJ963" s="112">
        <v>8899173</v>
      </c>
      <c r="AK963" s="112" t="s">
        <v>519</v>
      </c>
      <c r="AL963" s="112">
        <v>831823</v>
      </c>
      <c r="AM963" s="112" t="s">
        <v>1066</v>
      </c>
      <c r="AN963" s="112" t="s">
        <v>1066</v>
      </c>
    </row>
    <row r="964" spans="1:40" ht="55.5" customHeight="1" x14ac:dyDescent="0.25">
      <c r="A964" s="111" t="s">
        <v>4475</v>
      </c>
      <c r="B964" s="112">
        <v>2026</v>
      </c>
      <c r="C964" s="112" t="s">
        <v>4476</v>
      </c>
      <c r="D964" s="113">
        <v>45646.841782407406</v>
      </c>
      <c r="E964" s="112">
        <v>7913348136</v>
      </c>
      <c r="F964" s="112" t="s">
        <v>95</v>
      </c>
      <c r="G964" s="112">
        <v>2</v>
      </c>
      <c r="H964" s="112">
        <v>7913348136</v>
      </c>
      <c r="I964" s="112" t="s">
        <v>1317</v>
      </c>
      <c r="J964" s="112" t="s">
        <v>1071</v>
      </c>
      <c r="K964" s="112" t="s">
        <v>1282</v>
      </c>
      <c r="L964" s="112" t="s">
        <v>1073</v>
      </c>
      <c r="M964" s="112" t="s">
        <v>478</v>
      </c>
      <c r="N964" s="113">
        <v>46102.352754629632</v>
      </c>
      <c r="O964" s="114">
        <v>19002205070</v>
      </c>
      <c r="P964" s="112">
        <v>183</v>
      </c>
      <c r="Q964" s="112" t="s">
        <v>1062</v>
      </c>
      <c r="R964" s="112" t="s">
        <v>1297</v>
      </c>
      <c r="S964" s="113">
        <v>46129.725636574076</v>
      </c>
      <c r="T964" s="112" t="s">
        <v>4477</v>
      </c>
      <c r="U964" s="112" t="s">
        <v>1065</v>
      </c>
      <c r="V964" s="112" t="s">
        <v>1066</v>
      </c>
      <c r="W964" s="112" t="s">
        <v>1066</v>
      </c>
      <c r="X964" s="112" t="s">
        <v>983</v>
      </c>
      <c r="Y964" s="112" t="s">
        <v>1066</v>
      </c>
      <c r="Z964" s="112" t="s">
        <v>1532</v>
      </c>
      <c r="AA964" s="112" t="s">
        <v>1067</v>
      </c>
      <c r="AB964" s="112" t="s">
        <v>1066</v>
      </c>
      <c r="AC964" s="112" t="s">
        <v>92</v>
      </c>
      <c r="AD964" s="112" t="s">
        <v>1066</v>
      </c>
      <c r="AE964" s="112" t="s">
        <v>1066</v>
      </c>
      <c r="AF964" s="112" t="s">
        <v>1066</v>
      </c>
      <c r="AG964" s="112" t="s">
        <v>1066</v>
      </c>
      <c r="AH964" s="112" t="s">
        <v>4478</v>
      </c>
      <c r="AI964" s="112" t="s">
        <v>785</v>
      </c>
      <c r="AJ964" s="112">
        <v>9166611</v>
      </c>
      <c r="AK964" s="112" t="s">
        <v>1319</v>
      </c>
      <c r="AL964" s="112">
        <v>680682</v>
      </c>
      <c r="AM964" s="112" t="s">
        <v>1066</v>
      </c>
      <c r="AN964" s="112" t="s">
        <v>1066</v>
      </c>
    </row>
    <row r="965" spans="1:40" ht="55.5" customHeight="1" x14ac:dyDescent="0.25">
      <c r="A965" s="111" t="s">
        <v>4479</v>
      </c>
      <c r="B965" s="112">
        <v>2026</v>
      </c>
      <c r="C965" s="112" t="s">
        <v>1210</v>
      </c>
      <c r="D965" s="113">
        <v>46114.608900462961</v>
      </c>
      <c r="E965" s="112">
        <v>7949249030</v>
      </c>
      <c r="F965" s="112" t="s">
        <v>3342</v>
      </c>
      <c r="G965" s="112">
        <v>1</v>
      </c>
      <c r="H965" s="112">
        <v>7949249030</v>
      </c>
      <c r="I965" s="112" t="s">
        <v>4480</v>
      </c>
      <c r="J965" s="112" t="s">
        <v>1066</v>
      </c>
      <c r="K965" s="112" t="s">
        <v>1125</v>
      </c>
      <c r="L965" s="112" t="s">
        <v>1061</v>
      </c>
      <c r="M965" s="112" t="s">
        <v>478</v>
      </c>
      <c r="N965" s="113">
        <v>46514.608900462961</v>
      </c>
      <c r="O965" s="114">
        <v>19002765439</v>
      </c>
      <c r="P965" s="112">
        <v>313</v>
      </c>
      <c r="Q965" s="112" t="s">
        <v>1062</v>
      </c>
      <c r="R965" s="112" t="s">
        <v>1063</v>
      </c>
      <c r="S965" s="113">
        <v>46212.751273148147</v>
      </c>
      <c r="T965" s="112" t="s">
        <v>4481</v>
      </c>
      <c r="U965" s="112" t="s">
        <v>1065</v>
      </c>
      <c r="V965" s="112" t="s">
        <v>1066</v>
      </c>
      <c r="W965" s="112" t="s">
        <v>1066</v>
      </c>
      <c r="X965" s="112" t="s">
        <v>1066</v>
      </c>
      <c r="Y965" s="112" t="s">
        <v>1066</v>
      </c>
      <c r="Z965" s="112" t="s">
        <v>1066</v>
      </c>
      <c r="AA965" s="112" t="s">
        <v>1067</v>
      </c>
      <c r="AB965" s="112" t="s">
        <v>1066</v>
      </c>
      <c r="AC965" s="112" t="s">
        <v>92</v>
      </c>
      <c r="AD965" s="112" t="s">
        <v>1066</v>
      </c>
      <c r="AE965" s="112" t="s">
        <v>1066</v>
      </c>
      <c r="AF965" s="112" t="s">
        <v>1066</v>
      </c>
      <c r="AG965" s="112" t="s">
        <v>1066</v>
      </c>
      <c r="AH965" s="112" t="s">
        <v>1066</v>
      </c>
      <c r="AI965" s="112" t="s">
        <v>785</v>
      </c>
      <c r="AJ965" s="112">
        <v>9290524</v>
      </c>
      <c r="AK965" s="112" t="s">
        <v>2051</v>
      </c>
      <c r="AL965" s="112">
        <v>777221</v>
      </c>
      <c r="AM965" s="112" t="s">
        <v>1066</v>
      </c>
      <c r="AN965" s="112" t="s">
        <v>1066</v>
      </c>
    </row>
    <row r="966" spans="1:40" ht="55.5" customHeight="1" x14ac:dyDescent="0.25">
      <c r="A966" s="111" t="s">
        <v>4482</v>
      </c>
      <c r="B966" s="112">
        <v>2026</v>
      </c>
      <c r="C966" s="112" t="s">
        <v>4483</v>
      </c>
      <c r="D966" s="113">
        <v>46057.812592592592</v>
      </c>
      <c r="E966" s="112">
        <v>9008207051</v>
      </c>
      <c r="F966" s="112" t="s">
        <v>380</v>
      </c>
      <c r="G966" s="112">
        <v>3</v>
      </c>
      <c r="H966" s="112">
        <v>7913660051</v>
      </c>
      <c r="I966" s="112" t="s">
        <v>4484</v>
      </c>
      <c r="J966" s="112" t="s">
        <v>1071</v>
      </c>
      <c r="K966" s="112" t="s">
        <v>1171</v>
      </c>
      <c r="L966" s="112" t="s">
        <v>1073</v>
      </c>
      <c r="M966" s="112" t="s">
        <v>478</v>
      </c>
      <c r="N966" s="113">
        <v>46060.812592592592</v>
      </c>
      <c r="O966" s="114">
        <v>19000035119</v>
      </c>
      <c r="P966" s="112">
        <v>361</v>
      </c>
      <c r="Q966" s="112" t="s">
        <v>1131</v>
      </c>
      <c r="R966" s="112" t="s">
        <v>1075</v>
      </c>
      <c r="S966" s="113">
        <v>46079.722696759258</v>
      </c>
      <c r="T966" s="112" t="s">
        <v>4485</v>
      </c>
      <c r="U966" s="112" t="s">
        <v>1065</v>
      </c>
      <c r="V966" s="112" t="s">
        <v>1066</v>
      </c>
      <c r="W966" s="112" t="s">
        <v>1066</v>
      </c>
      <c r="X966" s="112" t="s">
        <v>983</v>
      </c>
      <c r="Y966" s="112" t="s">
        <v>1066</v>
      </c>
      <c r="Z966" s="112" t="s">
        <v>1174</v>
      </c>
      <c r="AA966" s="112" t="s">
        <v>1067</v>
      </c>
      <c r="AB966" s="112" t="s">
        <v>1066</v>
      </c>
      <c r="AC966" s="112" t="s">
        <v>92</v>
      </c>
      <c r="AD966" s="112" t="s">
        <v>1142</v>
      </c>
      <c r="AE966" s="112" t="s">
        <v>1066</v>
      </c>
      <c r="AF966" s="112" t="s">
        <v>1066</v>
      </c>
      <c r="AG966" s="112" t="s">
        <v>1066</v>
      </c>
      <c r="AH966" s="112" t="s">
        <v>1066</v>
      </c>
      <c r="AI966" s="112" t="s">
        <v>785</v>
      </c>
      <c r="AJ966" s="112">
        <v>8591181</v>
      </c>
      <c r="AK966" s="112" t="s">
        <v>2138</v>
      </c>
      <c r="AL966" s="112">
        <v>989362</v>
      </c>
      <c r="AM966" s="112" t="s">
        <v>1066</v>
      </c>
      <c r="AN966" s="112" t="s">
        <v>1066</v>
      </c>
    </row>
    <row r="967" spans="1:40" ht="55.5" customHeight="1" x14ac:dyDescent="0.25">
      <c r="A967" s="111" t="s">
        <v>4486</v>
      </c>
      <c r="B967" s="112">
        <v>2026</v>
      </c>
      <c r="C967" s="112" t="s">
        <v>4487</v>
      </c>
      <c r="D967" s="113">
        <v>46078.396365740744</v>
      </c>
      <c r="E967" s="112">
        <v>9001097084</v>
      </c>
      <c r="F967" s="112" t="s">
        <v>682</v>
      </c>
      <c r="G967" s="112">
        <v>2</v>
      </c>
      <c r="H967" s="112">
        <v>7901100084</v>
      </c>
      <c r="I967" s="112" t="s">
        <v>4488</v>
      </c>
      <c r="J967" s="112" t="s">
        <v>1157</v>
      </c>
      <c r="K967" s="112" t="s">
        <v>1417</v>
      </c>
      <c r="L967" s="112" t="s">
        <v>1084</v>
      </c>
      <c r="M967" s="112" t="s">
        <v>478</v>
      </c>
      <c r="N967" s="113">
        <v>46138.396365740744</v>
      </c>
      <c r="O967" s="114">
        <v>19000124801</v>
      </c>
      <c r="P967" s="112">
        <v>5.8659999999999997</v>
      </c>
      <c r="Q967" s="112" t="s">
        <v>1131</v>
      </c>
      <c r="R967" s="112" t="s">
        <v>1063</v>
      </c>
      <c r="S967" s="113">
        <v>46126.728865740741</v>
      </c>
      <c r="T967" s="112" t="s">
        <v>4489</v>
      </c>
      <c r="U967" s="112" t="s">
        <v>1065</v>
      </c>
      <c r="V967" s="112" t="s">
        <v>1066</v>
      </c>
      <c r="W967" s="112" t="s">
        <v>1066</v>
      </c>
      <c r="X967" s="112" t="s">
        <v>983</v>
      </c>
      <c r="Y967" s="112" t="s">
        <v>1066</v>
      </c>
      <c r="Z967" s="112" t="s">
        <v>1133</v>
      </c>
      <c r="AA967" s="112" t="s">
        <v>1067</v>
      </c>
      <c r="AB967" s="112" t="s">
        <v>1066</v>
      </c>
      <c r="AC967" s="112" t="s">
        <v>92</v>
      </c>
      <c r="AD967" s="112" t="s">
        <v>1142</v>
      </c>
      <c r="AE967" s="112" t="s">
        <v>1066</v>
      </c>
      <c r="AF967" s="112" t="s">
        <v>1066</v>
      </c>
      <c r="AG967" s="112" t="s">
        <v>1066</v>
      </c>
      <c r="AH967" s="112" t="s">
        <v>1066</v>
      </c>
      <c r="AI967" s="112" t="s">
        <v>785</v>
      </c>
      <c r="AJ967" s="112">
        <v>8915466</v>
      </c>
      <c r="AK967" s="112" t="s">
        <v>1311</v>
      </c>
      <c r="AL967" s="112">
        <v>696347</v>
      </c>
      <c r="AM967" s="112" t="s">
        <v>1066</v>
      </c>
      <c r="AN967" s="112" t="s">
        <v>1066</v>
      </c>
    </row>
    <row r="968" spans="1:40" ht="55.5" customHeight="1" x14ac:dyDescent="0.25">
      <c r="A968" s="111" t="s">
        <v>4490</v>
      </c>
      <c r="B968" s="112">
        <v>2026</v>
      </c>
      <c r="C968" s="112" t="s">
        <v>4491</v>
      </c>
      <c r="D968" s="113">
        <v>46111.651041666664</v>
      </c>
      <c r="E968" s="112">
        <v>9032450001</v>
      </c>
      <c r="F968" s="112" t="s">
        <v>1104</v>
      </c>
      <c r="G968" s="112">
        <v>3</v>
      </c>
      <c r="H968" s="112">
        <v>5847496001</v>
      </c>
      <c r="I968" s="112" t="s">
        <v>4492</v>
      </c>
      <c r="J968" s="112" t="s">
        <v>1071</v>
      </c>
      <c r="K968" s="112" t="s">
        <v>1130</v>
      </c>
      <c r="L968" s="112" t="s">
        <v>1073</v>
      </c>
      <c r="M968" s="112" t="s">
        <v>478</v>
      </c>
      <c r="N968" s="113">
        <v>46114.651041666664</v>
      </c>
      <c r="O968" s="114">
        <v>19002705548</v>
      </c>
      <c r="P968" s="112">
        <v>269</v>
      </c>
      <c r="Q968" s="112" t="s">
        <v>1074</v>
      </c>
      <c r="R968" s="112" t="s">
        <v>1075</v>
      </c>
      <c r="S968" s="113">
        <v>46128.729166666664</v>
      </c>
      <c r="T968" s="112" t="s">
        <v>4493</v>
      </c>
      <c r="U968" s="112" t="s">
        <v>1065</v>
      </c>
      <c r="V968" s="112" t="s">
        <v>1066</v>
      </c>
      <c r="W968" s="112" t="s">
        <v>1066</v>
      </c>
      <c r="X968" s="112" t="s">
        <v>1318</v>
      </c>
      <c r="Y968" s="112" t="s">
        <v>1066</v>
      </c>
      <c r="Z968" s="112" t="s">
        <v>1479</v>
      </c>
      <c r="AA968" s="112" t="s">
        <v>1067</v>
      </c>
      <c r="AB968" s="112" t="s">
        <v>1066</v>
      </c>
      <c r="AC968" s="112" t="s">
        <v>92</v>
      </c>
      <c r="AD968" s="112" t="s">
        <v>1066</v>
      </c>
      <c r="AE968" s="112" t="s">
        <v>1066</v>
      </c>
      <c r="AF968" s="112" t="s">
        <v>1066</v>
      </c>
      <c r="AG968" s="112" t="s">
        <v>1066</v>
      </c>
      <c r="AH968" s="112" t="s">
        <v>1066</v>
      </c>
      <c r="AI968" s="112" t="s">
        <v>785</v>
      </c>
      <c r="AJ968" s="112">
        <v>8817965</v>
      </c>
      <c r="AK968" s="112" t="s">
        <v>50</v>
      </c>
      <c r="AL968" s="112">
        <v>804887</v>
      </c>
      <c r="AM968" s="112" t="s">
        <v>1066</v>
      </c>
      <c r="AN968" s="112" t="s">
        <v>1066</v>
      </c>
    </row>
    <row r="969" spans="1:40" ht="55.5" customHeight="1" x14ac:dyDescent="0.25">
      <c r="A969" s="111" t="s">
        <v>4494</v>
      </c>
      <c r="B969" s="112">
        <v>2026</v>
      </c>
      <c r="C969" s="112" t="s">
        <v>4495</v>
      </c>
      <c r="D969" s="113">
        <v>46111.657152777778</v>
      </c>
      <c r="E969" s="112">
        <v>9000565149</v>
      </c>
      <c r="F969" s="112" t="s">
        <v>355</v>
      </c>
      <c r="G969" s="112">
        <v>3</v>
      </c>
      <c r="H969" s="112">
        <v>7900567149</v>
      </c>
      <c r="I969" s="112" t="s">
        <v>4496</v>
      </c>
      <c r="J969" s="112" t="s">
        <v>1082</v>
      </c>
      <c r="K969" s="112" t="s">
        <v>1083</v>
      </c>
      <c r="L969" s="112" t="s">
        <v>1084</v>
      </c>
      <c r="M969" s="112" t="s">
        <v>478</v>
      </c>
      <c r="N969" s="113">
        <v>46171.657152777778</v>
      </c>
      <c r="O969" s="114">
        <v>19000125458</v>
      </c>
      <c r="P969" s="112">
        <v>501</v>
      </c>
      <c r="Q969" s="112" t="s">
        <v>1131</v>
      </c>
      <c r="R969" s="112" t="s">
        <v>1085</v>
      </c>
      <c r="S969" s="113">
        <v>46142.729664351849</v>
      </c>
      <c r="T969" s="112" t="s">
        <v>4497</v>
      </c>
      <c r="U969" s="112" t="s">
        <v>1065</v>
      </c>
      <c r="V969" s="112" t="s">
        <v>1066</v>
      </c>
      <c r="W969" s="112" t="s">
        <v>1066</v>
      </c>
      <c r="X969" s="112" t="s">
        <v>1066</v>
      </c>
      <c r="Y969" s="112" t="s">
        <v>1066</v>
      </c>
      <c r="Z969" s="112" t="s">
        <v>1066</v>
      </c>
      <c r="AA969" s="112" t="s">
        <v>1067</v>
      </c>
      <c r="AB969" s="112" t="s">
        <v>1066</v>
      </c>
      <c r="AC969" s="112" t="s">
        <v>92</v>
      </c>
      <c r="AD969" s="112" t="s">
        <v>1142</v>
      </c>
      <c r="AE969" s="112" t="s">
        <v>1066</v>
      </c>
      <c r="AF969" s="112" t="s">
        <v>1066</v>
      </c>
      <c r="AG969" s="112" t="s">
        <v>1066</v>
      </c>
      <c r="AH969" s="112" t="s">
        <v>1066</v>
      </c>
      <c r="AI969" s="112" t="s">
        <v>785</v>
      </c>
      <c r="AJ969" s="112">
        <v>8929815</v>
      </c>
      <c r="AK969" s="112" t="s">
        <v>195</v>
      </c>
      <c r="AL969" s="112">
        <v>625147</v>
      </c>
      <c r="AM969" s="112" t="s">
        <v>1066</v>
      </c>
      <c r="AN969" s="112" t="s">
        <v>1066</v>
      </c>
    </row>
    <row r="970" spans="1:40" ht="55.5" customHeight="1" x14ac:dyDescent="0.25">
      <c r="A970" s="124" t="s">
        <v>372</v>
      </c>
      <c r="B970" s="125">
        <v>2026</v>
      </c>
      <c r="C970" s="125" t="s">
        <v>4498</v>
      </c>
      <c r="D970" s="126">
        <v>46210.704988425925</v>
      </c>
      <c r="E970" s="125">
        <v>9000682113</v>
      </c>
      <c r="F970" s="125" t="s">
        <v>374</v>
      </c>
      <c r="G970" s="125">
        <v>3</v>
      </c>
      <c r="H970" s="125">
        <v>5839141113</v>
      </c>
      <c r="I970" s="125" t="s">
        <v>4499</v>
      </c>
      <c r="J970" s="125" t="s">
        <v>1071</v>
      </c>
      <c r="K970" s="125" t="s">
        <v>1072</v>
      </c>
      <c r="L970" s="125" t="s">
        <v>1073</v>
      </c>
      <c r="M970" s="125" t="s">
        <v>510</v>
      </c>
      <c r="N970" s="126">
        <v>46213.704988425925</v>
      </c>
      <c r="O970" s="127">
        <v>19002680085</v>
      </c>
      <c r="P970" s="125">
        <v>2.0409999999999999</v>
      </c>
      <c r="Q970" s="125" t="s">
        <v>1074</v>
      </c>
      <c r="R970" s="125" t="s">
        <v>1075</v>
      </c>
      <c r="S970" s="125" t="s">
        <v>1066</v>
      </c>
      <c r="T970" s="125" t="s">
        <v>1066</v>
      </c>
      <c r="U970" s="125" t="s">
        <v>1066</v>
      </c>
      <c r="V970" s="125" t="s">
        <v>1066</v>
      </c>
      <c r="W970" s="125" t="s">
        <v>1066</v>
      </c>
      <c r="X970" s="125" t="s">
        <v>1726</v>
      </c>
      <c r="Y970" s="125" t="s">
        <v>1066</v>
      </c>
      <c r="Z970" s="125" t="s">
        <v>2311</v>
      </c>
      <c r="AA970" s="125" t="s">
        <v>1067</v>
      </c>
      <c r="AB970" s="125" t="s">
        <v>1066</v>
      </c>
      <c r="AC970" s="125" t="s">
        <v>92</v>
      </c>
      <c r="AD970" s="125" t="s">
        <v>1066</v>
      </c>
      <c r="AE970" s="125" t="s">
        <v>1066</v>
      </c>
      <c r="AF970" s="125" t="s">
        <v>1066</v>
      </c>
      <c r="AG970" s="125" t="s">
        <v>1066</v>
      </c>
      <c r="AH970" s="125" t="s">
        <v>1066</v>
      </c>
      <c r="AI970" s="125" t="s">
        <v>785</v>
      </c>
      <c r="AJ970" s="125">
        <v>9074895</v>
      </c>
      <c r="AK970" s="125" t="s">
        <v>373</v>
      </c>
      <c r="AL970" s="125">
        <v>701164</v>
      </c>
      <c r="AM970" s="125" t="s">
        <v>1066</v>
      </c>
      <c r="AN970" s="125" t="s">
        <v>1066</v>
      </c>
    </row>
    <row r="971" spans="1:40" ht="55.5" customHeight="1" x14ac:dyDescent="0.25">
      <c r="A971" s="124" t="s">
        <v>4500</v>
      </c>
      <c r="B971" s="125">
        <v>2026</v>
      </c>
      <c r="C971" s="125" t="s">
        <v>4501</v>
      </c>
      <c r="D971" s="126">
        <v>46254.452199074076</v>
      </c>
      <c r="E971" s="125">
        <v>9005320122</v>
      </c>
      <c r="F971" s="125" t="s">
        <v>412</v>
      </c>
      <c r="G971" s="125">
        <v>2</v>
      </c>
      <c r="H971" s="125">
        <v>7905320122</v>
      </c>
      <c r="I971" s="125" t="s">
        <v>4502</v>
      </c>
      <c r="J971" s="125" t="s">
        <v>1157</v>
      </c>
      <c r="K971" s="125" t="s">
        <v>1158</v>
      </c>
      <c r="L971" s="125" t="s">
        <v>1084</v>
      </c>
      <c r="M971" s="125" t="s">
        <v>510</v>
      </c>
      <c r="N971" s="126">
        <v>46314.452199074076</v>
      </c>
      <c r="O971" s="127">
        <v>19000092508</v>
      </c>
      <c r="P971" s="125">
        <v>0</v>
      </c>
      <c r="Q971" s="125" t="s">
        <v>1131</v>
      </c>
      <c r="R971" s="125" t="s">
        <v>1085</v>
      </c>
      <c r="S971" s="125" t="s">
        <v>1066</v>
      </c>
      <c r="T971" s="125" t="s">
        <v>1066</v>
      </c>
      <c r="U971" s="125" t="s">
        <v>1066</v>
      </c>
      <c r="V971" s="125" t="s">
        <v>1066</v>
      </c>
      <c r="W971" s="125" t="s">
        <v>1066</v>
      </c>
      <c r="X971" s="125" t="s">
        <v>1117</v>
      </c>
      <c r="Y971" s="125" t="s">
        <v>1066</v>
      </c>
      <c r="Z971" s="125" t="s">
        <v>1148</v>
      </c>
      <c r="AA971" s="125" t="s">
        <v>1067</v>
      </c>
      <c r="AB971" s="125" t="s">
        <v>1066</v>
      </c>
      <c r="AC971" s="125" t="s">
        <v>92</v>
      </c>
      <c r="AD971" s="125" t="s">
        <v>1142</v>
      </c>
      <c r="AE971" s="125" t="s">
        <v>1066</v>
      </c>
      <c r="AF971" s="125" t="s">
        <v>1066</v>
      </c>
      <c r="AG971" s="125" t="s">
        <v>1066</v>
      </c>
      <c r="AH971" s="125" t="s">
        <v>1066</v>
      </c>
      <c r="AI971" s="125" t="s">
        <v>785</v>
      </c>
      <c r="AJ971" s="125">
        <v>8875822</v>
      </c>
      <c r="AK971" s="125" t="s">
        <v>264</v>
      </c>
      <c r="AL971" s="125">
        <v>790866</v>
      </c>
      <c r="AM971" s="125" t="s">
        <v>1066</v>
      </c>
      <c r="AN971" s="125" t="s">
        <v>1066</v>
      </c>
    </row>
    <row r="972" spans="1:40" ht="55.5" customHeight="1" x14ac:dyDescent="0.25">
      <c r="A972" s="120" t="s">
        <v>4503</v>
      </c>
      <c r="B972" s="121">
        <v>2026</v>
      </c>
      <c r="C972" s="121" t="s">
        <v>1210</v>
      </c>
      <c r="D972" s="122">
        <v>46114.608900462961</v>
      </c>
      <c r="E972" s="121">
        <v>7925868030</v>
      </c>
      <c r="F972" s="121" t="s">
        <v>3342</v>
      </c>
      <c r="G972" s="121">
        <v>3</v>
      </c>
      <c r="H972" s="121">
        <v>7925868030</v>
      </c>
      <c r="I972" s="121" t="s">
        <v>4504</v>
      </c>
      <c r="J972" s="121" t="s">
        <v>1066</v>
      </c>
      <c r="K972" s="121" t="s">
        <v>1125</v>
      </c>
      <c r="L972" s="121" t="s">
        <v>1061</v>
      </c>
      <c r="M972" s="121" t="s">
        <v>1116</v>
      </c>
      <c r="N972" s="122">
        <v>46514.608900462961</v>
      </c>
      <c r="O972" s="123">
        <v>19002206291</v>
      </c>
      <c r="P972" s="121">
        <v>0</v>
      </c>
      <c r="Q972" s="121" t="s">
        <v>1062</v>
      </c>
      <c r="R972" s="121" t="s">
        <v>1063</v>
      </c>
      <c r="S972" s="122">
        <v>46199.406990740739</v>
      </c>
      <c r="T972" s="121" t="s">
        <v>1066</v>
      </c>
      <c r="U972" s="121" t="s">
        <v>1066</v>
      </c>
      <c r="V972" s="121" t="s">
        <v>1066</v>
      </c>
      <c r="W972" s="121" t="s">
        <v>1066</v>
      </c>
      <c r="X972" s="121" t="s">
        <v>1066</v>
      </c>
      <c r="Y972" s="121" t="s">
        <v>1066</v>
      </c>
      <c r="Z972" s="121" t="s">
        <v>1066</v>
      </c>
      <c r="AA972" s="121" t="s">
        <v>1067</v>
      </c>
      <c r="AB972" s="121" t="s">
        <v>1066</v>
      </c>
      <c r="AC972" s="121" t="s">
        <v>92</v>
      </c>
      <c r="AD972" s="121" t="s">
        <v>1066</v>
      </c>
      <c r="AE972" s="121" t="s">
        <v>1066</v>
      </c>
      <c r="AF972" s="121" t="s">
        <v>1066</v>
      </c>
      <c r="AG972" s="121" t="s">
        <v>1066</v>
      </c>
      <c r="AH972" s="121" t="s">
        <v>1066</v>
      </c>
      <c r="AI972" s="121" t="s">
        <v>785</v>
      </c>
      <c r="AJ972" s="121">
        <v>9290325</v>
      </c>
      <c r="AK972" s="121" t="s">
        <v>2051</v>
      </c>
      <c r="AL972" s="121">
        <v>773105</v>
      </c>
      <c r="AM972" s="121" t="s">
        <v>1066</v>
      </c>
      <c r="AN972" s="121" t="s">
        <v>1066</v>
      </c>
    </row>
    <row r="973" spans="1:40" ht="55.5" customHeight="1" x14ac:dyDescent="0.25">
      <c r="A973" s="111" t="s">
        <v>4505</v>
      </c>
      <c r="B973" s="112">
        <v>2026</v>
      </c>
      <c r="C973" s="112" t="s">
        <v>4506</v>
      </c>
      <c r="D973" s="113">
        <v>46223.461805555555</v>
      </c>
      <c r="E973" s="112">
        <v>7937108003</v>
      </c>
      <c r="F973" s="112" t="s">
        <v>1189</v>
      </c>
      <c r="G973" s="112">
        <v>3</v>
      </c>
      <c r="H973" s="112">
        <v>7937108003</v>
      </c>
      <c r="I973" s="112" t="s">
        <v>3281</v>
      </c>
      <c r="J973" s="112" t="s">
        <v>1092</v>
      </c>
      <c r="K973" s="112" t="s">
        <v>1191</v>
      </c>
      <c r="L973" s="112" t="s">
        <v>1061</v>
      </c>
      <c r="M973" s="112" t="s">
        <v>478</v>
      </c>
      <c r="N973" s="113">
        <v>46623.461805555555</v>
      </c>
      <c r="O973" s="114">
        <v>19002208232</v>
      </c>
      <c r="P973" s="112">
        <v>0</v>
      </c>
      <c r="Q973" s="112" t="s">
        <v>1062</v>
      </c>
      <c r="R973" s="112" t="s">
        <v>1063</v>
      </c>
      <c r="S973" s="113">
        <v>46231.654803240737</v>
      </c>
      <c r="T973" s="112" t="s">
        <v>4507</v>
      </c>
      <c r="U973" s="112" t="s">
        <v>1065</v>
      </c>
      <c r="V973" s="112" t="s">
        <v>1066</v>
      </c>
      <c r="W973" s="112" t="s">
        <v>1066</v>
      </c>
      <c r="X973" s="112" t="s">
        <v>1066</v>
      </c>
      <c r="Y973" s="112" t="s">
        <v>1066</v>
      </c>
      <c r="Z973" s="112" t="s">
        <v>1066</v>
      </c>
      <c r="AA973" s="112" t="s">
        <v>1067</v>
      </c>
      <c r="AB973" s="112" t="s">
        <v>1066</v>
      </c>
      <c r="AC973" s="112" t="s">
        <v>92</v>
      </c>
      <c r="AD973" s="112" t="s">
        <v>1066</v>
      </c>
      <c r="AE973" s="112" t="s">
        <v>1066</v>
      </c>
      <c r="AF973" s="112" t="s">
        <v>1066</v>
      </c>
      <c r="AG973" s="112" t="s">
        <v>1066</v>
      </c>
      <c r="AH973" s="112" t="s">
        <v>1066</v>
      </c>
      <c r="AI973" s="112" t="s">
        <v>785</v>
      </c>
      <c r="AJ973" s="112">
        <v>8703280</v>
      </c>
      <c r="AK973" s="112" t="s">
        <v>210</v>
      </c>
      <c r="AL973" s="112">
        <v>710083</v>
      </c>
      <c r="AM973" s="112" t="s">
        <v>1066</v>
      </c>
      <c r="AN973" s="112" t="s">
        <v>1066</v>
      </c>
    </row>
    <row r="974" spans="1:40" ht="55.5" customHeight="1" x14ac:dyDescent="0.25">
      <c r="A974" s="111" t="s">
        <v>4508</v>
      </c>
      <c r="B974" s="112">
        <v>2026</v>
      </c>
      <c r="C974" s="112" t="s">
        <v>4509</v>
      </c>
      <c r="D974" s="113">
        <v>46130.391979166663</v>
      </c>
      <c r="E974" s="112">
        <v>9000613081</v>
      </c>
      <c r="F974" s="112" t="s">
        <v>364</v>
      </c>
      <c r="G974" s="112">
        <v>2</v>
      </c>
      <c r="H974" s="112">
        <v>7930877081</v>
      </c>
      <c r="I974" s="112" t="s">
        <v>4510</v>
      </c>
      <c r="J974" s="112" t="s">
        <v>1071</v>
      </c>
      <c r="K974" s="112" t="s">
        <v>1171</v>
      </c>
      <c r="L974" s="112" t="s">
        <v>1073</v>
      </c>
      <c r="M974" s="112" t="s">
        <v>478</v>
      </c>
      <c r="N974" s="113">
        <v>46133.391979166663</v>
      </c>
      <c r="O974" s="114">
        <v>19001281075</v>
      </c>
      <c r="P974" s="112">
        <v>1.389</v>
      </c>
      <c r="Q974" s="112" t="s">
        <v>1131</v>
      </c>
      <c r="R974" s="112" t="s">
        <v>1075</v>
      </c>
      <c r="S974" s="113">
        <v>46154.48265046296</v>
      </c>
      <c r="T974" s="112" t="s">
        <v>4511</v>
      </c>
      <c r="U974" s="112" t="s">
        <v>1065</v>
      </c>
      <c r="V974" s="112" t="s">
        <v>1066</v>
      </c>
      <c r="W974" s="112" t="s">
        <v>1066</v>
      </c>
      <c r="X974" s="112" t="s">
        <v>1117</v>
      </c>
      <c r="Y974" s="112" t="s">
        <v>1066</v>
      </c>
      <c r="Z974" s="112" t="s">
        <v>1174</v>
      </c>
      <c r="AA974" s="112" t="s">
        <v>1067</v>
      </c>
      <c r="AB974" s="112" t="s">
        <v>1066</v>
      </c>
      <c r="AC974" s="112" t="s">
        <v>92</v>
      </c>
      <c r="AD974" s="112" t="s">
        <v>1142</v>
      </c>
      <c r="AE974" s="112" t="s">
        <v>1066</v>
      </c>
      <c r="AF974" s="112" t="s">
        <v>1066</v>
      </c>
      <c r="AG974" s="112" t="s">
        <v>1066</v>
      </c>
      <c r="AH974" s="112" t="s">
        <v>1066</v>
      </c>
      <c r="AI974" s="112" t="s">
        <v>785</v>
      </c>
      <c r="AJ974" s="112">
        <v>9359418</v>
      </c>
      <c r="AK974" s="112" t="s">
        <v>1721</v>
      </c>
      <c r="AL974" s="112">
        <v>889389</v>
      </c>
      <c r="AM974" s="112" t="s">
        <v>1066</v>
      </c>
      <c r="AN974" s="112" t="s">
        <v>1066</v>
      </c>
    </row>
    <row r="975" spans="1:40" ht="55.5" customHeight="1" x14ac:dyDescent="0.25">
      <c r="A975" s="111" t="s">
        <v>4512</v>
      </c>
      <c r="B975" s="112">
        <v>2026</v>
      </c>
      <c r="C975" s="112" t="s">
        <v>1251</v>
      </c>
      <c r="D975" s="113">
        <v>46031.603807870371</v>
      </c>
      <c r="E975" s="112">
        <v>7911676038</v>
      </c>
      <c r="F975" s="112" t="s">
        <v>674</v>
      </c>
      <c r="G975" s="112">
        <v>2</v>
      </c>
      <c r="H975" s="112">
        <v>7911676038</v>
      </c>
      <c r="I975" s="112" t="s">
        <v>4513</v>
      </c>
      <c r="J975" s="112" t="s">
        <v>1059</v>
      </c>
      <c r="K975" s="112" t="s">
        <v>1060</v>
      </c>
      <c r="L975" s="112" t="s">
        <v>1061</v>
      </c>
      <c r="M975" s="112" t="s">
        <v>478</v>
      </c>
      <c r="N975" s="113">
        <v>46431.603807870371</v>
      </c>
      <c r="O975" s="114">
        <v>19002295940</v>
      </c>
      <c r="P975" s="112">
        <v>0</v>
      </c>
      <c r="Q975" s="112" t="s">
        <v>1062</v>
      </c>
      <c r="R975" s="112" t="s">
        <v>1063</v>
      </c>
      <c r="S975" s="113">
        <v>46031.729166666664</v>
      </c>
      <c r="T975" s="112" t="s">
        <v>1253</v>
      </c>
      <c r="U975" s="112" t="s">
        <v>1065</v>
      </c>
      <c r="V975" s="112" t="s">
        <v>1066</v>
      </c>
      <c r="W975" s="112" t="s">
        <v>1066</v>
      </c>
      <c r="X975" s="112" t="s">
        <v>1066</v>
      </c>
      <c r="Y975" s="112" t="s">
        <v>1066</v>
      </c>
      <c r="Z975" s="112" t="s">
        <v>1066</v>
      </c>
      <c r="AA975" s="112" t="s">
        <v>1067</v>
      </c>
      <c r="AB975" s="112" t="s">
        <v>1066</v>
      </c>
      <c r="AC975" s="112" t="s">
        <v>92</v>
      </c>
      <c r="AD975" s="112" t="s">
        <v>1066</v>
      </c>
      <c r="AE975" s="112" t="s">
        <v>1066</v>
      </c>
      <c r="AF975" s="112" t="s">
        <v>1066</v>
      </c>
      <c r="AG975" s="112" t="s">
        <v>1066</v>
      </c>
      <c r="AH975" s="112" t="s">
        <v>1066</v>
      </c>
      <c r="AI975" s="112" t="s">
        <v>785</v>
      </c>
      <c r="AJ975" s="112">
        <v>8623530</v>
      </c>
      <c r="AK975" s="112" t="s">
        <v>627</v>
      </c>
      <c r="AL975" s="112">
        <v>997886</v>
      </c>
      <c r="AM975" s="112" t="s">
        <v>1066</v>
      </c>
      <c r="AN975" s="112" t="s">
        <v>1066</v>
      </c>
    </row>
    <row r="976" spans="1:40" ht="55.5" customHeight="1" x14ac:dyDescent="0.25">
      <c r="A976" s="111" t="s">
        <v>4514</v>
      </c>
      <c r="B976" s="112">
        <v>2026</v>
      </c>
      <c r="C976" s="112" t="s">
        <v>1057</v>
      </c>
      <c r="D976" s="113">
        <v>46122.378541666665</v>
      </c>
      <c r="E976" s="112">
        <v>7925126060</v>
      </c>
      <c r="F976" s="112" t="s">
        <v>406</v>
      </c>
      <c r="G976" s="112">
        <v>3</v>
      </c>
      <c r="H976" s="112">
        <v>7925126060</v>
      </c>
      <c r="I976" s="112" t="s">
        <v>2497</v>
      </c>
      <c r="J976" s="112" t="s">
        <v>1059</v>
      </c>
      <c r="K976" s="112" t="s">
        <v>1060</v>
      </c>
      <c r="L976" s="112" t="s">
        <v>1061</v>
      </c>
      <c r="M976" s="112" t="s">
        <v>478</v>
      </c>
      <c r="N976" s="113">
        <v>46522.378541666665</v>
      </c>
      <c r="O976" s="114">
        <v>19002711427</v>
      </c>
      <c r="P976" s="112">
        <v>88</v>
      </c>
      <c r="Q976" s="112" t="s">
        <v>1062</v>
      </c>
      <c r="R976" s="112" t="s">
        <v>1063</v>
      </c>
      <c r="S976" s="113">
        <v>46149.611805555556</v>
      </c>
      <c r="T976" s="112" t="s">
        <v>4515</v>
      </c>
      <c r="U976" s="112" t="s">
        <v>1065</v>
      </c>
      <c r="V976" s="112" t="s">
        <v>1066</v>
      </c>
      <c r="W976" s="112" t="s">
        <v>1066</v>
      </c>
      <c r="X976" s="112" t="s">
        <v>1066</v>
      </c>
      <c r="Y976" s="112" t="s">
        <v>1066</v>
      </c>
      <c r="Z976" s="112" t="s">
        <v>1066</v>
      </c>
      <c r="AA976" s="112" t="s">
        <v>1067</v>
      </c>
      <c r="AB976" s="112" t="s">
        <v>1066</v>
      </c>
      <c r="AC976" s="112" t="s">
        <v>92</v>
      </c>
      <c r="AD976" s="112" t="s">
        <v>1066</v>
      </c>
      <c r="AE976" s="112" t="s">
        <v>1066</v>
      </c>
      <c r="AF976" s="112" t="s">
        <v>1066</v>
      </c>
      <c r="AG976" s="112" t="s">
        <v>1066</v>
      </c>
      <c r="AH976" s="112" t="s">
        <v>1066</v>
      </c>
      <c r="AI976" s="112" t="s">
        <v>785</v>
      </c>
      <c r="AJ976" s="112">
        <v>9153661</v>
      </c>
      <c r="AK976" s="112" t="s">
        <v>253</v>
      </c>
      <c r="AL976" s="112">
        <v>783936</v>
      </c>
      <c r="AM976" s="112" t="s">
        <v>1066</v>
      </c>
      <c r="AN976" s="112" t="s">
        <v>1066</v>
      </c>
    </row>
    <row r="977" spans="1:40" ht="55.5" customHeight="1" x14ac:dyDescent="0.25">
      <c r="A977" s="111" t="s">
        <v>4516</v>
      </c>
      <c r="B977" s="112">
        <v>2026</v>
      </c>
      <c r="C977" s="112" t="s">
        <v>4517</v>
      </c>
      <c r="D977" s="113">
        <v>46068.404444444444</v>
      </c>
      <c r="E977" s="112">
        <v>8800148004</v>
      </c>
      <c r="F977" s="112" t="s">
        <v>1665</v>
      </c>
      <c r="G977" s="112">
        <v>2</v>
      </c>
      <c r="H977" s="112">
        <v>7955858004</v>
      </c>
      <c r="I977" s="112" t="s">
        <v>4518</v>
      </c>
      <c r="J977" s="112" t="s">
        <v>1071</v>
      </c>
      <c r="K977" s="112" t="s">
        <v>2958</v>
      </c>
      <c r="L977" s="112" t="s">
        <v>1073</v>
      </c>
      <c r="M977" s="112" t="s">
        <v>478</v>
      </c>
      <c r="N977" s="113">
        <v>46071.404444444444</v>
      </c>
      <c r="O977" s="114">
        <v>19002734677</v>
      </c>
      <c r="P977" s="112">
        <v>0</v>
      </c>
      <c r="Q977" s="112" t="s">
        <v>1131</v>
      </c>
      <c r="R977" s="112" t="s">
        <v>1297</v>
      </c>
      <c r="S977" s="113">
        <v>46146.729166666664</v>
      </c>
      <c r="T977" s="112" t="s">
        <v>4519</v>
      </c>
      <c r="U977" s="112" t="s">
        <v>1065</v>
      </c>
      <c r="V977" s="112" t="s">
        <v>1066</v>
      </c>
      <c r="W977" s="112" t="s">
        <v>1066</v>
      </c>
      <c r="X977" s="112" t="s">
        <v>1117</v>
      </c>
      <c r="Y977" s="112" t="s">
        <v>1066</v>
      </c>
      <c r="Z977" s="112" t="s">
        <v>1148</v>
      </c>
      <c r="AA977" s="112" t="s">
        <v>1067</v>
      </c>
      <c r="AB977" s="112" t="s">
        <v>1066</v>
      </c>
      <c r="AC977" s="112" t="s">
        <v>92</v>
      </c>
      <c r="AD977" s="112" t="s">
        <v>1066</v>
      </c>
      <c r="AE977" s="112" t="s">
        <v>1066</v>
      </c>
      <c r="AF977" s="112" t="s">
        <v>1066</v>
      </c>
      <c r="AG977" s="112" t="s">
        <v>1066</v>
      </c>
      <c r="AH977" s="112" t="s">
        <v>1066</v>
      </c>
      <c r="AI977" s="112" t="s">
        <v>785</v>
      </c>
      <c r="AJ977" s="112">
        <v>9202927</v>
      </c>
      <c r="AK977" s="112" t="s">
        <v>69</v>
      </c>
      <c r="AL977" s="112">
        <v>807936</v>
      </c>
      <c r="AM977" s="112" t="s">
        <v>1066</v>
      </c>
      <c r="AN977" s="112" t="s">
        <v>1066</v>
      </c>
    </row>
    <row r="978" spans="1:40" ht="55.5" customHeight="1" x14ac:dyDescent="0.25">
      <c r="A978" s="111" t="s">
        <v>4520</v>
      </c>
      <c r="B978" s="112">
        <v>2026</v>
      </c>
      <c r="C978" s="112" t="s">
        <v>4521</v>
      </c>
      <c r="D978" s="113">
        <v>46204.7109375</v>
      </c>
      <c r="E978" s="112">
        <v>7925853004</v>
      </c>
      <c r="F978" s="112" t="s">
        <v>1499</v>
      </c>
      <c r="G978" s="112">
        <v>3</v>
      </c>
      <c r="H978" s="112">
        <v>7925853004</v>
      </c>
      <c r="I978" s="112" t="s">
        <v>1500</v>
      </c>
      <c r="J978" s="112" t="s">
        <v>1059</v>
      </c>
      <c r="K978" s="112" t="s">
        <v>1060</v>
      </c>
      <c r="L978" s="112" t="s">
        <v>1061</v>
      </c>
      <c r="M978" s="112" t="s">
        <v>478</v>
      </c>
      <c r="N978" s="113">
        <v>46604.7109375</v>
      </c>
      <c r="O978" s="114">
        <v>19002205666</v>
      </c>
      <c r="P978" s="112">
        <v>1.911</v>
      </c>
      <c r="Q978" s="112" t="s">
        <v>1062</v>
      </c>
      <c r="R978" s="112" t="s">
        <v>1063</v>
      </c>
      <c r="S978" s="113">
        <v>46216.474999999999</v>
      </c>
      <c r="T978" s="112" t="s">
        <v>4522</v>
      </c>
      <c r="U978" s="112" t="s">
        <v>1065</v>
      </c>
      <c r="V978" s="112" t="s">
        <v>1066</v>
      </c>
      <c r="W978" s="112" t="s">
        <v>1066</v>
      </c>
      <c r="X978" s="112" t="s">
        <v>1066</v>
      </c>
      <c r="Y978" s="112" t="s">
        <v>1066</v>
      </c>
      <c r="Z978" s="112" t="s">
        <v>1066</v>
      </c>
      <c r="AA978" s="112" t="s">
        <v>1067</v>
      </c>
      <c r="AB978" s="112" t="s">
        <v>1066</v>
      </c>
      <c r="AC978" s="112" t="s">
        <v>92</v>
      </c>
      <c r="AD978" s="112" t="s">
        <v>1066</v>
      </c>
      <c r="AE978" s="112" t="s">
        <v>1066</v>
      </c>
      <c r="AF978" s="112" t="s">
        <v>1066</v>
      </c>
      <c r="AG978" s="112" t="s">
        <v>1066</v>
      </c>
      <c r="AH978" s="112" t="s">
        <v>1066</v>
      </c>
      <c r="AI978" s="112" t="s">
        <v>785</v>
      </c>
      <c r="AJ978" s="112">
        <v>9199636</v>
      </c>
      <c r="AK978" s="112" t="s">
        <v>69</v>
      </c>
      <c r="AL978" s="112">
        <v>803546</v>
      </c>
      <c r="AM978" s="112" t="s">
        <v>1066</v>
      </c>
      <c r="AN978" s="112" t="s">
        <v>1066</v>
      </c>
    </row>
    <row r="979" spans="1:40" ht="55.5" customHeight="1" x14ac:dyDescent="0.25">
      <c r="A979" s="120" t="s">
        <v>4523</v>
      </c>
      <c r="B979" s="121">
        <v>2026</v>
      </c>
      <c r="C979" s="121" t="s">
        <v>1210</v>
      </c>
      <c r="D979" s="122">
        <v>46114.608900462961</v>
      </c>
      <c r="E979" s="121">
        <v>7925891030</v>
      </c>
      <c r="F979" s="121" t="s">
        <v>3342</v>
      </c>
      <c r="G979" s="121">
        <v>3</v>
      </c>
      <c r="H979" s="121">
        <v>7925891030</v>
      </c>
      <c r="I979" s="121" t="s">
        <v>3343</v>
      </c>
      <c r="J979" s="121" t="s">
        <v>1066</v>
      </c>
      <c r="K979" s="121" t="s">
        <v>1125</v>
      </c>
      <c r="L979" s="121" t="s">
        <v>1061</v>
      </c>
      <c r="M979" s="121" t="s">
        <v>1116</v>
      </c>
      <c r="N979" s="122">
        <v>46514.608900462961</v>
      </c>
      <c r="O979" s="123">
        <v>19002206305</v>
      </c>
      <c r="P979" s="121">
        <v>0</v>
      </c>
      <c r="Q979" s="121" t="s">
        <v>1062</v>
      </c>
      <c r="R979" s="121" t="s">
        <v>1063</v>
      </c>
      <c r="S979" s="122">
        <v>46199.404907407406</v>
      </c>
      <c r="T979" s="121" t="s">
        <v>1066</v>
      </c>
      <c r="U979" s="121" t="s">
        <v>1066</v>
      </c>
      <c r="V979" s="121" t="s">
        <v>1066</v>
      </c>
      <c r="W979" s="121" t="s">
        <v>1066</v>
      </c>
      <c r="X979" s="121" t="s">
        <v>1066</v>
      </c>
      <c r="Y979" s="121" t="s">
        <v>1066</v>
      </c>
      <c r="Z979" s="121" t="s">
        <v>1066</v>
      </c>
      <c r="AA979" s="121" t="s">
        <v>1067</v>
      </c>
      <c r="AB979" s="121" t="s">
        <v>1066</v>
      </c>
      <c r="AC979" s="121" t="s">
        <v>92</v>
      </c>
      <c r="AD979" s="121" t="s">
        <v>1066</v>
      </c>
      <c r="AE979" s="121" t="s">
        <v>1066</v>
      </c>
      <c r="AF979" s="121" t="s">
        <v>1066</v>
      </c>
      <c r="AG979" s="121" t="s">
        <v>1066</v>
      </c>
      <c r="AH979" s="121" t="s">
        <v>1066</v>
      </c>
      <c r="AI979" s="121" t="s">
        <v>785</v>
      </c>
      <c r="AJ979" s="121">
        <v>9290357</v>
      </c>
      <c r="AK979" s="121" t="s">
        <v>2051</v>
      </c>
      <c r="AL979" s="121">
        <v>773115</v>
      </c>
      <c r="AM979" s="121" t="s">
        <v>1066</v>
      </c>
      <c r="AN979" s="121" t="s">
        <v>1066</v>
      </c>
    </row>
    <row r="980" spans="1:40" ht="55.5" customHeight="1" x14ac:dyDescent="0.25">
      <c r="A980" s="124" t="s">
        <v>4524</v>
      </c>
      <c r="B980" s="125">
        <v>2026</v>
      </c>
      <c r="C980" s="125" t="s">
        <v>4525</v>
      </c>
      <c r="D980" s="126">
        <v>46038.70175925926</v>
      </c>
      <c r="E980" s="125" t="s">
        <v>1066</v>
      </c>
      <c r="F980" s="125" t="s">
        <v>1066</v>
      </c>
      <c r="G980" s="125" t="s">
        <v>1066</v>
      </c>
      <c r="H980" s="125" t="s">
        <v>1066</v>
      </c>
      <c r="I980" s="125" t="s">
        <v>1066</v>
      </c>
      <c r="J980" s="125" t="s">
        <v>1059</v>
      </c>
      <c r="K980" s="125" t="s">
        <v>1060</v>
      </c>
      <c r="L980" s="125" t="s">
        <v>1061</v>
      </c>
      <c r="M980" s="125" t="s">
        <v>510</v>
      </c>
      <c r="N980" s="126">
        <v>46438.70175925926</v>
      </c>
      <c r="O980" s="125" t="s">
        <v>1066</v>
      </c>
      <c r="P980" s="125">
        <v>0</v>
      </c>
      <c r="Q980" s="125" t="s">
        <v>1066</v>
      </c>
      <c r="R980" s="125" t="s">
        <v>1063</v>
      </c>
      <c r="S980" s="125" t="s">
        <v>1066</v>
      </c>
      <c r="T980" s="125" t="s">
        <v>1066</v>
      </c>
      <c r="U980" s="125" t="s">
        <v>1066</v>
      </c>
      <c r="V980" s="125" t="s">
        <v>1066</v>
      </c>
      <c r="W980" s="125" t="s">
        <v>1066</v>
      </c>
      <c r="X980" s="125" t="s">
        <v>1066</v>
      </c>
      <c r="Y980" s="125" t="s">
        <v>1066</v>
      </c>
      <c r="Z980" s="125" t="s">
        <v>1066</v>
      </c>
      <c r="AA980" s="125" t="s">
        <v>1067</v>
      </c>
      <c r="AB980" s="125" t="s">
        <v>1066</v>
      </c>
      <c r="AC980" s="125" t="s">
        <v>92</v>
      </c>
      <c r="AD980" s="125" t="s">
        <v>1066</v>
      </c>
      <c r="AE980" s="125" t="s">
        <v>1066</v>
      </c>
      <c r="AF980" s="125" t="s">
        <v>1066</v>
      </c>
      <c r="AG980" s="125" t="s">
        <v>1066</v>
      </c>
      <c r="AH980" s="125" t="s">
        <v>1066</v>
      </c>
      <c r="AI980" s="125" t="s">
        <v>785</v>
      </c>
      <c r="AJ980" s="125" t="s">
        <v>1066</v>
      </c>
      <c r="AK980" s="125" t="s">
        <v>1066</v>
      </c>
      <c r="AL980" s="125" t="s">
        <v>1066</v>
      </c>
      <c r="AM980" s="125" t="s">
        <v>1066</v>
      </c>
      <c r="AN980" s="125" t="s">
        <v>1066</v>
      </c>
    </row>
    <row r="981" spans="1:40" ht="55.5" customHeight="1" x14ac:dyDescent="0.25">
      <c r="A981" s="111" t="s">
        <v>4526</v>
      </c>
      <c r="B981" s="112">
        <v>2026</v>
      </c>
      <c r="C981" s="112" t="s">
        <v>4527</v>
      </c>
      <c r="D981" s="113">
        <v>46098.661874999998</v>
      </c>
      <c r="E981" s="112">
        <v>9010068119</v>
      </c>
      <c r="F981" s="112" t="s">
        <v>351</v>
      </c>
      <c r="G981" s="112">
        <v>3</v>
      </c>
      <c r="H981" s="112">
        <v>7910068119</v>
      </c>
      <c r="I981" s="112" t="s">
        <v>4528</v>
      </c>
      <c r="J981" s="112" t="s">
        <v>1157</v>
      </c>
      <c r="K981" s="112" t="s">
        <v>1417</v>
      </c>
      <c r="L981" s="112" t="s">
        <v>1084</v>
      </c>
      <c r="M981" s="112" t="s">
        <v>478</v>
      </c>
      <c r="N981" s="113">
        <v>46158.661874999998</v>
      </c>
      <c r="O981" s="114">
        <v>19000030509</v>
      </c>
      <c r="P981" s="112">
        <v>699</v>
      </c>
      <c r="Q981" s="112" t="s">
        <v>1131</v>
      </c>
      <c r="R981" s="112" t="s">
        <v>1063</v>
      </c>
      <c r="S981" s="113">
        <v>46105.652777777781</v>
      </c>
      <c r="T981" s="112" t="s">
        <v>4529</v>
      </c>
      <c r="U981" s="112" t="s">
        <v>1065</v>
      </c>
      <c r="V981" s="112" t="s">
        <v>1066</v>
      </c>
      <c r="W981" s="112" t="s">
        <v>1066</v>
      </c>
      <c r="X981" s="112" t="s">
        <v>983</v>
      </c>
      <c r="Y981" s="112" t="s">
        <v>1066</v>
      </c>
      <c r="Z981" s="112" t="s">
        <v>1133</v>
      </c>
      <c r="AA981" s="112" t="s">
        <v>1067</v>
      </c>
      <c r="AB981" s="112" t="s">
        <v>1066</v>
      </c>
      <c r="AC981" s="112" t="s">
        <v>92</v>
      </c>
      <c r="AD981" s="112" t="s">
        <v>1142</v>
      </c>
      <c r="AE981" s="112" t="s">
        <v>1066</v>
      </c>
      <c r="AF981" s="112" t="s">
        <v>1066</v>
      </c>
      <c r="AG981" s="112" t="s">
        <v>1066</v>
      </c>
      <c r="AH981" s="112" t="s">
        <v>1066</v>
      </c>
      <c r="AI981" s="112" t="s">
        <v>785</v>
      </c>
      <c r="AJ981" s="112">
        <v>9331959</v>
      </c>
      <c r="AK981" s="112" t="s">
        <v>350</v>
      </c>
      <c r="AL981" s="112">
        <v>839591</v>
      </c>
      <c r="AM981" s="112" t="s">
        <v>1066</v>
      </c>
      <c r="AN981" s="112" t="s">
        <v>1066</v>
      </c>
    </row>
    <row r="982" spans="1:40" ht="55.5" customHeight="1" x14ac:dyDescent="0.25">
      <c r="A982" s="111" t="s">
        <v>4530</v>
      </c>
      <c r="B982" s="112">
        <v>2026</v>
      </c>
      <c r="C982" s="112" t="s">
        <v>1089</v>
      </c>
      <c r="D982" s="113">
        <v>46028.453888888886</v>
      </c>
      <c r="E982" s="112">
        <v>7900774036</v>
      </c>
      <c r="F982" s="112" t="s">
        <v>1852</v>
      </c>
      <c r="G982" s="112">
        <v>3</v>
      </c>
      <c r="H982" s="112">
        <v>7900774036</v>
      </c>
      <c r="I982" s="112" t="s">
        <v>4531</v>
      </c>
      <c r="J982" s="112" t="s">
        <v>1092</v>
      </c>
      <c r="K982" s="112" t="s">
        <v>1093</v>
      </c>
      <c r="L982" s="112" t="s">
        <v>1061</v>
      </c>
      <c r="M982" s="112" t="s">
        <v>478</v>
      </c>
      <c r="N982" s="113">
        <v>46428.453888888886</v>
      </c>
      <c r="O982" s="114">
        <v>19002701648</v>
      </c>
      <c r="P982" s="112">
        <v>93</v>
      </c>
      <c r="Q982" s="112" t="s">
        <v>1062</v>
      </c>
      <c r="R982" s="112" t="s">
        <v>1063</v>
      </c>
      <c r="S982" s="113">
        <v>46035.362500000003</v>
      </c>
      <c r="T982" s="112" t="s">
        <v>4532</v>
      </c>
      <c r="U982" s="112" t="s">
        <v>1065</v>
      </c>
      <c r="V982" s="112" t="s">
        <v>1066</v>
      </c>
      <c r="W982" s="112" t="s">
        <v>1066</v>
      </c>
      <c r="X982" s="112" t="s">
        <v>1066</v>
      </c>
      <c r="Y982" s="112" t="s">
        <v>1066</v>
      </c>
      <c r="Z982" s="112" t="s">
        <v>1066</v>
      </c>
      <c r="AA982" s="112" t="s">
        <v>1067</v>
      </c>
      <c r="AB982" s="112" t="s">
        <v>1066</v>
      </c>
      <c r="AC982" s="112" t="s">
        <v>92</v>
      </c>
      <c r="AD982" s="112" t="s">
        <v>1066</v>
      </c>
      <c r="AE982" s="112" t="s">
        <v>1066</v>
      </c>
      <c r="AF982" s="112" t="s">
        <v>1066</v>
      </c>
      <c r="AG982" s="112" t="s">
        <v>1066</v>
      </c>
      <c r="AH982" s="112" t="s">
        <v>1066</v>
      </c>
      <c r="AI982" s="112" t="s">
        <v>785</v>
      </c>
      <c r="AJ982" s="112">
        <v>8619164</v>
      </c>
      <c r="AK982" s="112" t="s">
        <v>470</v>
      </c>
      <c r="AL982" s="112">
        <v>702789</v>
      </c>
      <c r="AM982" s="112" t="s">
        <v>1066</v>
      </c>
      <c r="AN982" s="112" t="s">
        <v>1066</v>
      </c>
    </row>
    <row r="983" spans="1:40" ht="55.5" customHeight="1" x14ac:dyDescent="0.25">
      <c r="A983" s="111" t="s">
        <v>4533</v>
      </c>
      <c r="B983" s="112">
        <v>2026</v>
      </c>
      <c r="C983" s="112" t="s">
        <v>3438</v>
      </c>
      <c r="D983" s="113">
        <v>46118.622465277775</v>
      </c>
      <c r="E983" s="112">
        <v>7955856193</v>
      </c>
      <c r="F983" s="112" t="s">
        <v>370</v>
      </c>
      <c r="G983" s="112">
        <v>3</v>
      </c>
      <c r="H983" s="112">
        <v>7955856193</v>
      </c>
      <c r="I983" s="112" t="s">
        <v>4534</v>
      </c>
      <c r="J983" s="112" t="s">
        <v>1066</v>
      </c>
      <c r="K983" s="112" t="s">
        <v>1125</v>
      </c>
      <c r="L983" s="112" t="s">
        <v>1061</v>
      </c>
      <c r="M983" s="112" t="s">
        <v>478</v>
      </c>
      <c r="N983" s="113">
        <v>46518.622465277775</v>
      </c>
      <c r="O983" s="114">
        <v>19002730850</v>
      </c>
      <c r="P983" s="112">
        <v>52</v>
      </c>
      <c r="Q983" s="112" t="s">
        <v>1062</v>
      </c>
      <c r="R983" s="112" t="s">
        <v>1063</v>
      </c>
      <c r="S983" s="113">
        <v>46148.494618055556</v>
      </c>
      <c r="T983" s="112" t="s">
        <v>4535</v>
      </c>
      <c r="U983" s="112" t="s">
        <v>1065</v>
      </c>
      <c r="V983" s="112" t="s">
        <v>1066</v>
      </c>
      <c r="W983" s="112" t="s">
        <v>1066</v>
      </c>
      <c r="X983" s="112" t="s">
        <v>1066</v>
      </c>
      <c r="Y983" s="112" t="s">
        <v>1066</v>
      </c>
      <c r="Z983" s="112" t="s">
        <v>1066</v>
      </c>
      <c r="AA983" s="112" t="s">
        <v>1067</v>
      </c>
      <c r="AB983" s="112" t="s">
        <v>1066</v>
      </c>
      <c r="AC983" s="112" t="s">
        <v>92</v>
      </c>
      <c r="AD983" s="112" t="s">
        <v>1066</v>
      </c>
      <c r="AE983" s="112" t="s">
        <v>1066</v>
      </c>
      <c r="AF983" s="112" t="s">
        <v>1066</v>
      </c>
      <c r="AG983" s="112" t="s">
        <v>1066</v>
      </c>
      <c r="AH983" s="112" t="s">
        <v>1066</v>
      </c>
      <c r="AI983" s="112" t="s">
        <v>785</v>
      </c>
      <c r="AJ983" s="112">
        <v>9103396</v>
      </c>
      <c r="AK983" s="112" t="s">
        <v>369</v>
      </c>
      <c r="AL983" s="112">
        <v>978576</v>
      </c>
      <c r="AM983" s="112" t="s">
        <v>1066</v>
      </c>
      <c r="AN983" s="112" t="s">
        <v>1066</v>
      </c>
    </row>
    <row r="984" spans="1:40" ht="55.5" customHeight="1" x14ac:dyDescent="0.25">
      <c r="A984" s="111" t="s">
        <v>4536</v>
      </c>
      <c r="B984" s="112">
        <v>2026</v>
      </c>
      <c r="C984" s="112" t="s">
        <v>1057</v>
      </c>
      <c r="D984" s="113">
        <v>46125.584386574075</v>
      </c>
      <c r="E984" s="112">
        <v>7925077052</v>
      </c>
      <c r="F984" s="112" t="s">
        <v>1397</v>
      </c>
      <c r="G984" s="112">
        <v>1</v>
      </c>
      <c r="H984" s="112">
        <v>7925077052</v>
      </c>
      <c r="I984" s="112" t="s">
        <v>4537</v>
      </c>
      <c r="J984" s="112" t="s">
        <v>1066</v>
      </c>
      <c r="K984" s="112" t="s">
        <v>1125</v>
      </c>
      <c r="L984" s="112" t="s">
        <v>1061</v>
      </c>
      <c r="M984" s="112" t="s">
        <v>478</v>
      </c>
      <c r="N984" s="113">
        <v>46525.584386574075</v>
      </c>
      <c r="O984" s="114">
        <v>19002210830</v>
      </c>
      <c r="P984" s="112">
        <v>3.6869999999999998</v>
      </c>
      <c r="Q984" s="112" t="s">
        <v>1062</v>
      </c>
      <c r="R984" s="112" t="s">
        <v>1063</v>
      </c>
      <c r="S984" s="113">
        <v>46182.477384259262</v>
      </c>
      <c r="T984" s="112" t="s">
        <v>4538</v>
      </c>
      <c r="U984" s="112" t="s">
        <v>1065</v>
      </c>
      <c r="V984" s="112" t="s">
        <v>1066</v>
      </c>
      <c r="W984" s="112" t="s">
        <v>1066</v>
      </c>
      <c r="X984" s="112" t="s">
        <v>1066</v>
      </c>
      <c r="Y984" s="112" t="s">
        <v>1066</v>
      </c>
      <c r="Z984" s="112" t="s">
        <v>1066</v>
      </c>
      <c r="AA984" s="112" t="s">
        <v>1067</v>
      </c>
      <c r="AB984" s="112" t="s">
        <v>1066</v>
      </c>
      <c r="AC984" s="112" t="s">
        <v>92</v>
      </c>
      <c r="AD984" s="112" t="s">
        <v>1066</v>
      </c>
      <c r="AE984" s="112" t="s">
        <v>1066</v>
      </c>
      <c r="AF984" s="112" t="s">
        <v>1066</v>
      </c>
      <c r="AG984" s="112" t="s">
        <v>1066</v>
      </c>
      <c r="AH984" s="112" t="s">
        <v>1066</v>
      </c>
      <c r="AI984" s="112" t="s">
        <v>785</v>
      </c>
      <c r="AJ984" s="112">
        <v>8694097</v>
      </c>
      <c r="AK984" s="112" t="s">
        <v>112</v>
      </c>
      <c r="AL984" s="112">
        <v>660585</v>
      </c>
      <c r="AM984" s="112" t="s">
        <v>1066</v>
      </c>
      <c r="AN984" s="112" t="s">
        <v>1066</v>
      </c>
    </row>
    <row r="985" spans="1:40" ht="55.5" customHeight="1" x14ac:dyDescent="0.25">
      <c r="A985" s="124" t="s">
        <v>379</v>
      </c>
      <c r="B985" s="125">
        <v>2026</v>
      </c>
      <c r="C985" s="125" t="s">
        <v>381</v>
      </c>
      <c r="D985" s="126">
        <v>46243.770312499997</v>
      </c>
      <c r="E985" s="125">
        <v>7950296049</v>
      </c>
      <c r="F985" s="125" t="s">
        <v>380</v>
      </c>
      <c r="G985" s="125">
        <v>2</v>
      </c>
      <c r="H985" s="125">
        <v>7950296049</v>
      </c>
      <c r="I985" s="125" t="s">
        <v>4539</v>
      </c>
      <c r="J985" s="125" t="s">
        <v>1071</v>
      </c>
      <c r="K985" s="125" t="s">
        <v>1457</v>
      </c>
      <c r="L985" s="125" t="s">
        <v>1073</v>
      </c>
      <c r="M985" s="125" t="s">
        <v>510</v>
      </c>
      <c r="N985" s="126">
        <v>46246.770312499997</v>
      </c>
      <c r="O985" s="127">
        <v>19002695977</v>
      </c>
      <c r="P985" s="125">
        <v>196</v>
      </c>
      <c r="Q985" s="125" t="s">
        <v>1062</v>
      </c>
      <c r="R985" s="125" t="s">
        <v>1075</v>
      </c>
      <c r="S985" s="125" t="s">
        <v>1066</v>
      </c>
      <c r="T985" s="125" t="s">
        <v>4540</v>
      </c>
      <c r="U985" s="125" t="s">
        <v>1147</v>
      </c>
      <c r="V985" s="125" t="s">
        <v>1066</v>
      </c>
      <c r="W985" s="125" t="s">
        <v>1066</v>
      </c>
      <c r="X985" s="125" t="s">
        <v>983</v>
      </c>
      <c r="Y985" s="125" t="s">
        <v>1066</v>
      </c>
      <c r="Z985" s="125" t="s">
        <v>2835</v>
      </c>
      <c r="AA985" s="125" t="s">
        <v>1067</v>
      </c>
      <c r="AB985" s="125" t="s">
        <v>1066</v>
      </c>
      <c r="AC985" s="125" t="s">
        <v>92</v>
      </c>
      <c r="AD985" s="125" t="s">
        <v>1066</v>
      </c>
      <c r="AE985" s="125" t="s">
        <v>1066</v>
      </c>
      <c r="AF985" s="125" t="s">
        <v>1066</v>
      </c>
      <c r="AG985" s="125" t="s">
        <v>1066</v>
      </c>
      <c r="AH985" s="125" t="s">
        <v>1066</v>
      </c>
      <c r="AI985" s="125" t="s">
        <v>785</v>
      </c>
      <c r="AJ985" s="125">
        <v>8602625</v>
      </c>
      <c r="AK985" s="125" t="s">
        <v>64</v>
      </c>
      <c r="AL985" s="125">
        <v>1001040</v>
      </c>
      <c r="AM985" s="125" t="s">
        <v>1066</v>
      </c>
      <c r="AN985" s="125" t="s">
        <v>1066</v>
      </c>
    </row>
    <row r="986" spans="1:40" ht="55.5" customHeight="1" x14ac:dyDescent="0.25">
      <c r="A986" s="120" t="s">
        <v>4541</v>
      </c>
      <c r="B986" s="121">
        <v>2026</v>
      </c>
      <c r="C986" s="121" t="s">
        <v>4542</v>
      </c>
      <c r="D986" s="122">
        <v>46065.580081018517</v>
      </c>
      <c r="E986" s="121" t="s">
        <v>1066</v>
      </c>
      <c r="F986" s="121" t="s">
        <v>170</v>
      </c>
      <c r="G986" s="121" t="s">
        <v>1066</v>
      </c>
      <c r="H986" s="121">
        <v>5860477104</v>
      </c>
      <c r="I986" s="121" t="s">
        <v>1733</v>
      </c>
      <c r="J986" s="121" t="s">
        <v>1231</v>
      </c>
      <c r="K986" s="121" t="s">
        <v>1232</v>
      </c>
      <c r="L986" s="121" t="s">
        <v>1061</v>
      </c>
      <c r="M986" s="121" t="s">
        <v>1116</v>
      </c>
      <c r="N986" s="122">
        <v>46465.580081018517</v>
      </c>
      <c r="O986" s="123">
        <v>19002682910</v>
      </c>
      <c r="P986" s="121">
        <v>0</v>
      </c>
      <c r="Q986" s="121" t="s">
        <v>1074</v>
      </c>
      <c r="R986" s="121" t="s">
        <v>1063</v>
      </c>
      <c r="S986" s="122">
        <v>46097.33357638889</v>
      </c>
      <c r="T986" s="121" t="s">
        <v>1066</v>
      </c>
      <c r="U986" s="121" t="s">
        <v>1066</v>
      </c>
      <c r="V986" s="121" t="s">
        <v>1066</v>
      </c>
      <c r="W986" s="121" t="s">
        <v>1066</v>
      </c>
      <c r="X986" s="121" t="s">
        <v>1077</v>
      </c>
      <c r="Y986" s="121" t="s">
        <v>1066</v>
      </c>
      <c r="Z986" s="121" t="s">
        <v>1066</v>
      </c>
      <c r="AA986" s="121" t="s">
        <v>1067</v>
      </c>
      <c r="AB986" s="121" t="s">
        <v>1066</v>
      </c>
      <c r="AC986" s="121" t="s">
        <v>92</v>
      </c>
      <c r="AD986" s="121" t="s">
        <v>1066</v>
      </c>
      <c r="AE986" s="121" t="s">
        <v>1066</v>
      </c>
      <c r="AF986" s="121" t="s">
        <v>1066</v>
      </c>
      <c r="AG986" s="121" t="s">
        <v>1066</v>
      </c>
      <c r="AH986" s="121" t="s">
        <v>1066</v>
      </c>
      <c r="AI986" s="121" t="s">
        <v>785</v>
      </c>
      <c r="AJ986" s="121">
        <v>9015312</v>
      </c>
      <c r="AK986" s="121" t="s">
        <v>1688</v>
      </c>
      <c r="AL986" s="121">
        <v>833865</v>
      </c>
      <c r="AM986" s="121" t="s">
        <v>1066</v>
      </c>
      <c r="AN986" s="121" t="s">
        <v>1066</v>
      </c>
    </row>
    <row r="987" spans="1:40" ht="55.5" customHeight="1" x14ac:dyDescent="0.25">
      <c r="A987" s="111" t="s">
        <v>4543</v>
      </c>
      <c r="B987" s="112">
        <v>2026</v>
      </c>
      <c r="C987" s="112" t="s">
        <v>1210</v>
      </c>
      <c r="D987" s="113">
        <v>46114.608900462961</v>
      </c>
      <c r="E987" s="112">
        <v>7956399193</v>
      </c>
      <c r="F987" s="112" t="s">
        <v>370</v>
      </c>
      <c r="G987" s="112">
        <v>3</v>
      </c>
      <c r="H987" s="112">
        <v>7956399193</v>
      </c>
      <c r="I987" s="112" t="s">
        <v>4544</v>
      </c>
      <c r="J987" s="112" t="s">
        <v>1066</v>
      </c>
      <c r="K987" s="112" t="s">
        <v>1125</v>
      </c>
      <c r="L987" s="112" t="s">
        <v>1061</v>
      </c>
      <c r="M987" s="112" t="s">
        <v>478</v>
      </c>
      <c r="N987" s="113">
        <v>46514.608900462961</v>
      </c>
      <c r="O987" s="114">
        <v>19002744658</v>
      </c>
      <c r="P987" s="112">
        <v>0</v>
      </c>
      <c r="Q987" s="112" t="s">
        <v>1062</v>
      </c>
      <c r="R987" s="112" t="s">
        <v>1063</v>
      </c>
      <c r="S987" s="113">
        <v>46148.728310185186</v>
      </c>
      <c r="T987" s="112" t="s">
        <v>4545</v>
      </c>
      <c r="U987" s="112" t="s">
        <v>1065</v>
      </c>
      <c r="V987" s="112" t="s">
        <v>1066</v>
      </c>
      <c r="W987" s="112" t="s">
        <v>1066</v>
      </c>
      <c r="X987" s="112" t="s">
        <v>1066</v>
      </c>
      <c r="Y987" s="112" t="s">
        <v>1066</v>
      </c>
      <c r="Z987" s="112" t="s">
        <v>1066</v>
      </c>
      <c r="AA987" s="112" t="s">
        <v>1067</v>
      </c>
      <c r="AB987" s="112" t="s">
        <v>1066</v>
      </c>
      <c r="AC987" s="112" t="s">
        <v>92</v>
      </c>
      <c r="AD987" s="112" t="s">
        <v>1066</v>
      </c>
      <c r="AE987" s="112" t="s">
        <v>1066</v>
      </c>
      <c r="AF987" s="112" t="s">
        <v>1066</v>
      </c>
      <c r="AG987" s="112" t="s">
        <v>1066</v>
      </c>
      <c r="AH987" s="112" t="s">
        <v>1066</v>
      </c>
      <c r="AI987" s="112" t="s">
        <v>785</v>
      </c>
      <c r="AJ987" s="112">
        <v>9106630</v>
      </c>
      <c r="AK987" s="112" t="s">
        <v>369</v>
      </c>
      <c r="AL987" s="112">
        <v>988443</v>
      </c>
      <c r="AM987" s="112" t="s">
        <v>1066</v>
      </c>
      <c r="AN987" s="112" t="s">
        <v>1066</v>
      </c>
    </row>
    <row r="988" spans="1:40" ht="55.5" customHeight="1" x14ac:dyDescent="0.25">
      <c r="A988" s="111" t="s">
        <v>4546</v>
      </c>
      <c r="B988" s="112">
        <v>2026</v>
      </c>
      <c r="C988" s="112" t="s">
        <v>1057</v>
      </c>
      <c r="D988" s="113">
        <v>46125.584386574075</v>
      </c>
      <c r="E988" s="112">
        <v>7948946263</v>
      </c>
      <c r="F988" s="112" t="s">
        <v>4547</v>
      </c>
      <c r="G988" s="112">
        <v>3</v>
      </c>
      <c r="H988" s="112">
        <v>7948946263</v>
      </c>
      <c r="I988" s="112" t="s">
        <v>4548</v>
      </c>
      <c r="J988" s="112" t="s">
        <v>1066</v>
      </c>
      <c r="K988" s="112" t="s">
        <v>1125</v>
      </c>
      <c r="L988" s="112" t="s">
        <v>1061</v>
      </c>
      <c r="M988" s="112" t="s">
        <v>478</v>
      </c>
      <c r="N988" s="113">
        <v>46525.584386574075</v>
      </c>
      <c r="O988" s="114">
        <v>19002679999</v>
      </c>
      <c r="P988" s="112">
        <v>946</v>
      </c>
      <c r="Q988" s="112" t="s">
        <v>1062</v>
      </c>
      <c r="R988" s="112" t="s">
        <v>1063</v>
      </c>
      <c r="S988" s="113">
        <v>46196.62736111111</v>
      </c>
      <c r="T988" s="112" t="s">
        <v>4549</v>
      </c>
      <c r="U988" s="112" t="s">
        <v>1065</v>
      </c>
      <c r="V988" s="112" t="s">
        <v>1066</v>
      </c>
      <c r="W988" s="112" t="s">
        <v>1066</v>
      </c>
      <c r="X988" s="112" t="s">
        <v>1066</v>
      </c>
      <c r="Y988" s="112" t="s">
        <v>1066</v>
      </c>
      <c r="Z988" s="112" t="s">
        <v>1066</v>
      </c>
      <c r="AA988" s="112" t="s">
        <v>1067</v>
      </c>
      <c r="AB988" s="112" t="s">
        <v>1066</v>
      </c>
      <c r="AC988" s="112" t="s">
        <v>92</v>
      </c>
      <c r="AD988" s="112" t="s">
        <v>1066</v>
      </c>
      <c r="AE988" s="112" t="s">
        <v>1066</v>
      </c>
      <c r="AF988" s="112" t="s">
        <v>1066</v>
      </c>
      <c r="AG988" s="112" t="s">
        <v>1066</v>
      </c>
      <c r="AH988" s="112" t="s">
        <v>1066</v>
      </c>
      <c r="AI988" s="112" t="s">
        <v>785</v>
      </c>
      <c r="AJ988" s="112">
        <v>8736077</v>
      </c>
      <c r="AK988" s="112" t="s">
        <v>4550</v>
      </c>
      <c r="AL988" s="112">
        <v>949882</v>
      </c>
      <c r="AM988" s="112" t="s">
        <v>1066</v>
      </c>
      <c r="AN988" s="112" t="s">
        <v>1066</v>
      </c>
    </row>
    <row r="989" spans="1:40" ht="55.5" customHeight="1" x14ac:dyDescent="0.25">
      <c r="A989" s="111" t="s">
        <v>4551</v>
      </c>
      <c r="B989" s="112">
        <v>2026</v>
      </c>
      <c r="C989" s="112" t="s">
        <v>1213</v>
      </c>
      <c r="D989" s="113">
        <v>46122.549942129626</v>
      </c>
      <c r="E989" s="112">
        <v>7921011227</v>
      </c>
      <c r="F989" s="112" t="s">
        <v>170</v>
      </c>
      <c r="G989" s="112">
        <v>3</v>
      </c>
      <c r="H989" s="112">
        <v>7921011227</v>
      </c>
      <c r="I989" s="112" t="s">
        <v>4552</v>
      </c>
      <c r="J989" s="112" t="s">
        <v>1066</v>
      </c>
      <c r="K989" s="112" t="s">
        <v>1125</v>
      </c>
      <c r="L989" s="112" t="s">
        <v>1061</v>
      </c>
      <c r="M989" s="112" t="s">
        <v>478</v>
      </c>
      <c r="N989" s="113">
        <v>46522.549942129626</v>
      </c>
      <c r="O989" s="114">
        <v>19002205402</v>
      </c>
      <c r="P989" s="112">
        <v>412</v>
      </c>
      <c r="Q989" s="112" t="s">
        <v>1062</v>
      </c>
      <c r="R989" s="112" t="s">
        <v>1063</v>
      </c>
      <c r="S989" s="113">
        <v>46141.729166666664</v>
      </c>
      <c r="T989" s="112" t="s">
        <v>4553</v>
      </c>
      <c r="U989" s="112" t="s">
        <v>1065</v>
      </c>
      <c r="V989" s="112" t="s">
        <v>1066</v>
      </c>
      <c r="W989" s="112" t="s">
        <v>1066</v>
      </c>
      <c r="X989" s="112" t="s">
        <v>1066</v>
      </c>
      <c r="Y989" s="112" t="s">
        <v>1066</v>
      </c>
      <c r="Z989" s="112" t="s">
        <v>1066</v>
      </c>
      <c r="AA989" s="112" t="s">
        <v>1067</v>
      </c>
      <c r="AB989" s="112" t="s">
        <v>1066</v>
      </c>
      <c r="AC989" s="112" t="s">
        <v>92</v>
      </c>
      <c r="AD989" s="112" t="s">
        <v>1066</v>
      </c>
      <c r="AE989" s="112" t="s">
        <v>1066</v>
      </c>
      <c r="AF989" s="112" t="s">
        <v>1066</v>
      </c>
      <c r="AG989" s="112" t="s">
        <v>1066</v>
      </c>
      <c r="AH989" s="112" t="s">
        <v>1066</v>
      </c>
      <c r="AI989" s="112" t="s">
        <v>785</v>
      </c>
      <c r="AJ989" s="112">
        <v>9031161</v>
      </c>
      <c r="AK989" s="112" t="s">
        <v>1451</v>
      </c>
      <c r="AL989" s="112">
        <v>913603</v>
      </c>
      <c r="AM989" s="112" t="s">
        <v>1066</v>
      </c>
      <c r="AN989" s="112" t="s">
        <v>1066</v>
      </c>
    </row>
    <row r="990" spans="1:40" ht="55.5" customHeight="1" x14ac:dyDescent="0.25">
      <c r="A990" s="111" t="s">
        <v>4554</v>
      </c>
      <c r="B990" s="112">
        <v>2026</v>
      </c>
      <c r="C990" s="112" t="s">
        <v>1089</v>
      </c>
      <c r="D990" s="113">
        <v>46028.41065972222</v>
      </c>
      <c r="E990" s="112">
        <v>7908198013</v>
      </c>
      <c r="F990" s="112" t="s">
        <v>118</v>
      </c>
      <c r="G990" s="112">
        <v>2</v>
      </c>
      <c r="H990" s="112">
        <v>7908198013</v>
      </c>
      <c r="I990" s="112" t="s">
        <v>4555</v>
      </c>
      <c r="J990" s="112" t="s">
        <v>1092</v>
      </c>
      <c r="K990" s="112" t="s">
        <v>1093</v>
      </c>
      <c r="L990" s="112" t="s">
        <v>1061</v>
      </c>
      <c r="M990" s="112" t="s">
        <v>478</v>
      </c>
      <c r="N990" s="113">
        <v>46428.41065972222</v>
      </c>
      <c r="O990" s="114">
        <v>19002219543</v>
      </c>
      <c r="P990" s="112">
        <v>0</v>
      </c>
      <c r="Q990" s="112" t="s">
        <v>1062</v>
      </c>
      <c r="R990" s="112" t="s">
        <v>1063</v>
      </c>
      <c r="S990" s="113">
        <v>46030.456250000003</v>
      </c>
      <c r="T990" s="112" t="s">
        <v>4556</v>
      </c>
      <c r="U990" s="112" t="s">
        <v>1065</v>
      </c>
      <c r="V990" s="112" t="s">
        <v>1066</v>
      </c>
      <c r="W990" s="112" t="s">
        <v>1066</v>
      </c>
      <c r="X990" s="112" t="s">
        <v>1066</v>
      </c>
      <c r="Y990" s="112" t="s">
        <v>1066</v>
      </c>
      <c r="Z990" s="112" t="s">
        <v>1066</v>
      </c>
      <c r="AA990" s="112" t="s">
        <v>1067</v>
      </c>
      <c r="AB990" s="112" t="s">
        <v>1066</v>
      </c>
      <c r="AC990" s="112" t="s">
        <v>92</v>
      </c>
      <c r="AD990" s="112" t="s">
        <v>1066</v>
      </c>
      <c r="AE990" s="112" t="s">
        <v>1066</v>
      </c>
      <c r="AF990" s="112" t="s">
        <v>1066</v>
      </c>
      <c r="AG990" s="112" t="s">
        <v>1066</v>
      </c>
      <c r="AH990" s="112" t="s">
        <v>1066</v>
      </c>
      <c r="AI990" s="112" t="s">
        <v>785</v>
      </c>
      <c r="AJ990" s="112">
        <v>8875228</v>
      </c>
      <c r="AK990" s="112" t="s">
        <v>117</v>
      </c>
      <c r="AL990" s="112">
        <v>731422</v>
      </c>
      <c r="AM990" s="112" t="s">
        <v>1066</v>
      </c>
      <c r="AN990" s="112" t="s">
        <v>1066</v>
      </c>
    </row>
    <row r="991" spans="1:40" ht="55.5" customHeight="1" x14ac:dyDescent="0.25">
      <c r="A991" s="111" t="s">
        <v>4557</v>
      </c>
      <c r="B991" s="112">
        <v>2026</v>
      </c>
      <c r="C991" s="112" t="s">
        <v>1057</v>
      </c>
      <c r="D991" s="113">
        <v>46125.584386574075</v>
      </c>
      <c r="E991" s="112">
        <v>7926243186</v>
      </c>
      <c r="F991" s="112" t="s">
        <v>1236</v>
      </c>
      <c r="G991" s="112">
        <v>2</v>
      </c>
      <c r="H991" s="112">
        <v>7926243186</v>
      </c>
      <c r="I991" s="112" t="s">
        <v>4558</v>
      </c>
      <c r="J991" s="112" t="s">
        <v>1066</v>
      </c>
      <c r="K991" s="112" t="s">
        <v>1125</v>
      </c>
      <c r="L991" s="112" t="s">
        <v>1061</v>
      </c>
      <c r="M991" s="112" t="s">
        <v>478</v>
      </c>
      <c r="N991" s="113">
        <v>46525.584386574075</v>
      </c>
      <c r="O991" s="114">
        <v>19002203757</v>
      </c>
      <c r="P991" s="112">
        <v>301</v>
      </c>
      <c r="Q991" s="112" t="s">
        <v>1062</v>
      </c>
      <c r="R991" s="112" t="s">
        <v>1063</v>
      </c>
      <c r="S991" s="113">
        <v>46170.31621527778</v>
      </c>
      <c r="T991" s="112" t="s">
        <v>4559</v>
      </c>
      <c r="U991" s="112" t="s">
        <v>1065</v>
      </c>
      <c r="V991" s="112" t="s">
        <v>1066</v>
      </c>
      <c r="W991" s="112" t="s">
        <v>1066</v>
      </c>
      <c r="X991" s="112" t="s">
        <v>1066</v>
      </c>
      <c r="Y991" s="112" t="s">
        <v>1066</v>
      </c>
      <c r="Z991" s="112" t="s">
        <v>1066</v>
      </c>
      <c r="AA991" s="112" t="s">
        <v>1067</v>
      </c>
      <c r="AB991" s="112" t="s">
        <v>1066</v>
      </c>
      <c r="AC991" s="112" t="s">
        <v>92</v>
      </c>
      <c r="AD991" s="112" t="s">
        <v>1066</v>
      </c>
      <c r="AE991" s="112" t="s">
        <v>1066</v>
      </c>
      <c r="AF991" s="112" t="s">
        <v>1066</v>
      </c>
      <c r="AG991" s="112" t="s">
        <v>1066</v>
      </c>
      <c r="AH991" s="112" t="s">
        <v>1066</v>
      </c>
      <c r="AI991" s="112" t="s">
        <v>785</v>
      </c>
      <c r="AJ991" s="112">
        <v>8571078</v>
      </c>
      <c r="AK991" s="112" t="s">
        <v>1438</v>
      </c>
      <c r="AL991" s="112">
        <v>764805</v>
      </c>
      <c r="AM991" s="112" t="s">
        <v>1066</v>
      </c>
      <c r="AN991" s="112" t="s">
        <v>1066</v>
      </c>
    </row>
    <row r="992" spans="1:40" ht="55.5" customHeight="1" x14ac:dyDescent="0.25">
      <c r="A992" s="111" t="s">
        <v>4560</v>
      </c>
      <c r="B992" s="112">
        <v>2026</v>
      </c>
      <c r="C992" s="112" t="s">
        <v>4561</v>
      </c>
      <c r="D992" s="113">
        <v>46208.448807870373</v>
      </c>
      <c r="E992" s="112">
        <v>310098001</v>
      </c>
      <c r="F992" s="112" t="s">
        <v>2024</v>
      </c>
      <c r="G992" s="112">
        <v>3</v>
      </c>
      <c r="H992" s="112">
        <v>5863887001</v>
      </c>
      <c r="I992" s="112" t="s">
        <v>2025</v>
      </c>
      <c r="J992" s="112" t="s">
        <v>1071</v>
      </c>
      <c r="K992" s="112" t="s">
        <v>1130</v>
      </c>
      <c r="L992" s="112" t="s">
        <v>1073</v>
      </c>
      <c r="M992" s="112" t="s">
        <v>478</v>
      </c>
      <c r="N992" s="113">
        <v>46211.448807870373</v>
      </c>
      <c r="O992" s="114">
        <v>19002803203</v>
      </c>
      <c r="P992" s="112">
        <v>35</v>
      </c>
      <c r="Q992" s="112" t="s">
        <v>1074</v>
      </c>
      <c r="R992" s="112" t="s">
        <v>1063</v>
      </c>
      <c r="S992" s="113">
        <v>46216.729942129627</v>
      </c>
      <c r="T992" s="112" t="s">
        <v>4562</v>
      </c>
      <c r="U992" s="112" t="s">
        <v>1065</v>
      </c>
      <c r="V992" s="112" t="s">
        <v>1066</v>
      </c>
      <c r="W992" s="112" t="s">
        <v>1066</v>
      </c>
      <c r="X992" s="112" t="s">
        <v>1318</v>
      </c>
      <c r="Y992" s="112" t="s">
        <v>1066</v>
      </c>
      <c r="Z992" s="112" t="s">
        <v>1479</v>
      </c>
      <c r="AA992" s="112" t="s">
        <v>1067</v>
      </c>
      <c r="AB992" s="112" t="s">
        <v>1066</v>
      </c>
      <c r="AC992" s="112" t="s">
        <v>92</v>
      </c>
      <c r="AD992" s="112" t="s">
        <v>1066</v>
      </c>
      <c r="AE992" s="112" t="s">
        <v>1066</v>
      </c>
      <c r="AF992" s="112" t="s">
        <v>1066</v>
      </c>
      <c r="AG992" s="112" t="s">
        <v>1066</v>
      </c>
      <c r="AH992" s="112" t="s">
        <v>1066</v>
      </c>
      <c r="AI992" s="112" t="s">
        <v>785</v>
      </c>
      <c r="AJ992" s="112">
        <v>8850006</v>
      </c>
      <c r="AK992" s="112" t="s">
        <v>50</v>
      </c>
      <c r="AL992" s="112">
        <v>771817</v>
      </c>
      <c r="AM992" s="112" t="s">
        <v>1066</v>
      </c>
      <c r="AN992" s="112" t="s">
        <v>1066</v>
      </c>
    </row>
    <row r="993" spans="1:40" ht="55.5" customHeight="1" x14ac:dyDescent="0.25">
      <c r="A993" s="111" t="s">
        <v>4563</v>
      </c>
      <c r="B993" s="112">
        <v>2026</v>
      </c>
      <c r="C993" s="112" t="s">
        <v>4564</v>
      </c>
      <c r="D993" s="113">
        <v>46032.402939814812</v>
      </c>
      <c r="E993" s="112">
        <v>8800080025</v>
      </c>
      <c r="F993" s="112" t="s">
        <v>95</v>
      </c>
      <c r="G993" s="112">
        <v>2</v>
      </c>
      <c r="H993" s="112">
        <v>5857855025</v>
      </c>
      <c r="I993" s="112" t="s">
        <v>3250</v>
      </c>
      <c r="J993" s="112" t="s">
        <v>1071</v>
      </c>
      <c r="K993" s="112" t="s">
        <v>1145</v>
      </c>
      <c r="L993" s="112" t="s">
        <v>1073</v>
      </c>
      <c r="M993" s="112" t="s">
        <v>478</v>
      </c>
      <c r="N993" s="113">
        <v>46035.402939814812</v>
      </c>
      <c r="O993" s="114">
        <v>19002770938</v>
      </c>
      <c r="P993" s="112">
        <v>542</v>
      </c>
      <c r="Q993" s="112" t="s">
        <v>1074</v>
      </c>
      <c r="R993" s="112" t="s">
        <v>1075</v>
      </c>
      <c r="S993" s="113">
        <v>46042.359027777777</v>
      </c>
      <c r="T993" s="112" t="s">
        <v>4565</v>
      </c>
      <c r="U993" s="112" t="s">
        <v>1065</v>
      </c>
      <c r="V993" s="112" t="s">
        <v>1066</v>
      </c>
      <c r="W993" s="112" t="s">
        <v>1066</v>
      </c>
      <c r="X993" s="112" t="s">
        <v>1077</v>
      </c>
      <c r="Y993" s="112" t="s">
        <v>1066</v>
      </c>
      <c r="Z993" s="112" t="s">
        <v>1479</v>
      </c>
      <c r="AA993" s="112" t="s">
        <v>1067</v>
      </c>
      <c r="AB993" s="112" t="s">
        <v>1066</v>
      </c>
      <c r="AC993" s="112" t="s">
        <v>92</v>
      </c>
      <c r="AD993" s="112" t="s">
        <v>1066</v>
      </c>
      <c r="AE993" s="112" t="s">
        <v>1066</v>
      </c>
      <c r="AF993" s="112" t="s">
        <v>1066</v>
      </c>
      <c r="AG993" s="112" t="s">
        <v>1066</v>
      </c>
      <c r="AH993" s="112" t="s">
        <v>1066</v>
      </c>
      <c r="AI993" s="112" t="s">
        <v>785</v>
      </c>
      <c r="AJ993" s="112">
        <v>9153621</v>
      </c>
      <c r="AK993" s="112" t="s">
        <v>93</v>
      </c>
      <c r="AL993" s="112">
        <v>730841</v>
      </c>
      <c r="AM993" s="112" t="s">
        <v>1066</v>
      </c>
      <c r="AN993" s="112" t="s">
        <v>1066</v>
      </c>
    </row>
    <row r="994" spans="1:40" ht="55.5" customHeight="1" x14ac:dyDescent="0.25">
      <c r="A994" s="111" t="s">
        <v>4566</v>
      </c>
      <c r="B994" s="112">
        <v>2026</v>
      </c>
      <c r="C994" s="112" t="s">
        <v>4567</v>
      </c>
      <c r="D994" s="113">
        <v>46038.505624999998</v>
      </c>
      <c r="E994" s="112">
        <v>7932030072</v>
      </c>
      <c r="F994" s="112" t="s">
        <v>697</v>
      </c>
      <c r="G994" s="112">
        <v>2</v>
      </c>
      <c r="H994" s="112">
        <v>7932030072</v>
      </c>
      <c r="I994" s="112" t="s">
        <v>4568</v>
      </c>
      <c r="J994" s="112" t="s">
        <v>1071</v>
      </c>
      <c r="K994" s="112" t="s">
        <v>2694</v>
      </c>
      <c r="L994" s="112" t="s">
        <v>1073</v>
      </c>
      <c r="M994" s="112" t="s">
        <v>478</v>
      </c>
      <c r="N994" s="113">
        <v>46041.505624999998</v>
      </c>
      <c r="O994" s="114">
        <v>19002765348</v>
      </c>
      <c r="P994" s="112">
        <v>0</v>
      </c>
      <c r="Q994" s="112" t="s">
        <v>1062</v>
      </c>
      <c r="R994" s="112" t="s">
        <v>1075</v>
      </c>
      <c r="S994" s="113">
        <v>46084.729328703703</v>
      </c>
      <c r="T994" s="112" t="s">
        <v>4569</v>
      </c>
      <c r="U994" s="112" t="s">
        <v>1065</v>
      </c>
      <c r="V994" s="112" t="s">
        <v>1066</v>
      </c>
      <c r="W994" s="112" t="s">
        <v>1066</v>
      </c>
      <c r="X994" s="112" t="s">
        <v>1173</v>
      </c>
      <c r="Y994" s="112" t="s">
        <v>1066</v>
      </c>
      <c r="Z994" s="112" t="s">
        <v>2831</v>
      </c>
      <c r="AA994" s="112" t="s">
        <v>1067</v>
      </c>
      <c r="AB994" s="112" t="s">
        <v>1066</v>
      </c>
      <c r="AC994" s="112" t="s">
        <v>92</v>
      </c>
      <c r="AD994" s="112" t="s">
        <v>1066</v>
      </c>
      <c r="AE994" s="112" t="s">
        <v>1066</v>
      </c>
      <c r="AF994" s="112" t="s">
        <v>1066</v>
      </c>
      <c r="AG994" s="112" t="s">
        <v>1066</v>
      </c>
      <c r="AH994" s="112" t="s">
        <v>1066</v>
      </c>
      <c r="AI994" s="112" t="s">
        <v>785</v>
      </c>
      <c r="AJ994" s="112">
        <v>8649505</v>
      </c>
      <c r="AK994" s="112" t="s">
        <v>1590</v>
      </c>
      <c r="AL994" s="112">
        <v>918493</v>
      </c>
      <c r="AM994" s="112" t="s">
        <v>1066</v>
      </c>
      <c r="AN994" s="112" t="s">
        <v>1066</v>
      </c>
    </row>
    <row r="995" spans="1:40" ht="55.5" customHeight="1" x14ac:dyDescent="0.25">
      <c r="A995" s="115" t="s">
        <v>811</v>
      </c>
      <c r="B995" s="116">
        <v>2026</v>
      </c>
      <c r="C995" s="116" t="s">
        <v>4570</v>
      </c>
      <c r="D995" s="118">
        <v>46169.52447916667</v>
      </c>
      <c r="E995" s="116">
        <v>9000207011</v>
      </c>
      <c r="F995" s="116" t="s">
        <v>706</v>
      </c>
      <c r="G995" s="116">
        <v>2</v>
      </c>
      <c r="H995" s="116">
        <v>5800859011</v>
      </c>
      <c r="I995" s="116" t="s">
        <v>3213</v>
      </c>
      <c r="J995" s="116" t="s">
        <v>1071</v>
      </c>
      <c r="K995" s="116" t="s">
        <v>1115</v>
      </c>
      <c r="L995" s="116" t="s">
        <v>1073</v>
      </c>
      <c r="M995" s="116" t="s">
        <v>588</v>
      </c>
      <c r="N995" s="118">
        <v>46188.6247337963</v>
      </c>
      <c r="O995" s="119">
        <v>19002317746</v>
      </c>
      <c r="P995" s="116">
        <v>0</v>
      </c>
      <c r="Q995" s="116" t="s">
        <v>1074</v>
      </c>
      <c r="R995" s="116" t="s">
        <v>1075</v>
      </c>
      <c r="S995" s="116" t="s">
        <v>1066</v>
      </c>
      <c r="T995" s="116" t="s">
        <v>1066</v>
      </c>
      <c r="U995" s="116" t="s">
        <v>1066</v>
      </c>
      <c r="V995" s="116" t="s">
        <v>1066</v>
      </c>
      <c r="W995" s="116" t="s">
        <v>1066</v>
      </c>
      <c r="X995" s="116" t="s">
        <v>3101</v>
      </c>
      <c r="Y995" s="116" t="s">
        <v>1066</v>
      </c>
      <c r="Z995" s="116" t="s">
        <v>1479</v>
      </c>
      <c r="AA995" s="116" t="s">
        <v>1067</v>
      </c>
      <c r="AB995" s="116" t="s">
        <v>1066</v>
      </c>
      <c r="AC995" s="116" t="s">
        <v>92</v>
      </c>
      <c r="AD995" s="116" t="s">
        <v>1066</v>
      </c>
      <c r="AE995" s="116" t="s">
        <v>1066</v>
      </c>
      <c r="AF995" s="116" t="s">
        <v>1066</v>
      </c>
      <c r="AG995" s="116" t="s">
        <v>1066</v>
      </c>
      <c r="AH995" s="116" t="s">
        <v>1066</v>
      </c>
      <c r="AI995" s="116" t="s">
        <v>785</v>
      </c>
      <c r="AJ995" s="116">
        <v>9011795</v>
      </c>
      <c r="AK995" s="116" t="s">
        <v>462</v>
      </c>
      <c r="AL995" s="116">
        <v>797626</v>
      </c>
      <c r="AM995" s="116" t="s">
        <v>1066</v>
      </c>
      <c r="AN995" s="116" t="s">
        <v>1066</v>
      </c>
    </row>
    <row r="996" spans="1:40" ht="55.5" customHeight="1" x14ac:dyDescent="0.25">
      <c r="A996" s="111" t="s">
        <v>4571</v>
      </c>
      <c r="B996" s="112">
        <v>2026</v>
      </c>
      <c r="C996" s="112" t="s">
        <v>1089</v>
      </c>
      <c r="D996" s="113">
        <v>46028.41065972222</v>
      </c>
      <c r="E996" s="112">
        <v>7931644122</v>
      </c>
      <c r="F996" s="112" t="s">
        <v>4572</v>
      </c>
      <c r="G996" s="112">
        <v>2</v>
      </c>
      <c r="H996" s="112">
        <v>7931644122</v>
      </c>
      <c r="I996" s="112" t="s">
        <v>4573</v>
      </c>
      <c r="J996" s="112" t="s">
        <v>1092</v>
      </c>
      <c r="K996" s="112" t="s">
        <v>1093</v>
      </c>
      <c r="L996" s="112" t="s">
        <v>1061</v>
      </c>
      <c r="M996" s="112" t="s">
        <v>478</v>
      </c>
      <c r="N996" s="113">
        <v>46428.41065972222</v>
      </c>
      <c r="O996" s="114">
        <v>19002208391</v>
      </c>
      <c r="P996" s="112">
        <v>0</v>
      </c>
      <c r="Q996" s="112" t="s">
        <v>1062</v>
      </c>
      <c r="R996" s="112" t="s">
        <v>1063</v>
      </c>
      <c r="S996" s="113">
        <v>46176.393240740741</v>
      </c>
      <c r="T996" s="112" t="s">
        <v>4574</v>
      </c>
      <c r="U996" s="112" t="s">
        <v>1065</v>
      </c>
      <c r="V996" s="112" t="s">
        <v>1066</v>
      </c>
      <c r="W996" s="112" t="s">
        <v>1066</v>
      </c>
      <c r="X996" s="112" t="s">
        <v>1066</v>
      </c>
      <c r="Y996" s="112" t="s">
        <v>1066</v>
      </c>
      <c r="Z996" s="112" t="s">
        <v>1066</v>
      </c>
      <c r="AA996" s="112" t="s">
        <v>1067</v>
      </c>
      <c r="AB996" s="112" t="s">
        <v>1066</v>
      </c>
      <c r="AC996" s="112" t="s">
        <v>92</v>
      </c>
      <c r="AD996" s="112" t="s">
        <v>1066</v>
      </c>
      <c r="AE996" s="112" t="s">
        <v>1066</v>
      </c>
      <c r="AF996" s="112" t="s">
        <v>1066</v>
      </c>
      <c r="AG996" s="112" t="s">
        <v>1066</v>
      </c>
      <c r="AH996" s="112" t="s">
        <v>1066</v>
      </c>
      <c r="AI996" s="112" t="s">
        <v>785</v>
      </c>
      <c r="AJ996" s="112">
        <v>8876331</v>
      </c>
      <c r="AK996" s="112" t="s">
        <v>264</v>
      </c>
      <c r="AL996" s="112">
        <v>792665</v>
      </c>
      <c r="AM996" s="112" t="s">
        <v>1066</v>
      </c>
      <c r="AN996" s="112" t="s">
        <v>1066</v>
      </c>
    </row>
    <row r="997" spans="1:40" ht="55.5" customHeight="1" x14ac:dyDescent="0.25">
      <c r="A997" s="111" t="s">
        <v>4575</v>
      </c>
      <c r="B997" s="112">
        <v>2026</v>
      </c>
      <c r="C997" s="112" t="s">
        <v>1251</v>
      </c>
      <c r="D997" s="113">
        <v>46031.603807870371</v>
      </c>
      <c r="E997" s="112">
        <v>7908708116</v>
      </c>
      <c r="F997" s="112" t="s">
        <v>43</v>
      </c>
      <c r="G997" s="112">
        <v>2</v>
      </c>
      <c r="H997" s="112">
        <v>7908708116</v>
      </c>
      <c r="I997" s="112" t="s">
        <v>1512</v>
      </c>
      <c r="J997" s="112" t="s">
        <v>1059</v>
      </c>
      <c r="K997" s="112" t="s">
        <v>1060</v>
      </c>
      <c r="L997" s="112" t="s">
        <v>1061</v>
      </c>
      <c r="M997" s="112" t="s">
        <v>478</v>
      </c>
      <c r="N997" s="113">
        <v>46431.603807870371</v>
      </c>
      <c r="O997" s="114">
        <v>19002295982</v>
      </c>
      <c r="P997" s="112">
        <v>219</v>
      </c>
      <c r="Q997" s="112" t="s">
        <v>1062</v>
      </c>
      <c r="R997" s="112" t="s">
        <v>1063</v>
      </c>
      <c r="S997" s="113">
        <v>46031.729166666664</v>
      </c>
      <c r="T997" s="112" t="s">
        <v>1253</v>
      </c>
      <c r="U997" s="112" t="s">
        <v>1065</v>
      </c>
      <c r="V997" s="112" t="s">
        <v>1066</v>
      </c>
      <c r="W997" s="112" t="s">
        <v>1066</v>
      </c>
      <c r="X997" s="112" t="s">
        <v>1066</v>
      </c>
      <c r="Y997" s="112" t="s">
        <v>1066</v>
      </c>
      <c r="Z997" s="112" t="s">
        <v>1066</v>
      </c>
      <c r="AA997" s="112" t="s">
        <v>1067</v>
      </c>
      <c r="AB997" s="112" t="s">
        <v>1066</v>
      </c>
      <c r="AC997" s="112" t="s">
        <v>92</v>
      </c>
      <c r="AD997" s="112" t="s">
        <v>1066</v>
      </c>
      <c r="AE997" s="112" t="s">
        <v>1066</v>
      </c>
      <c r="AF997" s="112" t="s">
        <v>1066</v>
      </c>
      <c r="AG997" s="112" t="s">
        <v>1066</v>
      </c>
      <c r="AH997" s="112" t="s">
        <v>1066</v>
      </c>
      <c r="AI997" s="112" t="s">
        <v>785</v>
      </c>
      <c r="AJ997" s="112">
        <v>8722032</v>
      </c>
      <c r="AK997" s="112" t="s">
        <v>215</v>
      </c>
      <c r="AL997" s="112">
        <v>849089</v>
      </c>
      <c r="AM997" s="112" t="s">
        <v>1066</v>
      </c>
      <c r="AN997" s="112" t="s">
        <v>1066</v>
      </c>
    </row>
    <row r="998" spans="1:40" ht="55.5" customHeight="1" x14ac:dyDescent="0.25">
      <c r="A998" s="111" t="s">
        <v>4576</v>
      </c>
      <c r="B998" s="112">
        <v>2026</v>
      </c>
      <c r="C998" s="112" t="s">
        <v>4577</v>
      </c>
      <c r="D998" s="113">
        <v>46068.709236111114</v>
      </c>
      <c r="E998" s="112">
        <v>9004424004</v>
      </c>
      <c r="F998" s="112" t="s">
        <v>1665</v>
      </c>
      <c r="G998" s="112">
        <v>2</v>
      </c>
      <c r="H998" s="112">
        <v>7923672004</v>
      </c>
      <c r="I998" s="112" t="s">
        <v>4578</v>
      </c>
      <c r="J998" s="112" t="s">
        <v>1071</v>
      </c>
      <c r="K998" s="112" t="s">
        <v>1130</v>
      </c>
      <c r="L998" s="112" t="s">
        <v>1073</v>
      </c>
      <c r="M998" s="112" t="s">
        <v>478</v>
      </c>
      <c r="N998" s="113">
        <v>46071.709236111114</v>
      </c>
      <c r="O998" s="114">
        <v>19001217507</v>
      </c>
      <c r="P998" s="112">
        <v>2.3809999999999998</v>
      </c>
      <c r="Q998" s="112" t="s">
        <v>1131</v>
      </c>
      <c r="R998" s="112" t="s">
        <v>1075</v>
      </c>
      <c r="S998" s="113">
        <v>46101.729166666664</v>
      </c>
      <c r="T998" s="112" t="s">
        <v>4579</v>
      </c>
      <c r="U998" s="112" t="s">
        <v>1065</v>
      </c>
      <c r="V998" s="112" t="s">
        <v>1066</v>
      </c>
      <c r="W998" s="112" t="s">
        <v>1066</v>
      </c>
      <c r="X998" s="112" t="s">
        <v>1117</v>
      </c>
      <c r="Y998" s="112" t="s">
        <v>1066</v>
      </c>
      <c r="Z998" s="112" t="s">
        <v>1133</v>
      </c>
      <c r="AA998" s="112" t="s">
        <v>1067</v>
      </c>
      <c r="AB998" s="112" t="s">
        <v>1066</v>
      </c>
      <c r="AC998" s="112" t="s">
        <v>92</v>
      </c>
      <c r="AD998" s="112" t="s">
        <v>1142</v>
      </c>
      <c r="AE998" s="112" t="s">
        <v>1066</v>
      </c>
      <c r="AF998" s="112" t="s">
        <v>1066</v>
      </c>
      <c r="AG998" s="112" t="s">
        <v>1066</v>
      </c>
      <c r="AH998" s="112" t="s">
        <v>1066</v>
      </c>
      <c r="AI998" s="112" t="s">
        <v>785</v>
      </c>
      <c r="AJ998" s="112">
        <v>9202898</v>
      </c>
      <c r="AK998" s="112" t="s">
        <v>69</v>
      </c>
      <c r="AL998" s="112">
        <v>809040</v>
      </c>
      <c r="AM998" s="112" t="s">
        <v>1066</v>
      </c>
      <c r="AN998" s="112" t="s">
        <v>1066</v>
      </c>
    </row>
    <row r="999" spans="1:40" ht="55.5" customHeight="1" x14ac:dyDescent="0.25">
      <c r="A999" s="111" t="s">
        <v>4580</v>
      </c>
      <c r="B999" s="112">
        <v>2026</v>
      </c>
      <c r="C999" s="112" t="s">
        <v>1213</v>
      </c>
      <c r="D999" s="113">
        <v>46122.549942129626</v>
      </c>
      <c r="E999" s="112">
        <v>7935858004</v>
      </c>
      <c r="F999" s="112" t="s">
        <v>83</v>
      </c>
      <c r="G999" s="112">
        <v>1</v>
      </c>
      <c r="H999" s="112">
        <v>7935858004</v>
      </c>
      <c r="I999" s="112" t="s">
        <v>4581</v>
      </c>
      <c r="J999" s="112" t="s">
        <v>1066</v>
      </c>
      <c r="K999" s="112" t="s">
        <v>1125</v>
      </c>
      <c r="L999" s="112" t="s">
        <v>1061</v>
      </c>
      <c r="M999" s="112" t="s">
        <v>478</v>
      </c>
      <c r="N999" s="113">
        <v>46522.549942129626</v>
      </c>
      <c r="O999" s="114">
        <v>19002766842</v>
      </c>
      <c r="P999" s="112">
        <v>1.6559999999999999</v>
      </c>
      <c r="Q999" s="112" t="s">
        <v>1062</v>
      </c>
      <c r="R999" s="112" t="s">
        <v>1063</v>
      </c>
      <c r="S999" s="113">
        <v>46132.729166666664</v>
      </c>
      <c r="T999" s="112" t="s">
        <v>4582</v>
      </c>
      <c r="U999" s="112" t="s">
        <v>1065</v>
      </c>
      <c r="V999" s="112" t="s">
        <v>1066</v>
      </c>
      <c r="W999" s="112" t="s">
        <v>1066</v>
      </c>
      <c r="X999" s="112" t="s">
        <v>1066</v>
      </c>
      <c r="Y999" s="112" t="s">
        <v>1066</v>
      </c>
      <c r="Z999" s="112" t="s">
        <v>1066</v>
      </c>
      <c r="AA999" s="112" t="s">
        <v>1067</v>
      </c>
      <c r="AB999" s="112" t="s">
        <v>1066</v>
      </c>
      <c r="AC999" s="112" t="s">
        <v>92</v>
      </c>
      <c r="AD999" s="112" t="s">
        <v>1066</v>
      </c>
      <c r="AE999" s="112" t="s">
        <v>1066</v>
      </c>
      <c r="AF999" s="112" t="s">
        <v>1066</v>
      </c>
      <c r="AG999" s="112" t="s">
        <v>1066</v>
      </c>
      <c r="AH999" s="112" t="s">
        <v>1066</v>
      </c>
      <c r="AI999" s="112" t="s">
        <v>785</v>
      </c>
      <c r="AJ999" s="112">
        <v>9202537</v>
      </c>
      <c r="AK999" s="112" t="s">
        <v>69</v>
      </c>
      <c r="AL999" s="112">
        <v>805770</v>
      </c>
      <c r="AM999" s="112" t="s">
        <v>1066</v>
      </c>
      <c r="AN999" s="112" t="s">
        <v>1066</v>
      </c>
    </row>
    <row r="1000" spans="1:40" ht="55.5" customHeight="1" x14ac:dyDescent="0.25">
      <c r="A1000" s="111" t="s">
        <v>4583</v>
      </c>
      <c r="B1000" s="112">
        <v>2026</v>
      </c>
      <c r="C1000" s="112" t="s">
        <v>1057</v>
      </c>
      <c r="D1000" s="113">
        <v>46125.584386574075</v>
      </c>
      <c r="E1000" s="112">
        <v>7924620047</v>
      </c>
      <c r="F1000" s="112" t="s">
        <v>386</v>
      </c>
      <c r="G1000" s="112">
        <v>3</v>
      </c>
      <c r="H1000" s="112">
        <v>7924620047</v>
      </c>
      <c r="I1000" s="112" t="s">
        <v>2966</v>
      </c>
      <c r="J1000" s="112" t="s">
        <v>1066</v>
      </c>
      <c r="K1000" s="112" t="s">
        <v>1125</v>
      </c>
      <c r="L1000" s="112" t="s">
        <v>1061</v>
      </c>
      <c r="M1000" s="112" t="s">
        <v>478</v>
      </c>
      <c r="N1000" s="113">
        <v>46525.584386574075</v>
      </c>
      <c r="O1000" s="114">
        <v>19002220150</v>
      </c>
      <c r="P1000" s="112">
        <v>214</v>
      </c>
      <c r="Q1000" s="112" t="s">
        <v>1062</v>
      </c>
      <c r="R1000" s="112" t="s">
        <v>1063</v>
      </c>
      <c r="S1000" s="113">
        <v>46160.728541666664</v>
      </c>
      <c r="T1000" s="112" t="s">
        <v>4584</v>
      </c>
      <c r="U1000" s="112" t="s">
        <v>1065</v>
      </c>
      <c r="V1000" s="112" t="s">
        <v>1066</v>
      </c>
      <c r="W1000" s="112" t="s">
        <v>1066</v>
      </c>
      <c r="X1000" s="112" t="s">
        <v>1066</v>
      </c>
      <c r="Y1000" s="112" t="s">
        <v>1066</v>
      </c>
      <c r="Z1000" s="112" t="s">
        <v>1066</v>
      </c>
      <c r="AA1000" s="112" t="s">
        <v>1067</v>
      </c>
      <c r="AB1000" s="112" t="s">
        <v>1066</v>
      </c>
      <c r="AC1000" s="112" t="s">
        <v>92</v>
      </c>
      <c r="AD1000" s="112" t="s">
        <v>1066</v>
      </c>
      <c r="AE1000" s="112" t="s">
        <v>1066</v>
      </c>
      <c r="AF1000" s="112" t="s">
        <v>1066</v>
      </c>
      <c r="AG1000" s="112" t="s">
        <v>1066</v>
      </c>
      <c r="AH1000" s="112" t="s">
        <v>1066</v>
      </c>
      <c r="AI1000" s="112" t="s">
        <v>785</v>
      </c>
      <c r="AJ1000" s="112">
        <v>8656174</v>
      </c>
      <c r="AK1000" s="112" t="s">
        <v>111</v>
      </c>
      <c r="AL1000" s="112">
        <v>699259</v>
      </c>
      <c r="AM1000" s="112" t="s">
        <v>1066</v>
      </c>
      <c r="AN1000" s="112" t="s">
        <v>1066</v>
      </c>
    </row>
    <row r="1001" spans="1:40" ht="55.5" customHeight="1" x14ac:dyDescent="0.25">
      <c r="A1001" s="115" t="s">
        <v>4585</v>
      </c>
      <c r="B1001" s="116">
        <v>2026</v>
      </c>
      <c r="C1001" s="116" t="s">
        <v>4586</v>
      </c>
      <c r="D1001" s="118">
        <v>46154.437071759261</v>
      </c>
      <c r="E1001" s="116">
        <v>9007806059</v>
      </c>
      <c r="F1001" s="116" t="s">
        <v>234</v>
      </c>
      <c r="G1001" s="116">
        <v>3</v>
      </c>
      <c r="H1001" s="116">
        <v>7942572059</v>
      </c>
      <c r="I1001" s="116" t="s">
        <v>4587</v>
      </c>
      <c r="J1001" s="116" t="s">
        <v>1092</v>
      </c>
      <c r="K1001" s="116" t="s">
        <v>2271</v>
      </c>
      <c r="L1001" s="116" t="s">
        <v>1073</v>
      </c>
      <c r="M1001" s="116" t="s">
        <v>588</v>
      </c>
      <c r="N1001" s="118">
        <v>46185.429780092592</v>
      </c>
      <c r="O1001" s="119">
        <v>19001355818</v>
      </c>
      <c r="P1001" s="116">
        <v>117</v>
      </c>
      <c r="Q1001" s="116" t="s">
        <v>1131</v>
      </c>
      <c r="R1001" s="116" t="s">
        <v>1075</v>
      </c>
      <c r="S1001" s="116" t="s">
        <v>1066</v>
      </c>
      <c r="T1001" s="116" t="s">
        <v>1066</v>
      </c>
      <c r="U1001" s="116" t="s">
        <v>1066</v>
      </c>
      <c r="V1001" s="116" t="s">
        <v>1066</v>
      </c>
      <c r="W1001" s="116" t="s">
        <v>1066</v>
      </c>
      <c r="X1001" s="116" t="s">
        <v>983</v>
      </c>
      <c r="Y1001" s="116" t="s">
        <v>1066</v>
      </c>
      <c r="Z1001" s="116" t="s">
        <v>1148</v>
      </c>
      <c r="AA1001" s="116" t="s">
        <v>1067</v>
      </c>
      <c r="AB1001" s="116" t="s">
        <v>1066</v>
      </c>
      <c r="AC1001" s="116" t="s">
        <v>92</v>
      </c>
      <c r="AD1001" s="116" t="s">
        <v>1142</v>
      </c>
      <c r="AE1001" s="116" t="s">
        <v>1066</v>
      </c>
      <c r="AF1001" s="116" t="s">
        <v>1066</v>
      </c>
      <c r="AG1001" s="116" t="s">
        <v>1066</v>
      </c>
      <c r="AH1001" s="116" t="s">
        <v>1066</v>
      </c>
      <c r="AI1001" s="116" t="s">
        <v>785</v>
      </c>
      <c r="AJ1001" s="116">
        <v>8865329</v>
      </c>
      <c r="AK1001" s="116" t="s">
        <v>264</v>
      </c>
      <c r="AL1001" s="116">
        <v>839744</v>
      </c>
      <c r="AM1001" s="116" t="s">
        <v>1066</v>
      </c>
      <c r="AN1001" s="116" t="s">
        <v>1066</v>
      </c>
    </row>
    <row r="1002" spans="1:40" ht="55.5" customHeight="1" x14ac:dyDescent="0.25">
      <c r="A1002" s="115" t="s">
        <v>4588</v>
      </c>
      <c r="B1002" s="116">
        <v>2026</v>
      </c>
      <c r="C1002" s="116" t="s">
        <v>4589</v>
      </c>
      <c r="D1002" s="118">
        <v>45806.4528587963</v>
      </c>
      <c r="E1002" s="116">
        <v>7928564039</v>
      </c>
      <c r="F1002" s="116" t="s">
        <v>60</v>
      </c>
      <c r="G1002" s="116">
        <v>1</v>
      </c>
      <c r="H1002" s="116">
        <v>7928564039</v>
      </c>
      <c r="I1002" s="116" t="s">
        <v>4590</v>
      </c>
      <c r="J1002" s="116" t="s">
        <v>1092</v>
      </c>
      <c r="K1002" s="116" t="s">
        <v>1179</v>
      </c>
      <c r="L1002" s="116" t="s">
        <v>1084</v>
      </c>
      <c r="M1002" s="116" t="s">
        <v>588</v>
      </c>
      <c r="N1002" s="118">
        <v>46270.641493055555</v>
      </c>
      <c r="O1002" s="119">
        <v>19002209920</v>
      </c>
      <c r="P1002" s="116">
        <v>0</v>
      </c>
      <c r="Q1002" s="116" t="s">
        <v>1062</v>
      </c>
      <c r="R1002" s="116" t="s">
        <v>1075</v>
      </c>
      <c r="S1002" s="116" t="s">
        <v>1066</v>
      </c>
      <c r="T1002" s="116" t="s">
        <v>1066</v>
      </c>
      <c r="U1002" s="116" t="s">
        <v>1066</v>
      </c>
      <c r="V1002" s="116" t="s">
        <v>1066</v>
      </c>
      <c r="W1002" s="116" t="s">
        <v>1066</v>
      </c>
      <c r="X1002" s="116" t="s">
        <v>983</v>
      </c>
      <c r="Y1002" s="116" t="s">
        <v>1066</v>
      </c>
      <c r="Z1002" s="116" t="s">
        <v>1066</v>
      </c>
      <c r="AA1002" s="116" t="s">
        <v>1067</v>
      </c>
      <c r="AB1002" s="116" t="s">
        <v>1066</v>
      </c>
      <c r="AC1002" s="116" t="s">
        <v>92</v>
      </c>
      <c r="AD1002" s="116" t="s">
        <v>1066</v>
      </c>
      <c r="AE1002" s="116" t="s">
        <v>1066</v>
      </c>
      <c r="AF1002" s="116" t="s">
        <v>1066</v>
      </c>
      <c r="AG1002" s="116" t="s">
        <v>1066</v>
      </c>
      <c r="AH1002" s="116" t="s">
        <v>4591</v>
      </c>
      <c r="AI1002" s="116" t="s">
        <v>785</v>
      </c>
      <c r="AJ1002" s="116">
        <v>9381653</v>
      </c>
      <c r="AK1002" s="116" t="s">
        <v>57</v>
      </c>
      <c r="AL1002" s="116">
        <v>825557</v>
      </c>
      <c r="AM1002" s="116" t="s">
        <v>1066</v>
      </c>
      <c r="AN1002" s="116" t="s">
        <v>1066</v>
      </c>
    </row>
    <row r="1003" spans="1:40" ht="55.5" customHeight="1" x14ac:dyDescent="0.25">
      <c r="A1003" s="111" t="s">
        <v>628</v>
      </c>
      <c r="B1003" s="112">
        <v>2026</v>
      </c>
      <c r="C1003" s="112" t="s">
        <v>4592</v>
      </c>
      <c r="D1003" s="113">
        <v>46223.877256944441</v>
      </c>
      <c r="E1003" s="112">
        <v>7908716091</v>
      </c>
      <c r="F1003" s="112" t="s">
        <v>136</v>
      </c>
      <c r="G1003" s="112">
        <v>2</v>
      </c>
      <c r="H1003" s="112">
        <v>7908716091</v>
      </c>
      <c r="I1003" s="112" t="s">
        <v>1278</v>
      </c>
      <c r="J1003" s="112" t="s">
        <v>1071</v>
      </c>
      <c r="K1003" s="112" t="s">
        <v>1072</v>
      </c>
      <c r="L1003" s="112" t="s">
        <v>1073</v>
      </c>
      <c r="M1003" s="112" t="s">
        <v>478</v>
      </c>
      <c r="N1003" s="113">
        <v>46226.877256944441</v>
      </c>
      <c r="O1003" s="114">
        <v>19002758595</v>
      </c>
      <c r="P1003" s="112">
        <v>0</v>
      </c>
      <c r="Q1003" s="112" t="s">
        <v>1062</v>
      </c>
      <c r="R1003" s="112" t="s">
        <v>1075</v>
      </c>
      <c r="S1003" s="113">
        <v>46248.724629629629</v>
      </c>
      <c r="T1003" s="112" t="s">
        <v>4593</v>
      </c>
      <c r="U1003" s="112" t="s">
        <v>1065</v>
      </c>
      <c r="V1003" s="112" t="s">
        <v>1066</v>
      </c>
      <c r="W1003" s="112" t="s">
        <v>1066</v>
      </c>
      <c r="X1003" s="112" t="s">
        <v>983</v>
      </c>
      <c r="Y1003" s="112" t="s">
        <v>1066</v>
      </c>
      <c r="Z1003" s="112" t="s">
        <v>1078</v>
      </c>
      <c r="AA1003" s="112" t="s">
        <v>1067</v>
      </c>
      <c r="AB1003" s="112" t="s">
        <v>1066</v>
      </c>
      <c r="AC1003" s="112" t="s">
        <v>92</v>
      </c>
      <c r="AD1003" s="112" t="s">
        <v>1066</v>
      </c>
      <c r="AE1003" s="112" t="s">
        <v>1066</v>
      </c>
      <c r="AF1003" s="112" t="s">
        <v>1066</v>
      </c>
      <c r="AG1003" s="112" t="s">
        <v>1066</v>
      </c>
      <c r="AH1003" s="112" t="s">
        <v>1066</v>
      </c>
      <c r="AI1003" s="112" t="s">
        <v>785</v>
      </c>
      <c r="AJ1003" s="112">
        <v>8732927</v>
      </c>
      <c r="AK1003" s="112" t="s">
        <v>40</v>
      </c>
      <c r="AL1003" s="112">
        <v>907349</v>
      </c>
      <c r="AM1003" s="112" t="s">
        <v>1066</v>
      </c>
      <c r="AN1003" s="112" t="s">
        <v>1066</v>
      </c>
    </row>
    <row r="1004" spans="1:40" ht="55.5" customHeight="1" x14ac:dyDescent="0.25">
      <c r="A1004" s="111" t="s">
        <v>708</v>
      </c>
      <c r="B1004" s="112">
        <v>2026</v>
      </c>
      <c r="C1004" s="112" t="s">
        <v>4594</v>
      </c>
      <c r="D1004" s="113">
        <v>45856.4999537037</v>
      </c>
      <c r="E1004" s="112">
        <v>9000387116</v>
      </c>
      <c r="F1004" s="112" t="s">
        <v>43</v>
      </c>
      <c r="G1004" s="112">
        <v>2</v>
      </c>
      <c r="H1004" s="112">
        <v>5800438116</v>
      </c>
      <c r="I1004" s="112" t="s">
        <v>4595</v>
      </c>
      <c r="J1004" s="112" t="s">
        <v>1071</v>
      </c>
      <c r="K1004" s="112" t="s">
        <v>1072</v>
      </c>
      <c r="L1004" s="112" t="s">
        <v>1061</v>
      </c>
      <c r="M1004" s="112" t="s">
        <v>478</v>
      </c>
      <c r="N1004" s="113">
        <v>46632.61513888889</v>
      </c>
      <c r="O1004" s="114">
        <v>19002682460</v>
      </c>
      <c r="P1004" s="112">
        <v>1.284</v>
      </c>
      <c r="Q1004" s="112" t="s">
        <v>1074</v>
      </c>
      <c r="R1004" s="112" t="s">
        <v>1075</v>
      </c>
      <c r="S1004" s="113">
        <v>46247.479317129626</v>
      </c>
      <c r="T1004" s="112" t="s">
        <v>4596</v>
      </c>
      <c r="U1004" s="112" t="s">
        <v>1065</v>
      </c>
      <c r="V1004" s="112" t="s">
        <v>1066</v>
      </c>
      <c r="W1004" s="112" t="s">
        <v>1066</v>
      </c>
      <c r="X1004" s="112" t="s">
        <v>1077</v>
      </c>
      <c r="Y1004" s="112" t="s">
        <v>1066</v>
      </c>
      <c r="Z1004" s="112" t="s">
        <v>1078</v>
      </c>
      <c r="AA1004" s="112" t="s">
        <v>1067</v>
      </c>
      <c r="AB1004" s="112" t="s">
        <v>1066</v>
      </c>
      <c r="AC1004" s="112" t="s">
        <v>92</v>
      </c>
      <c r="AD1004" s="112" t="s">
        <v>1066</v>
      </c>
      <c r="AE1004" s="112" t="s">
        <v>1066</v>
      </c>
      <c r="AF1004" s="112" t="s">
        <v>1066</v>
      </c>
      <c r="AG1004" s="112" t="s">
        <v>1066</v>
      </c>
      <c r="AH1004" s="112" t="s">
        <v>4597</v>
      </c>
      <c r="AI1004" s="112" t="s">
        <v>785</v>
      </c>
      <c r="AJ1004" s="112">
        <v>8711174</v>
      </c>
      <c r="AK1004" s="112" t="s">
        <v>215</v>
      </c>
      <c r="AL1004" s="112">
        <v>859820</v>
      </c>
      <c r="AM1004" s="112" t="s">
        <v>1066</v>
      </c>
      <c r="AN1004" s="112" t="s">
        <v>1066</v>
      </c>
    </row>
    <row r="1005" spans="1:40" ht="55.5" customHeight="1" x14ac:dyDescent="0.25">
      <c r="A1005" s="111" t="s">
        <v>4598</v>
      </c>
      <c r="B1005" s="112">
        <v>2026</v>
      </c>
      <c r="C1005" s="112" t="s">
        <v>4599</v>
      </c>
      <c r="D1005" s="113">
        <v>46052.515729166669</v>
      </c>
      <c r="E1005" s="112">
        <v>300496155</v>
      </c>
      <c r="F1005" s="112" t="s">
        <v>3036</v>
      </c>
      <c r="G1005" s="112">
        <v>3</v>
      </c>
      <c r="H1005" s="112">
        <v>7950004155</v>
      </c>
      <c r="I1005" s="112" t="s">
        <v>4600</v>
      </c>
      <c r="J1005" s="112" t="s">
        <v>1071</v>
      </c>
      <c r="K1005" s="112" t="s">
        <v>1605</v>
      </c>
      <c r="L1005" s="112" t="s">
        <v>1073</v>
      </c>
      <c r="M1005" s="112" t="s">
        <v>478</v>
      </c>
      <c r="N1005" s="113">
        <v>46055.515729166669</v>
      </c>
      <c r="O1005" s="114">
        <v>19002719310</v>
      </c>
      <c r="P1005" s="112">
        <v>0</v>
      </c>
      <c r="Q1005" s="112" t="s">
        <v>1131</v>
      </c>
      <c r="R1005" s="112" t="s">
        <v>1075</v>
      </c>
      <c r="S1005" s="113">
        <v>46056.722916666666</v>
      </c>
      <c r="T1005" s="112" t="s">
        <v>4601</v>
      </c>
      <c r="U1005" s="112" t="s">
        <v>1065</v>
      </c>
      <c r="V1005" s="112" t="s">
        <v>1066</v>
      </c>
      <c r="W1005" s="112" t="s">
        <v>1066</v>
      </c>
      <c r="X1005" s="112" t="s">
        <v>983</v>
      </c>
      <c r="Y1005" s="112" t="s">
        <v>1066</v>
      </c>
      <c r="Z1005" s="112" t="s">
        <v>1133</v>
      </c>
      <c r="AA1005" s="112" t="s">
        <v>1067</v>
      </c>
      <c r="AB1005" s="112" t="s">
        <v>1066</v>
      </c>
      <c r="AC1005" s="112" t="s">
        <v>92</v>
      </c>
      <c r="AD1005" s="112" t="s">
        <v>1066</v>
      </c>
      <c r="AE1005" s="112" t="s">
        <v>1066</v>
      </c>
      <c r="AF1005" s="112" t="s">
        <v>1066</v>
      </c>
      <c r="AG1005" s="112" t="s">
        <v>1066</v>
      </c>
      <c r="AH1005" s="112" t="s">
        <v>1066</v>
      </c>
      <c r="AI1005" s="112" t="s">
        <v>785</v>
      </c>
      <c r="AJ1005" s="112">
        <v>9106192</v>
      </c>
      <c r="AK1005" s="112" t="s">
        <v>204</v>
      </c>
      <c r="AL1005" s="112">
        <v>805567</v>
      </c>
      <c r="AM1005" s="112" t="s">
        <v>1066</v>
      </c>
      <c r="AN1005" s="112" t="s">
        <v>1066</v>
      </c>
    </row>
    <row r="1006" spans="1:40" ht="55.5" customHeight="1" x14ac:dyDescent="0.25">
      <c r="A1006" s="111" t="s">
        <v>4602</v>
      </c>
      <c r="B1006" s="112">
        <v>2026</v>
      </c>
      <c r="C1006" s="112" t="s">
        <v>1057</v>
      </c>
      <c r="D1006" s="113">
        <v>46125.584386574075</v>
      </c>
      <c r="E1006" s="112">
        <v>7936029003</v>
      </c>
      <c r="F1006" s="112" t="s">
        <v>3478</v>
      </c>
      <c r="G1006" s="112">
        <v>2</v>
      </c>
      <c r="H1006" s="112">
        <v>7936029003</v>
      </c>
      <c r="I1006" s="112" t="s">
        <v>4603</v>
      </c>
      <c r="J1006" s="112" t="s">
        <v>1066</v>
      </c>
      <c r="K1006" s="112" t="s">
        <v>1125</v>
      </c>
      <c r="L1006" s="112" t="s">
        <v>1061</v>
      </c>
      <c r="M1006" s="112" t="s">
        <v>478</v>
      </c>
      <c r="N1006" s="113">
        <v>46525.584386574075</v>
      </c>
      <c r="O1006" s="114">
        <v>19002196115</v>
      </c>
      <c r="P1006" s="112">
        <v>2.4969999999999999</v>
      </c>
      <c r="Q1006" s="112" t="s">
        <v>1062</v>
      </c>
      <c r="R1006" s="112" t="s">
        <v>1063</v>
      </c>
      <c r="S1006" s="113">
        <v>46153.734027777777</v>
      </c>
      <c r="T1006" s="112" t="s">
        <v>4604</v>
      </c>
      <c r="U1006" s="112" t="s">
        <v>1065</v>
      </c>
      <c r="V1006" s="112" t="s">
        <v>1066</v>
      </c>
      <c r="W1006" s="112" t="s">
        <v>1066</v>
      </c>
      <c r="X1006" s="112" t="s">
        <v>1066</v>
      </c>
      <c r="Y1006" s="112" t="s">
        <v>1066</v>
      </c>
      <c r="Z1006" s="112" t="s">
        <v>1066</v>
      </c>
      <c r="AA1006" s="112" t="s">
        <v>1067</v>
      </c>
      <c r="AB1006" s="112" t="s">
        <v>1066</v>
      </c>
      <c r="AC1006" s="112" t="s">
        <v>92</v>
      </c>
      <c r="AD1006" s="112" t="s">
        <v>1066</v>
      </c>
      <c r="AE1006" s="112" t="s">
        <v>1066</v>
      </c>
      <c r="AF1006" s="112" t="s">
        <v>1066</v>
      </c>
      <c r="AG1006" s="112" t="s">
        <v>1066</v>
      </c>
      <c r="AH1006" s="112" t="s">
        <v>1066</v>
      </c>
      <c r="AI1006" s="112" t="s">
        <v>785</v>
      </c>
      <c r="AJ1006" s="112">
        <v>8700280</v>
      </c>
      <c r="AK1006" s="112" t="s">
        <v>210</v>
      </c>
      <c r="AL1006" s="112">
        <v>709807</v>
      </c>
      <c r="AM1006" s="112" t="s">
        <v>1066</v>
      </c>
      <c r="AN1006" s="112" t="s">
        <v>1066</v>
      </c>
    </row>
    <row r="1007" spans="1:40" ht="55.5" customHeight="1" x14ac:dyDescent="0.25">
      <c r="A1007" s="111" t="s">
        <v>4605</v>
      </c>
      <c r="B1007" s="112">
        <v>2026</v>
      </c>
      <c r="C1007" s="112" t="s">
        <v>1057</v>
      </c>
      <c r="D1007" s="113">
        <v>46125.614548611113</v>
      </c>
      <c r="E1007" s="112">
        <v>7925325007</v>
      </c>
      <c r="F1007" s="112" t="s">
        <v>2873</v>
      </c>
      <c r="G1007" s="112">
        <v>2</v>
      </c>
      <c r="H1007" s="112">
        <v>7925325007</v>
      </c>
      <c r="I1007" s="112" t="s">
        <v>4606</v>
      </c>
      <c r="J1007" s="112" t="s">
        <v>1066</v>
      </c>
      <c r="K1007" s="112" t="s">
        <v>1125</v>
      </c>
      <c r="L1007" s="112" t="s">
        <v>1061</v>
      </c>
      <c r="M1007" s="112" t="s">
        <v>478</v>
      </c>
      <c r="N1007" s="113">
        <v>46525.614548611113</v>
      </c>
      <c r="O1007" s="114">
        <v>19002203070</v>
      </c>
      <c r="P1007" s="112">
        <v>0</v>
      </c>
      <c r="Q1007" s="112" t="s">
        <v>1062</v>
      </c>
      <c r="R1007" s="112" t="s">
        <v>1063</v>
      </c>
      <c r="S1007" s="113">
        <v>46135.420613425929</v>
      </c>
      <c r="T1007" s="112" t="s">
        <v>4607</v>
      </c>
      <c r="U1007" s="112" t="s">
        <v>1065</v>
      </c>
      <c r="V1007" s="112" t="s">
        <v>1066</v>
      </c>
      <c r="W1007" s="112" t="s">
        <v>1066</v>
      </c>
      <c r="X1007" s="112" t="s">
        <v>1066</v>
      </c>
      <c r="Y1007" s="112" t="s">
        <v>1066</v>
      </c>
      <c r="Z1007" s="112" t="s">
        <v>1066</v>
      </c>
      <c r="AA1007" s="112" t="s">
        <v>1067</v>
      </c>
      <c r="AB1007" s="112" t="s">
        <v>1066</v>
      </c>
      <c r="AC1007" s="112" t="s">
        <v>92</v>
      </c>
      <c r="AD1007" s="112" t="s">
        <v>1066</v>
      </c>
      <c r="AE1007" s="112" t="s">
        <v>1066</v>
      </c>
      <c r="AF1007" s="112" t="s">
        <v>1066</v>
      </c>
      <c r="AG1007" s="112" t="s">
        <v>1066</v>
      </c>
      <c r="AH1007" s="112" t="s">
        <v>1066</v>
      </c>
      <c r="AI1007" s="112" t="s">
        <v>785</v>
      </c>
      <c r="AJ1007" s="112">
        <v>8941753</v>
      </c>
      <c r="AK1007" s="112" t="s">
        <v>100</v>
      </c>
      <c r="AL1007" s="112">
        <v>785549</v>
      </c>
      <c r="AM1007" s="112" t="s">
        <v>1066</v>
      </c>
      <c r="AN1007" s="112" t="s">
        <v>1066</v>
      </c>
    </row>
    <row r="1008" spans="1:40" ht="55.5" customHeight="1" x14ac:dyDescent="0.25">
      <c r="A1008" s="124" t="s">
        <v>4608</v>
      </c>
      <c r="B1008" s="125">
        <v>2026</v>
      </c>
      <c r="C1008" s="125" t="s">
        <v>4501</v>
      </c>
      <c r="D1008" s="126">
        <v>46254.452199074076</v>
      </c>
      <c r="E1008" s="125">
        <v>9005318122</v>
      </c>
      <c r="F1008" s="125" t="s">
        <v>412</v>
      </c>
      <c r="G1008" s="125">
        <v>2</v>
      </c>
      <c r="H1008" s="125">
        <v>7905318122</v>
      </c>
      <c r="I1008" s="125" t="s">
        <v>3236</v>
      </c>
      <c r="J1008" s="125" t="s">
        <v>1157</v>
      </c>
      <c r="K1008" s="125" t="s">
        <v>1158</v>
      </c>
      <c r="L1008" s="125" t="s">
        <v>1084</v>
      </c>
      <c r="M1008" s="125" t="s">
        <v>510</v>
      </c>
      <c r="N1008" s="126">
        <v>46314.452199074076</v>
      </c>
      <c r="O1008" s="127">
        <v>19000092337</v>
      </c>
      <c r="P1008" s="125">
        <v>3.42</v>
      </c>
      <c r="Q1008" s="125" t="s">
        <v>1131</v>
      </c>
      <c r="R1008" s="125" t="s">
        <v>1085</v>
      </c>
      <c r="S1008" s="125" t="s">
        <v>1066</v>
      </c>
      <c r="T1008" s="125" t="s">
        <v>1066</v>
      </c>
      <c r="U1008" s="125" t="s">
        <v>1066</v>
      </c>
      <c r="V1008" s="125" t="s">
        <v>1066</v>
      </c>
      <c r="W1008" s="125" t="s">
        <v>1066</v>
      </c>
      <c r="X1008" s="125" t="s">
        <v>1117</v>
      </c>
      <c r="Y1008" s="125" t="s">
        <v>1066</v>
      </c>
      <c r="Z1008" s="125" t="s">
        <v>1148</v>
      </c>
      <c r="AA1008" s="125" t="s">
        <v>1067</v>
      </c>
      <c r="AB1008" s="125" t="s">
        <v>1066</v>
      </c>
      <c r="AC1008" s="125" t="s">
        <v>92</v>
      </c>
      <c r="AD1008" s="125" t="s">
        <v>1142</v>
      </c>
      <c r="AE1008" s="125" t="s">
        <v>1066</v>
      </c>
      <c r="AF1008" s="125" t="s">
        <v>1066</v>
      </c>
      <c r="AG1008" s="125" t="s">
        <v>1066</v>
      </c>
      <c r="AH1008" s="125" t="s">
        <v>1066</v>
      </c>
      <c r="AI1008" s="125" t="s">
        <v>785</v>
      </c>
      <c r="AJ1008" s="125">
        <v>8875152</v>
      </c>
      <c r="AK1008" s="125" t="s">
        <v>264</v>
      </c>
      <c r="AL1008" s="125">
        <v>790695</v>
      </c>
      <c r="AM1008" s="125" t="s">
        <v>1066</v>
      </c>
      <c r="AN1008" s="125" t="s">
        <v>1066</v>
      </c>
    </row>
    <row r="1009" spans="1:40" ht="55.5" customHeight="1" x14ac:dyDescent="0.25">
      <c r="A1009" s="111" t="s">
        <v>4609</v>
      </c>
      <c r="B1009" s="112">
        <v>2026</v>
      </c>
      <c r="C1009" s="112" t="s">
        <v>1089</v>
      </c>
      <c r="D1009" s="113">
        <v>46028.453888888886</v>
      </c>
      <c r="E1009" s="112">
        <v>7936787029</v>
      </c>
      <c r="F1009" s="112" t="s">
        <v>1150</v>
      </c>
      <c r="G1009" s="112">
        <v>3</v>
      </c>
      <c r="H1009" s="112">
        <v>7936787029</v>
      </c>
      <c r="I1009" s="112" t="s">
        <v>4610</v>
      </c>
      <c r="J1009" s="112" t="s">
        <v>1092</v>
      </c>
      <c r="K1009" s="112" t="s">
        <v>1093</v>
      </c>
      <c r="L1009" s="112" t="s">
        <v>1061</v>
      </c>
      <c r="M1009" s="112" t="s">
        <v>478</v>
      </c>
      <c r="N1009" s="113">
        <v>46428.453888888886</v>
      </c>
      <c r="O1009" s="114">
        <v>19002207683</v>
      </c>
      <c r="P1009" s="112">
        <v>127</v>
      </c>
      <c r="Q1009" s="112" t="s">
        <v>1062</v>
      </c>
      <c r="R1009" s="112" t="s">
        <v>1063</v>
      </c>
      <c r="S1009" s="113">
        <v>46034.429166666669</v>
      </c>
      <c r="T1009" s="112" t="s">
        <v>4611</v>
      </c>
      <c r="U1009" s="112" t="s">
        <v>1065</v>
      </c>
      <c r="V1009" s="112" t="s">
        <v>1066</v>
      </c>
      <c r="W1009" s="112" t="s">
        <v>1066</v>
      </c>
      <c r="X1009" s="112" t="s">
        <v>1066</v>
      </c>
      <c r="Y1009" s="112" t="s">
        <v>1066</v>
      </c>
      <c r="Z1009" s="112" t="s">
        <v>1066</v>
      </c>
      <c r="AA1009" s="112" t="s">
        <v>1067</v>
      </c>
      <c r="AB1009" s="112" t="s">
        <v>1066</v>
      </c>
      <c r="AC1009" s="112" t="s">
        <v>92</v>
      </c>
      <c r="AD1009" s="112" t="s">
        <v>1066</v>
      </c>
      <c r="AE1009" s="112" t="s">
        <v>1066</v>
      </c>
      <c r="AF1009" s="112" t="s">
        <v>1066</v>
      </c>
      <c r="AG1009" s="112" t="s">
        <v>1066</v>
      </c>
      <c r="AH1009" s="112" t="s">
        <v>1066</v>
      </c>
      <c r="AI1009" s="112" t="s">
        <v>785</v>
      </c>
      <c r="AJ1009" s="112">
        <v>8556732</v>
      </c>
      <c r="AK1009" s="112" t="s">
        <v>415</v>
      </c>
      <c r="AL1009" s="112">
        <v>782215</v>
      </c>
      <c r="AM1009" s="112" t="s">
        <v>1066</v>
      </c>
      <c r="AN1009" s="112" t="s">
        <v>1066</v>
      </c>
    </row>
    <row r="1010" spans="1:40" ht="55.5" customHeight="1" x14ac:dyDescent="0.25">
      <c r="A1010" s="111" t="s">
        <v>4612</v>
      </c>
      <c r="B1010" s="112">
        <v>2026</v>
      </c>
      <c r="C1010" s="112" t="s">
        <v>4613</v>
      </c>
      <c r="D1010" s="113">
        <v>46136.325590277775</v>
      </c>
      <c r="E1010" s="112">
        <v>7924883090</v>
      </c>
      <c r="F1010" s="112" t="s">
        <v>351</v>
      </c>
      <c r="G1010" s="112">
        <v>2</v>
      </c>
      <c r="H1010" s="112">
        <v>7924883090</v>
      </c>
      <c r="I1010" s="112" t="s">
        <v>2207</v>
      </c>
      <c r="J1010" s="112" t="s">
        <v>1071</v>
      </c>
      <c r="K1010" s="112" t="s">
        <v>1072</v>
      </c>
      <c r="L1010" s="112" t="s">
        <v>1073</v>
      </c>
      <c r="M1010" s="112" t="s">
        <v>478</v>
      </c>
      <c r="N1010" s="113">
        <v>46139.325590277775</v>
      </c>
      <c r="O1010" s="114">
        <v>19002205821</v>
      </c>
      <c r="P1010" s="112">
        <v>0</v>
      </c>
      <c r="Q1010" s="112" t="s">
        <v>1062</v>
      </c>
      <c r="R1010" s="112" t="s">
        <v>1324</v>
      </c>
      <c r="S1010" s="113">
        <v>46153.739849537036</v>
      </c>
      <c r="T1010" s="112" t="s">
        <v>4614</v>
      </c>
      <c r="U1010" s="112" t="s">
        <v>1065</v>
      </c>
      <c r="V1010" s="112" t="s">
        <v>1066</v>
      </c>
      <c r="W1010" s="112" t="s">
        <v>1066</v>
      </c>
      <c r="X1010" s="112" t="s">
        <v>983</v>
      </c>
      <c r="Y1010" s="112" t="s">
        <v>1066</v>
      </c>
      <c r="Z1010" s="112" t="s">
        <v>1078</v>
      </c>
      <c r="AA1010" s="112" t="s">
        <v>1067</v>
      </c>
      <c r="AB1010" s="112" t="s">
        <v>1066</v>
      </c>
      <c r="AC1010" s="112" t="s">
        <v>92</v>
      </c>
      <c r="AD1010" s="112" t="s">
        <v>1066</v>
      </c>
      <c r="AE1010" s="112" t="s">
        <v>1066</v>
      </c>
      <c r="AF1010" s="112" t="s">
        <v>1066</v>
      </c>
      <c r="AG1010" s="112" t="s">
        <v>1066</v>
      </c>
      <c r="AH1010" s="112" t="s">
        <v>1066</v>
      </c>
      <c r="AI1010" s="112" t="s">
        <v>785</v>
      </c>
      <c r="AJ1010" s="112">
        <v>9293024</v>
      </c>
      <c r="AK1010" s="112" t="s">
        <v>2209</v>
      </c>
      <c r="AL1010" s="112">
        <v>869527</v>
      </c>
      <c r="AM1010" s="112" t="s">
        <v>1066</v>
      </c>
      <c r="AN1010" s="112" t="s">
        <v>1066</v>
      </c>
    </row>
    <row r="1011" spans="1:40" ht="55.5" customHeight="1" x14ac:dyDescent="0.25">
      <c r="A1011" s="111" t="s">
        <v>4615</v>
      </c>
      <c r="B1011" s="112">
        <v>2026</v>
      </c>
      <c r="C1011" s="112" t="s">
        <v>4616</v>
      </c>
      <c r="D1011" s="113">
        <v>46151.622789351852</v>
      </c>
      <c r="E1011" s="112">
        <v>7960870193</v>
      </c>
      <c r="F1011" s="112" t="s">
        <v>370</v>
      </c>
      <c r="G1011" s="112">
        <v>3</v>
      </c>
      <c r="H1011" s="112">
        <v>7960870193</v>
      </c>
      <c r="I1011" s="112" t="s">
        <v>4617</v>
      </c>
      <c r="J1011" s="112" t="s">
        <v>1071</v>
      </c>
      <c r="K1011" s="112" t="s">
        <v>1994</v>
      </c>
      <c r="L1011" s="112" t="s">
        <v>1073</v>
      </c>
      <c r="M1011" s="112" t="s">
        <v>478</v>
      </c>
      <c r="N1011" s="113">
        <v>46154.622789351852</v>
      </c>
      <c r="O1011" s="114">
        <v>19002790564</v>
      </c>
      <c r="P1011" s="112">
        <v>0</v>
      </c>
      <c r="Q1011" s="112" t="s">
        <v>1062</v>
      </c>
      <c r="R1011" s="112" t="s">
        <v>1075</v>
      </c>
      <c r="S1011" s="113">
        <v>46168.656944444447</v>
      </c>
      <c r="T1011" s="112" t="s">
        <v>4618</v>
      </c>
      <c r="U1011" s="112" t="s">
        <v>1065</v>
      </c>
      <c r="V1011" s="112" t="s">
        <v>1066</v>
      </c>
      <c r="W1011" s="112" t="s">
        <v>1066</v>
      </c>
      <c r="X1011" s="112" t="s">
        <v>1066</v>
      </c>
      <c r="Y1011" s="112" t="s">
        <v>1066</v>
      </c>
      <c r="Z1011" s="112" t="s">
        <v>1066</v>
      </c>
      <c r="AA1011" s="112" t="s">
        <v>1067</v>
      </c>
      <c r="AB1011" s="112" t="s">
        <v>1066</v>
      </c>
      <c r="AC1011" s="112" t="s">
        <v>92</v>
      </c>
      <c r="AD1011" s="112" t="s">
        <v>1066</v>
      </c>
      <c r="AE1011" s="112" t="s">
        <v>1066</v>
      </c>
      <c r="AF1011" s="112" t="s">
        <v>1066</v>
      </c>
      <c r="AG1011" s="112" t="s">
        <v>1066</v>
      </c>
      <c r="AH1011" s="112" t="s">
        <v>1066</v>
      </c>
      <c r="AI1011" s="112" t="s">
        <v>785</v>
      </c>
      <c r="AJ1011" s="112">
        <v>9096319</v>
      </c>
      <c r="AK1011" s="112" t="s">
        <v>369</v>
      </c>
      <c r="AL1011" s="112">
        <v>970939</v>
      </c>
      <c r="AM1011" s="112" t="s">
        <v>1066</v>
      </c>
      <c r="AN1011" s="112" t="s">
        <v>1066</v>
      </c>
    </row>
    <row r="1012" spans="1:40" ht="55.5" customHeight="1" x14ac:dyDescent="0.25">
      <c r="A1012" s="111" t="s">
        <v>4619</v>
      </c>
      <c r="B1012" s="112">
        <v>2026</v>
      </c>
      <c r="C1012" s="112" t="s">
        <v>4620</v>
      </c>
      <c r="D1012" s="113">
        <v>46094.74759259259</v>
      </c>
      <c r="E1012" s="112">
        <v>7925868030</v>
      </c>
      <c r="F1012" s="112" t="s">
        <v>3342</v>
      </c>
      <c r="G1012" s="112">
        <v>3</v>
      </c>
      <c r="H1012" s="112">
        <v>7925868030</v>
      </c>
      <c r="I1012" s="112" t="s">
        <v>4504</v>
      </c>
      <c r="J1012" s="112" t="s">
        <v>1059</v>
      </c>
      <c r="K1012" s="112" t="s">
        <v>1060</v>
      </c>
      <c r="L1012" s="112" t="s">
        <v>1061</v>
      </c>
      <c r="M1012" s="112" t="s">
        <v>478</v>
      </c>
      <c r="N1012" s="113">
        <v>46494.74759259259</v>
      </c>
      <c r="O1012" s="114">
        <v>19002206291</v>
      </c>
      <c r="P1012" s="112">
        <v>0</v>
      </c>
      <c r="Q1012" s="112" t="s">
        <v>1062</v>
      </c>
      <c r="R1012" s="112" t="s">
        <v>1206</v>
      </c>
      <c r="S1012" s="113">
        <v>46106.733391203707</v>
      </c>
      <c r="T1012" s="112" t="s">
        <v>4621</v>
      </c>
      <c r="U1012" s="112" t="s">
        <v>1065</v>
      </c>
      <c r="V1012" s="112" t="s">
        <v>1066</v>
      </c>
      <c r="W1012" s="112" t="s">
        <v>1066</v>
      </c>
      <c r="X1012" s="112" t="s">
        <v>1066</v>
      </c>
      <c r="Y1012" s="112" t="s">
        <v>1066</v>
      </c>
      <c r="Z1012" s="112" t="s">
        <v>1066</v>
      </c>
      <c r="AA1012" s="112" t="s">
        <v>1208</v>
      </c>
      <c r="AB1012" s="112" t="s">
        <v>1066</v>
      </c>
      <c r="AC1012" s="112" t="s">
        <v>92</v>
      </c>
      <c r="AD1012" s="112" t="s">
        <v>1066</v>
      </c>
      <c r="AE1012" s="112" t="s">
        <v>1066</v>
      </c>
      <c r="AF1012" s="112" t="s">
        <v>1066</v>
      </c>
      <c r="AG1012" s="112" t="s">
        <v>1066</v>
      </c>
      <c r="AH1012" s="112" t="s">
        <v>1066</v>
      </c>
      <c r="AI1012" s="112" t="s">
        <v>785</v>
      </c>
      <c r="AJ1012" s="112">
        <v>9290325</v>
      </c>
      <c r="AK1012" s="112" t="s">
        <v>2051</v>
      </c>
      <c r="AL1012" s="112">
        <v>773105</v>
      </c>
      <c r="AM1012" s="112" t="s">
        <v>1066</v>
      </c>
      <c r="AN1012" s="112" t="s">
        <v>1066</v>
      </c>
    </row>
    <row r="1013" spans="1:40" ht="55.5" customHeight="1" x14ac:dyDescent="0.25">
      <c r="A1013" s="111" t="s">
        <v>4622</v>
      </c>
      <c r="B1013" s="112">
        <v>2026</v>
      </c>
      <c r="C1013" s="112" t="s">
        <v>4623</v>
      </c>
      <c r="D1013" s="113">
        <v>46098.42355324074</v>
      </c>
      <c r="E1013" s="112">
        <v>9007747122</v>
      </c>
      <c r="F1013" s="112" t="s">
        <v>4624</v>
      </c>
      <c r="G1013" s="112">
        <v>3</v>
      </c>
      <c r="H1013" s="112">
        <v>7931613122</v>
      </c>
      <c r="I1013" s="112" t="s">
        <v>4625</v>
      </c>
      <c r="J1013" s="112" t="s">
        <v>1071</v>
      </c>
      <c r="K1013" s="112" t="s">
        <v>1353</v>
      </c>
      <c r="L1013" s="112" t="s">
        <v>1073</v>
      </c>
      <c r="M1013" s="112" t="s">
        <v>478</v>
      </c>
      <c r="N1013" s="113">
        <v>46101.42355324074</v>
      </c>
      <c r="O1013" s="114">
        <v>19001283827</v>
      </c>
      <c r="P1013" s="112">
        <v>2.101</v>
      </c>
      <c r="Q1013" s="112" t="s">
        <v>1131</v>
      </c>
      <c r="R1013" s="112" t="s">
        <v>1297</v>
      </c>
      <c r="S1013" s="113">
        <v>46104.655671296299</v>
      </c>
      <c r="T1013" s="112" t="s">
        <v>4626</v>
      </c>
      <c r="U1013" s="112" t="s">
        <v>1065</v>
      </c>
      <c r="V1013" s="112" t="s">
        <v>1066</v>
      </c>
      <c r="W1013" s="112" t="s">
        <v>1066</v>
      </c>
      <c r="X1013" s="112" t="s">
        <v>983</v>
      </c>
      <c r="Y1013" s="112" t="s">
        <v>1066</v>
      </c>
      <c r="Z1013" s="112" t="s">
        <v>1101</v>
      </c>
      <c r="AA1013" s="112" t="s">
        <v>1067</v>
      </c>
      <c r="AB1013" s="112" t="s">
        <v>1066</v>
      </c>
      <c r="AC1013" s="112" t="s">
        <v>92</v>
      </c>
      <c r="AD1013" s="112" t="s">
        <v>1142</v>
      </c>
      <c r="AE1013" s="112" t="s">
        <v>1066</v>
      </c>
      <c r="AF1013" s="112" t="s">
        <v>1066</v>
      </c>
      <c r="AG1013" s="112" t="s">
        <v>1066</v>
      </c>
      <c r="AH1013" s="112" t="s">
        <v>1066</v>
      </c>
      <c r="AI1013" s="112" t="s">
        <v>785</v>
      </c>
      <c r="AJ1013" s="112">
        <v>8867114</v>
      </c>
      <c r="AK1013" s="112" t="s">
        <v>264</v>
      </c>
      <c r="AL1013" s="112">
        <v>793840</v>
      </c>
      <c r="AM1013" s="112" t="s">
        <v>1066</v>
      </c>
      <c r="AN1013" s="112" t="s">
        <v>1066</v>
      </c>
    </row>
    <row r="1014" spans="1:40" ht="55.5" customHeight="1" x14ac:dyDescent="0.25">
      <c r="A1014" s="111" t="s">
        <v>4627</v>
      </c>
      <c r="B1014" s="112">
        <v>2026</v>
      </c>
      <c r="C1014" s="112" t="s">
        <v>1210</v>
      </c>
      <c r="D1014" s="113">
        <v>46114.608900462961</v>
      </c>
      <c r="E1014" s="112">
        <v>7910027196</v>
      </c>
      <c r="F1014" s="112" t="s">
        <v>234</v>
      </c>
      <c r="G1014" s="112">
        <v>3</v>
      </c>
      <c r="H1014" s="112">
        <v>7910027196</v>
      </c>
      <c r="I1014" s="112" t="s">
        <v>1608</v>
      </c>
      <c r="J1014" s="112" t="s">
        <v>1066</v>
      </c>
      <c r="K1014" s="112" t="s">
        <v>1125</v>
      </c>
      <c r="L1014" s="112" t="s">
        <v>1061</v>
      </c>
      <c r="M1014" s="112" t="s">
        <v>478</v>
      </c>
      <c r="N1014" s="113">
        <v>46514.608900462961</v>
      </c>
      <c r="O1014" s="114">
        <v>19002212975</v>
      </c>
      <c r="P1014" s="112">
        <v>211</v>
      </c>
      <c r="Q1014" s="112" t="s">
        <v>1062</v>
      </c>
      <c r="R1014" s="112" t="s">
        <v>1063</v>
      </c>
      <c r="S1014" s="113">
        <v>46190.627534722225</v>
      </c>
      <c r="T1014" s="112" t="s">
        <v>1248</v>
      </c>
      <c r="U1014" s="112" t="s">
        <v>1065</v>
      </c>
      <c r="V1014" s="112" t="s">
        <v>1066</v>
      </c>
      <c r="W1014" s="112" t="s">
        <v>1066</v>
      </c>
      <c r="X1014" s="112" t="s">
        <v>1066</v>
      </c>
      <c r="Y1014" s="112" t="s">
        <v>1066</v>
      </c>
      <c r="Z1014" s="112" t="s">
        <v>1066</v>
      </c>
      <c r="AA1014" s="112" t="s">
        <v>1067</v>
      </c>
      <c r="AB1014" s="112" t="s">
        <v>1066</v>
      </c>
      <c r="AC1014" s="112" t="s">
        <v>92</v>
      </c>
      <c r="AD1014" s="112" t="s">
        <v>1066</v>
      </c>
      <c r="AE1014" s="112" t="s">
        <v>1066</v>
      </c>
      <c r="AF1014" s="112" t="s">
        <v>1066</v>
      </c>
      <c r="AG1014" s="112" t="s">
        <v>1066</v>
      </c>
      <c r="AH1014" s="112" t="s">
        <v>1066</v>
      </c>
      <c r="AI1014" s="112" t="s">
        <v>785</v>
      </c>
      <c r="AJ1014" s="112">
        <v>8859703</v>
      </c>
      <c r="AK1014" s="112" t="s">
        <v>233</v>
      </c>
      <c r="AL1014" s="112">
        <v>876869</v>
      </c>
      <c r="AM1014" s="112" t="s">
        <v>1066</v>
      </c>
      <c r="AN1014" s="112" t="s">
        <v>1066</v>
      </c>
    </row>
    <row r="1015" spans="1:40" ht="55.5" customHeight="1" x14ac:dyDescent="0.25">
      <c r="A1015" s="120" t="s">
        <v>4628</v>
      </c>
      <c r="B1015" s="121">
        <v>2026</v>
      </c>
      <c r="C1015" s="121" t="s">
        <v>1210</v>
      </c>
      <c r="D1015" s="122">
        <v>46114.608900462961</v>
      </c>
      <c r="E1015" s="121">
        <v>7900618193</v>
      </c>
      <c r="F1015" s="121" t="s">
        <v>370</v>
      </c>
      <c r="G1015" s="121">
        <v>2</v>
      </c>
      <c r="H1015" s="121">
        <v>7900618193</v>
      </c>
      <c r="I1015" s="121" t="s">
        <v>4629</v>
      </c>
      <c r="J1015" s="121" t="s">
        <v>1066</v>
      </c>
      <c r="K1015" s="121" t="s">
        <v>1125</v>
      </c>
      <c r="L1015" s="121" t="s">
        <v>1073</v>
      </c>
      <c r="M1015" s="121" t="s">
        <v>1116</v>
      </c>
      <c r="N1015" s="122">
        <v>46117.608900462961</v>
      </c>
      <c r="O1015" s="123">
        <v>19002219190</v>
      </c>
      <c r="P1015" s="121">
        <v>2.9529999999999998</v>
      </c>
      <c r="Q1015" s="121" t="s">
        <v>1062</v>
      </c>
      <c r="R1015" s="121" t="s">
        <v>1075</v>
      </c>
      <c r="S1015" s="122">
        <v>46170.692835648151</v>
      </c>
      <c r="T1015" s="121" t="s">
        <v>1066</v>
      </c>
      <c r="U1015" s="121" t="s">
        <v>1066</v>
      </c>
      <c r="V1015" s="121" t="s">
        <v>1066</v>
      </c>
      <c r="W1015" s="121" t="s">
        <v>1066</v>
      </c>
      <c r="X1015" s="121" t="s">
        <v>1066</v>
      </c>
      <c r="Y1015" s="121" t="s">
        <v>1066</v>
      </c>
      <c r="Z1015" s="121" t="s">
        <v>1066</v>
      </c>
      <c r="AA1015" s="121" t="s">
        <v>1067</v>
      </c>
      <c r="AB1015" s="121" t="s">
        <v>1066</v>
      </c>
      <c r="AC1015" s="121" t="s">
        <v>92</v>
      </c>
      <c r="AD1015" s="121" t="s">
        <v>1066</v>
      </c>
      <c r="AE1015" s="121" t="s">
        <v>1066</v>
      </c>
      <c r="AF1015" s="121" t="s">
        <v>1066</v>
      </c>
      <c r="AG1015" s="121" t="s">
        <v>1066</v>
      </c>
      <c r="AH1015" s="121" t="s">
        <v>1066</v>
      </c>
      <c r="AI1015" s="121" t="s">
        <v>785</v>
      </c>
      <c r="AJ1015" s="121">
        <v>9115173</v>
      </c>
      <c r="AK1015" s="121" t="s">
        <v>369</v>
      </c>
      <c r="AL1015" s="121">
        <v>964332</v>
      </c>
      <c r="AM1015" s="121" t="s">
        <v>1066</v>
      </c>
      <c r="AN1015" s="121" t="s">
        <v>1066</v>
      </c>
    </row>
    <row r="1016" spans="1:40" ht="55.5" customHeight="1" x14ac:dyDescent="0.25">
      <c r="A1016" s="124" t="s">
        <v>428</v>
      </c>
      <c r="B1016" s="125">
        <v>2026</v>
      </c>
      <c r="C1016" s="125" t="s">
        <v>4630</v>
      </c>
      <c r="D1016" s="126">
        <v>46241.426157407404</v>
      </c>
      <c r="E1016" s="125">
        <v>7925727002</v>
      </c>
      <c r="F1016" s="125" t="s">
        <v>429</v>
      </c>
      <c r="G1016" s="125">
        <v>1</v>
      </c>
      <c r="H1016" s="125">
        <v>7925727002</v>
      </c>
      <c r="I1016" s="125" t="s">
        <v>4631</v>
      </c>
      <c r="J1016" s="125" t="s">
        <v>1071</v>
      </c>
      <c r="K1016" s="125" t="s">
        <v>1115</v>
      </c>
      <c r="L1016" s="125" t="s">
        <v>1073</v>
      </c>
      <c r="M1016" s="125" t="s">
        <v>510</v>
      </c>
      <c r="N1016" s="126">
        <v>46244.426157407404</v>
      </c>
      <c r="O1016" s="127">
        <v>19002225714</v>
      </c>
      <c r="P1016" s="125">
        <v>1.502</v>
      </c>
      <c r="Q1016" s="125" t="s">
        <v>1062</v>
      </c>
      <c r="R1016" s="125" t="s">
        <v>1075</v>
      </c>
      <c r="S1016" s="125" t="s">
        <v>1066</v>
      </c>
      <c r="T1016" s="125" t="s">
        <v>1066</v>
      </c>
      <c r="U1016" s="125" t="s">
        <v>1066</v>
      </c>
      <c r="V1016" s="125" t="s">
        <v>1066</v>
      </c>
      <c r="W1016" s="125" t="s">
        <v>1066</v>
      </c>
      <c r="X1016" s="125" t="s">
        <v>983</v>
      </c>
      <c r="Y1016" s="125" t="s">
        <v>1066</v>
      </c>
      <c r="Z1016" s="125" t="s">
        <v>4632</v>
      </c>
      <c r="AA1016" s="125" t="s">
        <v>1067</v>
      </c>
      <c r="AB1016" s="125" t="s">
        <v>1066</v>
      </c>
      <c r="AC1016" s="125" t="s">
        <v>92</v>
      </c>
      <c r="AD1016" s="125" t="s">
        <v>1066</v>
      </c>
      <c r="AE1016" s="125" t="s">
        <v>1066</v>
      </c>
      <c r="AF1016" s="125" t="s">
        <v>1066</v>
      </c>
      <c r="AG1016" s="125" t="s">
        <v>1066</v>
      </c>
      <c r="AH1016" s="125" t="s">
        <v>1066</v>
      </c>
      <c r="AI1016" s="125" t="s">
        <v>785</v>
      </c>
      <c r="AJ1016" s="125">
        <v>9299311</v>
      </c>
      <c r="AK1016" s="125" t="s">
        <v>259</v>
      </c>
      <c r="AL1016" s="125">
        <v>894956</v>
      </c>
      <c r="AM1016" s="125" t="s">
        <v>1066</v>
      </c>
      <c r="AN1016" s="125" t="s">
        <v>1066</v>
      </c>
    </row>
    <row r="1017" spans="1:40" ht="55.5" customHeight="1" x14ac:dyDescent="0.25">
      <c r="A1017" s="111" t="s">
        <v>4633</v>
      </c>
      <c r="B1017" s="112">
        <v>2026</v>
      </c>
      <c r="C1017" s="112" t="s">
        <v>4634</v>
      </c>
      <c r="D1017" s="113">
        <v>46030.729050925926</v>
      </c>
      <c r="E1017" s="112">
        <v>9025719023</v>
      </c>
      <c r="F1017" s="112" t="s">
        <v>2596</v>
      </c>
      <c r="G1017" s="112">
        <v>3</v>
      </c>
      <c r="H1017" s="112">
        <v>7925719023</v>
      </c>
      <c r="I1017" s="112" t="s">
        <v>4635</v>
      </c>
      <c r="J1017" s="112" t="s">
        <v>1071</v>
      </c>
      <c r="K1017" s="112" t="s">
        <v>1296</v>
      </c>
      <c r="L1017" s="112" t="s">
        <v>1073</v>
      </c>
      <c r="M1017" s="112" t="s">
        <v>478</v>
      </c>
      <c r="N1017" s="113">
        <v>46033.887662037036</v>
      </c>
      <c r="O1017" s="114">
        <v>19001236197</v>
      </c>
      <c r="P1017" s="112">
        <v>0</v>
      </c>
      <c r="Q1017" s="112" t="s">
        <v>1131</v>
      </c>
      <c r="R1017" s="112" t="s">
        <v>1297</v>
      </c>
      <c r="S1017" s="113">
        <v>46035.724212962959</v>
      </c>
      <c r="T1017" s="112" t="s">
        <v>4636</v>
      </c>
      <c r="U1017" s="112" t="s">
        <v>1065</v>
      </c>
      <c r="V1017" s="112" t="s">
        <v>1066</v>
      </c>
      <c r="W1017" s="112" t="s">
        <v>1066</v>
      </c>
      <c r="X1017" s="112" t="s">
        <v>983</v>
      </c>
      <c r="Y1017" s="112" t="s">
        <v>1066</v>
      </c>
      <c r="Z1017" s="112" t="s">
        <v>1148</v>
      </c>
      <c r="AA1017" s="112" t="s">
        <v>1067</v>
      </c>
      <c r="AB1017" s="112" t="s">
        <v>1066</v>
      </c>
      <c r="AC1017" s="112" t="s">
        <v>92</v>
      </c>
      <c r="AD1017" s="112" t="s">
        <v>1142</v>
      </c>
      <c r="AE1017" s="112" t="s">
        <v>1066</v>
      </c>
      <c r="AF1017" s="112" t="s">
        <v>1066</v>
      </c>
      <c r="AG1017" s="112" t="s">
        <v>1066</v>
      </c>
      <c r="AH1017" s="112" t="s">
        <v>4637</v>
      </c>
      <c r="AI1017" s="112" t="s">
        <v>785</v>
      </c>
      <c r="AJ1017" s="112">
        <v>9108676</v>
      </c>
      <c r="AK1017" s="112" t="s">
        <v>94</v>
      </c>
      <c r="AL1017" s="112">
        <v>777990</v>
      </c>
      <c r="AM1017" s="112" t="s">
        <v>1066</v>
      </c>
      <c r="AN1017" s="112" t="s">
        <v>1066</v>
      </c>
    </row>
    <row r="1018" spans="1:40" ht="55.5" customHeight="1" x14ac:dyDescent="0.25">
      <c r="A1018" s="111" t="s">
        <v>4638</v>
      </c>
      <c r="B1018" s="112">
        <v>2026</v>
      </c>
      <c r="C1018" s="112" t="s">
        <v>4639</v>
      </c>
      <c r="D1018" s="113">
        <v>46079.554363425923</v>
      </c>
      <c r="E1018" s="112">
        <v>8800933084</v>
      </c>
      <c r="F1018" s="112" t="s">
        <v>153</v>
      </c>
      <c r="G1018" s="112">
        <v>2</v>
      </c>
      <c r="H1018" s="112">
        <v>7955986084</v>
      </c>
      <c r="I1018" s="112" t="s">
        <v>3350</v>
      </c>
      <c r="J1018" s="112" t="s">
        <v>1157</v>
      </c>
      <c r="K1018" s="112" t="s">
        <v>1417</v>
      </c>
      <c r="L1018" s="112" t="s">
        <v>1084</v>
      </c>
      <c r="M1018" s="112" t="s">
        <v>478</v>
      </c>
      <c r="N1018" s="113">
        <v>46139.554363425923</v>
      </c>
      <c r="O1018" s="114">
        <v>19002736027</v>
      </c>
      <c r="P1018" s="112">
        <v>445</v>
      </c>
      <c r="Q1018" s="112" t="s">
        <v>1131</v>
      </c>
      <c r="R1018" s="112" t="s">
        <v>1085</v>
      </c>
      <c r="S1018" s="113">
        <v>46121.645138888889</v>
      </c>
      <c r="T1018" s="112" t="s">
        <v>4640</v>
      </c>
      <c r="U1018" s="112" t="s">
        <v>1065</v>
      </c>
      <c r="V1018" s="112" t="s">
        <v>1066</v>
      </c>
      <c r="W1018" s="112" t="s">
        <v>1066</v>
      </c>
      <c r="X1018" s="112" t="s">
        <v>983</v>
      </c>
      <c r="Y1018" s="112" t="s">
        <v>1066</v>
      </c>
      <c r="Z1018" s="112" t="s">
        <v>1133</v>
      </c>
      <c r="AA1018" s="112" t="s">
        <v>1208</v>
      </c>
      <c r="AB1018" s="112" t="s">
        <v>1066</v>
      </c>
      <c r="AC1018" s="112" t="s">
        <v>92</v>
      </c>
      <c r="AD1018" s="112" t="s">
        <v>1066</v>
      </c>
      <c r="AE1018" s="112" t="s">
        <v>1066</v>
      </c>
      <c r="AF1018" s="112" t="s">
        <v>1066</v>
      </c>
      <c r="AG1018" s="112" t="s">
        <v>1066</v>
      </c>
      <c r="AH1018" s="112" t="s">
        <v>1066</v>
      </c>
      <c r="AI1018" s="112" t="s">
        <v>785</v>
      </c>
      <c r="AJ1018" s="112">
        <v>8916924</v>
      </c>
      <c r="AK1018" s="112" t="s">
        <v>1311</v>
      </c>
      <c r="AL1018" s="112">
        <v>695371</v>
      </c>
      <c r="AM1018" s="112" t="s">
        <v>1066</v>
      </c>
      <c r="AN1018" s="112" t="s">
        <v>1066</v>
      </c>
    </row>
    <row r="1019" spans="1:40" ht="55.5" customHeight="1" x14ac:dyDescent="0.25">
      <c r="A1019" s="111" t="s">
        <v>4641</v>
      </c>
      <c r="B1019" s="112">
        <v>2026</v>
      </c>
      <c r="C1019" s="112" t="s">
        <v>4642</v>
      </c>
      <c r="D1019" s="113">
        <v>46111.861134259256</v>
      </c>
      <c r="E1019" s="112">
        <v>7950296049</v>
      </c>
      <c r="F1019" s="112" t="s">
        <v>380</v>
      </c>
      <c r="G1019" s="112">
        <v>2</v>
      </c>
      <c r="H1019" s="112">
        <v>7950296049</v>
      </c>
      <c r="I1019" s="112" t="s">
        <v>4539</v>
      </c>
      <c r="J1019" s="112" t="s">
        <v>1071</v>
      </c>
      <c r="K1019" s="112" t="s">
        <v>1296</v>
      </c>
      <c r="L1019" s="112" t="s">
        <v>1073</v>
      </c>
      <c r="M1019" s="112" t="s">
        <v>478</v>
      </c>
      <c r="N1019" s="113">
        <v>46114.861134259256</v>
      </c>
      <c r="O1019" s="114">
        <v>19002695977</v>
      </c>
      <c r="P1019" s="112">
        <v>196</v>
      </c>
      <c r="Q1019" s="112" t="s">
        <v>1062</v>
      </c>
      <c r="R1019" s="112" t="s">
        <v>1075</v>
      </c>
      <c r="S1019" s="113">
        <v>46127.726712962962</v>
      </c>
      <c r="T1019" s="112" t="s">
        <v>4643</v>
      </c>
      <c r="U1019" s="112" t="s">
        <v>1065</v>
      </c>
      <c r="V1019" s="112" t="s">
        <v>1066</v>
      </c>
      <c r="W1019" s="112" t="s">
        <v>1066</v>
      </c>
      <c r="X1019" s="112" t="s">
        <v>983</v>
      </c>
      <c r="Y1019" s="112" t="s">
        <v>1066</v>
      </c>
      <c r="Z1019" s="112" t="s">
        <v>4644</v>
      </c>
      <c r="AA1019" s="112" t="s">
        <v>1067</v>
      </c>
      <c r="AB1019" s="112" t="s">
        <v>1066</v>
      </c>
      <c r="AC1019" s="112" t="s">
        <v>92</v>
      </c>
      <c r="AD1019" s="112" t="s">
        <v>1066</v>
      </c>
      <c r="AE1019" s="112" t="s">
        <v>1066</v>
      </c>
      <c r="AF1019" s="112" t="s">
        <v>1066</v>
      </c>
      <c r="AG1019" s="112" t="s">
        <v>1066</v>
      </c>
      <c r="AH1019" s="112" t="s">
        <v>1066</v>
      </c>
      <c r="AI1019" s="112" t="s">
        <v>785</v>
      </c>
      <c r="AJ1019" s="112">
        <v>8602625</v>
      </c>
      <c r="AK1019" s="112" t="s">
        <v>64</v>
      </c>
      <c r="AL1019" s="112">
        <v>1001040</v>
      </c>
      <c r="AM1019" s="112" t="s">
        <v>1066</v>
      </c>
      <c r="AN1019" s="112" t="s">
        <v>1066</v>
      </c>
    </row>
    <row r="1020" spans="1:40" ht="55.5" customHeight="1" x14ac:dyDescent="0.25">
      <c r="A1020" s="111" t="s">
        <v>4645</v>
      </c>
      <c r="B1020" s="112">
        <v>2026</v>
      </c>
      <c r="C1020" s="112" t="s">
        <v>1057</v>
      </c>
      <c r="D1020" s="113">
        <v>46125.584386574075</v>
      </c>
      <c r="E1020" s="112">
        <v>7928249076</v>
      </c>
      <c r="F1020" s="112" t="s">
        <v>663</v>
      </c>
      <c r="G1020" s="112">
        <v>2</v>
      </c>
      <c r="H1020" s="112">
        <v>7928249076</v>
      </c>
      <c r="I1020" s="112" t="s">
        <v>1751</v>
      </c>
      <c r="J1020" s="112" t="s">
        <v>1066</v>
      </c>
      <c r="K1020" s="112" t="s">
        <v>1125</v>
      </c>
      <c r="L1020" s="112" t="s">
        <v>1061</v>
      </c>
      <c r="M1020" s="112" t="s">
        <v>478</v>
      </c>
      <c r="N1020" s="113">
        <v>46525.584386574075</v>
      </c>
      <c r="O1020" s="114">
        <v>19002220214</v>
      </c>
      <c r="P1020" s="112">
        <v>8</v>
      </c>
      <c r="Q1020" s="112" t="s">
        <v>1062</v>
      </c>
      <c r="R1020" s="112" t="s">
        <v>1063</v>
      </c>
      <c r="S1020" s="113">
        <v>46182.361678240741</v>
      </c>
      <c r="T1020" s="112" t="s">
        <v>1752</v>
      </c>
      <c r="U1020" s="112" t="s">
        <v>1065</v>
      </c>
      <c r="V1020" s="112" t="s">
        <v>1066</v>
      </c>
      <c r="W1020" s="112" t="s">
        <v>1066</v>
      </c>
      <c r="X1020" s="112" t="s">
        <v>1066</v>
      </c>
      <c r="Y1020" s="112" t="s">
        <v>1066</v>
      </c>
      <c r="Z1020" s="112" t="s">
        <v>1066</v>
      </c>
      <c r="AA1020" s="112" t="s">
        <v>1067</v>
      </c>
      <c r="AB1020" s="112" t="s">
        <v>1066</v>
      </c>
      <c r="AC1020" s="112" t="s">
        <v>92</v>
      </c>
      <c r="AD1020" s="112" t="s">
        <v>1066</v>
      </c>
      <c r="AE1020" s="112" t="s">
        <v>1066</v>
      </c>
      <c r="AF1020" s="112" t="s">
        <v>1066</v>
      </c>
      <c r="AG1020" s="112" t="s">
        <v>1066</v>
      </c>
      <c r="AH1020" s="112" t="s">
        <v>1066</v>
      </c>
      <c r="AI1020" s="112" t="s">
        <v>785</v>
      </c>
      <c r="AJ1020" s="112">
        <v>8743262</v>
      </c>
      <c r="AK1020" s="112" t="s">
        <v>209</v>
      </c>
      <c r="AL1020" s="112">
        <v>688993</v>
      </c>
      <c r="AM1020" s="112" t="s">
        <v>1066</v>
      </c>
      <c r="AN1020" s="112" t="s">
        <v>1066</v>
      </c>
    </row>
    <row r="1021" spans="1:40" ht="55.5" customHeight="1" x14ac:dyDescent="0.25">
      <c r="A1021" s="111" t="s">
        <v>4646</v>
      </c>
      <c r="B1021" s="112">
        <v>2026</v>
      </c>
      <c r="C1021" s="112" t="s">
        <v>4647</v>
      </c>
      <c r="D1021" s="113">
        <v>46160.858055555553</v>
      </c>
      <c r="E1021" s="112">
        <v>9000872076</v>
      </c>
      <c r="F1021" s="112" t="s">
        <v>663</v>
      </c>
      <c r="G1021" s="112">
        <v>2</v>
      </c>
      <c r="H1021" s="112">
        <v>7924616076</v>
      </c>
      <c r="I1021" s="112" t="s">
        <v>3527</v>
      </c>
      <c r="J1021" s="112" t="s">
        <v>1071</v>
      </c>
      <c r="K1021" s="112" t="s">
        <v>2080</v>
      </c>
      <c r="L1021" s="112" t="s">
        <v>1073</v>
      </c>
      <c r="M1021" s="112" t="s">
        <v>478</v>
      </c>
      <c r="N1021" s="113">
        <v>46163.858055555553</v>
      </c>
      <c r="O1021" s="114">
        <v>19001242292</v>
      </c>
      <c r="P1021" s="112">
        <v>59</v>
      </c>
      <c r="Q1021" s="112" t="s">
        <v>1131</v>
      </c>
      <c r="R1021" s="112" t="s">
        <v>1263</v>
      </c>
      <c r="S1021" s="113">
        <v>46212.673726851855</v>
      </c>
      <c r="T1021" s="112" t="s">
        <v>4648</v>
      </c>
      <c r="U1021" s="112" t="s">
        <v>1065</v>
      </c>
      <c r="V1021" s="112" t="s">
        <v>1066</v>
      </c>
      <c r="W1021" s="112" t="s">
        <v>1066</v>
      </c>
      <c r="X1021" s="112" t="s">
        <v>983</v>
      </c>
      <c r="Y1021" s="112" t="s">
        <v>1066</v>
      </c>
      <c r="Z1021" s="112" t="s">
        <v>1148</v>
      </c>
      <c r="AA1021" s="112" t="s">
        <v>1067</v>
      </c>
      <c r="AB1021" s="112" t="s">
        <v>1066</v>
      </c>
      <c r="AC1021" s="112" t="s">
        <v>92</v>
      </c>
      <c r="AD1021" s="112" t="s">
        <v>1142</v>
      </c>
      <c r="AE1021" s="112" t="s">
        <v>1066</v>
      </c>
      <c r="AF1021" s="112" t="s">
        <v>1066</v>
      </c>
      <c r="AG1021" s="112" t="s">
        <v>1066</v>
      </c>
      <c r="AH1021" s="112" t="s">
        <v>1066</v>
      </c>
      <c r="AI1021" s="112" t="s">
        <v>785</v>
      </c>
      <c r="AJ1021" s="112">
        <v>8743594</v>
      </c>
      <c r="AK1021" s="112" t="s">
        <v>209</v>
      </c>
      <c r="AL1021" s="112">
        <v>688916</v>
      </c>
      <c r="AM1021" s="112" t="s">
        <v>1066</v>
      </c>
      <c r="AN1021" s="112" t="s">
        <v>1066</v>
      </c>
    </row>
    <row r="1022" spans="1:40" ht="55.5" customHeight="1" x14ac:dyDescent="0.25">
      <c r="A1022" s="115" t="s">
        <v>4649</v>
      </c>
      <c r="B1022" s="116">
        <v>2026</v>
      </c>
      <c r="C1022" s="116" t="s">
        <v>4650</v>
      </c>
      <c r="D1022" s="118">
        <v>45835.379363425927</v>
      </c>
      <c r="E1022" s="116">
        <v>8804563122</v>
      </c>
      <c r="F1022" s="116" t="s">
        <v>1544</v>
      </c>
      <c r="G1022" s="116">
        <v>3</v>
      </c>
      <c r="H1022" s="116">
        <v>7961785122</v>
      </c>
      <c r="I1022" s="116" t="s">
        <v>4651</v>
      </c>
      <c r="J1022" s="116" t="s">
        <v>1231</v>
      </c>
      <c r="K1022" s="116" t="s">
        <v>1232</v>
      </c>
      <c r="L1022" s="116" t="s">
        <v>1084</v>
      </c>
      <c r="M1022" s="116" t="s">
        <v>588</v>
      </c>
      <c r="N1022" s="118">
        <v>46186.392777777779</v>
      </c>
      <c r="O1022" s="119">
        <v>19001275744</v>
      </c>
      <c r="P1022" s="116">
        <v>51</v>
      </c>
      <c r="Q1022" s="116" t="s">
        <v>1131</v>
      </c>
      <c r="R1022" s="116" t="s">
        <v>1206</v>
      </c>
      <c r="S1022" s="116" t="s">
        <v>1066</v>
      </c>
      <c r="T1022" s="116" t="s">
        <v>1066</v>
      </c>
      <c r="U1022" s="116" t="s">
        <v>1066</v>
      </c>
      <c r="V1022" s="116" t="s">
        <v>1066</v>
      </c>
      <c r="W1022" s="116" t="s">
        <v>1066</v>
      </c>
      <c r="X1022" s="116" t="s">
        <v>983</v>
      </c>
      <c r="Y1022" s="116" t="s">
        <v>1066</v>
      </c>
      <c r="Z1022" s="116" t="s">
        <v>1066</v>
      </c>
      <c r="AA1022" s="116" t="s">
        <v>1067</v>
      </c>
      <c r="AB1022" s="116" t="s">
        <v>1066</v>
      </c>
      <c r="AC1022" s="116" t="s">
        <v>92</v>
      </c>
      <c r="AD1022" s="116" t="s">
        <v>1142</v>
      </c>
      <c r="AE1022" s="116" t="s">
        <v>1066</v>
      </c>
      <c r="AF1022" s="116" t="s">
        <v>1066</v>
      </c>
      <c r="AG1022" s="116" t="s">
        <v>1066</v>
      </c>
      <c r="AH1022" s="116" t="s">
        <v>4652</v>
      </c>
      <c r="AI1022" s="116" t="s">
        <v>785</v>
      </c>
      <c r="AJ1022" s="116">
        <v>8868642</v>
      </c>
      <c r="AK1022" s="116" t="s">
        <v>264</v>
      </c>
      <c r="AL1022" s="116">
        <v>792261</v>
      </c>
      <c r="AM1022" s="116" t="s">
        <v>1066</v>
      </c>
      <c r="AN1022" s="116" t="s">
        <v>1066</v>
      </c>
    </row>
    <row r="1023" spans="1:40" ht="55.5" customHeight="1" x14ac:dyDescent="0.25">
      <c r="A1023" s="111" t="s">
        <v>4653</v>
      </c>
      <c r="B1023" s="112">
        <v>2026</v>
      </c>
      <c r="C1023" s="112" t="s">
        <v>4654</v>
      </c>
      <c r="D1023" s="113">
        <v>46121.196192129632</v>
      </c>
      <c r="E1023" s="112" t="s">
        <v>1066</v>
      </c>
      <c r="F1023" s="112" t="s">
        <v>4655</v>
      </c>
      <c r="G1023" s="112" t="s">
        <v>1066</v>
      </c>
      <c r="H1023" s="112" t="s">
        <v>4656</v>
      </c>
      <c r="I1023" s="112" t="s">
        <v>4657</v>
      </c>
      <c r="J1023" s="112" t="s">
        <v>1071</v>
      </c>
      <c r="K1023" s="112" t="s">
        <v>1110</v>
      </c>
      <c r="L1023" s="112" t="s">
        <v>1073</v>
      </c>
      <c r="M1023" s="112" t="s">
        <v>478</v>
      </c>
      <c r="N1023" s="113">
        <v>46124.196192129632</v>
      </c>
      <c r="O1023" s="114">
        <v>19002638256</v>
      </c>
      <c r="P1023" s="112">
        <v>0</v>
      </c>
      <c r="Q1023" s="112" t="s">
        <v>4658</v>
      </c>
      <c r="R1023" s="112" t="s">
        <v>1263</v>
      </c>
      <c r="S1023" s="113">
        <v>46161.730416666665</v>
      </c>
      <c r="T1023" s="112" t="s">
        <v>4659</v>
      </c>
      <c r="U1023" s="112" t="s">
        <v>1065</v>
      </c>
      <c r="V1023" s="112" t="s">
        <v>1066</v>
      </c>
      <c r="W1023" s="112" t="s">
        <v>1066</v>
      </c>
      <c r="X1023" s="112" t="s">
        <v>1066</v>
      </c>
      <c r="Y1023" s="112" t="s">
        <v>1066</v>
      </c>
      <c r="Z1023" s="112" t="s">
        <v>1066</v>
      </c>
      <c r="AA1023" s="112" t="s">
        <v>1067</v>
      </c>
      <c r="AB1023" s="112" t="s">
        <v>1066</v>
      </c>
      <c r="AC1023" s="112" t="s">
        <v>92</v>
      </c>
      <c r="AD1023" s="112" t="s">
        <v>1066</v>
      </c>
      <c r="AE1023" s="112" t="s">
        <v>1066</v>
      </c>
      <c r="AF1023" s="112" t="s">
        <v>1066</v>
      </c>
      <c r="AG1023" s="112" t="s">
        <v>1066</v>
      </c>
      <c r="AH1023" s="112" t="s">
        <v>1066</v>
      </c>
      <c r="AI1023" s="112" t="s">
        <v>785</v>
      </c>
      <c r="AJ1023" s="112">
        <v>35250</v>
      </c>
      <c r="AK1023" s="112" t="s">
        <v>792</v>
      </c>
      <c r="AL1023" s="112">
        <v>7904</v>
      </c>
      <c r="AM1023" s="112" t="s">
        <v>1066</v>
      </c>
      <c r="AN1023" s="112" t="s">
        <v>1066</v>
      </c>
    </row>
    <row r="1024" spans="1:40" ht="55.5" customHeight="1" x14ac:dyDescent="0.25">
      <c r="A1024" s="111" t="s">
        <v>4660</v>
      </c>
      <c r="B1024" s="112">
        <v>2026</v>
      </c>
      <c r="C1024" s="112" t="s">
        <v>4661</v>
      </c>
      <c r="D1024" s="113">
        <v>46083.695555555554</v>
      </c>
      <c r="E1024" s="112">
        <v>9000179156</v>
      </c>
      <c r="F1024" s="112" t="s">
        <v>351</v>
      </c>
      <c r="G1024" s="112">
        <v>2</v>
      </c>
      <c r="H1024" s="112">
        <v>7930910156</v>
      </c>
      <c r="I1024" s="112" t="s">
        <v>3113</v>
      </c>
      <c r="J1024" s="112" t="s">
        <v>1092</v>
      </c>
      <c r="K1024" s="112" t="s">
        <v>1446</v>
      </c>
      <c r="L1024" s="112" t="s">
        <v>1073</v>
      </c>
      <c r="M1024" s="112" t="s">
        <v>478</v>
      </c>
      <c r="N1024" s="113">
        <v>46086.695555555554</v>
      </c>
      <c r="O1024" s="114">
        <v>19001277957</v>
      </c>
      <c r="P1024" s="112">
        <v>853</v>
      </c>
      <c r="Q1024" s="112" t="s">
        <v>1131</v>
      </c>
      <c r="R1024" s="112" t="s">
        <v>1075</v>
      </c>
      <c r="S1024" s="113">
        <v>46097.729166666664</v>
      </c>
      <c r="T1024" s="112" t="s">
        <v>4662</v>
      </c>
      <c r="U1024" s="112" t="s">
        <v>1065</v>
      </c>
      <c r="V1024" s="112" t="s">
        <v>1066</v>
      </c>
      <c r="W1024" s="112" t="s">
        <v>1066</v>
      </c>
      <c r="X1024" s="112" t="s">
        <v>1173</v>
      </c>
      <c r="Y1024" s="112" t="s">
        <v>1066</v>
      </c>
      <c r="Z1024" s="112" t="s">
        <v>1133</v>
      </c>
      <c r="AA1024" s="112" t="s">
        <v>1067</v>
      </c>
      <c r="AB1024" s="112" t="s">
        <v>1066</v>
      </c>
      <c r="AC1024" s="112" t="s">
        <v>92</v>
      </c>
      <c r="AD1024" s="112" t="s">
        <v>1142</v>
      </c>
      <c r="AE1024" s="112" t="s">
        <v>1066</v>
      </c>
      <c r="AF1024" s="112" t="s">
        <v>1066</v>
      </c>
      <c r="AG1024" s="112" t="s">
        <v>1066</v>
      </c>
      <c r="AH1024" s="112" t="s">
        <v>1066</v>
      </c>
      <c r="AI1024" s="112" t="s">
        <v>785</v>
      </c>
      <c r="AJ1024" s="112">
        <v>9323646</v>
      </c>
      <c r="AK1024" s="112" t="s">
        <v>1965</v>
      </c>
      <c r="AL1024" s="112">
        <v>841834</v>
      </c>
      <c r="AM1024" s="112" t="s">
        <v>1066</v>
      </c>
      <c r="AN1024" s="112" t="s">
        <v>1066</v>
      </c>
    </row>
    <row r="1025" spans="1:40" ht="55.5" customHeight="1" x14ac:dyDescent="0.25">
      <c r="A1025" s="120" t="s">
        <v>4663</v>
      </c>
      <c r="B1025" s="121">
        <v>2026</v>
      </c>
      <c r="C1025" s="121" t="s">
        <v>4664</v>
      </c>
      <c r="D1025" s="122">
        <v>46156.814212962963</v>
      </c>
      <c r="E1025" s="121">
        <v>9000314189</v>
      </c>
      <c r="F1025" s="121" t="s">
        <v>2024</v>
      </c>
      <c r="G1025" s="121">
        <v>3</v>
      </c>
      <c r="H1025" s="121">
        <v>5854782001</v>
      </c>
      <c r="I1025" s="121" t="s">
        <v>4665</v>
      </c>
      <c r="J1025" s="121" t="s">
        <v>1071</v>
      </c>
      <c r="K1025" s="121" t="s">
        <v>1296</v>
      </c>
      <c r="L1025" s="121" t="s">
        <v>1073</v>
      </c>
      <c r="M1025" s="121" t="s">
        <v>1116</v>
      </c>
      <c r="N1025" s="122">
        <v>46159.814212962963</v>
      </c>
      <c r="O1025" s="123">
        <v>19002740080</v>
      </c>
      <c r="P1025" s="121">
        <v>329</v>
      </c>
      <c r="Q1025" s="121" t="s">
        <v>1074</v>
      </c>
      <c r="R1025" s="121" t="s">
        <v>1075</v>
      </c>
      <c r="S1025" s="122">
        <v>46161.624895833331</v>
      </c>
      <c r="T1025" s="121" t="s">
        <v>1066</v>
      </c>
      <c r="U1025" s="121" t="s">
        <v>1066</v>
      </c>
      <c r="V1025" s="121" t="s">
        <v>1066</v>
      </c>
      <c r="W1025" s="121" t="s">
        <v>1066</v>
      </c>
      <c r="X1025" s="121" t="s">
        <v>1726</v>
      </c>
      <c r="Y1025" s="121" t="s">
        <v>1066</v>
      </c>
      <c r="Z1025" s="121" t="s">
        <v>1479</v>
      </c>
      <c r="AA1025" s="121" t="s">
        <v>1067</v>
      </c>
      <c r="AB1025" s="121" t="s">
        <v>1066</v>
      </c>
      <c r="AC1025" s="121" t="s">
        <v>92</v>
      </c>
      <c r="AD1025" s="121" t="s">
        <v>1066</v>
      </c>
      <c r="AE1025" s="121" t="s">
        <v>1066</v>
      </c>
      <c r="AF1025" s="121" t="s">
        <v>1066</v>
      </c>
      <c r="AG1025" s="121" t="s">
        <v>1066</v>
      </c>
      <c r="AH1025" s="121" t="s">
        <v>1066</v>
      </c>
      <c r="AI1025" s="121" t="s">
        <v>785</v>
      </c>
      <c r="AJ1025" s="121">
        <v>8819651</v>
      </c>
      <c r="AK1025" s="121" t="s">
        <v>50</v>
      </c>
      <c r="AL1025" s="121">
        <v>777037</v>
      </c>
      <c r="AM1025" s="121" t="s">
        <v>1066</v>
      </c>
      <c r="AN1025" s="121" t="s">
        <v>1066</v>
      </c>
    </row>
    <row r="1026" spans="1:40" ht="55.5" customHeight="1" x14ac:dyDescent="0.25">
      <c r="A1026" s="111" t="s">
        <v>4666</v>
      </c>
      <c r="B1026" s="112">
        <v>2026</v>
      </c>
      <c r="C1026" s="112" t="s">
        <v>4667</v>
      </c>
      <c r="D1026" s="113">
        <v>46223.456643518519</v>
      </c>
      <c r="E1026" s="112">
        <v>7908199076</v>
      </c>
      <c r="F1026" s="112" t="s">
        <v>663</v>
      </c>
      <c r="G1026" s="112">
        <v>3</v>
      </c>
      <c r="H1026" s="112">
        <v>7908199076</v>
      </c>
      <c r="I1026" s="112" t="s">
        <v>2897</v>
      </c>
      <c r="J1026" s="112" t="s">
        <v>1092</v>
      </c>
      <c r="K1026" s="112" t="s">
        <v>1191</v>
      </c>
      <c r="L1026" s="112" t="s">
        <v>1061</v>
      </c>
      <c r="M1026" s="112" t="s">
        <v>478</v>
      </c>
      <c r="N1026" s="113">
        <v>46623.456643518519</v>
      </c>
      <c r="O1026" s="114">
        <v>19002763452</v>
      </c>
      <c r="P1026" s="112">
        <v>142</v>
      </c>
      <c r="Q1026" s="112" t="s">
        <v>1062</v>
      </c>
      <c r="R1026" s="112" t="s">
        <v>1063</v>
      </c>
      <c r="S1026" s="113">
        <v>46230.729224537034</v>
      </c>
      <c r="T1026" s="112" t="s">
        <v>4668</v>
      </c>
      <c r="U1026" s="112" t="s">
        <v>1065</v>
      </c>
      <c r="V1026" s="112" t="s">
        <v>1066</v>
      </c>
      <c r="W1026" s="112" t="s">
        <v>1066</v>
      </c>
      <c r="X1026" s="112" t="s">
        <v>1066</v>
      </c>
      <c r="Y1026" s="112" t="s">
        <v>1066</v>
      </c>
      <c r="Z1026" s="112" t="s">
        <v>1066</v>
      </c>
      <c r="AA1026" s="112" t="s">
        <v>1067</v>
      </c>
      <c r="AB1026" s="112" t="s">
        <v>1066</v>
      </c>
      <c r="AC1026" s="112" t="s">
        <v>92</v>
      </c>
      <c r="AD1026" s="112" t="s">
        <v>1066</v>
      </c>
      <c r="AE1026" s="112" t="s">
        <v>1066</v>
      </c>
      <c r="AF1026" s="112" t="s">
        <v>1066</v>
      </c>
      <c r="AG1026" s="112" t="s">
        <v>1066</v>
      </c>
      <c r="AH1026" s="112" t="s">
        <v>1066</v>
      </c>
      <c r="AI1026" s="112" t="s">
        <v>785</v>
      </c>
      <c r="AJ1026" s="112">
        <v>8718138</v>
      </c>
      <c r="AK1026" s="112" t="s">
        <v>209</v>
      </c>
      <c r="AL1026" s="112">
        <v>694432</v>
      </c>
      <c r="AM1026" s="112" t="s">
        <v>1066</v>
      </c>
      <c r="AN1026" s="112" t="s">
        <v>1066</v>
      </c>
    </row>
    <row r="1027" spans="1:40" ht="55.5" customHeight="1" x14ac:dyDescent="0.25">
      <c r="A1027" s="124" t="s">
        <v>4669</v>
      </c>
      <c r="B1027" s="125">
        <v>2026</v>
      </c>
      <c r="C1027" s="125" t="s">
        <v>4670</v>
      </c>
      <c r="D1027" s="126">
        <v>46231.653657407405</v>
      </c>
      <c r="E1027" s="125">
        <v>9028276193</v>
      </c>
      <c r="F1027" s="125" t="s">
        <v>370</v>
      </c>
      <c r="G1027" s="125">
        <v>2</v>
      </c>
      <c r="H1027" s="125">
        <v>7936134193</v>
      </c>
      <c r="I1027" s="125" t="s">
        <v>4671</v>
      </c>
      <c r="J1027" s="125" t="s">
        <v>1071</v>
      </c>
      <c r="K1027" s="125" t="s">
        <v>1171</v>
      </c>
      <c r="L1027" s="125" t="s">
        <v>1073</v>
      </c>
      <c r="M1027" s="125" t="s">
        <v>510</v>
      </c>
      <c r="N1027" s="126">
        <v>46234.653657407405</v>
      </c>
      <c r="O1027" s="127">
        <v>19002498687</v>
      </c>
      <c r="P1027" s="125">
        <v>0</v>
      </c>
      <c r="Q1027" s="125" t="s">
        <v>1131</v>
      </c>
      <c r="R1027" s="125" t="s">
        <v>1297</v>
      </c>
      <c r="S1027" s="125" t="s">
        <v>1066</v>
      </c>
      <c r="T1027" s="125" t="s">
        <v>4672</v>
      </c>
      <c r="U1027" s="125" t="s">
        <v>1559</v>
      </c>
      <c r="V1027" s="125" t="s">
        <v>1066</v>
      </c>
      <c r="W1027" s="125" t="s">
        <v>1066</v>
      </c>
      <c r="X1027" s="125" t="s">
        <v>1117</v>
      </c>
      <c r="Y1027" s="125" t="s">
        <v>1066</v>
      </c>
      <c r="Z1027" s="125" t="s">
        <v>1174</v>
      </c>
      <c r="AA1027" s="125" t="s">
        <v>1067</v>
      </c>
      <c r="AB1027" s="125" t="s">
        <v>1066</v>
      </c>
      <c r="AC1027" s="125" t="s">
        <v>92</v>
      </c>
      <c r="AD1027" s="125" t="s">
        <v>1066</v>
      </c>
      <c r="AE1027" s="125" t="s">
        <v>1066</v>
      </c>
      <c r="AF1027" s="125" t="s">
        <v>1066</v>
      </c>
      <c r="AG1027" s="125" t="s">
        <v>1066</v>
      </c>
      <c r="AH1027" s="125" t="s">
        <v>1066</v>
      </c>
      <c r="AI1027" s="125" t="s">
        <v>785</v>
      </c>
      <c r="AJ1027" s="125">
        <v>9101989</v>
      </c>
      <c r="AK1027" s="125" t="s">
        <v>369</v>
      </c>
      <c r="AL1027" s="125">
        <v>979100</v>
      </c>
      <c r="AM1027" s="125" t="s">
        <v>1066</v>
      </c>
      <c r="AN1027" s="125" t="s">
        <v>1066</v>
      </c>
    </row>
    <row r="1028" spans="1:40" ht="55.5" customHeight="1" x14ac:dyDescent="0.25">
      <c r="A1028" s="111" t="s">
        <v>4673</v>
      </c>
      <c r="B1028" s="112">
        <v>2026</v>
      </c>
      <c r="C1028" s="112" t="s">
        <v>1213</v>
      </c>
      <c r="D1028" s="113">
        <v>46122.549942129626</v>
      </c>
      <c r="E1028" s="112">
        <v>7903568004</v>
      </c>
      <c r="F1028" s="112" t="s">
        <v>4674</v>
      </c>
      <c r="G1028" s="112">
        <v>1</v>
      </c>
      <c r="H1028" s="112">
        <v>7903568004</v>
      </c>
      <c r="I1028" s="112" t="s">
        <v>4675</v>
      </c>
      <c r="J1028" s="112" t="s">
        <v>1066</v>
      </c>
      <c r="K1028" s="112" t="s">
        <v>1125</v>
      </c>
      <c r="L1028" s="112" t="s">
        <v>1061</v>
      </c>
      <c r="M1028" s="112" t="s">
        <v>478</v>
      </c>
      <c r="N1028" s="113">
        <v>46522.549942129626</v>
      </c>
      <c r="O1028" s="114">
        <v>19002260050</v>
      </c>
      <c r="P1028" s="112">
        <v>3.5910000000000002</v>
      </c>
      <c r="Q1028" s="112" t="s">
        <v>1062</v>
      </c>
      <c r="R1028" s="112" t="s">
        <v>1063</v>
      </c>
      <c r="S1028" s="113">
        <v>46129.474305555559</v>
      </c>
      <c r="T1028" s="112" t="s">
        <v>4676</v>
      </c>
      <c r="U1028" s="112" t="s">
        <v>1065</v>
      </c>
      <c r="V1028" s="112" t="s">
        <v>1066</v>
      </c>
      <c r="W1028" s="112" t="s">
        <v>1066</v>
      </c>
      <c r="X1028" s="112" t="s">
        <v>1066</v>
      </c>
      <c r="Y1028" s="112" t="s">
        <v>1066</v>
      </c>
      <c r="Z1028" s="112" t="s">
        <v>1066</v>
      </c>
      <c r="AA1028" s="112" t="s">
        <v>1067</v>
      </c>
      <c r="AB1028" s="112" t="s">
        <v>1066</v>
      </c>
      <c r="AC1028" s="112" t="s">
        <v>92</v>
      </c>
      <c r="AD1028" s="112" t="s">
        <v>1066</v>
      </c>
      <c r="AE1028" s="112" t="s">
        <v>1066</v>
      </c>
      <c r="AF1028" s="112" t="s">
        <v>1066</v>
      </c>
      <c r="AG1028" s="112" t="s">
        <v>1066</v>
      </c>
      <c r="AH1028" s="112" t="s">
        <v>1066</v>
      </c>
      <c r="AI1028" s="112" t="s">
        <v>785</v>
      </c>
      <c r="AJ1028" s="112">
        <v>9203994</v>
      </c>
      <c r="AK1028" s="112" t="s">
        <v>69</v>
      </c>
      <c r="AL1028" s="112">
        <v>808977</v>
      </c>
      <c r="AM1028" s="112" t="s">
        <v>1066</v>
      </c>
      <c r="AN1028" s="112" t="s">
        <v>1066</v>
      </c>
    </row>
    <row r="1029" spans="1:40" ht="55.5" customHeight="1" x14ac:dyDescent="0.25">
      <c r="A1029" s="111" t="s">
        <v>4677</v>
      </c>
      <c r="B1029" s="112">
        <v>2026</v>
      </c>
      <c r="C1029" s="112" t="s">
        <v>4678</v>
      </c>
      <c r="D1029" s="113">
        <v>46038.822997685187</v>
      </c>
      <c r="E1029" s="112">
        <v>7954717001</v>
      </c>
      <c r="F1029" s="112" t="s">
        <v>3466</v>
      </c>
      <c r="G1029" s="112">
        <v>3</v>
      </c>
      <c r="H1029" s="112">
        <v>7954717001</v>
      </c>
      <c r="I1029" s="112" t="s">
        <v>4679</v>
      </c>
      <c r="J1029" s="112" t="s">
        <v>1071</v>
      </c>
      <c r="K1029" s="112" t="s">
        <v>3468</v>
      </c>
      <c r="L1029" s="112" t="s">
        <v>1073</v>
      </c>
      <c r="M1029" s="112" t="s">
        <v>478</v>
      </c>
      <c r="N1029" s="113">
        <v>46041.822997685187</v>
      </c>
      <c r="O1029" s="114">
        <v>19002739431</v>
      </c>
      <c r="P1029" s="112">
        <v>162</v>
      </c>
      <c r="Q1029" s="112" t="s">
        <v>1062</v>
      </c>
      <c r="R1029" s="112" t="s">
        <v>1075</v>
      </c>
      <c r="S1029" s="113">
        <v>46076.711388888885</v>
      </c>
      <c r="T1029" s="112" t="s">
        <v>4680</v>
      </c>
      <c r="U1029" s="112" t="s">
        <v>1065</v>
      </c>
      <c r="V1029" s="112" t="s">
        <v>1066</v>
      </c>
      <c r="W1029" s="112" t="s">
        <v>1066</v>
      </c>
      <c r="X1029" s="112" t="s">
        <v>983</v>
      </c>
      <c r="Y1029" s="112" t="s">
        <v>1066</v>
      </c>
      <c r="Z1029" s="112" t="s">
        <v>1078</v>
      </c>
      <c r="AA1029" s="112" t="s">
        <v>1067</v>
      </c>
      <c r="AB1029" s="112" t="s">
        <v>1066</v>
      </c>
      <c r="AC1029" s="112" t="s">
        <v>92</v>
      </c>
      <c r="AD1029" s="112" t="s">
        <v>1066</v>
      </c>
      <c r="AE1029" s="112" t="s">
        <v>1066</v>
      </c>
      <c r="AF1029" s="112" t="s">
        <v>1066</v>
      </c>
      <c r="AG1029" s="112" t="s">
        <v>1066</v>
      </c>
      <c r="AH1029" s="112" t="s">
        <v>1066</v>
      </c>
      <c r="AI1029" s="112" t="s">
        <v>785</v>
      </c>
      <c r="AJ1029" s="112">
        <v>8818047</v>
      </c>
      <c r="AK1029" s="112" t="s">
        <v>469</v>
      </c>
      <c r="AL1029" s="112">
        <v>768724</v>
      </c>
      <c r="AM1029" s="112" t="s">
        <v>1066</v>
      </c>
      <c r="AN1029" s="112" t="s">
        <v>1066</v>
      </c>
    </row>
    <row r="1030" spans="1:40" ht="55.5" customHeight="1" x14ac:dyDescent="0.25">
      <c r="A1030" s="111" t="s">
        <v>4681</v>
      </c>
      <c r="B1030" s="112">
        <v>2026</v>
      </c>
      <c r="C1030" s="112" t="s">
        <v>1057</v>
      </c>
      <c r="D1030" s="113">
        <v>46125.614548611113</v>
      </c>
      <c r="E1030" s="112">
        <v>7931602122</v>
      </c>
      <c r="F1030" s="112" t="s">
        <v>3519</v>
      </c>
      <c r="G1030" s="112">
        <v>1</v>
      </c>
      <c r="H1030" s="112">
        <v>7931602122</v>
      </c>
      <c r="I1030" s="112" t="s">
        <v>4682</v>
      </c>
      <c r="J1030" s="112" t="s">
        <v>1066</v>
      </c>
      <c r="K1030" s="112" t="s">
        <v>1125</v>
      </c>
      <c r="L1030" s="112" t="s">
        <v>1061</v>
      </c>
      <c r="M1030" s="112" t="s">
        <v>478</v>
      </c>
      <c r="N1030" s="113">
        <v>46525.614548611113</v>
      </c>
      <c r="O1030" s="114">
        <v>19002210319</v>
      </c>
      <c r="P1030" s="112">
        <v>0</v>
      </c>
      <c r="Q1030" s="112" t="s">
        <v>1062</v>
      </c>
      <c r="R1030" s="112" t="s">
        <v>1063</v>
      </c>
      <c r="S1030" s="113">
        <v>46174.3125</v>
      </c>
      <c r="T1030" s="112" t="s">
        <v>1307</v>
      </c>
      <c r="U1030" s="112" t="s">
        <v>1065</v>
      </c>
      <c r="V1030" s="112" t="s">
        <v>1066</v>
      </c>
      <c r="W1030" s="112" t="s">
        <v>1066</v>
      </c>
      <c r="X1030" s="112" t="s">
        <v>1066</v>
      </c>
      <c r="Y1030" s="112" t="s">
        <v>1066</v>
      </c>
      <c r="Z1030" s="112" t="s">
        <v>1066</v>
      </c>
      <c r="AA1030" s="112" t="s">
        <v>1067</v>
      </c>
      <c r="AB1030" s="112" t="s">
        <v>1066</v>
      </c>
      <c r="AC1030" s="112" t="s">
        <v>92</v>
      </c>
      <c r="AD1030" s="112" t="s">
        <v>1066</v>
      </c>
      <c r="AE1030" s="112" t="s">
        <v>1066</v>
      </c>
      <c r="AF1030" s="112" t="s">
        <v>1066</v>
      </c>
      <c r="AG1030" s="112" t="s">
        <v>1066</v>
      </c>
      <c r="AH1030" s="112" t="s">
        <v>1066</v>
      </c>
      <c r="AI1030" s="112" t="s">
        <v>785</v>
      </c>
      <c r="AJ1030" s="112">
        <v>8873895</v>
      </c>
      <c r="AK1030" s="112" t="s">
        <v>264</v>
      </c>
      <c r="AL1030" s="112">
        <v>795026</v>
      </c>
      <c r="AM1030" s="112" t="s">
        <v>1066</v>
      </c>
      <c r="AN1030" s="112" t="s">
        <v>1066</v>
      </c>
    </row>
    <row r="1031" spans="1:40" ht="55.5" customHeight="1" x14ac:dyDescent="0.25">
      <c r="A1031" s="111" t="s">
        <v>4683</v>
      </c>
      <c r="B1031" s="112">
        <v>2026</v>
      </c>
      <c r="C1031" s="112" t="s">
        <v>4684</v>
      </c>
      <c r="D1031" s="113">
        <v>46198.004861111112</v>
      </c>
      <c r="E1031" s="112">
        <v>9036096015</v>
      </c>
      <c r="F1031" s="112" t="s">
        <v>289</v>
      </c>
      <c r="G1031" s="112">
        <v>3</v>
      </c>
      <c r="H1031" s="112">
        <v>7936096015</v>
      </c>
      <c r="I1031" s="112" t="s">
        <v>4685</v>
      </c>
      <c r="J1031" s="112" t="s">
        <v>1071</v>
      </c>
      <c r="K1031" s="112" t="s">
        <v>1171</v>
      </c>
      <c r="L1031" s="112" t="s">
        <v>1073</v>
      </c>
      <c r="M1031" s="112" t="s">
        <v>478</v>
      </c>
      <c r="N1031" s="113">
        <v>46201.004861111112</v>
      </c>
      <c r="O1031" s="114">
        <v>19001319700</v>
      </c>
      <c r="P1031" s="112">
        <v>229</v>
      </c>
      <c r="Q1031" s="112" t="s">
        <v>1131</v>
      </c>
      <c r="R1031" s="112" t="s">
        <v>1263</v>
      </c>
      <c r="S1031" s="113">
        <v>46225.729618055557</v>
      </c>
      <c r="T1031" s="112" t="s">
        <v>4686</v>
      </c>
      <c r="U1031" s="112" t="s">
        <v>1065</v>
      </c>
      <c r="V1031" s="112" t="s">
        <v>1066</v>
      </c>
      <c r="W1031" s="112" t="s">
        <v>1066</v>
      </c>
      <c r="X1031" s="112" t="s">
        <v>983</v>
      </c>
      <c r="Y1031" s="112" t="s">
        <v>1066</v>
      </c>
      <c r="Z1031" s="112" t="s">
        <v>1174</v>
      </c>
      <c r="AA1031" s="112" t="s">
        <v>1067</v>
      </c>
      <c r="AB1031" s="112" t="s">
        <v>1066</v>
      </c>
      <c r="AC1031" s="112" t="s">
        <v>92</v>
      </c>
      <c r="AD1031" s="112" t="s">
        <v>1142</v>
      </c>
      <c r="AE1031" s="112" t="s">
        <v>1066</v>
      </c>
      <c r="AF1031" s="112" t="s">
        <v>1066</v>
      </c>
      <c r="AG1031" s="112" t="s">
        <v>1066</v>
      </c>
      <c r="AH1031" s="112" t="s">
        <v>1066</v>
      </c>
      <c r="AI1031" s="112" t="s">
        <v>785</v>
      </c>
      <c r="AJ1031" s="112">
        <v>8979988</v>
      </c>
      <c r="AK1031" s="112" t="s">
        <v>288</v>
      </c>
      <c r="AL1031" s="112">
        <v>835986</v>
      </c>
      <c r="AM1031" s="112" t="s">
        <v>1066</v>
      </c>
      <c r="AN1031" s="112" t="s">
        <v>1066</v>
      </c>
    </row>
    <row r="1032" spans="1:40" ht="55.5" customHeight="1" x14ac:dyDescent="0.25">
      <c r="A1032" s="111" t="s">
        <v>4687</v>
      </c>
      <c r="B1032" s="112">
        <v>2026</v>
      </c>
      <c r="C1032" s="112" t="s">
        <v>1089</v>
      </c>
      <c r="D1032" s="113">
        <v>46028.41065972222</v>
      </c>
      <c r="E1032" s="112">
        <v>7905318122</v>
      </c>
      <c r="F1032" s="112" t="s">
        <v>412</v>
      </c>
      <c r="G1032" s="112">
        <v>1</v>
      </c>
      <c r="H1032" s="112">
        <v>7905318122</v>
      </c>
      <c r="I1032" s="112" t="s">
        <v>4688</v>
      </c>
      <c r="J1032" s="112" t="s">
        <v>1092</v>
      </c>
      <c r="K1032" s="112" t="s">
        <v>1093</v>
      </c>
      <c r="L1032" s="112" t="s">
        <v>1061</v>
      </c>
      <c r="M1032" s="112" t="s">
        <v>478</v>
      </c>
      <c r="N1032" s="113">
        <v>46428.41065972222</v>
      </c>
      <c r="O1032" s="114">
        <v>19002206131</v>
      </c>
      <c r="P1032" s="112">
        <v>3.42</v>
      </c>
      <c r="Q1032" s="112" t="s">
        <v>1062</v>
      </c>
      <c r="R1032" s="112" t="s">
        <v>1063</v>
      </c>
      <c r="S1032" s="113">
        <v>46045.689953703702</v>
      </c>
      <c r="T1032" s="112" t="s">
        <v>4689</v>
      </c>
      <c r="U1032" s="112" t="s">
        <v>1065</v>
      </c>
      <c r="V1032" s="112" t="s">
        <v>1066</v>
      </c>
      <c r="W1032" s="112" t="s">
        <v>1066</v>
      </c>
      <c r="X1032" s="112" t="s">
        <v>1066</v>
      </c>
      <c r="Y1032" s="112" t="s">
        <v>1066</v>
      </c>
      <c r="Z1032" s="112" t="s">
        <v>1066</v>
      </c>
      <c r="AA1032" s="112" t="s">
        <v>1067</v>
      </c>
      <c r="AB1032" s="112" t="s">
        <v>1066</v>
      </c>
      <c r="AC1032" s="112" t="s">
        <v>92</v>
      </c>
      <c r="AD1032" s="112" t="s">
        <v>1066</v>
      </c>
      <c r="AE1032" s="112" t="s">
        <v>1066</v>
      </c>
      <c r="AF1032" s="112" t="s">
        <v>1066</v>
      </c>
      <c r="AG1032" s="112" t="s">
        <v>1066</v>
      </c>
      <c r="AH1032" s="112" t="s">
        <v>1066</v>
      </c>
      <c r="AI1032" s="112" t="s">
        <v>785</v>
      </c>
      <c r="AJ1032" s="112">
        <v>8875152</v>
      </c>
      <c r="AK1032" s="112" t="s">
        <v>264</v>
      </c>
      <c r="AL1032" s="112">
        <v>790695</v>
      </c>
      <c r="AM1032" s="112" t="s">
        <v>1066</v>
      </c>
      <c r="AN1032" s="112" t="s">
        <v>1066</v>
      </c>
    </row>
    <row r="1033" spans="1:40" ht="55.5" customHeight="1" x14ac:dyDescent="0.25">
      <c r="A1033" s="111" t="s">
        <v>4690</v>
      </c>
      <c r="B1033" s="112">
        <v>2026</v>
      </c>
      <c r="C1033" s="112" t="s">
        <v>4691</v>
      </c>
      <c r="D1033" s="113">
        <v>46041.392962962964</v>
      </c>
      <c r="E1033" s="112">
        <v>9000880036</v>
      </c>
      <c r="F1033" s="112" t="s">
        <v>1852</v>
      </c>
      <c r="G1033" s="112">
        <v>3</v>
      </c>
      <c r="H1033" s="112">
        <v>7937112036</v>
      </c>
      <c r="I1033" s="112" t="s">
        <v>4692</v>
      </c>
      <c r="J1033" s="112" t="s">
        <v>1157</v>
      </c>
      <c r="K1033" s="112" t="s">
        <v>1417</v>
      </c>
      <c r="L1033" s="112" t="s">
        <v>1084</v>
      </c>
      <c r="M1033" s="112" t="s">
        <v>478</v>
      </c>
      <c r="N1033" s="113">
        <v>46101.392962962964</v>
      </c>
      <c r="O1033" s="114">
        <v>19001289348</v>
      </c>
      <c r="P1033" s="112">
        <v>207</v>
      </c>
      <c r="Q1033" s="112" t="s">
        <v>1131</v>
      </c>
      <c r="R1033" s="112" t="s">
        <v>1085</v>
      </c>
      <c r="S1033" s="113">
        <v>46101.690752314818</v>
      </c>
      <c r="T1033" s="112" t="s">
        <v>4693</v>
      </c>
      <c r="U1033" s="112" t="s">
        <v>1065</v>
      </c>
      <c r="V1033" s="112" t="s">
        <v>1066</v>
      </c>
      <c r="W1033" s="112" t="s">
        <v>1066</v>
      </c>
      <c r="X1033" s="112" t="s">
        <v>983</v>
      </c>
      <c r="Y1033" s="112" t="s">
        <v>1066</v>
      </c>
      <c r="Z1033" s="112" t="s">
        <v>1133</v>
      </c>
      <c r="AA1033" s="112" t="s">
        <v>1067</v>
      </c>
      <c r="AB1033" s="112" t="s">
        <v>1066</v>
      </c>
      <c r="AC1033" s="112" t="s">
        <v>92</v>
      </c>
      <c r="AD1033" s="112" t="s">
        <v>1142</v>
      </c>
      <c r="AE1033" s="112" t="s">
        <v>1066</v>
      </c>
      <c r="AF1033" s="112" t="s">
        <v>1066</v>
      </c>
      <c r="AG1033" s="112" t="s">
        <v>1066</v>
      </c>
      <c r="AH1033" s="112" t="s">
        <v>1066</v>
      </c>
      <c r="AI1033" s="112" t="s">
        <v>785</v>
      </c>
      <c r="AJ1033" s="112">
        <v>8633931</v>
      </c>
      <c r="AK1033" s="112" t="s">
        <v>470</v>
      </c>
      <c r="AL1033" s="112">
        <v>700843</v>
      </c>
      <c r="AM1033" s="112" t="s">
        <v>1066</v>
      </c>
      <c r="AN1033" s="112" t="s">
        <v>1066</v>
      </c>
    </row>
    <row r="1034" spans="1:40" ht="55.5" customHeight="1" x14ac:dyDescent="0.25">
      <c r="A1034" s="111" t="s">
        <v>4694</v>
      </c>
      <c r="B1034" s="112">
        <v>2026</v>
      </c>
      <c r="C1034" s="112" t="s">
        <v>4695</v>
      </c>
      <c r="D1034" s="113">
        <v>46062.904270833336</v>
      </c>
      <c r="E1034" s="112" t="s">
        <v>1066</v>
      </c>
      <c r="F1034" s="112" t="s">
        <v>191</v>
      </c>
      <c r="G1034" s="112" t="s">
        <v>1066</v>
      </c>
      <c r="H1034" s="112">
        <v>5800291077</v>
      </c>
      <c r="I1034" s="112" t="s">
        <v>3709</v>
      </c>
      <c r="J1034" s="112" t="s">
        <v>1071</v>
      </c>
      <c r="K1034" s="112" t="s">
        <v>1958</v>
      </c>
      <c r="L1034" s="112" t="s">
        <v>1073</v>
      </c>
      <c r="M1034" s="112" t="s">
        <v>478</v>
      </c>
      <c r="N1034" s="113">
        <v>46110.569745370369</v>
      </c>
      <c r="O1034" s="114">
        <v>19002682051</v>
      </c>
      <c r="P1034" s="112">
        <v>0</v>
      </c>
      <c r="Q1034" s="112" t="s">
        <v>1074</v>
      </c>
      <c r="R1034" s="112" t="s">
        <v>1075</v>
      </c>
      <c r="S1034" s="113">
        <v>46112.729166666664</v>
      </c>
      <c r="T1034" s="112" t="s">
        <v>4696</v>
      </c>
      <c r="U1034" s="112" t="s">
        <v>1065</v>
      </c>
      <c r="V1034" s="112" t="s">
        <v>1066</v>
      </c>
      <c r="W1034" s="112" t="s">
        <v>1066</v>
      </c>
      <c r="X1034" s="112" t="s">
        <v>3710</v>
      </c>
      <c r="Y1034" s="112" t="s">
        <v>1066</v>
      </c>
      <c r="Z1034" s="112" t="s">
        <v>1174</v>
      </c>
      <c r="AA1034" s="112" t="s">
        <v>1067</v>
      </c>
      <c r="AB1034" s="112" t="s">
        <v>1066</v>
      </c>
      <c r="AC1034" s="112" t="s">
        <v>92</v>
      </c>
      <c r="AD1034" s="112" t="s">
        <v>1066</v>
      </c>
      <c r="AE1034" s="112" t="s">
        <v>1066</v>
      </c>
      <c r="AF1034" s="112" t="s">
        <v>1066</v>
      </c>
      <c r="AG1034" s="112" t="s">
        <v>1066</v>
      </c>
      <c r="AH1034" s="112" t="s">
        <v>3707</v>
      </c>
      <c r="AI1034" s="112" t="s">
        <v>785</v>
      </c>
      <c r="AJ1034" s="112">
        <v>9145471</v>
      </c>
      <c r="AK1034" s="112" t="s">
        <v>190</v>
      </c>
      <c r="AL1034" s="112">
        <v>905726</v>
      </c>
      <c r="AM1034" s="112" t="s">
        <v>1066</v>
      </c>
      <c r="AN1034" s="112" t="s">
        <v>1066</v>
      </c>
    </row>
    <row r="1035" spans="1:40" ht="55.5" customHeight="1" x14ac:dyDescent="0.25">
      <c r="A1035" s="111" t="s">
        <v>4697</v>
      </c>
      <c r="B1035" s="112">
        <v>2026</v>
      </c>
      <c r="C1035" s="112" t="s">
        <v>1213</v>
      </c>
      <c r="D1035" s="113">
        <v>46122.549942129626</v>
      </c>
      <c r="E1035" s="112">
        <v>7900550154</v>
      </c>
      <c r="F1035" s="112" t="s">
        <v>1628</v>
      </c>
      <c r="G1035" s="112">
        <v>3</v>
      </c>
      <c r="H1035" s="112">
        <v>7900550154</v>
      </c>
      <c r="I1035" s="112" t="s">
        <v>4698</v>
      </c>
      <c r="J1035" s="112" t="s">
        <v>1066</v>
      </c>
      <c r="K1035" s="112" t="s">
        <v>1125</v>
      </c>
      <c r="L1035" s="112" t="s">
        <v>1061</v>
      </c>
      <c r="M1035" s="112" t="s">
        <v>478</v>
      </c>
      <c r="N1035" s="113">
        <v>46522.549942129626</v>
      </c>
      <c r="O1035" s="114">
        <v>19002295949</v>
      </c>
      <c r="P1035" s="112">
        <v>452</v>
      </c>
      <c r="Q1035" s="112" t="s">
        <v>1062</v>
      </c>
      <c r="R1035" s="112" t="s">
        <v>1063</v>
      </c>
      <c r="S1035" s="113">
        <v>46128.729166666664</v>
      </c>
      <c r="T1035" s="112" t="s">
        <v>4699</v>
      </c>
      <c r="U1035" s="112" t="s">
        <v>1065</v>
      </c>
      <c r="V1035" s="112" t="s">
        <v>1066</v>
      </c>
      <c r="W1035" s="112" t="s">
        <v>1066</v>
      </c>
      <c r="X1035" s="112" t="s">
        <v>1066</v>
      </c>
      <c r="Y1035" s="112" t="s">
        <v>1066</v>
      </c>
      <c r="Z1035" s="112" t="s">
        <v>1066</v>
      </c>
      <c r="AA1035" s="112" t="s">
        <v>1067</v>
      </c>
      <c r="AB1035" s="112" t="s">
        <v>1066</v>
      </c>
      <c r="AC1035" s="112" t="s">
        <v>92</v>
      </c>
      <c r="AD1035" s="112" t="s">
        <v>1066</v>
      </c>
      <c r="AE1035" s="112" t="s">
        <v>1066</v>
      </c>
      <c r="AF1035" s="112" t="s">
        <v>1066</v>
      </c>
      <c r="AG1035" s="112" t="s">
        <v>1066</v>
      </c>
      <c r="AH1035" s="112" t="s">
        <v>1066</v>
      </c>
      <c r="AI1035" s="112" t="s">
        <v>785</v>
      </c>
      <c r="AJ1035" s="112">
        <v>9102815</v>
      </c>
      <c r="AK1035" s="112" t="s">
        <v>1631</v>
      </c>
      <c r="AL1035" s="112">
        <v>709597</v>
      </c>
      <c r="AM1035" s="112" t="s">
        <v>1066</v>
      </c>
      <c r="AN1035" s="112" t="s">
        <v>1066</v>
      </c>
    </row>
    <row r="1036" spans="1:40" ht="55.5" customHeight="1" x14ac:dyDescent="0.25">
      <c r="A1036" s="111" t="s">
        <v>4700</v>
      </c>
      <c r="B1036" s="112">
        <v>2026</v>
      </c>
      <c r="C1036" s="112" t="s">
        <v>1089</v>
      </c>
      <c r="D1036" s="113">
        <v>46028.453888888886</v>
      </c>
      <c r="E1036" s="112">
        <v>7901537094</v>
      </c>
      <c r="F1036" s="112" t="s">
        <v>302</v>
      </c>
      <c r="G1036" s="112">
        <v>3</v>
      </c>
      <c r="H1036" s="112">
        <v>7901537094</v>
      </c>
      <c r="I1036" s="112" t="s">
        <v>4701</v>
      </c>
      <c r="J1036" s="112" t="s">
        <v>1092</v>
      </c>
      <c r="K1036" s="112" t="s">
        <v>1093</v>
      </c>
      <c r="L1036" s="112" t="s">
        <v>1061</v>
      </c>
      <c r="M1036" s="112" t="s">
        <v>478</v>
      </c>
      <c r="N1036" s="113">
        <v>46428.453888888886</v>
      </c>
      <c r="O1036" s="114">
        <v>19002223493</v>
      </c>
      <c r="P1036" s="112">
        <v>390</v>
      </c>
      <c r="Q1036" s="112" t="s">
        <v>1062</v>
      </c>
      <c r="R1036" s="112" t="s">
        <v>1063</v>
      </c>
      <c r="S1036" s="113">
        <v>46035.427083333336</v>
      </c>
      <c r="T1036" s="112" t="s">
        <v>4702</v>
      </c>
      <c r="U1036" s="112" t="s">
        <v>1065</v>
      </c>
      <c r="V1036" s="112" t="s">
        <v>1066</v>
      </c>
      <c r="W1036" s="112" t="s">
        <v>1066</v>
      </c>
      <c r="X1036" s="112" t="s">
        <v>1066</v>
      </c>
      <c r="Y1036" s="112" t="s">
        <v>1066</v>
      </c>
      <c r="Z1036" s="112" t="s">
        <v>1066</v>
      </c>
      <c r="AA1036" s="112" t="s">
        <v>1067</v>
      </c>
      <c r="AB1036" s="112" t="s">
        <v>1066</v>
      </c>
      <c r="AC1036" s="112" t="s">
        <v>92</v>
      </c>
      <c r="AD1036" s="112" t="s">
        <v>1066</v>
      </c>
      <c r="AE1036" s="112" t="s">
        <v>1066</v>
      </c>
      <c r="AF1036" s="112" t="s">
        <v>1066</v>
      </c>
      <c r="AG1036" s="112" t="s">
        <v>1066</v>
      </c>
      <c r="AH1036" s="112" t="s">
        <v>1066</v>
      </c>
      <c r="AI1036" s="112" t="s">
        <v>785</v>
      </c>
      <c r="AJ1036" s="112">
        <v>8717946</v>
      </c>
      <c r="AK1036" s="112" t="s">
        <v>224</v>
      </c>
      <c r="AL1036" s="112">
        <v>769175</v>
      </c>
      <c r="AM1036" s="112" t="s">
        <v>1066</v>
      </c>
      <c r="AN1036" s="112" t="s">
        <v>1066</v>
      </c>
    </row>
    <row r="1037" spans="1:40" ht="55.5" customHeight="1" x14ac:dyDescent="0.25">
      <c r="A1037" s="111" t="s">
        <v>4703</v>
      </c>
      <c r="B1037" s="112">
        <v>2026</v>
      </c>
      <c r="C1037" s="112" t="s">
        <v>4704</v>
      </c>
      <c r="D1037" s="113">
        <v>46092.696793981479</v>
      </c>
      <c r="E1037" s="112">
        <v>310146048</v>
      </c>
      <c r="F1037" s="112" t="s">
        <v>1807</v>
      </c>
      <c r="G1037" s="112">
        <v>3</v>
      </c>
      <c r="H1037" s="112">
        <v>7960538048</v>
      </c>
      <c r="I1037" s="112" t="s">
        <v>4705</v>
      </c>
      <c r="J1037" s="112" t="s">
        <v>1157</v>
      </c>
      <c r="K1037" s="112" t="s">
        <v>1417</v>
      </c>
      <c r="L1037" s="112" t="s">
        <v>1084</v>
      </c>
      <c r="M1037" s="112" t="s">
        <v>478</v>
      </c>
      <c r="N1037" s="113">
        <v>46152.696793981479</v>
      </c>
      <c r="O1037" s="114">
        <v>19002789729</v>
      </c>
      <c r="P1037" s="112">
        <v>2</v>
      </c>
      <c r="Q1037" s="112" t="s">
        <v>1131</v>
      </c>
      <c r="R1037" s="112" t="s">
        <v>1063</v>
      </c>
      <c r="S1037" s="113">
        <v>46094.729166666664</v>
      </c>
      <c r="T1037" s="112" t="s">
        <v>4706</v>
      </c>
      <c r="U1037" s="112" t="s">
        <v>1065</v>
      </c>
      <c r="V1037" s="112" t="s">
        <v>1066</v>
      </c>
      <c r="W1037" s="112" t="s">
        <v>1066</v>
      </c>
      <c r="X1037" s="112" t="s">
        <v>983</v>
      </c>
      <c r="Y1037" s="112" t="s">
        <v>1066</v>
      </c>
      <c r="Z1037" s="112" t="s">
        <v>1133</v>
      </c>
      <c r="AA1037" s="112" t="s">
        <v>1067</v>
      </c>
      <c r="AB1037" s="112" t="s">
        <v>1066</v>
      </c>
      <c r="AC1037" s="112" t="s">
        <v>92</v>
      </c>
      <c r="AD1037" s="112" t="s">
        <v>1066</v>
      </c>
      <c r="AE1037" s="112" t="s">
        <v>1066</v>
      </c>
      <c r="AF1037" s="112" t="s">
        <v>1066</v>
      </c>
      <c r="AG1037" s="112" t="s">
        <v>1066</v>
      </c>
      <c r="AH1037" s="112" t="s">
        <v>1066</v>
      </c>
      <c r="AI1037" s="112" t="s">
        <v>785</v>
      </c>
      <c r="AJ1037" s="112">
        <v>9009306</v>
      </c>
      <c r="AK1037" s="112" t="s">
        <v>1811</v>
      </c>
      <c r="AL1037" s="112">
        <v>775628</v>
      </c>
      <c r="AM1037" s="112" t="s">
        <v>1066</v>
      </c>
      <c r="AN1037" s="112" t="s">
        <v>1066</v>
      </c>
    </row>
    <row r="1038" spans="1:40" ht="55.5" customHeight="1" x14ac:dyDescent="0.25">
      <c r="A1038" s="124" t="s">
        <v>4707</v>
      </c>
      <c r="B1038" s="125">
        <v>2026</v>
      </c>
      <c r="C1038" s="125" t="s">
        <v>4501</v>
      </c>
      <c r="D1038" s="126">
        <v>46254.452199074076</v>
      </c>
      <c r="E1038" s="125">
        <v>9007565122</v>
      </c>
      <c r="F1038" s="125" t="s">
        <v>4572</v>
      </c>
      <c r="G1038" s="125">
        <v>2</v>
      </c>
      <c r="H1038" s="125">
        <v>7907258122</v>
      </c>
      <c r="I1038" s="125" t="s">
        <v>4708</v>
      </c>
      <c r="J1038" s="125" t="s">
        <v>1157</v>
      </c>
      <c r="K1038" s="125" t="s">
        <v>1158</v>
      </c>
      <c r="L1038" s="125" t="s">
        <v>1084</v>
      </c>
      <c r="M1038" s="125" t="s">
        <v>510</v>
      </c>
      <c r="N1038" s="126">
        <v>46314.452199074076</v>
      </c>
      <c r="O1038" s="127">
        <v>19000093287</v>
      </c>
      <c r="P1038" s="125">
        <v>5.5970000000000004</v>
      </c>
      <c r="Q1038" s="125" t="s">
        <v>1131</v>
      </c>
      <c r="R1038" s="125" t="s">
        <v>1085</v>
      </c>
      <c r="S1038" s="125" t="s">
        <v>1066</v>
      </c>
      <c r="T1038" s="125" t="s">
        <v>1066</v>
      </c>
      <c r="U1038" s="125" t="s">
        <v>1066</v>
      </c>
      <c r="V1038" s="125" t="s">
        <v>1066</v>
      </c>
      <c r="W1038" s="125" t="s">
        <v>1066</v>
      </c>
      <c r="X1038" s="125" t="s">
        <v>1117</v>
      </c>
      <c r="Y1038" s="125" t="s">
        <v>1066</v>
      </c>
      <c r="Z1038" s="125" t="s">
        <v>1148</v>
      </c>
      <c r="AA1038" s="125" t="s">
        <v>1067</v>
      </c>
      <c r="AB1038" s="125" t="s">
        <v>1066</v>
      </c>
      <c r="AC1038" s="125" t="s">
        <v>92</v>
      </c>
      <c r="AD1038" s="125" t="s">
        <v>1142</v>
      </c>
      <c r="AE1038" s="125" t="s">
        <v>1066</v>
      </c>
      <c r="AF1038" s="125" t="s">
        <v>1066</v>
      </c>
      <c r="AG1038" s="125" t="s">
        <v>1066</v>
      </c>
      <c r="AH1038" s="125" t="s">
        <v>1066</v>
      </c>
      <c r="AI1038" s="125" t="s">
        <v>785</v>
      </c>
      <c r="AJ1038" s="125">
        <v>8875124</v>
      </c>
      <c r="AK1038" s="125" t="s">
        <v>264</v>
      </c>
      <c r="AL1038" s="125">
        <v>791402</v>
      </c>
      <c r="AM1038" s="125" t="s">
        <v>1066</v>
      </c>
      <c r="AN1038" s="125" t="s">
        <v>1066</v>
      </c>
    </row>
    <row r="1039" spans="1:40" ht="55.5" customHeight="1" x14ac:dyDescent="0.25">
      <c r="A1039" s="111" t="s">
        <v>4709</v>
      </c>
      <c r="B1039" s="112">
        <v>2026</v>
      </c>
      <c r="C1039" s="112" t="s">
        <v>1213</v>
      </c>
      <c r="D1039" s="113">
        <v>46122.549942129626</v>
      </c>
      <c r="E1039" s="112">
        <v>7913338154</v>
      </c>
      <c r="F1039" s="112" t="s">
        <v>1628</v>
      </c>
      <c r="G1039" s="112">
        <v>2</v>
      </c>
      <c r="H1039" s="112">
        <v>7913338154</v>
      </c>
      <c r="I1039" s="112" t="s">
        <v>4710</v>
      </c>
      <c r="J1039" s="112" t="s">
        <v>1066</v>
      </c>
      <c r="K1039" s="112" t="s">
        <v>1125</v>
      </c>
      <c r="L1039" s="112" t="s">
        <v>1061</v>
      </c>
      <c r="M1039" s="112" t="s">
        <v>478</v>
      </c>
      <c r="N1039" s="113">
        <v>46522.549942129626</v>
      </c>
      <c r="O1039" s="114">
        <v>19002259294</v>
      </c>
      <c r="P1039" s="112">
        <v>919</v>
      </c>
      <c r="Q1039" s="112" t="s">
        <v>1062</v>
      </c>
      <c r="R1039" s="112" t="s">
        <v>1063</v>
      </c>
      <c r="S1039" s="113">
        <v>46128.729166666664</v>
      </c>
      <c r="T1039" s="112" t="s">
        <v>4711</v>
      </c>
      <c r="U1039" s="112" t="s">
        <v>1065</v>
      </c>
      <c r="V1039" s="112" t="s">
        <v>1066</v>
      </c>
      <c r="W1039" s="112" t="s">
        <v>1066</v>
      </c>
      <c r="X1039" s="112" t="s">
        <v>1066</v>
      </c>
      <c r="Y1039" s="112" t="s">
        <v>1066</v>
      </c>
      <c r="Z1039" s="112" t="s">
        <v>1066</v>
      </c>
      <c r="AA1039" s="112" t="s">
        <v>1067</v>
      </c>
      <c r="AB1039" s="112" t="s">
        <v>1066</v>
      </c>
      <c r="AC1039" s="112" t="s">
        <v>92</v>
      </c>
      <c r="AD1039" s="112" t="s">
        <v>1066</v>
      </c>
      <c r="AE1039" s="112" t="s">
        <v>1066</v>
      </c>
      <c r="AF1039" s="112" t="s">
        <v>1066</v>
      </c>
      <c r="AG1039" s="112" t="s">
        <v>1066</v>
      </c>
      <c r="AH1039" s="112" t="s">
        <v>1066</v>
      </c>
      <c r="AI1039" s="112" t="s">
        <v>785</v>
      </c>
      <c r="AJ1039" s="112">
        <v>9102337</v>
      </c>
      <c r="AK1039" s="112" t="s">
        <v>1631</v>
      </c>
      <c r="AL1039" s="112">
        <v>709816</v>
      </c>
      <c r="AM1039" s="112" t="s">
        <v>1066</v>
      </c>
      <c r="AN1039" s="112" t="s">
        <v>1066</v>
      </c>
    </row>
    <row r="1040" spans="1:40" ht="55.5" customHeight="1" x14ac:dyDescent="0.25">
      <c r="A1040" s="111" t="s">
        <v>4712</v>
      </c>
      <c r="B1040" s="112">
        <v>2026</v>
      </c>
      <c r="C1040" s="112" t="s">
        <v>1057</v>
      </c>
      <c r="D1040" s="113">
        <v>46125.584386574075</v>
      </c>
      <c r="E1040" s="112">
        <v>7936003094</v>
      </c>
      <c r="F1040" s="112" t="s">
        <v>1236</v>
      </c>
      <c r="G1040" s="112">
        <v>2</v>
      </c>
      <c r="H1040" s="112">
        <v>7936003094</v>
      </c>
      <c r="I1040" s="112" t="s">
        <v>4713</v>
      </c>
      <c r="J1040" s="112" t="s">
        <v>1066</v>
      </c>
      <c r="K1040" s="112" t="s">
        <v>1125</v>
      </c>
      <c r="L1040" s="112" t="s">
        <v>1061</v>
      </c>
      <c r="M1040" s="112" t="s">
        <v>478</v>
      </c>
      <c r="N1040" s="113">
        <v>46525.584386574075</v>
      </c>
      <c r="O1040" s="114">
        <v>19002208687</v>
      </c>
      <c r="P1040" s="112">
        <v>2.319</v>
      </c>
      <c r="Q1040" s="112" t="s">
        <v>1062</v>
      </c>
      <c r="R1040" s="112" t="s">
        <v>1063</v>
      </c>
      <c r="S1040" s="113">
        <v>46189.400520833333</v>
      </c>
      <c r="T1040" s="112" t="s">
        <v>4714</v>
      </c>
      <c r="U1040" s="112" t="s">
        <v>1065</v>
      </c>
      <c r="V1040" s="112" t="s">
        <v>1066</v>
      </c>
      <c r="W1040" s="112" t="s">
        <v>1066</v>
      </c>
      <c r="X1040" s="112" t="s">
        <v>1066</v>
      </c>
      <c r="Y1040" s="112" t="s">
        <v>1066</v>
      </c>
      <c r="Z1040" s="112" t="s">
        <v>1066</v>
      </c>
      <c r="AA1040" s="112" t="s">
        <v>1067</v>
      </c>
      <c r="AB1040" s="112" t="s">
        <v>1066</v>
      </c>
      <c r="AC1040" s="112" t="s">
        <v>92</v>
      </c>
      <c r="AD1040" s="112" t="s">
        <v>1066</v>
      </c>
      <c r="AE1040" s="112" t="s">
        <v>1066</v>
      </c>
      <c r="AF1040" s="112" t="s">
        <v>1066</v>
      </c>
      <c r="AG1040" s="112" t="s">
        <v>1066</v>
      </c>
      <c r="AH1040" s="112" t="s">
        <v>1066</v>
      </c>
      <c r="AI1040" s="112" t="s">
        <v>785</v>
      </c>
      <c r="AJ1040" s="112">
        <v>8633600</v>
      </c>
      <c r="AK1040" s="112" t="s">
        <v>224</v>
      </c>
      <c r="AL1040" s="112">
        <v>756845</v>
      </c>
      <c r="AM1040" s="112" t="s">
        <v>1066</v>
      </c>
      <c r="AN1040" s="112" t="s">
        <v>1066</v>
      </c>
    </row>
    <row r="1041" spans="1:40" ht="55.5" customHeight="1" x14ac:dyDescent="0.25">
      <c r="A1041" s="115" t="s">
        <v>4715</v>
      </c>
      <c r="B1041" s="116">
        <v>2026</v>
      </c>
      <c r="C1041" s="116" t="s">
        <v>4716</v>
      </c>
      <c r="D1041" s="118">
        <v>46031.696747685186</v>
      </c>
      <c r="E1041" s="116">
        <v>7925732016</v>
      </c>
      <c r="F1041" s="116" t="s">
        <v>1654</v>
      </c>
      <c r="G1041" s="116">
        <v>3</v>
      </c>
      <c r="H1041" s="116">
        <v>7925732016</v>
      </c>
      <c r="I1041" s="116" t="s">
        <v>4717</v>
      </c>
      <c r="J1041" s="116" t="s">
        <v>1071</v>
      </c>
      <c r="K1041" s="116" t="s">
        <v>1379</v>
      </c>
      <c r="L1041" s="116" t="s">
        <v>1073</v>
      </c>
      <c r="M1041" s="116" t="s">
        <v>588</v>
      </c>
      <c r="N1041" s="118">
        <v>46039.633877314816</v>
      </c>
      <c r="O1041" s="119">
        <v>19002400702</v>
      </c>
      <c r="P1041" s="116">
        <v>463</v>
      </c>
      <c r="Q1041" s="116" t="s">
        <v>1062</v>
      </c>
      <c r="R1041" s="116" t="s">
        <v>1075</v>
      </c>
      <c r="S1041" s="116" t="s">
        <v>1066</v>
      </c>
      <c r="T1041" s="116" t="s">
        <v>1066</v>
      </c>
      <c r="U1041" s="116" t="s">
        <v>1066</v>
      </c>
      <c r="V1041" s="116" t="s">
        <v>1066</v>
      </c>
      <c r="W1041" s="116" t="s">
        <v>1066</v>
      </c>
      <c r="X1041" s="116" t="s">
        <v>1066</v>
      </c>
      <c r="Y1041" s="116" t="s">
        <v>1066</v>
      </c>
      <c r="Z1041" s="116" t="s">
        <v>1066</v>
      </c>
      <c r="AA1041" s="116" t="s">
        <v>1067</v>
      </c>
      <c r="AB1041" s="116" t="s">
        <v>1066</v>
      </c>
      <c r="AC1041" s="116" t="s">
        <v>92</v>
      </c>
      <c r="AD1041" s="116" t="s">
        <v>1066</v>
      </c>
      <c r="AE1041" s="116" t="s">
        <v>1066</v>
      </c>
      <c r="AF1041" s="116" t="s">
        <v>1066</v>
      </c>
      <c r="AG1041" s="116" t="s">
        <v>1066</v>
      </c>
      <c r="AH1041" s="116" t="s">
        <v>1066</v>
      </c>
      <c r="AI1041" s="116" t="s">
        <v>785</v>
      </c>
      <c r="AJ1041" s="116">
        <v>9216317</v>
      </c>
      <c r="AK1041" s="116" t="s">
        <v>537</v>
      </c>
      <c r="AL1041" s="116">
        <v>815633</v>
      </c>
      <c r="AM1041" s="116" t="s">
        <v>1066</v>
      </c>
      <c r="AN1041" s="116" t="s">
        <v>1066</v>
      </c>
    </row>
    <row r="1042" spans="1:40" ht="55.5" customHeight="1" x14ac:dyDescent="0.25">
      <c r="A1042" s="111" t="s">
        <v>4718</v>
      </c>
      <c r="B1042" s="112">
        <v>2026</v>
      </c>
      <c r="C1042" s="112" t="s">
        <v>1213</v>
      </c>
      <c r="D1042" s="113">
        <v>46122.549942129626</v>
      </c>
      <c r="E1042" s="112">
        <v>7901212058</v>
      </c>
      <c r="F1042" s="112" t="s">
        <v>284</v>
      </c>
      <c r="G1042" s="112">
        <v>3</v>
      </c>
      <c r="H1042" s="112">
        <v>7901212058</v>
      </c>
      <c r="I1042" s="112" t="s">
        <v>4719</v>
      </c>
      <c r="J1042" s="112" t="s">
        <v>1066</v>
      </c>
      <c r="K1042" s="112" t="s">
        <v>1125</v>
      </c>
      <c r="L1042" s="112" t="s">
        <v>1061</v>
      </c>
      <c r="M1042" s="112" t="s">
        <v>478</v>
      </c>
      <c r="N1042" s="113">
        <v>46522.549942129626</v>
      </c>
      <c r="O1042" s="114">
        <v>19002212117</v>
      </c>
      <c r="P1042" s="112">
        <v>1.4730000000000001</v>
      </c>
      <c r="Q1042" s="112" t="s">
        <v>1062</v>
      </c>
      <c r="R1042" s="112" t="s">
        <v>1063</v>
      </c>
      <c r="S1042" s="113">
        <v>46134.729166666664</v>
      </c>
      <c r="T1042" s="112" t="s">
        <v>4720</v>
      </c>
      <c r="U1042" s="112" t="s">
        <v>1065</v>
      </c>
      <c r="V1042" s="112" t="s">
        <v>1066</v>
      </c>
      <c r="W1042" s="112" t="s">
        <v>1066</v>
      </c>
      <c r="X1042" s="112" t="s">
        <v>1066</v>
      </c>
      <c r="Y1042" s="112" t="s">
        <v>1066</v>
      </c>
      <c r="Z1042" s="112" t="s">
        <v>1066</v>
      </c>
      <c r="AA1042" s="112" t="s">
        <v>1067</v>
      </c>
      <c r="AB1042" s="112" t="s">
        <v>1066</v>
      </c>
      <c r="AC1042" s="112" t="s">
        <v>92</v>
      </c>
      <c r="AD1042" s="112" t="s">
        <v>1066</v>
      </c>
      <c r="AE1042" s="112" t="s">
        <v>1066</v>
      </c>
      <c r="AF1042" s="112" t="s">
        <v>1066</v>
      </c>
      <c r="AG1042" s="112" t="s">
        <v>1066</v>
      </c>
      <c r="AH1042" s="112" t="s">
        <v>1066</v>
      </c>
      <c r="AI1042" s="112" t="s">
        <v>785</v>
      </c>
      <c r="AJ1042" s="112">
        <v>9212062</v>
      </c>
      <c r="AK1042" s="112" t="s">
        <v>283</v>
      </c>
      <c r="AL1042" s="112">
        <v>750460</v>
      </c>
      <c r="AM1042" s="112" t="s">
        <v>1066</v>
      </c>
      <c r="AN1042" s="112" t="s">
        <v>1066</v>
      </c>
    </row>
    <row r="1043" spans="1:40" ht="55.5" customHeight="1" x14ac:dyDescent="0.25">
      <c r="A1043" s="111" t="s">
        <v>4721</v>
      </c>
      <c r="B1043" s="112">
        <v>2026</v>
      </c>
      <c r="C1043" s="112" t="s">
        <v>1089</v>
      </c>
      <c r="D1043" s="113">
        <v>46028.453888888886</v>
      </c>
      <c r="E1043" s="112">
        <v>7913656147</v>
      </c>
      <c r="F1043" s="112" t="s">
        <v>697</v>
      </c>
      <c r="G1043" s="112">
        <v>3</v>
      </c>
      <c r="H1043" s="112">
        <v>7913656147</v>
      </c>
      <c r="I1043" s="112" t="s">
        <v>4722</v>
      </c>
      <c r="J1043" s="112" t="s">
        <v>1092</v>
      </c>
      <c r="K1043" s="112" t="s">
        <v>1093</v>
      </c>
      <c r="L1043" s="112" t="s">
        <v>1061</v>
      </c>
      <c r="M1043" s="112" t="s">
        <v>478</v>
      </c>
      <c r="N1043" s="113">
        <v>46428.453888888886</v>
      </c>
      <c r="O1043" s="114">
        <v>19002295974</v>
      </c>
      <c r="P1043" s="112">
        <v>415</v>
      </c>
      <c r="Q1043" s="112" t="s">
        <v>1062</v>
      </c>
      <c r="R1043" s="112" t="s">
        <v>1063</v>
      </c>
      <c r="S1043" s="113">
        <v>46051.438194444447</v>
      </c>
      <c r="T1043" s="112" t="s">
        <v>4723</v>
      </c>
      <c r="U1043" s="112" t="s">
        <v>1065</v>
      </c>
      <c r="V1043" s="112" t="s">
        <v>1066</v>
      </c>
      <c r="W1043" s="112" t="s">
        <v>1066</v>
      </c>
      <c r="X1043" s="112" t="s">
        <v>1066</v>
      </c>
      <c r="Y1043" s="112" t="s">
        <v>1066</v>
      </c>
      <c r="Z1043" s="112" t="s">
        <v>1066</v>
      </c>
      <c r="AA1043" s="112" t="s">
        <v>1067</v>
      </c>
      <c r="AB1043" s="112" t="s">
        <v>1066</v>
      </c>
      <c r="AC1043" s="112" t="s">
        <v>92</v>
      </c>
      <c r="AD1043" s="112" t="s">
        <v>1066</v>
      </c>
      <c r="AE1043" s="112" t="s">
        <v>1066</v>
      </c>
      <c r="AF1043" s="112" t="s">
        <v>1066</v>
      </c>
      <c r="AG1043" s="112" t="s">
        <v>1066</v>
      </c>
      <c r="AH1043" s="112" t="s">
        <v>1066</v>
      </c>
      <c r="AI1043" s="112" t="s">
        <v>785</v>
      </c>
      <c r="AJ1043" s="112">
        <v>8644613</v>
      </c>
      <c r="AK1043" s="112" t="s">
        <v>547</v>
      </c>
      <c r="AL1043" s="112">
        <v>934644</v>
      </c>
      <c r="AM1043" s="112" t="s">
        <v>1066</v>
      </c>
      <c r="AN1043" s="112" t="s">
        <v>1066</v>
      </c>
    </row>
    <row r="1044" spans="1:40" ht="55.5" customHeight="1" x14ac:dyDescent="0.25">
      <c r="A1044" s="111" t="s">
        <v>4724</v>
      </c>
      <c r="B1044" s="112">
        <v>2026</v>
      </c>
      <c r="C1044" s="112" t="s">
        <v>4725</v>
      </c>
      <c r="D1044" s="113">
        <v>45547.463912037034</v>
      </c>
      <c r="E1044" s="112">
        <v>8808080122</v>
      </c>
      <c r="F1044" s="112" t="s">
        <v>1633</v>
      </c>
      <c r="G1044" s="112">
        <v>2</v>
      </c>
      <c r="H1044" s="112">
        <v>7957163122</v>
      </c>
      <c r="I1044" s="112" t="s">
        <v>4726</v>
      </c>
      <c r="J1044" s="112" t="s">
        <v>1231</v>
      </c>
      <c r="K1044" s="112" t="s">
        <v>1403</v>
      </c>
      <c r="L1044" s="112" t="s">
        <v>1061</v>
      </c>
      <c r="M1044" s="112" t="s">
        <v>478</v>
      </c>
      <c r="N1044" s="113">
        <v>46494.565127314818</v>
      </c>
      <c r="O1044" s="114">
        <v>19002734678</v>
      </c>
      <c r="P1044" s="112">
        <v>3.3420000000000001</v>
      </c>
      <c r="Q1044" s="112" t="s">
        <v>1131</v>
      </c>
      <c r="R1044" s="112" t="s">
        <v>3297</v>
      </c>
      <c r="S1044" s="113">
        <v>46195.479849537034</v>
      </c>
      <c r="T1044" s="112" t="s">
        <v>4727</v>
      </c>
      <c r="U1044" s="112" t="s">
        <v>1065</v>
      </c>
      <c r="V1044" s="112" t="s">
        <v>1066</v>
      </c>
      <c r="W1044" s="112" t="s">
        <v>1066</v>
      </c>
      <c r="X1044" s="112" t="s">
        <v>983</v>
      </c>
      <c r="Y1044" s="112" t="s">
        <v>1066</v>
      </c>
      <c r="Z1044" s="112" t="s">
        <v>1066</v>
      </c>
      <c r="AA1044" s="112" t="s">
        <v>1208</v>
      </c>
      <c r="AB1044" s="112" t="s">
        <v>1066</v>
      </c>
      <c r="AC1044" s="112" t="s">
        <v>92</v>
      </c>
      <c r="AD1044" s="112" t="s">
        <v>1066</v>
      </c>
      <c r="AE1044" s="112" t="s">
        <v>1066</v>
      </c>
      <c r="AF1044" s="112" t="s">
        <v>1066</v>
      </c>
      <c r="AG1044" s="112" t="s">
        <v>1066</v>
      </c>
      <c r="AH1044" s="112" t="s">
        <v>4728</v>
      </c>
      <c r="AI1044" s="112" t="s">
        <v>785</v>
      </c>
      <c r="AJ1044" s="112">
        <v>8870283</v>
      </c>
      <c r="AK1044" s="112" t="s">
        <v>264</v>
      </c>
      <c r="AL1044" s="112">
        <v>794384</v>
      </c>
      <c r="AM1044" s="112" t="s">
        <v>1066</v>
      </c>
      <c r="AN1044" s="112" t="s">
        <v>1066</v>
      </c>
    </row>
    <row r="1045" spans="1:40" ht="55.5" customHeight="1" x14ac:dyDescent="0.25">
      <c r="A1045" s="120" t="s">
        <v>4729</v>
      </c>
      <c r="B1045" s="121">
        <v>2026</v>
      </c>
      <c r="C1045" s="121" t="s">
        <v>4730</v>
      </c>
      <c r="D1045" s="122">
        <v>46062.579652777778</v>
      </c>
      <c r="E1045" s="121">
        <v>7900594026</v>
      </c>
      <c r="F1045" s="121" t="s">
        <v>136</v>
      </c>
      <c r="G1045" s="121">
        <v>2</v>
      </c>
      <c r="H1045" s="121">
        <v>7900594026</v>
      </c>
      <c r="I1045" s="121" t="s">
        <v>3754</v>
      </c>
      <c r="J1045" s="121" t="s">
        <v>1157</v>
      </c>
      <c r="K1045" s="121" t="s">
        <v>1158</v>
      </c>
      <c r="L1045" s="121" t="s">
        <v>1084</v>
      </c>
      <c r="M1045" s="121" t="s">
        <v>1116</v>
      </c>
      <c r="N1045" s="122">
        <v>46243.465312499997</v>
      </c>
      <c r="O1045" s="123">
        <v>19002260126</v>
      </c>
      <c r="P1045" s="121">
        <v>2.7269999999999999</v>
      </c>
      <c r="Q1045" s="121" t="s">
        <v>1062</v>
      </c>
      <c r="R1045" s="121" t="s">
        <v>1198</v>
      </c>
      <c r="S1045" s="122">
        <v>46183.590277777781</v>
      </c>
      <c r="T1045" s="121" t="s">
        <v>1066</v>
      </c>
      <c r="U1045" s="121" t="s">
        <v>1066</v>
      </c>
      <c r="V1045" s="121" t="s">
        <v>1066</v>
      </c>
      <c r="W1045" s="121" t="s">
        <v>1066</v>
      </c>
      <c r="X1045" s="121" t="s">
        <v>1117</v>
      </c>
      <c r="Y1045" s="121" t="s">
        <v>1066</v>
      </c>
      <c r="Z1045" s="121" t="s">
        <v>2152</v>
      </c>
      <c r="AA1045" s="121" t="s">
        <v>1208</v>
      </c>
      <c r="AB1045" s="121" t="s">
        <v>1066</v>
      </c>
      <c r="AC1045" s="121" t="s">
        <v>92</v>
      </c>
      <c r="AD1045" s="121" t="s">
        <v>1066</v>
      </c>
      <c r="AE1045" s="121" t="s">
        <v>1066</v>
      </c>
      <c r="AF1045" s="121" t="s">
        <v>1066</v>
      </c>
      <c r="AG1045" s="121" t="s">
        <v>1066</v>
      </c>
      <c r="AH1045" s="121" t="s">
        <v>1066</v>
      </c>
      <c r="AI1045" s="121" t="s">
        <v>785</v>
      </c>
      <c r="AJ1045" s="121">
        <v>8809524</v>
      </c>
      <c r="AK1045" s="121" t="s">
        <v>792</v>
      </c>
      <c r="AL1045" s="121">
        <v>879287</v>
      </c>
      <c r="AM1045" s="121" t="s">
        <v>1066</v>
      </c>
      <c r="AN1045" s="121" t="s">
        <v>1066</v>
      </c>
    </row>
    <row r="1046" spans="1:40" ht="55.5" customHeight="1" x14ac:dyDescent="0.25">
      <c r="A1046" s="120" t="s">
        <v>4731</v>
      </c>
      <c r="B1046" s="121">
        <v>2026</v>
      </c>
      <c r="C1046" s="121" t="s">
        <v>3103</v>
      </c>
      <c r="D1046" s="122">
        <v>46141.622881944444</v>
      </c>
      <c r="E1046" s="121">
        <v>8837969025</v>
      </c>
      <c r="F1046" s="121" t="s">
        <v>95</v>
      </c>
      <c r="G1046" s="121">
        <v>1</v>
      </c>
      <c r="H1046" s="121">
        <v>5856825025</v>
      </c>
      <c r="I1046" s="121" t="s">
        <v>4732</v>
      </c>
      <c r="J1046" s="121" t="s">
        <v>1071</v>
      </c>
      <c r="K1046" s="121" t="s">
        <v>1171</v>
      </c>
      <c r="L1046" s="121" t="s">
        <v>1073</v>
      </c>
      <c r="M1046" s="121" t="s">
        <v>1116</v>
      </c>
      <c r="N1046" s="122">
        <v>46144.622881944444</v>
      </c>
      <c r="O1046" s="123">
        <v>19002770943</v>
      </c>
      <c r="P1046" s="121">
        <v>2.8149999999999999</v>
      </c>
      <c r="Q1046" s="121" t="s">
        <v>1074</v>
      </c>
      <c r="R1046" s="121" t="s">
        <v>1263</v>
      </c>
      <c r="S1046" s="122">
        <v>46147.39335648148</v>
      </c>
      <c r="T1046" s="121" t="s">
        <v>1066</v>
      </c>
      <c r="U1046" s="121" t="s">
        <v>1066</v>
      </c>
      <c r="V1046" s="121" t="s">
        <v>1066</v>
      </c>
      <c r="W1046" s="121" t="s">
        <v>1066</v>
      </c>
      <c r="X1046" s="121" t="s">
        <v>1173</v>
      </c>
      <c r="Y1046" s="121" t="s">
        <v>1066</v>
      </c>
      <c r="Z1046" s="121" t="s">
        <v>1479</v>
      </c>
      <c r="AA1046" s="121" t="s">
        <v>1067</v>
      </c>
      <c r="AB1046" s="121" t="s">
        <v>1066</v>
      </c>
      <c r="AC1046" s="121" t="s">
        <v>92</v>
      </c>
      <c r="AD1046" s="121" t="s">
        <v>1066</v>
      </c>
      <c r="AE1046" s="121" t="s">
        <v>1066</v>
      </c>
      <c r="AF1046" s="121" t="s">
        <v>1066</v>
      </c>
      <c r="AG1046" s="121" t="s">
        <v>1066</v>
      </c>
      <c r="AH1046" s="121" t="s">
        <v>1066</v>
      </c>
      <c r="AI1046" s="121" t="s">
        <v>785</v>
      </c>
      <c r="AJ1046" s="121">
        <v>9150284</v>
      </c>
      <c r="AK1046" s="121" t="s">
        <v>93</v>
      </c>
      <c r="AL1046" s="121">
        <v>719553</v>
      </c>
      <c r="AM1046" s="121" t="s">
        <v>1066</v>
      </c>
      <c r="AN1046" s="121" t="s">
        <v>1066</v>
      </c>
    </row>
    <row r="1047" spans="1:40" ht="55.5" customHeight="1" x14ac:dyDescent="0.25">
      <c r="A1047" s="120" t="s">
        <v>4733</v>
      </c>
      <c r="B1047" s="121">
        <v>2026</v>
      </c>
      <c r="C1047" s="121" t="s">
        <v>4734</v>
      </c>
      <c r="D1047" s="122">
        <v>46042.90042824074</v>
      </c>
      <c r="E1047" s="121">
        <v>7900453110</v>
      </c>
      <c r="F1047" s="121" t="s">
        <v>186</v>
      </c>
      <c r="G1047" s="121">
        <v>2</v>
      </c>
      <c r="H1047" s="121">
        <v>7900453110</v>
      </c>
      <c r="I1047" s="121" t="s">
        <v>4124</v>
      </c>
      <c r="J1047" s="121" t="s">
        <v>1071</v>
      </c>
      <c r="K1047" s="121" t="s">
        <v>1282</v>
      </c>
      <c r="L1047" s="121" t="s">
        <v>1073</v>
      </c>
      <c r="M1047" s="121" t="s">
        <v>1116</v>
      </c>
      <c r="N1047" s="122">
        <v>46045.90042824074</v>
      </c>
      <c r="O1047" s="123">
        <v>19002295968</v>
      </c>
      <c r="P1047" s="121">
        <v>0</v>
      </c>
      <c r="Q1047" s="121" t="s">
        <v>1062</v>
      </c>
      <c r="R1047" s="121" t="s">
        <v>1075</v>
      </c>
      <c r="S1047" s="122">
        <v>46093.53087962963</v>
      </c>
      <c r="T1047" s="121" t="s">
        <v>1066</v>
      </c>
      <c r="U1047" s="121" t="s">
        <v>1066</v>
      </c>
      <c r="V1047" s="121" t="s">
        <v>1066</v>
      </c>
      <c r="W1047" s="121" t="s">
        <v>1066</v>
      </c>
      <c r="X1047" s="121" t="s">
        <v>983</v>
      </c>
      <c r="Y1047" s="121" t="s">
        <v>1066</v>
      </c>
      <c r="Z1047" s="121" t="s">
        <v>1078</v>
      </c>
      <c r="AA1047" s="121" t="s">
        <v>1067</v>
      </c>
      <c r="AB1047" s="121" t="s">
        <v>1066</v>
      </c>
      <c r="AC1047" s="121" t="s">
        <v>92</v>
      </c>
      <c r="AD1047" s="121" t="s">
        <v>1066</v>
      </c>
      <c r="AE1047" s="121" t="s">
        <v>1066</v>
      </c>
      <c r="AF1047" s="121" t="s">
        <v>1066</v>
      </c>
      <c r="AG1047" s="121" t="s">
        <v>1066</v>
      </c>
      <c r="AH1047" s="121" t="s">
        <v>1066</v>
      </c>
      <c r="AI1047" s="121" t="s">
        <v>785</v>
      </c>
      <c r="AJ1047" s="121">
        <v>8773164</v>
      </c>
      <c r="AK1047" s="121" t="s">
        <v>185</v>
      </c>
      <c r="AL1047" s="121">
        <v>727212</v>
      </c>
      <c r="AM1047" s="121" t="s">
        <v>1066</v>
      </c>
      <c r="AN1047" s="121" t="s">
        <v>1066</v>
      </c>
    </row>
    <row r="1048" spans="1:40" ht="55.5" customHeight="1" x14ac:dyDescent="0.25">
      <c r="A1048" s="111" t="s">
        <v>4735</v>
      </c>
      <c r="B1048" s="112">
        <v>2026</v>
      </c>
      <c r="C1048" s="112" t="s">
        <v>1089</v>
      </c>
      <c r="D1048" s="113">
        <v>46028.41065972222</v>
      </c>
      <c r="E1048" s="112">
        <v>7908253086</v>
      </c>
      <c r="F1048" s="112" t="s">
        <v>682</v>
      </c>
      <c r="G1048" s="112">
        <v>2</v>
      </c>
      <c r="H1048" s="112">
        <v>7908253086</v>
      </c>
      <c r="I1048" s="112" t="s">
        <v>2906</v>
      </c>
      <c r="J1048" s="112" t="s">
        <v>1092</v>
      </c>
      <c r="K1048" s="112" t="s">
        <v>1093</v>
      </c>
      <c r="L1048" s="112" t="s">
        <v>1061</v>
      </c>
      <c r="M1048" s="112" t="s">
        <v>478</v>
      </c>
      <c r="N1048" s="113">
        <v>46428.41065972222</v>
      </c>
      <c r="O1048" s="114">
        <v>19002261028</v>
      </c>
      <c r="P1048" s="112">
        <v>174</v>
      </c>
      <c r="Q1048" s="112" t="s">
        <v>1062</v>
      </c>
      <c r="R1048" s="112" t="s">
        <v>1063</v>
      </c>
      <c r="S1048" s="113">
        <v>46078.650659722225</v>
      </c>
      <c r="T1048" s="112" t="s">
        <v>2907</v>
      </c>
      <c r="U1048" s="112" t="s">
        <v>1065</v>
      </c>
      <c r="V1048" s="112" t="s">
        <v>1066</v>
      </c>
      <c r="W1048" s="112" t="s">
        <v>1066</v>
      </c>
      <c r="X1048" s="112" t="s">
        <v>1066</v>
      </c>
      <c r="Y1048" s="112" t="s">
        <v>1066</v>
      </c>
      <c r="Z1048" s="112" t="s">
        <v>1066</v>
      </c>
      <c r="AA1048" s="112" t="s">
        <v>1067</v>
      </c>
      <c r="AB1048" s="112" t="s">
        <v>1066</v>
      </c>
      <c r="AC1048" s="112" t="s">
        <v>92</v>
      </c>
      <c r="AD1048" s="112" t="s">
        <v>1066</v>
      </c>
      <c r="AE1048" s="112" t="s">
        <v>1066</v>
      </c>
      <c r="AF1048" s="112" t="s">
        <v>1066</v>
      </c>
      <c r="AG1048" s="112" t="s">
        <v>1066</v>
      </c>
      <c r="AH1048" s="112" t="s">
        <v>1066</v>
      </c>
      <c r="AI1048" s="112" t="s">
        <v>785</v>
      </c>
      <c r="AJ1048" s="112">
        <v>8919693</v>
      </c>
      <c r="AK1048" s="112" t="s">
        <v>1143</v>
      </c>
      <c r="AL1048" s="112">
        <v>662357</v>
      </c>
      <c r="AM1048" s="112" t="s">
        <v>1066</v>
      </c>
      <c r="AN1048" s="112" t="s">
        <v>1066</v>
      </c>
    </row>
    <row r="1049" spans="1:40" ht="55.5" customHeight="1" x14ac:dyDescent="0.25">
      <c r="A1049" s="124" t="s">
        <v>4736</v>
      </c>
      <c r="B1049" s="125">
        <v>2026</v>
      </c>
      <c r="C1049" s="125" t="s">
        <v>1449</v>
      </c>
      <c r="D1049" s="126">
        <v>46244.660034722219</v>
      </c>
      <c r="E1049" s="125">
        <v>7957025089</v>
      </c>
      <c r="F1049" s="125" t="s">
        <v>249</v>
      </c>
      <c r="G1049" s="125">
        <v>3</v>
      </c>
      <c r="H1049" s="125">
        <v>7957025089</v>
      </c>
      <c r="I1049" s="125" t="s">
        <v>4737</v>
      </c>
      <c r="J1049" s="125" t="s">
        <v>1066</v>
      </c>
      <c r="K1049" s="125" t="s">
        <v>1125</v>
      </c>
      <c r="L1049" s="125" t="s">
        <v>1061</v>
      </c>
      <c r="M1049" s="125" t="s">
        <v>510</v>
      </c>
      <c r="N1049" s="126">
        <v>46644.660034722219</v>
      </c>
      <c r="O1049" s="127">
        <v>19002743274</v>
      </c>
      <c r="P1049" s="125">
        <v>676</v>
      </c>
      <c r="Q1049" s="125" t="s">
        <v>1062</v>
      </c>
      <c r="R1049" s="125" t="s">
        <v>1063</v>
      </c>
      <c r="S1049" s="125" t="s">
        <v>1066</v>
      </c>
      <c r="T1049" s="125" t="s">
        <v>4738</v>
      </c>
      <c r="U1049" s="125" t="s">
        <v>1147</v>
      </c>
      <c r="V1049" s="125" t="s">
        <v>1066</v>
      </c>
      <c r="W1049" s="125" t="s">
        <v>1066</v>
      </c>
      <c r="X1049" s="125" t="s">
        <v>1066</v>
      </c>
      <c r="Y1049" s="125" t="s">
        <v>1066</v>
      </c>
      <c r="Z1049" s="125" t="s">
        <v>1066</v>
      </c>
      <c r="AA1049" s="125" t="s">
        <v>1067</v>
      </c>
      <c r="AB1049" s="125" t="s">
        <v>1066</v>
      </c>
      <c r="AC1049" s="125" t="s">
        <v>92</v>
      </c>
      <c r="AD1049" s="125" t="s">
        <v>1066</v>
      </c>
      <c r="AE1049" s="125" t="s">
        <v>1066</v>
      </c>
      <c r="AF1049" s="125" t="s">
        <v>1066</v>
      </c>
      <c r="AG1049" s="125" t="s">
        <v>1066</v>
      </c>
      <c r="AH1049" s="125" t="s">
        <v>1066</v>
      </c>
      <c r="AI1049" s="125" t="s">
        <v>785</v>
      </c>
      <c r="AJ1049" s="125">
        <v>8674299</v>
      </c>
      <c r="AK1049" s="125" t="s">
        <v>4739</v>
      </c>
      <c r="AL1049" s="125">
        <v>727906</v>
      </c>
      <c r="AM1049" s="125" t="s">
        <v>1066</v>
      </c>
      <c r="AN1049" s="125" t="s">
        <v>1066</v>
      </c>
    </row>
    <row r="1050" spans="1:40" ht="55.5" customHeight="1" x14ac:dyDescent="0.25">
      <c r="A1050" s="111" t="s">
        <v>4740</v>
      </c>
      <c r="B1050" s="112">
        <v>2026</v>
      </c>
      <c r="C1050" s="112" t="s">
        <v>4741</v>
      </c>
      <c r="D1050" s="113">
        <v>46036.98400462963</v>
      </c>
      <c r="E1050" s="112">
        <v>9000475078</v>
      </c>
      <c r="F1050" s="112" t="s">
        <v>170</v>
      </c>
      <c r="G1050" s="112">
        <v>3</v>
      </c>
      <c r="H1050" s="112">
        <v>7931219078</v>
      </c>
      <c r="I1050" s="112" t="s">
        <v>3175</v>
      </c>
      <c r="J1050" s="112" t="s">
        <v>1071</v>
      </c>
      <c r="K1050" s="112" t="s">
        <v>1130</v>
      </c>
      <c r="L1050" s="112" t="s">
        <v>1073</v>
      </c>
      <c r="M1050" s="112" t="s">
        <v>478</v>
      </c>
      <c r="N1050" s="113">
        <v>46039.98400462963</v>
      </c>
      <c r="O1050" s="114">
        <v>19001280863</v>
      </c>
      <c r="P1050" s="112">
        <v>345</v>
      </c>
      <c r="Q1050" s="112" t="s">
        <v>1131</v>
      </c>
      <c r="R1050" s="112" t="s">
        <v>1063</v>
      </c>
      <c r="S1050" s="113">
        <v>46056.645138888889</v>
      </c>
      <c r="T1050" s="112" t="s">
        <v>4742</v>
      </c>
      <c r="U1050" s="112" t="s">
        <v>1065</v>
      </c>
      <c r="V1050" s="112" t="s">
        <v>1066</v>
      </c>
      <c r="W1050" s="112" t="s">
        <v>1066</v>
      </c>
      <c r="X1050" s="112" t="s">
        <v>983</v>
      </c>
      <c r="Y1050" s="112" t="s">
        <v>1066</v>
      </c>
      <c r="Z1050" s="112" t="s">
        <v>1133</v>
      </c>
      <c r="AA1050" s="112" t="s">
        <v>1067</v>
      </c>
      <c r="AB1050" s="112" t="s">
        <v>1066</v>
      </c>
      <c r="AC1050" s="112" t="s">
        <v>92</v>
      </c>
      <c r="AD1050" s="112" t="s">
        <v>1142</v>
      </c>
      <c r="AE1050" s="112" t="s">
        <v>1066</v>
      </c>
      <c r="AF1050" s="112" t="s">
        <v>1066</v>
      </c>
      <c r="AG1050" s="112" t="s">
        <v>1066</v>
      </c>
      <c r="AH1050" s="112" t="s">
        <v>1066</v>
      </c>
      <c r="AI1050" s="112" t="s">
        <v>785</v>
      </c>
      <c r="AJ1050" s="112">
        <v>9047058</v>
      </c>
      <c r="AK1050" s="112" t="s">
        <v>396</v>
      </c>
      <c r="AL1050" s="112">
        <v>857972</v>
      </c>
      <c r="AM1050" s="112" t="s">
        <v>1066</v>
      </c>
      <c r="AN1050" s="112" t="s">
        <v>1066</v>
      </c>
    </row>
    <row r="1051" spans="1:40" ht="55.5" customHeight="1" x14ac:dyDescent="0.25">
      <c r="A1051" s="120" t="s">
        <v>4743</v>
      </c>
      <c r="B1051" s="121">
        <v>2026</v>
      </c>
      <c r="C1051" s="121" t="s">
        <v>4517</v>
      </c>
      <c r="D1051" s="122">
        <v>46068.404444444444</v>
      </c>
      <c r="E1051" s="121">
        <v>9004449004</v>
      </c>
      <c r="F1051" s="121" t="s">
        <v>1644</v>
      </c>
      <c r="G1051" s="121">
        <v>3</v>
      </c>
      <c r="H1051" s="121">
        <v>7927785004</v>
      </c>
      <c r="I1051" s="121" t="s">
        <v>4744</v>
      </c>
      <c r="J1051" s="121" t="s">
        <v>1071</v>
      </c>
      <c r="K1051" s="121" t="s">
        <v>2958</v>
      </c>
      <c r="L1051" s="121" t="s">
        <v>1073</v>
      </c>
      <c r="M1051" s="121" t="s">
        <v>1116</v>
      </c>
      <c r="N1051" s="122">
        <v>46071.404444444444</v>
      </c>
      <c r="O1051" s="123">
        <v>19001251309</v>
      </c>
      <c r="P1051" s="121">
        <v>0</v>
      </c>
      <c r="Q1051" s="121" t="s">
        <v>1131</v>
      </c>
      <c r="R1051" s="121" t="s">
        <v>1297</v>
      </c>
      <c r="S1051" s="122">
        <v>46094.49181712963</v>
      </c>
      <c r="T1051" s="121" t="s">
        <v>1066</v>
      </c>
      <c r="U1051" s="121" t="s">
        <v>1066</v>
      </c>
      <c r="V1051" s="121" t="s">
        <v>1066</v>
      </c>
      <c r="W1051" s="121" t="s">
        <v>1066</v>
      </c>
      <c r="X1051" s="121" t="s">
        <v>1117</v>
      </c>
      <c r="Y1051" s="121" t="s">
        <v>1066</v>
      </c>
      <c r="Z1051" s="121" t="s">
        <v>1148</v>
      </c>
      <c r="AA1051" s="121" t="s">
        <v>1208</v>
      </c>
      <c r="AB1051" s="121" t="s">
        <v>1066</v>
      </c>
      <c r="AC1051" s="121" t="s">
        <v>92</v>
      </c>
      <c r="AD1051" s="121" t="s">
        <v>1142</v>
      </c>
      <c r="AE1051" s="121" t="s">
        <v>1066</v>
      </c>
      <c r="AF1051" s="121" t="s">
        <v>1066</v>
      </c>
      <c r="AG1051" s="121" t="s">
        <v>1066</v>
      </c>
      <c r="AH1051" s="121" t="s">
        <v>1066</v>
      </c>
      <c r="AI1051" s="121" t="s">
        <v>785</v>
      </c>
      <c r="AJ1051" s="121">
        <v>9200882</v>
      </c>
      <c r="AK1051" s="121" t="s">
        <v>69</v>
      </c>
      <c r="AL1051" s="121">
        <v>806131</v>
      </c>
      <c r="AM1051" s="121" t="s">
        <v>1066</v>
      </c>
      <c r="AN1051" s="121" t="s">
        <v>1066</v>
      </c>
    </row>
    <row r="1052" spans="1:40" ht="55.5" customHeight="1" x14ac:dyDescent="0.25">
      <c r="A1052" s="115" t="s">
        <v>4745</v>
      </c>
      <c r="B1052" s="116">
        <v>2026</v>
      </c>
      <c r="C1052" s="116" t="s">
        <v>4746</v>
      </c>
      <c r="D1052" s="118">
        <v>46082.141087962962</v>
      </c>
      <c r="E1052" s="116">
        <v>7926078046</v>
      </c>
      <c r="F1052" s="116" t="s">
        <v>1219</v>
      </c>
      <c r="G1052" s="116">
        <v>3</v>
      </c>
      <c r="H1052" s="116">
        <v>7926078046</v>
      </c>
      <c r="I1052" s="116" t="s">
        <v>1220</v>
      </c>
      <c r="J1052" s="116" t="s">
        <v>1071</v>
      </c>
      <c r="K1052" s="116" t="s">
        <v>1282</v>
      </c>
      <c r="L1052" s="116" t="s">
        <v>1073</v>
      </c>
      <c r="M1052" s="116" t="s">
        <v>588</v>
      </c>
      <c r="N1052" s="118">
        <v>46102.680937500001</v>
      </c>
      <c r="O1052" s="119">
        <v>19002206318</v>
      </c>
      <c r="P1052" s="116">
        <v>219</v>
      </c>
      <c r="Q1052" s="116" t="s">
        <v>1062</v>
      </c>
      <c r="R1052" s="116" t="s">
        <v>1085</v>
      </c>
      <c r="S1052" s="116" t="s">
        <v>1066</v>
      </c>
      <c r="T1052" s="116" t="s">
        <v>1066</v>
      </c>
      <c r="U1052" s="116" t="s">
        <v>1066</v>
      </c>
      <c r="V1052" s="116" t="s">
        <v>1066</v>
      </c>
      <c r="W1052" s="116" t="s">
        <v>1066</v>
      </c>
      <c r="X1052" s="116" t="s">
        <v>983</v>
      </c>
      <c r="Y1052" s="116" t="s">
        <v>1066</v>
      </c>
      <c r="Z1052" s="116" t="s">
        <v>1532</v>
      </c>
      <c r="AA1052" s="116" t="s">
        <v>1067</v>
      </c>
      <c r="AB1052" s="116" t="s">
        <v>1066</v>
      </c>
      <c r="AC1052" s="116" t="s">
        <v>92</v>
      </c>
      <c r="AD1052" s="116" t="s">
        <v>1066</v>
      </c>
      <c r="AE1052" s="116" t="s">
        <v>1066</v>
      </c>
      <c r="AF1052" s="116" t="s">
        <v>1066</v>
      </c>
      <c r="AG1052" s="116" t="s">
        <v>1066</v>
      </c>
      <c r="AH1052" s="116" t="s">
        <v>4747</v>
      </c>
      <c r="AI1052" s="116" t="s">
        <v>785</v>
      </c>
      <c r="AJ1052" s="116">
        <v>8822512</v>
      </c>
      <c r="AK1052" s="116" t="s">
        <v>1221</v>
      </c>
      <c r="AL1052" s="116">
        <v>728423</v>
      </c>
      <c r="AM1052" s="116" t="s">
        <v>1066</v>
      </c>
      <c r="AN1052" s="116" t="s">
        <v>1066</v>
      </c>
    </row>
    <row r="1053" spans="1:40" ht="55.5" customHeight="1" x14ac:dyDescent="0.25">
      <c r="A1053" s="111" t="s">
        <v>4748</v>
      </c>
      <c r="B1053" s="112">
        <v>2026</v>
      </c>
      <c r="C1053" s="112" t="s">
        <v>4749</v>
      </c>
      <c r="D1053" s="113">
        <v>46038.019502314812</v>
      </c>
      <c r="E1053" s="112">
        <v>9001468023</v>
      </c>
      <c r="F1053" s="112" t="s">
        <v>4750</v>
      </c>
      <c r="G1053" s="112">
        <v>2</v>
      </c>
      <c r="H1053" s="112">
        <v>7908418023</v>
      </c>
      <c r="I1053" s="112" t="s">
        <v>4751</v>
      </c>
      <c r="J1053" s="112" t="s">
        <v>1071</v>
      </c>
      <c r="K1053" s="112" t="s">
        <v>1171</v>
      </c>
      <c r="L1053" s="112" t="s">
        <v>1073</v>
      </c>
      <c r="M1053" s="112" t="s">
        <v>478</v>
      </c>
      <c r="N1053" s="113">
        <v>46041.019502314812</v>
      </c>
      <c r="O1053" s="114">
        <v>19001282779</v>
      </c>
      <c r="P1053" s="112">
        <v>2.032</v>
      </c>
      <c r="Q1053" s="112" t="s">
        <v>1131</v>
      </c>
      <c r="R1053" s="112" t="s">
        <v>1263</v>
      </c>
      <c r="S1053" s="113">
        <v>46056.660416666666</v>
      </c>
      <c r="T1053" s="112" t="s">
        <v>4752</v>
      </c>
      <c r="U1053" s="112" t="s">
        <v>1065</v>
      </c>
      <c r="V1053" s="112" t="s">
        <v>1066</v>
      </c>
      <c r="W1053" s="112" t="s">
        <v>1066</v>
      </c>
      <c r="X1053" s="112" t="s">
        <v>1117</v>
      </c>
      <c r="Y1053" s="112" t="s">
        <v>1066</v>
      </c>
      <c r="Z1053" s="112" t="s">
        <v>1174</v>
      </c>
      <c r="AA1053" s="112" t="s">
        <v>1067</v>
      </c>
      <c r="AB1053" s="112" t="s">
        <v>1066</v>
      </c>
      <c r="AC1053" s="112" t="s">
        <v>92</v>
      </c>
      <c r="AD1053" s="112" t="s">
        <v>1142</v>
      </c>
      <c r="AE1053" s="112" t="s">
        <v>1066</v>
      </c>
      <c r="AF1053" s="112" t="s">
        <v>1066</v>
      </c>
      <c r="AG1053" s="112" t="s">
        <v>1066</v>
      </c>
      <c r="AH1053" s="112" t="s">
        <v>1066</v>
      </c>
      <c r="AI1053" s="112" t="s">
        <v>785</v>
      </c>
      <c r="AJ1053" s="112">
        <v>9108958</v>
      </c>
      <c r="AK1053" s="112" t="s">
        <v>94</v>
      </c>
      <c r="AL1053" s="112">
        <v>778466</v>
      </c>
      <c r="AM1053" s="112" t="s">
        <v>1066</v>
      </c>
      <c r="AN1053" s="112" t="s">
        <v>1066</v>
      </c>
    </row>
    <row r="1054" spans="1:40" ht="55.5" customHeight="1" x14ac:dyDescent="0.25">
      <c r="A1054" s="111" t="s">
        <v>4753</v>
      </c>
      <c r="B1054" s="112">
        <v>2026</v>
      </c>
      <c r="C1054" s="112" t="s">
        <v>4754</v>
      </c>
      <c r="D1054" s="113">
        <v>46034.723090277781</v>
      </c>
      <c r="E1054" s="112">
        <v>7911177129</v>
      </c>
      <c r="F1054" s="112" t="s">
        <v>2359</v>
      </c>
      <c r="G1054" s="112">
        <v>3</v>
      </c>
      <c r="H1054" s="112">
        <v>7911177129</v>
      </c>
      <c r="I1054" s="112" t="s">
        <v>4755</v>
      </c>
      <c r="J1054" s="112" t="s">
        <v>1066</v>
      </c>
      <c r="K1054" s="112" t="s">
        <v>2062</v>
      </c>
      <c r="L1054" s="112" t="s">
        <v>1073</v>
      </c>
      <c r="M1054" s="112" t="s">
        <v>478</v>
      </c>
      <c r="N1054" s="113">
        <v>46193.449363425927</v>
      </c>
      <c r="O1054" s="114">
        <v>19002219860</v>
      </c>
      <c r="P1054" s="112">
        <v>424</v>
      </c>
      <c r="Q1054" s="112" t="s">
        <v>1062</v>
      </c>
      <c r="R1054" s="112" t="s">
        <v>1297</v>
      </c>
      <c r="S1054" s="113">
        <v>46205.729166666664</v>
      </c>
      <c r="T1054" s="112" t="s">
        <v>4756</v>
      </c>
      <c r="U1054" s="112" t="s">
        <v>1065</v>
      </c>
      <c r="V1054" s="112" t="s">
        <v>1066</v>
      </c>
      <c r="W1054" s="112" t="s">
        <v>1066</v>
      </c>
      <c r="X1054" s="112" t="s">
        <v>1066</v>
      </c>
      <c r="Y1054" s="112" t="s">
        <v>1066</v>
      </c>
      <c r="Z1054" s="112" t="s">
        <v>1066</v>
      </c>
      <c r="AA1054" s="112" t="s">
        <v>1067</v>
      </c>
      <c r="AB1054" s="112" t="s">
        <v>1066</v>
      </c>
      <c r="AC1054" s="112" t="s">
        <v>92</v>
      </c>
      <c r="AD1054" s="112" t="s">
        <v>1066</v>
      </c>
      <c r="AE1054" s="112" t="s">
        <v>1066</v>
      </c>
      <c r="AF1054" s="112" t="s">
        <v>1066</v>
      </c>
      <c r="AG1054" s="112" t="s">
        <v>1066</v>
      </c>
      <c r="AH1054" s="112" t="s">
        <v>4757</v>
      </c>
      <c r="AI1054" s="112" t="s">
        <v>785</v>
      </c>
      <c r="AJ1054" s="112">
        <v>9287345</v>
      </c>
      <c r="AK1054" s="112" t="s">
        <v>4758</v>
      </c>
      <c r="AL1054" s="112">
        <v>865677</v>
      </c>
      <c r="AM1054" s="112" t="s">
        <v>1066</v>
      </c>
      <c r="AN1054" s="112" t="s">
        <v>1066</v>
      </c>
    </row>
    <row r="1055" spans="1:40" ht="55.5" customHeight="1" x14ac:dyDescent="0.25">
      <c r="A1055" s="111" t="s">
        <v>4759</v>
      </c>
      <c r="B1055" s="112">
        <v>2026</v>
      </c>
      <c r="C1055" s="112" t="s">
        <v>1089</v>
      </c>
      <c r="D1055" s="113">
        <v>46028.453888888886</v>
      </c>
      <c r="E1055" s="112">
        <v>7910463052</v>
      </c>
      <c r="F1055" s="112" t="s">
        <v>1740</v>
      </c>
      <c r="G1055" s="112">
        <v>3</v>
      </c>
      <c r="H1055" s="112">
        <v>7910463052</v>
      </c>
      <c r="I1055" s="112" t="s">
        <v>4760</v>
      </c>
      <c r="J1055" s="112" t="s">
        <v>1092</v>
      </c>
      <c r="K1055" s="112" t="s">
        <v>1093</v>
      </c>
      <c r="L1055" s="112" t="s">
        <v>1061</v>
      </c>
      <c r="M1055" s="112" t="s">
        <v>478</v>
      </c>
      <c r="N1055" s="113">
        <v>46428.453888888886</v>
      </c>
      <c r="O1055" s="114">
        <v>19002206584</v>
      </c>
      <c r="P1055" s="112">
        <v>54</v>
      </c>
      <c r="Q1055" s="112" t="s">
        <v>1062</v>
      </c>
      <c r="R1055" s="112" t="s">
        <v>1063</v>
      </c>
      <c r="S1055" s="113">
        <v>46035.418749999997</v>
      </c>
      <c r="T1055" s="112" t="s">
        <v>4761</v>
      </c>
      <c r="U1055" s="112" t="s">
        <v>1065</v>
      </c>
      <c r="V1055" s="112" t="s">
        <v>1066</v>
      </c>
      <c r="W1055" s="112" t="s">
        <v>1066</v>
      </c>
      <c r="X1055" s="112" t="s">
        <v>1066</v>
      </c>
      <c r="Y1055" s="112" t="s">
        <v>1066</v>
      </c>
      <c r="Z1055" s="112" t="s">
        <v>1066</v>
      </c>
      <c r="AA1055" s="112" t="s">
        <v>1067</v>
      </c>
      <c r="AB1055" s="112" t="s">
        <v>1066</v>
      </c>
      <c r="AC1055" s="112" t="s">
        <v>92</v>
      </c>
      <c r="AD1055" s="112" t="s">
        <v>1066</v>
      </c>
      <c r="AE1055" s="112" t="s">
        <v>1066</v>
      </c>
      <c r="AF1055" s="112" t="s">
        <v>1066</v>
      </c>
      <c r="AG1055" s="112" t="s">
        <v>1066</v>
      </c>
      <c r="AH1055" s="112" t="s">
        <v>1066</v>
      </c>
      <c r="AI1055" s="112" t="s">
        <v>785</v>
      </c>
      <c r="AJ1055" s="112">
        <v>8668208</v>
      </c>
      <c r="AK1055" s="112" t="s">
        <v>112</v>
      </c>
      <c r="AL1055" s="112">
        <v>636215</v>
      </c>
      <c r="AM1055" s="112" t="s">
        <v>1066</v>
      </c>
      <c r="AN1055" s="112" t="s">
        <v>1066</v>
      </c>
    </row>
    <row r="1056" spans="1:40" ht="55.5" customHeight="1" x14ac:dyDescent="0.25">
      <c r="A1056" s="111" t="s">
        <v>4762</v>
      </c>
      <c r="B1056" s="112">
        <v>2026</v>
      </c>
      <c r="C1056" s="112" t="s">
        <v>1213</v>
      </c>
      <c r="D1056" s="113">
        <v>46122.549942129626</v>
      </c>
      <c r="E1056" s="112">
        <v>7936078018</v>
      </c>
      <c r="F1056" s="112" t="s">
        <v>170</v>
      </c>
      <c r="G1056" s="112">
        <v>1</v>
      </c>
      <c r="H1056" s="112">
        <v>7936078018</v>
      </c>
      <c r="I1056" s="112" t="s">
        <v>4763</v>
      </c>
      <c r="J1056" s="112" t="s">
        <v>1066</v>
      </c>
      <c r="K1056" s="112" t="s">
        <v>1125</v>
      </c>
      <c r="L1056" s="112" t="s">
        <v>1061</v>
      </c>
      <c r="M1056" s="112" t="s">
        <v>478</v>
      </c>
      <c r="N1056" s="113">
        <v>46522.549942129626</v>
      </c>
      <c r="O1056" s="114">
        <v>19002209402</v>
      </c>
      <c r="P1056" s="112">
        <v>4.944</v>
      </c>
      <c r="Q1056" s="112" t="s">
        <v>1062</v>
      </c>
      <c r="R1056" s="112" t="s">
        <v>1063</v>
      </c>
      <c r="S1056" s="113">
        <v>46142.729166666664</v>
      </c>
      <c r="T1056" s="112" t="s">
        <v>4764</v>
      </c>
      <c r="U1056" s="112" t="s">
        <v>1065</v>
      </c>
      <c r="V1056" s="112" t="s">
        <v>1066</v>
      </c>
      <c r="W1056" s="112" t="s">
        <v>1066</v>
      </c>
      <c r="X1056" s="112" t="s">
        <v>1066</v>
      </c>
      <c r="Y1056" s="112" t="s">
        <v>1066</v>
      </c>
      <c r="Z1056" s="112" t="s">
        <v>1066</v>
      </c>
      <c r="AA1056" s="112" t="s">
        <v>1067</v>
      </c>
      <c r="AB1056" s="112" t="s">
        <v>1066</v>
      </c>
      <c r="AC1056" s="112" t="s">
        <v>92</v>
      </c>
      <c r="AD1056" s="112" t="s">
        <v>1066</v>
      </c>
      <c r="AE1056" s="112" t="s">
        <v>1066</v>
      </c>
      <c r="AF1056" s="112" t="s">
        <v>1066</v>
      </c>
      <c r="AG1056" s="112" t="s">
        <v>1066</v>
      </c>
      <c r="AH1056" s="112" t="s">
        <v>1066</v>
      </c>
      <c r="AI1056" s="112" t="s">
        <v>785</v>
      </c>
      <c r="AJ1056" s="112">
        <v>9010953</v>
      </c>
      <c r="AK1056" s="112" t="s">
        <v>1766</v>
      </c>
      <c r="AL1056" s="112">
        <v>824599</v>
      </c>
      <c r="AM1056" s="112" t="s">
        <v>1066</v>
      </c>
      <c r="AN1056" s="112" t="s">
        <v>1066</v>
      </c>
    </row>
    <row r="1057" spans="1:40" ht="55.5" customHeight="1" x14ac:dyDescent="0.25">
      <c r="A1057" s="111" t="s">
        <v>4765</v>
      </c>
      <c r="B1057" s="112">
        <v>2026</v>
      </c>
      <c r="C1057" s="112" t="s">
        <v>4766</v>
      </c>
      <c r="D1057" s="113">
        <v>46052.386446759258</v>
      </c>
      <c r="E1057" s="112">
        <v>300056005</v>
      </c>
      <c r="F1057" s="112" t="s">
        <v>3371</v>
      </c>
      <c r="G1057" s="112">
        <v>3</v>
      </c>
      <c r="H1057" s="112">
        <v>7956117005</v>
      </c>
      <c r="I1057" s="112" t="s">
        <v>3372</v>
      </c>
      <c r="J1057" s="112" t="s">
        <v>1071</v>
      </c>
      <c r="K1057" s="112" t="s">
        <v>1145</v>
      </c>
      <c r="L1057" s="112" t="s">
        <v>1073</v>
      </c>
      <c r="M1057" s="112" t="s">
        <v>478</v>
      </c>
      <c r="N1057" s="113">
        <v>46055.386446759258</v>
      </c>
      <c r="O1057" s="114">
        <v>19002744453</v>
      </c>
      <c r="P1057" s="112">
        <v>178</v>
      </c>
      <c r="Q1057" s="112" t="s">
        <v>1131</v>
      </c>
      <c r="R1057" s="112" t="s">
        <v>1075</v>
      </c>
      <c r="S1057" s="113">
        <v>46077.471921296295</v>
      </c>
      <c r="T1057" s="112" t="s">
        <v>4767</v>
      </c>
      <c r="U1057" s="112" t="s">
        <v>1065</v>
      </c>
      <c r="V1057" s="112" t="s">
        <v>1066</v>
      </c>
      <c r="W1057" s="112" t="s">
        <v>1066</v>
      </c>
      <c r="X1057" s="112" t="s">
        <v>983</v>
      </c>
      <c r="Y1057" s="112" t="s">
        <v>1066</v>
      </c>
      <c r="Z1057" s="112" t="s">
        <v>1148</v>
      </c>
      <c r="AA1057" s="112" t="s">
        <v>1208</v>
      </c>
      <c r="AB1057" s="112" t="s">
        <v>1066</v>
      </c>
      <c r="AC1057" s="112" t="s">
        <v>92</v>
      </c>
      <c r="AD1057" s="112" t="s">
        <v>1066</v>
      </c>
      <c r="AE1057" s="112" t="s">
        <v>1066</v>
      </c>
      <c r="AF1057" s="112" t="s">
        <v>1066</v>
      </c>
      <c r="AG1057" s="112" t="s">
        <v>1066</v>
      </c>
      <c r="AH1057" s="112" t="s">
        <v>1066</v>
      </c>
      <c r="AI1057" s="112" t="s">
        <v>785</v>
      </c>
      <c r="AJ1057" s="112">
        <v>8569276</v>
      </c>
      <c r="AK1057" s="112" t="s">
        <v>695</v>
      </c>
      <c r="AL1057" s="112">
        <v>939067</v>
      </c>
      <c r="AM1057" s="112" t="s">
        <v>1066</v>
      </c>
      <c r="AN1057" s="112" t="s">
        <v>1066</v>
      </c>
    </row>
    <row r="1058" spans="1:40" ht="55.5" customHeight="1" x14ac:dyDescent="0.25">
      <c r="A1058" s="115" t="s">
        <v>3142</v>
      </c>
      <c r="B1058" s="116">
        <v>2026</v>
      </c>
      <c r="C1058" s="116" t="s">
        <v>4768</v>
      </c>
      <c r="D1058" s="118">
        <v>46083.898020833331</v>
      </c>
      <c r="E1058" s="116">
        <v>6800948007</v>
      </c>
      <c r="F1058" s="116" t="s">
        <v>239</v>
      </c>
      <c r="G1058" s="116">
        <v>3</v>
      </c>
      <c r="H1058" s="116">
        <v>7955946007</v>
      </c>
      <c r="I1058" s="116" t="s">
        <v>1539</v>
      </c>
      <c r="J1058" s="116" t="s">
        <v>1071</v>
      </c>
      <c r="K1058" s="116" t="s">
        <v>3140</v>
      </c>
      <c r="L1058" s="116" t="s">
        <v>1073</v>
      </c>
      <c r="M1058" s="116" t="s">
        <v>588</v>
      </c>
      <c r="N1058" s="118">
        <v>46115.430925925924</v>
      </c>
      <c r="O1058" s="119">
        <v>19002730957</v>
      </c>
      <c r="P1058" s="116">
        <v>268</v>
      </c>
      <c r="Q1058" s="116" t="s">
        <v>1131</v>
      </c>
      <c r="R1058" s="116" t="s">
        <v>1075</v>
      </c>
      <c r="S1058" s="116" t="s">
        <v>1066</v>
      </c>
      <c r="T1058" s="116" t="s">
        <v>1066</v>
      </c>
      <c r="U1058" s="116" t="s">
        <v>1066</v>
      </c>
      <c r="V1058" s="116" t="s">
        <v>1066</v>
      </c>
      <c r="W1058" s="116" t="s">
        <v>1066</v>
      </c>
      <c r="X1058" s="116" t="s">
        <v>983</v>
      </c>
      <c r="Y1058" s="116" t="s">
        <v>1066</v>
      </c>
      <c r="Z1058" s="116" t="s">
        <v>1148</v>
      </c>
      <c r="AA1058" s="116" t="s">
        <v>1067</v>
      </c>
      <c r="AB1058" s="116" t="s">
        <v>1066</v>
      </c>
      <c r="AC1058" s="116" t="s">
        <v>92</v>
      </c>
      <c r="AD1058" s="116" t="s">
        <v>1066</v>
      </c>
      <c r="AE1058" s="116" t="s">
        <v>1066</v>
      </c>
      <c r="AF1058" s="116" t="s">
        <v>1066</v>
      </c>
      <c r="AG1058" s="116" t="s">
        <v>1066</v>
      </c>
      <c r="AH1058" s="116" t="s">
        <v>1066</v>
      </c>
      <c r="AI1058" s="116" t="s">
        <v>785</v>
      </c>
      <c r="AJ1058" s="116">
        <v>8929207</v>
      </c>
      <c r="AK1058" s="116" t="s">
        <v>100</v>
      </c>
      <c r="AL1058" s="116">
        <v>787602</v>
      </c>
      <c r="AM1058" s="116" t="s">
        <v>1066</v>
      </c>
      <c r="AN1058" s="116" t="s">
        <v>1066</v>
      </c>
    </row>
    <row r="1059" spans="1:40" ht="55.5" customHeight="1" x14ac:dyDescent="0.25">
      <c r="A1059" s="111" t="s">
        <v>4769</v>
      </c>
      <c r="B1059" s="112">
        <v>2026</v>
      </c>
      <c r="C1059" s="112" t="s">
        <v>1057</v>
      </c>
      <c r="D1059" s="113">
        <v>46125.614548611113</v>
      </c>
      <c r="E1059" s="112">
        <v>7905355122</v>
      </c>
      <c r="F1059" s="112" t="s">
        <v>1747</v>
      </c>
      <c r="G1059" s="112">
        <v>2</v>
      </c>
      <c r="H1059" s="112">
        <v>7905355122</v>
      </c>
      <c r="I1059" s="112" t="s">
        <v>4770</v>
      </c>
      <c r="J1059" s="112" t="s">
        <v>1066</v>
      </c>
      <c r="K1059" s="112" t="s">
        <v>1125</v>
      </c>
      <c r="L1059" s="112" t="s">
        <v>1061</v>
      </c>
      <c r="M1059" s="112" t="s">
        <v>478</v>
      </c>
      <c r="N1059" s="113">
        <v>46525.614548611113</v>
      </c>
      <c r="O1059" s="114">
        <v>19002295959</v>
      </c>
      <c r="P1059" s="112">
        <v>0</v>
      </c>
      <c r="Q1059" s="112" t="s">
        <v>1062</v>
      </c>
      <c r="R1059" s="112" t="s">
        <v>1063</v>
      </c>
      <c r="S1059" s="113">
        <v>46183.600416666668</v>
      </c>
      <c r="T1059" s="112" t="s">
        <v>4771</v>
      </c>
      <c r="U1059" s="112" t="s">
        <v>1065</v>
      </c>
      <c r="V1059" s="112" t="s">
        <v>1066</v>
      </c>
      <c r="W1059" s="112" t="s">
        <v>1066</v>
      </c>
      <c r="X1059" s="112" t="s">
        <v>1066</v>
      </c>
      <c r="Y1059" s="112" t="s">
        <v>1066</v>
      </c>
      <c r="Z1059" s="112" t="s">
        <v>1066</v>
      </c>
      <c r="AA1059" s="112" t="s">
        <v>1067</v>
      </c>
      <c r="AB1059" s="112" t="s">
        <v>1066</v>
      </c>
      <c r="AC1059" s="112" t="s">
        <v>92</v>
      </c>
      <c r="AD1059" s="112" t="s">
        <v>1066</v>
      </c>
      <c r="AE1059" s="112" t="s">
        <v>1066</v>
      </c>
      <c r="AF1059" s="112" t="s">
        <v>1066</v>
      </c>
      <c r="AG1059" s="112" t="s">
        <v>1066</v>
      </c>
      <c r="AH1059" s="112" t="s">
        <v>1066</v>
      </c>
      <c r="AI1059" s="112" t="s">
        <v>785</v>
      </c>
      <c r="AJ1059" s="112">
        <v>8871422</v>
      </c>
      <c r="AK1059" s="112" t="s">
        <v>264</v>
      </c>
      <c r="AL1059" s="112">
        <v>792513</v>
      </c>
      <c r="AM1059" s="112" t="s">
        <v>1066</v>
      </c>
      <c r="AN1059" s="112" t="s">
        <v>1066</v>
      </c>
    </row>
    <row r="1060" spans="1:40" ht="55.5" customHeight="1" x14ac:dyDescent="0.25">
      <c r="A1060" s="111" t="s">
        <v>4772</v>
      </c>
      <c r="B1060" s="112">
        <v>2026</v>
      </c>
      <c r="C1060" s="112" t="s">
        <v>4773</v>
      </c>
      <c r="D1060" s="113">
        <v>46102.349560185183</v>
      </c>
      <c r="E1060" s="112">
        <v>346934084</v>
      </c>
      <c r="F1060" s="112" t="s">
        <v>355</v>
      </c>
      <c r="G1060" s="112">
        <v>3</v>
      </c>
      <c r="H1060" s="112">
        <v>5862050086</v>
      </c>
      <c r="I1060" s="112" t="s">
        <v>4774</v>
      </c>
      <c r="J1060" s="112" t="s">
        <v>1071</v>
      </c>
      <c r="K1060" s="112" t="s">
        <v>1508</v>
      </c>
      <c r="L1060" s="112" t="s">
        <v>1073</v>
      </c>
      <c r="M1060" s="112" t="s">
        <v>478</v>
      </c>
      <c r="N1060" s="113">
        <v>46105.349560185183</v>
      </c>
      <c r="O1060" s="114">
        <v>19002774802</v>
      </c>
      <c r="P1060" s="112">
        <v>411</v>
      </c>
      <c r="Q1060" s="112" t="s">
        <v>1074</v>
      </c>
      <c r="R1060" s="112" t="s">
        <v>1324</v>
      </c>
      <c r="S1060" s="113">
        <v>46113.727083333331</v>
      </c>
      <c r="T1060" s="112" t="s">
        <v>4775</v>
      </c>
      <c r="U1060" s="112" t="s">
        <v>1065</v>
      </c>
      <c r="V1060" s="112" t="s">
        <v>1066</v>
      </c>
      <c r="W1060" s="112" t="s">
        <v>1066</v>
      </c>
      <c r="X1060" s="112" t="s">
        <v>1077</v>
      </c>
      <c r="Y1060" s="112" t="s">
        <v>1066</v>
      </c>
      <c r="Z1060" s="112" t="s">
        <v>1479</v>
      </c>
      <c r="AA1060" s="112" t="s">
        <v>1067</v>
      </c>
      <c r="AB1060" s="112" t="s">
        <v>1066</v>
      </c>
      <c r="AC1060" s="112" t="s">
        <v>92</v>
      </c>
      <c r="AD1060" s="112" t="s">
        <v>1066</v>
      </c>
      <c r="AE1060" s="112" t="s">
        <v>1066</v>
      </c>
      <c r="AF1060" s="112" t="s">
        <v>1066</v>
      </c>
      <c r="AG1060" s="112" t="s">
        <v>1066</v>
      </c>
      <c r="AH1060" s="112" t="s">
        <v>1066</v>
      </c>
      <c r="AI1060" s="112" t="s">
        <v>785</v>
      </c>
      <c r="AJ1060" s="112">
        <v>8939596</v>
      </c>
      <c r="AK1060" s="112" t="s">
        <v>1143</v>
      </c>
      <c r="AL1060" s="112">
        <v>653309</v>
      </c>
      <c r="AM1060" s="112" t="s">
        <v>1066</v>
      </c>
      <c r="AN1060" s="112" t="s">
        <v>1066</v>
      </c>
    </row>
    <row r="1061" spans="1:40" ht="55.5" customHeight="1" x14ac:dyDescent="0.25">
      <c r="A1061" s="124" t="s">
        <v>4776</v>
      </c>
      <c r="B1061" s="125">
        <v>2026</v>
      </c>
      <c r="C1061" s="125" t="s">
        <v>4777</v>
      </c>
      <c r="D1061" s="126">
        <v>46221.694178240738</v>
      </c>
      <c r="E1061" s="125">
        <v>8800219129</v>
      </c>
      <c r="F1061" s="125" t="s">
        <v>2359</v>
      </c>
      <c r="G1061" s="125">
        <v>2</v>
      </c>
      <c r="H1061" s="125">
        <v>5843767129</v>
      </c>
      <c r="I1061" s="125" t="s">
        <v>4778</v>
      </c>
      <c r="J1061" s="125" t="s">
        <v>1071</v>
      </c>
      <c r="K1061" s="125" t="s">
        <v>2229</v>
      </c>
      <c r="L1061" s="125" t="s">
        <v>1073</v>
      </c>
      <c r="M1061" s="125" t="s">
        <v>510</v>
      </c>
      <c r="N1061" s="126">
        <v>46230.703865740739</v>
      </c>
      <c r="O1061" s="127">
        <v>19002653020</v>
      </c>
      <c r="P1061" s="125">
        <v>1.236</v>
      </c>
      <c r="Q1061" s="125" t="s">
        <v>1074</v>
      </c>
      <c r="R1061" s="125" t="s">
        <v>1263</v>
      </c>
      <c r="S1061" s="125" t="s">
        <v>1066</v>
      </c>
      <c r="T1061" s="125" t="s">
        <v>1066</v>
      </c>
      <c r="U1061" s="125" t="s">
        <v>1066</v>
      </c>
      <c r="V1061" s="125" t="s">
        <v>1066</v>
      </c>
      <c r="W1061" s="125" t="s">
        <v>1066</v>
      </c>
      <c r="X1061" s="125" t="s">
        <v>1066</v>
      </c>
      <c r="Y1061" s="125" t="s">
        <v>1066</v>
      </c>
      <c r="Z1061" s="125" t="s">
        <v>1066</v>
      </c>
      <c r="AA1061" s="125" t="s">
        <v>1067</v>
      </c>
      <c r="AB1061" s="125" t="s">
        <v>1066</v>
      </c>
      <c r="AC1061" s="125" t="s">
        <v>92</v>
      </c>
      <c r="AD1061" s="125" t="s">
        <v>1066</v>
      </c>
      <c r="AE1061" s="125" t="s">
        <v>1066</v>
      </c>
      <c r="AF1061" s="125" t="s">
        <v>1066</v>
      </c>
      <c r="AG1061" s="125" t="s">
        <v>1066</v>
      </c>
      <c r="AH1061" s="125" t="s">
        <v>4779</v>
      </c>
      <c r="AI1061" s="125" t="s">
        <v>785</v>
      </c>
      <c r="AJ1061" s="125">
        <v>9288269</v>
      </c>
      <c r="AK1061" s="125" t="s">
        <v>4758</v>
      </c>
      <c r="AL1061" s="125">
        <v>868641</v>
      </c>
      <c r="AM1061" s="125" t="s">
        <v>1066</v>
      </c>
      <c r="AN1061" s="125" t="s">
        <v>1066</v>
      </c>
    </row>
    <row r="1062" spans="1:40" ht="55.5" customHeight="1" x14ac:dyDescent="0.25">
      <c r="A1062" s="111" t="s">
        <v>4780</v>
      </c>
      <c r="B1062" s="112">
        <v>2026</v>
      </c>
      <c r="C1062" s="112" t="s">
        <v>1213</v>
      </c>
      <c r="D1062" s="113">
        <v>46122.549942129626</v>
      </c>
      <c r="E1062" s="112">
        <v>7934180045</v>
      </c>
      <c r="F1062" s="112" t="s">
        <v>3076</v>
      </c>
      <c r="G1062" s="112">
        <v>1</v>
      </c>
      <c r="H1062" s="112">
        <v>7934180045</v>
      </c>
      <c r="I1062" s="112" t="s">
        <v>4781</v>
      </c>
      <c r="J1062" s="112" t="s">
        <v>1066</v>
      </c>
      <c r="K1062" s="112" t="s">
        <v>1125</v>
      </c>
      <c r="L1062" s="112" t="s">
        <v>1061</v>
      </c>
      <c r="M1062" s="112" t="s">
        <v>478</v>
      </c>
      <c r="N1062" s="113">
        <v>46522.549942129626</v>
      </c>
      <c r="O1062" s="114">
        <v>19002208773</v>
      </c>
      <c r="P1062" s="112">
        <v>1.954</v>
      </c>
      <c r="Q1062" s="112" t="s">
        <v>1062</v>
      </c>
      <c r="R1062" s="112" t="s">
        <v>1063</v>
      </c>
      <c r="S1062" s="113">
        <v>46128.502083333333</v>
      </c>
      <c r="T1062" s="112" t="s">
        <v>4782</v>
      </c>
      <c r="U1062" s="112" t="s">
        <v>1065</v>
      </c>
      <c r="V1062" s="112" t="s">
        <v>1066</v>
      </c>
      <c r="W1062" s="112" t="s">
        <v>1066</v>
      </c>
      <c r="X1062" s="112" t="s">
        <v>1066</v>
      </c>
      <c r="Y1062" s="112" t="s">
        <v>1066</v>
      </c>
      <c r="Z1062" s="112" t="s">
        <v>1066</v>
      </c>
      <c r="AA1062" s="112" t="s">
        <v>1067</v>
      </c>
      <c r="AB1062" s="112" t="s">
        <v>1066</v>
      </c>
      <c r="AC1062" s="112" t="s">
        <v>92</v>
      </c>
      <c r="AD1062" s="112" t="s">
        <v>1066</v>
      </c>
      <c r="AE1062" s="112" t="s">
        <v>1066</v>
      </c>
      <c r="AF1062" s="112" t="s">
        <v>1066</v>
      </c>
      <c r="AG1062" s="112" t="s">
        <v>1066</v>
      </c>
      <c r="AH1062" s="112" t="s">
        <v>1066</v>
      </c>
      <c r="AI1062" s="112" t="s">
        <v>785</v>
      </c>
      <c r="AJ1062" s="112">
        <v>9394516</v>
      </c>
      <c r="AK1062" s="112" t="s">
        <v>58</v>
      </c>
      <c r="AL1062" s="112">
        <v>844442</v>
      </c>
      <c r="AM1062" s="112" t="s">
        <v>1066</v>
      </c>
      <c r="AN1062" s="112" t="s">
        <v>1066</v>
      </c>
    </row>
    <row r="1063" spans="1:40" ht="55.5" customHeight="1" x14ac:dyDescent="0.25">
      <c r="A1063" s="111" t="s">
        <v>4783</v>
      </c>
      <c r="B1063" s="112">
        <v>2026</v>
      </c>
      <c r="C1063" s="112" t="s">
        <v>1057</v>
      </c>
      <c r="D1063" s="113">
        <v>46125.614548611113</v>
      </c>
      <c r="E1063" s="112">
        <v>7931628122</v>
      </c>
      <c r="F1063" s="112" t="s">
        <v>4784</v>
      </c>
      <c r="G1063" s="112">
        <v>1</v>
      </c>
      <c r="H1063" s="112">
        <v>7931628122</v>
      </c>
      <c r="I1063" s="112" t="s">
        <v>4785</v>
      </c>
      <c r="J1063" s="112" t="s">
        <v>1066</v>
      </c>
      <c r="K1063" s="112" t="s">
        <v>1125</v>
      </c>
      <c r="L1063" s="112" t="s">
        <v>1061</v>
      </c>
      <c r="M1063" s="112" t="s">
        <v>478</v>
      </c>
      <c r="N1063" s="113">
        <v>46525.614548611113</v>
      </c>
      <c r="O1063" s="114">
        <v>19002204708</v>
      </c>
      <c r="P1063" s="112">
        <v>628</v>
      </c>
      <c r="Q1063" s="112" t="s">
        <v>1062</v>
      </c>
      <c r="R1063" s="112" t="s">
        <v>1063</v>
      </c>
      <c r="S1063" s="113">
        <v>46174.3125</v>
      </c>
      <c r="T1063" s="112" t="s">
        <v>1307</v>
      </c>
      <c r="U1063" s="112" t="s">
        <v>1065</v>
      </c>
      <c r="V1063" s="112" t="s">
        <v>1066</v>
      </c>
      <c r="W1063" s="112" t="s">
        <v>1066</v>
      </c>
      <c r="X1063" s="112" t="s">
        <v>1066</v>
      </c>
      <c r="Y1063" s="112" t="s">
        <v>1066</v>
      </c>
      <c r="Z1063" s="112" t="s">
        <v>1066</v>
      </c>
      <c r="AA1063" s="112" t="s">
        <v>1067</v>
      </c>
      <c r="AB1063" s="112" t="s">
        <v>1066</v>
      </c>
      <c r="AC1063" s="112" t="s">
        <v>92</v>
      </c>
      <c r="AD1063" s="112" t="s">
        <v>1066</v>
      </c>
      <c r="AE1063" s="112" t="s">
        <v>1066</v>
      </c>
      <c r="AF1063" s="112" t="s">
        <v>1066</v>
      </c>
      <c r="AG1063" s="112" t="s">
        <v>1066</v>
      </c>
      <c r="AH1063" s="112" t="s">
        <v>1066</v>
      </c>
      <c r="AI1063" s="112" t="s">
        <v>785</v>
      </c>
      <c r="AJ1063" s="112">
        <v>8873456</v>
      </c>
      <c r="AK1063" s="112" t="s">
        <v>264</v>
      </c>
      <c r="AL1063" s="112">
        <v>791194</v>
      </c>
      <c r="AM1063" s="112" t="s">
        <v>1066</v>
      </c>
      <c r="AN1063" s="112" t="s">
        <v>1066</v>
      </c>
    </row>
    <row r="1064" spans="1:40" ht="55.5" customHeight="1" x14ac:dyDescent="0.25">
      <c r="A1064" s="111" t="s">
        <v>4786</v>
      </c>
      <c r="B1064" s="112">
        <v>2026</v>
      </c>
      <c r="C1064" s="112" t="s">
        <v>4787</v>
      </c>
      <c r="D1064" s="113">
        <v>46137.612210648149</v>
      </c>
      <c r="E1064" s="112">
        <v>9005003001</v>
      </c>
      <c r="F1064" s="112" t="s">
        <v>1104</v>
      </c>
      <c r="G1064" s="112">
        <v>3</v>
      </c>
      <c r="H1064" s="112">
        <v>7932450001</v>
      </c>
      <c r="I1064" s="112" t="s">
        <v>4788</v>
      </c>
      <c r="J1064" s="112" t="s">
        <v>1071</v>
      </c>
      <c r="K1064" s="112" t="s">
        <v>1130</v>
      </c>
      <c r="L1064" s="112" t="s">
        <v>1073</v>
      </c>
      <c r="M1064" s="112" t="s">
        <v>478</v>
      </c>
      <c r="N1064" s="113">
        <v>46140.612210648149</v>
      </c>
      <c r="O1064" s="114">
        <v>19001290283</v>
      </c>
      <c r="P1064" s="112">
        <v>269</v>
      </c>
      <c r="Q1064" s="112" t="s">
        <v>1131</v>
      </c>
      <c r="R1064" s="112" t="s">
        <v>1324</v>
      </c>
      <c r="S1064" s="113">
        <v>46205.648819444446</v>
      </c>
      <c r="T1064" s="112" t="s">
        <v>4789</v>
      </c>
      <c r="U1064" s="112" t="s">
        <v>1065</v>
      </c>
      <c r="V1064" s="112" t="s">
        <v>1066</v>
      </c>
      <c r="W1064" s="112" t="s">
        <v>1066</v>
      </c>
      <c r="X1064" s="112" t="s">
        <v>1117</v>
      </c>
      <c r="Y1064" s="112" t="s">
        <v>1066</v>
      </c>
      <c r="Z1064" s="112" t="s">
        <v>1133</v>
      </c>
      <c r="AA1064" s="112" t="s">
        <v>1067</v>
      </c>
      <c r="AB1064" s="112" t="s">
        <v>1066</v>
      </c>
      <c r="AC1064" s="112" t="s">
        <v>92</v>
      </c>
      <c r="AD1064" s="112" t="s">
        <v>1142</v>
      </c>
      <c r="AE1064" s="112" t="s">
        <v>1066</v>
      </c>
      <c r="AF1064" s="112" t="s">
        <v>1066</v>
      </c>
      <c r="AG1064" s="112" t="s">
        <v>1066</v>
      </c>
      <c r="AH1064" s="112" t="s">
        <v>1066</v>
      </c>
      <c r="AI1064" s="112" t="s">
        <v>785</v>
      </c>
      <c r="AJ1064" s="112">
        <v>8818525</v>
      </c>
      <c r="AK1064" s="112" t="s">
        <v>50</v>
      </c>
      <c r="AL1064" s="112">
        <v>803106</v>
      </c>
      <c r="AM1064" s="112" t="s">
        <v>1066</v>
      </c>
      <c r="AN1064" s="112" t="s">
        <v>1066</v>
      </c>
    </row>
    <row r="1065" spans="1:40" ht="55.5" customHeight="1" x14ac:dyDescent="0.25">
      <c r="A1065" s="124" t="s">
        <v>4790</v>
      </c>
      <c r="B1065" s="125">
        <v>2026</v>
      </c>
      <c r="C1065" s="125" t="s">
        <v>4791</v>
      </c>
      <c r="D1065" s="126">
        <v>46237.755578703705</v>
      </c>
      <c r="E1065" s="125">
        <v>9000303123</v>
      </c>
      <c r="F1065" s="125" t="s">
        <v>260</v>
      </c>
      <c r="G1065" s="125">
        <v>3</v>
      </c>
      <c r="H1065" s="125">
        <v>5827277123</v>
      </c>
      <c r="I1065" s="125" t="s">
        <v>4792</v>
      </c>
      <c r="J1065" s="125" t="s">
        <v>1071</v>
      </c>
      <c r="K1065" s="125" t="s">
        <v>2694</v>
      </c>
      <c r="L1065" s="125" t="s">
        <v>1073</v>
      </c>
      <c r="M1065" s="125" t="s">
        <v>510</v>
      </c>
      <c r="N1065" s="126">
        <v>46240.755578703705</v>
      </c>
      <c r="O1065" s="127">
        <v>19002682929</v>
      </c>
      <c r="P1065" s="125">
        <v>2.617</v>
      </c>
      <c r="Q1065" s="125" t="s">
        <v>1074</v>
      </c>
      <c r="R1065" s="125" t="s">
        <v>1297</v>
      </c>
      <c r="S1065" s="125" t="s">
        <v>1066</v>
      </c>
      <c r="T1065" s="125" t="s">
        <v>1066</v>
      </c>
      <c r="U1065" s="125" t="s">
        <v>1066</v>
      </c>
      <c r="V1065" s="125" t="s">
        <v>1066</v>
      </c>
      <c r="W1065" s="125" t="s">
        <v>1066</v>
      </c>
      <c r="X1065" s="125" t="s">
        <v>1077</v>
      </c>
      <c r="Y1065" s="125" t="s">
        <v>1066</v>
      </c>
      <c r="Z1065" s="125" t="s">
        <v>2311</v>
      </c>
      <c r="AA1065" s="125" t="s">
        <v>1067</v>
      </c>
      <c r="AB1065" s="125" t="s">
        <v>1066</v>
      </c>
      <c r="AC1065" s="125" t="s">
        <v>92</v>
      </c>
      <c r="AD1065" s="125" t="s">
        <v>1066</v>
      </c>
      <c r="AE1065" s="125" t="s">
        <v>1066</v>
      </c>
      <c r="AF1065" s="125" t="s">
        <v>1066</v>
      </c>
      <c r="AG1065" s="125" t="s">
        <v>1066</v>
      </c>
      <c r="AH1065" s="125" t="s">
        <v>1066</v>
      </c>
      <c r="AI1065" s="125" t="s">
        <v>785</v>
      </c>
      <c r="AJ1065" s="125">
        <v>9280968</v>
      </c>
      <c r="AK1065" s="125" t="s">
        <v>3745</v>
      </c>
      <c r="AL1065" s="125">
        <v>888591</v>
      </c>
      <c r="AM1065" s="125" t="s">
        <v>1066</v>
      </c>
      <c r="AN1065" s="125" t="s">
        <v>1066</v>
      </c>
    </row>
    <row r="1066" spans="1:40" ht="55.5" customHeight="1" x14ac:dyDescent="0.25">
      <c r="A1066" s="115" t="s">
        <v>4793</v>
      </c>
      <c r="B1066" s="116">
        <v>2026</v>
      </c>
      <c r="C1066" s="116" t="s">
        <v>4794</v>
      </c>
      <c r="D1066" s="118">
        <v>46247.304027777776</v>
      </c>
      <c r="E1066" s="116">
        <v>300066013</v>
      </c>
      <c r="F1066" s="116" t="s">
        <v>1294</v>
      </c>
      <c r="G1066" s="116">
        <v>3</v>
      </c>
      <c r="H1066" s="116">
        <v>5900066013</v>
      </c>
      <c r="I1066" s="116" t="s">
        <v>4795</v>
      </c>
      <c r="J1066" s="116" t="s">
        <v>1071</v>
      </c>
      <c r="K1066" s="116" t="s">
        <v>1261</v>
      </c>
      <c r="L1066" s="116" t="s">
        <v>1073</v>
      </c>
      <c r="M1066" s="116" t="s">
        <v>588</v>
      </c>
      <c r="N1066" s="118">
        <v>46254.55641203704</v>
      </c>
      <c r="O1066" s="119">
        <v>19002720440</v>
      </c>
      <c r="P1066" s="116">
        <v>0</v>
      </c>
      <c r="Q1066" s="116" t="s">
        <v>4796</v>
      </c>
      <c r="R1066" s="116" t="s">
        <v>1263</v>
      </c>
      <c r="S1066" s="116" t="s">
        <v>1066</v>
      </c>
      <c r="T1066" s="116" t="s">
        <v>1066</v>
      </c>
      <c r="U1066" s="116" t="s">
        <v>1066</v>
      </c>
      <c r="V1066" s="116" t="s">
        <v>1066</v>
      </c>
      <c r="W1066" s="116" t="s">
        <v>1066</v>
      </c>
      <c r="X1066" s="116" t="s">
        <v>4797</v>
      </c>
      <c r="Y1066" s="116" t="s">
        <v>1066</v>
      </c>
      <c r="Z1066" s="116" t="s">
        <v>4798</v>
      </c>
      <c r="AA1066" s="116" t="s">
        <v>1067</v>
      </c>
      <c r="AB1066" s="116" t="s">
        <v>1066</v>
      </c>
      <c r="AC1066" s="116" t="s">
        <v>92</v>
      </c>
      <c r="AD1066" s="116" t="s">
        <v>1066</v>
      </c>
      <c r="AE1066" s="116" t="s">
        <v>1066</v>
      </c>
      <c r="AF1066" s="116" t="s">
        <v>1066</v>
      </c>
      <c r="AG1066" s="116" t="s">
        <v>1066</v>
      </c>
      <c r="AH1066" s="116" t="s">
        <v>1066</v>
      </c>
      <c r="AI1066" s="116" t="s">
        <v>785</v>
      </c>
      <c r="AJ1066" s="116">
        <v>8872678</v>
      </c>
      <c r="AK1066" s="116" t="s">
        <v>117</v>
      </c>
      <c r="AL1066" s="116">
        <v>731018</v>
      </c>
      <c r="AM1066" s="116" t="s">
        <v>1066</v>
      </c>
      <c r="AN1066" s="116" t="s">
        <v>1066</v>
      </c>
    </row>
    <row r="1067" spans="1:40" ht="55.5" customHeight="1" x14ac:dyDescent="0.25">
      <c r="A1067" s="111" t="s">
        <v>4799</v>
      </c>
      <c r="B1067" s="112">
        <v>2026</v>
      </c>
      <c r="C1067" s="112" t="s">
        <v>4800</v>
      </c>
      <c r="D1067" s="113">
        <v>46086.05369212963</v>
      </c>
      <c r="E1067" s="112">
        <v>9008310006</v>
      </c>
      <c r="F1067" s="112" t="s">
        <v>239</v>
      </c>
      <c r="G1067" s="112">
        <v>3</v>
      </c>
      <c r="H1067" s="112">
        <v>7908309006</v>
      </c>
      <c r="I1067" s="112" t="s">
        <v>4801</v>
      </c>
      <c r="J1067" s="112" t="s">
        <v>1071</v>
      </c>
      <c r="K1067" s="112" t="s">
        <v>1580</v>
      </c>
      <c r="L1067" s="112" t="s">
        <v>1073</v>
      </c>
      <c r="M1067" s="112" t="s">
        <v>478</v>
      </c>
      <c r="N1067" s="113">
        <v>46089.353379629632</v>
      </c>
      <c r="O1067" s="114">
        <v>19000120510</v>
      </c>
      <c r="P1067" s="112">
        <v>67</v>
      </c>
      <c r="Q1067" s="112" t="s">
        <v>1131</v>
      </c>
      <c r="R1067" s="112" t="s">
        <v>1075</v>
      </c>
      <c r="S1067" s="113">
        <v>46106.358958333331</v>
      </c>
      <c r="T1067" s="112" t="s">
        <v>4802</v>
      </c>
      <c r="U1067" s="112" t="s">
        <v>1065</v>
      </c>
      <c r="V1067" s="112" t="s">
        <v>1066</v>
      </c>
      <c r="W1067" s="112" t="s">
        <v>1066</v>
      </c>
      <c r="X1067" s="112" t="s">
        <v>1066</v>
      </c>
      <c r="Y1067" s="112" t="s">
        <v>1066</v>
      </c>
      <c r="Z1067" s="112" t="s">
        <v>1148</v>
      </c>
      <c r="AA1067" s="112" t="s">
        <v>1067</v>
      </c>
      <c r="AB1067" s="112" t="s">
        <v>1066</v>
      </c>
      <c r="AC1067" s="112" t="s">
        <v>92</v>
      </c>
      <c r="AD1067" s="112" t="s">
        <v>1142</v>
      </c>
      <c r="AE1067" s="112" t="s">
        <v>1066</v>
      </c>
      <c r="AF1067" s="112" t="s">
        <v>1066</v>
      </c>
      <c r="AG1067" s="112" t="s">
        <v>1066</v>
      </c>
      <c r="AH1067" s="112" t="s">
        <v>4803</v>
      </c>
      <c r="AI1067" s="112" t="s">
        <v>785</v>
      </c>
      <c r="AJ1067" s="112">
        <v>8931009</v>
      </c>
      <c r="AK1067" s="112" t="s">
        <v>1243</v>
      </c>
      <c r="AL1067" s="112">
        <v>789515</v>
      </c>
      <c r="AM1067" s="112" t="s">
        <v>1066</v>
      </c>
      <c r="AN1067" s="112" t="s">
        <v>1066</v>
      </c>
    </row>
    <row r="1068" spans="1:40" ht="55.5" customHeight="1" x14ac:dyDescent="0.25">
      <c r="A1068" s="111" t="s">
        <v>4804</v>
      </c>
      <c r="B1068" s="112">
        <v>2026</v>
      </c>
      <c r="C1068" s="112" t="s">
        <v>1089</v>
      </c>
      <c r="D1068" s="113">
        <v>46028.453888888886</v>
      </c>
      <c r="E1068" s="112">
        <v>7936753097</v>
      </c>
      <c r="F1068" s="112" t="s">
        <v>1679</v>
      </c>
      <c r="G1068" s="112">
        <v>1</v>
      </c>
      <c r="H1068" s="112">
        <v>7936753097</v>
      </c>
      <c r="I1068" s="112" t="s">
        <v>4805</v>
      </c>
      <c r="J1068" s="112" t="s">
        <v>1092</v>
      </c>
      <c r="K1068" s="112" t="s">
        <v>1093</v>
      </c>
      <c r="L1068" s="112" t="s">
        <v>1061</v>
      </c>
      <c r="M1068" s="112" t="s">
        <v>478</v>
      </c>
      <c r="N1068" s="113">
        <v>46428.453888888886</v>
      </c>
      <c r="O1068" s="114">
        <v>19002208274</v>
      </c>
      <c r="P1068" s="112">
        <v>107</v>
      </c>
      <c r="Q1068" s="112" t="s">
        <v>1062</v>
      </c>
      <c r="R1068" s="112" t="s">
        <v>1063</v>
      </c>
      <c r="S1068" s="113">
        <v>46035.363194444442</v>
      </c>
      <c r="T1068" s="112" t="s">
        <v>4806</v>
      </c>
      <c r="U1068" s="112" t="s">
        <v>1065</v>
      </c>
      <c r="V1068" s="112" t="s">
        <v>1066</v>
      </c>
      <c r="W1068" s="112" t="s">
        <v>1066</v>
      </c>
      <c r="X1068" s="112" t="s">
        <v>1066</v>
      </c>
      <c r="Y1068" s="112" t="s">
        <v>1066</v>
      </c>
      <c r="Z1068" s="112" t="s">
        <v>1066</v>
      </c>
      <c r="AA1068" s="112" t="s">
        <v>1067</v>
      </c>
      <c r="AB1068" s="112" t="s">
        <v>1066</v>
      </c>
      <c r="AC1068" s="112" t="s">
        <v>92</v>
      </c>
      <c r="AD1068" s="112" t="s">
        <v>1066</v>
      </c>
      <c r="AE1068" s="112" t="s">
        <v>1066</v>
      </c>
      <c r="AF1068" s="112" t="s">
        <v>1066</v>
      </c>
      <c r="AG1068" s="112" t="s">
        <v>1066</v>
      </c>
      <c r="AH1068" s="112" t="s">
        <v>1066</v>
      </c>
      <c r="AI1068" s="112" t="s">
        <v>785</v>
      </c>
      <c r="AJ1068" s="112">
        <v>8600122</v>
      </c>
      <c r="AK1068" s="112" t="s">
        <v>2841</v>
      </c>
      <c r="AL1068" s="112">
        <v>709727</v>
      </c>
      <c r="AM1068" s="112" t="s">
        <v>1066</v>
      </c>
      <c r="AN1068" s="112" t="s">
        <v>1066</v>
      </c>
    </row>
    <row r="1069" spans="1:40" ht="55.5" customHeight="1" x14ac:dyDescent="0.25">
      <c r="A1069" s="111" t="s">
        <v>4807</v>
      </c>
      <c r="B1069" s="112">
        <v>2026</v>
      </c>
      <c r="C1069" s="112" t="s">
        <v>4808</v>
      </c>
      <c r="D1069" s="113">
        <v>46111.479537037034</v>
      </c>
      <c r="E1069" s="112">
        <v>8800256193</v>
      </c>
      <c r="F1069" s="112" t="s">
        <v>370</v>
      </c>
      <c r="G1069" s="112">
        <v>2</v>
      </c>
      <c r="H1069" s="112">
        <v>5855165193</v>
      </c>
      <c r="I1069" s="112" t="s">
        <v>3830</v>
      </c>
      <c r="J1069" s="112" t="s">
        <v>1071</v>
      </c>
      <c r="K1069" s="112" t="s">
        <v>1072</v>
      </c>
      <c r="L1069" s="112" t="s">
        <v>1073</v>
      </c>
      <c r="M1069" s="112" t="s">
        <v>478</v>
      </c>
      <c r="N1069" s="113">
        <v>46114.479537037034</v>
      </c>
      <c r="O1069" s="114">
        <v>19002728155</v>
      </c>
      <c r="P1069" s="112">
        <v>2.984</v>
      </c>
      <c r="Q1069" s="112" t="s">
        <v>1074</v>
      </c>
      <c r="R1069" s="112" t="s">
        <v>1075</v>
      </c>
      <c r="S1069" s="113">
        <v>46112.729166666664</v>
      </c>
      <c r="T1069" s="112" t="s">
        <v>4809</v>
      </c>
      <c r="U1069" s="112" t="s">
        <v>1065</v>
      </c>
      <c r="V1069" s="112" t="s">
        <v>1066</v>
      </c>
      <c r="W1069" s="112" t="s">
        <v>1066</v>
      </c>
      <c r="X1069" s="112" t="s">
        <v>3101</v>
      </c>
      <c r="Y1069" s="112" t="s">
        <v>1066</v>
      </c>
      <c r="Z1069" s="112" t="s">
        <v>1078</v>
      </c>
      <c r="AA1069" s="112" t="s">
        <v>1067</v>
      </c>
      <c r="AB1069" s="112" t="s">
        <v>1066</v>
      </c>
      <c r="AC1069" s="112" t="s">
        <v>92</v>
      </c>
      <c r="AD1069" s="112" t="s">
        <v>1066</v>
      </c>
      <c r="AE1069" s="112" t="s">
        <v>1066</v>
      </c>
      <c r="AF1069" s="112" t="s">
        <v>1066</v>
      </c>
      <c r="AG1069" s="112" t="s">
        <v>1066</v>
      </c>
      <c r="AH1069" s="112" t="s">
        <v>1066</v>
      </c>
      <c r="AI1069" s="112" t="s">
        <v>785</v>
      </c>
      <c r="AJ1069" s="112">
        <v>9114146</v>
      </c>
      <c r="AK1069" s="112" t="s">
        <v>369</v>
      </c>
      <c r="AL1069" s="112">
        <v>966215</v>
      </c>
      <c r="AM1069" s="112" t="s">
        <v>1066</v>
      </c>
      <c r="AN1069" s="112" t="s">
        <v>1066</v>
      </c>
    </row>
    <row r="1070" spans="1:40" ht="55.5" customHeight="1" x14ac:dyDescent="0.25">
      <c r="A1070" s="111" t="s">
        <v>4810</v>
      </c>
      <c r="B1070" s="112">
        <v>2026</v>
      </c>
      <c r="C1070" s="112" t="s">
        <v>4811</v>
      </c>
      <c r="D1070" s="113">
        <v>46120.526307870372</v>
      </c>
      <c r="E1070" s="112">
        <v>8800168265</v>
      </c>
      <c r="F1070" s="112" t="s">
        <v>191</v>
      </c>
      <c r="G1070" s="112">
        <v>2</v>
      </c>
      <c r="H1070" s="112">
        <v>5855189265</v>
      </c>
      <c r="I1070" s="112" t="s">
        <v>4812</v>
      </c>
      <c r="J1070" s="112" t="s">
        <v>1071</v>
      </c>
      <c r="K1070" s="112" t="s">
        <v>1171</v>
      </c>
      <c r="L1070" s="112" t="s">
        <v>1073</v>
      </c>
      <c r="M1070" s="112" t="s">
        <v>478</v>
      </c>
      <c r="N1070" s="113">
        <v>46125.733981481484</v>
      </c>
      <c r="O1070" s="114">
        <v>19002725739</v>
      </c>
      <c r="P1070" s="112">
        <v>3.2890000000000001</v>
      </c>
      <c r="Q1070" s="112" t="s">
        <v>1074</v>
      </c>
      <c r="R1070" s="112" t="s">
        <v>1263</v>
      </c>
      <c r="S1070" s="113">
        <v>46164.474999999999</v>
      </c>
      <c r="T1070" s="112" t="s">
        <v>4813</v>
      </c>
      <c r="U1070" s="112" t="s">
        <v>1065</v>
      </c>
      <c r="V1070" s="112" t="s">
        <v>1066</v>
      </c>
      <c r="W1070" s="112" t="s">
        <v>1066</v>
      </c>
      <c r="X1070" s="112" t="s">
        <v>1726</v>
      </c>
      <c r="Y1070" s="112" t="s">
        <v>1066</v>
      </c>
      <c r="Z1070" s="112" t="s">
        <v>1479</v>
      </c>
      <c r="AA1070" s="112" t="s">
        <v>1067</v>
      </c>
      <c r="AB1070" s="112" t="s">
        <v>1066</v>
      </c>
      <c r="AC1070" s="112" t="s">
        <v>92</v>
      </c>
      <c r="AD1070" s="112" t="s">
        <v>1066</v>
      </c>
      <c r="AE1070" s="112" t="s">
        <v>1066</v>
      </c>
      <c r="AF1070" s="112" t="s">
        <v>1066</v>
      </c>
      <c r="AG1070" s="112" t="s">
        <v>1066</v>
      </c>
      <c r="AH1070" s="112" t="s">
        <v>4814</v>
      </c>
      <c r="AI1070" s="112" t="s">
        <v>785</v>
      </c>
      <c r="AJ1070" s="112">
        <v>9151003</v>
      </c>
      <c r="AK1070" s="112" t="s">
        <v>3860</v>
      </c>
      <c r="AL1070" s="112">
        <v>871871</v>
      </c>
      <c r="AM1070" s="112" t="s">
        <v>1066</v>
      </c>
      <c r="AN1070" s="112" t="s">
        <v>1066</v>
      </c>
    </row>
    <row r="1071" spans="1:40" ht="55.5" customHeight="1" x14ac:dyDescent="0.25">
      <c r="A1071" s="111" t="s">
        <v>4815</v>
      </c>
      <c r="B1071" s="112">
        <v>2026</v>
      </c>
      <c r="C1071" s="112" t="s">
        <v>4816</v>
      </c>
      <c r="D1071" s="113">
        <v>46163.985266203701</v>
      </c>
      <c r="E1071" s="112">
        <v>8800283013</v>
      </c>
      <c r="F1071" s="112" t="s">
        <v>1294</v>
      </c>
      <c r="G1071" s="112">
        <v>3</v>
      </c>
      <c r="H1071" s="112">
        <v>7908690013</v>
      </c>
      <c r="I1071" s="112" t="s">
        <v>1873</v>
      </c>
      <c r="J1071" s="112" t="s">
        <v>1071</v>
      </c>
      <c r="K1071" s="112" t="s">
        <v>1580</v>
      </c>
      <c r="L1071" s="112" t="s">
        <v>1073</v>
      </c>
      <c r="M1071" s="112" t="s">
        <v>478</v>
      </c>
      <c r="N1071" s="113">
        <v>46167.739374999997</v>
      </c>
      <c r="O1071" s="114">
        <v>19000123522</v>
      </c>
      <c r="P1071" s="112">
        <v>1.9650000000000001</v>
      </c>
      <c r="Q1071" s="112" t="s">
        <v>1131</v>
      </c>
      <c r="R1071" s="112" t="s">
        <v>1085</v>
      </c>
      <c r="S1071" s="113">
        <v>46171.729166666664</v>
      </c>
      <c r="T1071" s="112" t="s">
        <v>4817</v>
      </c>
      <c r="U1071" s="112" t="s">
        <v>1065</v>
      </c>
      <c r="V1071" s="112" t="s">
        <v>1066</v>
      </c>
      <c r="W1071" s="112" t="s">
        <v>1066</v>
      </c>
      <c r="X1071" s="112" t="s">
        <v>1066</v>
      </c>
      <c r="Y1071" s="112" t="s">
        <v>1066</v>
      </c>
      <c r="Z1071" s="112" t="s">
        <v>1066</v>
      </c>
      <c r="AA1071" s="112" t="s">
        <v>1067</v>
      </c>
      <c r="AB1071" s="112" t="s">
        <v>1066</v>
      </c>
      <c r="AC1071" s="112" t="s">
        <v>92</v>
      </c>
      <c r="AD1071" s="112" t="s">
        <v>1142</v>
      </c>
      <c r="AE1071" s="112" t="s">
        <v>1066</v>
      </c>
      <c r="AF1071" s="112" t="s">
        <v>1066</v>
      </c>
      <c r="AG1071" s="112" t="s">
        <v>1066</v>
      </c>
      <c r="AH1071" s="112" t="s">
        <v>4818</v>
      </c>
      <c r="AI1071" s="112" t="s">
        <v>785</v>
      </c>
      <c r="AJ1071" s="112">
        <v>8872581</v>
      </c>
      <c r="AK1071" s="112" t="s">
        <v>117</v>
      </c>
      <c r="AL1071" s="112">
        <v>731017</v>
      </c>
      <c r="AM1071" s="112" t="s">
        <v>1066</v>
      </c>
      <c r="AN1071" s="112" t="s">
        <v>1066</v>
      </c>
    </row>
    <row r="1072" spans="1:40" ht="55.5" customHeight="1" x14ac:dyDescent="0.25">
      <c r="A1072" s="111" t="s">
        <v>4819</v>
      </c>
      <c r="B1072" s="112">
        <v>2026</v>
      </c>
      <c r="C1072" s="112" t="s">
        <v>4820</v>
      </c>
      <c r="D1072" s="113">
        <v>45889.402743055558</v>
      </c>
      <c r="E1072" s="112">
        <v>7955430075</v>
      </c>
      <c r="F1072" s="112" t="s">
        <v>1415</v>
      </c>
      <c r="G1072" s="112">
        <v>3</v>
      </c>
      <c r="H1072" s="112">
        <v>7955430075</v>
      </c>
      <c r="I1072" s="112" t="s">
        <v>4821</v>
      </c>
      <c r="J1072" s="112" t="s">
        <v>1071</v>
      </c>
      <c r="K1072" s="112" t="s">
        <v>2307</v>
      </c>
      <c r="L1072" s="112" t="s">
        <v>1073</v>
      </c>
      <c r="M1072" s="112" t="s">
        <v>478</v>
      </c>
      <c r="N1072" s="113">
        <v>46205.67324074074</v>
      </c>
      <c r="O1072" s="114">
        <v>19002738006</v>
      </c>
      <c r="P1072" s="112">
        <v>14</v>
      </c>
      <c r="Q1072" s="112" t="s">
        <v>1062</v>
      </c>
      <c r="R1072" s="112" t="s">
        <v>1075</v>
      </c>
      <c r="S1072" s="113">
        <v>46112.477824074071</v>
      </c>
      <c r="T1072" s="112" t="s">
        <v>4822</v>
      </c>
      <c r="U1072" s="112" t="s">
        <v>1065</v>
      </c>
      <c r="V1072" s="112" t="s">
        <v>1066</v>
      </c>
      <c r="W1072" s="112" t="s">
        <v>1066</v>
      </c>
      <c r="X1072" s="112" t="s">
        <v>983</v>
      </c>
      <c r="Y1072" s="112" t="s">
        <v>1066</v>
      </c>
      <c r="Z1072" s="112" t="s">
        <v>1318</v>
      </c>
      <c r="AA1072" s="112" t="s">
        <v>1067</v>
      </c>
      <c r="AB1072" s="112" t="s">
        <v>1066</v>
      </c>
      <c r="AC1072" s="112" t="s">
        <v>92</v>
      </c>
      <c r="AD1072" s="112" t="s">
        <v>1066</v>
      </c>
      <c r="AE1072" s="112" t="s">
        <v>1066</v>
      </c>
      <c r="AF1072" s="112" t="s">
        <v>1066</v>
      </c>
      <c r="AG1072" s="112" t="s">
        <v>1066</v>
      </c>
      <c r="AH1072" s="112" t="s">
        <v>4823</v>
      </c>
      <c r="AI1072" s="112" t="s">
        <v>785</v>
      </c>
      <c r="AJ1072" s="112">
        <v>8977629</v>
      </c>
      <c r="AK1072" s="112" t="s">
        <v>590</v>
      </c>
      <c r="AL1072" s="112">
        <v>736962</v>
      </c>
      <c r="AM1072" s="112" t="s">
        <v>1066</v>
      </c>
      <c r="AN1072" s="112" t="s">
        <v>1066</v>
      </c>
    </row>
    <row r="1073" spans="1:40" ht="55.5" customHeight="1" x14ac:dyDescent="0.25">
      <c r="A1073" s="111" t="s">
        <v>4824</v>
      </c>
      <c r="B1073" s="112">
        <v>2026</v>
      </c>
      <c r="C1073" s="112" t="s">
        <v>1089</v>
      </c>
      <c r="D1073" s="113">
        <v>46028.453888888886</v>
      </c>
      <c r="E1073" s="112">
        <v>7900573047</v>
      </c>
      <c r="F1073" s="112" t="s">
        <v>113</v>
      </c>
      <c r="G1073" s="112">
        <v>1</v>
      </c>
      <c r="H1073" s="112">
        <v>7900573047</v>
      </c>
      <c r="I1073" s="112" t="s">
        <v>4825</v>
      </c>
      <c r="J1073" s="112" t="s">
        <v>1092</v>
      </c>
      <c r="K1073" s="112" t="s">
        <v>1093</v>
      </c>
      <c r="L1073" s="112" t="s">
        <v>1061</v>
      </c>
      <c r="M1073" s="112" t="s">
        <v>478</v>
      </c>
      <c r="N1073" s="113">
        <v>46428.453888888886</v>
      </c>
      <c r="O1073" s="114">
        <v>19002223663</v>
      </c>
      <c r="P1073" s="112">
        <v>39</v>
      </c>
      <c r="Q1073" s="112" t="s">
        <v>1062</v>
      </c>
      <c r="R1073" s="112" t="s">
        <v>1063</v>
      </c>
      <c r="S1073" s="113">
        <v>46035.356249999997</v>
      </c>
      <c r="T1073" s="112" t="s">
        <v>4826</v>
      </c>
      <c r="U1073" s="112" t="s">
        <v>1065</v>
      </c>
      <c r="V1073" s="112" t="s">
        <v>1066</v>
      </c>
      <c r="W1073" s="112" t="s">
        <v>1066</v>
      </c>
      <c r="X1073" s="112" t="s">
        <v>1066</v>
      </c>
      <c r="Y1073" s="112" t="s">
        <v>1066</v>
      </c>
      <c r="Z1073" s="112" t="s">
        <v>1066</v>
      </c>
      <c r="AA1073" s="112" t="s">
        <v>1067</v>
      </c>
      <c r="AB1073" s="112" t="s">
        <v>1066</v>
      </c>
      <c r="AC1073" s="112" t="s">
        <v>92</v>
      </c>
      <c r="AD1073" s="112" t="s">
        <v>1066</v>
      </c>
      <c r="AE1073" s="112" t="s">
        <v>1066</v>
      </c>
      <c r="AF1073" s="112" t="s">
        <v>1066</v>
      </c>
      <c r="AG1073" s="112" t="s">
        <v>1066</v>
      </c>
      <c r="AH1073" s="112" t="s">
        <v>1066</v>
      </c>
      <c r="AI1073" s="112" t="s">
        <v>785</v>
      </c>
      <c r="AJ1073" s="112">
        <v>8657414</v>
      </c>
      <c r="AK1073" s="112" t="s">
        <v>111</v>
      </c>
      <c r="AL1073" s="112">
        <v>698555</v>
      </c>
      <c r="AM1073" s="112" t="s">
        <v>1066</v>
      </c>
      <c r="AN1073" s="112" t="s">
        <v>1066</v>
      </c>
    </row>
    <row r="1074" spans="1:40" ht="55.5" customHeight="1" x14ac:dyDescent="0.25">
      <c r="A1074" s="120" t="s">
        <v>4827</v>
      </c>
      <c r="B1074" s="121">
        <v>2026</v>
      </c>
      <c r="C1074" s="121" t="s">
        <v>4828</v>
      </c>
      <c r="D1074" s="122">
        <v>46101.722905092596</v>
      </c>
      <c r="E1074" s="121">
        <v>9000162082</v>
      </c>
      <c r="F1074" s="121" t="s">
        <v>88</v>
      </c>
      <c r="G1074" s="121">
        <v>3</v>
      </c>
      <c r="H1074" s="121">
        <v>7929534082</v>
      </c>
      <c r="I1074" s="121" t="s">
        <v>4829</v>
      </c>
      <c r="J1074" s="121" t="s">
        <v>1071</v>
      </c>
      <c r="K1074" s="121" t="s">
        <v>1408</v>
      </c>
      <c r="L1074" s="121" t="s">
        <v>1073</v>
      </c>
      <c r="M1074" s="121" t="s">
        <v>1116</v>
      </c>
      <c r="N1074" s="122">
        <v>46104.722905092596</v>
      </c>
      <c r="O1074" s="123">
        <v>19001276966</v>
      </c>
      <c r="P1074" s="121">
        <v>1.0660000000000001</v>
      </c>
      <c r="Q1074" s="121" t="s">
        <v>1131</v>
      </c>
      <c r="R1074" s="121" t="s">
        <v>1263</v>
      </c>
      <c r="S1074" s="122">
        <v>46105.620358796295</v>
      </c>
      <c r="T1074" s="121" t="s">
        <v>1066</v>
      </c>
      <c r="U1074" s="121" t="s">
        <v>1066</v>
      </c>
      <c r="V1074" s="121" t="s">
        <v>1066</v>
      </c>
      <c r="W1074" s="121" t="s">
        <v>1066</v>
      </c>
      <c r="X1074" s="121" t="s">
        <v>1173</v>
      </c>
      <c r="Y1074" s="121" t="s">
        <v>1066</v>
      </c>
      <c r="Z1074" s="121" t="s">
        <v>1409</v>
      </c>
      <c r="AA1074" s="121" t="s">
        <v>1067</v>
      </c>
      <c r="AB1074" s="121" t="s">
        <v>1066</v>
      </c>
      <c r="AC1074" s="121" t="s">
        <v>92</v>
      </c>
      <c r="AD1074" s="121" t="s">
        <v>1142</v>
      </c>
      <c r="AE1074" s="121" t="s">
        <v>1066</v>
      </c>
      <c r="AF1074" s="121" t="s">
        <v>1066</v>
      </c>
      <c r="AG1074" s="121" t="s">
        <v>1066</v>
      </c>
      <c r="AH1074" s="121" t="s">
        <v>1066</v>
      </c>
      <c r="AI1074" s="121" t="s">
        <v>785</v>
      </c>
      <c r="AJ1074" s="121">
        <v>8928082</v>
      </c>
      <c r="AK1074" s="121" t="s">
        <v>2314</v>
      </c>
      <c r="AL1074" s="121">
        <v>954104</v>
      </c>
      <c r="AM1074" s="121" t="s">
        <v>1066</v>
      </c>
      <c r="AN1074" s="121" t="s">
        <v>1066</v>
      </c>
    </row>
    <row r="1075" spans="1:40" ht="55.5" customHeight="1" x14ac:dyDescent="0.25">
      <c r="A1075" s="111" t="s">
        <v>4830</v>
      </c>
      <c r="B1075" s="112">
        <v>2026</v>
      </c>
      <c r="C1075" s="112" t="s">
        <v>4831</v>
      </c>
      <c r="D1075" s="113">
        <v>46110.337789351855</v>
      </c>
      <c r="E1075" s="112">
        <v>7930262058</v>
      </c>
      <c r="F1075" s="112" t="s">
        <v>284</v>
      </c>
      <c r="G1075" s="112">
        <v>3</v>
      </c>
      <c r="H1075" s="112">
        <v>7930262058</v>
      </c>
      <c r="I1075" s="112" t="s">
        <v>2758</v>
      </c>
      <c r="J1075" s="112" t="s">
        <v>1071</v>
      </c>
      <c r="K1075" s="112" t="s">
        <v>1296</v>
      </c>
      <c r="L1075" s="112" t="s">
        <v>1073</v>
      </c>
      <c r="M1075" s="112" t="s">
        <v>478</v>
      </c>
      <c r="N1075" s="113">
        <v>46125.721493055556</v>
      </c>
      <c r="O1075" s="114">
        <v>19002210161</v>
      </c>
      <c r="P1075" s="112">
        <v>233</v>
      </c>
      <c r="Q1075" s="112" t="s">
        <v>1062</v>
      </c>
      <c r="R1075" s="112" t="s">
        <v>1085</v>
      </c>
      <c r="S1075" s="113">
        <v>46127.729166666664</v>
      </c>
      <c r="T1075" s="112" t="s">
        <v>4832</v>
      </c>
      <c r="U1075" s="112" t="s">
        <v>1065</v>
      </c>
      <c r="V1075" s="112" t="s">
        <v>1066</v>
      </c>
      <c r="W1075" s="112" t="s">
        <v>1066</v>
      </c>
      <c r="X1075" s="112" t="s">
        <v>983</v>
      </c>
      <c r="Y1075" s="112" t="s">
        <v>1066</v>
      </c>
      <c r="Z1075" s="112" t="s">
        <v>2152</v>
      </c>
      <c r="AA1075" s="112" t="s">
        <v>1067</v>
      </c>
      <c r="AB1075" s="112" t="s">
        <v>1066</v>
      </c>
      <c r="AC1075" s="112" t="s">
        <v>92</v>
      </c>
      <c r="AD1075" s="112" t="s">
        <v>1066</v>
      </c>
      <c r="AE1075" s="112" t="s">
        <v>1066</v>
      </c>
      <c r="AF1075" s="112" t="s">
        <v>1066</v>
      </c>
      <c r="AG1075" s="112" t="s">
        <v>1066</v>
      </c>
      <c r="AH1075" s="112" t="s">
        <v>4833</v>
      </c>
      <c r="AI1075" s="112" t="s">
        <v>785</v>
      </c>
      <c r="AJ1075" s="112">
        <v>9215870</v>
      </c>
      <c r="AK1075" s="112" t="s">
        <v>283</v>
      </c>
      <c r="AL1075" s="112">
        <v>738872</v>
      </c>
      <c r="AM1075" s="112" t="s">
        <v>1066</v>
      </c>
      <c r="AN1075" s="112" t="s">
        <v>1066</v>
      </c>
    </row>
    <row r="1076" spans="1:40" ht="55.5" customHeight="1" x14ac:dyDescent="0.25">
      <c r="A1076" s="111" t="s">
        <v>4834</v>
      </c>
      <c r="B1076" s="112">
        <v>2026</v>
      </c>
      <c r="C1076" s="112" t="s">
        <v>1057</v>
      </c>
      <c r="D1076" s="113">
        <v>46125.614548611113</v>
      </c>
      <c r="E1076" s="112">
        <v>7927601001</v>
      </c>
      <c r="F1076" s="112" t="s">
        <v>711</v>
      </c>
      <c r="G1076" s="112">
        <v>2</v>
      </c>
      <c r="H1076" s="112">
        <v>7927601001</v>
      </c>
      <c r="I1076" s="112" t="s">
        <v>4835</v>
      </c>
      <c r="J1076" s="112" t="s">
        <v>1066</v>
      </c>
      <c r="K1076" s="112" t="s">
        <v>1125</v>
      </c>
      <c r="L1076" s="112" t="s">
        <v>1061</v>
      </c>
      <c r="M1076" s="112" t="s">
        <v>478</v>
      </c>
      <c r="N1076" s="113">
        <v>46525.614548611113</v>
      </c>
      <c r="O1076" s="114">
        <v>19002210696</v>
      </c>
      <c r="P1076" s="112">
        <v>0</v>
      </c>
      <c r="Q1076" s="112" t="s">
        <v>1062</v>
      </c>
      <c r="R1076" s="112" t="s">
        <v>1063</v>
      </c>
      <c r="S1076" s="113">
        <v>46227.555868055555</v>
      </c>
      <c r="T1076" s="112" t="s">
        <v>4836</v>
      </c>
      <c r="U1076" s="112" t="s">
        <v>1065</v>
      </c>
      <c r="V1076" s="112" t="s">
        <v>1066</v>
      </c>
      <c r="W1076" s="112" t="s">
        <v>1066</v>
      </c>
      <c r="X1076" s="112" t="s">
        <v>1066</v>
      </c>
      <c r="Y1076" s="112" t="s">
        <v>1066</v>
      </c>
      <c r="Z1076" s="112" t="s">
        <v>1066</v>
      </c>
      <c r="AA1076" s="112" t="s">
        <v>1067</v>
      </c>
      <c r="AB1076" s="112" t="s">
        <v>1066</v>
      </c>
      <c r="AC1076" s="112" t="s">
        <v>92</v>
      </c>
      <c r="AD1076" s="112" t="s">
        <v>1066</v>
      </c>
      <c r="AE1076" s="112" t="s">
        <v>1066</v>
      </c>
      <c r="AF1076" s="112" t="s">
        <v>1066</v>
      </c>
      <c r="AG1076" s="112" t="s">
        <v>1066</v>
      </c>
      <c r="AH1076" s="112" t="s">
        <v>1066</v>
      </c>
      <c r="AI1076" s="112" t="s">
        <v>785</v>
      </c>
      <c r="AJ1076" s="112">
        <v>8813270</v>
      </c>
      <c r="AK1076" s="112" t="s">
        <v>50</v>
      </c>
      <c r="AL1076" s="112">
        <v>783120</v>
      </c>
      <c r="AM1076" s="112" t="s">
        <v>1066</v>
      </c>
      <c r="AN1076" s="112" t="s">
        <v>1066</v>
      </c>
    </row>
    <row r="1077" spans="1:40" ht="55.5" customHeight="1" x14ac:dyDescent="0.25">
      <c r="A1077" s="124" t="s">
        <v>4837</v>
      </c>
      <c r="B1077" s="125">
        <v>2026</v>
      </c>
      <c r="C1077" s="125" t="s">
        <v>4838</v>
      </c>
      <c r="D1077" s="126">
        <v>46254.596875000003</v>
      </c>
      <c r="E1077" s="125">
        <v>9001701014</v>
      </c>
      <c r="F1077" s="125" t="s">
        <v>682</v>
      </c>
      <c r="G1077" s="125">
        <v>3</v>
      </c>
      <c r="H1077" s="125">
        <v>7902736014</v>
      </c>
      <c r="I1077" s="125" t="s">
        <v>4839</v>
      </c>
      <c r="J1077" s="125" t="s">
        <v>1157</v>
      </c>
      <c r="K1077" s="125" t="s">
        <v>1158</v>
      </c>
      <c r="L1077" s="125" t="s">
        <v>1084</v>
      </c>
      <c r="M1077" s="125" t="s">
        <v>510</v>
      </c>
      <c r="N1077" s="126">
        <v>46314.596875000003</v>
      </c>
      <c r="O1077" s="127">
        <v>19001341018</v>
      </c>
      <c r="P1077" s="125">
        <v>6</v>
      </c>
      <c r="Q1077" s="125" t="s">
        <v>1131</v>
      </c>
      <c r="R1077" s="125" t="s">
        <v>1085</v>
      </c>
      <c r="S1077" s="125" t="s">
        <v>1066</v>
      </c>
      <c r="T1077" s="125" t="s">
        <v>1066</v>
      </c>
      <c r="U1077" s="125" t="s">
        <v>1066</v>
      </c>
      <c r="V1077" s="125" t="s">
        <v>1066</v>
      </c>
      <c r="W1077" s="125" t="s">
        <v>1066</v>
      </c>
      <c r="X1077" s="125" t="s">
        <v>1117</v>
      </c>
      <c r="Y1077" s="125" t="s">
        <v>1066</v>
      </c>
      <c r="Z1077" s="125" t="s">
        <v>1148</v>
      </c>
      <c r="AA1077" s="125" t="s">
        <v>1067</v>
      </c>
      <c r="AB1077" s="125" t="s">
        <v>1066</v>
      </c>
      <c r="AC1077" s="125" t="s">
        <v>92</v>
      </c>
      <c r="AD1077" s="125" t="s">
        <v>1142</v>
      </c>
      <c r="AE1077" s="125" t="s">
        <v>1066</v>
      </c>
      <c r="AF1077" s="125" t="s">
        <v>1066</v>
      </c>
      <c r="AG1077" s="125" t="s">
        <v>1066</v>
      </c>
      <c r="AH1077" s="125" t="s">
        <v>1066</v>
      </c>
      <c r="AI1077" s="125" t="s">
        <v>785</v>
      </c>
      <c r="AJ1077" s="125">
        <v>8893988</v>
      </c>
      <c r="AK1077" s="125" t="s">
        <v>164</v>
      </c>
      <c r="AL1077" s="125">
        <v>666478</v>
      </c>
      <c r="AM1077" s="125" t="s">
        <v>1066</v>
      </c>
      <c r="AN1077" s="125" t="s">
        <v>1066</v>
      </c>
    </row>
    <row r="1078" spans="1:40" ht="55.5" customHeight="1" x14ac:dyDescent="0.25">
      <c r="A1078" s="115" t="s">
        <v>4840</v>
      </c>
      <c r="B1078" s="116">
        <v>2026</v>
      </c>
      <c r="C1078" s="116" t="s">
        <v>4841</v>
      </c>
      <c r="D1078" s="118">
        <v>46107.658784722225</v>
      </c>
      <c r="E1078" s="116">
        <v>7923673004</v>
      </c>
      <c r="F1078" s="116" t="s">
        <v>70</v>
      </c>
      <c r="G1078" s="116">
        <v>2</v>
      </c>
      <c r="H1078" s="116">
        <v>7923673004</v>
      </c>
      <c r="I1078" s="116" t="s">
        <v>4842</v>
      </c>
      <c r="J1078" s="116" t="s">
        <v>1059</v>
      </c>
      <c r="K1078" s="116" t="s">
        <v>1060</v>
      </c>
      <c r="L1078" s="116" t="s">
        <v>1061</v>
      </c>
      <c r="M1078" s="116" t="s">
        <v>588</v>
      </c>
      <c r="N1078" s="118">
        <v>46610.64199074074</v>
      </c>
      <c r="O1078" s="119">
        <v>19002206707</v>
      </c>
      <c r="P1078" s="116">
        <v>0</v>
      </c>
      <c r="Q1078" s="116" t="s">
        <v>1062</v>
      </c>
      <c r="R1078" s="116" t="s">
        <v>1075</v>
      </c>
      <c r="S1078" s="116" t="s">
        <v>1066</v>
      </c>
      <c r="T1078" s="116" t="s">
        <v>1066</v>
      </c>
      <c r="U1078" s="116" t="s">
        <v>1066</v>
      </c>
      <c r="V1078" s="116" t="s">
        <v>1066</v>
      </c>
      <c r="W1078" s="116" t="s">
        <v>1066</v>
      </c>
      <c r="X1078" s="116" t="s">
        <v>1066</v>
      </c>
      <c r="Y1078" s="116" t="s">
        <v>1066</v>
      </c>
      <c r="Z1078" s="116" t="s">
        <v>1066</v>
      </c>
      <c r="AA1078" s="116" t="s">
        <v>1067</v>
      </c>
      <c r="AB1078" s="116" t="s">
        <v>1066</v>
      </c>
      <c r="AC1078" s="116" t="s">
        <v>92</v>
      </c>
      <c r="AD1078" s="116" t="s">
        <v>1066</v>
      </c>
      <c r="AE1078" s="116" t="s">
        <v>1066</v>
      </c>
      <c r="AF1078" s="116" t="s">
        <v>1066</v>
      </c>
      <c r="AG1078" s="116" t="s">
        <v>1066</v>
      </c>
      <c r="AH1078" s="116" t="s">
        <v>4843</v>
      </c>
      <c r="AI1078" s="116" t="s">
        <v>785</v>
      </c>
      <c r="AJ1078" s="116">
        <v>9204335</v>
      </c>
      <c r="AK1078" s="116" t="s">
        <v>69</v>
      </c>
      <c r="AL1078" s="116">
        <v>808350</v>
      </c>
      <c r="AM1078" s="116" t="s">
        <v>1066</v>
      </c>
      <c r="AN1078" s="116" t="s">
        <v>1066</v>
      </c>
    </row>
    <row r="1079" spans="1:40" ht="55.5" customHeight="1" x14ac:dyDescent="0.25">
      <c r="A1079" s="111" t="s">
        <v>4844</v>
      </c>
      <c r="B1079" s="112">
        <v>2026</v>
      </c>
      <c r="C1079" s="112" t="s">
        <v>1251</v>
      </c>
      <c r="D1079" s="113">
        <v>46031.603807870371</v>
      </c>
      <c r="E1079" s="112">
        <v>7913661028</v>
      </c>
      <c r="F1079" s="112" t="s">
        <v>43</v>
      </c>
      <c r="G1079" s="112">
        <v>2</v>
      </c>
      <c r="H1079" s="112">
        <v>7913661028</v>
      </c>
      <c r="I1079" s="112" t="s">
        <v>4845</v>
      </c>
      <c r="J1079" s="112" t="s">
        <v>1059</v>
      </c>
      <c r="K1079" s="112" t="s">
        <v>1060</v>
      </c>
      <c r="L1079" s="112" t="s">
        <v>1061</v>
      </c>
      <c r="M1079" s="112" t="s">
        <v>478</v>
      </c>
      <c r="N1079" s="113">
        <v>46431.603807870371</v>
      </c>
      <c r="O1079" s="114">
        <v>19002295981</v>
      </c>
      <c r="P1079" s="112">
        <v>1.3049999999999999</v>
      </c>
      <c r="Q1079" s="112" t="s">
        <v>1062</v>
      </c>
      <c r="R1079" s="112" t="s">
        <v>1063</v>
      </c>
      <c r="S1079" s="113">
        <v>46031.729166666664</v>
      </c>
      <c r="T1079" s="112" t="s">
        <v>1253</v>
      </c>
      <c r="U1079" s="112" t="s">
        <v>1065</v>
      </c>
      <c r="V1079" s="112" t="s">
        <v>1066</v>
      </c>
      <c r="W1079" s="112" t="s">
        <v>1066</v>
      </c>
      <c r="X1079" s="112" t="s">
        <v>1066</v>
      </c>
      <c r="Y1079" s="112" t="s">
        <v>1066</v>
      </c>
      <c r="Z1079" s="112" t="s">
        <v>1066</v>
      </c>
      <c r="AA1079" s="112" t="s">
        <v>1067</v>
      </c>
      <c r="AB1079" s="112" t="s">
        <v>1066</v>
      </c>
      <c r="AC1079" s="112" t="s">
        <v>92</v>
      </c>
      <c r="AD1079" s="112" t="s">
        <v>1066</v>
      </c>
      <c r="AE1079" s="112" t="s">
        <v>1066</v>
      </c>
      <c r="AF1079" s="112" t="s">
        <v>1066</v>
      </c>
      <c r="AG1079" s="112" t="s">
        <v>1066</v>
      </c>
      <c r="AH1079" s="112" t="s">
        <v>1066</v>
      </c>
      <c r="AI1079" s="112" t="s">
        <v>785</v>
      </c>
      <c r="AJ1079" s="112">
        <v>8712108</v>
      </c>
      <c r="AK1079" s="112" t="s">
        <v>403</v>
      </c>
      <c r="AL1079" s="112">
        <v>861524</v>
      </c>
      <c r="AM1079" s="112" t="s">
        <v>1066</v>
      </c>
      <c r="AN1079" s="112" t="s">
        <v>1066</v>
      </c>
    </row>
    <row r="1080" spans="1:40" ht="55.5" customHeight="1" x14ac:dyDescent="0.25">
      <c r="A1080" s="111" t="s">
        <v>4846</v>
      </c>
      <c r="B1080" s="112">
        <v>2026</v>
      </c>
      <c r="C1080" s="112" t="s">
        <v>4517</v>
      </c>
      <c r="D1080" s="113">
        <v>46068.404444444444</v>
      </c>
      <c r="E1080" s="112">
        <v>9004439004</v>
      </c>
      <c r="F1080" s="112" t="s">
        <v>3016</v>
      </c>
      <c r="G1080" s="112">
        <v>2</v>
      </c>
      <c r="H1080" s="112">
        <v>7927751004</v>
      </c>
      <c r="I1080" s="112" t="s">
        <v>4847</v>
      </c>
      <c r="J1080" s="112" t="s">
        <v>1071</v>
      </c>
      <c r="K1080" s="112" t="s">
        <v>2958</v>
      </c>
      <c r="L1080" s="112" t="s">
        <v>1073</v>
      </c>
      <c r="M1080" s="112" t="s">
        <v>478</v>
      </c>
      <c r="N1080" s="113">
        <v>46071.404444444444</v>
      </c>
      <c r="O1080" s="114">
        <v>19001249729</v>
      </c>
      <c r="P1080" s="112">
        <v>0</v>
      </c>
      <c r="Q1080" s="112" t="s">
        <v>1131</v>
      </c>
      <c r="R1080" s="112" t="s">
        <v>1297</v>
      </c>
      <c r="S1080" s="113">
        <v>46090.406944444447</v>
      </c>
      <c r="T1080" s="112" t="s">
        <v>4848</v>
      </c>
      <c r="U1080" s="112" t="s">
        <v>1065</v>
      </c>
      <c r="V1080" s="112" t="s">
        <v>1066</v>
      </c>
      <c r="W1080" s="112" t="s">
        <v>1066</v>
      </c>
      <c r="X1080" s="112" t="s">
        <v>1117</v>
      </c>
      <c r="Y1080" s="112" t="s">
        <v>1066</v>
      </c>
      <c r="Z1080" s="112" t="s">
        <v>1148</v>
      </c>
      <c r="AA1080" s="112" t="s">
        <v>1067</v>
      </c>
      <c r="AB1080" s="112" t="s">
        <v>1066</v>
      </c>
      <c r="AC1080" s="112" t="s">
        <v>92</v>
      </c>
      <c r="AD1080" s="112" t="s">
        <v>1142</v>
      </c>
      <c r="AE1080" s="112" t="s">
        <v>1066</v>
      </c>
      <c r="AF1080" s="112" t="s">
        <v>1066</v>
      </c>
      <c r="AG1080" s="112" t="s">
        <v>1066</v>
      </c>
      <c r="AH1080" s="112" t="s">
        <v>1066</v>
      </c>
      <c r="AI1080" s="112" t="s">
        <v>785</v>
      </c>
      <c r="AJ1080" s="112">
        <v>9199830</v>
      </c>
      <c r="AK1080" s="112" t="s">
        <v>69</v>
      </c>
      <c r="AL1080" s="112">
        <v>806620</v>
      </c>
      <c r="AM1080" s="112" t="s">
        <v>1066</v>
      </c>
      <c r="AN1080" s="112" t="s">
        <v>1066</v>
      </c>
    </row>
    <row r="1081" spans="1:40" ht="55.5" customHeight="1" x14ac:dyDescent="0.25">
      <c r="A1081" s="111" t="s">
        <v>4849</v>
      </c>
      <c r="B1081" s="112">
        <v>2026</v>
      </c>
      <c r="C1081" s="112" t="s">
        <v>3438</v>
      </c>
      <c r="D1081" s="113">
        <v>46118.622465277775</v>
      </c>
      <c r="E1081" s="112">
        <v>7932030072</v>
      </c>
      <c r="F1081" s="112" t="s">
        <v>697</v>
      </c>
      <c r="G1081" s="112">
        <v>2</v>
      </c>
      <c r="H1081" s="112">
        <v>7932030072</v>
      </c>
      <c r="I1081" s="112" t="s">
        <v>4568</v>
      </c>
      <c r="J1081" s="112" t="s">
        <v>1066</v>
      </c>
      <c r="K1081" s="112" t="s">
        <v>1125</v>
      </c>
      <c r="L1081" s="112" t="s">
        <v>1061</v>
      </c>
      <c r="M1081" s="112" t="s">
        <v>478</v>
      </c>
      <c r="N1081" s="113">
        <v>46518.622465277775</v>
      </c>
      <c r="O1081" s="114">
        <v>19002765348</v>
      </c>
      <c r="P1081" s="112">
        <v>0</v>
      </c>
      <c r="Q1081" s="112" t="s">
        <v>1062</v>
      </c>
      <c r="R1081" s="112" t="s">
        <v>1063</v>
      </c>
      <c r="S1081" s="113">
        <v>46241.422222222223</v>
      </c>
      <c r="T1081" s="112" t="s">
        <v>4850</v>
      </c>
      <c r="U1081" s="112" t="s">
        <v>1065</v>
      </c>
      <c r="V1081" s="112" t="s">
        <v>1066</v>
      </c>
      <c r="W1081" s="112" t="s">
        <v>1066</v>
      </c>
      <c r="X1081" s="112" t="s">
        <v>1066</v>
      </c>
      <c r="Y1081" s="112" t="s">
        <v>1066</v>
      </c>
      <c r="Z1081" s="112" t="s">
        <v>1066</v>
      </c>
      <c r="AA1081" s="112" t="s">
        <v>1067</v>
      </c>
      <c r="AB1081" s="112" t="s">
        <v>1066</v>
      </c>
      <c r="AC1081" s="112" t="s">
        <v>92</v>
      </c>
      <c r="AD1081" s="112" t="s">
        <v>1066</v>
      </c>
      <c r="AE1081" s="112" t="s">
        <v>1066</v>
      </c>
      <c r="AF1081" s="112" t="s">
        <v>1066</v>
      </c>
      <c r="AG1081" s="112" t="s">
        <v>1066</v>
      </c>
      <c r="AH1081" s="112" t="s">
        <v>1066</v>
      </c>
      <c r="AI1081" s="112" t="s">
        <v>785</v>
      </c>
      <c r="AJ1081" s="112">
        <v>8649505</v>
      </c>
      <c r="AK1081" s="112" t="s">
        <v>1590</v>
      </c>
      <c r="AL1081" s="112">
        <v>918493</v>
      </c>
      <c r="AM1081" s="112" t="s">
        <v>1066</v>
      </c>
      <c r="AN1081" s="112" t="s">
        <v>1066</v>
      </c>
    </row>
    <row r="1082" spans="1:40" ht="55.5" customHeight="1" x14ac:dyDescent="0.25">
      <c r="A1082" s="111" t="s">
        <v>4851</v>
      </c>
      <c r="B1082" s="112">
        <v>2026</v>
      </c>
      <c r="C1082" s="112" t="s">
        <v>1057</v>
      </c>
      <c r="D1082" s="113">
        <v>46125.584386574075</v>
      </c>
      <c r="E1082" s="112">
        <v>7933639037</v>
      </c>
      <c r="F1082" s="112" t="s">
        <v>1155</v>
      </c>
      <c r="G1082" s="112">
        <v>1</v>
      </c>
      <c r="H1082" s="112">
        <v>7933639037</v>
      </c>
      <c r="I1082" s="112" t="s">
        <v>4852</v>
      </c>
      <c r="J1082" s="112" t="s">
        <v>1066</v>
      </c>
      <c r="K1082" s="112" t="s">
        <v>1125</v>
      </c>
      <c r="L1082" s="112" t="s">
        <v>1061</v>
      </c>
      <c r="M1082" s="112" t="s">
        <v>478</v>
      </c>
      <c r="N1082" s="113">
        <v>46525.584386574075</v>
      </c>
      <c r="O1082" s="114">
        <v>19002679820</v>
      </c>
      <c r="P1082" s="112">
        <v>860</v>
      </c>
      <c r="Q1082" s="112" t="s">
        <v>1062</v>
      </c>
      <c r="R1082" s="112" t="s">
        <v>1063</v>
      </c>
      <c r="S1082" s="113">
        <v>46157.729895833334</v>
      </c>
      <c r="T1082" s="112" t="s">
        <v>4853</v>
      </c>
      <c r="U1082" s="112" t="s">
        <v>1065</v>
      </c>
      <c r="V1082" s="112" t="s">
        <v>1066</v>
      </c>
      <c r="W1082" s="112" t="s">
        <v>1066</v>
      </c>
      <c r="X1082" s="112" t="s">
        <v>1066</v>
      </c>
      <c r="Y1082" s="112" t="s">
        <v>1066</v>
      </c>
      <c r="Z1082" s="112" t="s">
        <v>1066</v>
      </c>
      <c r="AA1082" s="112" t="s">
        <v>1067</v>
      </c>
      <c r="AB1082" s="112" t="s">
        <v>1066</v>
      </c>
      <c r="AC1082" s="112" t="s">
        <v>92</v>
      </c>
      <c r="AD1082" s="112" t="s">
        <v>1066</v>
      </c>
      <c r="AE1082" s="112" t="s">
        <v>1066</v>
      </c>
      <c r="AF1082" s="112" t="s">
        <v>1066</v>
      </c>
      <c r="AG1082" s="112" t="s">
        <v>1066</v>
      </c>
      <c r="AH1082" s="112" t="s">
        <v>1066</v>
      </c>
      <c r="AI1082" s="112" t="s">
        <v>785</v>
      </c>
      <c r="AJ1082" s="112">
        <v>8749523</v>
      </c>
      <c r="AK1082" s="112" t="s">
        <v>1160</v>
      </c>
      <c r="AL1082" s="112">
        <v>724678</v>
      </c>
      <c r="AM1082" s="112" t="s">
        <v>1066</v>
      </c>
      <c r="AN1082" s="112" t="s">
        <v>1066</v>
      </c>
    </row>
    <row r="1083" spans="1:40" ht="55.5" customHeight="1" x14ac:dyDescent="0.25">
      <c r="A1083" s="111" t="s">
        <v>4854</v>
      </c>
      <c r="B1083" s="112">
        <v>2026</v>
      </c>
      <c r="C1083" s="112" t="s">
        <v>4855</v>
      </c>
      <c r="D1083" s="113">
        <v>46155.355081018519</v>
      </c>
      <c r="E1083" s="112">
        <v>300024038</v>
      </c>
      <c r="F1083" s="112" t="s">
        <v>1704</v>
      </c>
      <c r="G1083" s="112">
        <v>3</v>
      </c>
      <c r="H1083" s="112">
        <v>300024038</v>
      </c>
      <c r="I1083" s="112" t="s">
        <v>4856</v>
      </c>
      <c r="J1083" s="112" t="s">
        <v>1231</v>
      </c>
      <c r="K1083" s="112" t="s">
        <v>1494</v>
      </c>
      <c r="L1083" s="112" t="s">
        <v>1084</v>
      </c>
      <c r="M1083" s="112" t="s">
        <v>478</v>
      </c>
      <c r="N1083" s="113">
        <v>46235.701296296298</v>
      </c>
      <c r="O1083" s="114">
        <v>19001075561</v>
      </c>
      <c r="P1083" s="112">
        <v>12</v>
      </c>
      <c r="Q1083" s="112" t="s">
        <v>1262</v>
      </c>
      <c r="R1083" s="112" t="s">
        <v>1206</v>
      </c>
      <c r="S1083" s="113">
        <v>46233.488194444442</v>
      </c>
      <c r="T1083" s="112" t="s">
        <v>4857</v>
      </c>
      <c r="U1083" s="112" t="s">
        <v>1065</v>
      </c>
      <c r="V1083" s="112" t="s">
        <v>1066</v>
      </c>
      <c r="W1083" s="112" t="s">
        <v>1066</v>
      </c>
      <c r="X1083" s="112" t="s">
        <v>1066</v>
      </c>
      <c r="Y1083" s="112" t="s">
        <v>1066</v>
      </c>
      <c r="Z1083" s="112" t="s">
        <v>1066</v>
      </c>
      <c r="AA1083" s="112" t="s">
        <v>1067</v>
      </c>
      <c r="AB1083" s="112" t="s">
        <v>1066</v>
      </c>
      <c r="AC1083" s="112" t="s">
        <v>92</v>
      </c>
      <c r="AD1083" s="112" t="s">
        <v>1142</v>
      </c>
      <c r="AE1083" s="112" t="s">
        <v>1066</v>
      </c>
      <c r="AF1083" s="112" t="s">
        <v>1066</v>
      </c>
      <c r="AG1083" s="112" t="s">
        <v>1066</v>
      </c>
      <c r="AH1083" s="112" t="s">
        <v>4858</v>
      </c>
      <c r="AI1083" s="112" t="s">
        <v>785</v>
      </c>
      <c r="AJ1083" s="112">
        <v>8623050</v>
      </c>
      <c r="AK1083" s="112" t="s">
        <v>627</v>
      </c>
      <c r="AL1083" s="112">
        <v>995772</v>
      </c>
      <c r="AM1083" s="112" t="s">
        <v>1497</v>
      </c>
      <c r="AN1083" s="112" t="s">
        <v>1066</v>
      </c>
    </row>
    <row r="1084" spans="1:40" ht="55.5" customHeight="1" x14ac:dyDescent="0.25">
      <c r="A1084" s="111" t="s">
        <v>4859</v>
      </c>
      <c r="B1084" s="112">
        <v>2026</v>
      </c>
      <c r="C1084" s="112" t="s">
        <v>1089</v>
      </c>
      <c r="D1084" s="113">
        <v>46028.41065972222</v>
      </c>
      <c r="E1084" s="112">
        <v>7907258122</v>
      </c>
      <c r="F1084" s="112" t="s">
        <v>4572</v>
      </c>
      <c r="G1084" s="112">
        <v>1</v>
      </c>
      <c r="H1084" s="112">
        <v>7907258122</v>
      </c>
      <c r="I1084" s="112" t="s">
        <v>4860</v>
      </c>
      <c r="J1084" s="112" t="s">
        <v>1092</v>
      </c>
      <c r="K1084" s="112" t="s">
        <v>1093</v>
      </c>
      <c r="L1084" s="112" t="s">
        <v>1061</v>
      </c>
      <c r="M1084" s="112" t="s">
        <v>478</v>
      </c>
      <c r="N1084" s="113">
        <v>46428.41065972222</v>
      </c>
      <c r="O1084" s="114">
        <v>19002219805</v>
      </c>
      <c r="P1084" s="112">
        <v>5.5970000000000004</v>
      </c>
      <c r="Q1084" s="112" t="s">
        <v>1062</v>
      </c>
      <c r="R1084" s="112" t="s">
        <v>1063</v>
      </c>
      <c r="S1084" s="113">
        <v>46045.680902777778</v>
      </c>
      <c r="T1084" s="112" t="s">
        <v>4861</v>
      </c>
      <c r="U1084" s="112" t="s">
        <v>1065</v>
      </c>
      <c r="V1084" s="112" t="s">
        <v>1066</v>
      </c>
      <c r="W1084" s="112" t="s">
        <v>1066</v>
      </c>
      <c r="X1084" s="112" t="s">
        <v>1066</v>
      </c>
      <c r="Y1084" s="112" t="s">
        <v>1066</v>
      </c>
      <c r="Z1084" s="112" t="s">
        <v>1066</v>
      </c>
      <c r="AA1084" s="112" t="s">
        <v>1067</v>
      </c>
      <c r="AB1084" s="112" t="s">
        <v>1066</v>
      </c>
      <c r="AC1084" s="112" t="s">
        <v>92</v>
      </c>
      <c r="AD1084" s="112" t="s">
        <v>1066</v>
      </c>
      <c r="AE1084" s="112" t="s">
        <v>1066</v>
      </c>
      <c r="AF1084" s="112" t="s">
        <v>1066</v>
      </c>
      <c r="AG1084" s="112" t="s">
        <v>1066</v>
      </c>
      <c r="AH1084" s="112" t="s">
        <v>1066</v>
      </c>
      <c r="AI1084" s="112" t="s">
        <v>785</v>
      </c>
      <c r="AJ1084" s="112">
        <v>8875124</v>
      </c>
      <c r="AK1084" s="112" t="s">
        <v>264</v>
      </c>
      <c r="AL1084" s="112">
        <v>791402</v>
      </c>
      <c r="AM1084" s="112" t="s">
        <v>1066</v>
      </c>
      <c r="AN1084" s="112" t="s">
        <v>1066</v>
      </c>
    </row>
    <row r="1085" spans="1:40" ht="55.5" customHeight="1" x14ac:dyDescent="0.25">
      <c r="A1085" s="111" t="s">
        <v>4862</v>
      </c>
      <c r="B1085" s="112">
        <v>2026</v>
      </c>
      <c r="C1085" s="112" t="s">
        <v>4863</v>
      </c>
      <c r="D1085" s="113">
        <v>46084.725590277776</v>
      </c>
      <c r="E1085" s="112">
        <v>7900543083</v>
      </c>
      <c r="F1085" s="112" t="s">
        <v>1090</v>
      </c>
      <c r="G1085" s="112">
        <v>2</v>
      </c>
      <c r="H1085" s="112">
        <v>7900543083</v>
      </c>
      <c r="I1085" s="112" t="s">
        <v>2367</v>
      </c>
      <c r="J1085" s="112" t="s">
        <v>1092</v>
      </c>
      <c r="K1085" s="112" t="s">
        <v>1093</v>
      </c>
      <c r="L1085" s="112" t="s">
        <v>1073</v>
      </c>
      <c r="M1085" s="112" t="s">
        <v>478</v>
      </c>
      <c r="N1085" s="113">
        <v>46100.636956018519</v>
      </c>
      <c r="O1085" s="114">
        <v>19002212249</v>
      </c>
      <c r="P1085" s="112">
        <v>1.9530000000000001</v>
      </c>
      <c r="Q1085" s="112" t="s">
        <v>1062</v>
      </c>
      <c r="R1085" s="112" t="s">
        <v>1075</v>
      </c>
      <c r="S1085" s="113">
        <v>46118.729166666664</v>
      </c>
      <c r="T1085" s="112" t="s">
        <v>4864</v>
      </c>
      <c r="U1085" s="112" t="s">
        <v>1065</v>
      </c>
      <c r="V1085" s="112" t="s">
        <v>1066</v>
      </c>
      <c r="W1085" s="112" t="s">
        <v>1066</v>
      </c>
      <c r="X1085" s="112" t="s">
        <v>1066</v>
      </c>
      <c r="Y1085" s="112" t="s">
        <v>1066</v>
      </c>
      <c r="Z1085" s="112" t="s">
        <v>1066</v>
      </c>
      <c r="AA1085" s="112" t="s">
        <v>1067</v>
      </c>
      <c r="AB1085" s="112" t="s">
        <v>1066</v>
      </c>
      <c r="AC1085" s="112" t="s">
        <v>92</v>
      </c>
      <c r="AD1085" s="112" t="s">
        <v>1066</v>
      </c>
      <c r="AE1085" s="112" t="s">
        <v>1066</v>
      </c>
      <c r="AF1085" s="112" t="s">
        <v>1066</v>
      </c>
      <c r="AG1085" s="112" t="s">
        <v>1066</v>
      </c>
      <c r="AH1085" s="112" t="s">
        <v>4865</v>
      </c>
      <c r="AI1085" s="112" t="s">
        <v>785</v>
      </c>
      <c r="AJ1085" s="112">
        <v>8899173</v>
      </c>
      <c r="AK1085" s="112" t="s">
        <v>519</v>
      </c>
      <c r="AL1085" s="112">
        <v>831823</v>
      </c>
      <c r="AM1085" s="112" t="s">
        <v>1066</v>
      </c>
      <c r="AN1085" s="112" t="s">
        <v>1066</v>
      </c>
    </row>
    <row r="1086" spans="1:40" ht="55.5" customHeight="1" x14ac:dyDescent="0.25">
      <c r="A1086" s="111" t="s">
        <v>4866</v>
      </c>
      <c r="B1086" s="112">
        <v>2026</v>
      </c>
      <c r="C1086" s="112" t="s">
        <v>1057</v>
      </c>
      <c r="D1086" s="113">
        <v>46125.584386574075</v>
      </c>
      <c r="E1086" s="112">
        <v>7902102003</v>
      </c>
      <c r="F1086" s="112" t="s">
        <v>1285</v>
      </c>
      <c r="G1086" s="112">
        <v>2</v>
      </c>
      <c r="H1086" s="112">
        <v>7902102003</v>
      </c>
      <c r="I1086" s="112" t="s">
        <v>4867</v>
      </c>
      <c r="J1086" s="112" t="s">
        <v>1066</v>
      </c>
      <c r="K1086" s="112" t="s">
        <v>1125</v>
      </c>
      <c r="L1086" s="112" t="s">
        <v>1061</v>
      </c>
      <c r="M1086" s="112" t="s">
        <v>478</v>
      </c>
      <c r="N1086" s="113">
        <v>46525.584386574075</v>
      </c>
      <c r="O1086" s="114">
        <v>19002259184</v>
      </c>
      <c r="P1086" s="112">
        <v>0</v>
      </c>
      <c r="Q1086" s="112" t="s">
        <v>1062</v>
      </c>
      <c r="R1086" s="112" t="s">
        <v>1063</v>
      </c>
      <c r="S1086" s="113">
        <v>46155.420729166668</v>
      </c>
      <c r="T1086" s="112" t="s">
        <v>4868</v>
      </c>
      <c r="U1086" s="112" t="s">
        <v>1065</v>
      </c>
      <c r="V1086" s="112" t="s">
        <v>1066</v>
      </c>
      <c r="W1086" s="112" t="s">
        <v>1066</v>
      </c>
      <c r="X1086" s="112" t="s">
        <v>1066</v>
      </c>
      <c r="Y1086" s="112" t="s">
        <v>1066</v>
      </c>
      <c r="Z1086" s="112" t="s">
        <v>1066</v>
      </c>
      <c r="AA1086" s="112" t="s">
        <v>1067</v>
      </c>
      <c r="AB1086" s="112" t="s">
        <v>1066</v>
      </c>
      <c r="AC1086" s="112" t="s">
        <v>92</v>
      </c>
      <c r="AD1086" s="112" t="s">
        <v>1066</v>
      </c>
      <c r="AE1086" s="112" t="s">
        <v>1066</v>
      </c>
      <c r="AF1086" s="112" t="s">
        <v>1066</v>
      </c>
      <c r="AG1086" s="112" t="s">
        <v>1066</v>
      </c>
      <c r="AH1086" s="112" t="s">
        <v>1066</v>
      </c>
      <c r="AI1086" s="112" t="s">
        <v>785</v>
      </c>
      <c r="AJ1086" s="112">
        <v>8702785</v>
      </c>
      <c r="AK1086" s="112" t="s">
        <v>210</v>
      </c>
      <c r="AL1086" s="112">
        <v>710523</v>
      </c>
      <c r="AM1086" s="112" t="s">
        <v>1066</v>
      </c>
      <c r="AN1086" s="112" t="s">
        <v>1066</v>
      </c>
    </row>
    <row r="1087" spans="1:40" ht="55.5" customHeight="1" x14ac:dyDescent="0.25">
      <c r="A1087" s="111" t="s">
        <v>4869</v>
      </c>
      <c r="B1087" s="112">
        <v>2026</v>
      </c>
      <c r="C1087" s="112" t="s">
        <v>4870</v>
      </c>
      <c r="D1087" s="113">
        <v>46108.435046296298</v>
      </c>
      <c r="E1087" s="112">
        <v>9001097084</v>
      </c>
      <c r="F1087" s="112" t="s">
        <v>682</v>
      </c>
      <c r="G1087" s="112">
        <v>2</v>
      </c>
      <c r="H1087" s="112">
        <v>7901100084</v>
      </c>
      <c r="I1087" s="112" t="s">
        <v>4488</v>
      </c>
      <c r="J1087" s="112" t="s">
        <v>1082</v>
      </c>
      <c r="K1087" s="112" t="s">
        <v>1083</v>
      </c>
      <c r="L1087" s="112" t="s">
        <v>1084</v>
      </c>
      <c r="M1087" s="112" t="s">
        <v>478</v>
      </c>
      <c r="N1087" s="113">
        <v>46168.435046296298</v>
      </c>
      <c r="O1087" s="114">
        <v>19000124801</v>
      </c>
      <c r="P1087" s="112">
        <v>5.8659999999999997</v>
      </c>
      <c r="Q1087" s="112" t="s">
        <v>1131</v>
      </c>
      <c r="R1087" s="112" t="s">
        <v>1085</v>
      </c>
      <c r="S1087" s="113">
        <v>46108.64166666667</v>
      </c>
      <c r="T1087" s="112" t="s">
        <v>4871</v>
      </c>
      <c r="U1087" s="112" t="s">
        <v>1065</v>
      </c>
      <c r="V1087" s="112" t="s">
        <v>1066</v>
      </c>
      <c r="W1087" s="112" t="s">
        <v>1066</v>
      </c>
      <c r="X1087" s="112" t="s">
        <v>983</v>
      </c>
      <c r="Y1087" s="112" t="s">
        <v>1066</v>
      </c>
      <c r="Z1087" s="112" t="s">
        <v>1066</v>
      </c>
      <c r="AA1087" s="112" t="s">
        <v>1067</v>
      </c>
      <c r="AB1087" s="112" t="s">
        <v>1066</v>
      </c>
      <c r="AC1087" s="112" t="s">
        <v>92</v>
      </c>
      <c r="AD1087" s="112" t="s">
        <v>1142</v>
      </c>
      <c r="AE1087" s="112" t="s">
        <v>1066</v>
      </c>
      <c r="AF1087" s="112" t="s">
        <v>1066</v>
      </c>
      <c r="AG1087" s="112" t="s">
        <v>1066</v>
      </c>
      <c r="AH1087" s="112" t="s">
        <v>1066</v>
      </c>
      <c r="AI1087" s="112" t="s">
        <v>785</v>
      </c>
      <c r="AJ1087" s="112">
        <v>8915466</v>
      </c>
      <c r="AK1087" s="112" t="s">
        <v>1311</v>
      </c>
      <c r="AL1087" s="112">
        <v>696347</v>
      </c>
      <c r="AM1087" s="112" t="s">
        <v>1066</v>
      </c>
      <c r="AN1087" s="112" t="s">
        <v>1066</v>
      </c>
    </row>
    <row r="1088" spans="1:40" ht="55.5" customHeight="1" x14ac:dyDescent="0.25">
      <c r="A1088" s="111" t="s">
        <v>4872</v>
      </c>
      <c r="B1088" s="112">
        <v>2026</v>
      </c>
      <c r="C1088" s="112" t="s">
        <v>1057</v>
      </c>
      <c r="D1088" s="113">
        <v>46125.614548611113</v>
      </c>
      <c r="E1088" s="112">
        <v>7902736014</v>
      </c>
      <c r="F1088" s="112" t="s">
        <v>682</v>
      </c>
      <c r="G1088" s="112">
        <v>3</v>
      </c>
      <c r="H1088" s="112">
        <v>7902736014</v>
      </c>
      <c r="I1088" s="112" t="s">
        <v>4873</v>
      </c>
      <c r="J1088" s="112" t="s">
        <v>1066</v>
      </c>
      <c r="K1088" s="112" t="s">
        <v>1125</v>
      </c>
      <c r="L1088" s="112" t="s">
        <v>1061</v>
      </c>
      <c r="M1088" s="112" t="s">
        <v>478</v>
      </c>
      <c r="N1088" s="113">
        <v>46525.614548611113</v>
      </c>
      <c r="O1088" s="114">
        <v>19002209376</v>
      </c>
      <c r="P1088" s="112">
        <v>6</v>
      </c>
      <c r="Q1088" s="112" t="s">
        <v>1062</v>
      </c>
      <c r="R1088" s="112" t="s">
        <v>1063</v>
      </c>
      <c r="S1088" s="113">
        <v>46181.731898148151</v>
      </c>
      <c r="T1088" s="112" t="s">
        <v>4874</v>
      </c>
      <c r="U1088" s="112" t="s">
        <v>1065</v>
      </c>
      <c r="V1088" s="112" t="s">
        <v>1066</v>
      </c>
      <c r="W1088" s="112" t="s">
        <v>1066</v>
      </c>
      <c r="X1088" s="112" t="s">
        <v>1066</v>
      </c>
      <c r="Y1088" s="112" t="s">
        <v>1066</v>
      </c>
      <c r="Z1088" s="112" t="s">
        <v>1066</v>
      </c>
      <c r="AA1088" s="112" t="s">
        <v>1067</v>
      </c>
      <c r="AB1088" s="112" t="s">
        <v>1066</v>
      </c>
      <c r="AC1088" s="112" t="s">
        <v>92</v>
      </c>
      <c r="AD1088" s="112" t="s">
        <v>1066</v>
      </c>
      <c r="AE1088" s="112" t="s">
        <v>1066</v>
      </c>
      <c r="AF1088" s="112" t="s">
        <v>1066</v>
      </c>
      <c r="AG1088" s="112" t="s">
        <v>1066</v>
      </c>
      <c r="AH1088" s="112" t="s">
        <v>1066</v>
      </c>
      <c r="AI1088" s="112" t="s">
        <v>785</v>
      </c>
      <c r="AJ1088" s="112">
        <v>8893988</v>
      </c>
      <c r="AK1088" s="112" t="s">
        <v>164</v>
      </c>
      <c r="AL1088" s="112">
        <v>666478</v>
      </c>
      <c r="AM1088" s="112" t="s">
        <v>1066</v>
      </c>
      <c r="AN1088" s="112" t="s">
        <v>1066</v>
      </c>
    </row>
    <row r="1089" spans="1:40" ht="55.5" customHeight="1" x14ac:dyDescent="0.25">
      <c r="A1089" s="124" t="s">
        <v>4875</v>
      </c>
      <c r="B1089" s="125">
        <v>2026</v>
      </c>
      <c r="C1089" s="125" t="s">
        <v>4876</v>
      </c>
      <c r="D1089" s="126">
        <v>46153.642928240741</v>
      </c>
      <c r="E1089" s="125">
        <v>8863987038</v>
      </c>
      <c r="F1089" s="125" t="s">
        <v>674</v>
      </c>
      <c r="G1089" s="125">
        <v>3</v>
      </c>
      <c r="H1089" s="125" t="s">
        <v>1066</v>
      </c>
      <c r="I1089" s="125" t="s">
        <v>4877</v>
      </c>
      <c r="J1089" s="125" t="s">
        <v>1231</v>
      </c>
      <c r="K1089" s="125" t="s">
        <v>1494</v>
      </c>
      <c r="L1089" s="125" t="s">
        <v>1084</v>
      </c>
      <c r="M1089" s="125" t="s">
        <v>510</v>
      </c>
      <c r="N1089" s="126">
        <v>46235.698368055557</v>
      </c>
      <c r="O1089" s="127">
        <v>19002834639</v>
      </c>
      <c r="P1089" s="125">
        <v>1</v>
      </c>
      <c r="Q1089" s="125" t="s">
        <v>1262</v>
      </c>
      <c r="R1089" s="125" t="s">
        <v>1206</v>
      </c>
      <c r="S1089" s="125" t="s">
        <v>1066</v>
      </c>
      <c r="T1089" s="125" t="s">
        <v>1066</v>
      </c>
      <c r="U1089" s="125" t="s">
        <v>1066</v>
      </c>
      <c r="V1089" s="125" t="s">
        <v>1066</v>
      </c>
      <c r="W1089" s="125" t="s">
        <v>1066</v>
      </c>
      <c r="X1089" s="125" t="s">
        <v>1066</v>
      </c>
      <c r="Y1089" s="125" t="s">
        <v>1066</v>
      </c>
      <c r="Z1089" s="125" t="s">
        <v>1066</v>
      </c>
      <c r="AA1089" s="125" t="s">
        <v>1067</v>
      </c>
      <c r="AB1089" s="125" t="s">
        <v>1066</v>
      </c>
      <c r="AC1089" s="125" t="s">
        <v>92</v>
      </c>
      <c r="AD1089" s="125" t="s">
        <v>1066</v>
      </c>
      <c r="AE1089" s="125" t="s">
        <v>1066</v>
      </c>
      <c r="AF1089" s="125" t="s">
        <v>1066</v>
      </c>
      <c r="AG1089" s="125" t="s">
        <v>1066</v>
      </c>
      <c r="AH1089" s="125" t="s">
        <v>4878</v>
      </c>
      <c r="AI1089" s="125" t="s">
        <v>785</v>
      </c>
      <c r="AJ1089" s="125">
        <v>8624407</v>
      </c>
      <c r="AK1089" s="125" t="s">
        <v>627</v>
      </c>
      <c r="AL1089" s="125">
        <v>988572</v>
      </c>
      <c r="AM1089" s="125" t="s">
        <v>1497</v>
      </c>
      <c r="AN1089" s="125" t="s">
        <v>1066</v>
      </c>
    </row>
    <row r="1090" spans="1:40" ht="55.5" customHeight="1" x14ac:dyDescent="0.25">
      <c r="A1090" s="111" t="s">
        <v>4879</v>
      </c>
      <c r="B1090" s="112">
        <v>2026</v>
      </c>
      <c r="C1090" s="112" t="s">
        <v>1213</v>
      </c>
      <c r="D1090" s="113">
        <v>46122.549942129626</v>
      </c>
      <c r="E1090" s="112">
        <v>7900436004</v>
      </c>
      <c r="F1090" s="112" t="s">
        <v>3689</v>
      </c>
      <c r="G1090" s="112">
        <v>3</v>
      </c>
      <c r="H1090" s="112">
        <v>7900436004</v>
      </c>
      <c r="I1090" s="112" t="s">
        <v>4880</v>
      </c>
      <c r="J1090" s="112" t="s">
        <v>1066</v>
      </c>
      <c r="K1090" s="112" t="s">
        <v>1125</v>
      </c>
      <c r="L1090" s="112" t="s">
        <v>1061</v>
      </c>
      <c r="M1090" s="112" t="s">
        <v>478</v>
      </c>
      <c r="N1090" s="113">
        <v>46522.549942129626</v>
      </c>
      <c r="O1090" s="114">
        <v>19002679819</v>
      </c>
      <c r="P1090" s="112">
        <v>4.8810000000000002</v>
      </c>
      <c r="Q1090" s="112" t="s">
        <v>1062</v>
      </c>
      <c r="R1090" s="112" t="s">
        <v>1063</v>
      </c>
      <c r="S1090" s="113">
        <v>46129.509027777778</v>
      </c>
      <c r="T1090" s="112" t="s">
        <v>4881</v>
      </c>
      <c r="U1090" s="112" t="s">
        <v>1065</v>
      </c>
      <c r="V1090" s="112" t="s">
        <v>1066</v>
      </c>
      <c r="W1090" s="112" t="s">
        <v>1066</v>
      </c>
      <c r="X1090" s="112" t="s">
        <v>1066</v>
      </c>
      <c r="Y1090" s="112" t="s">
        <v>1066</v>
      </c>
      <c r="Z1090" s="112" t="s">
        <v>1066</v>
      </c>
      <c r="AA1090" s="112" t="s">
        <v>1067</v>
      </c>
      <c r="AB1090" s="112" t="s">
        <v>1066</v>
      </c>
      <c r="AC1090" s="112" t="s">
        <v>92</v>
      </c>
      <c r="AD1090" s="112" t="s">
        <v>1066</v>
      </c>
      <c r="AE1090" s="112" t="s">
        <v>1066</v>
      </c>
      <c r="AF1090" s="112" t="s">
        <v>1066</v>
      </c>
      <c r="AG1090" s="112" t="s">
        <v>1066</v>
      </c>
      <c r="AH1090" s="112" t="s">
        <v>1066</v>
      </c>
      <c r="AI1090" s="112" t="s">
        <v>785</v>
      </c>
      <c r="AJ1090" s="112">
        <v>9205397</v>
      </c>
      <c r="AK1090" s="112" t="s">
        <v>69</v>
      </c>
      <c r="AL1090" s="112">
        <v>809148</v>
      </c>
      <c r="AM1090" s="112" t="s">
        <v>1066</v>
      </c>
      <c r="AN1090" s="112" t="s">
        <v>1066</v>
      </c>
    </row>
    <row r="1091" spans="1:40" ht="55.5" customHeight="1" x14ac:dyDescent="0.25">
      <c r="A1091" s="111" t="s">
        <v>4882</v>
      </c>
      <c r="B1091" s="112">
        <v>2026</v>
      </c>
      <c r="C1091" s="112" t="s">
        <v>1057</v>
      </c>
      <c r="D1091" s="113">
        <v>46122.378541666665</v>
      </c>
      <c r="E1091" s="112">
        <v>7902218004</v>
      </c>
      <c r="F1091" s="112" t="s">
        <v>70</v>
      </c>
      <c r="G1091" s="112">
        <v>2</v>
      </c>
      <c r="H1091" s="112">
        <v>7902218004</v>
      </c>
      <c r="I1091" s="112" t="s">
        <v>4883</v>
      </c>
      <c r="J1091" s="112" t="s">
        <v>1059</v>
      </c>
      <c r="K1091" s="112" t="s">
        <v>1060</v>
      </c>
      <c r="L1091" s="112" t="s">
        <v>1061</v>
      </c>
      <c r="M1091" s="112" t="s">
        <v>478</v>
      </c>
      <c r="N1091" s="113">
        <v>46522.378541666665</v>
      </c>
      <c r="O1091" s="114">
        <v>19002207768</v>
      </c>
      <c r="P1091" s="112">
        <v>434</v>
      </c>
      <c r="Q1091" s="112" t="s">
        <v>1062</v>
      </c>
      <c r="R1091" s="112" t="s">
        <v>1063</v>
      </c>
      <c r="S1091" s="113">
        <v>46147.583333333336</v>
      </c>
      <c r="T1091" s="112" t="s">
        <v>4884</v>
      </c>
      <c r="U1091" s="112" t="s">
        <v>1065</v>
      </c>
      <c r="V1091" s="112" t="s">
        <v>1066</v>
      </c>
      <c r="W1091" s="112" t="s">
        <v>1066</v>
      </c>
      <c r="X1091" s="112" t="s">
        <v>1066</v>
      </c>
      <c r="Y1091" s="112" t="s">
        <v>1066</v>
      </c>
      <c r="Z1091" s="112" t="s">
        <v>1066</v>
      </c>
      <c r="AA1091" s="112" t="s">
        <v>1067</v>
      </c>
      <c r="AB1091" s="112" t="s">
        <v>1066</v>
      </c>
      <c r="AC1091" s="112" t="s">
        <v>92</v>
      </c>
      <c r="AD1091" s="112" t="s">
        <v>1066</v>
      </c>
      <c r="AE1091" s="112" t="s">
        <v>1066</v>
      </c>
      <c r="AF1091" s="112" t="s">
        <v>1066</v>
      </c>
      <c r="AG1091" s="112" t="s">
        <v>1066</v>
      </c>
      <c r="AH1091" s="112" t="s">
        <v>1066</v>
      </c>
      <c r="AI1091" s="112" t="s">
        <v>785</v>
      </c>
      <c r="AJ1091" s="112">
        <v>9204497</v>
      </c>
      <c r="AK1091" s="112" t="s">
        <v>69</v>
      </c>
      <c r="AL1091" s="112">
        <v>808396</v>
      </c>
      <c r="AM1091" s="112" t="s">
        <v>1066</v>
      </c>
      <c r="AN1091" s="112" t="s">
        <v>1066</v>
      </c>
    </row>
    <row r="1092" spans="1:40" ht="55.5" customHeight="1" x14ac:dyDescent="0.25">
      <c r="A1092" s="124" t="s">
        <v>4885</v>
      </c>
      <c r="B1092" s="125">
        <v>2026</v>
      </c>
      <c r="C1092" s="125" t="s">
        <v>4886</v>
      </c>
      <c r="D1092" s="126">
        <v>46021.623391203706</v>
      </c>
      <c r="E1092" s="125">
        <v>310186053</v>
      </c>
      <c r="F1092" s="125" t="s">
        <v>4887</v>
      </c>
      <c r="G1092" s="125" t="s">
        <v>1066</v>
      </c>
      <c r="H1092" s="125">
        <v>8810040053</v>
      </c>
      <c r="I1092" s="125" t="s">
        <v>4888</v>
      </c>
      <c r="J1092" s="125" t="s">
        <v>1059</v>
      </c>
      <c r="K1092" s="125" t="s">
        <v>1060</v>
      </c>
      <c r="L1092" s="125" t="s">
        <v>1061</v>
      </c>
      <c r="M1092" s="125" t="s">
        <v>510</v>
      </c>
      <c r="N1092" s="126">
        <v>46450.680393518516</v>
      </c>
      <c r="O1092" s="127">
        <v>19000252064</v>
      </c>
      <c r="P1092" s="125">
        <v>1</v>
      </c>
      <c r="Q1092" s="125" t="s">
        <v>1757</v>
      </c>
      <c r="R1092" s="125" t="s">
        <v>1063</v>
      </c>
      <c r="S1092" s="125" t="s">
        <v>1066</v>
      </c>
      <c r="T1092" s="125" t="s">
        <v>4889</v>
      </c>
      <c r="U1092" s="125" t="s">
        <v>621</v>
      </c>
      <c r="V1092" s="125" t="s">
        <v>1066</v>
      </c>
      <c r="W1092" s="125" t="s">
        <v>1066</v>
      </c>
      <c r="X1092" s="125" t="s">
        <v>1066</v>
      </c>
      <c r="Y1092" s="125" t="s">
        <v>1066</v>
      </c>
      <c r="Z1092" s="125" t="s">
        <v>1066</v>
      </c>
      <c r="AA1092" s="125" t="s">
        <v>1067</v>
      </c>
      <c r="AB1092" s="125" t="s">
        <v>1066</v>
      </c>
      <c r="AC1092" s="125" t="s">
        <v>92</v>
      </c>
      <c r="AD1092" s="125" t="s">
        <v>1142</v>
      </c>
      <c r="AE1092" s="125" t="s">
        <v>1066</v>
      </c>
      <c r="AF1092" s="125" t="s">
        <v>1066</v>
      </c>
      <c r="AG1092" s="125" t="s">
        <v>1066</v>
      </c>
      <c r="AH1092" s="125" t="s">
        <v>4890</v>
      </c>
      <c r="AI1092" s="125" t="s">
        <v>785</v>
      </c>
      <c r="AJ1092" s="125">
        <v>9236945</v>
      </c>
      <c r="AK1092" s="125" t="s">
        <v>612</v>
      </c>
      <c r="AL1092" s="125">
        <v>807560</v>
      </c>
      <c r="AM1092" s="125" t="s">
        <v>4115</v>
      </c>
      <c r="AN1092" s="125" t="s">
        <v>1269</v>
      </c>
    </row>
    <row r="1093" spans="1:40" ht="55.5" customHeight="1" x14ac:dyDescent="0.25">
      <c r="A1093" s="115" t="s">
        <v>4891</v>
      </c>
      <c r="B1093" s="116">
        <v>2026</v>
      </c>
      <c r="C1093" s="116" t="s">
        <v>4892</v>
      </c>
      <c r="D1093" s="118">
        <v>46116.368310185186</v>
      </c>
      <c r="E1093" s="116">
        <v>9000464256</v>
      </c>
      <c r="F1093" s="116" t="s">
        <v>136</v>
      </c>
      <c r="G1093" s="116">
        <v>2</v>
      </c>
      <c r="H1093" s="116">
        <v>7933726256</v>
      </c>
      <c r="I1093" s="116" t="s">
        <v>4893</v>
      </c>
      <c r="J1093" s="116" t="s">
        <v>1071</v>
      </c>
      <c r="K1093" s="116" t="s">
        <v>1130</v>
      </c>
      <c r="L1093" s="116" t="s">
        <v>1073</v>
      </c>
      <c r="M1093" s="116" t="s">
        <v>588</v>
      </c>
      <c r="N1093" s="118">
        <v>46153.483668981484</v>
      </c>
      <c r="O1093" s="119">
        <v>19001304503</v>
      </c>
      <c r="P1093" s="116">
        <v>860</v>
      </c>
      <c r="Q1093" s="116" t="s">
        <v>1131</v>
      </c>
      <c r="R1093" s="116" t="s">
        <v>1075</v>
      </c>
      <c r="S1093" s="116" t="s">
        <v>1066</v>
      </c>
      <c r="T1093" s="116" t="s">
        <v>1066</v>
      </c>
      <c r="U1093" s="116" t="s">
        <v>1066</v>
      </c>
      <c r="V1093" s="116" t="s">
        <v>1066</v>
      </c>
      <c r="W1093" s="116" t="s">
        <v>1066</v>
      </c>
      <c r="X1093" s="116" t="s">
        <v>1394</v>
      </c>
      <c r="Y1093" s="116" t="s">
        <v>1066</v>
      </c>
      <c r="Z1093" s="116" t="s">
        <v>1133</v>
      </c>
      <c r="AA1093" s="116" t="s">
        <v>1067</v>
      </c>
      <c r="AB1093" s="116" t="s">
        <v>1066</v>
      </c>
      <c r="AC1093" s="116" t="s">
        <v>92</v>
      </c>
      <c r="AD1093" s="116" t="s">
        <v>1142</v>
      </c>
      <c r="AE1093" s="116" t="s">
        <v>1066</v>
      </c>
      <c r="AF1093" s="116" t="s">
        <v>1066</v>
      </c>
      <c r="AG1093" s="116" t="s">
        <v>1066</v>
      </c>
      <c r="AH1093" s="116" t="s">
        <v>1066</v>
      </c>
      <c r="AI1093" s="116" t="s">
        <v>785</v>
      </c>
      <c r="AJ1093" s="116">
        <v>8830620</v>
      </c>
      <c r="AK1093" s="116" t="s">
        <v>134</v>
      </c>
      <c r="AL1093" s="116">
        <v>1001156</v>
      </c>
      <c r="AM1093" s="116" t="s">
        <v>1066</v>
      </c>
      <c r="AN1093" s="116" t="s">
        <v>1066</v>
      </c>
    </row>
    <row r="1094" spans="1:40" ht="55.5" customHeight="1" x14ac:dyDescent="0.25">
      <c r="A1094" s="111" t="s">
        <v>4894</v>
      </c>
      <c r="B1094" s="112">
        <v>2026</v>
      </c>
      <c r="C1094" s="112" t="s">
        <v>1057</v>
      </c>
      <c r="D1094" s="113">
        <v>46122.378541666665</v>
      </c>
      <c r="E1094" s="112">
        <v>7936400004</v>
      </c>
      <c r="F1094" s="112" t="s">
        <v>83</v>
      </c>
      <c r="G1094" s="112">
        <v>2</v>
      </c>
      <c r="H1094" s="112">
        <v>7936400004</v>
      </c>
      <c r="I1094" s="112" t="s">
        <v>4895</v>
      </c>
      <c r="J1094" s="112" t="s">
        <v>1059</v>
      </c>
      <c r="K1094" s="112" t="s">
        <v>1060</v>
      </c>
      <c r="L1094" s="112" t="s">
        <v>1061</v>
      </c>
      <c r="M1094" s="112" t="s">
        <v>478</v>
      </c>
      <c r="N1094" s="113">
        <v>46522.378541666665</v>
      </c>
      <c r="O1094" s="114">
        <v>19002203678</v>
      </c>
      <c r="P1094" s="112">
        <v>0</v>
      </c>
      <c r="Q1094" s="112" t="s">
        <v>1062</v>
      </c>
      <c r="R1094" s="112" t="s">
        <v>1063</v>
      </c>
      <c r="S1094" s="113">
        <v>46132.729074074072</v>
      </c>
      <c r="T1094" s="112" t="s">
        <v>4896</v>
      </c>
      <c r="U1094" s="112" t="s">
        <v>1065</v>
      </c>
      <c r="V1094" s="112" t="s">
        <v>1066</v>
      </c>
      <c r="W1094" s="112" t="s">
        <v>1066</v>
      </c>
      <c r="X1094" s="112" t="s">
        <v>1066</v>
      </c>
      <c r="Y1094" s="112" t="s">
        <v>1066</v>
      </c>
      <c r="Z1094" s="112" t="s">
        <v>1066</v>
      </c>
      <c r="AA1094" s="112" t="s">
        <v>1067</v>
      </c>
      <c r="AB1094" s="112" t="s">
        <v>1066</v>
      </c>
      <c r="AC1094" s="112" t="s">
        <v>92</v>
      </c>
      <c r="AD1094" s="112" t="s">
        <v>1066</v>
      </c>
      <c r="AE1094" s="112" t="s">
        <v>1066</v>
      </c>
      <c r="AF1094" s="112" t="s">
        <v>1066</v>
      </c>
      <c r="AG1094" s="112" t="s">
        <v>1066</v>
      </c>
      <c r="AH1094" s="112" t="s">
        <v>1066</v>
      </c>
      <c r="AI1094" s="112" t="s">
        <v>785</v>
      </c>
      <c r="AJ1094" s="112">
        <v>9203187</v>
      </c>
      <c r="AK1094" s="112" t="s">
        <v>69</v>
      </c>
      <c r="AL1094" s="112">
        <v>806293</v>
      </c>
      <c r="AM1094" s="112" t="s">
        <v>1066</v>
      </c>
      <c r="AN1094" s="112" t="s">
        <v>1066</v>
      </c>
    </row>
    <row r="1095" spans="1:40" ht="55.5" customHeight="1" x14ac:dyDescent="0.25">
      <c r="A1095" s="111" t="s">
        <v>4897</v>
      </c>
      <c r="B1095" s="112">
        <v>2026</v>
      </c>
      <c r="C1095" s="112" t="s">
        <v>4898</v>
      </c>
      <c r="D1095" s="113">
        <v>46183.504340277781</v>
      </c>
      <c r="E1095" s="112">
        <v>7931604122</v>
      </c>
      <c r="F1095" s="112" t="s">
        <v>2489</v>
      </c>
      <c r="G1095" s="112">
        <v>1</v>
      </c>
      <c r="H1095" s="112">
        <v>7931604122</v>
      </c>
      <c r="I1095" s="112" t="s">
        <v>4899</v>
      </c>
      <c r="J1095" s="112" t="s">
        <v>1071</v>
      </c>
      <c r="K1095" s="112" t="s">
        <v>1323</v>
      </c>
      <c r="L1095" s="112" t="s">
        <v>1073</v>
      </c>
      <c r="M1095" s="112" t="s">
        <v>478</v>
      </c>
      <c r="N1095" s="113">
        <v>46186.504340277781</v>
      </c>
      <c r="O1095" s="114">
        <v>19002260510</v>
      </c>
      <c r="P1095" s="112">
        <v>0</v>
      </c>
      <c r="Q1095" s="112" t="s">
        <v>1062</v>
      </c>
      <c r="R1095" s="112" t="s">
        <v>1075</v>
      </c>
      <c r="S1095" s="113">
        <v>46191.488368055558</v>
      </c>
      <c r="T1095" s="112" t="s">
        <v>4900</v>
      </c>
      <c r="U1095" s="112" t="s">
        <v>1065</v>
      </c>
      <c r="V1095" s="112" t="s">
        <v>1066</v>
      </c>
      <c r="W1095" s="112" t="s">
        <v>1066</v>
      </c>
      <c r="X1095" s="112" t="s">
        <v>1117</v>
      </c>
      <c r="Y1095" s="112" t="s">
        <v>1066</v>
      </c>
      <c r="Z1095" s="112" t="s">
        <v>1318</v>
      </c>
      <c r="AA1095" s="112" t="s">
        <v>1067</v>
      </c>
      <c r="AB1095" s="112" t="s">
        <v>1066</v>
      </c>
      <c r="AC1095" s="112" t="s">
        <v>92</v>
      </c>
      <c r="AD1095" s="112" t="s">
        <v>1066</v>
      </c>
      <c r="AE1095" s="112" t="s">
        <v>1066</v>
      </c>
      <c r="AF1095" s="112" t="s">
        <v>1066</v>
      </c>
      <c r="AG1095" s="112" t="s">
        <v>1066</v>
      </c>
      <c r="AH1095" s="112" t="s">
        <v>1066</v>
      </c>
      <c r="AI1095" s="112" t="s">
        <v>785</v>
      </c>
      <c r="AJ1095" s="112">
        <v>8874621</v>
      </c>
      <c r="AK1095" s="112" t="s">
        <v>264</v>
      </c>
      <c r="AL1095" s="112">
        <v>795015</v>
      </c>
      <c r="AM1095" s="112" t="s">
        <v>1066</v>
      </c>
      <c r="AN1095" s="112" t="s">
        <v>1066</v>
      </c>
    </row>
    <row r="1096" spans="1:40" ht="55.5" customHeight="1" x14ac:dyDescent="0.25">
      <c r="A1096" s="115" t="s">
        <v>4901</v>
      </c>
      <c r="B1096" s="116">
        <v>2026</v>
      </c>
      <c r="C1096" s="116" t="s">
        <v>4902</v>
      </c>
      <c r="D1096" s="118">
        <v>46078.447650462964</v>
      </c>
      <c r="E1096" s="116">
        <v>8801059073</v>
      </c>
      <c r="F1096" s="116" t="s">
        <v>335</v>
      </c>
      <c r="G1096" s="116">
        <v>2</v>
      </c>
      <c r="H1096" s="116">
        <v>7919270014</v>
      </c>
      <c r="I1096" s="116" t="s">
        <v>1357</v>
      </c>
      <c r="J1096" s="116" t="s">
        <v>1231</v>
      </c>
      <c r="K1096" s="116" t="s">
        <v>1232</v>
      </c>
      <c r="L1096" s="116" t="s">
        <v>1084</v>
      </c>
      <c r="M1096" s="116" t="s">
        <v>588</v>
      </c>
      <c r="N1096" s="118">
        <v>46285.33965277778</v>
      </c>
      <c r="O1096" s="119">
        <v>19001184126</v>
      </c>
      <c r="P1096" s="116">
        <v>52</v>
      </c>
      <c r="Q1096" s="116" t="s">
        <v>1131</v>
      </c>
      <c r="R1096" s="116" t="s">
        <v>1075</v>
      </c>
      <c r="S1096" s="116" t="s">
        <v>1066</v>
      </c>
      <c r="T1096" s="116" t="s">
        <v>1066</v>
      </c>
      <c r="U1096" s="116" t="s">
        <v>1066</v>
      </c>
      <c r="V1096" s="116" t="s">
        <v>1066</v>
      </c>
      <c r="W1096" s="116" t="s">
        <v>1066</v>
      </c>
      <c r="X1096" s="116" t="s">
        <v>983</v>
      </c>
      <c r="Y1096" s="116" t="s">
        <v>1066</v>
      </c>
      <c r="Z1096" s="116" t="s">
        <v>1066</v>
      </c>
      <c r="AA1096" s="116" t="s">
        <v>1067</v>
      </c>
      <c r="AB1096" s="116" t="s">
        <v>1066</v>
      </c>
      <c r="AC1096" s="116" t="s">
        <v>92</v>
      </c>
      <c r="AD1096" s="116" t="s">
        <v>1142</v>
      </c>
      <c r="AE1096" s="116" t="s">
        <v>1066</v>
      </c>
      <c r="AF1096" s="116" t="s">
        <v>1066</v>
      </c>
      <c r="AG1096" s="116" t="s">
        <v>1066</v>
      </c>
      <c r="AH1096" s="116" t="s">
        <v>1358</v>
      </c>
      <c r="AI1096" s="116" t="s">
        <v>785</v>
      </c>
      <c r="AJ1096" s="116">
        <v>8830790</v>
      </c>
      <c r="AK1096" s="116" t="s">
        <v>1166</v>
      </c>
      <c r="AL1096" s="116">
        <v>617420</v>
      </c>
      <c r="AM1096" s="116" t="s">
        <v>1066</v>
      </c>
      <c r="AN1096" s="116" t="s">
        <v>1066</v>
      </c>
    </row>
    <row r="1097" spans="1:40" ht="55.5" customHeight="1" x14ac:dyDescent="0.25">
      <c r="A1097" s="111" t="s">
        <v>4903</v>
      </c>
      <c r="B1097" s="112">
        <v>2026</v>
      </c>
      <c r="C1097" s="112" t="s">
        <v>4904</v>
      </c>
      <c r="D1097" s="113">
        <v>45670.216944444444</v>
      </c>
      <c r="E1097" s="112">
        <v>7900557122</v>
      </c>
      <c r="F1097" s="112" t="s">
        <v>4248</v>
      </c>
      <c r="G1097" s="112">
        <v>2</v>
      </c>
      <c r="H1097" s="112">
        <v>7900557122</v>
      </c>
      <c r="I1097" s="112" t="s">
        <v>4376</v>
      </c>
      <c r="J1097" s="112" t="s">
        <v>1071</v>
      </c>
      <c r="K1097" s="112" t="s">
        <v>2167</v>
      </c>
      <c r="L1097" s="112" t="s">
        <v>1073</v>
      </c>
      <c r="M1097" s="112" t="s">
        <v>478</v>
      </c>
      <c r="N1097" s="113">
        <v>46046.56349537037</v>
      </c>
      <c r="O1097" s="114">
        <v>19002261284</v>
      </c>
      <c r="P1097" s="112">
        <v>3.5459999999999998</v>
      </c>
      <c r="Q1097" s="112" t="s">
        <v>1062</v>
      </c>
      <c r="R1097" s="112" t="s">
        <v>1263</v>
      </c>
      <c r="S1097" s="113">
        <v>46135.609027777777</v>
      </c>
      <c r="T1097" s="112" t="s">
        <v>4905</v>
      </c>
      <c r="U1097" s="112" t="s">
        <v>1065</v>
      </c>
      <c r="V1097" s="112" t="s">
        <v>1066</v>
      </c>
      <c r="W1097" s="112" t="s">
        <v>1066</v>
      </c>
      <c r="X1097" s="112" t="s">
        <v>1117</v>
      </c>
      <c r="Y1097" s="112" t="s">
        <v>1066</v>
      </c>
      <c r="Z1097" s="112" t="s">
        <v>1532</v>
      </c>
      <c r="AA1097" s="112" t="s">
        <v>1067</v>
      </c>
      <c r="AB1097" s="112" t="s">
        <v>1066</v>
      </c>
      <c r="AC1097" s="112" t="s">
        <v>92</v>
      </c>
      <c r="AD1097" s="112" t="s">
        <v>1066</v>
      </c>
      <c r="AE1097" s="112" t="s">
        <v>1066</v>
      </c>
      <c r="AF1097" s="112" t="s">
        <v>1066</v>
      </c>
      <c r="AG1097" s="112" t="s">
        <v>1066</v>
      </c>
      <c r="AH1097" s="112" t="s">
        <v>4906</v>
      </c>
      <c r="AI1097" s="112" t="s">
        <v>785</v>
      </c>
      <c r="AJ1097" s="112">
        <v>8868628</v>
      </c>
      <c r="AK1097" s="112" t="s">
        <v>264</v>
      </c>
      <c r="AL1097" s="112">
        <v>793242</v>
      </c>
      <c r="AM1097" s="112" t="s">
        <v>1066</v>
      </c>
      <c r="AN1097" s="112" t="s">
        <v>1066</v>
      </c>
    </row>
    <row r="1098" spans="1:40" ht="55.5" customHeight="1" x14ac:dyDescent="0.25">
      <c r="A1098" s="124" t="s">
        <v>4907</v>
      </c>
      <c r="B1098" s="125">
        <v>2026</v>
      </c>
      <c r="C1098" s="125" t="s">
        <v>1210</v>
      </c>
      <c r="D1098" s="126">
        <v>46114.608900462961</v>
      </c>
      <c r="E1098" s="125">
        <v>7943791134</v>
      </c>
      <c r="F1098" s="125" t="s">
        <v>2446</v>
      </c>
      <c r="G1098" s="125">
        <v>3</v>
      </c>
      <c r="H1098" s="125">
        <v>7943791134</v>
      </c>
      <c r="I1098" s="125" t="s">
        <v>4908</v>
      </c>
      <c r="J1098" s="125" t="s">
        <v>1066</v>
      </c>
      <c r="K1098" s="125" t="s">
        <v>1125</v>
      </c>
      <c r="L1098" s="125" t="s">
        <v>1061</v>
      </c>
      <c r="M1098" s="125" t="s">
        <v>510</v>
      </c>
      <c r="N1098" s="126">
        <v>46514.608900462961</v>
      </c>
      <c r="O1098" s="127">
        <v>19002212445</v>
      </c>
      <c r="P1098" s="125">
        <v>2.6629999999999998</v>
      </c>
      <c r="Q1098" s="125" t="s">
        <v>1062</v>
      </c>
      <c r="R1098" s="125" t="s">
        <v>1063</v>
      </c>
      <c r="S1098" s="125" t="s">
        <v>1066</v>
      </c>
      <c r="T1098" s="125" t="s">
        <v>1066</v>
      </c>
      <c r="U1098" s="125" t="s">
        <v>1066</v>
      </c>
      <c r="V1098" s="125" t="s">
        <v>1066</v>
      </c>
      <c r="W1098" s="125" t="s">
        <v>1066</v>
      </c>
      <c r="X1098" s="125" t="s">
        <v>1066</v>
      </c>
      <c r="Y1098" s="125" t="s">
        <v>1066</v>
      </c>
      <c r="Z1098" s="125" t="s">
        <v>1066</v>
      </c>
      <c r="AA1098" s="125" t="s">
        <v>1067</v>
      </c>
      <c r="AB1098" s="125" t="s">
        <v>1066</v>
      </c>
      <c r="AC1098" s="125" t="s">
        <v>92</v>
      </c>
      <c r="AD1098" s="125" t="s">
        <v>1066</v>
      </c>
      <c r="AE1098" s="125" t="s">
        <v>1066</v>
      </c>
      <c r="AF1098" s="125" t="s">
        <v>1066</v>
      </c>
      <c r="AG1098" s="125" t="s">
        <v>1066</v>
      </c>
      <c r="AH1098" s="125" t="s">
        <v>1066</v>
      </c>
      <c r="AI1098" s="125" t="s">
        <v>785</v>
      </c>
      <c r="AJ1098" s="125">
        <v>9408954</v>
      </c>
      <c r="AK1098" s="125" t="s">
        <v>177</v>
      </c>
      <c r="AL1098" s="125">
        <v>775806</v>
      </c>
      <c r="AM1098" s="125" t="s">
        <v>1066</v>
      </c>
      <c r="AN1098" s="125" t="s">
        <v>1066</v>
      </c>
    </row>
    <row r="1099" spans="1:40" ht="55.5" customHeight="1" x14ac:dyDescent="0.25">
      <c r="A1099" s="124" t="s">
        <v>4909</v>
      </c>
      <c r="B1099" s="125">
        <v>2026</v>
      </c>
      <c r="C1099" s="125" t="s">
        <v>1210</v>
      </c>
      <c r="D1099" s="126">
        <v>46114.608900462961</v>
      </c>
      <c r="E1099" s="125">
        <v>7910039265</v>
      </c>
      <c r="F1099" s="125" t="s">
        <v>191</v>
      </c>
      <c r="G1099" s="125">
        <v>3</v>
      </c>
      <c r="H1099" s="125">
        <v>7910039265</v>
      </c>
      <c r="I1099" s="125" t="s">
        <v>4910</v>
      </c>
      <c r="J1099" s="125" t="s">
        <v>1066</v>
      </c>
      <c r="K1099" s="125" t="s">
        <v>1125</v>
      </c>
      <c r="L1099" s="125" t="s">
        <v>1061</v>
      </c>
      <c r="M1099" s="125" t="s">
        <v>510</v>
      </c>
      <c r="N1099" s="126">
        <v>46514.608900462961</v>
      </c>
      <c r="O1099" s="127">
        <v>19002726945</v>
      </c>
      <c r="P1099" s="125">
        <v>160</v>
      </c>
      <c r="Q1099" s="125" t="s">
        <v>1062</v>
      </c>
      <c r="R1099" s="125" t="s">
        <v>1063</v>
      </c>
      <c r="S1099" s="125" t="s">
        <v>1066</v>
      </c>
      <c r="T1099" s="125" t="s">
        <v>1066</v>
      </c>
      <c r="U1099" s="125" t="s">
        <v>1066</v>
      </c>
      <c r="V1099" s="125" t="s">
        <v>1066</v>
      </c>
      <c r="W1099" s="125" t="s">
        <v>1066</v>
      </c>
      <c r="X1099" s="125" t="s">
        <v>1066</v>
      </c>
      <c r="Y1099" s="125" t="s">
        <v>1066</v>
      </c>
      <c r="Z1099" s="125" t="s">
        <v>1066</v>
      </c>
      <c r="AA1099" s="125" t="s">
        <v>1067</v>
      </c>
      <c r="AB1099" s="125" t="s">
        <v>1066</v>
      </c>
      <c r="AC1099" s="125" t="s">
        <v>92</v>
      </c>
      <c r="AD1099" s="125" t="s">
        <v>1066</v>
      </c>
      <c r="AE1099" s="125" t="s">
        <v>1066</v>
      </c>
      <c r="AF1099" s="125" t="s">
        <v>1066</v>
      </c>
      <c r="AG1099" s="125" t="s">
        <v>1066</v>
      </c>
      <c r="AH1099" s="125" t="s">
        <v>1066</v>
      </c>
      <c r="AI1099" s="125" t="s">
        <v>785</v>
      </c>
      <c r="AJ1099" s="125">
        <v>9146373</v>
      </c>
      <c r="AK1099" s="125" t="s">
        <v>3860</v>
      </c>
      <c r="AL1099" s="125">
        <v>866260</v>
      </c>
      <c r="AM1099" s="125" t="s">
        <v>1066</v>
      </c>
      <c r="AN1099" s="125" t="s">
        <v>1066</v>
      </c>
    </row>
    <row r="1100" spans="1:40" ht="55.5" customHeight="1" x14ac:dyDescent="0.25">
      <c r="A1100" s="111" t="s">
        <v>4911</v>
      </c>
      <c r="B1100" s="112">
        <v>2026</v>
      </c>
      <c r="C1100" s="112" t="s">
        <v>1213</v>
      </c>
      <c r="D1100" s="113">
        <v>46122.549942129626</v>
      </c>
      <c r="E1100" s="112">
        <v>7925851004</v>
      </c>
      <c r="F1100" s="112" t="s">
        <v>1654</v>
      </c>
      <c r="G1100" s="112">
        <v>3</v>
      </c>
      <c r="H1100" s="112">
        <v>7925851004</v>
      </c>
      <c r="I1100" s="112" t="s">
        <v>4912</v>
      </c>
      <c r="J1100" s="112" t="s">
        <v>1066</v>
      </c>
      <c r="K1100" s="112" t="s">
        <v>1125</v>
      </c>
      <c r="L1100" s="112" t="s">
        <v>1061</v>
      </c>
      <c r="M1100" s="112" t="s">
        <v>478</v>
      </c>
      <c r="N1100" s="113">
        <v>46522.549942129626</v>
      </c>
      <c r="O1100" s="114">
        <v>19002204655</v>
      </c>
      <c r="P1100" s="112">
        <v>498</v>
      </c>
      <c r="Q1100" s="112" t="s">
        <v>1062</v>
      </c>
      <c r="R1100" s="112" t="s">
        <v>1063</v>
      </c>
      <c r="S1100" s="113">
        <v>46126.729166666664</v>
      </c>
      <c r="T1100" s="112" t="s">
        <v>4913</v>
      </c>
      <c r="U1100" s="112" t="s">
        <v>1065</v>
      </c>
      <c r="V1100" s="112" t="s">
        <v>1066</v>
      </c>
      <c r="W1100" s="112" t="s">
        <v>1066</v>
      </c>
      <c r="X1100" s="112" t="s">
        <v>1066</v>
      </c>
      <c r="Y1100" s="112" t="s">
        <v>1066</v>
      </c>
      <c r="Z1100" s="112" t="s">
        <v>1066</v>
      </c>
      <c r="AA1100" s="112" t="s">
        <v>1067</v>
      </c>
      <c r="AB1100" s="112" t="s">
        <v>1066</v>
      </c>
      <c r="AC1100" s="112" t="s">
        <v>92</v>
      </c>
      <c r="AD1100" s="112" t="s">
        <v>1066</v>
      </c>
      <c r="AE1100" s="112" t="s">
        <v>1066</v>
      </c>
      <c r="AF1100" s="112" t="s">
        <v>1066</v>
      </c>
      <c r="AG1100" s="112" t="s">
        <v>1066</v>
      </c>
      <c r="AH1100" s="112" t="s">
        <v>1066</v>
      </c>
      <c r="AI1100" s="112" t="s">
        <v>785</v>
      </c>
      <c r="AJ1100" s="112">
        <v>9220446</v>
      </c>
      <c r="AK1100" s="112" t="s">
        <v>69</v>
      </c>
      <c r="AL1100" s="112">
        <v>804857</v>
      </c>
      <c r="AM1100" s="112" t="s">
        <v>1066</v>
      </c>
      <c r="AN1100" s="112" t="s">
        <v>1066</v>
      </c>
    </row>
    <row r="1101" spans="1:40" ht="55.5" customHeight="1" x14ac:dyDescent="0.25">
      <c r="A1101" s="111" t="s">
        <v>4914</v>
      </c>
      <c r="B1101" s="112">
        <v>2026</v>
      </c>
      <c r="C1101" s="112" t="s">
        <v>1057</v>
      </c>
      <c r="D1101" s="113">
        <v>46125.584386574075</v>
      </c>
      <c r="E1101" s="112">
        <v>7913662076</v>
      </c>
      <c r="F1101" s="112" t="s">
        <v>211</v>
      </c>
      <c r="G1101" s="112">
        <v>3</v>
      </c>
      <c r="H1101" s="112">
        <v>7913662076</v>
      </c>
      <c r="I1101" s="112" t="s">
        <v>4016</v>
      </c>
      <c r="J1101" s="112" t="s">
        <v>1066</v>
      </c>
      <c r="K1101" s="112" t="s">
        <v>1125</v>
      </c>
      <c r="L1101" s="112" t="s">
        <v>1061</v>
      </c>
      <c r="M1101" s="112" t="s">
        <v>478</v>
      </c>
      <c r="N1101" s="113">
        <v>46525.584386574075</v>
      </c>
      <c r="O1101" s="114">
        <v>19002214206</v>
      </c>
      <c r="P1101" s="112">
        <v>185</v>
      </c>
      <c r="Q1101" s="112" t="s">
        <v>1062</v>
      </c>
      <c r="R1101" s="112" t="s">
        <v>1063</v>
      </c>
      <c r="S1101" s="113">
        <v>46181.670381944445</v>
      </c>
      <c r="T1101" s="112" t="s">
        <v>4915</v>
      </c>
      <c r="U1101" s="112" t="s">
        <v>1065</v>
      </c>
      <c r="V1101" s="112" t="s">
        <v>1066</v>
      </c>
      <c r="W1101" s="112" t="s">
        <v>1066</v>
      </c>
      <c r="X1101" s="112" t="s">
        <v>1066</v>
      </c>
      <c r="Y1101" s="112" t="s">
        <v>1066</v>
      </c>
      <c r="Z1101" s="112" t="s">
        <v>1066</v>
      </c>
      <c r="AA1101" s="112" t="s">
        <v>1067</v>
      </c>
      <c r="AB1101" s="112" t="s">
        <v>1066</v>
      </c>
      <c r="AC1101" s="112" t="s">
        <v>92</v>
      </c>
      <c r="AD1101" s="112" t="s">
        <v>1066</v>
      </c>
      <c r="AE1101" s="112" t="s">
        <v>1066</v>
      </c>
      <c r="AF1101" s="112" t="s">
        <v>1066</v>
      </c>
      <c r="AG1101" s="112" t="s">
        <v>1066</v>
      </c>
      <c r="AH1101" s="112" t="s">
        <v>1066</v>
      </c>
      <c r="AI1101" s="112" t="s">
        <v>785</v>
      </c>
      <c r="AJ1101" s="112">
        <v>8746092</v>
      </c>
      <c r="AK1101" s="112" t="s">
        <v>209</v>
      </c>
      <c r="AL1101" s="112">
        <v>689369</v>
      </c>
      <c r="AM1101" s="112" t="s">
        <v>1066</v>
      </c>
      <c r="AN1101" s="112" t="s">
        <v>1066</v>
      </c>
    </row>
    <row r="1102" spans="1:40" ht="55.5" customHeight="1" x14ac:dyDescent="0.25">
      <c r="A1102" s="111" t="s">
        <v>4916</v>
      </c>
      <c r="B1102" s="112">
        <v>2026</v>
      </c>
      <c r="C1102" s="112" t="s">
        <v>1251</v>
      </c>
      <c r="D1102" s="113">
        <v>46031.603807870371</v>
      </c>
      <c r="E1102" s="112">
        <v>7937107003</v>
      </c>
      <c r="F1102" s="112" t="s">
        <v>2420</v>
      </c>
      <c r="G1102" s="112">
        <v>1</v>
      </c>
      <c r="H1102" s="112">
        <v>7937107003</v>
      </c>
      <c r="I1102" s="112" t="s">
        <v>3897</v>
      </c>
      <c r="J1102" s="112" t="s">
        <v>1059</v>
      </c>
      <c r="K1102" s="112" t="s">
        <v>1060</v>
      </c>
      <c r="L1102" s="112" t="s">
        <v>1061</v>
      </c>
      <c r="M1102" s="112" t="s">
        <v>478</v>
      </c>
      <c r="N1102" s="113">
        <v>46431.603807870371</v>
      </c>
      <c r="O1102" s="114">
        <v>19002210805</v>
      </c>
      <c r="P1102" s="112">
        <v>6.7439999999999998</v>
      </c>
      <c r="Q1102" s="112" t="s">
        <v>1062</v>
      </c>
      <c r="R1102" s="112" t="s">
        <v>1063</v>
      </c>
      <c r="S1102" s="113">
        <v>46031.729166666664</v>
      </c>
      <c r="T1102" s="112" t="s">
        <v>1253</v>
      </c>
      <c r="U1102" s="112" t="s">
        <v>1065</v>
      </c>
      <c r="V1102" s="112" t="s">
        <v>1066</v>
      </c>
      <c r="W1102" s="112" t="s">
        <v>1066</v>
      </c>
      <c r="X1102" s="112" t="s">
        <v>1066</v>
      </c>
      <c r="Y1102" s="112" t="s">
        <v>1066</v>
      </c>
      <c r="Z1102" s="112" t="s">
        <v>1066</v>
      </c>
      <c r="AA1102" s="112" t="s">
        <v>1067</v>
      </c>
      <c r="AB1102" s="112" t="s">
        <v>1066</v>
      </c>
      <c r="AC1102" s="112" t="s">
        <v>92</v>
      </c>
      <c r="AD1102" s="112" t="s">
        <v>1066</v>
      </c>
      <c r="AE1102" s="112" t="s">
        <v>1066</v>
      </c>
      <c r="AF1102" s="112" t="s">
        <v>1066</v>
      </c>
      <c r="AG1102" s="112" t="s">
        <v>1066</v>
      </c>
      <c r="AH1102" s="112" t="s">
        <v>1066</v>
      </c>
      <c r="AI1102" s="112" t="s">
        <v>785</v>
      </c>
      <c r="AJ1102" s="112">
        <v>8703287</v>
      </c>
      <c r="AK1102" s="112" t="s">
        <v>210</v>
      </c>
      <c r="AL1102" s="112">
        <v>711497</v>
      </c>
      <c r="AM1102" s="112" t="s">
        <v>1066</v>
      </c>
      <c r="AN1102" s="112" t="s">
        <v>1066</v>
      </c>
    </row>
    <row r="1103" spans="1:40" ht="55.5" customHeight="1" x14ac:dyDescent="0.25">
      <c r="A1103" s="124" t="s">
        <v>91</v>
      </c>
      <c r="B1103" s="125">
        <v>2026</v>
      </c>
      <c r="C1103" s="125" t="s">
        <v>4917</v>
      </c>
      <c r="D1103" s="126">
        <v>45892.049143518518</v>
      </c>
      <c r="E1103" s="125">
        <v>9000370025</v>
      </c>
      <c r="F1103" s="125" t="s">
        <v>95</v>
      </c>
      <c r="G1103" s="125">
        <v>2</v>
      </c>
      <c r="H1103" s="125">
        <v>5800371025</v>
      </c>
      <c r="I1103" s="125" t="s">
        <v>4918</v>
      </c>
      <c r="J1103" s="125" t="s">
        <v>1071</v>
      </c>
      <c r="K1103" s="125" t="s">
        <v>1072</v>
      </c>
      <c r="L1103" s="125" t="s">
        <v>1073</v>
      </c>
      <c r="M1103" s="125" t="s">
        <v>510</v>
      </c>
      <c r="N1103" s="126">
        <v>46236.635682870372</v>
      </c>
      <c r="O1103" s="127">
        <v>19002317712</v>
      </c>
      <c r="P1103" s="125">
        <v>2.1720000000000002</v>
      </c>
      <c r="Q1103" s="125" t="s">
        <v>1074</v>
      </c>
      <c r="R1103" s="125" t="s">
        <v>1075</v>
      </c>
      <c r="S1103" s="125" t="s">
        <v>1066</v>
      </c>
      <c r="T1103" s="125" t="s">
        <v>1066</v>
      </c>
      <c r="U1103" s="125" t="s">
        <v>1066</v>
      </c>
      <c r="V1103" s="125" t="s">
        <v>1066</v>
      </c>
      <c r="W1103" s="125" t="s">
        <v>1066</v>
      </c>
      <c r="X1103" s="125" t="s">
        <v>1077</v>
      </c>
      <c r="Y1103" s="125" t="s">
        <v>1066</v>
      </c>
      <c r="Z1103" s="125" t="s">
        <v>1078</v>
      </c>
      <c r="AA1103" s="125" t="s">
        <v>1067</v>
      </c>
      <c r="AB1103" s="125" t="s">
        <v>1066</v>
      </c>
      <c r="AC1103" s="125" t="s">
        <v>92</v>
      </c>
      <c r="AD1103" s="125" t="s">
        <v>1066</v>
      </c>
      <c r="AE1103" s="125" t="s">
        <v>1066</v>
      </c>
      <c r="AF1103" s="125" t="s">
        <v>1066</v>
      </c>
      <c r="AG1103" s="125" t="s">
        <v>1066</v>
      </c>
      <c r="AH1103" s="125" t="s">
        <v>4919</v>
      </c>
      <c r="AI1103" s="125" t="s">
        <v>785</v>
      </c>
      <c r="AJ1103" s="125">
        <v>9152942</v>
      </c>
      <c r="AK1103" s="125" t="s">
        <v>93</v>
      </c>
      <c r="AL1103" s="125">
        <v>714151</v>
      </c>
      <c r="AM1103" s="125" t="s">
        <v>1066</v>
      </c>
      <c r="AN1103" s="125" t="s">
        <v>1066</v>
      </c>
    </row>
    <row r="1104" spans="1:40" ht="55.5" customHeight="1" x14ac:dyDescent="0.25">
      <c r="A1104" s="111" t="s">
        <v>4920</v>
      </c>
      <c r="B1104" s="112">
        <v>2026</v>
      </c>
      <c r="C1104" s="112" t="s">
        <v>4921</v>
      </c>
      <c r="D1104" s="113">
        <v>46139.84988425926</v>
      </c>
      <c r="E1104" s="112">
        <v>3310207007</v>
      </c>
      <c r="F1104" s="112" t="s">
        <v>2045</v>
      </c>
      <c r="G1104" s="112">
        <v>3</v>
      </c>
      <c r="H1104" s="112">
        <v>7956702007</v>
      </c>
      <c r="I1104" s="112" t="s">
        <v>4922</v>
      </c>
      <c r="J1104" s="112" t="s">
        <v>1071</v>
      </c>
      <c r="K1104" s="112" t="s">
        <v>2618</v>
      </c>
      <c r="L1104" s="112" t="s">
        <v>1073</v>
      </c>
      <c r="M1104" s="112" t="s">
        <v>478</v>
      </c>
      <c r="N1104" s="113">
        <v>46142.84988425926</v>
      </c>
      <c r="O1104" s="114">
        <v>19002806533</v>
      </c>
      <c r="P1104" s="112">
        <v>86</v>
      </c>
      <c r="Q1104" s="112" t="s">
        <v>1131</v>
      </c>
      <c r="R1104" s="112" t="s">
        <v>1075</v>
      </c>
      <c r="S1104" s="113">
        <v>46161.662499999999</v>
      </c>
      <c r="T1104" s="112" t="s">
        <v>4923</v>
      </c>
      <c r="U1104" s="112" t="s">
        <v>1065</v>
      </c>
      <c r="V1104" s="112" t="s">
        <v>1066</v>
      </c>
      <c r="W1104" s="112" t="s">
        <v>1066</v>
      </c>
      <c r="X1104" s="112" t="s">
        <v>983</v>
      </c>
      <c r="Y1104" s="112" t="s">
        <v>1066</v>
      </c>
      <c r="Z1104" s="112" t="s">
        <v>1148</v>
      </c>
      <c r="AA1104" s="112" t="s">
        <v>1067</v>
      </c>
      <c r="AB1104" s="112" t="s">
        <v>1066</v>
      </c>
      <c r="AC1104" s="112" t="s">
        <v>92</v>
      </c>
      <c r="AD1104" s="112" t="s">
        <v>1066</v>
      </c>
      <c r="AE1104" s="112" t="s">
        <v>1066</v>
      </c>
      <c r="AF1104" s="112" t="s">
        <v>1066</v>
      </c>
      <c r="AG1104" s="112" t="s">
        <v>1066</v>
      </c>
      <c r="AH1104" s="112" t="s">
        <v>1066</v>
      </c>
      <c r="AI1104" s="112" t="s">
        <v>785</v>
      </c>
      <c r="AJ1104" s="112">
        <v>8933779</v>
      </c>
      <c r="AK1104" s="112" t="s">
        <v>100</v>
      </c>
      <c r="AL1104" s="112">
        <v>758627</v>
      </c>
      <c r="AM1104" s="112" t="s">
        <v>1066</v>
      </c>
      <c r="AN1104" s="112" t="s">
        <v>1066</v>
      </c>
    </row>
    <row r="1105" spans="1:40" ht="55.5" customHeight="1" x14ac:dyDescent="0.25">
      <c r="A1105" s="120" t="s">
        <v>4924</v>
      </c>
      <c r="B1105" s="121">
        <v>2026</v>
      </c>
      <c r="C1105" s="121" t="s">
        <v>4925</v>
      </c>
      <c r="D1105" s="122">
        <v>46142.706111111111</v>
      </c>
      <c r="E1105" s="121">
        <v>8800947086</v>
      </c>
      <c r="F1105" s="121" t="s">
        <v>682</v>
      </c>
      <c r="G1105" s="121">
        <v>2</v>
      </c>
      <c r="H1105" s="121">
        <v>5851753086</v>
      </c>
      <c r="I1105" s="121" t="s">
        <v>4926</v>
      </c>
      <c r="J1105" s="121" t="s">
        <v>1092</v>
      </c>
      <c r="K1105" s="121" t="s">
        <v>1093</v>
      </c>
      <c r="L1105" s="121" t="s">
        <v>2002</v>
      </c>
      <c r="M1105" s="121" t="s">
        <v>1116</v>
      </c>
      <c r="N1105" s="122">
        <v>46189.430625000001</v>
      </c>
      <c r="O1105" s="123">
        <v>19002689511</v>
      </c>
      <c r="P1105" s="121">
        <v>1.329</v>
      </c>
      <c r="Q1105" s="121" t="s">
        <v>1074</v>
      </c>
      <c r="R1105" s="121" t="s">
        <v>1075</v>
      </c>
      <c r="S1105" s="122">
        <v>46198.745393518519</v>
      </c>
      <c r="T1105" s="121" t="s">
        <v>1066</v>
      </c>
      <c r="U1105" s="121" t="s">
        <v>1066</v>
      </c>
      <c r="V1105" s="121" t="s">
        <v>1066</v>
      </c>
      <c r="W1105" s="121" t="s">
        <v>1066</v>
      </c>
      <c r="X1105" s="121" t="s">
        <v>1066</v>
      </c>
      <c r="Y1105" s="121" t="s">
        <v>1066</v>
      </c>
      <c r="Z1105" s="121" t="s">
        <v>1066</v>
      </c>
      <c r="AA1105" s="121" t="s">
        <v>1067</v>
      </c>
      <c r="AB1105" s="121" t="s">
        <v>1066</v>
      </c>
      <c r="AC1105" s="121" t="s">
        <v>92</v>
      </c>
      <c r="AD1105" s="121" t="s">
        <v>1066</v>
      </c>
      <c r="AE1105" s="121" t="s">
        <v>1066</v>
      </c>
      <c r="AF1105" s="121" t="s">
        <v>1066</v>
      </c>
      <c r="AG1105" s="121" t="s">
        <v>1066</v>
      </c>
      <c r="AH1105" s="121" t="s">
        <v>4927</v>
      </c>
      <c r="AI1105" s="121" t="s">
        <v>785</v>
      </c>
      <c r="AJ1105" s="121">
        <v>8916495</v>
      </c>
      <c r="AK1105" s="121" t="s">
        <v>1143</v>
      </c>
      <c r="AL1105" s="121">
        <v>649373</v>
      </c>
      <c r="AM1105" s="121" t="s">
        <v>1066</v>
      </c>
      <c r="AN1105" s="121" t="s">
        <v>1066</v>
      </c>
    </row>
    <row r="1106" spans="1:40" ht="55.5" customHeight="1" x14ac:dyDescent="0.25">
      <c r="A1106" s="111" t="s">
        <v>4928</v>
      </c>
      <c r="B1106" s="112">
        <v>2026</v>
      </c>
      <c r="C1106" s="112" t="s">
        <v>1089</v>
      </c>
      <c r="D1106" s="113">
        <v>46028.41065972222</v>
      </c>
      <c r="E1106" s="112">
        <v>7938135086</v>
      </c>
      <c r="F1106" s="112" t="s">
        <v>355</v>
      </c>
      <c r="G1106" s="112">
        <v>3</v>
      </c>
      <c r="H1106" s="112">
        <v>7938135086</v>
      </c>
      <c r="I1106" s="112" t="s">
        <v>4929</v>
      </c>
      <c r="J1106" s="112" t="s">
        <v>1092</v>
      </c>
      <c r="K1106" s="112" t="s">
        <v>1093</v>
      </c>
      <c r="L1106" s="112" t="s">
        <v>1061</v>
      </c>
      <c r="M1106" s="112" t="s">
        <v>478</v>
      </c>
      <c r="N1106" s="113">
        <v>46428.41065972222</v>
      </c>
      <c r="O1106" s="114">
        <v>19002203382</v>
      </c>
      <c r="P1106" s="112">
        <v>0</v>
      </c>
      <c r="Q1106" s="112" t="s">
        <v>1062</v>
      </c>
      <c r="R1106" s="112" t="s">
        <v>1063</v>
      </c>
      <c r="S1106" s="113">
        <v>46154.408310185187</v>
      </c>
      <c r="T1106" s="112" t="s">
        <v>4930</v>
      </c>
      <c r="U1106" s="112" t="s">
        <v>1065</v>
      </c>
      <c r="V1106" s="112" t="s">
        <v>1066</v>
      </c>
      <c r="W1106" s="112" t="s">
        <v>1066</v>
      </c>
      <c r="X1106" s="112" t="s">
        <v>1066</v>
      </c>
      <c r="Y1106" s="112" t="s">
        <v>1066</v>
      </c>
      <c r="Z1106" s="112" t="s">
        <v>1066</v>
      </c>
      <c r="AA1106" s="112" t="s">
        <v>1067</v>
      </c>
      <c r="AB1106" s="112" t="s">
        <v>1066</v>
      </c>
      <c r="AC1106" s="112" t="s">
        <v>92</v>
      </c>
      <c r="AD1106" s="112" t="s">
        <v>1066</v>
      </c>
      <c r="AE1106" s="112" t="s">
        <v>1066</v>
      </c>
      <c r="AF1106" s="112" t="s">
        <v>1066</v>
      </c>
      <c r="AG1106" s="112" t="s">
        <v>1066</v>
      </c>
      <c r="AH1106" s="112" t="s">
        <v>1066</v>
      </c>
      <c r="AI1106" s="112" t="s">
        <v>785</v>
      </c>
      <c r="AJ1106" s="112">
        <v>8917220</v>
      </c>
      <c r="AK1106" s="112" t="s">
        <v>1143</v>
      </c>
      <c r="AL1106" s="112">
        <v>647714</v>
      </c>
      <c r="AM1106" s="112" t="s">
        <v>1066</v>
      </c>
      <c r="AN1106" s="112" t="s">
        <v>1066</v>
      </c>
    </row>
    <row r="1107" spans="1:40" ht="55.5" customHeight="1" x14ac:dyDescent="0.25">
      <c r="A1107" s="115" t="s">
        <v>2763</v>
      </c>
      <c r="B1107" s="116">
        <v>2026</v>
      </c>
      <c r="C1107" s="116" t="s">
        <v>4931</v>
      </c>
      <c r="D1107" s="118">
        <v>46056.81826388889</v>
      </c>
      <c r="E1107" s="116">
        <v>7901830094</v>
      </c>
      <c r="F1107" s="116" t="s">
        <v>249</v>
      </c>
      <c r="G1107" s="116">
        <v>3</v>
      </c>
      <c r="H1107" s="116">
        <v>7901830094</v>
      </c>
      <c r="I1107" s="116" t="s">
        <v>1420</v>
      </c>
      <c r="J1107" s="116" t="s">
        <v>1071</v>
      </c>
      <c r="K1107" s="116" t="s">
        <v>1681</v>
      </c>
      <c r="L1107" s="116" t="s">
        <v>1073</v>
      </c>
      <c r="M1107" s="116" t="s">
        <v>588</v>
      </c>
      <c r="N1107" s="118">
        <v>46059.831053240741</v>
      </c>
      <c r="O1107" s="119">
        <v>19002223724</v>
      </c>
      <c r="P1107" s="116">
        <v>206</v>
      </c>
      <c r="Q1107" s="116" t="s">
        <v>1062</v>
      </c>
      <c r="R1107" s="116" t="s">
        <v>1297</v>
      </c>
      <c r="S1107" s="116" t="s">
        <v>1066</v>
      </c>
      <c r="T1107" s="116" t="s">
        <v>1066</v>
      </c>
      <c r="U1107" s="116" t="s">
        <v>1066</v>
      </c>
      <c r="V1107" s="116" t="s">
        <v>1066</v>
      </c>
      <c r="W1107" s="116" t="s">
        <v>1066</v>
      </c>
      <c r="X1107" s="116" t="s">
        <v>983</v>
      </c>
      <c r="Y1107" s="116" t="s">
        <v>1066</v>
      </c>
      <c r="Z1107" s="116" t="s">
        <v>1532</v>
      </c>
      <c r="AA1107" s="116" t="s">
        <v>1067</v>
      </c>
      <c r="AB1107" s="116" t="s">
        <v>1066</v>
      </c>
      <c r="AC1107" s="116" t="s">
        <v>92</v>
      </c>
      <c r="AD1107" s="116" t="s">
        <v>1066</v>
      </c>
      <c r="AE1107" s="116" t="s">
        <v>1066</v>
      </c>
      <c r="AF1107" s="116" t="s">
        <v>1066</v>
      </c>
      <c r="AG1107" s="116" t="s">
        <v>1066</v>
      </c>
      <c r="AH1107" s="116" t="s">
        <v>1066</v>
      </c>
      <c r="AI1107" s="116" t="s">
        <v>785</v>
      </c>
      <c r="AJ1107" s="116">
        <v>8675493</v>
      </c>
      <c r="AK1107" s="116" t="s">
        <v>224</v>
      </c>
      <c r="AL1107" s="116">
        <v>752295</v>
      </c>
      <c r="AM1107" s="116" t="s">
        <v>1066</v>
      </c>
      <c r="AN1107" s="116" t="s">
        <v>1066</v>
      </c>
    </row>
    <row r="1108" spans="1:40" ht="55.5" customHeight="1" x14ac:dyDescent="0.25">
      <c r="A1108" s="111" t="s">
        <v>4932</v>
      </c>
      <c r="B1108" s="112">
        <v>2026</v>
      </c>
      <c r="C1108" s="112" t="s">
        <v>4933</v>
      </c>
      <c r="D1108" s="113">
        <v>46045.37400462963</v>
      </c>
      <c r="E1108" s="112">
        <v>3110082080</v>
      </c>
      <c r="F1108" s="112" t="s">
        <v>1654</v>
      </c>
      <c r="G1108" s="112">
        <v>3</v>
      </c>
      <c r="H1108" s="112">
        <v>7965013080</v>
      </c>
      <c r="I1108" s="112" t="s">
        <v>4934</v>
      </c>
      <c r="J1108" s="112" t="s">
        <v>1231</v>
      </c>
      <c r="K1108" s="112" t="s">
        <v>1232</v>
      </c>
      <c r="L1108" s="112" t="s">
        <v>1084</v>
      </c>
      <c r="M1108" s="112" t="s">
        <v>478</v>
      </c>
      <c r="N1108" s="113">
        <v>46136.701273148145</v>
      </c>
      <c r="O1108" s="114">
        <v>19002813266</v>
      </c>
      <c r="P1108" s="112">
        <v>7</v>
      </c>
      <c r="Q1108" s="112" t="s">
        <v>1131</v>
      </c>
      <c r="R1108" s="112" t="s">
        <v>1206</v>
      </c>
      <c r="S1108" s="113">
        <v>46090.433333333334</v>
      </c>
      <c r="T1108" s="112" t="s">
        <v>4935</v>
      </c>
      <c r="U1108" s="112" t="s">
        <v>1065</v>
      </c>
      <c r="V1108" s="112" t="s">
        <v>1066</v>
      </c>
      <c r="W1108" s="112" t="s">
        <v>1066</v>
      </c>
      <c r="X1108" s="112" t="s">
        <v>983</v>
      </c>
      <c r="Y1108" s="112" t="s">
        <v>1066</v>
      </c>
      <c r="Z1108" s="112" t="s">
        <v>1066</v>
      </c>
      <c r="AA1108" s="112" t="s">
        <v>1067</v>
      </c>
      <c r="AB1108" s="112" t="s">
        <v>1066</v>
      </c>
      <c r="AC1108" s="112" t="s">
        <v>92</v>
      </c>
      <c r="AD1108" s="112" t="s">
        <v>1066</v>
      </c>
      <c r="AE1108" s="112" t="s">
        <v>1066</v>
      </c>
      <c r="AF1108" s="112" t="s">
        <v>1066</v>
      </c>
      <c r="AG1108" s="112" t="s">
        <v>1066</v>
      </c>
      <c r="AH1108" s="112" t="s">
        <v>4936</v>
      </c>
      <c r="AI1108" s="112" t="s">
        <v>785</v>
      </c>
      <c r="AJ1108" s="112">
        <v>9260757</v>
      </c>
      <c r="AK1108" s="112" t="s">
        <v>1656</v>
      </c>
      <c r="AL1108" s="112">
        <v>842334</v>
      </c>
      <c r="AM1108" s="112" t="s">
        <v>1066</v>
      </c>
      <c r="AN1108" s="112" t="s">
        <v>1066</v>
      </c>
    </row>
    <row r="1109" spans="1:40" ht="55.5" customHeight="1" x14ac:dyDescent="0.25">
      <c r="A1109" s="111" t="s">
        <v>4937</v>
      </c>
      <c r="B1109" s="112">
        <v>2026</v>
      </c>
      <c r="C1109" s="112" t="s">
        <v>4938</v>
      </c>
      <c r="D1109" s="113">
        <v>46106.340532407405</v>
      </c>
      <c r="E1109" s="112">
        <v>9000859030</v>
      </c>
      <c r="F1109" s="112" t="s">
        <v>1920</v>
      </c>
      <c r="G1109" s="112">
        <v>3</v>
      </c>
      <c r="H1109" s="112">
        <v>7942706030</v>
      </c>
      <c r="I1109" s="112" t="s">
        <v>2334</v>
      </c>
      <c r="J1109" s="112" t="s">
        <v>1092</v>
      </c>
      <c r="K1109" s="112" t="s">
        <v>1446</v>
      </c>
      <c r="L1109" s="112" t="s">
        <v>1073</v>
      </c>
      <c r="M1109" s="112" t="s">
        <v>478</v>
      </c>
      <c r="N1109" s="113">
        <v>46109.340532407405</v>
      </c>
      <c r="O1109" s="114">
        <v>19002535863</v>
      </c>
      <c r="P1109" s="112">
        <v>130</v>
      </c>
      <c r="Q1109" s="112" t="s">
        <v>1131</v>
      </c>
      <c r="R1109" s="112" t="s">
        <v>1075</v>
      </c>
      <c r="S1109" s="113">
        <v>46114.729166666664</v>
      </c>
      <c r="T1109" s="112" t="s">
        <v>4939</v>
      </c>
      <c r="U1109" s="112" t="s">
        <v>1065</v>
      </c>
      <c r="V1109" s="112" t="s">
        <v>1066</v>
      </c>
      <c r="W1109" s="112" t="s">
        <v>1066</v>
      </c>
      <c r="X1109" s="112" t="s">
        <v>1173</v>
      </c>
      <c r="Y1109" s="112" t="s">
        <v>1066</v>
      </c>
      <c r="Z1109" s="112" t="s">
        <v>1133</v>
      </c>
      <c r="AA1109" s="112" t="s">
        <v>1067</v>
      </c>
      <c r="AB1109" s="112" t="s">
        <v>1066</v>
      </c>
      <c r="AC1109" s="112" t="s">
        <v>92</v>
      </c>
      <c r="AD1109" s="112" t="s">
        <v>1066</v>
      </c>
      <c r="AE1109" s="112" t="s">
        <v>1066</v>
      </c>
      <c r="AF1109" s="112" t="s">
        <v>1066</v>
      </c>
      <c r="AG1109" s="112" t="s">
        <v>1066</v>
      </c>
      <c r="AH1109" s="112" t="s">
        <v>1066</v>
      </c>
      <c r="AI1109" s="112" t="s">
        <v>785</v>
      </c>
      <c r="AJ1109" s="112">
        <v>9251880</v>
      </c>
      <c r="AK1109" s="112" t="s">
        <v>612</v>
      </c>
      <c r="AL1109" s="112">
        <v>806350</v>
      </c>
      <c r="AM1109" s="112" t="s">
        <v>1066</v>
      </c>
      <c r="AN1109" s="112" t="s">
        <v>1066</v>
      </c>
    </row>
    <row r="1110" spans="1:40" ht="55.5" customHeight="1" x14ac:dyDescent="0.25">
      <c r="A1110" s="115" t="s">
        <v>4940</v>
      </c>
      <c r="B1110" s="116">
        <v>2026</v>
      </c>
      <c r="C1110" s="116" t="s">
        <v>4941</v>
      </c>
      <c r="D1110" s="118">
        <v>46115.587118055555</v>
      </c>
      <c r="E1110" s="116">
        <v>9004478004</v>
      </c>
      <c r="F1110" s="116" t="s">
        <v>1169</v>
      </c>
      <c r="G1110" s="116">
        <v>2</v>
      </c>
      <c r="H1110" s="116">
        <v>7900252004</v>
      </c>
      <c r="I1110" s="116" t="s">
        <v>4942</v>
      </c>
      <c r="J1110" s="116" t="s">
        <v>1071</v>
      </c>
      <c r="K1110" s="116" t="s">
        <v>2958</v>
      </c>
      <c r="L1110" s="116" t="s">
        <v>1073</v>
      </c>
      <c r="M1110" s="116" t="s">
        <v>588</v>
      </c>
      <c r="N1110" s="118">
        <v>46122.579027777778</v>
      </c>
      <c r="O1110" s="119">
        <v>19001303780</v>
      </c>
      <c r="P1110" s="116">
        <v>2.4089999999999998</v>
      </c>
      <c r="Q1110" s="116" t="s">
        <v>1131</v>
      </c>
      <c r="R1110" s="116" t="s">
        <v>1324</v>
      </c>
      <c r="S1110" s="116" t="s">
        <v>1066</v>
      </c>
      <c r="T1110" s="116" t="s">
        <v>1066</v>
      </c>
      <c r="U1110" s="116" t="s">
        <v>1066</v>
      </c>
      <c r="V1110" s="116" t="s">
        <v>1066</v>
      </c>
      <c r="W1110" s="116" t="s">
        <v>1066</v>
      </c>
      <c r="X1110" s="116" t="s">
        <v>1117</v>
      </c>
      <c r="Y1110" s="116" t="s">
        <v>1066</v>
      </c>
      <c r="Z1110" s="116" t="s">
        <v>1078</v>
      </c>
      <c r="AA1110" s="116" t="s">
        <v>1067</v>
      </c>
      <c r="AB1110" s="116" t="s">
        <v>1066</v>
      </c>
      <c r="AC1110" s="116" t="s">
        <v>92</v>
      </c>
      <c r="AD1110" s="116" t="s">
        <v>1142</v>
      </c>
      <c r="AE1110" s="116" t="s">
        <v>1066</v>
      </c>
      <c r="AF1110" s="116" t="s">
        <v>1066</v>
      </c>
      <c r="AG1110" s="116" t="s">
        <v>1066</v>
      </c>
      <c r="AH1110" s="116" t="s">
        <v>1066</v>
      </c>
      <c r="AI1110" s="116" t="s">
        <v>785</v>
      </c>
      <c r="AJ1110" s="116">
        <v>9203904</v>
      </c>
      <c r="AK1110" s="116" t="s">
        <v>69</v>
      </c>
      <c r="AL1110" s="116">
        <v>807028</v>
      </c>
      <c r="AM1110" s="116" t="s">
        <v>1066</v>
      </c>
      <c r="AN1110" s="116" t="s">
        <v>1066</v>
      </c>
    </row>
    <row r="1111" spans="1:40" ht="55.5" customHeight="1" x14ac:dyDescent="0.25">
      <c r="A1111" s="111" t="s">
        <v>4943</v>
      </c>
      <c r="B1111" s="112">
        <v>2026</v>
      </c>
      <c r="C1111" s="112" t="s">
        <v>1057</v>
      </c>
      <c r="D1111" s="113">
        <v>46125.584386574075</v>
      </c>
      <c r="E1111" s="112">
        <v>7924616076</v>
      </c>
      <c r="F1111" s="112" t="s">
        <v>663</v>
      </c>
      <c r="G1111" s="112">
        <v>2</v>
      </c>
      <c r="H1111" s="112">
        <v>7924616076</v>
      </c>
      <c r="I1111" s="112" t="s">
        <v>1932</v>
      </c>
      <c r="J1111" s="112" t="s">
        <v>1066</v>
      </c>
      <c r="K1111" s="112" t="s">
        <v>1125</v>
      </c>
      <c r="L1111" s="112" t="s">
        <v>1061</v>
      </c>
      <c r="M1111" s="112" t="s">
        <v>478</v>
      </c>
      <c r="N1111" s="113">
        <v>46525.584386574075</v>
      </c>
      <c r="O1111" s="114">
        <v>19002205533</v>
      </c>
      <c r="P1111" s="112">
        <v>59</v>
      </c>
      <c r="Q1111" s="112" t="s">
        <v>1062</v>
      </c>
      <c r="R1111" s="112" t="s">
        <v>1063</v>
      </c>
      <c r="S1111" s="113">
        <v>46211.324050925927</v>
      </c>
      <c r="T1111" s="112" t="s">
        <v>4944</v>
      </c>
      <c r="U1111" s="112" t="s">
        <v>1065</v>
      </c>
      <c r="V1111" s="112" t="s">
        <v>1066</v>
      </c>
      <c r="W1111" s="112" t="s">
        <v>1066</v>
      </c>
      <c r="X1111" s="112" t="s">
        <v>1066</v>
      </c>
      <c r="Y1111" s="112" t="s">
        <v>1066</v>
      </c>
      <c r="Z1111" s="112" t="s">
        <v>1066</v>
      </c>
      <c r="AA1111" s="112" t="s">
        <v>1067</v>
      </c>
      <c r="AB1111" s="112" t="s">
        <v>1066</v>
      </c>
      <c r="AC1111" s="112" t="s">
        <v>92</v>
      </c>
      <c r="AD1111" s="112" t="s">
        <v>1066</v>
      </c>
      <c r="AE1111" s="112" t="s">
        <v>1066</v>
      </c>
      <c r="AF1111" s="112" t="s">
        <v>1066</v>
      </c>
      <c r="AG1111" s="112" t="s">
        <v>1066</v>
      </c>
      <c r="AH1111" s="112" t="s">
        <v>1066</v>
      </c>
      <c r="AI1111" s="112" t="s">
        <v>785</v>
      </c>
      <c r="AJ1111" s="112">
        <v>8743594</v>
      </c>
      <c r="AK1111" s="112" t="s">
        <v>209</v>
      </c>
      <c r="AL1111" s="112">
        <v>688916</v>
      </c>
      <c r="AM1111" s="112" t="s">
        <v>1066</v>
      </c>
      <c r="AN1111" s="112" t="s">
        <v>1066</v>
      </c>
    </row>
    <row r="1112" spans="1:40" ht="55.5" customHeight="1" x14ac:dyDescent="0.25">
      <c r="A1112" s="111" t="s">
        <v>4945</v>
      </c>
      <c r="B1112" s="112">
        <v>2026</v>
      </c>
      <c r="C1112" s="112" t="s">
        <v>4946</v>
      </c>
      <c r="D1112" s="113">
        <v>46189.742951388886</v>
      </c>
      <c r="E1112" s="112">
        <v>8844800028</v>
      </c>
      <c r="F1112" s="112" t="s">
        <v>43</v>
      </c>
      <c r="G1112" s="112">
        <v>2</v>
      </c>
      <c r="H1112" s="112">
        <v>5848305116</v>
      </c>
      <c r="I1112" s="112" t="s">
        <v>4947</v>
      </c>
      <c r="J1112" s="112" t="s">
        <v>1071</v>
      </c>
      <c r="K1112" s="112" t="s">
        <v>1110</v>
      </c>
      <c r="L1112" s="112" t="s">
        <v>1073</v>
      </c>
      <c r="M1112" s="112" t="s">
        <v>478</v>
      </c>
      <c r="N1112" s="113">
        <v>46192.742951388886</v>
      </c>
      <c r="O1112" s="114">
        <v>19002706615</v>
      </c>
      <c r="P1112" s="112">
        <v>113</v>
      </c>
      <c r="Q1112" s="112" t="s">
        <v>1074</v>
      </c>
      <c r="R1112" s="112" t="s">
        <v>1263</v>
      </c>
      <c r="S1112" s="113">
        <v>46192.729375000003</v>
      </c>
      <c r="T1112" s="112" t="s">
        <v>4948</v>
      </c>
      <c r="U1112" s="112" t="s">
        <v>1065</v>
      </c>
      <c r="V1112" s="112" t="s">
        <v>1066</v>
      </c>
      <c r="W1112" s="112" t="s">
        <v>1066</v>
      </c>
      <c r="X1112" s="112" t="s">
        <v>1066</v>
      </c>
      <c r="Y1112" s="112" t="s">
        <v>1066</v>
      </c>
      <c r="Z1112" s="112" t="s">
        <v>1066</v>
      </c>
      <c r="AA1112" s="112" t="s">
        <v>1067</v>
      </c>
      <c r="AB1112" s="112" t="s">
        <v>1066</v>
      </c>
      <c r="AC1112" s="112" t="s">
        <v>92</v>
      </c>
      <c r="AD1112" s="112" t="s">
        <v>1066</v>
      </c>
      <c r="AE1112" s="112" t="s">
        <v>1066</v>
      </c>
      <c r="AF1112" s="112" t="s">
        <v>1066</v>
      </c>
      <c r="AG1112" s="112" t="s">
        <v>1066</v>
      </c>
      <c r="AH1112" s="112" t="s">
        <v>1066</v>
      </c>
      <c r="AI1112" s="112" t="s">
        <v>785</v>
      </c>
      <c r="AJ1112" s="112">
        <v>8711981</v>
      </c>
      <c r="AK1112" s="112" t="s">
        <v>403</v>
      </c>
      <c r="AL1112" s="112">
        <v>861016</v>
      </c>
      <c r="AM1112" s="112" t="s">
        <v>1066</v>
      </c>
      <c r="AN1112" s="112" t="s">
        <v>1066</v>
      </c>
    </row>
    <row r="1113" spans="1:40" ht="55.5" customHeight="1" x14ac:dyDescent="0.25">
      <c r="A1113" s="111" t="s">
        <v>4949</v>
      </c>
      <c r="B1113" s="112">
        <v>2026</v>
      </c>
      <c r="C1113" s="112" t="s">
        <v>1089</v>
      </c>
      <c r="D1113" s="113">
        <v>46028.41065972222</v>
      </c>
      <c r="E1113" s="112">
        <v>7900404044</v>
      </c>
      <c r="F1113" s="112" t="s">
        <v>1219</v>
      </c>
      <c r="G1113" s="112">
        <v>2</v>
      </c>
      <c r="H1113" s="112">
        <v>7900404044</v>
      </c>
      <c r="I1113" s="112" t="s">
        <v>4373</v>
      </c>
      <c r="J1113" s="112" t="s">
        <v>1092</v>
      </c>
      <c r="K1113" s="112" t="s">
        <v>1093</v>
      </c>
      <c r="L1113" s="112" t="s">
        <v>1061</v>
      </c>
      <c r="M1113" s="112" t="s">
        <v>478</v>
      </c>
      <c r="N1113" s="113">
        <v>46428.41065972222</v>
      </c>
      <c r="O1113" s="114">
        <v>19002219775</v>
      </c>
      <c r="P1113" s="112">
        <v>1.056</v>
      </c>
      <c r="Q1113" s="112" t="s">
        <v>1062</v>
      </c>
      <c r="R1113" s="112" t="s">
        <v>1063</v>
      </c>
      <c r="S1113" s="113">
        <v>46147.729259259257</v>
      </c>
      <c r="T1113" s="112" t="s">
        <v>4374</v>
      </c>
      <c r="U1113" s="112" t="s">
        <v>1065</v>
      </c>
      <c r="V1113" s="112" t="s">
        <v>1066</v>
      </c>
      <c r="W1113" s="112" t="s">
        <v>1066</v>
      </c>
      <c r="X1113" s="112" t="s">
        <v>1066</v>
      </c>
      <c r="Y1113" s="112" t="s">
        <v>1066</v>
      </c>
      <c r="Z1113" s="112" t="s">
        <v>1066</v>
      </c>
      <c r="AA1113" s="112" t="s">
        <v>1067</v>
      </c>
      <c r="AB1113" s="112" t="s">
        <v>1066</v>
      </c>
      <c r="AC1113" s="112" t="s">
        <v>92</v>
      </c>
      <c r="AD1113" s="112" t="s">
        <v>1066</v>
      </c>
      <c r="AE1113" s="112" t="s">
        <v>1066</v>
      </c>
      <c r="AF1113" s="112" t="s">
        <v>1066</v>
      </c>
      <c r="AG1113" s="112" t="s">
        <v>1066</v>
      </c>
      <c r="AH1113" s="112" t="s">
        <v>1066</v>
      </c>
      <c r="AI1113" s="112" t="s">
        <v>785</v>
      </c>
      <c r="AJ1113" s="112">
        <v>8810683</v>
      </c>
      <c r="AK1113" s="112" t="s">
        <v>1941</v>
      </c>
      <c r="AL1113" s="112">
        <v>729322</v>
      </c>
      <c r="AM1113" s="112" t="s">
        <v>1066</v>
      </c>
      <c r="AN1113" s="112" t="s">
        <v>1066</v>
      </c>
    </row>
    <row r="1114" spans="1:40" ht="55.5" customHeight="1" x14ac:dyDescent="0.25">
      <c r="A1114" s="111" t="s">
        <v>4950</v>
      </c>
      <c r="B1114" s="112">
        <v>2026</v>
      </c>
      <c r="C1114" s="112" t="s">
        <v>4951</v>
      </c>
      <c r="D1114" s="113">
        <v>46073.396793981483</v>
      </c>
      <c r="E1114" s="112">
        <v>9000701080</v>
      </c>
      <c r="F1114" s="112" t="s">
        <v>1654</v>
      </c>
      <c r="G1114" s="112">
        <v>2</v>
      </c>
      <c r="H1114" s="112">
        <v>7925736080</v>
      </c>
      <c r="I1114" s="112" t="s">
        <v>4952</v>
      </c>
      <c r="J1114" s="112" t="s">
        <v>1092</v>
      </c>
      <c r="K1114" s="112" t="s">
        <v>1446</v>
      </c>
      <c r="L1114" s="112" t="s">
        <v>1073</v>
      </c>
      <c r="M1114" s="112" t="s">
        <v>478</v>
      </c>
      <c r="N1114" s="113">
        <v>46076.396793981483</v>
      </c>
      <c r="O1114" s="114">
        <v>19001240567</v>
      </c>
      <c r="P1114" s="112">
        <v>2.8079999999999998</v>
      </c>
      <c r="Q1114" s="112" t="s">
        <v>1131</v>
      </c>
      <c r="R1114" s="112" t="s">
        <v>1075</v>
      </c>
      <c r="S1114" s="113">
        <v>46101.729166666664</v>
      </c>
      <c r="T1114" s="112" t="s">
        <v>4953</v>
      </c>
      <c r="U1114" s="112" t="s">
        <v>1065</v>
      </c>
      <c r="V1114" s="112" t="s">
        <v>1066</v>
      </c>
      <c r="W1114" s="112" t="s">
        <v>1066</v>
      </c>
      <c r="X1114" s="112" t="s">
        <v>1394</v>
      </c>
      <c r="Y1114" s="112" t="s">
        <v>1066</v>
      </c>
      <c r="Z1114" s="112" t="s">
        <v>1174</v>
      </c>
      <c r="AA1114" s="112" t="s">
        <v>1067</v>
      </c>
      <c r="AB1114" s="112" t="s">
        <v>1066</v>
      </c>
      <c r="AC1114" s="112" t="s">
        <v>92</v>
      </c>
      <c r="AD1114" s="112" t="s">
        <v>1142</v>
      </c>
      <c r="AE1114" s="112" t="s">
        <v>1066</v>
      </c>
      <c r="AF1114" s="112" t="s">
        <v>1066</v>
      </c>
      <c r="AG1114" s="112" t="s">
        <v>1066</v>
      </c>
      <c r="AH1114" s="112" t="s">
        <v>1066</v>
      </c>
      <c r="AI1114" s="112" t="s">
        <v>785</v>
      </c>
      <c r="AJ1114" s="112">
        <v>9256503</v>
      </c>
      <c r="AK1114" s="112" t="s">
        <v>1656</v>
      </c>
      <c r="AL1114" s="112">
        <v>857783</v>
      </c>
      <c r="AM1114" s="112" t="s">
        <v>1066</v>
      </c>
      <c r="AN1114" s="112" t="s">
        <v>1066</v>
      </c>
    </row>
    <row r="1115" spans="1:40" ht="55.5" customHeight="1" x14ac:dyDescent="0.25">
      <c r="A1115" s="111" t="s">
        <v>4954</v>
      </c>
      <c r="B1115" s="112">
        <v>2026</v>
      </c>
      <c r="C1115" s="112" t="s">
        <v>1057</v>
      </c>
      <c r="D1115" s="113">
        <v>46122.378541666665</v>
      </c>
      <c r="E1115" s="112">
        <v>7925522025</v>
      </c>
      <c r="F1115" s="112" t="s">
        <v>148</v>
      </c>
      <c r="G1115" s="112">
        <v>3</v>
      </c>
      <c r="H1115" s="112">
        <v>7925522025</v>
      </c>
      <c r="I1115" s="112" t="s">
        <v>4955</v>
      </c>
      <c r="J1115" s="112" t="s">
        <v>1059</v>
      </c>
      <c r="K1115" s="112" t="s">
        <v>1060</v>
      </c>
      <c r="L1115" s="112" t="s">
        <v>1061</v>
      </c>
      <c r="M1115" s="112" t="s">
        <v>478</v>
      </c>
      <c r="N1115" s="113">
        <v>46522.378541666665</v>
      </c>
      <c r="O1115" s="114">
        <v>19002204098</v>
      </c>
      <c r="P1115" s="112">
        <v>0</v>
      </c>
      <c r="Q1115" s="112" t="s">
        <v>1062</v>
      </c>
      <c r="R1115" s="112" t="s">
        <v>1063</v>
      </c>
      <c r="S1115" s="113">
        <v>46136.456435185188</v>
      </c>
      <c r="T1115" s="112" t="s">
        <v>4956</v>
      </c>
      <c r="U1115" s="112" t="s">
        <v>1065</v>
      </c>
      <c r="V1115" s="112" t="s">
        <v>1066</v>
      </c>
      <c r="W1115" s="112" t="s">
        <v>1066</v>
      </c>
      <c r="X1115" s="112" t="s">
        <v>1066</v>
      </c>
      <c r="Y1115" s="112" t="s">
        <v>1066</v>
      </c>
      <c r="Z1115" s="112" t="s">
        <v>1066</v>
      </c>
      <c r="AA1115" s="112" t="s">
        <v>1067</v>
      </c>
      <c r="AB1115" s="112" t="s">
        <v>1066</v>
      </c>
      <c r="AC1115" s="112" t="s">
        <v>92</v>
      </c>
      <c r="AD1115" s="112" t="s">
        <v>1066</v>
      </c>
      <c r="AE1115" s="112" t="s">
        <v>1066</v>
      </c>
      <c r="AF1115" s="112" t="s">
        <v>1066</v>
      </c>
      <c r="AG1115" s="112" t="s">
        <v>1066</v>
      </c>
      <c r="AH1115" s="112" t="s">
        <v>1066</v>
      </c>
      <c r="AI1115" s="112" t="s">
        <v>785</v>
      </c>
      <c r="AJ1115" s="112">
        <v>9154382</v>
      </c>
      <c r="AK1115" s="112" t="s">
        <v>93</v>
      </c>
      <c r="AL1115" s="112">
        <v>743195</v>
      </c>
      <c r="AM1115" s="112" t="s">
        <v>1066</v>
      </c>
      <c r="AN1115" s="112" t="s">
        <v>1066</v>
      </c>
    </row>
    <row r="1116" spans="1:40" ht="55.5" customHeight="1" x14ac:dyDescent="0.25">
      <c r="A1116" s="111" t="s">
        <v>4957</v>
      </c>
      <c r="B1116" s="112">
        <v>2026</v>
      </c>
      <c r="C1116" s="112" t="s">
        <v>1213</v>
      </c>
      <c r="D1116" s="113">
        <v>46122.549942129626</v>
      </c>
      <c r="E1116" s="112">
        <v>7935866004</v>
      </c>
      <c r="F1116" s="112" t="s">
        <v>4958</v>
      </c>
      <c r="G1116" s="112">
        <v>2</v>
      </c>
      <c r="H1116" s="112">
        <v>7935866004</v>
      </c>
      <c r="I1116" s="112" t="s">
        <v>4959</v>
      </c>
      <c r="J1116" s="112" t="s">
        <v>1066</v>
      </c>
      <c r="K1116" s="112" t="s">
        <v>1125</v>
      </c>
      <c r="L1116" s="112" t="s">
        <v>1061</v>
      </c>
      <c r="M1116" s="112" t="s">
        <v>478</v>
      </c>
      <c r="N1116" s="113">
        <v>46522.549942129626</v>
      </c>
      <c r="O1116" s="114">
        <v>19002207941</v>
      </c>
      <c r="P1116" s="112">
        <v>0</v>
      </c>
      <c r="Q1116" s="112" t="s">
        <v>1062</v>
      </c>
      <c r="R1116" s="112" t="s">
        <v>1063</v>
      </c>
      <c r="S1116" s="113">
        <v>46125.729166666664</v>
      </c>
      <c r="T1116" s="112" t="s">
        <v>4960</v>
      </c>
      <c r="U1116" s="112" t="s">
        <v>1065</v>
      </c>
      <c r="V1116" s="112" t="s">
        <v>1066</v>
      </c>
      <c r="W1116" s="112" t="s">
        <v>1066</v>
      </c>
      <c r="X1116" s="112" t="s">
        <v>1066</v>
      </c>
      <c r="Y1116" s="112" t="s">
        <v>1066</v>
      </c>
      <c r="Z1116" s="112" t="s">
        <v>1066</v>
      </c>
      <c r="AA1116" s="112" t="s">
        <v>1067</v>
      </c>
      <c r="AB1116" s="112" t="s">
        <v>1066</v>
      </c>
      <c r="AC1116" s="112" t="s">
        <v>92</v>
      </c>
      <c r="AD1116" s="112" t="s">
        <v>1066</v>
      </c>
      <c r="AE1116" s="112" t="s">
        <v>1066</v>
      </c>
      <c r="AF1116" s="112" t="s">
        <v>1066</v>
      </c>
      <c r="AG1116" s="112" t="s">
        <v>1066</v>
      </c>
      <c r="AH1116" s="112" t="s">
        <v>1066</v>
      </c>
      <c r="AI1116" s="112" t="s">
        <v>785</v>
      </c>
      <c r="AJ1116" s="112">
        <v>9204504</v>
      </c>
      <c r="AK1116" s="112" t="s">
        <v>69</v>
      </c>
      <c r="AL1116" s="112">
        <v>811199</v>
      </c>
      <c r="AM1116" s="112" t="s">
        <v>1066</v>
      </c>
      <c r="AN1116" s="112" t="s">
        <v>1066</v>
      </c>
    </row>
    <row r="1117" spans="1:40" ht="55.5" customHeight="1" x14ac:dyDescent="0.25">
      <c r="A1117" s="111" t="s">
        <v>715</v>
      </c>
      <c r="B1117" s="112">
        <v>2026</v>
      </c>
      <c r="C1117" s="112" t="s">
        <v>717</v>
      </c>
      <c r="D1117" s="113">
        <v>46240.910150462965</v>
      </c>
      <c r="E1117" s="112">
        <v>7928462040</v>
      </c>
      <c r="F1117" s="112" t="s">
        <v>716</v>
      </c>
      <c r="G1117" s="112">
        <v>2</v>
      </c>
      <c r="H1117" s="112">
        <v>7928462040</v>
      </c>
      <c r="I1117" s="112" t="s">
        <v>4961</v>
      </c>
      <c r="J1117" s="112" t="s">
        <v>1071</v>
      </c>
      <c r="K1117" s="112" t="s">
        <v>1171</v>
      </c>
      <c r="L1117" s="112" t="s">
        <v>1073</v>
      </c>
      <c r="M1117" s="112" t="s">
        <v>478</v>
      </c>
      <c r="N1117" s="113">
        <v>46243.910150462965</v>
      </c>
      <c r="O1117" s="114">
        <v>19002202914</v>
      </c>
      <c r="P1117" s="112">
        <v>3.335</v>
      </c>
      <c r="Q1117" s="112" t="s">
        <v>1062</v>
      </c>
      <c r="R1117" s="112" t="s">
        <v>1075</v>
      </c>
      <c r="S1117" s="113">
        <v>46252.461805555555</v>
      </c>
      <c r="T1117" s="112" t="s">
        <v>4962</v>
      </c>
      <c r="U1117" s="112" t="s">
        <v>1065</v>
      </c>
      <c r="V1117" s="112" t="s">
        <v>1066</v>
      </c>
      <c r="W1117" s="112" t="s">
        <v>1066</v>
      </c>
      <c r="X1117" s="112" t="s">
        <v>1066</v>
      </c>
      <c r="Y1117" s="112" t="s">
        <v>1066</v>
      </c>
      <c r="Z1117" s="112" t="s">
        <v>1066</v>
      </c>
      <c r="AA1117" s="112" t="s">
        <v>1067</v>
      </c>
      <c r="AB1117" s="112" t="s">
        <v>1066</v>
      </c>
      <c r="AC1117" s="112" t="s">
        <v>92</v>
      </c>
      <c r="AD1117" s="112" t="s">
        <v>1066</v>
      </c>
      <c r="AE1117" s="112" t="s">
        <v>1066</v>
      </c>
      <c r="AF1117" s="112" t="s">
        <v>1066</v>
      </c>
      <c r="AG1117" s="112" t="s">
        <v>1066</v>
      </c>
      <c r="AH1117" s="112" t="s">
        <v>1066</v>
      </c>
      <c r="AI1117" s="112" t="s">
        <v>785</v>
      </c>
      <c r="AJ1117" s="112">
        <v>9206989</v>
      </c>
      <c r="AK1117" s="112" t="s">
        <v>521</v>
      </c>
      <c r="AL1117" s="112">
        <v>773517</v>
      </c>
      <c r="AM1117" s="112" t="s">
        <v>1066</v>
      </c>
      <c r="AN1117" s="112" t="s">
        <v>1066</v>
      </c>
    </row>
    <row r="1118" spans="1:40" ht="55.5" customHeight="1" x14ac:dyDescent="0.25">
      <c r="A1118" s="111" t="s">
        <v>4963</v>
      </c>
      <c r="B1118" s="112">
        <v>2026</v>
      </c>
      <c r="C1118" s="112" t="s">
        <v>4964</v>
      </c>
      <c r="D1118" s="113">
        <v>46097.726979166669</v>
      </c>
      <c r="E1118" s="112">
        <v>9000853030</v>
      </c>
      <c r="F1118" s="112" t="s">
        <v>1920</v>
      </c>
      <c r="G1118" s="112">
        <v>3</v>
      </c>
      <c r="H1118" s="112">
        <v>7925870030</v>
      </c>
      <c r="I1118" s="112" t="s">
        <v>4965</v>
      </c>
      <c r="J1118" s="112" t="s">
        <v>1071</v>
      </c>
      <c r="K1118" s="112" t="s">
        <v>1994</v>
      </c>
      <c r="L1118" s="112" t="s">
        <v>1073</v>
      </c>
      <c r="M1118" s="112" t="s">
        <v>478</v>
      </c>
      <c r="N1118" s="113">
        <v>46100.726979166669</v>
      </c>
      <c r="O1118" s="114">
        <v>19001244287</v>
      </c>
      <c r="P1118" s="112">
        <v>1.534</v>
      </c>
      <c r="Q1118" s="112" t="s">
        <v>1131</v>
      </c>
      <c r="R1118" s="112" t="s">
        <v>1075</v>
      </c>
      <c r="S1118" s="113">
        <v>46107.575613425928</v>
      </c>
      <c r="T1118" s="112" t="s">
        <v>4966</v>
      </c>
      <c r="U1118" s="112" t="s">
        <v>1065</v>
      </c>
      <c r="V1118" s="112" t="s">
        <v>1066</v>
      </c>
      <c r="W1118" s="112" t="s">
        <v>1066</v>
      </c>
      <c r="X1118" s="112" t="s">
        <v>983</v>
      </c>
      <c r="Y1118" s="112" t="s">
        <v>1066</v>
      </c>
      <c r="Z1118" s="112" t="s">
        <v>1148</v>
      </c>
      <c r="AA1118" s="112" t="s">
        <v>1067</v>
      </c>
      <c r="AB1118" s="112" t="s">
        <v>1066</v>
      </c>
      <c r="AC1118" s="112" t="s">
        <v>92</v>
      </c>
      <c r="AD1118" s="112" t="s">
        <v>1142</v>
      </c>
      <c r="AE1118" s="112" t="s">
        <v>1066</v>
      </c>
      <c r="AF1118" s="112" t="s">
        <v>1066</v>
      </c>
      <c r="AG1118" s="112" t="s">
        <v>1066</v>
      </c>
      <c r="AH1118" s="112" t="s">
        <v>1066</v>
      </c>
      <c r="AI1118" s="112" t="s">
        <v>785</v>
      </c>
      <c r="AJ1118" s="112">
        <v>9289691</v>
      </c>
      <c r="AK1118" s="112" t="s">
        <v>2051</v>
      </c>
      <c r="AL1118" s="112">
        <v>773289</v>
      </c>
      <c r="AM1118" s="112" t="s">
        <v>1066</v>
      </c>
      <c r="AN1118" s="112" t="s">
        <v>1066</v>
      </c>
    </row>
    <row r="1119" spans="1:40" ht="55.5" customHeight="1" x14ac:dyDescent="0.25">
      <c r="A1119" s="111" t="s">
        <v>4967</v>
      </c>
      <c r="B1119" s="112">
        <v>2026</v>
      </c>
      <c r="C1119" s="112" t="s">
        <v>1057</v>
      </c>
      <c r="D1119" s="113">
        <v>46125.584386574075</v>
      </c>
      <c r="E1119" s="112">
        <v>7926253032</v>
      </c>
      <c r="F1119" s="112" t="s">
        <v>1574</v>
      </c>
      <c r="G1119" s="112">
        <v>2</v>
      </c>
      <c r="H1119" s="112">
        <v>7926253032</v>
      </c>
      <c r="I1119" s="112" t="s">
        <v>4968</v>
      </c>
      <c r="J1119" s="112" t="s">
        <v>1066</v>
      </c>
      <c r="K1119" s="112" t="s">
        <v>1125</v>
      </c>
      <c r="L1119" s="112" t="s">
        <v>1061</v>
      </c>
      <c r="M1119" s="112" t="s">
        <v>478</v>
      </c>
      <c r="N1119" s="113">
        <v>46525.584386574075</v>
      </c>
      <c r="O1119" s="114">
        <v>19002720259</v>
      </c>
      <c r="P1119" s="112">
        <v>913</v>
      </c>
      <c r="Q1119" s="112" t="s">
        <v>1062</v>
      </c>
      <c r="R1119" s="112" t="s">
        <v>1063</v>
      </c>
      <c r="S1119" s="113">
        <v>46161.633483796293</v>
      </c>
      <c r="T1119" s="112" t="s">
        <v>4969</v>
      </c>
      <c r="U1119" s="112" t="s">
        <v>1065</v>
      </c>
      <c r="V1119" s="112" t="s">
        <v>1066</v>
      </c>
      <c r="W1119" s="112" t="s">
        <v>1066</v>
      </c>
      <c r="X1119" s="112" t="s">
        <v>1066</v>
      </c>
      <c r="Y1119" s="112" t="s">
        <v>1066</v>
      </c>
      <c r="Z1119" s="112" t="s">
        <v>1066</v>
      </c>
      <c r="AA1119" s="112" t="s">
        <v>1067</v>
      </c>
      <c r="AB1119" s="112" t="s">
        <v>1066</v>
      </c>
      <c r="AC1119" s="112" t="s">
        <v>92</v>
      </c>
      <c r="AD1119" s="112" t="s">
        <v>1066</v>
      </c>
      <c r="AE1119" s="112" t="s">
        <v>1066</v>
      </c>
      <c r="AF1119" s="112" t="s">
        <v>1066</v>
      </c>
      <c r="AG1119" s="112" t="s">
        <v>1066</v>
      </c>
      <c r="AH1119" s="112" t="s">
        <v>1066</v>
      </c>
      <c r="AI1119" s="112" t="s">
        <v>785</v>
      </c>
      <c r="AJ1119" s="112">
        <v>8591262</v>
      </c>
      <c r="AK1119" s="112" t="s">
        <v>469</v>
      </c>
      <c r="AL1119" s="112">
        <v>658739</v>
      </c>
      <c r="AM1119" s="112" t="s">
        <v>1066</v>
      </c>
      <c r="AN1119" s="112" t="s">
        <v>1066</v>
      </c>
    </row>
    <row r="1120" spans="1:40" ht="55.5" customHeight="1" x14ac:dyDescent="0.25">
      <c r="A1120" s="111" t="s">
        <v>4970</v>
      </c>
      <c r="B1120" s="112">
        <v>2026</v>
      </c>
      <c r="C1120" s="112" t="s">
        <v>1213</v>
      </c>
      <c r="D1120" s="113">
        <v>46122.549942129626</v>
      </c>
      <c r="E1120" s="112">
        <v>7934168045</v>
      </c>
      <c r="F1120" s="112" t="s">
        <v>4971</v>
      </c>
      <c r="G1120" s="112">
        <v>2</v>
      </c>
      <c r="H1120" s="112">
        <v>7934168045</v>
      </c>
      <c r="I1120" s="112" t="s">
        <v>4972</v>
      </c>
      <c r="J1120" s="112" t="s">
        <v>1066</v>
      </c>
      <c r="K1120" s="112" t="s">
        <v>1125</v>
      </c>
      <c r="L1120" s="112" t="s">
        <v>1061</v>
      </c>
      <c r="M1120" s="112" t="s">
        <v>478</v>
      </c>
      <c r="N1120" s="113">
        <v>46522.549942129626</v>
      </c>
      <c r="O1120" s="114">
        <v>19002208949</v>
      </c>
      <c r="P1120" s="112">
        <v>2.0059999999999998</v>
      </c>
      <c r="Q1120" s="112" t="s">
        <v>1062</v>
      </c>
      <c r="R1120" s="112" t="s">
        <v>1063</v>
      </c>
      <c r="S1120" s="113">
        <v>46128.503472222219</v>
      </c>
      <c r="T1120" s="112" t="s">
        <v>4973</v>
      </c>
      <c r="U1120" s="112" t="s">
        <v>1065</v>
      </c>
      <c r="V1120" s="112" t="s">
        <v>1066</v>
      </c>
      <c r="W1120" s="112" t="s">
        <v>1066</v>
      </c>
      <c r="X1120" s="112" t="s">
        <v>1066</v>
      </c>
      <c r="Y1120" s="112" t="s">
        <v>1066</v>
      </c>
      <c r="Z1120" s="112" t="s">
        <v>1066</v>
      </c>
      <c r="AA1120" s="112" t="s">
        <v>1067</v>
      </c>
      <c r="AB1120" s="112" t="s">
        <v>1066</v>
      </c>
      <c r="AC1120" s="112" t="s">
        <v>92</v>
      </c>
      <c r="AD1120" s="112" t="s">
        <v>1066</v>
      </c>
      <c r="AE1120" s="112" t="s">
        <v>1066</v>
      </c>
      <c r="AF1120" s="112" t="s">
        <v>1066</v>
      </c>
      <c r="AG1120" s="112" t="s">
        <v>1066</v>
      </c>
      <c r="AH1120" s="112" t="s">
        <v>1066</v>
      </c>
      <c r="AI1120" s="112" t="s">
        <v>785</v>
      </c>
      <c r="AJ1120" s="112">
        <v>9395173</v>
      </c>
      <c r="AK1120" s="112" t="s">
        <v>58</v>
      </c>
      <c r="AL1120" s="112">
        <v>845594</v>
      </c>
      <c r="AM1120" s="112" t="s">
        <v>1066</v>
      </c>
      <c r="AN1120" s="112" t="s">
        <v>1066</v>
      </c>
    </row>
    <row r="1121" spans="1:40" ht="55.5" customHeight="1" x14ac:dyDescent="0.25">
      <c r="A1121" s="111" t="s">
        <v>4974</v>
      </c>
      <c r="B1121" s="112">
        <v>2026</v>
      </c>
      <c r="C1121" s="112" t="s">
        <v>1057</v>
      </c>
      <c r="D1121" s="113">
        <v>46125.614548611113</v>
      </c>
      <c r="E1121" s="112">
        <v>7929531059</v>
      </c>
      <c r="F1121" s="112" t="s">
        <v>2113</v>
      </c>
      <c r="G1121" s="112">
        <v>2</v>
      </c>
      <c r="H1121" s="112">
        <v>7929531059</v>
      </c>
      <c r="I1121" s="112" t="s">
        <v>4975</v>
      </c>
      <c r="J1121" s="112" t="s">
        <v>1066</v>
      </c>
      <c r="K1121" s="112" t="s">
        <v>1125</v>
      </c>
      <c r="L1121" s="112" t="s">
        <v>1061</v>
      </c>
      <c r="M1121" s="112" t="s">
        <v>478</v>
      </c>
      <c r="N1121" s="113">
        <v>46525.614548611113</v>
      </c>
      <c r="O1121" s="114">
        <v>19002209645</v>
      </c>
      <c r="P1121" s="112">
        <v>0</v>
      </c>
      <c r="Q1121" s="112" t="s">
        <v>1062</v>
      </c>
      <c r="R1121" s="112" t="s">
        <v>1063</v>
      </c>
      <c r="S1121" s="113">
        <v>46174.3125</v>
      </c>
      <c r="T1121" s="112" t="s">
        <v>1307</v>
      </c>
      <c r="U1121" s="112" t="s">
        <v>1065</v>
      </c>
      <c r="V1121" s="112" t="s">
        <v>1066</v>
      </c>
      <c r="W1121" s="112" t="s">
        <v>1066</v>
      </c>
      <c r="X1121" s="112" t="s">
        <v>1066</v>
      </c>
      <c r="Y1121" s="112" t="s">
        <v>1066</v>
      </c>
      <c r="Z1121" s="112" t="s">
        <v>1066</v>
      </c>
      <c r="AA1121" s="112" t="s">
        <v>1067</v>
      </c>
      <c r="AB1121" s="112" t="s">
        <v>1066</v>
      </c>
      <c r="AC1121" s="112" t="s">
        <v>92</v>
      </c>
      <c r="AD1121" s="112" t="s">
        <v>1066</v>
      </c>
      <c r="AE1121" s="112" t="s">
        <v>1066</v>
      </c>
      <c r="AF1121" s="112" t="s">
        <v>1066</v>
      </c>
      <c r="AG1121" s="112" t="s">
        <v>1066</v>
      </c>
      <c r="AH1121" s="112" t="s">
        <v>1066</v>
      </c>
      <c r="AI1121" s="112" t="s">
        <v>785</v>
      </c>
      <c r="AJ1121" s="112">
        <v>8858443</v>
      </c>
      <c r="AK1121" s="112" t="s">
        <v>264</v>
      </c>
      <c r="AL1121" s="112">
        <v>793169</v>
      </c>
      <c r="AM1121" s="112" t="s">
        <v>1066</v>
      </c>
      <c r="AN1121" s="112" t="s">
        <v>1066</v>
      </c>
    </row>
    <row r="1122" spans="1:40" ht="55.5" customHeight="1" x14ac:dyDescent="0.25">
      <c r="A1122" s="120" t="s">
        <v>4976</v>
      </c>
      <c r="B1122" s="121">
        <v>2026</v>
      </c>
      <c r="C1122" s="121" t="s">
        <v>4977</v>
      </c>
      <c r="D1122" s="122">
        <v>46097.675243055557</v>
      </c>
      <c r="E1122" s="121">
        <v>8866906016</v>
      </c>
      <c r="F1122" s="121" t="s">
        <v>1654</v>
      </c>
      <c r="G1122" s="121">
        <v>2</v>
      </c>
      <c r="H1122" s="121">
        <v>5800366016</v>
      </c>
      <c r="I1122" s="121" t="s">
        <v>4978</v>
      </c>
      <c r="J1122" s="121" t="s">
        <v>1071</v>
      </c>
      <c r="K1122" s="121" t="s">
        <v>1247</v>
      </c>
      <c r="L1122" s="121" t="s">
        <v>1073</v>
      </c>
      <c r="M1122" s="121" t="s">
        <v>1116</v>
      </c>
      <c r="N1122" s="122">
        <v>46104.657002314816</v>
      </c>
      <c r="O1122" s="123">
        <v>19002682935</v>
      </c>
      <c r="P1122" s="121">
        <v>3.044</v>
      </c>
      <c r="Q1122" s="121" t="s">
        <v>1074</v>
      </c>
      <c r="R1122" s="121" t="s">
        <v>1075</v>
      </c>
      <c r="S1122" s="122">
        <v>46105.487187500003</v>
      </c>
      <c r="T1122" s="121" t="s">
        <v>1066</v>
      </c>
      <c r="U1122" s="121" t="s">
        <v>1066</v>
      </c>
      <c r="V1122" s="121" t="s">
        <v>1066</v>
      </c>
      <c r="W1122" s="121" t="s">
        <v>1066</v>
      </c>
      <c r="X1122" s="121" t="s">
        <v>4979</v>
      </c>
      <c r="Y1122" s="121" t="s">
        <v>1066</v>
      </c>
      <c r="Z1122" s="121" t="s">
        <v>1479</v>
      </c>
      <c r="AA1122" s="121" t="s">
        <v>1067</v>
      </c>
      <c r="AB1122" s="121" t="s">
        <v>1066</v>
      </c>
      <c r="AC1122" s="121" t="s">
        <v>92</v>
      </c>
      <c r="AD1122" s="121" t="s">
        <v>1066</v>
      </c>
      <c r="AE1122" s="121" t="s">
        <v>1066</v>
      </c>
      <c r="AF1122" s="121" t="s">
        <v>1066</v>
      </c>
      <c r="AG1122" s="121" t="s">
        <v>1066</v>
      </c>
      <c r="AH1122" s="121" t="s">
        <v>1066</v>
      </c>
      <c r="AI1122" s="121" t="s">
        <v>785</v>
      </c>
      <c r="AJ1122" s="121">
        <v>9241712</v>
      </c>
      <c r="AK1122" s="121" t="s">
        <v>537</v>
      </c>
      <c r="AL1122" s="121">
        <v>834683</v>
      </c>
      <c r="AM1122" s="121" t="s">
        <v>1066</v>
      </c>
      <c r="AN1122" s="121" t="s">
        <v>1066</v>
      </c>
    </row>
    <row r="1123" spans="1:40" ht="55.5" customHeight="1" x14ac:dyDescent="0.25">
      <c r="A1123" s="115" t="s">
        <v>4980</v>
      </c>
      <c r="B1123" s="116">
        <v>2026</v>
      </c>
      <c r="C1123" s="116" t="s">
        <v>4981</v>
      </c>
      <c r="D1123" s="118">
        <v>46118.670914351853</v>
      </c>
      <c r="E1123" s="116">
        <v>7958324004</v>
      </c>
      <c r="F1123" s="116" t="s">
        <v>716</v>
      </c>
      <c r="G1123" s="116">
        <v>3</v>
      </c>
      <c r="H1123" s="116">
        <v>7958324004</v>
      </c>
      <c r="I1123" s="116" t="s">
        <v>4982</v>
      </c>
      <c r="J1123" s="116" t="s">
        <v>1071</v>
      </c>
      <c r="K1123" s="116" t="s">
        <v>1379</v>
      </c>
      <c r="L1123" s="116" t="s">
        <v>1073</v>
      </c>
      <c r="M1123" s="116" t="s">
        <v>588</v>
      </c>
      <c r="N1123" s="118">
        <v>46123.566793981481</v>
      </c>
      <c r="O1123" s="119">
        <v>19002725697</v>
      </c>
      <c r="P1123" s="116">
        <v>71</v>
      </c>
      <c r="Q1123" s="116" t="s">
        <v>1062</v>
      </c>
      <c r="R1123" s="116" t="s">
        <v>1075</v>
      </c>
      <c r="S1123" s="116" t="s">
        <v>1066</v>
      </c>
      <c r="T1123" s="116" t="s">
        <v>1066</v>
      </c>
      <c r="U1123" s="116" t="s">
        <v>1066</v>
      </c>
      <c r="V1123" s="116" t="s">
        <v>1066</v>
      </c>
      <c r="W1123" s="116" t="s">
        <v>1066</v>
      </c>
      <c r="X1123" s="116" t="s">
        <v>1066</v>
      </c>
      <c r="Y1123" s="116" t="s">
        <v>1066</v>
      </c>
      <c r="Z1123" s="116" t="s">
        <v>1066</v>
      </c>
      <c r="AA1123" s="116" t="s">
        <v>1067</v>
      </c>
      <c r="AB1123" s="116" t="s">
        <v>1066</v>
      </c>
      <c r="AC1123" s="116" t="s">
        <v>92</v>
      </c>
      <c r="AD1123" s="116" t="s">
        <v>1066</v>
      </c>
      <c r="AE1123" s="116" t="s">
        <v>1066</v>
      </c>
      <c r="AF1123" s="116" t="s">
        <v>1066</v>
      </c>
      <c r="AG1123" s="116" t="s">
        <v>1066</v>
      </c>
      <c r="AH1123" s="116" t="s">
        <v>1066</v>
      </c>
      <c r="AI1123" s="116" t="s">
        <v>785</v>
      </c>
      <c r="AJ1123" s="116">
        <v>9202145</v>
      </c>
      <c r="AK1123" s="116" t="s">
        <v>69</v>
      </c>
      <c r="AL1123" s="116">
        <v>798214</v>
      </c>
      <c r="AM1123" s="116" t="s">
        <v>1066</v>
      </c>
      <c r="AN1123" s="116" t="s">
        <v>1066</v>
      </c>
    </row>
    <row r="1124" spans="1:40" ht="55.5" customHeight="1" x14ac:dyDescent="0.25">
      <c r="A1124" s="111" t="s">
        <v>4983</v>
      </c>
      <c r="B1124" s="112">
        <v>2026</v>
      </c>
      <c r="C1124" s="112" t="s">
        <v>1057</v>
      </c>
      <c r="D1124" s="113">
        <v>46125.614548611113</v>
      </c>
      <c r="E1124" s="112">
        <v>7900448083</v>
      </c>
      <c r="F1124" s="112" t="s">
        <v>1090</v>
      </c>
      <c r="G1124" s="112">
        <v>2</v>
      </c>
      <c r="H1124" s="112">
        <v>7900448083</v>
      </c>
      <c r="I1124" s="112" t="s">
        <v>4984</v>
      </c>
      <c r="J1124" s="112" t="s">
        <v>1066</v>
      </c>
      <c r="K1124" s="112" t="s">
        <v>1125</v>
      </c>
      <c r="L1124" s="112" t="s">
        <v>1061</v>
      </c>
      <c r="M1124" s="112" t="s">
        <v>478</v>
      </c>
      <c r="N1124" s="113">
        <v>46525.614548611113</v>
      </c>
      <c r="O1124" s="114">
        <v>19002212242</v>
      </c>
      <c r="P1124" s="112">
        <v>416</v>
      </c>
      <c r="Q1124" s="112" t="s">
        <v>1062</v>
      </c>
      <c r="R1124" s="112" t="s">
        <v>1063</v>
      </c>
      <c r="S1124" s="113">
        <v>46174.3125</v>
      </c>
      <c r="T1124" s="112" t="s">
        <v>1307</v>
      </c>
      <c r="U1124" s="112" t="s">
        <v>1065</v>
      </c>
      <c r="V1124" s="112" t="s">
        <v>1066</v>
      </c>
      <c r="W1124" s="112" t="s">
        <v>1066</v>
      </c>
      <c r="X1124" s="112" t="s">
        <v>1066</v>
      </c>
      <c r="Y1124" s="112" t="s">
        <v>1066</v>
      </c>
      <c r="Z1124" s="112" t="s">
        <v>1066</v>
      </c>
      <c r="AA1124" s="112" t="s">
        <v>1067</v>
      </c>
      <c r="AB1124" s="112" t="s">
        <v>1066</v>
      </c>
      <c r="AC1124" s="112" t="s">
        <v>92</v>
      </c>
      <c r="AD1124" s="112" t="s">
        <v>1066</v>
      </c>
      <c r="AE1124" s="112" t="s">
        <v>1066</v>
      </c>
      <c r="AF1124" s="112" t="s">
        <v>1066</v>
      </c>
      <c r="AG1124" s="112" t="s">
        <v>1066</v>
      </c>
      <c r="AH1124" s="112" t="s">
        <v>1066</v>
      </c>
      <c r="AI1124" s="112" t="s">
        <v>785</v>
      </c>
      <c r="AJ1124" s="112">
        <v>8899168</v>
      </c>
      <c r="AK1124" s="112" t="s">
        <v>519</v>
      </c>
      <c r="AL1124" s="112">
        <v>832002</v>
      </c>
      <c r="AM1124" s="112" t="s">
        <v>1066</v>
      </c>
      <c r="AN1124" s="112" t="s">
        <v>1066</v>
      </c>
    </row>
    <row r="1125" spans="1:40" ht="55.5" customHeight="1" x14ac:dyDescent="0.25">
      <c r="A1125" s="111" t="s">
        <v>4985</v>
      </c>
      <c r="B1125" s="112">
        <v>2026</v>
      </c>
      <c r="C1125" s="112" t="s">
        <v>4986</v>
      </c>
      <c r="D1125" s="113">
        <v>46097.381307870368</v>
      </c>
      <c r="E1125" s="112">
        <v>8803956122</v>
      </c>
      <c r="F1125" s="112" t="s">
        <v>412</v>
      </c>
      <c r="G1125" s="112">
        <v>2</v>
      </c>
      <c r="H1125" s="112">
        <v>7953298122</v>
      </c>
      <c r="I1125" s="112" t="s">
        <v>1473</v>
      </c>
      <c r="J1125" s="112" t="s">
        <v>1082</v>
      </c>
      <c r="K1125" s="112" t="s">
        <v>1083</v>
      </c>
      <c r="L1125" s="112" t="s">
        <v>1084</v>
      </c>
      <c r="M1125" s="112" t="s">
        <v>478</v>
      </c>
      <c r="N1125" s="113">
        <v>46157.381307870368</v>
      </c>
      <c r="O1125" s="114">
        <v>19002744570</v>
      </c>
      <c r="P1125" s="112">
        <v>1.0329999999999999</v>
      </c>
      <c r="Q1125" s="112" t="s">
        <v>1131</v>
      </c>
      <c r="R1125" s="112" t="s">
        <v>1085</v>
      </c>
      <c r="S1125" s="113">
        <v>46181.649305555555</v>
      </c>
      <c r="T1125" s="112" t="s">
        <v>4987</v>
      </c>
      <c r="U1125" s="112" t="s">
        <v>1065</v>
      </c>
      <c r="V1125" s="112" t="s">
        <v>1066</v>
      </c>
      <c r="W1125" s="112" t="s">
        <v>1066</v>
      </c>
      <c r="X1125" s="112" t="s">
        <v>983</v>
      </c>
      <c r="Y1125" s="112" t="s">
        <v>1066</v>
      </c>
      <c r="Z1125" s="112" t="s">
        <v>1066</v>
      </c>
      <c r="AA1125" s="112" t="s">
        <v>1067</v>
      </c>
      <c r="AB1125" s="112" t="s">
        <v>1066</v>
      </c>
      <c r="AC1125" s="112" t="s">
        <v>92</v>
      </c>
      <c r="AD1125" s="112" t="s">
        <v>1066</v>
      </c>
      <c r="AE1125" s="112" t="s">
        <v>1066</v>
      </c>
      <c r="AF1125" s="112" t="s">
        <v>1066</v>
      </c>
      <c r="AG1125" s="112" t="s">
        <v>1066</v>
      </c>
      <c r="AH1125" s="112" t="s">
        <v>1066</v>
      </c>
      <c r="AI1125" s="112" t="s">
        <v>785</v>
      </c>
      <c r="AJ1125" s="112">
        <v>8875975</v>
      </c>
      <c r="AK1125" s="112" t="s">
        <v>264</v>
      </c>
      <c r="AL1125" s="112">
        <v>790188</v>
      </c>
      <c r="AM1125" s="112" t="s">
        <v>1066</v>
      </c>
      <c r="AN1125" s="112" t="s">
        <v>1066</v>
      </c>
    </row>
    <row r="1126" spans="1:40" ht="55.5" customHeight="1" x14ac:dyDescent="0.25">
      <c r="A1126" s="124" t="s">
        <v>4988</v>
      </c>
      <c r="B1126" s="125">
        <v>2026</v>
      </c>
      <c r="C1126" s="125" t="s">
        <v>1449</v>
      </c>
      <c r="D1126" s="126">
        <v>46244.660034722219</v>
      </c>
      <c r="E1126" s="125">
        <v>7924617094</v>
      </c>
      <c r="F1126" s="125" t="s">
        <v>249</v>
      </c>
      <c r="G1126" s="125">
        <v>2</v>
      </c>
      <c r="H1126" s="125">
        <v>7924617094</v>
      </c>
      <c r="I1126" s="125" t="s">
        <v>3603</v>
      </c>
      <c r="J1126" s="125" t="s">
        <v>1066</v>
      </c>
      <c r="K1126" s="125" t="s">
        <v>1125</v>
      </c>
      <c r="L1126" s="125" t="s">
        <v>1061</v>
      </c>
      <c r="M1126" s="125" t="s">
        <v>510</v>
      </c>
      <c r="N1126" s="126">
        <v>46644.660034722219</v>
      </c>
      <c r="O1126" s="127">
        <v>19002206466</v>
      </c>
      <c r="P1126" s="125">
        <v>1.3180000000000001</v>
      </c>
      <c r="Q1126" s="125" t="s">
        <v>1062</v>
      </c>
      <c r="R1126" s="125" t="s">
        <v>1063</v>
      </c>
      <c r="S1126" s="125" t="s">
        <v>1066</v>
      </c>
      <c r="T1126" s="125" t="s">
        <v>4989</v>
      </c>
      <c r="U1126" s="125" t="s">
        <v>1147</v>
      </c>
      <c r="V1126" s="125" t="s">
        <v>1066</v>
      </c>
      <c r="W1126" s="125" t="s">
        <v>1066</v>
      </c>
      <c r="X1126" s="125" t="s">
        <v>1066</v>
      </c>
      <c r="Y1126" s="125" t="s">
        <v>1066</v>
      </c>
      <c r="Z1126" s="125" t="s">
        <v>1066</v>
      </c>
      <c r="AA1126" s="125" t="s">
        <v>1067</v>
      </c>
      <c r="AB1126" s="125" t="s">
        <v>1066</v>
      </c>
      <c r="AC1126" s="125" t="s">
        <v>92</v>
      </c>
      <c r="AD1126" s="125" t="s">
        <v>1066</v>
      </c>
      <c r="AE1126" s="125" t="s">
        <v>1066</v>
      </c>
      <c r="AF1126" s="125" t="s">
        <v>1066</v>
      </c>
      <c r="AG1126" s="125" t="s">
        <v>1066</v>
      </c>
      <c r="AH1126" s="125" t="s">
        <v>1066</v>
      </c>
      <c r="AI1126" s="125" t="s">
        <v>785</v>
      </c>
      <c r="AJ1126" s="125">
        <v>8685208</v>
      </c>
      <c r="AK1126" s="125" t="s">
        <v>224</v>
      </c>
      <c r="AL1126" s="125">
        <v>735437</v>
      </c>
      <c r="AM1126" s="125" t="s">
        <v>1066</v>
      </c>
      <c r="AN1126" s="125" t="s">
        <v>1066</v>
      </c>
    </row>
    <row r="1127" spans="1:40" ht="55.5" customHeight="1" x14ac:dyDescent="0.25">
      <c r="A1127" s="111" t="s">
        <v>4990</v>
      </c>
      <c r="B1127" s="112">
        <v>2026</v>
      </c>
      <c r="C1127" s="112" t="s">
        <v>4991</v>
      </c>
      <c r="D1127" s="113">
        <v>46117.875752314816</v>
      </c>
      <c r="E1127" s="112">
        <v>7936799032</v>
      </c>
      <c r="F1127" s="112" t="s">
        <v>1574</v>
      </c>
      <c r="G1127" s="112">
        <v>3</v>
      </c>
      <c r="H1127" s="112">
        <v>7936799032</v>
      </c>
      <c r="I1127" s="112" t="s">
        <v>4992</v>
      </c>
      <c r="J1127" s="112" t="s">
        <v>1071</v>
      </c>
      <c r="K1127" s="112" t="s">
        <v>2279</v>
      </c>
      <c r="L1127" s="112" t="s">
        <v>1073</v>
      </c>
      <c r="M1127" s="112" t="s">
        <v>478</v>
      </c>
      <c r="N1127" s="113">
        <v>46120.875752314816</v>
      </c>
      <c r="O1127" s="114">
        <v>19002210573</v>
      </c>
      <c r="P1127" s="112">
        <v>112</v>
      </c>
      <c r="Q1127" s="112" t="s">
        <v>1062</v>
      </c>
      <c r="R1127" s="112" t="s">
        <v>1075</v>
      </c>
      <c r="S1127" s="113">
        <v>46154.343923611108</v>
      </c>
      <c r="T1127" s="112" t="s">
        <v>4993</v>
      </c>
      <c r="U1127" s="112" t="s">
        <v>1065</v>
      </c>
      <c r="V1127" s="112" t="s">
        <v>1066</v>
      </c>
      <c r="W1127" s="112" t="s">
        <v>1066</v>
      </c>
      <c r="X1127" s="112" t="s">
        <v>983</v>
      </c>
      <c r="Y1127" s="112" t="s">
        <v>1066</v>
      </c>
      <c r="Z1127" s="112" t="s">
        <v>1318</v>
      </c>
      <c r="AA1127" s="112" t="s">
        <v>1067</v>
      </c>
      <c r="AB1127" s="112" t="s">
        <v>1066</v>
      </c>
      <c r="AC1127" s="112" t="s">
        <v>92</v>
      </c>
      <c r="AD1127" s="112" t="s">
        <v>1066</v>
      </c>
      <c r="AE1127" s="112" t="s">
        <v>1066</v>
      </c>
      <c r="AF1127" s="112" t="s">
        <v>1066</v>
      </c>
      <c r="AG1127" s="112" t="s">
        <v>1066</v>
      </c>
      <c r="AH1127" s="112" t="s">
        <v>1066</v>
      </c>
      <c r="AI1127" s="112" t="s">
        <v>785</v>
      </c>
      <c r="AJ1127" s="112">
        <v>8599150</v>
      </c>
      <c r="AK1127" s="112" t="s">
        <v>469</v>
      </c>
      <c r="AL1127" s="112">
        <v>614171</v>
      </c>
      <c r="AM1127" s="112" t="s">
        <v>1066</v>
      </c>
      <c r="AN1127" s="112" t="s">
        <v>1066</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4CA31-C363-4ED3-A0AE-93265F3F5281}">
  <dimension ref="A1:AA117"/>
  <sheetViews>
    <sheetView workbookViewId="0">
      <selection activeCell="E122" sqref="E122"/>
    </sheetView>
  </sheetViews>
  <sheetFormatPr defaultRowHeight="15" x14ac:dyDescent="0.25"/>
  <cols>
    <col min="1" max="1" width="33.28515625" bestFit="1" customWidth="1"/>
    <col min="2" max="2" width="90.140625" bestFit="1" customWidth="1"/>
    <col min="3" max="4" width="36.140625" customWidth="1"/>
    <col min="5" max="5" width="26" customWidth="1"/>
    <col min="7" max="7" width="29.140625" bestFit="1" customWidth="1"/>
    <col min="8" max="8" width="25.140625" bestFit="1" customWidth="1"/>
    <col min="10" max="10" width="21.5703125" bestFit="1" customWidth="1"/>
    <col min="11" max="11" width="32.7109375" customWidth="1"/>
    <col min="12" max="12" width="56.85546875" bestFit="1" customWidth="1"/>
  </cols>
  <sheetData>
    <row r="1" spans="1:27" x14ac:dyDescent="0.25">
      <c r="A1" t="s">
        <v>4994</v>
      </c>
      <c r="B1" t="s">
        <v>4994</v>
      </c>
      <c r="C1" t="s">
        <v>4995</v>
      </c>
      <c r="D1" t="s">
        <v>4994</v>
      </c>
      <c r="E1" t="s">
        <v>4994</v>
      </c>
      <c r="F1" t="s">
        <v>4994</v>
      </c>
      <c r="G1" t="s">
        <v>4994</v>
      </c>
      <c r="H1" t="s">
        <v>4994</v>
      </c>
      <c r="I1" t="s">
        <v>4994</v>
      </c>
      <c r="J1" t="s">
        <v>4994</v>
      </c>
      <c r="K1" t="s">
        <v>4994</v>
      </c>
      <c r="L1" t="s">
        <v>4994</v>
      </c>
      <c r="M1" t="s">
        <v>4994</v>
      </c>
      <c r="N1" t="s">
        <v>4994</v>
      </c>
      <c r="O1" t="s">
        <v>4994</v>
      </c>
      <c r="P1" t="s">
        <v>4994</v>
      </c>
      <c r="Q1" t="s">
        <v>4994</v>
      </c>
      <c r="R1" t="s">
        <v>4994</v>
      </c>
      <c r="S1" t="s">
        <v>4994</v>
      </c>
      <c r="T1" t="s">
        <v>4994</v>
      </c>
      <c r="U1" t="s">
        <v>4994</v>
      </c>
      <c r="V1" t="s">
        <v>4994</v>
      </c>
      <c r="W1" t="s">
        <v>4994</v>
      </c>
      <c r="X1" t="s">
        <v>4994</v>
      </c>
      <c r="Y1" t="s">
        <v>4994</v>
      </c>
      <c r="Z1" t="s">
        <v>4994</v>
      </c>
      <c r="AA1" t="s">
        <v>4994</v>
      </c>
    </row>
    <row r="2" spans="1:27" x14ac:dyDescent="0.25">
      <c r="E2">
        <v>5800291077</v>
      </c>
      <c r="F2" t="s">
        <v>10</v>
      </c>
      <c r="G2" t="s">
        <v>190</v>
      </c>
      <c r="H2" t="s">
        <v>69</v>
      </c>
      <c r="I2" t="s">
        <v>59</v>
      </c>
      <c r="J2" t="s">
        <v>452</v>
      </c>
      <c r="M2" t="s">
        <v>453</v>
      </c>
      <c r="P2" t="s">
        <v>454</v>
      </c>
      <c r="Q2">
        <v>40</v>
      </c>
      <c r="R2">
        <v>20</v>
      </c>
      <c r="S2">
        <v>20</v>
      </c>
      <c r="T2">
        <v>20</v>
      </c>
      <c r="U2">
        <v>20</v>
      </c>
      <c r="V2" t="s">
        <v>45</v>
      </c>
      <c r="W2" t="s">
        <v>45</v>
      </c>
      <c r="X2" t="s">
        <v>45</v>
      </c>
      <c r="Y2">
        <v>120</v>
      </c>
      <c r="Z2" t="s">
        <v>9</v>
      </c>
      <c r="AA2" t="s">
        <v>455</v>
      </c>
    </row>
    <row r="3" spans="1:27" x14ac:dyDescent="0.25">
      <c r="A3" t="s">
        <v>4996</v>
      </c>
      <c r="B3" t="s">
        <v>4997</v>
      </c>
      <c r="E3">
        <v>5854566043</v>
      </c>
      <c r="F3" t="s">
        <v>10</v>
      </c>
      <c r="G3" t="s">
        <v>49</v>
      </c>
      <c r="H3" t="s">
        <v>50</v>
      </c>
      <c r="I3" t="s">
        <v>51</v>
      </c>
      <c r="J3" t="s">
        <v>875</v>
      </c>
      <c r="K3" t="s">
        <v>513</v>
      </c>
      <c r="L3" t="s">
        <v>4998</v>
      </c>
      <c r="M3" t="s">
        <v>459</v>
      </c>
      <c r="N3" t="s">
        <v>460</v>
      </c>
      <c r="O3">
        <v>1</v>
      </c>
      <c r="P3" t="s">
        <v>4999</v>
      </c>
      <c r="Q3">
        <v>40</v>
      </c>
      <c r="R3">
        <v>20</v>
      </c>
      <c r="S3">
        <v>20</v>
      </c>
      <c r="T3">
        <v>10</v>
      </c>
      <c r="U3">
        <v>20</v>
      </c>
      <c r="V3" t="s">
        <v>45</v>
      </c>
      <c r="W3" t="s">
        <v>45</v>
      </c>
      <c r="X3" t="s">
        <v>45</v>
      </c>
      <c r="Y3">
        <v>110</v>
      </c>
      <c r="Z3" t="s">
        <v>9</v>
      </c>
      <c r="AA3" t="s">
        <v>54</v>
      </c>
    </row>
    <row r="4" spans="1:27" x14ac:dyDescent="0.25">
      <c r="E4">
        <v>5800859011</v>
      </c>
      <c r="F4" t="s">
        <v>10</v>
      </c>
      <c r="G4" t="s">
        <v>462</v>
      </c>
      <c r="H4" t="s">
        <v>106</v>
      </c>
      <c r="I4" t="s">
        <v>59</v>
      </c>
      <c r="J4" t="s">
        <v>951</v>
      </c>
      <c r="K4" t="s">
        <v>513</v>
      </c>
      <c r="L4" t="s">
        <v>5000</v>
      </c>
      <c r="M4" t="s">
        <v>459</v>
      </c>
      <c r="N4" t="s">
        <v>466</v>
      </c>
      <c r="O4">
        <v>1</v>
      </c>
      <c r="P4" t="s">
        <v>5001</v>
      </c>
      <c r="Q4">
        <v>40</v>
      </c>
      <c r="R4">
        <v>20</v>
      </c>
      <c r="S4">
        <v>20</v>
      </c>
      <c r="T4">
        <v>10</v>
      </c>
      <c r="U4">
        <v>20</v>
      </c>
      <c r="V4" t="s">
        <v>45</v>
      </c>
      <c r="W4" t="s">
        <v>45</v>
      </c>
      <c r="X4" t="s">
        <v>45</v>
      </c>
      <c r="Y4">
        <v>110</v>
      </c>
      <c r="Z4" t="s">
        <v>9</v>
      </c>
      <c r="AA4" t="s">
        <v>468</v>
      </c>
    </row>
    <row r="5" spans="1:27" x14ac:dyDescent="0.25">
      <c r="E5">
        <v>5836764032</v>
      </c>
      <c r="F5" t="s">
        <v>10</v>
      </c>
      <c r="G5" t="s">
        <v>469</v>
      </c>
      <c r="H5" t="s">
        <v>470</v>
      </c>
      <c r="I5" t="s">
        <v>42</v>
      </c>
      <c r="J5" t="s">
        <v>452</v>
      </c>
      <c r="M5" t="s">
        <v>453</v>
      </c>
      <c r="P5" t="s">
        <v>454</v>
      </c>
      <c r="Q5">
        <v>40</v>
      </c>
      <c r="R5">
        <v>20</v>
      </c>
      <c r="S5">
        <v>20</v>
      </c>
      <c r="T5">
        <v>10</v>
      </c>
      <c r="U5">
        <v>20</v>
      </c>
      <c r="V5" t="s">
        <v>45</v>
      </c>
      <c r="W5" t="s">
        <v>45</v>
      </c>
      <c r="X5" t="s">
        <v>45</v>
      </c>
      <c r="Y5">
        <v>110</v>
      </c>
      <c r="Z5" t="s">
        <v>9</v>
      </c>
      <c r="AA5" t="s">
        <v>471</v>
      </c>
    </row>
    <row r="6" spans="1:27" x14ac:dyDescent="0.25">
      <c r="E6">
        <v>7923673004</v>
      </c>
      <c r="F6" t="s">
        <v>11</v>
      </c>
      <c r="G6" t="s">
        <v>69</v>
      </c>
      <c r="H6" t="s">
        <v>69</v>
      </c>
      <c r="I6" t="s">
        <v>59</v>
      </c>
      <c r="J6" t="s">
        <v>68</v>
      </c>
      <c r="K6" t="s">
        <v>472</v>
      </c>
      <c r="L6" t="s">
        <v>473</v>
      </c>
      <c r="N6" t="s">
        <v>484</v>
      </c>
      <c r="O6">
        <v>1</v>
      </c>
      <c r="P6" t="s">
        <v>71</v>
      </c>
      <c r="Q6">
        <v>15</v>
      </c>
      <c r="R6">
        <v>20</v>
      </c>
      <c r="S6">
        <v>15</v>
      </c>
      <c r="T6">
        <v>15</v>
      </c>
      <c r="U6">
        <v>15</v>
      </c>
      <c r="V6">
        <v>10</v>
      </c>
      <c r="W6">
        <v>0</v>
      </c>
      <c r="X6">
        <v>15</v>
      </c>
      <c r="Y6">
        <v>105</v>
      </c>
      <c r="Z6" t="s">
        <v>9</v>
      </c>
      <c r="AA6" t="s">
        <v>72</v>
      </c>
    </row>
    <row r="7" spans="1:27" x14ac:dyDescent="0.25">
      <c r="E7">
        <v>7931608059</v>
      </c>
      <c r="F7" t="s">
        <v>11</v>
      </c>
      <c r="G7" t="s">
        <v>74</v>
      </c>
      <c r="H7" t="s">
        <v>74</v>
      </c>
      <c r="I7" t="s">
        <v>51</v>
      </c>
      <c r="J7" t="s">
        <v>73</v>
      </c>
      <c r="K7" t="s">
        <v>472</v>
      </c>
      <c r="N7" t="s">
        <v>476</v>
      </c>
      <c r="O7">
        <v>1</v>
      </c>
      <c r="P7" t="s">
        <v>76</v>
      </c>
      <c r="Q7">
        <v>15</v>
      </c>
      <c r="R7">
        <v>20</v>
      </c>
      <c r="S7">
        <v>15</v>
      </c>
      <c r="T7">
        <v>15</v>
      </c>
      <c r="U7">
        <v>15</v>
      </c>
      <c r="V7">
        <v>10</v>
      </c>
      <c r="W7">
        <v>0</v>
      </c>
      <c r="X7">
        <v>15</v>
      </c>
      <c r="Y7">
        <v>105</v>
      </c>
      <c r="Z7" t="s">
        <v>9</v>
      </c>
      <c r="AA7" t="s">
        <v>77</v>
      </c>
    </row>
    <row r="8" spans="1:27" x14ac:dyDescent="0.25">
      <c r="E8">
        <v>7931610122</v>
      </c>
      <c r="F8" t="s">
        <v>11</v>
      </c>
      <c r="G8" t="s">
        <v>264</v>
      </c>
      <c r="H8" t="s">
        <v>264</v>
      </c>
      <c r="I8" t="s">
        <v>51</v>
      </c>
      <c r="J8" t="s">
        <v>5002</v>
      </c>
      <c r="K8" t="s">
        <v>485</v>
      </c>
      <c r="L8" t="s">
        <v>879</v>
      </c>
      <c r="M8" t="s">
        <v>459</v>
      </c>
      <c r="N8" t="s">
        <v>837</v>
      </c>
      <c r="O8">
        <v>1</v>
      </c>
      <c r="P8" t="s">
        <v>5003</v>
      </c>
      <c r="Q8">
        <v>15</v>
      </c>
      <c r="R8">
        <v>20</v>
      </c>
      <c r="S8">
        <v>15</v>
      </c>
      <c r="T8">
        <v>15</v>
      </c>
      <c r="U8">
        <v>15</v>
      </c>
      <c r="V8">
        <v>10</v>
      </c>
      <c r="W8">
        <v>0</v>
      </c>
      <c r="X8">
        <v>15</v>
      </c>
      <c r="Y8">
        <v>105</v>
      </c>
      <c r="Z8" t="s">
        <v>9</v>
      </c>
      <c r="AA8" t="s">
        <v>481</v>
      </c>
    </row>
    <row r="9" spans="1:27" x14ac:dyDescent="0.25">
      <c r="E9">
        <v>7900648055</v>
      </c>
      <c r="F9" t="s">
        <v>11</v>
      </c>
      <c r="G9" t="s">
        <v>482</v>
      </c>
      <c r="H9" t="s">
        <v>152</v>
      </c>
      <c r="I9" t="s">
        <v>51</v>
      </c>
      <c r="J9" t="s">
        <v>452</v>
      </c>
      <c r="P9" t="s">
        <v>454</v>
      </c>
      <c r="Q9">
        <v>15</v>
      </c>
      <c r="R9">
        <v>20</v>
      </c>
      <c r="S9">
        <v>15</v>
      </c>
      <c r="T9">
        <v>15</v>
      </c>
      <c r="U9">
        <v>15</v>
      </c>
      <c r="V9">
        <v>10</v>
      </c>
      <c r="W9">
        <v>0</v>
      </c>
      <c r="X9">
        <v>15</v>
      </c>
      <c r="Y9">
        <v>105</v>
      </c>
      <c r="Z9" t="s">
        <v>9</v>
      </c>
      <c r="AA9" t="s">
        <v>483</v>
      </c>
    </row>
    <row r="10" spans="1:27" x14ac:dyDescent="0.25">
      <c r="E10">
        <v>7947203070</v>
      </c>
      <c r="F10" t="s">
        <v>11</v>
      </c>
      <c r="G10" t="s">
        <v>87</v>
      </c>
      <c r="H10" t="s">
        <v>74</v>
      </c>
      <c r="I10" t="s">
        <v>51</v>
      </c>
      <c r="J10" t="s">
        <v>86</v>
      </c>
      <c r="K10" t="s">
        <v>472</v>
      </c>
      <c r="L10" t="s">
        <v>473</v>
      </c>
      <c r="N10" t="s">
        <v>484</v>
      </c>
      <c r="O10">
        <v>1</v>
      </c>
      <c r="P10" t="s">
        <v>89</v>
      </c>
      <c r="Q10">
        <v>10</v>
      </c>
      <c r="R10">
        <v>20</v>
      </c>
      <c r="S10">
        <v>15</v>
      </c>
      <c r="T10">
        <v>15</v>
      </c>
      <c r="U10">
        <v>15</v>
      </c>
      <c r="V10">
        <v>10</v>
      </c>
      <c r="W10">
        <v>0</v>
      </c>
      <c r="X10">
        <v>15</v>
      </c>
      <c r="Y10">
        <v>100</v>
      </c>
      <c r="Z10" t="s">
        <v>9</v>
      </c>
      <c r="AA10" t="s">
        <v>90</v>
      </c>
    </row>
    <row r="11" spans="1:27" x14ac:dyDescent="0.25">
      <c r="E11">
        <v>5856070091</v>
      </c>
      <c r="F11" t="s">
        <v>10</v>
      </c>
      <c r="G11" t="s">
        <v>40</v>
      </c>
      <c r="H11" t="s">
        <v>41</v>
      </c>
      <c r="I11" t="s">
        <v>42</v>
      </c>
      <c r="J11" t="s">
        <v>5004</v>
      </c>
      <c r="K11" t="s">
        <v>472</v>
      </c>
      <c r="L11" t="s">
        <v>5005</v>
      </c>
      <c r="N11" t="s">
        <v>487</v>
      </c>
      <c r="O11">
        <v>3</v>
      </c>
      <c r="P11" t="s">
        <v>44</v>
      </c>
      <c r="Q11">
        <v>40</v>
      </c>
      <c r="R11">
        <v>20</v>
      </c>
      <c r="S11">
        <v>20</v>
      </c>
      <c r="T11">
        <v>20</v>
      </c>
      <c r="U11">
        <v>0</v>
      </c>
      <c r="V11" t="s">
        <v>45</v>
      </c>
      <c r="W11" t="s">
        <v>45</v>
      </c>
      <c r="X11" t="s">
        <v>45</v>
      </c>
      <c r="Y11">
        <v>100</v>
      </c>
      <c r="Z11" t="s">
        <v>9</v>
      </c>
      <c r="AA11" t="s">
        <v>46</v>
      </c>
    </row>
    <row r="12" spans="1:27" x14ac:dyDescent="0.25">
      <c r="E12">
        <v>7903569004</v>
      </c>
      <c r="F12" t="s">
        <v>11</v>
      </c>
      <c r="G12" t="s">
        <v>69</v>
      </c>
      <c r="H12" t="s">
        <v>69</v>
      </c>
      <c r="I12" t="s">
        <v>59</v>
      </c>
      <c r="J12" t="s">
        <v>452</v>
      </c>
      <c r="P12" t="s">
        <v>454</v>
      </c>
      <c r="Q12">
        <v>15</v>
      </c>
      <c r="R12">
        <v>20</v>
      </c>
      <c r="S12">
        <v>5</v>
      </c>
      <c r="T12">
        <v>15</v>
      </c>
      <c r="U12">
        <v>15</v>
      </c>
      <c r="V12">
        <v>10</v>
      </c>
      <c r="W12">
        <v>0</v>
      </c>
      <c r="X12">
        <v>15</v>
      </c>
      <c r="Y12">
        <v>95</v>
      </c>
      <c r="Z12" t="s">
        <v>9</v>
      </c>
      <c r="AA12" t="s">
        <v>85</v>
      </c>
    </row>
    <row r="13" spans="1:27" x14ac:dyDescent="0.25">
      <c r="E13">
        <v>7925744087</v>
      </c>
      <c r="F13" t="s">
        <v>11</v>
      </c>
      <c r="G13" t="s">
        <v>105</v>
      </c>
      <c r="H13" t="s">
        <v>106</v>
      </c>
      <c r="I13" t="s">
        <v>59</v>
      </c>
      <c r="J13" t="s">
        <v>104</v>
      </c>
      <c r="K13" t="s">
        <v>472</v>
      </c>
      <c r="L13" t="s">
        <v>488</v>
      </c>
      <c r="N13" t="s">
        <v>489</v>
      </c>
      <c r="O13">
        <v>1</v>
      </c>
      <c r="P13" t="s">
        <v>108</v>
      </c>
      <c r="Q13">
        <v>15</v>
      </c>
      <c r="R13">
        <v>20</v>
      </c>
      <c r="S13">
        <v>5</v>
      </c>
      <c r="T13">
        <v>15</v>
      </c>
      <c r="U13">
        <v>15</v>
      </c>
      <c r="V13">
        <v>10</v>
      </c>
      <c r="W13">
        <v>0</v>
      </c>
      <c r="X13">
        <v>15</v>
      </c>
      <c r="Y13">
        <v>95</v>
      </c>
      <c r="Z13" t="s">
        <v>9</v>
      </c>
      <c r="AA13" t="s">
        <v>109</v>
      </c>
    </row>
    <row r="14" spans="1:27" x14ac:dyDescent="0.25">
      <c r="A14" t="s">
        <v>5006</v>
      </c>
      <c r="B14" t="s">
        <v>5007</v>
      </c>
      <c r="E14" s="33">
        <v>7900117013</v>
      </c>
      <c r="F14" t="s">
        <v>11</v>
      </c>
      <c r="G14" t="s">
        <v>117</v>
      </c>
      <c r="H14" t="s">
        <v>117</v>
      </c>
      <c r="I14" t="s">
        <v>51</v>
      </c>
      <c r="J14" t="s">
        <v>5008</v>
      </c>
      <c r="K14" t="s">
        <v>513</v>
      </c>
      <c r="L14" t="s">
        <v>5009</v>
      </c>
      <c r="M14" t="s">
        <v>459</v>
      </c>
      <c r="N14" t="s">
        <v>484</v>
      </c>
      <c r="O14">
        <v>1</v>
      </c>
      <c r="P14" t="s">
        <v>5010</v>
      </c>
      <c r="Q14">
        <v>15</v>
      </c>
      <c r="R14">
        <v>20</v>
      </c>
      <c r="S14">
        <v>15</v>
      </c>
      <c r="T14">
        <v>15</v>
      </c>
      <c r="U14">
        <v>15</v>
      </c>
      <c r="V14">
        <v>0</v>
      </c>
      <c r="W14">
        <v>0</v>
      </c>
      <c r="X14">
        <v>15</v>
      </c>
      <c r="Y14">
        <v>95</v>
      </c>
      <c r="Z14" t="s">
        <v>9</v>
      </c>
      <c r="AA14" t="s">
        <v>120</v>
      </c>
    </row>
    <row r="15" spans="1:27" x14ac:dyDescent="0.25">
      <c r="E15">
        <v>7929376022</v>
      </c>
      <c r="F15" t="s">
        <v>11</v>
      </c>
      <c r="G15" t="s">
        <v>125</v>
      </c>
      <c r="H15" t="s">
        <v>69</v>
      </c>
      <c r="I15" t="s">
        <v>59</v>
      </c>
      <c r="J15" t="s">
        <v>490</v>
      </c>
      <c r="K15" t="s">
        <v>513</v>
      </c>
      <c r="L15" t="s">
        <v>5000</v>
      </c>
      <c r="M15" t="s">
        <v>459</v>
      </c>
      <c r="N15" t="s">
        <v>475</v>
      </c>
      <c r="O15">
        <v>1</v>
      </c>
      <c r="P15" t="s">
        <v>493</v>
      </c>
      <c r="Q15">
        <v>15</v>
      </c>
      <c r="R15">
        <v>20</v>
      </c>
      <c r="S15">
        <v>5</v>
      </c>
      <c r="T15">
        <v>15</v>
      </c>
      <c r="U15">
        <v>15</v>
      </c>
      <c r="V15">
        <v>10</v>
      </c>
      <c r="W15">
        <v>0</v>
      </c>
      <c r="X15">
        <v>15</v>
      </c>
      <c r="Y15">
        <v>95</v>
      </c>
      <c r="Z15" t="s">
        <v>9</v>
      </c>
      <c r="AA15" t="s">
        <v>127</v>
      </c>
    </row>
    <row r="16" spans="1:27" x14ac:dyDescent="0.25">
      <c r="E16">
        <v>7908705049</v>
      </c>
      <c r="F16" t="s">
        <v>11</v>
      </c>
      <c r="G16" t="s">
        <v>64</v>
      </c>
      <c r="H16" t="s">
        <v>41</v>
      </c>
      <c r="I16" t="s">
        <v>42</v>
      </c>
      <c r="J16" t="s">
        <v>63</v>
      </c>
      <c r="K16" t="s">
        <v>485</v>
      </c>
      <c r="L16" t="s">
        <v>5011</v>
      </c>
      <c r="M16" t="s">
        <v>459</v>
      </c>
      <c r="N16" t="s">
        <v>475</v>
      </c>
      <c r="O16">
        <v>1</v>
      </c>
      <c r="P16" t="s">
        <v>66</v>
      </c>
      <c r="Q16">
        <v>15</v>
      </c>
      <c r="R16">
        <v>20</v>
      </c>
      <c r="S16">
        <v>5</v>
      </c>
      <c r="T16">
        <v>15</v>
      </c>
      <c r="U16">
        <v>15</v>
      </c>
      <c r="V16">
        <v>0</v>
      </c>
      <c r="W16">
        <v>10</v>
      </c>
      <c r="X16">
        <v>15</v>
      </c>
      <c r="Y16">
        <v>95</v>
      </c>
      <c r="Z16" t="s">
        <v>9</v>
      </c>
      <c r="AA16" t="s">
        <v>67</v>
      </c>
    </row>
    <row r="17" spans="1:27" x14ac:dyDescent="0.25">
      <c r="A17" t="s">
        <v>4996</v>
      </c>
      <c r="B17" t="s">
        <v>5012</v>
      </c>
      <c r="E17">
        <v>7933726256</v>
      </c>
      <c r="F17" t="s">
        <v>11</v>
      </c>
      <c r="G17" t="s">
        <v>134</v>
      </c>
      <c r="H17" t="s">
        <v>135</v>
      </c>
      <c r="I17" t="s">
        <v>51</v>
      </c>
      <c r="J17" t="s">
        <v>495</v>
      </c>
      <c r="K17" t="s">
        <v>457</v>
      </c>
      <c r="L17" t="s">
        <v>5013</v>
      </c>
      <c r="M17" t="s">
        <v>459</v>
      </c>
      <c r="N17" t="s">
        <v>497</v>
      </c>
      <c r="O17">
        <v>1</v>
      </c>
      <c r="P17" t="s">
        <v>498</v>
      </c>
      <c r="Q17">
        <v>15</v>
      </c>
      <c r="R17">
        <v>10</v>
      </c>
      <c r="S17">
        <v>15</v>
      </c>
      <c r="T17">
        <v>15</v>
      </c>
      <c r="U17">
        <v>15</v>
      </c>
      <c r="V17">
        <v>10</v>
      </c>
      <c r="W17">
        <v>0</v>
      </c>
      <c r="X17">
        <v>15</v>
      </c>
      <c r="Y17">
        <v>95</v>
      </c>
      <c r="Z17" t="s">
        <v>9</v>
      </c>
      <c r="AA17" t="s">
        <v>138</v>
      </c>
    </row>
    <row r="18" spans="1:27" x14ac:dyDescent="0.25">
      <c r="E18">
        <v>7933766059</v>
      </c>
      <c r="F18" t="s">
        <v>11</v>
      </c>
      <c r="G18" t="s">
        <v>74</v>
      </c>
      <c r="H18" t="s">
        <v>74</v>
      </c>
      <c r="I18" t="s">
        <v>51</v>
      </c>
      <c r="J18" t="s">
        <v>5014</v>
      </c>
      <c r="K18" t="s">
        <v>485</v>
      </c>
      <c r="L18" t="s">
        <v>5015</v>
      </c>
      <c r="M18" t="s">
        <v>459</v>
      </c>
      <c r="N18" t="s">
        <v>497</v>
      </c>
      <c r="O18">
        <v>1</v>
      </c>
      <c r="P18" t="s">
        <v>5016</v>
      </c>
      <c r="Q18">
        <v>15</v>
      </c>
      <c r="R18">
        <v>20</v>
      </c>
      <c r="S18">
        <v>5</v>
      </c>
      <c r="T18">
        <v>15</v>
      </c>
      <c r="U18">
        <v>15</v>
      </c>
      <c r="V18">
        <v>0</v>
      </c>
      <c r="W18">
        <v>10</v>
      </c>
      <c r="X18">
        <v>15</v>
      </c>
      <c r="Y18">
        <v>95</v>
      </c>
      <c r="Z18" t="s">
        <v>9</v>
      </c>
      <c r="AA18" t="s">
        <v>501</v>
      </c>
    </row>
    <row r="19" spans="1:27" x14ac:dyDescent="0.25">
      <c r="A19" t="s">
        <v>4996</v>
      </c>
      <c r="B19" t="s">
        <v>5017</v>
      </c>
      <c r="E19">
        <v>7900594026</v>
      </c>
      <c r="F19" t="s">
        <v>11</v>
      </c>
      <c r="G19" t="s">
        <v>135</v>
      </c>
      <c r="H19" t="s">
        <v>135</v>
      </c>
      <c r="I19" t="s">
        <v>51</v>
      </c>
      <c r="J19" t="s">
        <v>5018</v>
      </c>
      <c r="K19" t="s">
        <v>485</v>
      </c>
      <c r="L19" t="s">
        <v>5019</v>
      </c>
      <c r="M19" t="s">
        <v>459</v>
      </c>
      <c r="N19" t="s">
        <v>475</v>
      </c>
      <c r="O19">
        <v>1</v>
      </c>
      <c r="P19" t="s">
        <v>5020</v>
      </c>
      <c r="Q19">
        <v>15</v>
      </c>
      <c r="R19">
        <v>20</v>
      </c>
      <c r="S19">
        <v>15</v>
      </c>
      <c r="T19">
        <v>15</v>
      </c>
      <c r="U19">
        <v>15</v>
      </c>
      <c r="V19">
        <v>0</v>
      </c>
      <c r="W19">
        <v>0</v>
      </c>
      <c r="X19">
        <v>15</v>
      </c>
      <c r="Y19">
        <v>95</v>
      </c>
      <c r="Z19" t="s">
        <v>9</v>
      </c>
      <c r="AA19" t="s">
        <v>145</v>
      </c>
    </row>
    <row r="20" spans="1:27" x14ac:dyDescent="0.25">
      <c r="E20">
        <v>7921040031</v>
      </c>
      <c r="F20" t="s">
        <v>11</v>
      </c>
      <c r="G20" t="s">
        <v>502</v>
      </c>
      <c r="H20" t="s">
        <v>100</v>
      </c>
      <c r="I20" t="s">
        <v>51</v>
      </c>
      <c r="J20" t="s">
        <v>452</v>
      </c>
      <c r="M20" t="s">
        <v>453</v>
      </c>
      <c r="P20" t="s">
        <v>454</v>
      </c>
      <c r="Q20">
        <v>15</v>
      </c>
      <c r="R20">
        <v>20</v>
      </c>
      <c r="S20">
        <v>5</v>
      </c>
      <c r="T20">
        <v>15</v>
      </c>
      <c r="U20">
        <v>15</v>
      </c>
      <c r="V20">
        <v>10</v>
      </c>
      <c r="W20">
        <v>0</v>
      </c>
      <c r="X20">
        <v>15</v>
      </c>
      <c r="Y20">
        <v>95</v>
      </c>
      <c r="Z20" t="s">
        <v>9</v>
      </c>
      <c r="AA20" t="s">
        <v>503</v>
      </c>
    </row>
    <row r="21" spans="1:27" x14ac:dyDescent="0.25">
      <c r="E21">
        <v>7957620015</v>
      </c>
      <c r="F21" t="s">
        <v>11</v>
      </c>
      <c r="G21" t="s">
        <v>288</v>
      </c>
      <c r="H21" t="s">
        <v>106</v>
      </c>
      <c r="I21" t="s">
        <v>59</v>
      </c>
      <c r="J21" t="s">
        <v>452</v>
      </c>
      <c r="M21" t="s">
        <v>453</v>
      </c>
      <c r="P21" t="s">
        <v>454</v>
      </c>
      <c r="Q21">
        <v>15</v>
      </c>
      <c r="R21">
        <v>20</v>
      </c>
      <c r="S21">
        <v>15</v>
      </c>
      <c r="T21">
        <v>15</v>
      </c>
      <c r="U21">
        <v>15</v>
      </c>
      <c r="V21">
        <v>0</v>
      </c>
      <c r="W21">
        <v>0</v>
      </c>
      <c r="X21">
        <v>15</v>
      </c>
      <c r="Y21">
        <v>95</v>
      </c>
      <c r="Z21" t="s">
        <v>9</v>
      </c>
      <c r="AA21" t="s">
        <v>504</v>
      </c>
    </row>
    <row r="22" spans="1:27" x14ac:dyDescent="0.25">
      <c r="A22" t="s">
        <v>4996</v>
      </c>
      <c r="B22" t="s">
        <v>5021</v>
      </c>
      <c r="E22">
        <v>7927413001</v>
      </c>
      <c r="F22" t="s">
        <v>11</v>
      </c>
      <c r="G22" t="s">
        <v>50</v>
      </c>
      <c r="H22" t="s">
        <v>50</v>
      </c>
      <c r="I22" t="s">
        <v>51</v>
      </c>
      <c r="J22" t="s">
        <v>5022</v>
      </c>
      <c r="K22" t="s">
        <v>472</v>
      </c>
      <c r="L22" t="s">
        <v>473</v>
      </c>
      <c r="N22" t="s">
        <v>475</v>
      </c>
      <c r="O22">
        <v>1</v>
      </c>
      <c r="P22" t="s">
        <v>5023</v>
      </c>
      <c r="Q22">
        <v>15</v>
      </c>
      <c r="R22">
        <v>5</v>
      </c>
      <c r="S22">
        <v>15</v>
      </c>
      <c r="T22">
        <v>15</v>
      </c>
      <c r="U22">
        <v>15</v>
      </c>
      <c r="V22">
        <v>10</v>
      </c>
      <c r="W22">
        <v>0</v>
      </c>
      <c r="X22">
        <v>15</v>
      </c>
      <c r="Y22">
        <v>90</v>
      </c>
      <c r="Z22" t="s">
        <v>9</v>
      </c>
      <c r="AA22" t="s">
        <v>162</v>
      </c>
    </row>
    <row r="23" spans="1:27" x14ac:dyDescent="0.25">
      <c r="A23" t="s">
        <v>5006</v>
      </c>
      <c r="B23" s="7" t="s">
        <v>5024</v>
      </c>
      <c r="E23">
        <v>7908686014</v>
      </c>
      <c r="F23" t="s">
        <v>11</v>
      </c>
      <c r="G23" t="s">
        <v>164</v>
      </c>
      <c r="H23" t="s">
        <v>117</v>
      </c>
      <c r="I23" t="s">
        <v>51</v>
      </c>
      <c r="J23" t="s">
        <v>505</v>
      </c>
      <c r="K23" t="s">
        <v>485</v>
      </c>
      <c r="L23" t="s">
        <v>879</v>
      </c>
      <c r="M23" t="s">
        <v>459</v>
      </c>
      <c r="N23" t="s">
        <v>508</v>
      </c>
      <c r="O23">
        <v>1</v>
      </c>
      <c r="P23" t="s">
        <v>509</v>
      </c>
      <c r="Q23">
        <v>15</v>
      </c>
      <c r="R23">
        <v>20</v>
      </c>
      <c r="S23">
        <v>0</v>
      </c>
      <c r="T23">
        <v>15</v>
      </c>
      <c r="U23">
        <v>15</v>
      </c>
      <c r="V23">
        <v>10</v>
      </c>
      <c r="W23">
        <v>0</v>
      </c>
      <c r="X23">
        <v>15</v>
      </c>
      <c r="Y23">
        <v>90</v>
      </c>
      <c r="Z23" t="s">
        <v>9</v>
      </c>
      <c r="AA23" t="s">
        <v>167</v>
      </c>
    </row>
    <row r="24" spans="1:27" x14ac:dyDescent="0.25">
      <c r="A24" t="s">
        <v>4996</v>
      </c>
      <c r="B24" t="s">
        <v>654</v>
      </c>
      <c r="E24">
        <v>5800440256</v>
      </c>
      <c r="F24" t="s">
        <v>10</v>
      </c>
      <c r="G24" t="s">
        <v>134</v>
      </c>
      <c r="H24" t="s">
        <v>135</v>
      </c>
      <c r="I24" t="s">
        <v>51</v>
      </c>
      <c r="J24" t="s">
        <v>452</v>
      </c>
      <c r="P24" t="s">
        <v>454</v>
      </c>
      <c r="Q24">
        <v>20</v>
      </c>
      <c r="R24">
        <v>20</v>
      </c>
      <c r="S24">
        <v>20</v>
      </c>
      <c r="T24">
        <v>10</v>
      </c>
      <c r="U24">
        <v>20</v>
      </c>
      <c r="V24" t="s">
        <v>45</v>
      </c>
      <c r="W24" t="s">
        <v>45</v>
      </c>
      <c r="X24" t="s">
        <v>45</v>
      </c>
      <c r="Y24">
        <v>90</v>
      </c>
      <c r="Z24" t="s">
        <v>9</v>
      </c>
      <c r="AA24" t="s">
        <v>175</v>
      </c>
    </row>
    <row r="25" spans="1:27" x14ac:dyDescent="0.25">
      <c r="E25">
        <v>7943790134</v>
      </c>
      <c r="F25" t="s">
        <v>11</v>
      </c>
      <c r="G25" t="s">
        <v>177</v>
      </c>
      <c r="H25" t="s">
        <v>58</v>
      </c>
      <c r="I25" t="s">
        <v>59</v>
      </c>
      <c r="J25" t="s">
        <v>176</v>
      </c>
      <c r="K25" t="s">
        <v>464</v>
      </c>
      <c r="M25" t="s">
        <v>459</v>
      </c>
      <c r="N25" t="s">
        <v>508</v>
      </c>
      <c r="O25">
        <v>1</v>
      </c>
      <c r="P25" t="s">
        <v>178</v>
      </c>
      <c r="Q25">
        <v>15</v>
      </c>
      <c r="R25">
        <v>10</v>
      </c>
      <c r="S25">
        <v>5</v>
      </c>
      <c r="T25">
        <v>15</v>
      </c>
      <c r="U25">
        <v>15</v>
      </c>
      <c r="V25">
        <v>10</v>
      </c>
      <c r="W25">
        <v>0</v>
      </c>
      <c r="X25">
        <v>15</v>
      </c>
      <c r="Y25">
        <v>85</v>
      </c>
      <c r="Z25" t="s">
        <v>9</v>
      </c>
      <c r="AA25" t="s">
        <v>179</v>
      </c>
    </row>
    <row r="26" spans="1:27" x14ac:dyDescent="0.25">
      <c r="A26" t="s">
        <v>4996</v>
      </c>
      <c r="B26" t="s">
        <v>5025</v>
      </c>
      <c r="E26">
        <v>7900453110</v>
      </c>
      <c r="F26" t="s">
        <v>11</v>
      </c>
      <c r="G26" t="s">
        <v>185</v>
      </c>
      <c r="H26" t="s">
        <v>50</v>
      </c>
      <c r="I26" t="s">
        <v>51</v>
      </c>
      <c r="J26" t="s">
        <v>184</v>
      </c>
      <c r="K26" t="s">
        <v>472</v>
      </c>
      <c r="L26" t="s">
        <v>5026</v>
      </c>
      <c r="N26" t="s">
        <v>508</v>
      </c>
      <c r="O26">
        <v>1</v>
      </c>
      <c r="P26" t="s">
        <v>187</v>
      </c>
      <c r="Q26">
        <v>15</v>
      </c>
      <c r="R26">
        <v>10</v>
      </c>
      <c r="S26">
        <v>5</v>
      </c>
      <c r="T26">
        <v>15</v>
      </c>
      <c r="U26">
        <v>15</v>
      </c>
      <c r="V26">
        <v>10</v>
      </c>
      <c r="W26">
        <v>0</v>
      </c>
      <c r="X26">
        <v>15</v>
      </c>
      <c r="Y26">
        <v>85</v>
      </c>
      <c r="Z26" t="s">
        <v>9</v>
      </c>
      <c r="AA26" t="s">
        <v>188</v>
      </c>
    </row>
    <row r="27" spans="1:27" x14ac:dyDescent="0.25">
      <c r="E27">
        <v>7925871077</v>
      </c>
      <c r="F27" t="s">
        <v>11</v>
      </c>
      <c r="G27" t="s">
        <v>190</v>
      </c>
      <c r="H27" t="s">
        <v>69</v>
      </c>
      <c r="I27" t="s">
        <v>59</v>
      </c>
      <c r="J27" t="s">
        <v>189</v>
      </c>
      <c r="K27" t="s">
        <v>5027</v>
      </c>
      <c r="N27" t="s">
        <v>508</v>
      </c>
      <c r="O27">
        <v>1</v>
      </c>
      <c r="P27" t="s">
        <v>512</v>
      </c>
      <c r="Q27">
        <v>15</v>
      </c>
      <c r="R27">
        <v>10</v>
      </c>
      <c r="S27">
        <v>15</v>
      </c>
      <c r="T27">
        <v>15</v>
      </c>
      <c r="U27">
        <v>15</v>
      </c>
      <c r="V27">
        <v>10</v>
      </c>
      <c r="W27">
        <v>0</v>
      </c>
      <c r="X27">
        <v>0</v>
      </c>
      <c r="Y27">
        <v>80</v>
      </c>
      <c r="Z27" t="s">
        <v>9</v>
      </c>
      <c r="AA27" t="s">
        <v>193</v>
      </c>
    </row>
    <row r="28" spans="1:27" x14ac:dyDescent="0.25">
      <c r="A28" t="s">
        <v>4996</v>
      </c>
      <c r="B28" t="s">
        <v>5028</v>
      </c>
      <c r="E28">
        <v>5803327001</v>
      </c>
      <c r="F28" t="s">
        <v>10</v>
      </c>
      <c r="G28" t="s">
        <v>50</v>
      </c>
      <c r="H28" t="s">
        <v>50</v>
      </c>
      <c r="I28" t="s">
        <v>51</v>
      </c>
      <c r="J28" t="s">
        <v>5029</v>
      </c>
      <c r="K28" t="s">
        <v>5030</v>
      </c>
      <c r="L28" t="s">
        <v>5031</v>
      </c>
      <c r="N28" t="s">
        <v>515</v>
      </c>
      <c r="O28">
        <v>1</v>
      </c>
      <c r="P28" t="s">
        <v>201</v>
      </c>
      <c r="Q28">
        <v>40</v>
      </c>
      <c r="R28">
        <v>0</v>
      </c>
      <c r="S28">
        <v>0</v>
      </c>
      <c r="T28">
        <v>20</v>
      </c>
      <c r="U28">
        <v>20</v>
      </c>
      <c r="V28" t="s">
        <v>45</v>
      </c>
      <c r="W28" t="s">
        <v>45</v>
      </c>
      <c r="X28" t="s">
        <v>45</v>
      </c>
      <c r="Y28">
        <v>80</v>
      </c>
      <c r="Z28" t="s">
        <v>13</v>
      </c>
      <c r="AA28" t="s">
        <v>202</v>
      </c>
    </row>
    <row r="29" spans="1:27" x14ac:dyDescent="0.25">
      <c r="E29">
        <v>7900230155</v>
      </c>
      <c r="F29" t="s">
        <v>11</v>
      </c>
      <c r="G29" t="s">
        <v>204</v>
      </c>
      <c r="H29" t="s">
        <v>94</v>
      </c>
      <c r="I29" t="s">
        <v>59</v>
      </c>
      <c r="J29" t="s">
        <v>516</v>
      </c>
      <c r="K29" t="s">
        <v>457</v>
      </c>
      <c r="M29" t="s">
        <v>459</v>
      </c>
      <c r="N29" t="s">
        <v>517</v>
      </c>
      <c r="O29">
        <v>1</v>
      </c>
      <c r="P29" t="s">
        <v>518</v>
      </c>
      <c r="Q29">
        <v>15</v>
      </c>
      <c r="R29">
        <v>20</v>
      </c>
      <c r="S29">
        <v>5</v>
      </c>
      <c r="T29">
        <v>15</v>
      </c>
      <c r="U29">
        <v>0</v>
      </c>
      <c r="V29">
        <v>10</v>
      </c>
      <c r="W29">
        <v>0</v>
      </c>
      <c r="X29">
        <v>15</v>
      </c>
      <c r="Y29">
        <v>80</v>
      </c>
      <c r="Z29" t="s">
        <v>9</v>
      </c>
      <c r="AA29" t="s">
        <v>207</v>
      </c>
    </row>
    <row r="30" spans="1:27" x14ac:dyDescent="0.25">
      <c r="E30">
        <v>7900543083</v>
      </c>
      <c r="F30" t="s">
        <v>11</v>
      </c>
      <c r="G30" t="s">
        <v>519</v>
      </c>
      <c r="H30" t="s">
        <v>74</v>
      </c>
      <c r="I30" t="s">
        <v>51</v>
      </c>
      <c r="J30" t="s">
        <v>452</v>
      </c>
      <c r="M30" t="s">
        <v>453</v>
      </c>
      <c r="P30" t="s">
        <v>454</v>
      </c>
      <c r="Q30">
        <v>15</v>
      </c>
      <c r="R30">
        <v>20</v>
      </c>
      <c r="S30">
        <v>5</v>
      </c>
      <c r="T30">
        <v>15</v>
      </c>
      <c r="U30">
        <v>0</v>
      </c>
      <c r="V30">
        <v>0</v>
      </c>
      <c r="W30">
        <v>10</v>
      </c>
      <c r="X30">
        <v>15</v>
      </c>
      <c r="Y30">
        <v>80</v>
      </c>
      <c r="Z30" t="s">
        <v>9</v>
      </c>
      <c r="AA30" t="s">
        <v>520</v>
      </c>
    </row>
    <row r="31" spans="1:27" x14ac:dyDescent="0.25">
      <c r="E31">
        <v>7900930040</v>
      </c>
      <c r="F31" t="s">
        <v>11</v>
      </c>
      <c r="G31" t="s">
        <v>521</v>
      </c>
      <c r="H31" t="s">
        <v>69</v>
      </c>
      <c r="I31" t="s">
        <v>59</v>
      </c>
      <c r="J31" t="s">
        <v>452</v>
      </c>
      <c r="M31" t="s">
        <v>453</v>
      </c>
      <c r="P31" t="s">
        <v>454</v>
      </c>
      <c r="Q31">
        <v>15</v>
      </c>
      <c r="R31">
        <v>20</v>
      </c>
      <c r="S31">
        <v>5</v>
      </c>
      <c r="T31">
        <v>15</v>
      </c>
      <c r="U31">
        <v>0</v>
      </c>
      <c r="V31">
        <v>0</v>
      </c>
      <c r="W31">
        <v>10</v>
      </c>
      <c r="X31">
        <v>15</v>
      </c>
      <c r="Y31">
        <v>80</v>
      </c>
      <c r="Z31" t="s">
        <v>9</v>
      </c>
      <c r="AA31" t="s">
        <v>522</v>
      </c>
    </row>
    <row r="32" spans="1:27" x14ac:dyDescent="0.25">
      <c r="E32">
        <v>7931383086</v>
      </c>
      <c r="F32" t="s">
        <v>11</v>
      </c>
      <c r="G32" t="s">
        <v>523</v>
      </c>
      <c r="H32" t="s">
        <v>152</v>
      </c>
      <c r="I32" t="s">
        <v>51</v>
      </c>
      <c r="J32" t="s">
        <v>452</v>
      </c>
      <c r="M32" t="s">
        <v>453</v>
      </c>
      <c r="P32" t="s">
        <v>454</v>
      </c>
      <c r="Q32">
        <v>15</v>
      </c>
      <c r="R32">
        <v>20</v>
      </c>
      <c r="S32">
        <v>5</v>
      </c>
      <c r="T32">
        <v>15</v>
      </c>
      <c r="U32">
        <v>0</v>
      </c>
      <c r="V32">
        <v>10</v>
      </c>
      <c r="W32">
        <v>0</v>
      </c>
      <c r="X32">
        <v>15</v>
      </c>
      <c r="Y32">
        <v>80</v>
      </c>
      <c r="Z32" t="s">
        <v>9</v>
      </c>
      <c r="AA32" t="s">
        <v>524</v>
      </c>
    </row>
    <row r="33" spans="1:27" x14ac:dyDescent="0.25">
      <c r="A33" t="s">
        <v>4996</v>
      </c>
      <c r="B33" t="s">
        <v>5021</v>
      </c>
      <c r="E33">
        <v>7908302256</v>
      </c>
      <c r="F33" t="s">
        <v>11</v>
      </c>
      <c r="G33" t="s">
        <v>134</v>
      </c>
      <c r="H33" t="s">
        <v>135</v>
      </c>
      <c r="I33" t="s">
        <v>51</v>
      </c>
      <c r="J33" t="s">
        <v>452</v>
      </c>
      <c r="K33" t="s">
        <v>5027</v>
      </c>
      <c r="L33" t="s">
        <v>5032</v>
      </c>
      <c r="P33" t="s">
        <v>454</v>
      </c>
      <c r="Q33">
        <v>5</v>
      </c>
      <c r="R33">
        <v>10</v>
      </c>
      <c r="S33">
        <v>5</v>
      </c>
      <c r="T33">
        <v>15</v>
      </c>
      <c r="U33">
        <v>15</v>
      </c>
      <c r="V33">
        <v>10</v>
      </c>
      <c r="W33">
        <v>0</v>
      </c>
      <c r="X33">
        <v>15</v>
      </c>
      <c r="Y33">
        <v>75</v>
      </c>
      <c r="Z33" t="s">
        <v>13</v>
      </c>
      <c r="AA33" t="s">
        <v>528</v>
      </c>
    </row>
    <row r="34" spans="1:27" x14ac:dyDescent="0.25">
      <c r="E34">
        <v>5800371025</v>
      </c>
      <c r="F34" t="s">
        <v>10</v>
      </c>
      <c r="G34" t="s">
        <v>93</v>
      </c>
      <c r="H34" t="s">
        <v>94</v>
      </c>
      <c r="I34" t="s">
        <v>59</v>
      </c>
      <c r="J34" t="s">
        <v>963</v>
      </c>
      <c r="K34" t="s">
        <v>513</v>
      </c>
      <c r="L34" t="s">
        <v>5033</v>
      </c>
      <c r="M34" t="s">
        <v>459</v>
      </c>
      <c r="N34" t="s">
        <v>484</v>
      </c>
      <c r="O34">
        <v>1</v>
      </c>
      <c r="P34" t="s">
        <v>5034</v>
      </c>
      <c r="Q34">
        <v>0</v>
      </c>
      <c r="R34">
        <v>20</v>
      </c>
      <c r="S34">
        <v>20</v>
      </c>
      <c r="T34">
        <v>10</v>
      </c>
      <c r="U34">
        <v>20</v>
      </c>
      <c r="V34" t="s">
        <v>45</v>
      </c>
      <c r="W34" t="s">
        <v>45</v>
      </c>
      <c r="X34" t="s">
        <v>45</v>
      </c>
      <c r="Y34">
        <v>70</v>
      </c>
      <c r="Z34" t="s">
        <v>13</v>
      </c>
      <c r="AA34" t="s">
        <v>97</v>
      </c>
    </row>
    <row r="35" spans="1:27" x14ac:dyDescent="0.25">
      <c r="A35" t="s">
        <v>5006</v>
      </c>
      <c r="B35" t="s">
        <v>5035</v>
      </c>
      <c r="E35">
        <v>7926089013</v>
      </c>
      <c r="F35" t="s">
        <v>11</v>
      </c>
      <c r="G35" t="s">
        <v>117</v>
      </c>
      <c r="H35" t="s">
        <v>117</v>
      </c>
      <c r="I35" t="s">
        <v>51</v>
      </c>
      <c r="J35" t="s">
        <v>218</v>
      </c>
      <c r="K35" t="s">
        <v>472</v>
      </c>
      <c r="N35" t="s">
        <v>508</v>
      </c>
      <c r="O35">
        <v>1</v>
      </c>
      <c r="P35" t="s">
        <v>220</v>
      </c>
      <c r="Q35">
        <v>15</v>
      </c>
      <c r="R35">
        <v>10</v>
      </c>
      <c r="S35">
        <v>5</v>
      </c>
      <c r="T35">
        <v>15</v>
      </c>
      <c r="U35">
        <v>15</v>
      </c>
      <c r="V35">
        <v>10</v>
      </c>
      <c r="W35">
        <v>0</v>
      </c>
      <c r="X35">
        <v>0</v>
      </c>
      <c r="Y35">
        <v>70</v>
      </c>
      <c r="Z35" t="s">
        <v>13</v>
      </c>
      <c r="AA35" t="s">
        <v>221</v>
      </c>
    </row>
    <row r="36" spans="1:27" x14ac:dyDescent="0.25">
      <c r="E36">
        <v>7925087021</v>
      </c>
      <c r="F36" t="s">
        <v>11</v>
      </c>
      <c r="G36" t="s">
        <v>223</v>
      </c>
      <c r="H36" t="s">
        <v>224</v>
      </c>
      <c r="I36" t="s">
        <v>42</v>
      </c>
      <c r="J36" t="s">
        <v>5036</v>
      </c>
      <c r="K36" t="s">
        <v>485</v>
      </c>
      <c r="L36" t="s">
        <v>879</v>
      </c>
      <c r="M36" t="s">
        <v>459</v>
      </c>
      <c r="N36" t="s">
        <v>508</v>
      </c>
      <c r="O36">
        <v>1</v>
      </c>
      <c r="P36" t="s">
        <v>226</v>
      </c>
      <c r="Q36">
        <v>15</v>
      </c>
      <c r="R36">
        <v>10</v>
      </c>
      <c r="S36">
        <v>5</v>
      </c>
      <c r="T36">
        <v>0</v>
      </c>
      <c r="U36">
        <v>15</v>
      </c>
      <c r="V36">
        <v>10</v>
      </c>
      <c r="W36">
        <v>0</v>
      </c>
      <c r="X36">
        <v>15</v>
      </c>
      <c r="Y36">
        <v>70</v>
      </c>
      <c r="Z36" t="s">
        <v>13</v>
      </c>
      <c r="AA36" t="s">
        <v>227</v>
      </c>
    </row>
    <row r="37" spans="1:27" x14ac:dyDescent="0.25">
      <c r="A37" t="s">
        <v>5006</v>
      </c>
      <c r="B37" s="7" t="s">
        <v>5037</v>
      </c>
      <c r="C37" s="7"/>
      <c r="E37">
        <v>5801866013</v>
      </c>
      <c r="F37" t="s">
        <v>10</v>
      </c>
      <c r="G37" t="s">
        <v>117</v>
      </c>
      <c r="H37" t="s">
        <v>117</v>
      </c>
      <c r="I37" t="s">
        <v>51</v>
      </c>
      <c r="J37" t="s">
        <v>678</v>
      </c>
      <c r="K37" t="s">
        <v>485</v>
      </c>
      <c r="L37" t="s">
        <v>879</v>
      </c>
      <c r="M37" t="s">
        <v>459</v>
      </c>
      <c r="N37" t="s">
        <v>460</v>
      </c>
      <c r="O37">
        <v>1</v>
      </c>
      <c r="P37" t="s">
        <v>679</v>
      </c>
      <c r="Q37">
        <v>0</v>
      </c>
      <c r="R37">
        <v>20</v>
      </c>
      <c r="S37">
        <v>20</v>
      </c>
      <c r="T37">
        <v>20</v>
      </c>
      <c r="U37">
        <v>10</v>
      </c>
      <c r="V37" t="s">
        <v>45</v>
      </c>
      <c r="W37" t="s">
        <v>45</v>
      </c>
      <c r="X37" t="s">
        <v>45</v>
      </c>
      <c r="Y37">
        <v>70</v>
      </c>
      <c r="Z37" t="s">
        <v>13</v>
      </c>
      <c r="AA37" t="s">
        <v>231</v>
      </c>
    </row>
    <row r="38" spans="1:27" x14ac:dyDescent="0.25">
      <c r="E38">
        <v>5865120195</v>
      </c>
      <c r="F38" t="s">
        <v>10</v>
      </c>
      <c r="G38" t="s">
        <v>169</v>
      </c>
      <c r="H38" t="s">
        <v>106</v>
      </c>
      <c r="I38" t="s">
        <v>59</v>
      </c>
      <c r="J38" t="s">
        <v>532</v>
      </c>
      <c r="K38" t="s">
        <v>457</v>
      </c>
      <c r="N38" t="s">
        <v>533</v>
      </c>
      <c r="O38">
        <v>1</v>
      </c>
      <c r="P38" t="s">
        <v>534</v>
      </c>
      <c r="Q38">
        <v>20</v>
      </c>
      <c r="R38">
        <v>20</v>
      </c>
      <c r="S38">
        <v>20</v>
      </c>
      <c r="T38">
        <v>10</v>
      </c>
      <c r="U38">
        <v>0</v>
      </c>
      <c r="V38" t="s">
        <v>45</v>
      </c>
      <c r="W38" t="s">
        <v>45</v>
      </c>
      <c r="X38" t="s">
        <v>45</v>
      </c>
      <c r="Y38">
        <v>70</v>
      </c>
      <c r="Z38" t="s">
        <v>13</v>
      </c>
      <c r="AA38" t="s">
        <v>172</v>
      </c>
    </row>
    <row r="39" spans="1:27" x14ac:dyDescent="0.25">
      <c r="A39" t="s">
        <v>5038</v>
      </c>
      <c r="E39">
        <v>5853360007</v>
      </c>
      <c r="F39" t="s">
        <v>10</v>
      </c>
      <c r="G39" t="s">
        <v>100</v>
      </c>
      <c r="H39" t="s">
        <v>100</v>
      </c>
      <c r="I39" t="s">
        <v>51</v>
      </c>
      <c r="J39" t="s">
        <v>237</v>
      </c>
      <c r="K39" t="s">
        <v>535</v>
      </c>
      <c r="L39" t="s">
        <v>536</v>
      </c>
      <c r="N39" t="s">
        <v>533</v>
      </c>
      <c r="O39">
        <v>1</v>
      </c>
      <c r="P39" t="s">
        <v>240</v>
      </c>
      <c r="Q39">
        <v>0</v>
      </c>
      <c r="R39">
        <v>20</v>
      </c>
      <c r="S39">
        <v>20</v>
      </c>
      <c r="T39">
        <v>10</v>
      </c>
      <c r="U39">
        <v>20</v>
      </c>
      <c r="V39" t="s">
        <v>45</v>
      </c>
      <c r="W39" t="s">
        <v>45</v>
      </c>
      <c r="X39" t="s">
        <v>45</v>
      </c>
      <c r="Y39">
        <v>70</v>
      </c>
      <c r="Z39" t="s">
        <v>13</v>
      </c>
      <c r="AA39" t="s">
        <v>241</v>
      </c>
    </row>
    <row r="40" spans="1:27" x14ac:dyDescent="0.25">
      <c r="E40">
        <v>5800366016</v>
      </c>
      <c r="F40" t="s">
        <v>10</v>
      </c>
      <c r="G40" t="s">
        <v>537</v>
      </c>
      <c r="H40" t="s">
        <v>259</v>
      </c>
      <c r="I40" t="s">
        <v>59</v>
      </c>
      <c r="J40" t="s">
        <v>452</v>
      </c>
      <c r="M40" t="s">
        <v>453</v>
      </c>
      <c r="P40" t="s">
        <v>454</v>
      </c>
      <c r="Q40">
        <v>0</v>
      </c>
      <c r="R40">
        <v>20</v>
      </c>
      <c r="S40">
        <v>20</v>
      </c>
      <c r="T40">
        <v>20</v>
      </c>
      <c r="U40">
        <v>10</v>
      </c>
      <c r="V40" t="s">
        <v>45</v>
      </c>
      <c r="W40" t="s">
        <v>45</v>
      </c>
      <c r="X40" t="s">
        <v>45</v>
      </c>
      <c r="Y40">
        <v>70</v>
      </c>
      <c r="Z40" t="s">
        <v>13</v>
      </c>
      <c r="AA40" t="s">
        <v>538</v>
      </c>
    </row>
    <row r="41" spans="1:27" x14ac:dyDescent="0.25">
      <c r="E41">
        <v>7955523028</v>
      </c>
      <c r="F41" t="s">
        <v>11</v>
      </c>
      <c r="G41" t="s">
        <v>403</v>
      </c>
      <c r="H41" t="s">
        <v>41</v>
      </c>
      <c r="I41" t="s">
        <v>42</v>
      </c>
      <c r="J41" t="s">
        <v>452</v>
      </c>
      <c r="M41" t="s">
        <v>453</v>
      </c>
      <c r="P41" t="s">
        <v>454</v>
      </c>
      <c r="Q41">
        <v>15</v>
      </c>
      <c r="R41">
        <v>10</v>
      </c>
      <c r="S41">
        <v>5</v>
      </c>
      <c r="T41">
        <v>15</v>
      </c>
      <c r="U41">
        <v>15</v>
      </c>
      <c r="V41">
        <v>10</v>
      </c>
      <c r="W41">
        <v>0</v>
      </c>
      <c r="X41">
        <v>0</v>
      </c>
      <c r="Y41">
        <v>70</v>
      </c>
      <c r="Z41" t="s">
        <v>13</v>
      </c>
      <c r="AA41" t="s">
        <v>539</v>
      </c>
    </row>
    <row r="42" spans="1:27" x14ac:dyDescent="0.25">
      <c r="E42">
        <v>7900573047</v>
      </c>
      <c r="F42" t="s">
        <v>11</v>
      </c>
      <c r="G42" t="s">
        <v>111</v>
      </c>
      <c r="H42" t="s">
        <v>470</v>
      </c>
      <c r="I42" t="s">
        <v>42</v>
      </c>
      <c r="J42" t="s">
        <v>5039</v>
      </c>
      <c r="K42" t="s">
        <v>485</v>
      </c>
      <c r="L42" t="s">
        <v>879</v>
      </c>
      <c r="M42" t="s">
        <v>459</v>
      </c>
      <c r="N42" t="s">
        <v>475</v>
      </c>
      <c r="O42">
        <v>1</v>
      </c>
      <c r="P42" t="s">
        <v>122</v>
      </c>
      <c r="Q42">
        <v>5</v>
      </c>
      <c r="R42">
        <v>5</v>
      </c>
      <c r="S42">
        <v>15</v>
      </c>
      <c r="T42">
        <v>0</v>
      </c>
      <c r="U42">
        <v>15</v>
      </c>
      <c r="V42">
        <v>10</v>
      </c>
      <c r="W42">
        <v>0</v>
      </c>
      <c r="X42">
        <v>15</v>
      </c>
      <c r="Y42">
        <v>65</v>
      </c>
      <c r="Z42" t="s">
        <v>13</v>
      </c>
      <c r="AA42" t="s">
        <v>123</v>
      </c>
    </row>
    <row r="43" spans="1:27" x14ac:dyDescent="0.25">
      <c r="A43" t="s">
        <v>4996</v>
      </c>
      <c r="B43" t="s">
        <v>5040</v>
      </c>
      <c r="E43">
        <v>7953610256</v>
      </c>
      <c r="F43" t="s">
        <v>11</v>
      </c>
      <c r="G43" t="s">
        <v>134</v>
      </c>
      <c r="H43" t="s">
        <v>135</v>
      </c>
      <c r="I43" t="s">
        <v>51</v>
      </c>
      <c r="J43" t="s">
        <v>5041</v>
      </c>
      <c r="K43" t="s">
        <v>513</v>
      </c>
      <c r="L43" t="s">
        <v>5033</v>
      </c>
      <c r="N43" t="s">
        <v>489</v>
      </c>
      <c r="O43">
        <v>1</v>
      </c>
      <c r="P43" t="s">
        <v>5042</v>
      </c>
      <c r="Q43">
        <v>5</v>
      </c>
      <c r="R43">
        <v>5</v>
      </c>
      <c r="S43">
        <v>15</v>
      </c>
      <c r="T43">
        <v>15</v>
      </c>
      <c r="U43">
        <v>0</v>
      </c>
      <c r="V43">
        <v>0</v>
      </c>
      <c r="W43">
        <v>10</v>
      </c>
      <c r="X43">
        <v>15</v>
      </c>
      <c r="Y43">
        <v>65</v>
      </c>
      <c r="Z43" t="s">
        <v>13</v>
      </c>
      <c r="AA43" t="s">
        <v>244</v>
      </c>
    </row>
    <row r="44" spans="1:27" x14ac:dyDescent="0.25">
      <c r="E44">
        <v>5800438116</v>
      </c>
      <c r="F44" t="s">
        <v>10</v>
      </c>
      <c r="G44" t="s">
        <v>215</v>
      </c>
      <c r="H44" t="s">
        <v>41</v>
      </c>
      <c r="I44" t="s">
        <v>42</v>
      </c>
      <c r="J44" t="s">
        <v>542</v>
      </c>
      <c r="K44" t="s">
        <v>485</v>
      </c>
      <c r="L44" t="s">
        <v>879</v>
      </c>
      <c r="M44" t="s">
        <v>459</v>
      </c>
      <c r="N44" t="s">
        <v>460</v>
      </c>
      <c r="O44">
        <v>2</v>
      </c>
      <c r="P44" t="s">
        <v>545</v>
      </c>
      <c r="Q44">
        <v>0</v>
      </c>
      <c r="R44">
        <v>20</v>
      </c>
      <c r="S44">
        <v>20</v>
      </c>
      <c r="T44">
        <v>20</v>
      </c>
      <c r="U44">
        <v>0</v>
      </c>
      <c r="V44" t="s">
        <v>45</v>
      </c>
      <c r="W44" t="s">
        <v>45</v>
      </c>
      <c r="X44" t="s">
        <v>45</v>
      </c>
      <c r="Y44">
        <v>60</v>
      </c>
      <c r="Z44" t="s">
        <v>14</v>
      </c>
      <c r="AA44" t="s">
        <v>546</v>
      </c>
    </row>
    <row r="45" spans="1:27" x14ac:dyDescent="0.25">
      <c r="E45">
        <v>5800090147</v>
      </c>
      <c r="F45" t="s">
        <v>10</v>
      </c>
      <c r="G45" t="s">
        <v>547</v>
      </c>
      <c r="H45" t="s">
        <v>41</v>
      </c>
      <c r="I45" t="s">
        <v>42</v>
      </c>
      <c r="J45" t="s">
        <v>5043</v>
      </c>
      <c r="P45" t="s">
        <v>5044</v>
      </c>
      <c r="Q45">
        <v>0</v>
      </c>
      <c r="R45">
        <v>20</v>
      </c>
      <c r="S45">
        <v>20</v>
      </c>
      <c r="T45">
        <v>10</v>
      </c>
      <c r="U45">
        <v>10</v>
      </c>
      <c r="V45" t="s">
        <v>45</v>
      </c>
      <c r="W45" t="s">
        <v>45</v>
      </c>
      <c r="X45" t="s">
        <v>45</v>
      </c>
      <c r="Y45">
        <v>60</v>
      </c>
      <c r="Z45" t="s">
        <v>14</v>
      </c>
      <c r="AA45" t="s">
        <v>548</v>
      </c>
    </row>
    <row r="46" spans="1:27" x14ac:dyDescent="0.25">
      <c r="E46">
        <v>5840227063</v>
      </c>
      <c r="F46" t="s">
        <v>10</v>
      </c>
      <c r="G46" t="s">
        <v>147</v>
      </c>
      <c r="H46" t="s">
        <v>94</v>
      </c>
      <c r="I46" t="s">
        <v>59</v>
      </c>
      <c r="J46" t="s">
        <v>1096</v>
      </c>
      <c r="K46" t="s">
        <v>526</v>
      </c>
      <c r="P46" t="s">
        <v>5045</v>
      </c>
      <c r="Q46">
        <v>0</v>
      </c>
      <c r="R46">
        <v>20</v>
      </c>
      <c r="S46">
        <v>20</v>
      </c>
      <c r="T46">
        <v>10</v>
      </c>
      <c r="U46">
        <v>10</v>
      </c>
      <c r="V46" t="s">
        <v>45</v>
      </c>
      <c r="W46" t="s">
        <v>45</v>
      </c>
      <c r="X46" t="s">
        <v>45</v>
      </c>
      <c r="Y46">
        <v>60</v>
      </c>
      <c r="Z46" t="s">
        <v>14</v>
      </c>
      <c r="AA46" t="s">
        <v>150</v>
      </c>
    </row>
    <row r="47" spans="1:27" x14ac:dyDescent="0.25">
      <c r="E47">
        <v>5846328094</v>
      </c>
      <c r="F47" t="s">
        <v>10</v>
      </c>
      <c r="G47" t="s">
        <v>224</v>
      </c>
      <c r="H47" t="s">
        <v>224</v>
      </c>
      <c r="I47" t="s">
        <v>42</v>
      </c>
      <c r="J47" t="s">
        <v>248</v>
      </c>
      <c r="K47" t="s">
        <v>464</v>
      </c>
      <c r="M47" t="s">
        <v>459</v>
      </c>
      <c r="N47" t="s">
        <v>533</v>
      </c>
      <c r="O47">
        <v>1</v>
      </c>
      <c r="P47" t="s">
        <v>250</v>
      </c>
      <c r="Q47">
        <v>0</v>
      </c>
      <c r="R47">
        <v>20</v>
      </c>
      <c r="S47">
        <v>20</v>
      </c>
      <c r="T47">
        <v>10</v>
      </c>
      <c r="U47">
        <v>10</v>
      </c>
      <c r="V47" t="s">
        <v>45</v>
      </c>
      <c r="W47" t="s">
        <v>45</v>
      </c>
      <c r="X47" t="s">
        <v>45</v>
      </c>
      <c r="Y47">
        <v>60</v>
      </c>
      <c r="Z47" t="s">
        <v>14</v>
      </c>
      <c r="AA47" t="s">
        <v>251</v>
      </c>
    </row>
    <row r="48" spans="1:27" x14ac:dyDescent="0.25">
      <c r="E48">
        <v>5851753086</v>
      </c>
      <c r="F48" t="s">
        <v>10</v>
      </c>
      <c r="G48" t="s">
        <v>523</v>
      </c>
      <c r="H48" t="s">
        <v>152</v>
      </c>
      <c r="I48" t="s">
        <v>51</v>
      </c>
      <c r="J48" t="s">
        <v>551</v>
      </c>
      <c r="K48" t="s">
        <v>464</v>
      </c>
      <c r="M48" t="s">
        <v>459</v>
      </c>
      <c r="N48" t="s">
        <v>533</v>
      </c>
      <c r="O48">
        <v>1</v>
      </c>
      <c r="P48" t="s">
        <v>552</v>
      </c>
      <c r="Q48">
        <v>0</v>
      </c>
      <c r="R48">
        <v>20</v>
      </c>
      <c r="S48">
        <v>20</v>
      </c>
      <c r="T48">
        <v>10</v>
      </c>
      <c r="U48">
        <v>10</v>
      </c>
      <c r="V48" t="s">
        <v>45</v>
      </c>
      <c r="W48" t="s">
        <v>45</v>
      </c>
      <c r="X48" t="s">
        <v>45</v>
      </c>
      <c r="Y48">
        <v>60</v>
      </c>
      <c r="Z48" t="s">
        <v>14</v>
      </c>
      <c r="AA48" t="s">
        <v>553</v>
      </c>
    </row>
    <row r="49" spans="1:27" x14ac:dyDescent="0.25">
      <c r="E49">
        <v>7903112004</v>
      </c>
      <c r="F49" t="s">
        <v>11</v>
      </c>
      <c r="G49" t="s">
        <v>69</v>
      </c>
      <c r="H49" t="s">
        <v>69</v>
      </c>
      <c r="I49" t="s">
        <v>59</v>
      </c>
      <c r="J49" t="s">
        <v>78</v>
      </c>
      <c r="K49" t="s">
        <v>513</v>
      </c>
      <c r="L49" t="s">
        <v>5046</v>
      </c>
      <c r="M49" t="s">
        <v>459</v>
      </c>
      <c r="N49" t="s">
        <v>508</v>
      </c>
      <c r="O49">
        <v>1</v>
      </c>
      <c r="P49" t="s">
        <v>5047</v>
      </c>
      <c r="Q49">
        <v>15</v>
      </c>
      <c r="R49">
        <v>10</v>
      </c>
      <c r="S49">
        <v>5</v>
      </c>
      <c r="T49">
        <v>15</v>
      </c>
      <c r="U49">
        <v>0</v>
      </c>
      <c r="V49">
        <v>10</v>
      </c>
      <c r="W49">
        <v>0</v>
      </c>
      <c r="X49">
        <v>0</v>
      </c>
      <c r="Y49">
        <v>55</v>
      </c>
      <c r="Z49" t="s">
        <v>13</v>
      </c>
      <c r="AA49" t="s">
        <v>81</v>
      </c>
    </row>
    <row r="50" spans="1:27" x14ac:dyDescent="0.25">
      <c r="E50">
        <v>7920024127</v>
      </c>
      <c r="F50" t="s">
        <v>11</v>
      </c>
      <c r="G50" t="s">
        <v>258</v>
      </c>
      <c r="H50" t="s">
        <v>259</v>
      </c>
      <c r="I50" t="s">
        <v>59</v>
      </c>
      <c r="J50" t="s">
        <v>257</v>
      </c>
      <c r="K50" t="s">
        <v>472</v>
      </c>
      <c r="N50" t="s">
        <v>555</v>
      </c>
      <c r="O50">
        <v>1</v>
      </c>
      <c r="P50" t="s">
        <v>261</v>
      </c>
      <c r="Q50">
        <v>15</v>
      </c>
      <c r="R50">
        <v>10</v>
      </c>
      <c r="S50">
        <v>5</v>
      </c>
      <c r="T50">
        <v>15</v>
      </c>
      <c r="U50">
        <v>0</v>
      </c>
      <c r="V50">
        <v>10</v>
      </c>
      <c r="W50">
        <v>0</v>
      </c>
      <c r="X50">
        <v>0</v>
      </c>
      <c r="Y50">
        <v>55</v>
      </c>
      <c r="Z50" t="s">
        <v>13</v>
      </c>
      <c r="AA50" t="s">
        <v>262</v>
      </c>
    </row>
    <row r="51" spans="1:27" x14ac:dyDescent="0.25">
      <c r="A51" t="s">
        <v>4996</v>
      </c>
      <c r="B51" t="s">
        <v>5025</v>
      </c>
      <c r="E51">
        <v>7927646026</v>
      </c>
      <c r="F51" t="s">
        <v>11</v>
      </c>
      <c r="G51" t="s">
        <v>135</v>
      </c>
      <c r="H51" t="s">
        <v>135</v>
      </c>
      <c r="I51" t="s">
        <v>51</v>
      </c>
      <c r="J51" t="s">
        <v>267</v>
      </c>
      <c r="K51" t="s">
        <v>472</v>
      </c>
      <c r="N51" t="s">
        <v>508</v>
      </c>
      <c r="O51">
        <v>1</v>
      </c>
      <c r="P51" t="s">
        <v>268</v>
      </c>
      <c r="Q51">
        <v>15</v>
      </c>
      <c r="R51">
        <v>10</v>
      </c>
      <c r="S51">
        <v>5</v>
      </c>
      <c r="T51">
        <v>0</v>
      </c>
      <c r="U51">
        <v>15</v>
      </c>
      <c r="V51">
        <v>0</v>
      </c>
      <c r="W51">
        <v>10</v>
      </c>
      <c r="X51">
        <v>0</v>
      </c>
      <c r="Y51">
        <v>55</v>
      </c>
      <c r="Z51" t="s">
        <v>13</v>
      </c>
      <c r="AA51" t="s">
        <v>269</v>
      </c>
    </row>
    <row r="52" spans="1:27" x14ac:dyDescent="0.25">
      <c r="A52" t="s">
        <v>4996</v>
      </c>
      <c r="B52" t="s">
        <v>5048</v>
      </c>
      <c r="E52">
        <v>7927169001</v>
      </c>
      <c r="F52" t="s">
        <v>11</v>
      </c>
      <c r="G52" t="s">
        <v>50</v>
      </c>
      <c r="H52" t="s">
        <v>50</v>
      </c>
      <c r="I52" t="s">
        <v>51</v>
      </c>
      <c r="J52" t="s">
        <v>5049</v>
      </c>
      <c r="K52" t="s">
        <v>485</v>
      </c>
      <c r="L52" t="s">
        <v>879</v>
      </c>
      <c r="M52" t="s">
        <v>459</v>
      </c>
      <c r="N52" t="s">
        <v>508</v>
      </c>
      <c r="P52" t="s">
        <v>5050</v>
      </c>
      <c r="Q52">
        <v>5</v>
      </c>
      <c r="R52">
        <v>5</v>
      </c>
      <c r="S52">
        <v>15</v>
      </c>
      <c r="T52">
        <v>0</v>
      </c>
      <c r="U52">
        <v>15</v>
      </c>
      <c r="V52">
        <v>0</v>
      </c>
      <c r="W52">
        <v>0</v>
      </c>
      <c r="X52">
        <v>15</v>
      </c>
      <c r="Y52">
        <v>55</v>
      </c>
      <c r="Z52" t="s">
        <v>13</v>
      </c>
      <c r="AA52" t="s">
        <v>272</v>
      </c>
    </row>
    <row r="53" spans="1:27" x14ac:dyDescent="0.25">
      <c r="E53">
        <v>7900018004</v>
      </c>
      <c r="F53" t="s">
        <v>11</v>
      </c>
      <c r="G53" t="s">
        <v>69</v>
      </c>
      <c r="H53" t="s">
        <v>69</v>
      </c>
      <c r="I53" t="s">
        <v>59</v>
      </c>
      <c r="J53" t="s">
        <v>452</v>
      </c>
      <c r="M53" t="s">
        <v>453</v>
      </c>
      <c r="P53" t="s">
        <v>454</v>
      </c>
      <c r="Q53">
        <v>15</v>
      </c>
      <c r="R53">
        <v>10</v>
      </c>
      <c r="S53">
        <v>5</v>
      </c>
      <c r="T53">
        <v>15</v>
      </c>
      <c r="U53">
        <v>0</v>
      </c>
      <c r="V53">
        <v>10</v>
      </c>
      <c r="W53">
        <v>0</v>
      </c>
      <c r="X53">
        <v>0</v>
      </c>
      <c r="Y53">
        <v>55</v>
      </c>
      <c r="Z53" t="s">
        <v>13</v>
      </c>
      <c r="AA53" t="s">
        <v>556</v>
      </c>
    </row>
    <row r="54" spans="1:27" x14ac:dyDescent="0.25">
      <c r="E54">
        <v>7934698002</v>
      </c>
      <c r="F54" t="s">
        <v>11</v>
      </c>
      <c r="G54" t="s">
        <v>259</v>
      </c>
      <c r="H54" t="s">
        <v>259</v>
      </c>
      <c r="I54" t="s">
        <v>59</v>
      </c>
      <c r="J54" t="s">
        <v>452</v>
      </c>
      <c r="M54" t="s">
        <v>453</v>
      </c>
      <c r="P54" t="s">
        <v>454</v>
      </c>
      <c r="Q54">
        <v>5</v>
      </c>
      <c r="R54">
        <v>5</v>
      </c>
      <c r="S54">
        <v>5</v>
      </c>
      <c r="T54">
        <v>0</v>
      </c>
      <c r="U54">
        <v>15</v>
      </c>
      <c r="V54">
        <v>0</v>
      </c>
      <c r="W54">
        <v>10</v>
      </c>
      <c r="X54">
        <v>15</v>
      </c>
      <c r="Y54">
        <v>55</v>
      </c>
      <c r="Z54" t="s">
        <v>13</v>
      </c>
      <c r="AA54" t="s">
        <v>557</v>
      </c>
    </row>
    <row r="55" spans="1:27" x14ac:dyDescent="0.25">
      <c r="A55" t="s">
        <v>4996</v>
      </c>
      <c r="B55" t="s">
        <v>5051</v>
      </c>
      <c r="E55" s="32">
        <v>7930428001</v>
      </c>
      <c r="F55" t="s">
        <v>11</v>
      </c>
      <c r="G55" t="s">
        <v>50</v>
      </c>
      <c r="H55" t="s">
        <v>50</v>
      </c>
      <c r="I55" t="s">
        <v>51</v>
      </c>
      <c r="J55" t="s">
        <v>2192</v>
      </c>
      <c r="K55" t="s">
        <v>5027</v>
      </c>
      <c r="N55" t="s">
        <v>508</v>
      </c>
      <c r="O55">
        <v>1</v>
      </c>
      <c r="P55" t="s">
        <v>5052</v>
      </c>
      <c r="Q55">
        <v>5</v>
      </c>
      <c r="R55">
        <v>5</v>
      </c>
      <c r="S55">
        <v>15</v>
      </c>
      <c r="T55">
        <v>0</v>
      </c>
      <c r="U55">
        <v>15</v>
      </c>
      <c r="V55">
        <v>10</v>
      </c>
      <c r="W55">
        <v>0</v>
      </c>
      <c r="X55">
        <v>0</v>
      </c>
      <c r="Y55">
        <v>50</v>
      </c>
      <c r="Z55" t="s">
        <v>13</v>
      </c>
      <c r="AA55" t="s">
        <v>276</v>
      </c>
    </row>
    <row r="56" spans="1:27" x14ac:dyDescent="0.25">
      <c r="E56">
        <v>7936038076</v>
      </c>
      <c r="F56" t="s">
        <v>11</v>
      </c>
      <c r="G56" t="s">
        <v>209</v>
      </c>
      <c r="H56" t="s">
        <v>210</v>
      </c>
      <c r="I56" t="s">
        <v>42</v>
      </c>
      <c r="J56" t="s">
        <v>452</v>
      </c>
      <c r="K56" t="s">
        <v>5027</v>
      </c>
      <c r="N56" t="s">
        <v>508</v>
      </c>
      <c r="O56">
        <v>1</v>
      </c>
      <c r="P56" t="s">
        <v>454</v>
      </c>
      <c r="Q56">
        <v>5</v>
      </c>
      <c r="R56">
        <v>5</v>
      </c>
      <c r="S56">
        <v>15</v>
      </c>
      <c r="T56">
        <v>0</v>
      </c>
      <c r="U56">
        <v>15</v>
      </c>
      <c r="V56">
        <v>10</v>
      </c>
      <c r="W56">
        <v>0</v>
      </c>
      <c r="X56">
        <v>0</v>
      </c>
      <c r="Y56">
        <v>50</v>
      </c>
      <c r="Z56" t="s">
        <v>13</v>
      </c>
      <c r="AA56" t="s">
        <v>559</v>
      </c>
    </row>
    <row r="57" spans="1:27" x14ac:dyDescent="0.25">
      <c r="E57">
        <v>7955520116</v>
      </c>
      <c r="F57" t="s">
        <v>11</v>
      </c>
      <c r="G57" t="s">
        <v>215</v>
      </c>
      <c r="H57" t="s">
        <v>41</v>
      </c>
      <c r="I57" t="s">
        <v>42</v>
      </c>
      <c r="J57" t="s">
        <v>452</v>
      </c>
      <c r="K57" t="s">
        <v>513</v>
      </c>
      <c r="L57" t="s">
        <v>5053</v>
      </c>
      <c r="N57" t="s">
        <v>508</v>
      </c>
      <c r="O57">
        <v>1</v>
      </c>
      <c r="P57" t="s">
        <v>454</v>
      </c>
      <c r="Q57">
        <v>5</v>
      </c>
      <c r="R57">
        <v>5</v>
      </c>
      <c r="S57">
        <v>15</v>
      </c>
      <c r="T57">
        <v>0</v>
      </c>
      <c r="U57">
        <v>0</v>
      </c>
      <c r="V57">
        <v>10</v>
      </c>
      <c r="W57">
        <v>0</v>
      </c>
      <c r="X57">
        <v>15</v>
      </c>
      <c r="Y57">
        <v>50</v>
      </c>
      <c r="Z57" t="s">
        <v>13</v>
      </c>
      <c r="AA57" t="s">
        <v>560</v>
      </c>
    </row>
    <row r="58" spans="1:27" x14ac:dyDescent="0.25">
      <c r="E58">
        <v>5800291035</v>
      </c>
      <c r="F58" t="s">
        <v>10</v>
      </c>
      <c r="G58" t="s">
        <v>339</v>
      </c>
      <c r="H58" t="s">
        <v>135</v>
      </c>
      <c r="I58" t="s">
        <v>51</v>
      </c>
      <c r="J58" t="s">
        <v>561</v>
      </c>
      <c r="K58" t="s">
        <v>533</v>
      </c>
      <c r="N58" t="s">
        <v>533</v>
      </c>
      <c r="O58">
        <v>1</v>
      </c>
      <c r="P58" t="s">
        <v>562</v>
      </c>
      <c r="Q58">
        <v>0</v>
      </c>
      <c r="R58">
        <v>20</v>
      </c>
      <c r="S58">
        <v>20</v>
      </c>
      <c r="T58">
        <v>10</v>
      </c>
      <c r="U58">
        <v>0</v>
      </c>
      <c r="V58" t="s">
        <v>45</v>
      </c>
      <c r="W58" t="s">
        <v>45</v>
      </c>
      <c r="X58" t="s">
        <v>45</v>
      </c>
      <c r="Y58">
        <v>50</v>
      </c>
      <c r="Z58" t="s">
        <v>14</v>
      </c>
      <c r="AA58" t="s">
        <v>563</v>
      </c>
    </row>
    <row r="59" spans="1:27" x14ac:dyDescent="0.25">
      <c r="A59" t="s">
        <v>5006</v>
      </c>
      <c r="B59" s="7" t="s">
        <v>5054</v>
      </c>
      <c r="C59" s="7"/>
      <c r="E59">
        <v>5827102054</v>
      </c>
      <c r="F59" t="s">
        <v>10</v>
      </c>
      <c r="G59" t="s">
        <v>278</v>
      </c>
      <c r="H59" t="s">
        <v>117</v>
      </c>
      <c r="I59" t="s">
        <v>51</v>
      </c>
      <c r="J59" t="s">
        <v>564</v>
      </c>
      <c r="K59" t="s">
        <v>5055</v>
      </c>
      <c r="M59" t="s">
        <v>459</v>
      </c>
      <c r="N59" t="s">
        <v>5056</v>
      </c>
      <c r="O59">
        <v>1</v>
      </c>
      <c r="P59" t="s">
        <v>566</v>
      </c>
      <c r="Q59">
        <v>0</v>
      </c>
      <c r="R59">
        <v>20</v>
      </c>
      <c r="S59">
        <v>20</v>
      </c>
      <c r="T59">
        <v>10</v>
      </c>
      <c r="U59">
        <v>0</v>
      </c>
      <c r="V59" t="s">
        <v>45</v>
      </c>
      <c r="W59" t="s">
        <v>45</v>
      </c>
      <c r="X59" t="s">
        <v>45</v>
      </c>
      <c r="Y59">
        <v>50</v>
      </c>
      <c r="Z59" t="s">
        <v>14</v>
      </c>
      <c r="AA59" t="s">
        <v>281</v>
      </c>
    </row>
    <row r="60" spans="1:27" x14ac:dyDescent="0.25">
      <c r="E60">
        <v>5850308009</v>
      </c>
      <c r="F60" t="s">
        <v>10</v>
      </c>
      <c r="G60" t="s">
        <v>106</v>
      </c>
      <c r="H60" t="s">
        <v>106</v>
      </c>
      <c r="I60" t="s">
        <v>59</v>
      </c>
      <c r="J60" t="s">
        <v>5057</v>
      </c>
      <c r="P60" t="s">
        <v>5058</v>
      </c>
      <c r="Q60">
        <v>0</v>
      </c>
      <c r="R60">
        <v>20</v>
      </c>
      <c r="S60">
        <v>20</v>
      </c>
      <c r="T60">
        <v>0</v>
      </c>
      <c r="U60">
        <v>10</v>
      </c>
      <c r="V60" t="s">
        <v>45</v>
      </c>
      <c r="W60" t="s">
        <v>45</v>
      </c>
      <c r="X60" t="s">
        <v>45</v>
      </c>
      <c r="Y60">
        <v>50</v>
      </c>
      <c r="Z60" t="s">
        <v>14</v>
      </c>
      <c r="AA60" t="s">
        <v>567</v>
      </c>
    </row>
    <row r="61" spans="1:27" x14ac:dyDescent="0.25">
      <c r="E61">
        <v>7900535058</v>
      </c>
      <c r="F61" t="s">
        <v>11</v>
      </c>
      <c r="G61" t="s">
        <v>283</v>
      </c>
      <c r="H61" t="s">
        <v>69</v>
      </c>
      <c r="I61" t="s">
        <v>59</v>
      </c>
      <c r="J61" t="s">
        <v>282</v>
      </c>
      <c r="K61" t="s">
        <v>472</v>
      </c>
      <c r="N61" t="s">
        <v>484</v>
      </c>
      <c r="O61">
        <v>1</v>
      </c>
      <c r="P61" t="s">
        <v>285</v>
      </c>
      <c r="Q61">
        <v>5</v>
      </c>
      <c r="R61">
        <v>10</v>
      </c>
      <c r="S61">
        <v>5</v>
      </c>
      <c r="T61">
        <v>0</v>
      </c>
      <c r="U61">
        <v>15</v>
      </c>
      <c r="V61">
        <v>10</v>
      </c>
      <c r="W61">
        <v>0</v>
      </c>
      <c r="X61">
        <v>0</v>
      </c>
      <c r="Y61">
        <v>45</v>
      </c>
      <c r="Z61" t="s">
        <v>14</v>
      </c>
      <c r="AA61" t="s">
        <v>286</v>
      </c>
    </row>
    <row r="62" spans="1:27" x14ac:dyDescent="0.25">
      <c r="E62">
        <v>7927713200</v>
      </c>
      <c r="F62" t="s">
        <v>11</v>
      </c>
      <c r="G62" t="s">
        <v>293</v>
      </c>
      <c r="H62" t="s">
        <v>224</v>
      </c>
      <c r="I62" t="s">
        <v>42</v>
      </c>
      <c r="J62" t="s">
        <v>452</v>
      </c>
      <c r="K62" t="s">
        <v>5027</v>
      </c>
      <c r="N62" t="s">
        <v>508</v>
      </c>
      <c r="P62" t="s">
        <v>454</v>
      </c>
      <c r="Q62">
        <v>5</v>
      </c>
      <c r="R62">
        <v>5</v>
      </c>
      <c r="S62">
        <v>5</v>
      </c>
      <c r="T62">
        <v>0</v>
      </c>
      <c r="U62">
        <v>15</v>
      </c>
      <c r="V62">
        <v>10</v>
      </c>
      <c r="W62">
        <v>0</v>
      </c>
      <c r="X62">
        <v>0</v>
      </c>
      <c r="Y62">
        <v>40</v>
      </c>
      <c r="Z62" t="s">
        <v>14</v>
      </c>
      <c r="AA62" t="s">
        <v>296</v>
      </c>
    </row>
    <row r="63" spans="1:27" x14ac:dyDescent="0.25">
      <c r="E63">
        <v>7937102148</v>
      </c>
      <c r="F63" t="s">
        <v>11</v>
      </c>
      <c r="G63" t="s">
        <v>301</v>
      </c>
      <c r="H63" t="s">
        <v>224</v>
      </c>
      <c r="I63" t="s">
        <v>42</v>
      </c>
      <c r="J63" t="s">
        <v>300</v>
      </c>
      <c r="K63" t="s">
        <v>5059</v>
      </c>
      <c r="N63" t="s">
        <v>508</v>
      </c>
      <c r="P63" t="s">
        <v>303</v>
      </c>
      <c r="Q63">
        <v>5</v>
      </c>
      <c r="R63">
        <v>5</v>
      </c>
      <c r="S63">
        <v>5</v>
      </c>
      <c r="T63">
        <v>0</v>
      </c>
      <c r="U63">
        <v>15</v>
      </c>
      <c r="V63">
        <v>10</v>
      </c>
      <c r="W63">
        <v>0</v>
      </c>
      <c r="X63">
        <v>0</v>
      </c>
      <c r="Y63">
        <v>40</v>
      </c>
      <c r="Z63" t="s">
        <v>14</v>
      </c>
      <c r="AA63" t="s">
        <v>304</v>
      </c>
    </row>
    <row r="64" spans="1:27" x14ac:dyDescent="0.25">
      <c r="E64">
        <v>7944559149</v>
      </c>
      <c r="F64" t="s">
        <v>11</v>
      </c>
      <c r="G64" t="s">
        <v>195</v>
      </c>
      <c r="H64" t="s">
        <v>152</v>
      </c>
      <c r="I64" t="s">
        <v>51</v>
      </c>
      <c r="J64" t="s">
        <v>194</v>
      </c>
      <c r="K64" t="s">
        <v>5060</v>
      </c>
      <c r="P64" t="s">
        <v>5061</v>
      </c>
      <c r="Q64">
        <v>5</v>
      </c>
      <c r="R64">
        <v>10</v>
      </c>
      <c r="S64">
        <v>0</v>
      </c>
      <c r="T64">
        <v>0</v>
      </c>
      <c r="U64">
        <v>15</v>
      </c>
      <c r="V64">
        <v>10</v>
      </c>
      <c r="W64">
        <v>0</v>
      </c>
      <c r="X64">
        <v>0</v>
      </c>
      <c r="Y64">
        <v>40</v>
      </c>
      <c r="Z64" t="s">
        <v>14</v>
      </c>
      <c r="AA64" t="s">
        <v>5062</v>
      </c>
    </row>
    <row r="65" spans="1:27" x14ac:dyDescent="0.25">
      <c r="E65">
        <v>5800961074</v>
      </c>
      <c r="F65" t="s">
        <v>10</v>
      </c>
      <c r="G65" t="s">
        <v>41</v>
      </c>
      <c r="H65" t="s">
        <v>41</v>
      </c>
      <c r="I65" t="s">
        <v>42</v>
      </c>
      <c r="J65" t="s">
        <v>128</v>
      </c>
      <c r="K65" t="s">
        <v>5063</v>
      </c>
      <c r="N65" t="s">
        <v>5064</v>
      </c>
      <c r="P65" t="s">
        <v>130</v>
      </c>
      <c r="Q65">
        <v>20</v>
      </c>
      <c r="R65">
        <v>0</v>
      </c>
      <c r="S65">
        <v>0</v>
      </c>
      <c r="T65">
        <v>20</v>
      </c>
      <c r="U65">
        <v>0</v>
      </c>
      <c r="V65" t="s">
        <v>45</v>
      </c>
      <c r="W65" t="s">
        <v>45</v>
      </c>
      <c r="X65" t="s">
        <v>45</v>
      </c>
      <c r="Y65">
        <v>40</v>
      </c>
      <c r="Z65" t="s">
        <v>14</v>
      </c>
      <c r="AA65" t="s">
        <v>131</v>
      </c>
    </row>
    <row r="66" spans="1:27" x14ac:dyDescent="0.25">
      <c r="A66" t="s">
        <v>4996</v>
      </c>
      <c r="B66" t="s">
        <v>5065</v>
      </c>
      <c r="E66">
        <v>7908249152</v>
      </c>
      <c r="F66" t="s">
        <v>11</v>
      </c>
      <c r="G66" t="s">
        <v>306</v>
      </c>
      <c r="H66" t="s">
        <v>50</v>
      </c>
      <c r="I66" t="s">
        <v>51</v>
      </c>
      <c r="J66" t="s">
        <v>305</v>
      </c>
      <c r="K66" t="s">
        <v>5060</v>
      </c>
      <c r="N66" t="s">
        <v>5066</v>
      </c>
      <c r="P66" t="s">
        <v>5067</v>
      </c>
      <c r="Q66">
        <v>5</v>
      </c>
      <c r="R66">
        <v>5</v>
      </c>
      <c r="S66">
        <v>0</v>
      </c>
      <c r="T66">
        <v>0</v>
      </c>
      <c r="U66">
        <v>15</v>
      </c>
      <c r="V66">
        <v>10</v>
      </c>
      <c r="W66">
        <v>0</v>
      </c>
      <c r="X66">
        <v>0</v>
      </c>
      <c r="Y66">
        <v>35</v>
      </c>
      <c r="Z66" t="s">
        <v>14</v>
      </c>
      <c r="AA66" t="s">
        <v>308</v>
      </c>
    </row>
    <row r="67" spans="1:27" x14ac:dyDescent="0.25">
      <c r="E67">
        <v>7922995039</v>
      </c>
      <c r="F67" t="s">
        <v>11</v>
      </c>
      <c r="G67" t="s">
        <v>57</v>
      </c>
      <c r="H67" t="s">
        <v>58</v>
      </c>
      <c r="I67" t="s">
        <v>59</v>
      </c>
      <c r="J67" t="s">
        <v>571</v>
      </c>
      <c r="K67" t="s">
        <v>5068</v>
      </c>
      <c r="M67" t="s">
        <v>572</v>
      </c>
      <c r="N67" t="s">
        <v>614</v>
      </c>
      <c r="P67" t="s">
        <v>573</v>
      </c>
      <c r="Q67">
        <v>5</v>
      </c>
      <c r="R67">
        <v>5</v>
      </c>
      <c r="S67">
        <v>0</v>
      </c>
      <c r="T67">
        <v>0</v>
      </c>
      <c r="U67">
        <v>15</v>
      </c>
      <c r="V67">
        <v>10</v>
      </c>
      <c r="W67">
        <v>0</v>
      </c>
      <c r="X67">
        <v>0</v>
      </c>
      <c r="Y67">
        <v>35</v>
      </c>
      <c r="Z67" t="s">
        <v>14</v>
      </c>
      <c r="AA67" t="s">
        <v>574</v>
      </c>
    </row>
    <row r="68" spans="1:27" x14ac:dyDescent="0.25">
      <c r="E68">
        <v>7925733015</v>
      </c>
      <c r="F68" t="s">
        <v>11</v>
      </c>
      <c r="G68" t="s">
        <v>288</v>
      </c>
      <c r="H68" t="s">
        <v>106</v>
      </c>
      <c r="I68" t="s">
        <v>59</v>
      </c>
      <c r="J68" t="s">
        <v>287</v>
      </c>
      <c r="K68" t="s">
        <v>472</v>
      </c>
      <c r="P68" t="s">
        <v>290</v>
      </c>
      <c r="Q68">
        <v>5</v>
      </c>
      <c r="R68">
        <v>5</v>
      </c>
      <c r="S68">
        <v>0</v>
      </c>
      <c r="T68">
        <v>0</v>
      </c>
      <c r="U68">
        <v>15</v>
      </c>
      <c r="V68">
        <v>10</v>
      </c>
      <c r="W68">
        <v>0</v>
      </c>
      <c r="X68">
        <v>0</v>
      </c>
      <c r="Y68">
        <v>35</v>
      </c>
      <c r="Z68" t="s">
        <v>14</v>
      </c>
      <c r="AA68" t="s">
        <v>291</v>
      </c>
    </row>
    <row r="69" spans="1:27" x14ac:dyDescent="0.25">
      <c r="E69">
        <v>7927396052</v>
      </c>
      <c r="F69" t="s">
        <v>11</v>
      </c>
      <c r="G69" t="s">
        <v>112</v>
      </c>
      <c r="H69" t="s">
        <v>112</v>
      </c>
      <c r="I69" t="s">
        <v>42</v>
      </c>
      <c r="J69" t="s">
        <v>180</v>
      </c>
      <c r="K69" t="s">
        <v>472</v>
      </c>
      <c r="N69" t="s">
        <v>508</v>
      </c>
      <c r="P69" t="s">
        <v>182</v>
      </c>
      <c r="Q69">
        <v>5</v>
      </c>
      <c r="R69">
        <v>5</v>
      </c>
      <c r="S69">
        <v>0</v>
      </c>
      <c r="T69">
        <v>0</v>
      </c>
      <c r="U69">
        <v>15</v>
      </c>
      <c r="V69">
        <v>10</v>
      </c>
      <c r="W69">
        <v>0</v>
      </c>
      <c r="X69">
        <v>0</v>
      </c>
      <c r="Y69">
        <v>35</v>
      </c>
      <c r="Z69" t="s">
        <v>14</v>
      </c>
      <c r="AA69" t="s">
        <v>183</v>
      </c>
    </row>
    <row r="70" spans="1:27" x14ac:dyDescent="0.25">
      <c r="E70">
        <v>7933585074</v>
      </c>
      <c r="F70" t="s">
        <v>11</v>
      </c>
      <c r="G70" t="s">
        <v>41</v>
      </c>
      <c r="H70" t="s">
        <v>41</v>
      </c>
      <c r="I70" t="s">
        <v>42</v>
      </c>
      <c r="J70" t="s">
        <v>139</v>
      </c>
      <c r="K70" t="s">
        <v>5060</v>
      </c>
      <c r="N70" t="s">
        <v>508</v>
      </c>
      <c r="P70" t="s">
        <v>5069</v>
      </c>
      <c r="Q70">
        <v>5</v>
      </c>
      <c r="R70">
        <v>5</v>
      </c>
      <c r="S70">
        <v>15</v>
      </c>
      <c r="T70">
        <v>0</v>
      </c>
      <c r="U70">
        <v>0</v>
      </c>
      <c r="V70">
        <v>0</v>
      </c>
      <c r="W70">
        <v>10</v>
      </c>
      <c r="X70">
        <v>0</v>
      </c>
      <c r="Y70">
        <v>35</v>
      </c>
      <c r="Z70" t="s">
        <v>14</v>
      </c>
      <c r="AA70" t="s">
        <v>141</v>
      </c>
    </row>
    <row r="71" spans="1:27" x14ac:dyDescent="0.25">
      <c r="E71">
        <v>7942572059</v>
      </c>
      <c r="F71" t="s">
        <v>11</v>
      </c>
      <c r="G71" t="s">
        <v>74</v>
      </c>
      <c r="H71" t="s">
        <v>74</v>
      </c>
      <c r="I71" t="s">
        <v>51</v>
      </c>
      <c r="J71" t="s">
        <v>5070</v>
      </c>
      <c r="K71" t="s">
        <v>533</v>
      </c>
      <c r="M71" t="s">
        <v>572</v>
      </c>
      <c r="P71" t="s">
        <v>5071</v>
      </c>
      <c r="Q71">
        <v>5</v>
      </c>
      <c r="R71">
        <v>5</v>
      </c>
      <c r="S71">
        <v>15</v>
      </c>
      <c r="T71">
        <v>0</v>
      </c>
      <c r="U71">
        <v>0</v>
      </c>
      <c r="V71">
        <v>0</v>
      </c>
      <c r="W71">
        <v>10</v>
      </c>
      <c r="X71">
        <v>0</v>
      </c>
      <c r="Y71">
        <v>35</v>
      </c>
      <c r="Z71" t="s">
        <v>14</v>
      </c>
      <c r="AA71" t="s">
        <v>319</v>
      </c>
    </row>
    <row r="72" spans="1:27" x14ac:dyDescent="0.25">
      <c r="E72">
        <v>7944319149</v>
      </c>
      <c r="F72" t="s">
        <v>11</v>
      </c>
      <c r="G72" t="s">
        <v>195</v>
      </c>
      <c r="H72" t="s">
        <v>152</v>
      </c>
      <c r="I72" t="s">
        <v>51</v>
      </c>
      <c r="J72" t="s">
        <v>452</v>
      </c>
      <c r="M72" t="s">
        <v>453</v>
      </c>
      <c r="N72" t="s">
        <v>508</v>
      </c>
      <c r="P72" t="s">
        <v>454</v>
      </c>
      <c r="Q72">
        <v>5</v>
      </c>
      <c r="R72">
        <v>5</v>
      </c>
      <c r="S72">
        <v>15</v>
      </c>
      <c r="T72">
        <v>0</v>
      </c>
      <c r="U72">
        <v>0</v>
      </c>
      <c r="V72">
        <v>0</v>
      </c>
      <c r="W72">
        <v>10</v>
      </c>
      <c r="X72">
        <v>0</v>
      </c>
      <c r="Y72">
        <v>35</v>
      </c>
      <c r="Z72" t="s">
        <v>14</v>
      </c>
      <c r="AA72" t="s">
        <v>576</v>
      </c>
    </row>
    <row r="73" spans="1:27" x14ac:dyDescent="0.25">
      <c r="E73">
        <v>7955986084</v>
      </c>
      <c r="F73" t="s">
        <v>11</v>
      </c>
      <c r="G73" t="s">
        <v>152</v>
      </c>
      <c r="H73" t="s">
        <v>152</v>
      </c>
      <c r="I73" t="s">
        <v>51</v>
      </c>
      <c r="J73" t="s">
        <v>452</v>
      </c>
      <c r="K73" t="s">
        <v>5072</v>
      </c>
      <c r="P73" t="s">
        <v>454</v>
      </c>
      <c r="Q73">
        <v>5</v>
      </c>
      <c r="R73">
        <v>5</v>
      </c>
      <c r="S73">
        <v>0</v>
      </c>
      <c r="T73">
        <v>0</v>
      </c>
      <c r="U73">
        <v>15</v>
      </c>
      <c r="V73">
        <v>10</v>
      </c>
      <c r="W73">
        <v>0</v>
      </c>
      <c r="X73">
        <v>0</v>
      </c>
      <c r="Y73">
        <v>35</v>
      </c>
      <c r="Z73" t="s">
        <v>14</v>
      </c>
      <c r="AA73" t="s">
        <v>158</v>
      </c>
    </row>
    <row r="74" spans="1:27" x14ac:dyDescent="0.25">
      <c r="E74">
        <v>7967181127</v>
      </c>
      <c r="F74" t="s">
        <v>11</v>
      </c>
      <c r="G74" t="s">
        <v>258</v>
      </c>
      <c r="H74" t="s">
        <v>259</v>
      </c>
      <c r="I74" t="s">
        <v>59</v>
      </c>
      <c r="J74" t="s">
        <v>452</v>
      </c>
      <c r="K74" t="s">
        <v>5073</v>
      </c>
      <c r="P74" t="s">
        <v>454</v>
      </c>
      <c r="Q74">
        <v>5</v>
      </c>
      <c r="R74">
        <v>5</v>
      </c>
      <c r="S74">
        <v>0</v>
      </c>
      <c r="T74">
        <v>0</v>
      </c>
      <c r="U74">
        <v>15</v>
      </c>
      <c r="V74">
        <v>10</v>
      </c>
      <c r="W74">
        <v>0</v>
      </c>
      <c r="X74">
        <v>0</v>
      </c>
      <c r="Y74">
        <v>35</v>
      </c>
      <c r="Z74" t="s">
        <v>14</v>
      </c>
      <c r="AA74" t="s">
        <v>578</v>
      </c>
    </row>
    <row r="75" spans="1:27" x14ac:dyDescent="0.25">
      <c r="E75">
        <v>7900525015</v>
      </c>
      <c r="F75" t="s">
        <v>11</v>
      </c>
      <c r="G75" t="s">
        <v>288</v>
      </c>
      <c r="H75" t="s">
        <v>106</v>
      </c>
      <c r="I75" t="s">
        <v>59</v>
      </c>
      <c r="J75" t="s">
        <v>297</v>
      </c>
      <c r="K75" t="s">
        <v>5074</v>
      </c>
      <c r="P75" t="s">
        <v>298</v>
      </c>
      <c r="Q75">
        <v>5</v>
      </c>
      <c r="R75">
        <v>5</v>
      </c>
      <c r="S75">
        <v>0</v>
      </c>
      <c r="T75">
        <v>0</v>
      </c>
      <c r="U75">
        <v>15</v>
      </c>
      <c r="V75">
        <v>10</v>
      </c>
      <c r="W75">
        <v>0</v>
      </c>
      <c r="X75">
        <v>0</v>
      </c>
      <c r="Y75">
        <v>35</v>
      </c>
      <c r="Z75" t="s">
        <v>14</v>
      </c>
      <c r="AA75" t="s">
        <v>299</v>
      </c>
    </row>
    <row r="76" spans="1:27" x14ac:dyDescent="0.25">
      <c r="E76">
        <v>7928564039</v>
      </c>
      <c r="F76" t="s">
        <v>11</v>
      </c>
      <c r="G76" t="s">
        <v>57</v>
      </c>
      <c r="H76" t="s">
        <v>58</v>
      </c>
      <c r="I76" t="s">
        <v>59</v>
      </c>
      <c r="J76" t="s">
        <v>55</v>
      </c>
      <c r="K76" t="s">
        <v>5075</v>
      </c>
      <c r="N76" t="s">
        <v>5076</v>
      </c>
      <c r="P76" t="s">
        <v>5077</v>
      </c>
      <c r="Q76">
        <v>5</v>
      </c>
      <c r="R76">
        <v>10</v>
      </c>
      <c r="S76">
        <v>5</v>
      </c>
      <c r="T76">
        <v>0</v>
      </c>
      <c r="U76">
        <v>0</v>
      </c>
      <c r="V76">
        <v>10</v>
      </c>
      <c r="W76">
        <v>0</v>
      </c>
      <c r="X76">
        <v>0</v>
      </c>
      <c r="Y76">
        <v>30</v>
      </c>
      <c r="Z76" t="s">
        <v>14</v>
      </c>
      <c r="AA76" t="s">
        <v>62</v>
      </c>
    </row>
    <row r="77" spans="1:27" s="36" customFormat="1" x14ac:dyDescent="0.25">
      <c r="A77" s="36" t="s">
        <v>5006</v>
      </c>
      <c r="B77" s="36" t="s">
        <v>5078</v>
      </c>
      <c r="C77" s="37" t="s">
        <v>5079</v>
      </c>
      <c r="D77"/>
      <c r="E77" s="36">
        <v>7957126085</v>
      </c>
      <c r="F77" s="36" t="s">
        <v>11</v>
      </c>
      <c r="G77" s="36" t="s">
        <v>579</v>
      </c>
      <c r="H77" s="36" t="s">
        <v>117</v>
      </c>
      <c r="I77" s="36" t="s">
        <v>51</v>
      </c>
      <c r="J77" s="36" t="s">
        <v>5080</v>
      </c>
      <c r="K77" s="35" t="s">
        <v>5081</v>
      </c>
      <c r="M77" s="36" t="s">
        <v>459</v>
      </c>
      <c r="N77" s="36" t="s">
        <v>5082</v>
      </c>
      <c r="P77" s="36" t="s">
        <v>5083</v>
      </c>
      <c r="Q77" s="36">
        <v>5</v>
      </c>
      <c r="R77" s="36">
        <v>10</v>
      </c>
      <c r="S77" s="36">
        <v>5</v>
      </c>
      <c r="T77" s="36">
        <v>0</v>
      </c>
      <c r="U77" s="36">
        <v>0</v>
      </c>
      <c r="V77" s="36">
        <v>10</v>
      </c>
      <c r="W77" s="36">
        <v>0</v>
      </c>
      <c r="X77" s="36">
        <v>0</v>
      </c>
      <c r="Y77" s="36">
        <v>30</v>
      </c>
      <c r="Z77" s="36" t="s">
        <v>14</v>
      </c>
      <c r="AA77" s="36" t="s">
        <v>580</v>
      </c>
    </row>
    <row r="78" spans="1:27" x14ac:dyDescent="0.25">
      <c r="E78">
        <v>5841308190</v>
      </c>
      <c r="F78" t="s">
        <v>10</v>
      </c>
      <c r="G78" t="s">
        <v>581</v>
      </c>
      <c r="H78" t="s">
        <v>41</v>
      </c>
      <c r="I78" t="s">
        <v>42</v>
      </c>
      <c r="J78" t="s">
        <v>452</v>
      </c>
      <c r="M78" t="s">
        <v>582</v>
      </c>
      <c r="N78" t="s">
        <v>45</v>
      </c>
      <c r="P78" t="s">
        <v>454</v>
      </c>
      <c r="Q78">
        <v>0</v>
      </c>
      <c r="R78">
        <v>20</v>
      </c>
      <c r="S78">
        <v>0</v>
      </c>
      <c r="T78">
        <v>10</v>
      </c>
      <c r="U78">
        <v>0</v>
      </c>
      <c r="V78" t="s">
        <v>45</v>
      </c>
      <c r="W78" t="s">
        <v>45</v>
      </c>
      <c r="X78" t="s">
        <v>45</v>
      </c>
      <c r="Y78">
        <v>30</v>
      </c>
      <c r="Z78" t="s">
        <v>15</v>
      </c>
      <c r="AA78" t="s">
        <v>583</v>
      </c>
    </row>
    <row r="79" spans="1:27" x14ac:dyDescent="0.25">
      <c r="E79">
        <v>5844630060</v>
      </c>
      <c r="F79" t="s">
        <v>10</v>
      </c>
      <c r="G79" t="s">
        <v>253</v>
      </c>
      <c r="H79" t="s">
        <v>94</v>
      </c>
      <c r="I79" t="s">
        <v>59</v>
      </c>
      <c r="J79" t="s">
        <v>938</v>
      </c>
      <c r="K79" t="s">
        <v>513</v>
      </c>
      <c r="N79" t="s">
        <v>5084</v>
      </c>
      <c r="P79" t="s">
        <v>5085</v>
      </c>
      <c r="Q79">
        <v>20</v>
      </c>
      <c r="R79">
        <v>0</v>
      </c>
      <c r="S79">
        <v>0</v>
      </c>
      <c r="T79">
        <v>10</v>
      </c>
      <c r="U79">
        <v>0</v>
      </c>
      <c r="V79" t="s">
        <v>45</v>
      </c>
      <c r="W79" t="s">
        <v>45</v>
      </c>
      <c r="X79" t="s">
        <v>45</v>
      </c>
      <c r="Y79">
        <v>30</v>
      </c>
      <c r="Z79" t="s">
        <v>15</v>
      </c>
      <c r="AA79" t="s">
        <v>256</v>
      </c>
    </row>
    <row r="80" spans="1:27" x14ac:dyDescent="0.25">
      <c r="E80">
        <v>5855411017</v>
      </c>
      <c r="F80" t="s">
        <v>10</v>
      </c>
      <c r="G80" t="s">
        <v>99</v>
      </c>
      <c r="H80" t="s">
        <v>100</v>
      </c>
      <c r="I80" t="s">
        <v>51</v>
      </c>
      <c r="J80" t="s">
        <v>5086</v>
      </c>
      <c r="K80" t="s">
        <v>5087</v>
      </c>
      <c r="N80" t="s">
        <v>484</v>
      </c>
      <c r="P80" t="s">
        <v>5088</v>
      </c>
      <c r="Q80">
        <v>0</v>
      </c>
      <c r="R80">
        <v>0</v>
      </c>
      <c r="S80">
        <v>0</v>
      </c>
      <c r="T80">
        <v>10</v>
      </c>
      <c r="U80">
        <v>20</v>
      </c>
      <c r="V80" t="s">
        <v>45</v>
      </c>
      <c r="W80" t="s">
        <v>45</v>
      </c>
      <c r="X80" t="s">
        <v>45</v>
      </c>
      <c r="Y80">
        <v>30</v>
      </c>
      <c r="Z80" t="s">
        <v>15</v>
      </c>
      <c r="AA80" t="s">
        <v>103</v>
      </c>
    </row>
    <row r="81" spans="1:27" x14ac:dyDescent="0.25">
      <c r="A81" t="s">
        <v>4996</v>
      </c>
      <c r="B81" t="s">
        <v>654</v>
      </c>
      <c r="E81">
        <v>7900505026</v>
      </c>
      <c r="F81" t="s">
        <v>11</v>
      </c>
      <c r="G81" t="s">
        <v>135</v>
      </c>
      <c r="H81" t="s">
        <v>135</v>
      </c>
      <c r="I81" t="s">
        <v>51</v>
      </c>
      <c r="J81" t="s">
        <v>452</v>
      </c>
      <c r="K81" t="s">
        <v>5089</v>
      </c>
      <c r="N81" t="s">
        <v>614</v>
      </c>
      <c r="P81" t="s">
        <v>454</v>
      </c>
      <c r="Q81">
        <v>5</v>
      </c>
      <c r="R81">
        <v>5</v>
      </c>
      <c r="S81">
        <v>5</v>
      </c>
      <c r="T81">
        <v>0</v>
      </c>
      <c r="U81">
        <v>0</v>
      </c>
      <c r="V81">
        <v>0</v>
      </c>
      <c r="W81">
        <v>10</v>
      </c>
      <c r="X81">
        <v>0</v>
      </c>
      <c r="Y81">
        <v>25</v>
      </c>
      <c r="Z81" t="s">
        <v>15</v>
      </c>
      <c r="AA81" t="s">
        <v>586</v>
      </c>
    </row>
    <row r="82" spans="1:27" x14ac:dyDescent="0.25">
      <c r="E82">
        <v>7908196047</v>
      </c>
      <c r="F82" t="s">
        <v>11</v>
      </c>
      <c r="G82" t="s">
        <v>111</v>
      </c>
      <c r="H82" t="s">
        <v>470</v>
      </c>
      <c r="I82" t="s">
        <v>42</v>
      </c>
      <c r="J82" t="s">
        <v>452</v>
      </c>
      <c r="N82" t="s">
        <v>614</v>
      </c>
      <c r="P82" t="s">
        <v>454</v>
      </c>
      <c r="Q82">
        <v>5</v>
      </c>
      <c r="R82">
        <v>5</v>
      </c>
      <c r="S82">
        <v>5</v>
      </c>
      <c r="T82">
        <v>0</v>
      </c>
      <c r="U82">
        <v>0</v>
      </c>
      <c r="V82">
        <v>0</v>
      </c>
      <c r="W82">
        <v>10</v>
      </c>
      <c r="X82">
        <v>0</v>
      </c>
      <c r="Y82">
        <v>25</v>
      </c>
      <c r="Z82" t="s">
        <v>15</v>
      </c>
      <c r="AA82" t="s">
        <v>115</v>
      </c>
    </row>
    <row r="83" spans="1:27" x14ac:dyDescent="0.25">
      <c r="A83" t="s">
        <v>5006</v>
      </c>
      <c r="B83" t="s">
        <v>5090</v>
      </c>
      <c r="E83">
        <v>7921202014</v>
      </c>
      <c r="F83" t="s">
        <v>11</v>
      </c>
      <c r="G83" t="s">
        <v>164</v>
      </c>
      <c r="H83" t="s">
        <v>117</v>
      </c>
      <c r="I83" t="s">
        <v>51</v>
      </c>
      <c r="J83" t="s">
        <v>313</v>
      </c>
      <c r="K83" t="s">
        <v>5091</v>
      </c>
      <c r="P83" t="s">
        <v>5092</v>
      </c>
      <c r="Q83">
        <v>5</v>
      </c>
      <c r="R83">
        <v>5</v>
      </c>
      <c r="S83">
        <v>5</v>
      </c>
      <c r="T83">
        <v>0</v>
      </c>
      <c r="U83">
        <v>0</v>
      </c>
      <c r="V83">
        <v>10</v>
      </c>
      <c r="W83">
        <v>0</v>
      </c>
      <c r="X83">
        <v>0</v>
      </c>
      <c r="Y83">
        <v>25</v>
      </c>
      <c r="Z83" t="s">
        <v>15</v>
      </c>
      <c r="AA83" t="s">
        <v>316</v>
      </c>
    </row>
    <row r="84" spans="1:27" x14ac:dyDescent="0.25">
      <c r="E84">
        <v>7923927122</v>
      </c>
      <c r="F84" t="s">
        <v>11</v>
      </c>
      <c r="G84" t="s">
        <v>264</v>
      </c>
      <c r="H84" t="s">
        <v>264</v>
      </c>
      <c r="I84" t="s">
        <v>51</v>
      </c>
      <c r="J84" t="s">
        <v>5093</v>
      </c>
      <c r="K84" t="s">
        <v>5094</v>
      </c>
      <c r="N84" t="s">
        <v>5095</v>
      </c>
      <c r="P84" t="s">
        <v>5096</v>
      </c>
      <c r="Q84">
        <v>15</v>
      </c>
      <c r="R84">
        <v>0</v>
      </c>
      <c r="S84">
        <v>0</v>
      </c>
      <c r="T84">
        <v>0</v>
      </c>
      <c r="U84">
        <v>0</v>
      </c>
      <c r="V84">
        <v>10</v>
      </c>
      <c r="W84">
        <v>0</v>
      </c>
      <c r="X84">
        <v>0</v>
      </c>
      <c r="Y84">
        <v>25</v>
      </c>
      <c r="Z84" t="s">
        <v>15</v>
      </c>
      <c r="AA84" t="s">
        <v>266</v>
      </c>
    </row>
    <row r="85" spans="1:27" x14ac:dyDescent="0.25">
      <c r="A85" t="s">
        <v>4996</v>
      </c>
      <c r="B85" t="s">
        <v>5097</v>
      </c>
      <c r="E85">
        <v>7927446001</v>
      </c>
      <c r="F85" t="s">
        <v>11</v>
      </c>
      <c r="G85" t="s">
        <v>50</v>
      </c>
      <c r="H85" t="s">
        <v>50</v>
      </c>
      <c r="I85" t="s">
        <v>51</v>
      </c>
      <c r="J85" t="s">
        <v>320</v>
      </c>
      <c r="K85" t="s">
        <v>5098</v>
      </c>
      <c r="N85" t="s">
        <v>5099</v>
      </c>
      <c r="P85" t="s">
        <v>321</v>
      </c>
      <c r="Q85">
        <v>5</v>
      </c>
      <c r="R85">
        <v>5</v>
      </c>
      <c r="S85">
        <v>5</v>
      </c>
      <c r="T85">
        <v>0</v>
      </c>
      <c r="U85">
        <v>0</v>
      </c>
      <c r="V85">
        <v>10</v>
      </c>
      <c r="W85">
        <v>0</v>
      </c>
      <c r="X85">
        <v>0</v>
      </c>
      <c r="Y85">
        <v>25</v>
      </c>
      <c r="Z85" t="s">
        <v>15</v>
      </c>
      <c r="AA85" t="s">
        <v>322</v>
      </c>
    </row>
    <row r="86" spans="1:27" x14ac:dyDescent="0.25">
      <c r="E86">
        <v>7928241200</v>
      </c>
      <c r="F86" t="s">
        <v>11</v>
      </c>
      <c r="G86" t="s">
        <v>293</v>
      </c>
      <c r="H86" t="s">
        <v>224</v>
      </c>
      <c r="I86" t="s">
        <v>42</v>
      </c>
      <c r="J86" t="s">
        <v>323</v>
      </c>
      <c r="K86" t="s">
        <v>5100</v>
      </c>
      <c r="N86" t="s">
        <v>5095</v>
      </c>
      <c r="P86" t="s">
        <v>5101</v>
      </c>
      <c r="Q86">
        <v>5</v>
      </c>
      <c r="R86">
        <v>5</v>
      </c>
      <c r="S86">
        <v>5</v>
      </c>
      <c r="T86">
        <v>0</v>
      </c>
      <c r="U86">
        <v>0</v>
      </c>
      <c r="V86">
        <v>10</v>
      </c>
      <c r="W86">
        <v>0</v>
      </c>
      <c r="X86">
        <v>0</v>
      </c>
      <c r="Y86">
        <v>25</v>
      </c>
      <c r="Z86" t="s">
        <v>15</v>
      </c>
      <c r="AA86" t="s">
        <v>326</v>
      </c>
    </row>
    <row r="87" spans="1:27" x14ac:dyDescent="0.25">
      <c r="E87">
        <v>7942485096</v>
      </c>
      <c r="F87" t="s">
        <v>11</v>
      </c>
      <c r="G87" t="s">
        <v>310</v>
      </c>
      <c r="H87" t="s">
        <v>135</v>
      </c>
      <c r="I87" t="s">
        <v>51</v>
      </c>
      <c r="J87" t="s">
        <v>309</v>
      </c>
      <c r="K87" t="s">
        <v>472</v>
      </c>
      <c r="N87" t="s">
        <v>5102</v>
      </c>
      <c r="P87" t="s">
        <v>311</v>
      </c>
      <c r="Q87">
        <v>5</v>
      </c>
      <c r="R87">
        <v>5</v>
      </c>
      <c r="S87">
        <v>5</v>
      </c>
      <c r="T87">
        <v>0</v>
      </c>
      <c r="U87">
        <v>0</v>
      </c>
      <c r="V87">
        <v>10</v>
      </c>
      <c r="W87">
        <v>0</v>
      </c>
      <c r="X87">
        <v>0</v>
      </c>
      <c r="Y87">
        <v>25</v>
      </c>
      <c r="Z87" t="s">
        <v>15</v>
      </c>
      <c r="AA87" t="s">
        <v>312</v>
      </c>
    </row>
    <row r="88" spans="1:27" x14ac:dyDescent="0.25">
      <c r="E88">
        <v>7955430075</v>
      </c>
      <c r="F88" t="s">
        <v>11</v>
      </c>
      <c r="G88" t="s">
        <v>590</v>
      </c>
      <c r="H88" t="s">
        <v>152</v>
      </c>
      <c r="I88" t="s">
        <v>51</v>
      </c>
      <c r="J88" t="s">
        <v>452</v>
      </c>
      <c r="K88" t="s">
        <v>5103</v>
      </c>
      <c r="M88" t="s">
        <v>572</v>
      </c>
      <c r="N88" t="s">
        <v>5095</v>
      </c>
      <c r="P88" t="s">
        <v>454</v>
      </c>
      <c r="Q88">
        <v>5</v>
      </c>
      <c r="R88">
        <v>5</v>
      </c>
      <c r="S88">
        <v>5</v>
      </c>
      <c r="T88">
        <v>0</v>
      </c>
      <c r="U88">
        <v>0</v>
      </c>
      <c r="V88">
        <v>0</v>
      </c>
      <c r="W88">
        <v>10</v>
      </c>
      <c r="X88">
        <v>0</v>
      </c>
      <c r="Y88">
        <v>25</v>
      </c>
      <c r="Z88" t="s">
        <v>15</v>
      </c>
      <c r="AA88" t="s">
        <v>591</v>
      </c>
    </row>
    <row r="89" spans="1:27" x14ac:dyDescent="0.25">
      <c r="E89">
        <v>7955686076</v>
      </c>
      <c r="F89" t="s">
        <v>11</v>
      </c>
      <c r="G89" t="s">
        <v>209</v>
      </c>
      <c r="H89" t="s">
        <v>210</v>
      </c>
      <c r="I89" t="s">
        <v>42</v>
      </c>
      <c r="J89" t="s">
        <v>452</v>
      </c>
      <c r="M89" t="s">
        <v>453</v>
      </c>
      <c r="N89" t="s">
        <v>45</v>
      </c>
      <c r="P89" t="s">
        <v>454</v>
      </c>
      <c r="Q89">
        <v>5</v>
      </c>
      <c r="R89">
        <v>5</v>
      </c>
      <c r="S89">
        <v>0</v>
      </c>
      <c r="T89">
        <v>0</v>
      </c>
      <c r="U89">
        <v>15</v>
      </c>
      <c r="V89">
        <v>0</v>
      </c>
      <c r="W89">
        <v>0</v>
      </c>
      <c r="X89">
        <v>0</v>
      </c>
      <c r="Y89">
        <v>25</v>
      </c>
      <c r="Z89" t="s">
        <v>15</v>
      </c>
      <c r="AA89" t="s">
        <v>592</v>
      </c>
    </row>
    <row r="90" spans="1:27" s="34" customFormat="1" x14ac:dyDescent="0.25">
      <c r="E90" s="34">
        <v>7955946007</v>
      </c>
      <c r="F90" s="34" t="s">
        <v>11</v>
      </c>
      <c r="G90" s="34" t="s">
        <v>100</v>
      </c>
      <c r="H90" s="34" t="s">
        <v>100</v>
      </c>
      <c r="I90" s="34" t="s">
        <v>51</v>
      </c>
      <c r="J90" s="34" t="s">
        <v>452</v>
      </c>
      <c r="K90" s="34" t="s">
        <v>5104</v>
      </c>
      <c r="P90" s="34" t="s">
        <v>454</v>
      </c>
      <c r="Q90" s="34">
        <v>5</v>
      </c>
      <c r="R90" s="34">
        <v>5</v>
      </c>
      <c r="S90" s="34">
        <v>5</v>
      </c>
      <c r="T90" s="34">
        <v>0</v>
      </c>
      <c r="U90" s="34">
        <v>0</v>
      </c>
      <c r="V90" s="34">
        <v>0</v>
      </c>
      <c r="W90" s="34">
        <v>10</v>
      </c>
      <c r="X90" s="34">
        <v>0</v>
      </c>
      <c r="Y90" s="34">
        <v>25</v>
      </c>
      <c r="Z90" s="34" t="s">
        <v>15</v>
      </c>
      <c r="AA90" s="34" t="s">
        <v>247</v>
      </c>
    </row>
    <row r="91" spans="1:27" x14ac:dyDescent="0.25">
      <c r="E91">
        <v>7901110084</v>
      </c>
      <c r="F91" t="s">
        <v>11</v>
      </c>
      <c r="G91" t="s">
        <v>152</v>
      </c>
      <c r="H91" t="s">
        <v>152</v>
      </c>
      <c r="I91" t="s">
        <v>51</v>
      </c>
      <c r="J91" t="s">
        <v>151</v>
      </c>
      <c r="K91" t="s">
        <v>5105</v>
      </c>
      <c r="P91" t="s">
        <v>154</v>
      </c>
      <c r="Q91">
        <v>5</v>
      </c>
      <c r="R91">
        <v>5</v>
      </c>
      <c r="S91">
        <v>0</v>
      </c>
      <c r="T91">
        <v>0</v>
      </c>
      <c r="U91">
        <v>0</v>
      </c>
      <c r="V91">
        <v>0</v>
      </c>
      <c r="W91">
        <v>10</v>
      </c>
      <c r="X91">
        <v>0</v>
      </c>
      <c r="Y91">
        <v>20</v>
      </c>
      <c r="Z91" t="s">
        <v>15</v>
      </c>
      <c r="AA91" t="s">
        <v>155</v>
      </c>
    </row>
    <row r="92" spans="1:27" x14ac:dyDescent="0.25">
      <c r="E92">
        <v>7908206074</v>
      </c>
      <c r="F92" t="s">
        <v>11</v>
      </c>
      <c r="G92" t="s">
        <v>41</v>
      </c>
      <c r="H92" t="s">
        <v>41</v>
      </c>
      <c r="I92" t="s">
        <v>42</v>
      </c>
      <c r="J92" t="s">
        <v>452</v>
      </c>
      <c r="K92" t="s">
        <v>5106</v>
      </c>
      <c r="M92" t="s">
        <v>572</v>
      </c>
      <c r="N92" t="s">
        <v>508</v>
      </c>
      <c r="P92" t="s">
        <v>454</v>
      </c>
      <c r="Q92">
        <v>5</v>
      </c>
      <c r="R92">
        <v>5</v>
      </c>
      <c r="S92">
        <v>0</v>
      </c>
      <c r="T92">
        <v>0</v>
      </c>
      <c r="U92">
        <v>0</v>
      </c>
      <c r="V92">
        <v>0</v>
      </c>
      <c r="W92">
        <v>10</v>
      </c>
      <c r="X92">
        <v>0</v>
      </c>
      <c r="Y92">
        <v>20</v>
      </c>
      <c r="Z92" t="s">
        <v>15</v>
      </c>
      <c r="AA92" t="s">
        <v>593</v>
      </c>
    </row>
    <row r="93" spans="1:27" x14ac:dyDescent="0.25">
      <c r="E93">
        <v>7908708116</v>
      </c>
      <c r="F93" t="s">
        <v>11</v>
      </c>
      <c r="G93" t="s">
        <v>215</v>
      </c>
      <c r="H93" t="s">
        <v>41</v>
      </c>
      <c r="I93" t="s">
        <v>42</v>
      </c>
      <c r="J93" t="s">
        <v>452</v>
      </c>
      <c r="K93" t="s">
        <v>5027</v>
      </c>
      <c r="N93" t="s">
        <v>5066</v>
      </c>
      <c r="P93" t="s">
        <v>454</v>
      </c>
      <c r="Q93">
        <v>5</v>
      </c>
      <c r="R93">
        <v>5</v>
      </c>
      <c r="S93">
        <v>0</v>
      </c>
      <c r="T93">
        <v>0</v>
      </c>
      <c r="U93">
        <v>0</v>
      </c>
      <c r="V93">
        <v>0</v>
      </c>
      <c r="W93">
        <v>10</v>
      </c>
      <c r="X93">
        <v>0</v>
      </c>
      <c r="Y93">
        <v>20</v>
      </c>
      <c r="Z93" t="s">
        <v>15</v>
      </c>
      <c r="AA93" t="s">
        <v>217</v>
      </c>
    </row>
    <row r="94" spans="1:27" x14ac:dyDescent="0.25">
      <c r="E94">
        <v>7910027196</v>
      </c>
      <c r="F94" t="s">
        <v>11</v>
      </c>
      <c r="G94" t="s">
        <v>233</v>
      </c>
      <c r="H94" t="s">
        <v>74</v>
      </c>
      <c r="I94" t="s">
        <v>51</v>
      </c>
      <c r="J94" t="s">
        <v>452</v>
      </c>
      <c r="K94" t="s">
        <v>5107</v>
      </c>
      <c r="N94" t="s">
        <v>5108</v>
      </c>
      <c r="P94" t="s">
        <v>454</v>
      </c>
      <c r="Q94">
        <v>5</v>
      </c>
      <c r="R94">
        <v>5</v>
      </c>
      <c r="S94">
        <v>0</v>
      </c>
      <c r="T94">
        <v>0</v>
      </c>
      <c r="U94">
        <v>0</v>
      </c>
      <c r="V94">
        <v>0</v>
      </c>
      <c r="W94">
        <v>10</v>
      </c>
      <c r="X94">
        <v>0</v>
      </c>
      <c r="Y94">
        <v>20</v>
      </c>
      <c r="Z94" t="s">
        <v>15</v>
      </c>
      <c r="AA94" t="s">
        <v>236</v>
      </c>
    </row>
    <row r="95" spans="1:27" x14ac:dyDescent="0.25">
      <c r="E95">
        <v>7913662076</v>
      </c>
      <c r="F95" t="s">
        <v>11</v>
      </c>
      <c r="G95" t="s">
        <v>209</v>
      </c>
      <c r="H95" t="s">
        <v>210</v>
      </c>
      <c r="I95" t="s">
        <v>42</v>
      </c>
      <c r="J95" t="s">
        <v>208</v>
      </c>
      <c r="K95" t="s">
        <v>5109</v>
      </c>
      <c r="P95" t="s">
        <v>596</v>
      </c>
      <c r="Q95">
        <v>5</v>
      </c>
      <c r="R95">
        <v>5</v>
      </c>
      <c r="S95">
        <v>0</v>
      </c>
      <c r="T95">
        <v>0</v>
      </c>
      <c r="U95">
        <v>0</v>
      </c>
      <c r="V95">
        <v>10</v>
      </c>
      <c r="W95">
        <v>0</v>
      </c>
      <c r="X95">
        <v>0</v>
      </c>
      <c r="Y95">
        <v>20</v>
      </c>
      <c r="Z95" t="s">
        <v>15</v>
      </c>
      <c r="AA95" t="s">
        <v>213</v>
      </c>
    </row>
    <row r="96" spans="1:27" x14ac:dyDescent="0.25">
      <c r="E96">
        <v>5862236091</v>
      </c>
      <c r="F96" t="s">
        <v>10</v>
      </c>
      <c r="G96" t="s">
        <v>40</v>
      </c>
      <c r="H96" t="s">
        <v>41</v>
      </c>
      <c r="I96" t="s">
        <v>42</v>
      </c>
      <c r="J96" t="s">
        <v>902</v>
      </c>
      <c r="K96" t="s">
        <v>5110</v>
      </c>
      <c r="L96" t="s">
        <v>5111</v>
      </c>
      <c r="N96" t="s">
        <v>5084</v>
      </c>
      <c r="P96" t="s">
        <v>5112</v>
      </c>
      <c r="Q96">
        <v>0</v>
      </c>
      <c r="R96">
        <v>0</v>
      </c>
      <c r="S96">
        <v>0</v>
      </c>
      <c r="T96">
        <v>20</v>
      </c>
      <c r="U96">
        <v>0</v>
      </c>
      <c r="V96" t="s">
        <v>45</v>
      </c>
      <c r="W96" t="s">
        <v>45</v>
      </c>
      <c r="X96" t="s">
        <v>45</v>
      </c>
      <c r="Y96">
        <v>20</v>
      </c>
      <c r="Z96" t="s">
        <v>15</v>
      </c>
      <c r="AA96" t="s">
        <v>330</v>
      </c>
    </row>
    <row r="97" spans="1:27" x14ac:dyDescent="0.25">
      <c r="E97">
        <v>5836786094</v>
      </c>
      <c r="F97" t="s">
        <v>10</v>
      </c>
      <c r="G97" t="s">
        <v>224</v>
      </c>
      <c r="H97" t="s">
        <v>224</v>
      </c>
      <c r="I97" t="s">
        <v>42</v>
      </c>
      <c r="J97" t="s">
        <v>331</v>
      </c>
      <c r="K97" t="s">
        <v>5113</v>
      </c>
      <c r="P97" t="s">
        <v>5114</v>
      </c>
      <c r="Q97">
        <v>0</v>
      </c>
      <c r="R97">
        <v>0</v>
      </c>
      <c r="S97">
        <v>0</v>
      </c>
      <c r="T97">
        <v>10</v>
      </c>
      <c r="U97">
        <v>10</v>
      </c>
      <c r="V97" t="s">
        <v>45</v>
      </c>
      <c r="W97" t="s">
        <v>45</v>
      </c>
      <c r="X97" t="s">
        <v>45</v>
      </c>
      <c r="Y97">
        <v>20</v>
      </c>
      <c r="Z97" t="s">
        <v>15</v>
      </c>
      <c r="AA97" t="s">
        <v>333</v>
      </c>
    </row>
    <row r="98" spans="1:27" x14ac:dyDescent="0.25">
      <c r="A98" t="s">
        <v>5006</v>
      </c>
      <c r="E98">
        <v>7919270014</v>
      </c>
      <c r="F98" t="s">
        <v>11</v>
      </c>
      <c r="G98" t="s">
        <v>164</v>
      </c>
      <c r="H98" t="s">
        <v>117</v>
      </c>
      <c r="I98" t="s">
        <v>51</v>
      </c>
      <c r="J98" t="s">
        <v>4901</v>
      </c>
      <c r="K98" t="s">
        <v>5109</v>
      </c>
      <c r="P98" t="s">
        <v>5115</v>
      </c>
      <c r="Q98">
        <v>5</v>
      </c>
      <c r="R98">
        <v>5</v>
      </c>
      <c r="S98">
        <v>0</v>
      </c>
      <c r="T98">
        <v>0</v>
      </c>
      <c r="U98">
        <v>0</v>
      </c>
      <c r="V98">
        <v>10</v>
      </c>
      <c r="W98">
        <v>0</v>
      </c>
      <c r="X98">
        <v>0</v>
      </c>
      <c r="Y98">
        <v>20</v>
      </c>
      <c r="Z98" t="s">
        <v>15</v>
      </c>
      <c r="AA98" t="s">
        <v>337</v>
      </c>
    </row>
    <row r="99" spans="1:27" x14ac:dyDescent="0.25">
      <c r="E99">
        <v>7926442035</v>
      </c>
      <c r="F99" t="s">
        <v>11</v>
      </c>
      <c r="G99" t="s">
        <v>339</v>
      </c>
      <c r="H99" t="s">
        <v>135</v>
      </c>
      <c r="I99" t="s">
        <v>51</v>
      </c>
      <c r="J99" t="s">
        <v>338</v>
      </c>
      <c r="K99" t="s">
        <v>472</v>
      </c>
      <c r="P99" t="s">
        <v>341</v>
      </c>
      <c r="Q99">
        <v>5</v>
      </c>
      <c r="R99">
        <v>5</v>
      </c>
      <c r="S99">
        <v>0</v>
      </c>
      <c r="T99">
        <v>0</v>
      </c>
      <c r="U99">
        <v>0</v>
      </c>
      <c r="V99">
        <v>0</v>
      </c>
      <c r="W99">
        <v>10</v>
      </c>
      <c r="X99">
        <v>0</v>
      </c>
      <c r="Y99">
        <v>20</v>
      </c>
      <c r="Z99" t="s">
        <v>15</v>
      </c>
      <c r="AA99" t="s">
        <v>342</v>
      </c>
    </row>
    <row r="100" spans="1:27" x14ac:dyDescent="0.25">
      <c r="E100">
        <v>7954668084</v>
      </c>
      <c r="F100" t="s">
        <v>11</v>
      </c>
      <c r="G100" t="s">
        <v>152</v>
      </c>
      <c r="H100" t="s">
        <v>152</v>
      </c>
      <c r="I100" t="s">
        <v>51</v>
      </c>
      <c r="J100" t="s">
        <v>452</v>
      </c>
      <c r="N100" t="s">
        <v>5116</v>
      </c>
      <c r="P100" t="s">
        <v>454</v>
      </c>
      <c r="Q100">
        <v>5</v>
      </c>
      <c r="R100">
        <v>5</v>
      </c>
      <c r="S100">
        <v>0</v>
      </c>
      <c r="T100">
        <v>0</v>
      </c>
      <c r="U100">
        <v>0</v>
      </c>
      <c r="V100">
        <v>0</v>
      </c>
      <c r="W100">
        <v>10</v>
      </c>
      <c r="Y100">
        <v>20</v>
      </c>
      <c r="Z100" t="s">
        <v>15</v>
      </c>
      <c r="AA100" t="s">
        <v>603</v>
      </c>
    </row>
    <row r="101" spans="1:27" x14ac:dyDescent="0.25">
      <c r="A101" t="s">
        <v>5117</v>
      </c>
      <c r="E101">
        <v>7938137007</v>
      </c>
      <c r="F101" t="s">
        <v>11</v>
      </c>
      <c r="G101" t="s">
        <v>100</v>
      </c>
      <c r="H101" t="s">
        <v>100</v>
      </c>
      <c r="I101" t="s">
        <v>51</v>
      </c>
      <c r="J101" t="s">
        <v>5118</v>
      </c>
      <c r="K101" t="s">
        <v>5119</v>
      </c>
      <c r="L101" t="s">
        <v>5120</v>
      </c>
      <c r="N101" t="s">
        <v>5121</v>
      </c>
      <c r="P101" t="s">
        <v>5122</v>
      </c>
      <c r="Q101">
        <v>5</v>
      </c>
      <c r="R101">
        <v>5</v>
      </c>
      <c r="S101">
        <v>5</v>
      </c>
      <c r="T101">
        <v>0</v>
      </c>
      <c r="U101">
        <v>0</v>
      </c>
      <c r="V101">
        <v>0</v>
      </c>
      <c r="W101">
        <v>0</v>
      </c>
      <c r="X101">
        <v>0</v>
      </c>
      <c r="Y101">
        <v>15</v>
      </c>
      <c r="Z101" t="s">
        <v>15</v>
      </c>
      <c r="AA101" t="s">
        <v>345</v>
      </c>
    </row>
    <row r="102" spans="1:27" x14ac:dyDescent="0.25">
      <c r="E102">
        <v>5856156091</v>
      </c>
      <c r="F102" t="s">
        <v>10</v>
      </c>
      <c r="G102" t="s">
        <v>40</v>
      </c>
      <c r="H102" t="s">
        <v>41</v>
      </c>
      <c r="I102" t="s">
        <v>42</v>
      </c>
      <c r="J102" t="s">
        <v>605</v>
      </c>
      <c r="K102" t="s">
        <v>5123</v>
      </c>
      <c r="N102" t="s">
        <v>5124</v>
      </c>
      <c r="P102" t="s">
        <v>607</v>
      </c>
      <c r="Q102">
        <v>0</v>
      </c>
      <c r="R102">
        <v>0</v>
      </c>
      <c r="S102">
        <v>0</v>
      </c>
      <c r="T102">
        <v>0</v>
      </c>
      <c r="U102">
        <v>0</v>
      </c>
      <c r="V102" t="s">
        <v>45</v>
      </c>
      <c r="W102" t="s">
        <v>45</v>
      </c>
      <c r="X102" t="s">
        <v>45</v>
      </c>
      <c r="Y102">
        <v>0</v>
      </c>
      <c r="Z102" t="s">
        <v>15</v>
      </c>
      <c r="AA102" t="s">
        <v>348</v>
      </c>
    </row>
    <row r="103" spans="1:27" x14ac:dyDescent="0.25">
      <c r="E103">
        <v>5858783119</v>
      </c>
      <c r="F103" t="s">
        <v>10</v>
      </c>
      <c r="G103" t="s">
        <v>350</v>
      </c>
      <c r="H103" t="s">
        <v>259</v>
      </c>
      <c r="I103" t="s">
        <v>59</v>
      </c>
      <c r="J103" t="s">
        <v>909</v>
      </c>
      <c r="K103" t="s">
        <v>5125</v>
      </c>
      <c r="N103" t="s">
        <v>5126</v>
      </c>
      <c r="P103" t="s">
        <v>5127</v>
      </c>
      <c r="Q103">
        <v>0</v>
      </c>
      <c r="R103">
        <v>0</v>
      </c>
      <c r="S103">
        <v>0</v>
      </c>
      <c r="T103">
        <v>0</v>
      </c>
      <c r="U103">
        <v>0</v>
      </c>
      <c r="V103" t="s">
        <v>45</v>
      </c>
      <c r="W103" t="s">
        <v>45</v>
      </c>
      <c r="X103" t="s">
        <v>45</v>
      </c>
      <c r="Y103">
        <v>0</v>
      </c>
      <c r="Z103" t="s">
        <v>15</v>
      </c>
      <c r="AA103" t="s">
        <v>5128</v>
      </c>
    </row>
    <row r="104" spans="1:27" x14ac:dyDescent="0.25">
      <c r="E104">
        <v>7900532053</v>
      </c>
      <c r="F104" t="s">
        <v>11</v>
      </c>
      <c r="G104" t="s">
        <v>612</v>
      </c>
      <c r="H104" t="s">
        <v>259</v>
      </c>
      <c r="I104" t="s">
        <v>59</v>
      </c>
      <c r="J104" t="s">
        <v>452</v>
      </c>
      <c r="K104" t="s">
        <v>613</v>
      </c>
      <c r="N104" t="s">
        <v>614</v>
      </c>
      <c r="P104" t="s">
        <v>454</v>
      </c>
      <c r="Q104">
        <v>0</v>
      </c>
      <c r="R104">
        <v>0</v>
      </c>
      <c r="S104">
        <v>0</v>
      </c>
      <c r="T104">
        <v>0</v>
      </c>
      <c r="U104">
        <v>0</v>
      </c>
      <c r="V104">
        <v>0</v>
      </c>
      <c r="W104">
        <v>0</v>
      </c>
      <c r="X104">
        <v>0</v>
      </c>
      <c r="Y104">
        <v>0</v>
      </c>
      <c r="Z104" t="s">
        <v>45</v>
      </c>
      <c r="AA104" t="s">
        <v>615</v>
      </c>
    </row>
    <row r="105" spans="1:27" x14ac:dyDescent="0.25">
      <c r="E105">
        <v>7925713040</v>
      </c>
      <c r="F105" t="s">
        <v>11</v>
      </c>
      <c r="G105" t="s">
        <v>521</v>
      </c>
      <c r="H105" t="s">
        <v>69</v>
      </c>
      <c r="I105" t="s">
        <v>59</v>
      </c>
      <c r="J105" t="s">
        <v>680</v>
      </c>
      <c r="P105" t="s">
        <v>681</v>
      </c>
      <c r="Q105" t="s">
        <v>730</v>
      </c>
      <c r="Y105">
        <v>0</v>
      </c>
    </row>
    <row r="106" spans="1:27" x14ac:dyDescent="0.25">
      <c r="E106">
        <v>7948412064</v>
      </c>
      <c r="F106" t="s">
        <v>11</v>
      </c>
      <c r="G106" t="s">
        <v>389</v>
      </c>
      <c r="H106" t="s">
        <v>106</v>
      </c>
      <c r="I106" t="s">
        <v>59</v>
      </c>
      <c r="J106" t="s">
        <v>676</v>
      </c>
      <c r="P106" t="s">
        <v>677</v>
      </c>
      <c r="Q106" t="s">
        <v>730</v>
      </c>
      <c r="Y106">
        <v>0</v>
      </c>
    </row>
    <row r="107" spans="1:27" x14ac:dyDescent="0.25">
      <c r="E107">
        <v>7955832052</v>
      </c>
      <c r="F107" t="s">
        <v>11</v>
      </c>
      <c r="G107" t="s">
        <v>112</v>
      </c>
      <c r="H107" t="s">
        <v>112</v>
      </c>
      <c r="I107" t="s">
        <v>42</v>
      </c>
      <c r="J107" t="s">
        <v>616</v>
      </c>
      <c r="P107" t="s">
        <v>617</v>
      </c>
      <c r="Q107" t="s">
        <v>730</v>
      </c>
      <c r="Y107">
        <v>0</v>
      </c>
    </row>
    <row r="108" spans="1:27" x14ac:dyDescent="0.25">
      <c r="E108">
        <v>7930359149</v>
      </c>
      <c r="F108" t="s">
        <v>11</v>
      </c>
      <c r="G108" t="s">
        <v>195</v>
      </c>
      <c r="H108" t="s">
        <v>152</v>
      </c>
      <c r="I108" t="s">
        <v>51</v>
      </c>
      <c r="J108" t="s">
        <v>354</v>
      </c>
      <c r="P108" t="s">
        <v>356</v>
      </c>
      <c r="Q108" t="s">
        <v>730</v>
      </c>
      <c r="Y108">
        <v>0</v>
      </c>
    </row>
    <row r="109" spans="1:27" x14ac:dyDescent="0.25">
      <c r="E109">
        <v>7902098003</v>
      </c>
      <c r="F109" t="s">
        <v>11</v>
      </c>
      <c r="G109" t="s">
        <v>210</v>
      </c>
      <c r="H109" t="s">
        <v>210</v>
      </c>
      <c r="I109" t="s">
        <v>42</v>
      </c>
      <c r="J109" t="s">
        <v>618</v>
      </c>
      <c r="P109" t="s">
        <v>619</v>
      </c>
      <c r="Q109" t="s">
        <v>730</v>
      </c>
      <c r="Y109">
        <v>0</v>
      </c>
    </row>
    <row r="110" spans="1:27" x14ac:dyDescent="0.25">
      <c r="E110">
        <v>7953211079</v>
      </c>
      <c r="F110" t="s">
        <v>11</v>
      </c>
      <c r="G110" t="s">
        <v>359</v>
      </c>
      <c r="H110" t="s">
        <v>106</v>
      </c>
      <c r="I110" t="s">
        <v>59</v>
      </c>
      <c r="J110" t="s">
        <v>1112</v>
      </c>
      <c r="P110" t="s">
        <v>1113</v>
      </c>
      <c r="Q110" t="s">
        <v>730</v>
      </c>
      <c r="Y110">
        <v>0</v>
      </c>
    </row>
    <row r="111" spans="1:27" x14ac:dyDescent="0.25">
      <c r="E111">
        <v>7949648145</v>
      </c>
      <c r="F111" t="s">
        <v>11</v>
      </c>
      <c r="G111" t="s">
        <v>363</v>
      </c>
      <c r="H111" t="s">
        <v>58</v>
      </c>
      <c r="I111" t="s">
        <v>59</v>
      </c>
      <c r="J111" t="s">
        <v>362</v>
      </c>
      <c r="P111" t="s">
        <v>365</v>
      </c>
      <c r="Q111" t="s">
        <v>730</v>
      </c>
      <c r="Y111">
        <v>0</v>
      </c>
    </row>
    <row r="112" spans="1:27" x14ac:dyDescent="0.25">
      <c r="E112">
        <v>7957021094</v>
      </c>
      <c r="F112" t="s">
        <v>11</v>
      </c>
      <c r="G112" t="s">
        <v>224</v>
      </c>
      <c r="H112" t="s">
        <v>224</v>
      </c>
      <c r="I112" t="s">
        <v>42</v>
      </c>
      <c r="J112" t="s">
        <v>452</v>
      </c>
      <c r="P112" t="s">
        <v>454</v>
      </c>
      <c r="Q112" t="s">
        <v>730</v>
      </c>
      <c r="Y112">
        <v>0</v>
      </c>
    </row>
    <row r="113" spans="1:25" x14ac:dyDescent="0.25">
      <c r="E113">
        <v>7908300096</v>
      </c>
      <c r="F113" t="s">
        <v>11</v>
      </c>
      <c r="G113" t="s">
        <v>310</v>
      </c>
      <c r="H113" t="s">
        <v>135</v>
      </c>
      <c r="I113" t="s">
        <v>51</v>
      </c>
      <c r="J113" t="s">
        <v>366</v>
      </c>
      <c r="P113" t="s">
        <v>367</v>
      </c>
      <c r="Q113" t="s">
        <v>730</v>
      </c>
      <c r="Y113">
        <v>0</v>
      </c>
    </row>
    <row r="114" spans="1:25" x14ac:dyDescent="0.25">
      <c r="A114" t="s">
        <v>4996</v>
      </c>
      <c r="B114" t="s">
        <v>5051</v>
      </c>
      <c r="E114">
        <v>7953570026</v>
      </c>
      <c r="F114" t="s">
        <v>11</v>
      </c>
      <c r="G114" t="s">
        <v>135</v>
      </c>
      <c r="H114" t="s">
        <v>135</v>
      </c>
      <c r="I114" t="s">
        <v>51</v>
      </c>
      <c r="J114" t="s">
        <v>622</v>
      </c>
      <c r="P114" t="s">
        <v>623</v>
      </c>
      <c r="Q114" t="s">
        <v>730</v>
      </c>
      <c r="Y114">
        <v>0</v>
      </c>
    </row>
    <row r="115" spans="1:25" x14ac:dyDescent="0.25">
      <c r="A115" t="s">
        <v>4996</v>
      </c>
      <c r="B115" s="7" t="s">
        <v>5129</v>
      </c>
      <c r="C115" s="7"/>
      <c r="D115" s="7"/>
      <c r="E115">
        <v>7911120026</v>
      </c>
      <c r="F115" t="s">
        <v>11</v>
      </c>
      <c r="G115" t="s">
        <v>135</v>
      </c>
      <c r="H115" t="s">
        <v>135</v>
      </c>
      <c r="I115" t="s">
        <v>51</v>
      </c>
      <c r="J115" t="s">
        <v>624</v>
      </c>
      <c r="K115" t="s">
        <v>533</v>
      </c>
      <c r="P115" t="s">
        <v>626</v>
      </c>
      <c r="Q115" t="s">
        <v>730</v>
      </c>
      <c r="Y115">
        <v>0</v>
      </c>
    </row>
    <row r="116" spans="1:25" x14ac:dyDescent="0.25">
      <c r="E116">
        <v>5820790038</v>
      </c>
      <c r="F116" t="s">
        <v>10</v>
      </c>
      <c r="G116" t="s">
        <v>627</v>
      </c>
      <c r="H116" t="s">
        <v>41</v>
      </c>
      <c r="I116" t="s">
        <v>42</v>
      </c>
      <c r="J116" t="s">
        <v>452</v>
      </c>
      <c r="P116" t="s">
        <v>454</v>
      </c>
      <c r="Q116" t="s">
        <v>730</v>
      </c>
      <c r="Y116">
        <v>0</v>
      </c>
    </row>
    <row r="117" spans="1:25" x14ac:dyDescent="0.25">
      <c r="E117">
        <v>7934697002</v>
      </c>
      <c r="F117" t="s">
        <v>11</v>
      </c>
      <c r="G117" t="s">
        <v>259</v>
      </c>
      <c r="H117" t="s">
        <v>259</v>
      </c>
      <c r="I117" t="s">
        <v>59</v>
      </c>
      <c r="J117" t="s">
        <v>683</v>
      </c>
      <c r="P117" t="s">
        <v>684</v>
      </c>
      <c r="Q117" t="s">
        <v>730</v>
      </c>
      <c r="Y117">
        <v>0</v>
      </c>
    </row>
  </sheetData>
  <autoFilter ref="A1:AA117" xr:uid="{31A4CA31-C363-4ED3-A0AE-93265F3F5281}"/>
  <pageMargins left="0.511811024" right="0.511811024" top="0.78740157499999996" bottom="0.78740157499999996" header="0.31496062000000002" footer="0.31496062000000002"/>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72F9E-5EBC-4832-9F56-A7DB9B7501D6}">
  <dimension ref="A1:G276"/>
  <sheetViews>
    <sheetView workbookViewId="0"/>
  </sheetViews>
  <sheetFormatPr defaultRowHeight="15" x14ac:dyDescent="0.25"/>
  <cols>
    <col min="1" max="1" width="12" bestFit="1" customWidth="1"/>
    <col min="2" max="2" width="11.85546875" bestFit="1" customWidth="1"/>
    <col min="3" max="3" width="32.85546875" bestFit="1" customWidth="1"/>
    <col min="4" max="4" width="11.42578125" bestFit="1" customWidth="1"/>
    <col min="5" max="6" width="25.140625" bestFit="1" customWidth="1"/>
    <col min="7" max="7" width="15.140625" bestFit="1" customWidth="1"/>
  </cols>
  <sheetData>
    <row r="1" spans="1:7" x14ac:dyDescent="0.25">
      <c r="A1" t="s">
        <v>5130</v>
      </c>
      <c r="B1" t="s">
        <v>5131</v>
      </c>
      <c r="C1" t="s">
        <v>5132</v>
      </c>
      <c r="D1" t="s">
        <v>5133</v>
      </c>
      <c r="E1" t="s">
        <v>5134</v>
      </c>
      <c r="F1" t="s">
        <v>5135</v>
      </c>
      <c r="G1" t="s">
        <v>5136</v>
      </c>
    </row>
    <row r="2" spans="1:7" x14ac:dyDescent="0.25">
      <c r="A2">
        <v>233</v>
      </c>
      <c r="B2" t="s">
        <v>5137</v>
      </c>
      <c r="C2" t="s">
        <v>1834</v>
      </c>
      <c r="D2" t="s">
        <v>5138</v>
      </c>
      <c r="E2" t="s">
        <v>152</v>
      </c>
      <c r="F2" t="s">
        <v>152</v>
      </c>
      <c r="G2" t="s">
        <v>51</v>
      </c>
    </row>
    <row r="3" spans="1:7" x14ac:dyDescent="0.25">
      <c r="A3">
        <v>123</v>
      </c>
      <c r="B3" t="s">
        <v>5139</v>
      </c>
      <c r="C3" t="s">
        <v>3745</v>
      </c>
      <c r="D3" t="s">
        <v>5140</v>
      </c>
      <c r="E3" t="s">
        <v>259</v>
      </c>
      <c r="F3" t="s">
        <v>259</v>
      </c>
      <c r="G3" t="s">
        <v>59</v>
      </c>
    </row>
    <row r="4" spans="1:7" x14ac:dyDescent="0.25">
      <c r="A4">
        <v>37</v>
      </c>
      <c r="B4" t="s">
        <v>5141</v>
      </c>
      <c r="C4" t="s">
        <v>1160</v>
      </c>
      <c r="D4" t="s">
        <v>5142</v>
      </c>
      <c r="E4" t="s">
        <v>210</v>
      </c>
      <c r="F4" t="s">
        <v>210</v>
      </c>
      <c r="G4" t="s">
        <v>42</v>
      </c>
    </row>
    <row r="5" spans="1:7" x14ac:dyDescent="0.25">
      <c r="A5">
        <v>91</v>
      </c>
      <c r="B5" t="s">
        <v>5143</v>
      </c>
      <c r="C5" t="s">
        <v>40</v>
      </c>
      <c r="D5" t="s">
        <v>5144</v>
      </c>
      <c r="E5" t="s">
        <v>41</v>
      </c>
      <c r="F5" t="s">
        <v>41</v>
      </c>
      <c r="G5" t="s">
        <v>42</v>
      </c>
    </row>
    <row r="6" spans="1:7" x14ac:dyDescent="0.25">
      <c r="A6">
        <v>128</v>
      </c>
      <c r="B6" t="s">
        <v>5145</v>
      </c>
      <c r="C6" t="s">
        <v>5146</v>
      </c>
      <c r="D6" t="s">
        <v>5144</v>
      </c>
      <c r="E6" t="s">
        <v>41</v>
      </c>
      <c r="F6" t="s">
        <v>41</v>
      </c>
      <c r="G6" t="s">
        <v>42</v>
      </c>
    </row>
    <row r="7" spans="1:7" x14ac:dyDescent="0.25">
      <c r="A7">
        <v>217</v>
      </c>
      <c r="B7" t="s">
        <v>5145</v>
      </c>
      <c r="C7" t="s">
        <v>5147</v>
      </c>
      <c r="D7" t="s">
        <v>5148</v>
      </c>
      <c r="E7" t="s">
        <v>58</v>
      </c>
      <c r="F7" t="s">
        <v>58</v>
      </c>
      <c r="G7" t="s">
        <v>59</v>
      </c>
    </row>
    <row r="8" spans="1:7" x14ac:dyDescent="0.25">
      <c r="A8">
        <v>146</v>
      </c>
      <c r="B8" t="s">
        <v>5145</v>
      </c>
      <c r="C8" t="s">
        <v>5149</v>
      </c>
      <c r="D8" t="s">
        <v>5150</v>
      </c>
      <c r="E8" t="s">
        <v>106</v>
      </c>
      <c r="F8" t="s">
        <v>106</v>
      </c>
      <c r="G8" t="s">
        <v>59</v>
      </c>
    </row>
    <row r="9" spans="1:7" x14ac:dyDescent="0.25">
      <c r="A9">
        <v>36</v>
      </c>
      <c r="B9" t="s">
        <v>5151</v>
      </c>
      <c r="C9" t="s">
        <v>470</v>
      </c>
      <c r="D9" t="s">
        <v>5152</v>
      </c>
      <c r="E9" t="s">
        <v>112</v>
      </c>
      <c r="F9" t="s">
        <v>470</v>
      </c>
      <c r="G9" t="s">
        <v>42</v>
      </c>
    </row>
    <row r="10" spans="1:7" x14ac:dyDescent="0.25">
      <c r="A10">
        <v>138</v>
      </c>
      <c r="B10" t="s">
        <v>5153</v>
      </c>
      <c r="C10" t="s">
        <v>5154</v>
      </c>
      <c r="D10" t="s">
        <v>5144</v>
      </c>
      <c r="E10" t="s">
        <v>41</v>
      </c>
      <c r="F10" t="s">
        <v>41</v>
      </c>
      <c r="G10" t="s">
        <v>42</v>
      </c>
    </row>
    <row r="11" spans="1:7" x14ac:dyDescent="0.25">
      <c r="A11">
        <v>98</v>
      </c>
      <c r="B11" t="s">
        <v>5155</v>
      </c>
      <c r="C11" t="s">
        <v>2532</v>
      </c>
      <c r="D11" t="s">
        <v>5140</v>
      </c>
      <c r="E11" t="s">
        <v>259</v>
      </c>
      <c r="F11" t="s">
        <v>259</v>
      </c>
      <c r="G11" t="s">
        <v>59</v>
      </c>
    </row>
    <row r="12" spans="1:7" x14ac:dyDescent="0.25">
      <c r="A12">
        <v>109</v>
      </c>
      <c r="B12" t="s">
        <v>5156</v>
      </c>
      <c r="C12" t="s">
        <v>1216</v>
      </c>
      <c r="D12" t="s">
        <v>5140</v>
      </c>
      <c r="E12" t="s">
        <v>259</v>
      </c>
      <c r="F12" t="s">
        <v>259</v>
      </c>
      <c r="G12" t="s">
        <v>59</v>
      </c>
    </row>
    <row r="13" spans="1:7" x14ac:dyDescent="0.25">
      <c r="A13">
        <v>83</v>
      </c>
      <c r="B13" t="s">
        <v>5157</v>
      </c>
      <c r="C13" t="s">
        <v>519</v>
      </c>
      <c r="D13" t="s">
        <v>5158</v>
      </c>
      <c r="E13" t="s">
        <v>74</v>
      </c>
      <c r="F13" t="s">
        <v>74</v>
      </c>
      <c r="G13" t="s">
        <v>51</v>
      </c>
    </row>
    <row r="14" spans="1:7" x14ac:dyDescent="0.25">
      <c r="A14">
        <v>260</v>
      </c>
      <c r="B14" t="s">
        <v>5159</v>
      </c>
      <c r="C14" t="s">
        <v>5160</v>
      </c>
      <c r="D14" t="s">
        <v>5161</v>
      </c>
      <c r="E14" t="s">
        <v>224</v>
      </c>
      <c r="F14" t="s">
        <v>224</v>
      </c>
      <c r="G14" t="s">
        <v>42</v>
      </c>
    </row>
    <row r="15" spans="1:7" x14ac:dyDescent="0.25">
      <c r="A15">
        <v>197</v>
      </c>
      <c r="B15" t="s">
        <v>5162</v>
      </c>
      <c r="C15" t="s">
        <v>5163</v>
      </c>
      <c r="D15" t="s">
        <v>5140</v>
      </c>
      <c r="E15" t="s">
        <v>259</v>
      </c>
      <c r="F15" t="s">
        <v>69</v>
      </c>
      <c r="G15" t="s">
        <v>59</v>
      </c>
    </row>
    <row r="16" spans="1:7" x14ac:dyDescent="0.25">
      <c r="A16">
        <v>40</v>
      </c>
      <c r="B16" t="s">
        <v>5162</v>
      </c>
      <c r="C16" t="s">
        <v>521</v>
      </c>
      <c r="D16" t="s">
        <v>5162</v>
      </c>
      <c r="E16" t="s">
        <v>69</v>
      </c>
      <c r="F16" t="s">
        <v>69</v>
      </c>
      <c r="G16" t="s">
        <v>59</v>
      </c>
    </row>
    <row r="17" spans="1:7" x14ac:dyDescent="0.25">
      <c r="A17">
        <v>55</v>
      </c>
      <c r="B17" t="s">
        <v>5162</v>
      </c>
      <c r="C17" t="s">
        <v>482</v>
      </c>
      <c r="D17" t="s">
        <v>5138</v>
      </c>
      <c r="E17" t="s">
        <v>152</v>
      </c>
      <c r="F17" t="s">
        <v>152</v>
      </c>
      <c r="G17" t="s">
        <v>51</v>
      </c>
    </row>
    <row r="18" spans="1:7" x14ac:dyDescent="0.25">
      <c r="A18">
        <v>32</v>
      </c>
      <c r="B18" t="s">
        <v>5162</v>
      </c>
      <c r="C18" t="s">
        <v>469</v>
      </c>
      <c r="D18" t="s">
        <v>5152</v>
      </c>
      <c r="E18" t="s">
        <v>112</v>
      </c>
      <c r="F18" t="s">
        <v>470</v>
      </c>
      <c r="G18" t="s">
        <v>42</v>
      </c>
    </row>
    <row r="19" spans="1:7" x14ac:dyDescent="0.25">
      <c r="A19">
        <v>4</v>
      </c>
      <c r="B19" t="s">
        <v>5162</v>
      </c>
      <c r="C19" t="s">
        <v>69</v>
      </c>
      <c r="D19" t="s">
        <v>5162</v>
      </c>
      <c r="E19" t="s">
        <v>69</v>
      </c>
      <c r="F19" t="s">
        <v>69</v>
      </c>
      <c r="G19" t="s">
        <v>59</v>
      </c>
    </row>
    <row r="20" spans="1:7" x14ac:dyDescent="0.25">
      <c r="A20">
        <v>157</v>
      </c>
      <c r="B20" t="s">
        <v>5162</v>
      </c>
      <c r="C20" t="s">
        <v>3347</v>
      </c>
      <c r="D20" t="s">
        <v>5140</v>
      </c>
      <c r="E20" t="s">
        <v>259</v>
      </c>
      <c r="F20" t="s">
        <v>259</v>
      </c>
      <c r="G20" t="s">
        <v>59</v>
      </c>
    </row>
    <row r="21" spans="1:7" x14ac:dyDescent="0.25">
      <c r="A21">
        <v>39</v>
      </c>
      <c r="B21" t="s">
        <v>5162</v>
      </c>
      <c r="C21" t="s">
        <v>57</v>
      </c>
      <c r="D21" t="s">
        <v>5148</v>
      </c>
      <c r="E21" t="s">
        <v>58</v>
      </c>
      <c r="F21" t="s">
        <v>58</v>
      </c>
      <c r="G21" t="s">
        <v>59</v>
      </c>
    </row>
    <row r="22" spans="1:7" x14ac:dyDescent="0.25">
      <c r="A22">
        <v>25</v>
      </c>
      <c r="B22" t="s">
        <v>5162</v>
      </c>
      <c r="C22" t="s">
        <v>93</v>
      </c>
      <c r="D22" t="s">
        <v>5164</v>
      </c>
      <c r="E22" t="s">
        <v>94</v>
      </c>
      <c r="F22" t="s">
        <v>94</v>
      </c>
      <c r="G22" t="s">
        <v>59</v>
      </c>
    </row>
    <row r="23" spans="1:7" x14ac:dyDescent="0.25">
      <c r="A23">
        <v>5</v>
      </c>
      <c r="B23" t="s">
        <v>5165</v>
      </c>
      <c r="C23" t="s">
        <v>695</v>
      </c>
      <c r="D23" t="s">
        <v>5144</v>
      </c>
      <c r="E23" t="s">
        <v>41</v>
      </c>
      <c r="F23" t="s">
        <v>41</v>
      </c>
      <c r="G23" t="s">
        <v>42</v>
      </c>
    </row>
    <row r="24" spans="1:7" x14ac:dyDescent="0.25">
      <c r="A24">
        <v>45</v>
      </c>
      <c r="B24" t="s">
        <v>5148</v>
      </c>
      <c r="C24" t="s">
        <v>58</v>
      </c>
      <c r="D24" t="s">
        <v>5148</v>
      </c>
      <c r="E24" t="s">
        <v>58</v>
      </c>
      <c r="F24" t="s">
        <v>58</v>
      </c>
      <c r="G24" t="s">
        <v>59</v>
      </c>
    </row>
    <row r="25" spans="1:7" x14ac:dyDescent="0.25">
      <c r="A25">
        <v>49</v>
      </c>
      <c r="B25" t="s">
        <v>5166</v>
      </c>
      <c r="C25" t="s">
        <v>64</v>
      </c>
      <c r="D25" t="s">
        <v>5144</v>
      </c>
      <c r="E25" t="s">
        <v>41</v>
      </c>
      <c r="F25" t="s">
        <v>41</v>
      </c>
      <c r="G25" t="s">
        <v>42</v>
      </c>
    </row>
    <row r="26" spans="1:7" x14ac:dyDescent="0.25">
      <c r="A26">
        <v>65</v>
      </c>
      <c r="B26" t="s">
        <v>5167</v>
      </c>
      <c r="C26" t="s">
        <v>2293</v>
      </c>
      <c r="D26" t="s">
        <v>5148</v>
      </c>
      <c r="E26" t="s">
        <v>58</v>
      </c>
      <c r="F26" t="s">
        <v>58</v>
      </c>
      <c r="G26" t="s">
        <v>59</v>
      </c>
    </row>
    <row r="27" spans="1:7" x14ac:dyDescent="0.25">
      <c r="A27">
        <v>114</v>
      </c>
      <c r="B27" t="s">
        <v>5168</v>
      </c>
      <c r="C27" t="s">
        <v>5169</v>
      </c>
      <c r="D27" t="s">
        <v>5144</v>
      </c>
      <c r="E27" t="s">
        <v>41</v>
      </c>
      <c r="F27" t="s">
        <v>41</v>
      </c>
      <c r="G27" t="s">
        <v>42</v>
      </c>
    </row>
    <row r="28" spans="1:7" x14ac:dyDescent="0.25">
      <c r="A28">
        <v>22</v>
      </c>
      <c r="B28" t="s">
        <v>5170</v>
      </c>
      <c r="C28" t="s">
        <v>125</v>
      </c>
      <c r="D28" t="s">
        <v>5162</v>
      </c>
      <c r="E28" t="s">
        <v>69</v>
      </c>
      <c r="F28" t="s">
        <v>259</v>
      </c>
      <c r="G28" t="s">
        <v>59</v>
      </c>
    </row>
    <row r="29" spans="1:7" x14ac:dyDescent="0.25">
      <c r="A29">
        <v>244</v>
      </c>
      <c r="B29" t="s">
        <v>5171</v>
      </c>
      <c r="C29" t="s">
        <v>5172</v>
      </c>
      <c r="D29" t="s">
        <v>5152</v>
      </c>
      <c r="E29" t="s">
        <v>112</v>
      </c>
      <c r="F29" t="s">
        <v>470</v>
      </c>
      <c r="G29" t="s">
        <v>42</v>
      </c>
    </row>
    <row r="30" spans="1:7" x14ac:dyDescent="0.25">
      <c r="A30">
        <v>63</v>
      </c>
      <c r="B30" t="s">
        <v>5173</v>
      </c>
      <c r="C30" t="s">
        <v>147</v>
      </c>
      <c r="D30" t="s">
        <v>5164</v>
      </c>
      <c r="E30" t="s">
        <v>94</v>
      </c>
      <c r="F30" t="s">
        <v>94</v>
      </c>
      <c r="G30" t="s">
        <v>59</v>
      </c>
    </row>
    <row r="31" spans="1:7" x14ac:dyDescent="0.25">
      <c r="A31">
        <v>254</v>
      </c>
      <c r="B31" t="s">
        <v>5174</v>
      </c>
      <c r="C31" t="s">
        <v>5175</v>
      </c>
      <c r="D31" t="s">
        <v>5158</v>
      </c>
      <c r="E31" t="s">
        <v>74</v>
      </c>
      <c r="F31" t="s">
        <v>74</v>
      </c>
      <c r="G31" t="s">
        <v>51</v>
      </c>
    </row>
    <row r="32" spans="1:7" x14ac:dyDescent="0.25">
      <c r="A32">
        <v>170</v>
      </c>
      <c r="B32" t="s">
        <v>5174</v>
      </c>
      <c r="C32" t="s">
        <v>5176</v>
      </c>
      <c r="D32" t="s">
        <v>5162</v>
      </c>
      <c r="E32" t="s">
        <v>69</v>
      </c>
      <c r="F32" t="s">
        <v>69</v>
      </c>
      <c r="G32" t="s">
        <v>59</v>
      </c>
    </row>
    <row r="33" spans="1:7" x14ac:dyDescent="0.25">
      <c r="A33">
        <v>265</v>
      </c>
      <c r="B33" t="s">
        <v>5174</v>
      </c>
      <c r="C33" t="s">
        <v>3860</v>
      </c>
      <c r="D33" t="s">
        <v>5162</v>
      </c>
      <c r="E33" t="s">
        <v>69</v>
      </c>
      <c r="F33" t="s">
        <v>69</v>
      </c>
      <c r="G33" t="s">
        <v>59</v>
      </c>
    </row>
    <row r="34" spans="1:7" x14ac:dyDescent="0.25">
      <c r="A34">
        <v>17</v>
      </c>
      <c r="B34" t="s">
        <v>5174</v>
      </c>
      <c r="C34" t="s">
        <v>99</v>
      </c>
      <c r="D34" t="s">
        <v>5177</v>
      </c>
      <c r="E34" t="s">
        <v>100</v>
      </c>
      <c r="F34" t="s">
        <v>100</v>
      </c>
      <c r="G34" t="s">
        <v>51</v>
      </c>
    </row>
    <row r="35" spans="1:7" x14ac:dyDescent="0.25">
      <c r="A35">
        <v>130</v>
      </c>
      <c r="B35" t="s">
        <v>5178</v>
      </c>
      <c r="C35" t="s">
        <v>5179</v>
      </c>
      <c r="D35" t="s">
        <v>5148</v>
      </c>
      <c r="E35" t="s">
        <v>58</v>
      </c>
      <c r="F35" t="s">
        <v>58</v>
      </c>
      <c r="G35" t="s">
        <v>59</v>
      </c>
    </row>
    <row r="36" spans="1:7" x14ac:dyDescent="0.25">
      <c r="A36">
        <v>153</v>
      </c>
      <c r="B36" t="s">
        <v>5180</v>
      </c>
      <c r="C36" t="s">
        <v>1773</v>
      </c>
      <c r="D36" t="s">
        <v>5164</v>
      </c>
      <c r="E36" t="s">
        <v>94</v>
      </c>
      <c r="F36" t="s">
        <v>94</v>
      </c>
      <c r="G36" t="s">
        <v>59</v>
      </c>
    </row>
    <row r="37" spans="1:7" x14ac:dyDescent="0.25">
      <c r="A37">
        <v>158</v>
      </c>
      <c r="B37" t="s">
        <v>5181</v>
      </c>
      <c r="C37" t="s">
        <v>5182</v>
      </c>
      <c r="D37" t="s">
        <v>5162</v>
      </c>
      <c r="E37" t="s">
        <v>69</v>
      </c>
      <c r="F37" t="s">
        <v>69</v>
      </c>
      <c r="G37" t="s">
        <v>59</v>
      </c>
    </row>
    <row r="38" spans="1:7" x14ac:dyDescent="0.25">
      <c r="A38">
        <v>166</v>
      </c>
      <c r="B38" t="s">
        <v>5183</v>
      </c>
      <c r="C38" t="s">
        <v>5184</v>
      </c>
      <c r="D38" t="s">
        <v>5148</v>
      </c>
      <c r="E38" t="s">
        <v>58</v>
      </c>
      <c r="F38" t="s">
        <v>58</v>
      </c>
      <c r="G38" t="s">
        <v>59</v>
      </c>
    </row>
    <row r="39" spans="1:7" x14ac:dyDescent="0.25">
      <c r="A39">
        <v>18</v>
      </c>
      <c r="B39" t="s">
        <v>5185</v>
      </c>
      <c r="C39" t="s">
        <v>1766</v>
      </c>
      <c r="D39" t="s">
        <v>5150</v>
      </c>
      <c r="E39" t="s">
        <v>106</v>
      </c>
      <c r="F39" t="s">
        <v>106</v>
      </c>
      <c r="G39" t="s">
        <v>59</v>
      </c>
    </row>
    <row r="40" spans="1:7" x14ac:dyDescent="0.25">
      <c r="A40">
        <v>150</v>
      </c>
      <c r="B40" t="s">
        <v>5186</v>
      </c>
      <c r="C40" t="s">
        <v>5187</v>
      </c>
      <c r="D40" t="s">
        <v>5144</v>
      </c>
      <c r="E40" t="s">
        <v>41</v>
      </c>
      <c r="F40" t="s">
        <v>41</v>
      </c>
      <c r="G40" t="s">
        <v>42</v>
      </c>
    </row>
    <row r="41" spans="1:7" x14ac:dyDescent="0.25">
      <c r="A41">
        <v>64</v>
      </c>
      <c r="B41" t="s">
        <v>5188</v>
      </c>
      <c r="C41" t="s">
        <v>389</v>
      </c>
      <c r="D41" t="s">
        <v>5150</v>
      </c>
      <c r="E41" t="s">
        <v>106</v>
      </c>
      <c r="F41" t="s">
        <v>106</v>
      </c>
      <c r="G41" t="s">
        <v>59</v>
      </c>
    </row>
    <row r="42" spans="1:7" x14ac:dyDescent="0.25">
      <c r="A42">
        <v>62</v>
      </c>
      <c r="B42" t="s">
        <v>5188</v>
      </c>
      <c r="C42" t="s">
        <v>5189</v>
      </c>
      <c r="D42" t="s">
        <v>5164</v>
      </c>
      <c r="E42" t="s">
        <v>94</v>
      </c>
      <c r="F42" t="s">
        <v>94</v>
      </c>
      <c r="G42" t="s">
        <v>59</v>
      </c>
    </row>
    <row r="43" spans="1:7" x14ac:dyDescent="0.25">
      <c r="A43">
        <v>167</v>
      </c>
      <c r="B43" t="s">
        <v>5190</v>
      </c>
      <c r="C43" t="s">
        <v>5191</v>
      </c>
      <c r="D43" t="s">
        <v>5140</v>
      </c>
      <c r="E43" t="s">
        <v>259</v>
      </c>
      <c r="F43" t="s">
        <v>259</v>
      </c>
      <c r="G43" t="s">
        <v>59</v>
      </c>
    </row>
    <row r="44" spans="1:7" x14ac:dyDescent="0.25">
      <c r="A44">
        <v>71</v>
      </c>
      <c r="B44" t="s">
        <v>5190</v>
      </c>
      <c r="C44" t="s">
        <v>1930</v>
      </c>
      <c r="D44" t="s">
        <v>5192</v>
      </c>
      <c r="E44" t="s">
        <v>50</v>
      </c>
      <c r="F44" t="s">
        <v>50</v>
      </c>
      <c r="G44" t="s">
        <v>51</v>
      </c>
    </row>
    <row r="45" spans="1:7" x14ac:dyDescent="0.25">
      <c r="A45">
        <v>68</v>
      </c>
      <c r="B45" t="s">
        <v>5193</v>
      </c>
      <c r="C45" t="s">
        <v>3728</v>
      </c>
      <c r="D45" t="s">
        <v>5148</v>
      </c>
      <c r="E45" t="s">
        <v>58</v>
      </c>
      <c r="F45" t="s">
        <v>58</v>
      </c>
      <c r="G45" t="s">
        <v>59</v>
      </c>
    </row>
    <row r="46" spans="1:7" x14ac:dyDescent="0.25">
      <c r="A46">
        <v>240</v>
      </c>
      <c r="B46" t="s">
        <v>5193</v>
      </c>
      <c r="C46" t="s">
        <v>5194</v>
      </c>
      <c r="D46" t="s">
        <v>5158</v>
      </c>
      <c r="E46" t="s">
        <v>74</v>
      </c>
      <c r="F46" t="s">
        <v>74</v>
      </c>
      <c r="G46" t="s">
        <v>51</v>
      </c>
    </row>
    <row r="47" spans="1:7" x14ac:dyDescent="0.25">
      <c r="A47">
        <v>156</v>
      </c>
      <c r="B47" t="s">
        <v>5195</v>
      </c>
      <c r="C47" t="s">
        <v>1965</v>
      </c>
      <c r="D47" t="s">
        <v>5140</v>
      </c>
      <c r="E47" t="s">
        <v>259</v>
      </c>
      <c r="F47" t="s">
        <v>259</v>
      </c>
      <c r="G47" t="s">
        <v>59</v>
      </c>
    </row>
    <row r="48" spans="1:7" x14ac:dyDescent="0.25">
      <c r="A48">
        <v>182</v>
      </c>
      <c r="B48" t="s">
        <v>5196</v>
      </c>
      <c r="C48" t="s">
        <v>5197</v>
      </c>
      <c r="D48" t="s">
        <v>5198</v>
      </c>
      <c r="E48" t="s">
        <v>117</v>
      </c>
      <c r="F48" t="s">
        <v>117</v>
      </c>
      <c r="G48" t="s">
        <v>51</v>
      </c>
    </row>
    <row r="49" spans="1:7" x14ac:dyDescent="0.25">
      <c r="A49">
        <v>115</v>
      </c>
      <c r="B49" t="s">
        <v>5196</v>
      </c>
      <c r="C49" t="s">
        <v>5199</v>
      </c>
      <c r="D49" t="s">
        <v>5198</v>
      </c>
      <c r="E49" t="s">
        <v>117</v>
      </c>
      <c r="F49" t="s">
        <v>117</v>
      </c>
      <c r="G49" t="s">
        <v>51</v>
      </c>
    </row>
    <row r="50" spans="1:7" x14ac:dyDescent="0.25">
      <c r="A50">
        <v>193</v>
      </c>
      <c r="B50" t="s">
        <v>5196</v>
      </c>
      <c r="C50" t="s">
        <v>369</v>
      </c>
      <c r="D50" t="s">
        <v>5162</v>
      </c>
      <c r="E50" t="s">
        <v>69</v>
      </c>
      <c r="F50" t="s">
        <v>69</v>
      </c>
      <c r="G50" t="s">
        <v>59</v>
      </c>
    </row>
    <row r="51" spans="1:7" x14ac:dyDescent="0.25">
      <c r="A51">
        <v>199</v>
      </c>
      <c r="B51" t="s">
        <v>5200</v>
      </c>
      <c r="C51" t="s">
        <v>5201</v>
      </c>
      <c r="D51" t="s">
        <v>5202</v>
      </c>
      <c r="E51" t="s">
        <v>264</v>
      </c>
      <c r="F51" t="s">
        <v>264</v>
      </c>
      <c r="G51" t="s">
        <v>51</v>
      </c>
    </row>
    <row r="52" spans="1:7" x14ac:dyDescent="0.25">
      <c r="A52">
        <v>249</v>
      </c>
      <c r="B52" t="s">
        <v>5200</v>
      </c>
      <c r="C52" t="s">
        <v>5203</v>
      </c>
      <c r="D52" t="s">
        <v>5150</v>
      </c>
      <c r="E52" t="s">
        <v>106</v>
      </c>
      <c r="F52" t="s">
        <v>106</v>
      </c>
      <c r="G52" t="s">
        <v>59</v>
      </c>
    </row>
    <row r="53" spans="1:7" x14ac:dyDescent="0.25">
      <c r="A53">
        <v>42</v>
      </c>
      <c r="B53" t="s">
        <v>5204</v>
      </c>
      <c r="C53" t="s">
        <v>2348</v>
      </c>
      <c r="D53" t="s">
        <v>5142</v>
      </c>
      <c r="E53" t="s">
        <v>210</v>
      </c>
      <c r="F53" t="s">
        <v>210</v>
      </c>
      <c r="G53" t="s">
        <v>42</v>
      </c>
    </row>
    <row r="54" spans="1:7" x14ac:dyDescent="0.25">
      <c r="A54">
        <v>56</v>
      </c>
      <c r="B54" t="s">
        <v>5204</v>
      </c>
      <c r="C54" t="s">
        <v>2645</v>
      </c>
      <c r="D54" t="s">
        <v>5162</v>
      </c>
      <c r="E54" t="s">
        <v>69</v>
      </c>
      <c r="F54" t="s">
        <v>69</v>
      </c>
      <c r="G54" t="s">
        <v>59</v>
      </c>
    </row>
    <row r="55" spans="1:7" x14ac:dyDescent="0.25">
      <c r="A55">
        <v>133</v>
      </c>
      <c r="B55" t="s">
        <v>5204</v>
      </c>
      <c r="C55" t="s">
        <v>5205</v>
      </c>
      <c r="D55" t="s">
        <v>5148</v>
      </c>
      <c r="E55" t="s">
        <v>58</v>
      </c>
      <c r="F55" t="s">
        <v>58</v>
      </c>
      <c r="G55" t="s">
        <v>59</v>
      </c>
    </row>
    <row r="56" spans="1:7" x14ac:dyDescent="0.25">
      <c r="A56">
        <v>149</v>
      </c>
      <c r="B56" t="s">
        <v>5206</v>
      </c>
      <c r="C56" t="s">
        <v>195</v>
      </c>
      <c r="D56" t="s">
        <v>5138</v>
      </c>
      <c r="E56" t="s">
        <v>152</v>
      </c>
      <c r="F56" t="s">
        <v>152</v>
      </c>
      <c r="G56" t="s">
        <v>51</v>
      </c>
    </row>
    <row r="57" spans="1:7" x14ac:dyDescent="0.25">
      <c r="A57">
        <v>264</v>
      </c>
      <c r="B57" t="s">
        <v>5207</v>
      </c>
      <c r="C57" t="s">
        <v>5208</v>
      </c>
      <c r="D57" t="s">
        <v>5144</v>
      </c>
      <c r="E57" t="s">
        <v>41</v>
      </c>
      <c r="F57" t="s">
        <v>41</v>
      </c>
      <c r="G57" t="s">
        <v>42</v>
      </c>
    </row>
    <row r="58" spans="1:7" x14ac:dyDescent="0.25">
      <c r="A58">
        <v>195</v>
      </c>
      <c r="B58" t="s">
        <v>5209</v>
      </c>
      <c r="C58" t="s">
        <v>169</v>
      </c>
      <c r="D58" t="s">
        <v>5150</v>
      </c>
      <c r="E58" t="s">
        <v>106</v>
      </c>
      <c r="F58" t="s">
        <v>106</v>
      </c>
      <c r="G58" t="s">
        <v>59</v>
      </c>
    </row>
    <row r="59" spans="1:7" x14ac:dyDescent="0.25">
      <c r="A59">
        <v>237</v>
      </c>
      <c r="B59" t="s">
        <v>5209</v>
      </c>
      <c r="C59" t="s">
        <v>5210</v>
      </c>
      <c r="D59" t="s">
        <v>5148</v>
      </c>
      <c r="E59" t="s">
        <v>58</v>
      </c>
      <c r="F59" t="s">
        <v>58</v>
      </c>
      <c r="G59" t="s">
        <v>59</v>
      </c>
    </row>
    <row r="60" spans="1:7" x14ac:dyDescent="0.25">
      <c r="A60">
        <v>143</v>
      </c>
      <c r="B60" t="s">
        <v>5209</v>
      </c>
      <c r="C60" t="s">
        <v>5211</v>
      </c>
      <c r="D60" t="s">
        <v>5148</v>
      </c>
      <c r="E60" t="s">
        <v>58</v>
      </c>
      <c r="F60" t="s">
        <v>58</v>
      </c>
      <c r="G60" t="s">
        <v>59</v>
      </c>
    </row>
    <row r="61" spans="1:7" x14ac:dyDescent="0.25">
      <c r="A61">
        <v>99</v>
      </c>
      <c r="B61" t="s">
        <v>5209</v>
      </c>
      <c r="C61" t="s">
        <v>5212</v>
      </c>
      <c r="D61" t="s">
        <v>5148</v>
      </c>
      <c r="E61" t="s">
        <v>58</v>
      </c>
      <c r="F61" t="s">
        <v>58</v>
      </c>
      <c r="G61" t="s">
        <v>59</v>
      </c>
    </row>
    <row r="62" spans="1:7" x14ac:dyDescent="0.25">
      <c r="A62">
        <v>176</v>
      </c>
      <c r="B62" t="s">
        <v>5209</v>
      </c>
      <c r="C62" t="s">
        <v>5213</v>
      </c>
      <c r="D62" t="s">
        <v>5148</v>
      </c>
      <c r="E62" t="s">
        <v>58</v>
      </c>
      <c r="F62" t="s">
        <v>58</v>
      </c>
      <c r="G62" t="s">
        <v>59</v>
      </c>
    </row>
    <row r="63" spans="1:7" x14ac:dyDescent="0.25">
      <c r="A63">
        <v>218</v>
      </c>
      <c r="B63" t="s">
        <v>5209</v>
      </c>
      <c r="C63" t="s">
        <v>5214</v>
      </c>
      <c r="D63" t="s">
        <v>5148</v>
      </c>
      <c r="E63" t="s">
        <v>58</v>
      </c>
      <c r="F63" t="s">
        <v>58</v>
      </c>
      <c r="G63" t="s">
        <v>59</v>
      </c>
    </row>
    <row r="64" spans="1:7" x14ac:dyDescent="0.25">
      <c r="A64">
        <v>178</v>
      </c>
      <c r="B64" t="s">
        <v>5209</v>
      </c>
      <c r="C64" t="s">
        <v>5215</v>
      </c>
      <c r="D64" t="s">
        <v>5148</v>
      </c>
      <c r="E64" t="s">
        <v>58</v>
      </c>
      <c r="F64" t="s">
        <v>58</v>
      </c>
      <c r="G64" t="s">
        <v>59</v>
      </c>
    </row>
    <row r="65" spans="1:7" x14ac:dyDescent="0.25">
      <c r="A65">
        <v>116</v>
      </c>
      <c r="B65" t="s">
        <v>5216</v>
      </c>
      <c r="C65" t="s">
        <v>215</v>
      </c>
      <c r="D65" t="s">
        <v>5144</v>
      </c>
      <c r="E65" t="s">
        <v>41</v>
      </c>
      <c r="F65" t="s">
        <v>41</v>
      </c>
      <c r="G65" t="s">
        <v>42</v>
      </c>
    </row>
    <row r="66" spans="1:7" x14ac:dyDescent="0.25">
      <c r="A66">
        <v>253</v>
      </c>
      <c r="B66" t="s">
        <v>5216</v>
      </c>
      <c r="C66" t="s">
        <v>5217</v>
      </c>
      <c r="D66" t="s">
        <v>5198</v>
      </c>
      <c r="E66" t="s">
        <v>117</v>
      </c>
      <c r="F66" t="s">
        <v>117</v>
      </c>
      <c r="G66" t="s">
        <v>51</v>
      </c>
    </row>
    <row r="67" spans="1:7" x14ac:dyDescent="0.25">
      <c r="A67">
        <v>23</v>
      </c>
      <c r="B67" t="s">
        <v>5164</v>
      </c>
      <c r="C67" t="s">
        <v>94</v>
      </c>
      <c r="D67" t="s">
        <v>5164</v>
      </c>
      <c r="E67" t="s">
        <v>94</v>
      </c>
      <c r="F67" t="s">
        <v>94</v>
      </c>
      <c r="G67" t="s">
        <v>59</v>
      </c>
    </row>
    <row r="68" spans="1:7" x14ac:dyDescent="0.25">
      <c r="A68">
        <v>33</v>
      </c>
      <c r="B68" t="s">
        <v>5164</v>
      </c>
      <c r="C68" t="s">
        <v>1566</v>
      </c>
      <c r="D68" t="s">
        <v>5150</v>
      </c>
      <c r="E68" t="s">
        <v>106</v>
      </c>
      <c r="F68" t="s">
        <v>106</v>
      </c>
      <c r="G68" t="s">
        <v>59</v>
      </c>
    </row>
    <row r="69" spans="1:7" x14ac:dyDescent="0.25">
      <c r="A69">
        <v>50</v>
      </c>
      <c r="B69" t="s">
        <v>5218</v>
      </c>
      <c r="C69" t="s">
        <v>3514</v>
      </c>
      <c r="D69" t="s">
        <v>5144</v>
      </c>
      <c r="E69" t="s">
        <v>41</v>
      </c>
      <c r="F69" t="s">
        <v>41</v>
      </c>
      <c r="G69" t="s">
        <v>42</v>
      </c>
    </row>
    <row r="70" spans="1:7" x14ac:dyDescent="0.25">
      <c r="A70">
        <v>72</v>
      </c>
      <c r="B70" t="s">
        <v>5219</v>
      </c>
      <c r="C70" t="s">
        <v>1590</v>
      </c>
      <c r="D70" t="s">
        <v>5144</v>
      </c>
      <c r="E70" t="s">
        <v>41</v>
      </c>
      <c r="F70" t="s">
        <v>41</v>
      </c>
      <c r="G70" t="s">
        <v>42</v>
      </c>
    </row>
    <row r="71" spans="1:7" x14ac:dyDescent="0.25">
      <c r="A71">
        <v>113</v>
      </c>
      <c r="B71" t="s">
        <v>5220</v>
      </c>
      <c r="C71" t="s">
        <v>373</v>
      </c>
      <c r="D71" t="s">
        <v>5150</v>
      </c>
      <c r="E71" t="s">
        <v>106</v>
      </c>
      <c r="F71" t="s">
        <v>106</v>
      </c>
      <c r="G71" t="s">
        <v>59</v>
      </c>
    </row>
    <row r="72" spans="1:7" x14ac:dyDescent="0.25">
      <c r="A72">
        <v>225</v>
      </c>
      <c r="B72" t="s">
        <v>5220</v>
      </c>
      <c r="C72" t="s">
        <v>5221</v>
      </c>
      <c r="D72" t="s">
        <v>5150</v>
      </c>
      <c r="E72" t="s">
        <v>106</v>
      </c>
      <c r="F72" t="s">
        <v>106</v>
      </c>
      <c r="G72" t="s">
        <v>59</v>
      </c>
    </row>
    <row r="73" spans="1:7" x14ac:dyDescent="0.25">
      <c r="A73">
        <v>12</v>
      </c>
      <c r="B73" t="s">
        <v>5222</v>
      </c>
      <c r="C73" t="s">
        <v>1505</v>
      </c>
      <c r="D73" t="s">
        <v>5198</v>
      </c>
      <c r="E73" t="s">
        <v>117</v>
      </c>
      <c r="F73" t="s">
        <v>117</v>
      </c>
      <c r="G73" t="s">
        <v>51</v>
      </c>
    </row>
    <row r="74" spans="1:7" x14ac:dyDescent="0.25">
      <c r="A74">
        <v>41</v>
      </c>
      <c r="B74" t="s">
        <v>5222</v>
      </c>
      <c r="C74" t="s">
        <v>5223</v>
      </c>
      <c r="D74" t="s">
        <v>5142</v>
      </c>
      <c r="E74" t="s">
        <v>210</v>
      </c>
      <c r="F74" t="s">
        <v>210</v>
      </c>
      <c r="G74" t="s">
        <v>42</v>
      </c>
    </row>
    <row r="75" spans="1:7" x14ac:dyDescent="0.25">
      <c r="A75">
        <v>80</v>
      </c>
      <c r="B75" t="s">
        <v>5224</v>
      </c>
      <c r="C75" t="s">
        <v>1656</v>
      </c>
      <c r="D75" t="s">
        <v>5140</v>
      </c>
      <c r="E75" t="s">
        <v>259</v>
      </c>
      <c r="F75" t="s">
        <v>259</v>
      </c>
      <c r="G75" t="s">
        <v>59</v>
      </c>
    </row>
    <row r="76" spans="1:7" x14ac:dyDescent="0.25">
      <c r="A76">
        <v>74</v>
      </c>
      <c r="B76" t="s">
        <v>5144</v>
      </c>
      <c r="C76" t="s">
        <v>41</v>
      </c>
      <c r="D76" t="s">
        <v>5144</v>
      </c>
      <c r="E76" t="s">
        <v>41</v>
      </c>
      <c r="F76" t="s">
        <v>41</v>
      </c>
      <c r="G76" t="s">
        <v>42</v>
      </c>
    </row>
    <row r="77" spans="1:7" x14ac:dyDescent="0.25">
      <c r="A77">
        <v>84</v>
      </c>
      <c r="B77" t="s">
        <v>5138</v>
      </c>
      <c r="C77" t="s">
        <v>152</v>
      </c>
      <c r="D77" t="s">
        <v>5138</v>
      </c>
      <c r="E77" t="s">
        <v>152</v>
      </c>
      <c r="F77" t="s">
        <v>152</v>
      </c>
      <c r="G77" t="s">
        <v>51</v>
      </c>
    </row>
    <row r="78" spans="1:7" x14ac:dyDescent="0.25">
      <c r="A78">
        <v>75</v>
      </c>
      <c r="B78" t="s">
        <v>5225</v>
      </c>
      <c r="C78" t="s">
        <v>590</v>
      </c>
      <c r="D78" t="s">
        <v>5138</v>
      </c>
      <c r="E78" t="s">
        <v>152</v>
      </c>
      <c r="F78" t="s">
        <v>152</v>
      </c>
      <c r="G78" t="s">
        <v>51</v>
      </c>
    </row>
    <row r="79" spans="1:7" x14ac:dyDescent="0.25">
      <c r="A79">
        <v>139</v>
      </c>
      <c r="B79" t="s">
        <v>5226</v>
      </c>
      <c r="C79" t="s">
        <v>5227</v>
      </c>
      <c r="D79" t="s">
        <v>5152</v>
      </c>
      <c r="E79" t="s">
        <v>112</v>
      </c>
      <c r="F79" t="s">
        <v>470</v>
      </c>
      <c r="G79" t="s">
        <v>42</v>
      </c>
    </row>
    <row r="80" spans="1:7" x14ac:dyDescent="0.25">
      <c r="A80">
        <v>76</v>
      </c>
      <c r="B80" t="s">
        <v>5228</v>
      </c>
      <c r="C80" t="s">
        <v>209</v>
      </c>
      <c r="D80" t="s">
        <v>5142</v>
      </c>
      <c r="E80" t="s">
        <v>210</v>
      </c>
      <c r="F80" t="s">
        <v>210</v>
      </c>
      <c r="G80" t="s">
        <v>42</v>
      </c>
    </row>
    <row r="81" spans="1:7" x14ac:dyDescent="0.25">
      <c r="A81">
        <v>188</v>
      </c>
      <c r="B81" t="s">
        <v>5229</v>
      </c>
      <c r="C81" t="s">
        <v>5230</v>
      </c>
      <c r="D81" t="s">
        <v>5192</v>
      </c>
      <c r="E81" t="s">
        <v>50</v>
      </c>
      <c r="F81" t="s">
        <v>50</v>
      </c>
      <c r="G81" t="s">
        <v>51</v>
      </c>
    </row>
    <row r="82" spans="1:7" x14ac:dyDescent="0.25">
      <c r="A82">
        <v>134</v>
      </c>
      <c r="B82" t="s">
        <v>5231</v>
      </c>
      <c r="C82" t="s">
        <v>177</v>
      </c>
      <c r="D82" t="s">
        <v>5148</v>
      </c>
      <c r="E82" t="s">
        <v>58</v>
      </c>
      <c r="F82" t="s">
        <v>58</v>
      </c>
      <c r="G82" t="s">
        <v>59</v>
      </c>
    </row>
    <row r="83" spans="1:7" x14ac:dyDescent="0.25">
      <c r="A83">
        <v>44</v>
      </c>
      <c r="B83" t="s">
        <v>5232</v>
      </c>
      <c r="C83" t="s">
        <v>1941</v>
      </c>
      <c r="D83" t="s">
        <v>5192</v>
      </c>
      <c r="E83" t="s">
        <v>50</v>
      </c>
      <c r="F83" t="s">
        <v>50</v>
      </c>
      <c r="G83" t="s">
        <v>51</v>
      </c>
    </row>
    <row r="84" spans="1:7" x14ac:dyDescent="0.25">
      <c r="A84">
        <v>47</v>
      </c>
      <c r="B84" t="s">
        <v>5233</v>
      </c>
      <c r="C84" t="s">
        <v>111</v>
      </c>
      <c r="D84" t="s">
        <v>5152</v>
      </c>
      <c r="E84" t="s">
        <v>112</v>
      </c>
      <c r="F84" t="s">
        <v>470</v>
      </c>
      <c r="G84" t="s">
        <v>42</v>
      </c>
    </row>
    <row r="85" spans="1:7" x14ac:dyDescent="0.25">
      <c r="A85">
        <v>19</v>
      </c>
      <c r="B85" t="s">
        <v>5234</v>
      </c>
      <c r="C85" t="s">
        <v>1181</v>
      </c>
      <c r="D85" t="s">
        <v>5162</v>
      </c>
      <c r="E85" t="s">
        <v>69</v>
      </c>
      <c r="F85" t="s">
        <v>69</v>
      </c>
      <c r="G85" t="s">
        <v>59</v>
      </c>
    </row>
    <row r="86" spans="1:7" x14ac:dyDescent="0.25">
      <c r="A86">
        <v>184</v>
      </c>
      <c r="B86" t="s">
        <v>5235</v>
      </c>
      <c r="C86" t="s">
        <v>5236</v>
      </c>
      <c r="D86" t="s">
        <v>5140</v>
      </c>
      <c r="E86" t="s">
        <v>259</v>
      </c>
      <c r="F86" t="s">
        <v>69</v>
      </c>
      <c r="G86" t="s">
        <v>59</v>
      </c>
    </row>
    <row r="87" spans="1:7" x14ac:dyDescent="0.25">
      <c r="A87">
        <v>169</v>
      </c>
      <c r="B87" t="s">
        <v>5237</v>
      </c>
      <c r="C87" t="s">
        <v>5238</v>
      </c>
      <c r="D87" t="s">
        <v>5140</v>
      </c>
      <c r="E87" t="s">
        <v>259</v>
      </c>
      <c r="F87" t="s">
        <v>259</v>
      </c>
      <c r="G87" t="s">
        <v>59</v>
      </c>
    </row>
    <row r="88" spans="1:7" x14ac:dyDescent="0.25">
      <c r="A88">
        <v>214</v>
      </c>
      <c r="B88" t="s">
        <v>5237</v>
      </c>
      <c r="C88" t="s">
        <v>5239</v>
      </c>
      <c r="D88" t="s">
        <v>5148</v>
      </c>
      <c r="E88" t="s">
        <v>58</v>
      </c>
      <c r="F88" t="s">
        <v>58</v>
      </c>
      <c r="G88" t="s">
        <v>59</v>
      </c>
    </row>
    <row r="89" spans="1:7" x14ac:dyDescent="0.25">
      <c r="A89">
        <v>52</v>
      </c>
      <c r="B89" t="s">
        <v>5152</v>
      </c>
      <c r="C89" t="s">
        <v>112</v>
      </c>
      <c r="D89" t="s">
        <v>5152</v>
      </c>
      <c r="E89" t="s">
        <v>112</v>
      </c>
      <c r="F89" t="s">
        <v>470</v>
      </c>
      <c r="G89" t="s">
        <v>42</v>
      </c>
    </row>
    <row r="90" spans="1:7" x14ac:dyDescent="0.25">
      <c r="A90">
        <v>48</v>
      </c>
      <c r="B90" t="s">
        <v>5152</v>
      </c>
      <c r="C90" t="s">
        <v>1811</v>
      </c>
      <c r="D90" t="s">
        <v>5150</v>
      </c>
      <c r="E90" t="s">
        <v>106</v>
      </c>
      <c r="F90" t="s">
        <v>106</v>
      </c>
      <c r="G90" t="s">
        <v>59</v>
      </c>
    </row>
    <row r="91" spans="1:7" x14ac:dyDescent="0.25">
      <c r="A91">
        <v>231</v>
      </c>
      <c r="B91" t="s">
        <v>5240</v>
      </c>
      <c r="C91" t="s">
        <v>5241</v>
      </c>
      <c r="D91" t="s">
        <v>5148</v>
      </c>
      <c r="E91" t="s">
        <v>58</v>
      </c>
      <c r="F91" t="s">
        <v>58</v>
      </c>
      <c r="G91" t="s">
        <v>59</v>
      </c>
    </row>
    <row r="92" spans="1:7" x14ac:dyDescent="0.25">
      <c r="A92">
        <v>87</v>
      </c>
      <c r="B92" t="s">
        <v>5242</v>
      </c>
      <c r="C92" t="s">
        <v>105</v>
      </c>
      <c r="D92" t="s">
        <v>5150</v>
      </c>
      <c r="E92" t="s">
        <v>106</v>
      </c>
      <c r="F92" t="s">
        <v>106</v>
      </c>
      <c r="G92" t="s">
        <v>59</v>
      </c>
    </row>
    <row r="93" spans="1:7" x14ac:dyDescent="0.25">
      <c r="A93">
        <v>112</v>
      </c>
      <c r="B93" t="s">
        <v>5242</v>
      </c>
      <c r="C93" t="s">
        <v>5243</v>
      </c>
      <c r="D93" t="s">
        <v>5150</v>
      </c>
      <c r="E93" t="s">
        <v>106</v>
      </c>
      <c r="F93" t="s">
        <v>106</v>
      </c>
      <c r="G93" t="s">
        <v>59</v>
      </c>
    </row>
    <row r="94" spans="1:7" x14ac:dyDescent="0.25">
      <c r="A94">
        <v>77</v>
      </c>
      <c r="B94" t="s">
        <v>5242</v>
      </c>
      <c r="C94" t="s">
        <v>190</v>
      </c>
      <c r="D94" t="s">
        <v>5162</v>
      </c>
      <c r="E94" t="s">
        <v>69</v>
      </c>
      <c r="F94" t="s">
        <v>69</v>
      </c>
      <c r="G94" t="s">
        <v>59</v>
      </c>
    </row>
    <row r="95" spans="1:7" x14ac:dyDescent="0.25">
      <c r="A95">
        <v>162</v>
      </c>
      <c r="B95" t="s">
        <v>5244</v>
      </c>
      <c r="C95" t="s">
        <v>5245</v>
      </c>
      <c r="D95" t="s">
        <v>5148</v>
      </c>
      <c r="E95" t="s">
        <v>58</v>
      </c>
      <c r="F95" t="s">
        <v>58</v>
      </c>
      <c r="G95" t="s">
        <v>59</v>
      </c>
    </row>
    <row r="96" spans="1:7" x14ac:dyDescent="0.25">
      <c r="A96">
        <v>140</v>
      </c>
      <c r="B96" t="s">
        <v>5244</v>
      </c>
      <c r="C96" t="s">
        <v>5246</v>
      </c>
      <c r="D96" t="s">
        <v>5148</v>
      </c>
      <c r="E96" t="s">
        <v>58</v>
      </c>
      <c r="F96" t="s">
        <v>58</v>
      </c>
      <c r="G96" t="s">
        <v>59</v>
      </c>
    </row>
    <row r="97" spans="1:7" x14ac:dyDescent="0.25">
      <c r="A97">
        <v>179</v>
      </c>
      <c r="B97" t="s">
        <v>5244</v>
      </c>
      <c r="C97" t="s">
        <v>5247</v>
      </c>
      <c r="D97" t="s">
        <v>5140</v>
      </c>
      <c r="E97" t="s">
        <v>259</v>
      </c>
      <c r="F97" t="s">
        <v>259</v>
      </c>
      <c r="G97" t="s">
        <v>59</v>
      </c>
    </row>
    <row r="98" spans="1:7" x14ac:dyDescent="0.25">
      <c r="A98">
        <v>219</v>
      </c>
      <c r="B98" t="s">
        <v>5244</v>
      </c>
      <c r="C98" t="s">
        <v>5248</v>
      </c>
      <c r="D98" t="s">
        <v>5148</v>
      </c>
      <c r="E98" t="s">
        <v>58</v>
      </c>
      <c r="F98" t="s">
        <v>58</v>
      </c>
      <c r="G98" t="s">
        <v>59</v>
      </c>
    </row>
    <row r="99" spans="1:7" x14ac:dyDescent="0.25">
      <c r="A99">
        <v>9</v>
      </c>
      <c r="B99" t="s">
        <v>5150</v>
      </c>
      <c r="C99" t="s">
        <v>106</v>
      </c>
      <c r="D99" t="s">
        <v>5150</v>
      </c>
      <c r="E99" t="s">
        <v>106</v>
      </c>
      <c r="F99" t="s">
        <v>106</v>
      </c>
      <c r="G99" t="s">
        <v>59</v>
      </c>
    </row>
    <row r="100" spans="1:7" x14ac:dyDescent="0.25">
      <c r="A100">
        <v>3</v>
      </c>
      <c r="B100" t="s">
        <v>5142</v>
      </c>
      <c r="C100" t="s">
        <v>210</v>
      </c>
      <c r="D100" t="s">
        <v>5142</v>
      </c>
      <c r="E100" t="s">
        <v>210</v>
      </c>
      <c r="F100" t="s">
        <v>210</v>
      </c>
      <c r="G100" t="s">
        <v>42</v>
      </c>
    </row>
    <row r="101" spans="1:7" x14ac:dyDescent="0.25">
      <c r="A101">
        <v>275</v>
      </c>
      <c r="B101" t="s">
        <v>5249</v>
      </c>
      <c r="C101" t="s">
        <v>5250</v>
      </c>
      <c r="D101" t="s">
        <v>5152</v>
      </c>
      <c r="E101" t="s">
        <v>112</v>
      </c>
      <c r="F101" t="s">
        <v>210</v>
      </c>
      <c r="G101" t="s">
        <v>42</v>
      </c>
    </row>
    <row r="102" spans="1:7" x14ac:dyDescent="0.25">
      <c r="A102">
        <v>250</v>
      </c>
      <c r="B102" t="s">
        <v>5251</v>
      </c>
      <c r="C102" t="s">
        <v>2404</v>
      </c>
      <c r="D102" t="s">
        <v>5192</v>
      </c>
      <c r="E102" t="s">
        <v>50</v>
      </c>
      <c r="F102" t="s">
        <v>50</v>
      </c>
      <c r="G102" t="s">
        <v>51</v>
      </c>
    </row>
    <row r="103" spans="1:7" x14ac:dyDescent="0.25">
      <c r="A103">
        <v>78</v>
      </c>
      <c r="B103" t="s">
        <v>5252</v>
      </c>
      <c r="C103" t="s">
        <v>396</v>
      </c>
      <c r="D103" t="s">
        <v>5150</v>
      </c>
      <c r="E103" t="s">
        <v>106</v>
      </c>
      <c r="F103" t="s">
        <v>106</v>
      </c>
      <c r="G103" t="s">
        <v>59</v>
      </c>
    </row>
    <row r="104" spans="1:7" x14ac:dyDescent="0.25">
      <c r="A104">
        <v>81</v>
      </c>
      <c r="B104" t="s">
        <v>5252</v>
      </c>
      <c r="C104" t="s">
        <v>1721</v>
      </c>
      <c r="D104" t="s">
        <v>5148</v>
      </c>
      <c r="E104" t="s">
        <v>58</v>
      </c>
      <c r="F104" t="s">
        <v>58</v>
      </c>
      <c r="G104" t="s">
        <v>59</v>
      </c>
    </row>
    <row r="105" spans="1:7" x14ac:dyDescent="0.25">
      <c r="A105">
        <v>79</v>
      </c>
      <c r="B105" t="s">
        <v>5252</v>
      </c>
      <c r="C105" t="s">
        <v>359</v>
      </c>
      <c r="D105" t="s">
        <v>5150</v>
      </c>
      <c r="E105" t="s">
        <v>106</v>
      </c>
      <c r="F105" t="s">
        <v>106</v>
      </c>
      <c r="G105" t="s">
        <v>59</v>
      </c>
    </row>
    <row r="106" spans="1:7" x14ac:dyDescent="0.25">
      <c r="A106">
        <v>24</v>
      </c>
      <c r="B106" t="s">
        <v>5252</v>
      </c>
      <c r="C106" t="s">
        <v>400</v>
      </c>
      <c r="D106" t="s">
        <v>5150</v>
      </c>
      <c r="E106" t="s">
        <v>106</v>
      </c>
      <c r="F106" t="s">
        <v>106</v>
      </c>
      <c r="G106" t="s">
        <v>59</v>
      </c>
    </row>
    <row r="107" spans="1:7" x14ac:dyDescent="0.25">
      <c r="A107">
        <v>144</v>
      </c>
      <c r="B107" t="s">
        <v>5252</v>
      </c>
      <c r="C107" t="s">
        <v>5253</v>
      </c>
      <c r="D107" t="s">
        <v>5148</v>
      </c>
      <c r="E107" t="s">
        <v>58</v>
      </c>
      <c r="F107" t="s">
        <v>58</v>
      </c>
      <c r="G107" t="s">
        <v>59</v>
      </c>
    </row>
    <row r="108" spans="1:7" x14ac:dyDescent="0.25">
      <c r="A108">
        <v>160</v>
      </c>
      <c r="B108" t="s">
        <v>5254</v>
      </c>
      <c r="C108" t="s">
        <v>5255</v>
      </c>
      <c r="D108" t="s">
        <v>5162</v>
      </c>
      <c r="E108" t="s">
        <v>69</v>
      </c>
      <c r="F108" t="s">
        <v>69</v>
      </c>
      <c r="G108" t="s">
        <v>59</v>
      </c>
    </row>
    <row r="109" spans="1:7" x14ac:dyDescent="0.25">
      <c r="A109">
        <v>186</v>
      </c>
      <c r="B109" t="s">
        <v>5256</v>
      </c>
      <c r="C109" t="s">
        <v>1438</v>
      </c>
      <c r="D109" t="s">
        <v>5161</v>
      </c>
      <c r="E109" t="s">
        <v>224</v>
      </c>
      <c r="F109" t="s">
        <v>224</v>
      </c>
      <c r="G109" t="s">
        <v>42</v>
      </c>
    </row>
    <row r="110" spans="1:7" x14ac:dyDescent="0.25">
      <c r="A110">
        <v>154</v>
      </c>
      <c r="B110" t="s">
        <v>5257</v>
      </c>
      <c r="C110" t="s">
        <v>1631</v>
      </c>
      <c r="D110" t="s">
        <v>5164</v>
      </c>
      <c r="E110" t="s">
        <v>94</v>
      </c>
      <c r="F110" t="s">
        <v>94</v>
      </c>
      <c r="G110" t="s">
        <v>59</v>
      </c>
    </row>
    <row r="111" spans="1:7" x14ac:dyDescent="0.25">
      <c r="A111">
        <v>228</v>
      </c>
      <c r="B111" t="s">
        <v>5258</v>
      </c>
      <c r="C111" t="s">
        <v>5259</v>
      </c>
      <c r="D111" t="s">
        <v>5148</v>
      </c>
      <c r="E111" t="s">
        <v>58</v>
      </c>
      <c r="F111" t="s">
        <v>58</v>
      </c>
      <c r="G111" t="s">
        <v>59</v>
      </c>
    </row>
    <row r="112" spans="1:7" x14ac:dyDescent="0.25">
      <c r="A112">
        <v>220</v>
      </c>
      <c r="B112" t="s">
        <v>5260</v>
      </c>
      <c r="C112" t="s">
        <v>5261</v>
      </c>
      <c r="D112" t="s">
        <v>5148</v>
      </c>
      <c r="E112" t="s">
        <v>58</v>
      </c>
      <c r="F112" t="s">
        <v>58</v>
      </c>
      <c r="G112" t="s">
        <v>59</v>
      </c>
    </row>
    <row r="113" spans="1:7" x14ac:dyDescent="0.25">
      <c r="A113">
        <v>73</v>
      </c>
      <c r="B113" t="s">
        <v>5260</v>
      </c>
      <c r="C113" t="s">
        <v>1166</v>
      </c>
      <c r="D113" t="s">
        <v>5198</v>
      </c>
      <c r="E113" t="s">
        <v>117</v>
      </c>
      <c r="F113" t="s">
        <v>117</v>
      </c>
      <c r="G113" t="s">
        <v>51</v>
      </c>
    </row>
    <row r="114" spans="1:7" x14ac:dyDescent="0.25">
      <c r="A114">
        <v>242</v>
      </c>
      <c r="B114" t="s">
        <v>5260</v>
      </c>
      <c r="C114" t="s">
        <v>5262</v>
      </c>
      <c r="D114" t="s">
        <v>5144</v>
      </c>
      <c r="E114" t="s">
        <v>41</v>
      </c>
      <c r="F114" t="s">
        <v>41</v>
      </c>
      <c r="G114" t="s">
        <v>42</v>
      </c>
    </row>
    <row r="115" spans="1:7" x14ac:dyDescent="0.25">
      <c r="A115">
        <v>266</v>
      </c>
      <c r="B115" t="s">
        <v>5260</v>
      </c>
      <c r="C115" t="s">
        <v>5263</v>
      </c>
      <c r="D115" t="s">
        <v>5161</v>
      </c>
      <c r="E115" t="s">
        <v>224</v>
      </c>
      <c r="F115" t="s">
        <v>224</v>
      </c>
      <c r="G115" t="s">
        <v>42</v>
      </c>
    </row>
    <row r="116" spans="1:7" x14ac:dyDescent="0.25">
      <c r="A116">
        <v>196</v>
      </c>
      <c r="B116" t="s">
        <v>5260</v>
      </c>
      <c r="C116" t="s">
        <v>233</v>
      </c>
      <c r="D116" t="s">
        <v>5158</v>
      </c>
      <c r="E116" t="s">
        <v>74</v>
      </c>
      <c r="F116" t="s">
        <v>74</v>
      </c>
      <c r="G116" t="s">
        <v>51</v>
      </c>
    </row>
    <row r="117" spans="1:7" x14ac:dyDescent="0.25">
      <c r="A117">
        <v>222</v>
      </c>
      <c r="B117" t="s">
        <v>5260</v>
      </c>
      <c r="C117" t="s">
        <v>5264</v>
      </c>
      <c r="D117" t="s">
        <v>5148</v>
      </c>
      <c r="E117" t="s">
        <v>58</v>
      </c>
      <c r="F117" t="s">
        <v>58</v>
      </c>
      <c r="G117" t="s">
        <v>59</v>
      </c>
    </row>
    <row r="118" spans="1:7" x14ac:dyDescent="0.25">
      <c r="A118">
        <v>10</v>
      </c>
      <c r="B118" t="s">
        <v>5265</v>
      </c>
      <c r="C118" t="s">
        <v>1442</v>
      </c>
      <c r="D118" t="s">
        <v>5177</v>
      </c>
      <c r="E118" t="s">
        <v>100</v>
      </c>
      <c r="F118" t="s">
        <v>264</v>
      </c>
      <c r="G118" t="s">
        <v>51</v>
      </c>
    </row>
    <row r="119" spans="1:7" x14ac:dyDescent="0.25">
      <c r="A119">
        <v>51</v>
      </c>
      <c r="B119" t="s">
        <v>5266</v>
      </c>
      <c r="C119" t="s">
        <v>2138</v>
      </c>
      <c r="D119" t="s">
        <v>5144</v>
      </c>
      <c r="E119" t="s">
        <v>41</v>
      </c>
      <c r="F119" t="s">
        <v>41</v>
      </c>
      <c r="G119" t="s">
        <v>42</v>
      </c>
    </row>
    <row r="120" spans="1:7" x14ac:dyDescent="0.25">
      <c r="A120">
        <v>82</v>
      </c>
      <c r="B120" t="s">
        <v>5267</v>
      </c>
      <c r="C120" t="s">
        <v>2314</v>
      </c>
      <c r="D120" t="s">
        <v>5158</v>
      </c>
      <c r="E120" t="s">
        <v>74</v>
      </c>
      <c r="F120" t="s">
        <v>74</v>
      </c>
      <c r="G120" t="s">
        <v>51</v>
      </c>
    </row>
    <row r="121" spans="1:7" x14ac:dyDescent="0.25">
      <c r="A121">
        <v>171</v>
      </c>
      <c r="B121" t="s">
        <v>5268</v>
      </c>
      <c r="C121" t="s">
        <v>1186</v>
      </c>
      <c r="D121" t="s">
        <v>5140</v>
      </c>
      <c r="E121" t="s">
        <v>259</v>
      </c>
      <c r="F121" t="s">
        <v>259</v>
      </c>
      <c r="G121" t="s">
        <v>59</v>
      </c>
    </row>
    <row r="122" spans="1:7" x14ac:dyDescent="0.25">
      <c r="A122">
        <v>164</v>
      </c>
      <c r="B122" t="s">
        <v>5269</v>
      </c>
      <c r="C122" t="s">
        <v>5270</v>
      </c>
      <c r="D122" t="s">
        <v>5148</v>
      </c>
      <c r="E122" t="s">
        <v>58</v>
      </c>
      <c r="F122" t="s">
        <v>58</v>
      </c>
      <c r="G122" t="s">
        <v>59</v>
      </c>
    </row>
    <row r="123" spans="1:7" x14ac:dyDescent="0.25">
      <c r="A123">
        <v>163</v>
      </c>
      <c r="B123" t="s">
        <v>5271</v>
      </c>
      <c r="C123" t="s">
        <v>5272</v>
      </c>
      <c r="D123" t="s">
        <v>5148</v>
      </c>
      <c r="E123" t="s">
        <v>58</v>
      </c>
      <c r="F123" t="s">
        <v>58</v>
      </c>
      <c r="G123" t="s">
        <v>59</v>
      </c>
    </row>
    <row r="124" spans="1:7" x14ac:dyDescent="0.25">
      <c r="A124">
        <v>187</v>
      </c>
      <c r="B124" t="s">
        <v>5271</v>
      </c>
      <c r="C124" t="s">
        <v>5273</v>
      </c>
      <c r="D124" t="s">
        <v>5202</v>
      </c>
      <c r="E124" t="s">
        <v>264</v>
      </c>
      <c r="F124" t="s">
        <v>264</v>
      </c>
      <c r="G124" t="s">
        <v>51</v>
      </c>
    </row>
    <row r="125" spans="1:7" x14ac:dyDescent="0.25">
      <c r="A125">
        <v>174</v>
      </c>
      <c r="B125" t="s">
        <v>5274</v>
      </c>
      <c r="C125" t="s">
        <v>5275</v>
      </c>
      <c r="D125" t="s">
        <v>5150</v>
      </c>
      <c r="E125" t="s">
        <v>106</v>
      </c>
      <c r="F125" t="s">
        <v>106</v>
      </c>
      <c r="G125" t="s">
        <v>59</v>
      </c>
    </row>
    <row r="126" spans="1:7" x14ac:dyDescent="0.25">
      <c r="A126">
        <v>86</v>
      </c>
      <c r="B126" t="s">
        <v>5274</v>
      </c>
      <c r="C126" t="s">
        <v>523</v>
      </c>
      <c r="D126" t="s">
        <v>5138</v>
      </c>
      <c r="E126" t="s">
        <v>152</v>
      </c>
      <c r="F126" t="s">
        <v>152</v>
      </c>
      <c r="G126" t="s">
        <v>51</v>
      </c>
    </row>
    <row r="127" spans="1:7" x14ac:dyDescent="0.25">
      <c r="A127">
        <v>118</v>
      </c>
      <c r="B127" t="s">
        <v>5274</v>
      </c>
      <c r="C127" t="s">
        <v>5276</v>
      </c>
      <c r="D127" t="s">
        <v>5152</v>
      </c>
      <c r="E127" t="s">
        <v>112</v>
      </c>
      <c r="F127" t="s">
        <v>470</v>
      </c>
      <c r="G127" t="s">
        <v>42</v>
      </c>
    </row>
    <row r="128" spans="1:7" x14ac:dyDescent="0.25">
      <c r="A128">
        <v>185</v>
      </c>
      <c r="B128" t="s">
        <v>5274</v>
      </c>
      <c r="C128" t="s">
        <v>5277</v>
      </c>
      <c r="D128" t="s">
        <v>5164</v>
      </c>
      <c r="E128" t="s">
        <v>94</v>
      </c>
      <c r="F128" t="s">
        <v>94</v>
      </c>
      <c r="G128" t="s">
        <v>59</v>
      </c>
    </row>
    <row r="129" spans="1:7" x14ac:dyDescent="0.25">
      <c r="A129">
        <v>256</v>
      </c>
      <c r="B129" t="s">
        <v>5278</v>
      </c>
      <c r="C129" t="s">
        <v>134</v>
      </c>
      <c r="D129" t="s">
        <v>5279</v>
      </c>
      <c r="E129" t="s">
        <v>135</v>
      </c>
      <c r="F129" t="s">
        <v>135</v>
      </c>
      <c r="G129" t="s">
        <v>51</v>
      </c>
    </row>
    <row r="130" spans="1:7" x14ac:dyDescent="0.25">
      <c r="A130">
        <v>120</v>
      </c>
      <c r="B130" t="s">
        <v>5278</v>
      </c>
      <c r="C130" t="s">
        <v>5280</v>
      </c>
      <c r="D130" t="s">
        <v>5140</v>
      </c>
      <c r="E130" t="s">
        <v>259</v>
      </c>
      <c r="F130" t="s">
        <v>259</v>
      </c>
      <c r="G130" t="s">
        <v>59</v>
      </c>
    </row>
    <row r="131" spans="1:7" x14ac:dyDescent="0.25">
      <c r="A131">
        <v>145</v>
      </c>
      <c r="B131" t="s">
        <v>5281</v>
      </c>
      <c r="C131" t="s">
        <v>363</v>
      </c>
      <c r="D131" t="s">
        <v>5148</v>
      </c>
      <c r="E131" t="s">
        <v>58</v>
      </c>
      <c r="F131" t="s">
        <v>58</v>
      </c>
      <c r="G131" t="s">
        <v>59</v>
      </c>
    </row>
    <row r="132" spans="1:7" x14ac:dyDescent="0.25">
      <c r="A132">
        <v>268</v>
      </c>
      <c r="B132" t="s">
        <v>5282</v>
      </c>
      <c r="C132" t="s">
        <v>5283</v>
      </c>
      <c r="D132" t="s">
        <v>5144</v>
      </c>
      <c r="E132" t="s">
        <v>41</v>
      </c>
      <c r="F132" t="s">
        <v>41</v>
      </c>
      <c r="G132" t="s">
        <v>42</v>
      </c>
    </row>
    <row r="133" spans="1:7" x14ac:dyDescent="0.25">
      <c r="A133">
        <v>106</v>
      </c>
      <c r="B133" t="s">
        <v>5284</v>
      </c>
      <c r="C133" t="s">
        <v>5285</v>
      </c>
      <c r="D133" t="s">
        <v>5152</v>
      </c>
      <c r="E133" t="s">
        <v>112</v>
      </c>
      <c r="F133" t="s">
        <v>470</v>
      </c>
      <c r="G133" t="s">
        <v>42</v>
      </c>
    </row>
    <row r="134" spans="1:7" x14ac:dyDescent="0.25">
      <c r="A134">
        <v>7</v>
      </c>
      <c r="B134" t="s">
        <v>5177</v>
      </c>
      <c r="C134" t="s">
        <v>100</v>
      </c>
      <c r="D134" t="s">
        <v>5177</v>
      </c>
      <c r="E134" t="s">
        <v>100</v>
      </c>
      <c r="F134" t="s">
        <v>100</v>
      </c>
      <c r="G134" t="s">
        <v>51</v>
      </c>
    </row>
    <row r="135" spans="1:7" x14ac:dyDescent="0.25">
      <c r="A135">
        <v>224</v>
      </c>
      <c r="B135" t="s">
        <v>5177</v>
      </c>
      <c r="C135" t="s">
        <v>5286</v>
      </c>
      <c r="D135" t="s">
        <v>5150</v>
      </c>
      <c r="E135" t="s">
        <v>106</v>
      </c>
      <c r="F135" t="s">
        <v>106</v>
      </c>
      <c r="G135" t="s">
        <v>59</v>
      </c>
    </row>
    <row r="136" spans="1:7" x14ac:dyDescent="0.25">
      <c r="A136">
        <v>8</v>
      </c>
      <c r="B136" t="s">
        <v>5177</v>
      </c>
      <c r="C136" t="s">
        <v>2954</v>
      </c>
      <c r="D136" t="s">
        <v>5177</v>
      </c>
      <c r="E136" t="s">
        <v>100</v>
      </c>
      <c r="F136" t="s">
        <v>100</v>
      </c>
      <c r="G136" t="s">
        <v>51</v>
      </c>
    </row>
    <row r="137" spans="1:7" x14ac:dyDescent="0.25">
      <c r="A137">
        <v>35</v>
      </c>
      <c r="B137" t="s">
        <v>5287</v>
      </c>
      <c r="C137" t="s">
        <v>339</v>
      </c>
      <c r="D137" t="s">
        <v>5279</v>
      </c>
      <c r="E137" t="s">
        <v>135</v>
      </c>
      <c r="F137" t="s">
        <v>135</v>
      </c>
      <c r="G137" t="s">
        <v>51</v>
      </c>
    </row>
    <row r="138" spans="1:7" x14ac:dyDescent="0.25">
      <c r="A138">
        <v>85</v>
      </c>
      <c r="B138" t="s">
        <v>5287</v>
      </c>
      <c r="C138" t="s">
        <v>579</v>
      </c>
      <c r="D138" t="s">
        <v>5198</v>
      </c>
      <c r="E138" t="s">
        <v>117</v>
      </c>
      <c r="F138" t="s">
        <v>117</v>
      </c>
      <c r="G138" t="s">
        <v>51</v>
      </c>
    </row>
    <row r="139" spans="1:7" x14ac:dyDescent="0.25">
      <c r="A139">
        <v>117</v>
      </c>
      <c r="B139" t="s">
        <v>5288</v>
      </c>
      <c r="C139" t="s">
        <v>5289</v>
      </c>
      <c r="D139" t="s">
        <v>5148</v>
      </c>
      <c r="E139" t="s">
        <v>58</v>
      </c>
      <c r="F139" t="s">
        <v>58</v>
      </c>
      <c r="G139" t="s">
        <v>59</v>
      </c>
    </row>
    <row r="140" spans="1:7" x14ac:dyDescent="0.25">
      <c r="A140">
        <v>269</v>
      </c>
      <c r="B140" t="s">
        <v>5288</v>
      </c>
      <c r="C140" t="s">
        <v>5290</v>
      </c>
      <c r="D140" t="s">
        <v>5192</v>
      </c>
      <c r="E140" t="s">
        <v>50</v>
      </c>
      <c r="F140" t="s">
        <v>50</v>
      </c>
      <c r="G140" t="s">
        <v>51</v>
      </c>
    </row>
    <row r="141" spans="1:7" x14ac:dyDescent="0.25">
      <c r="A141">
        <v>159</v>
      </c>
      <c r="B141" t="s">
        <v>5291</v>
      </c>
      <c r="C141" t="s">
        <v>4437</v>
      </c>
      <c r="D141" t="s">
        <v>5162</v>
      </c>
      <c r="E141" t="s">
        <v>69</v>
      </c>
      <c r="F141" t="s">
        <v>69</v>
      </c>
      <c r="G141" t="s">
        <v>59</v>
      </c>
    </row>
    <row r="142" spans="1:7" x14ac:dyDescent="0.25">
      <c r="A142">
        <v>28</v>
      </c>
      <c r="B142" t="s">
        <v>5292</v>
      </c>
      <c r="C142" t="s">
        <v>403</v>
      </c>
      <c r="D142" t="s">
        <v>5144</v>
      </c>
      <c r="E142" t="s">
        <v>41</v>
      </c>
      <c r="F142" t="s">
        <v>41</v>
      </c>
      <c r="G142" t="s">
        <v>42</v>
      </c>
    </row>
    <row r="143" spans="1:7" x14ac:dyDescent="0.25">
      <c r="A143">
        <v>90</v>
      </c>
      <c r="B143" t="s">
        <v>5293</v>
      </c>
      <c r="C143" t="s">
        <v>2209</v>
      </c>
      <c r="D143" t="s">
        <v>5140</v>
      </c>
      <c r="E143" t="s">
        <v>259</v>
      </c>
      <c r="F143" t="s">
        <v>259</v>
      </c>
      <c r="G143" t="s">
        <v>59</v>
      </c>
    </row>
    <row r="144" spans="1:7" x14ac:dyDescent="0.25">
      <c r="A144">
        <v>60</v>
      </c>
      <c r="B144" t="s">
        <v>5294</v>
      </c>
      <c r="C144" t="s">
        <v>253</v>
      </c>
      <c r="D144" t="s">
        <v>5164</v>
      </c>
      <c r="E144" t="s">
        <v>94</v>
      </c>
      <c r="F144" t="s">
        <v>94</v>
      </c>
      <c r="G144" t="s">
        <v>59</v>
      </c>
    </row>
    <row r="145" spans="1:7" x14ac:dyDescent="0.25">
      <c r="A145">
        <v>189</v>
      </c>
      <c r="B145" t="s">
        <v>5294</v>
      </c>
      <c r="C145" t="s">
        <v>5295</v>
      </c>
      <c r="D145" t="s">
        <v>5192</v>
      </c>
      <c r="E145" t="s">
        <v>50</v>
      </c>
      <c r="F145" t="s">
        <v>50</v>
      </c>
      <c r="G145" t="s">
        <v>51</v>
      </c>
    </row>
    <row r="146" spans="1:7" x14ac:dyDescent="0.25">
      <c r="A146">
        <v>46</v>
      </c>
      <c r="B146" t="s">
        <v>5294</v>
      </c>
      <c r="C146" t="s">
        <v>1221</v>
      </c>
      <c r="D146" t="s">
        <v>5198</v>
      </c>
      <c r="E146" t="s">
        <v>117</v>
      </c>
      <c r="F146" t="s">
        <v>117</v>
      </c>
      <c r="G146" t="s">
        <v>51</v>
      </c>
    </row>
    <row r="147" spans="1:7" x14ac:dyDescent="0.25">
      <c r="A147">
        <v>92</v>
      </c>
      <c r="B147" t="s">
        <v>5294</v>
      </c>
      <c r="C147" t="s">
        <v>1095</v>
      </c>
      <c r="D147" t="s">
        <v>5158</v>
      </c>
      <c r="E147" t="s">
        <v>74</v>
      </c>
      <c r="F147" t="s">
        <v>74</v>
      </c>
      <c r="G147" t="s">
        <v>51</v>
      </c>
    </row>
    <row r="148" spans="1:7" x14ac:dyDescent="0.25">
      <c r="A148">
        <v>20</v>
      </c>
      <c r="B148" t="s">
        <v>5294</v>
      </c>
      <c r="C148" t="s">
        <v>5296</v>
      </c>
      <c r="D148" t="s">
        <v>5144</v>
      </c>
      <c r="E148" t="s">
        <v>41</v>
      </c>
      <c r="F148" t="s">
        <v>41</v>
      </c>
      <c r="G148" t="s">
        <v>42</v>
      </c>
    </row>
    <row r="149" spans="1:7" x14ac:dyDescent="0.25">
      <c r="A149">
        <v>57</v>
      </c>
      <c r="B149" t="s">
        <v>5294</v>
      </c>
      <c r="C149" t="s">
        <v>5297</v>
      </c>
      <c r="D149" t="s">
        <v>5162</v>
      </c>
      <c r="E149" t="s">
        <v>69</v>
      </c>
      <c r="F149" t="s">
        <v>69</v>
      </c>
      <c r="G149" t="s">
        <v>59</v>
      </c>
    </row>
    <row r="150" spans="1:7" x14ac:dyDescent="0.25">
      <c r="A150">
        <v>236</v>
      </c>
      <c r="B150" t="s">
        <v>5294</v>
      </c>
      <c r="C150" t="s">
        <v>5298</v>
      </c>
      <c r="D150" t="s">
        <v>5161</v>
      </c>
      <c r="E150" t="s">
        <v>224</v>
      </c>
      <c r="F150" t="s">
        <v>224</v>
      </c>
      <c r="G150" t="s">
        <v>42</v>
      </c>
    </row>
    <row r="151" spans="1:7" x14ac:dyDescent="0.25">
      <c r="A151">
        <v>252</v>
      </c>
      <c r="B151" t="s">
        <v>5294</v>
      </c>
      <c r="C151" t="s">
        <v>5299</v>
      </c>
      <c r="D151" t="s">
        <v>5158</v>
      </c>
      <c r="E151" t="s">
        <v>74</v>
      </c>
      <c r="F151" t="s">
        <v>74</v>
      </c>
      <c r="G151" t="s">
        <v>51</v>
      </c>
    </row>
    <row r="152" spans="1:7" x14ac:dyDescent="0.25">
      <c r="A152">
        <v>190</v>
      </c>
      <c r="B152" t="s">
        <v>5294</v>
      </c>
      <c r="C152" t="s">
        <v>581</v>
      </c>
      <c r="D152" t="s">
        <v>5144</v>
      </c>
      <c r="E152" t="s">
        <v>41</v>
      </c>
      <c r="F152" t="s">
        <v>41</v>
      </c>
      <c r="G152" t="s">
        <v>42</v>
      </c>
    </row>
    <row r="153" spans="1:7" x14ac:dyDescent="0.25">
      <c r="A153">
        <v>191</v>
      </c>
      <c r="B153" t="s">
        <v>5294</v>
      </c>
      <c r="C153" t="s">
        <v>5300</v>
      </c>
      <c r="D153" t="s">
        <v>5150</v>
      </c>
      <c r="E153" t="s">
        <v>106</v>
      </c>
      <c r="F153" t="s">
        <v>106</v>
      </c>
      <c r="G153" t="s">
        <v>59</v>
      </c>
    </row>
    <row r="154" spans="1:7" x14ac:dyDescent="0.25">
      <c r="A154">
        <v>141</v>
      </c>
      <c r="B154" t="s">
        <v>5301</v>
      </c>
      <c r="C154" t="s">
        <v>5302</v>
      </c>
      <c r="D154" t="s">
        <v>5148</v>
      </c>
      <c r="E154" t="s">
        <v>58</v>
      </c>
      <c r="F154" t="s">
        <v>58</v>
      </c>
      <c r="G154" t="s">
        <v>59</v>
      </c>
    </row>
    <row r="155" spans="1:7" x14ac:dyDescent="0.25">
      <c r="A155">
        <v>105</v>
      </c>
      <c r="B155" t="s">
        <v>5303</v>
      </c>
      <c r="C155" t="s">
        <v>5304</v>
      </c>
      <c r="D155" t="s">
        <v>5192</v>
      </c>
      <c r="E155" t="s">
        <v>50</v>
      </c>
      <c r="F155" t="s">
        <v>50</v>
      </c>
      <c r="G155" t="s">
        <v>51</v>
      </c>
    </row>
    <row r="156" spans="1:7" x14ac:dyDescent="0.25">
      <c r="A156">
        <v>122</v>
      </c>
      <c r="B156" t="s">
        <v>5202</v>
      </c>
      <c r="C156" t="s">
        <v>264</v>
      </c>
      <c r="D156" t="s">
        <v>5202</v>
      </c>
      <c r="E156" t="s">
        <v>264</v>
      </c>
      <c r="F156" t="s">
        <v>264</v>
      </c>
      <c r="G156" t="s">
        <v>51</v>
      </c>
    </row>
    <row r="157" spans="1:7" x14ac:dyDescent="0.25">
      <c r="A157">
        <v>155</v>
      </c>
      <c r="B157" t="s">
        <v>5202</v>
      </c>
      <c r="C157" t="s">
        <v>204</v>
      </c>
      <c r="D157" t="s">
        <v>5164</v>
      </c>
      <c r="E157" t="s">
        <v>94</v>
      </c>
      <c r="F157" t="s">
        <v>94</v>
      </c>
      <c r="G157" t="s">
        <v>59</v>
      </c>
    </row>
    <row r="158" spans="1:7" x14ac:dyDescent="0.25">
      <c r="A158">
        <v>127</v>
      </c>
      <c r="B158" t="s">
        <v>5202</v>
      </c>
      <c r="C158" t="s">
        <v>258</v>
      </c>
      <c r="D158" t="s">
        <v>5140</v>
      </c>
      <c r="E158" t="s">
        <v>259</v>
      </c>
      <c r="F158" t="s">
        <v>259</v>
      </c>
      <c r="G158" t="s">
        <v>59</v>
      </c>
    </row>
    <row r="159" spans="1:7" x14ac:dyDescent="0.25">
      <c r="A159">
        <v>29</v>
      </c>
      <c r="B159" t="s">
        <v>5202</v>
      </c>
      <c r="C159" t="s">
        <v>415</v>
      </c>
      <c r="D159" t="s">
        <v>5161</v>
      </c>
      <c r="E159" t="s">
        <v>224</v>
      </c>
      <c r="F159" t="s">
        <v>224</v>
      </c>
      <c r="G159" t="s">
        <v>42</v>
      </c>
    </row>
    <row r="160" spans="1:7" x14ac:dyDescent="0.25">
      <c r="A160">
        <v>13</v>
      </c>
      <c r="B160" t="s">
        <v>5198</v>
      </c>
      <c r="C160" t="s">
        <v>117</v>
      </c>
      <c r="D160" t="s">
        <v>5198</v>
      </c>
      <c r="E160" t="s">
        <v>117</v>
      </c>
      <c r="F160" t="s">
        <v>117</v>
      </c>
      <c r="G160" t="s">
        <v>51</v>
      </c>
    </row>
    <row r="161" spans="1:7" x14ac:dyDescent="0.25">
      <c r="A161">
        <v>21</v>
      </c>
      <c r="B161" t="s">
        <v>5198</v>
      </c>
      <c r="C161" t="s">
        <v>223</v>
      </c>
      <c r="D161" t="s">
        <v>5161</v>
      </c>
      <c r="E161" t="s">
        <v>224</v>
      </c>
      <c r="F161" t="s">
        <v>224</v>
      </c>
      <c r="G161" t="s">
        <v>42</v>
      </c>
    </row>
    <row r="162" spans="1:7" x14ac:dyDescent="0.25">
      <c r="A162">
        <v>136</v>
      </c>
      <c r="B162" t="s">
        <v>5305</v>
      </c>
      <c r="C162" t="s">
        <v>1319</v>
      </c>
      <c r="D162" t="s">
        <v>5164</v>
      </c>
      <c r="E162" t="s">
        <v>94</v>
      </c>
      <c r="F162" t="s">
        <v>94</v>
      </c>
      <c r="G162" t="s">
        <v>59</v>
      </c>
    </row>
    <row r="163" spans="1:7" x14ac:dyDescent="0.25">
      <c r="A163">
        <v>135</v>
      </c>
      <c r="B163" t="s">
        <v>5306</v>
      </c>
      <c r="C163" t="s">
        <v>5307</v>
      </c>
      <c r="D163" t="s">
        <v>5148</v>
      </c>
      <c r="E163" t="s">
        <v>58</v>
      </c>
      <c r="F163" t="s">
        <v>58</v>
      </c>
      <c r="G163" t="s">
        <v>59</v>
      </c>
    </row>
    <row r="164" spans="1:7" x14ac:dyDescent="0.25">
      <c r="A164">
        <v>15</v>
      </c>
      <c r="B164" t="s">
        <v>5306</v>
      </c>
      <c r="C164" t="s">
        <v>288</v>
      </c>
      <c r="D164" t="s">
        <v>5150</v>
      </c>
      <c r="E164" t="s">
        <v>106</v>
      </c>
      <c r="F164" t="s">
        <v>106</v>
      </c>
      <c r="G164" t="s">
        <v>59</v>
      </c>
    </row>
    <row r="165" spans="1:7" x14ac:dyDescent="0.25">
      <c r="A165">
        <v>94</v>
      </c>
      <c r="B165" t="s">
        <v>5161</v>
      </c>
      <c r="C165" t="s">
        <v>224</v>
      </c>
      <c r="D165" t="s">
        <v>5161</v>
      </c>
      <c r="E165" t="s">
        <v>224</v>
      </c>
      <c r="F165" t="s">
        <v>224</v>
      </c>
      <c r="G165" t="s">
        <v>42</v>
      </c>
    </row>
    <row r="166" spans="1:7" x14ac:dyDescent="0.25">
      <c r="A166">
        <v>121</v>
      </c>
      <c r="B166" t="s">
        <v>5161</v>
      </c>
      <c r="C166" t="s">
        <v>5308</v>
      </c>
      <c r="D166" t="s">
        <v>5150</v>
      </c>
      <c r="E166" t="s">
        <v>106</v>
      </c>
      <c r="F166" t="s">
        <v>106</v>
      </c>
      <c r="G166" t="s">
        <v>59</v>
      </c>
    </row>
    <row r="167" spans="1:7" x14ac:dyDescent="0.25">
      <c r="A167">
        <v>111</v>
      </c>
      <c r="B167" t="s">
        <v>5309</v>
      </c>
      <c r="C167" t="s">
        <v>2467</v>
      </c>
      <c r="D167" t="s">
        <v>5150</v>
      </c>
      <c r="E167" t="s">
        <v>106</v>
      </c>
      <c r="F167" t="s">
        <v>106</v>
      </c>
      <c r="G167" t="s">
        <v>59</v>
      </c>
    </row>
    <row r="168" spans="1:7" x14ac:dyDescent="0.25">
      <c r="A168">
        <v>221</v>
      </c>
      <c r="B168" t="s">
        <v>5309</v>
      </c>
      <c r="C168" t="s">
        <v>5310</v>
      </c>
      <c r="D168" t="s">
        <v>5148</v>
      </c>
      <c r="E168" t="s">
        <v>58</v>
      </c>
      <c r="F168" t="s">
        <v>58</v>
      </c>
      <c r="G168" t="s">
        <v>59</v>
      </c>
    </row>
    <row r="169" spans="1:7" x14ac:dyDescent="0.25">
      <c r="A169">
        <v>126</v>
      </c>
      <c r="B169" t="s">
        <v>5311</v>
      </c>
      <c r="C169" t="s">
        <v>5312</v>
      </c>
      <c r="D169" t="s">
        <v>5140</v>
      </c>
      <c r="E169" t="s">
        <v>259</v>
      </c>
      <c r="F169" t="s">
        <v>259</v>
      </c>
      <c r="G169" t="s">
        <v>59</v>
      </c>
    </row>
    <row r="170" spans="1:7" x14ac:dyDescent="0.25">
      <c r="A170">
        <v>96</v>
      </c>
      <c r="B170" t="s">
        <v>5313</v>
      </c>
      <c r="C170" t="s">
        <v>310</v>
      </c>
      <c r="D170" t="s">
        <v>5279</v>
      </c>
      <c r="E170" t="s">
        <v>135</v>
      </c>
      <c r="F170" t="s">
        <v>135</v>
      </c>
      <c r="G170" t="s">
        <v>51</v>
      </c>
    </row>
    <row r="171" spans="1:7" x14ac:dyDescent="0.25">
      <c r="A171">
        <v>53</v>
      </c>
      <c r="B171" t="s">
        <v>5314</v>
      </c>
      <c r="C171" t="s">
        <v>612</v>
      </c>
      <c r="D171" t="s">
        <v>5140</v>
      </c>
      <c r="E171" t="s">
        <v>259</v>
      </c>
      <c r="F171" t="s">
        <v>259</v>
      </c>
      <c r="G171" t="s">
        <v>59</v>
      </c>
    </row>
    <row r="172" spans="1:7" x14ac:dyDescent="0.25">
      <c r="A172">
        <v>14</v>
      </c>
      <c r="B172" t="s">
        <v>5315</v>
      </c>
      <c r="C172" t="s">
        <v>164</v>
      </c>
      <c r="D172" t="s">
        <v>5198</v>
      </c>
      <c r="E172" t="s">
        <v>117</v>
      </c>
      <c r="F172" t="s">
        <v>117</v>
      </c>
      <c r="G172" t="s">
        <v>51</v>
      </c>
    </row>
    <row r="173" spans="1:7" x14ac:dyDescent="0.25">
      <c r="A173">
        <v>183</v>
      </c>
      <c r="B173" t="s">
        <v>5279</v>
      </c>
      <c r="C173" t="s">
        <v>5316</v>
      </c>
      <c r="D173" t="s">
        <v>5140</v>
      </c>
      <c r="E173" t="s">
        <v>259</v>
      </c>
      <c r="F173" t="s">
        <v>259</v>
      </c>
      <c r="G173" t="s">
        <v>59</v>
      </c>
    </row>
    <row r="174" spans="1:7" x14ac:dyDescent="0.25">
      <c r="A174">
        <v>27</v>
      </c>
      <c r="B174" t="s">
        <v>5279</v>
      </c>
      <c r="C174" t="s">
        <v>5317</v>
      </c>
      <c r="D174" t="s">
        <v>5144</v>
      </c>
      <c r="E174" t="s">
        <v>41</v>
      </c>
      <c r="F174" t="s">
        <v>41</v>
      </c>
      <c r="G174" t="s">
        <v>42</v>
      </c>
    </row>
    <row r="175" spans="1:7" x14ac:dyDescent="0.25">
      <c r="A175">
        <v>26</v>
      </c>
      <c r="B175" t="s">
        <v>5279</v>
      </c>
      <c r="C175" t="s">
        <v>135</v>
      </c>
      <c r="D175" t="s">
        <v>5279</v>
      </c>
      <c r="E175" t="s">
        <v>135</v>
      </c>
      <c r="F175" t="s">
        <v>135</v>
      </c>
      <c r="G175" t="s">
        <v>51</v>
      </c>
    </row>
    <row r="176" spans="1:7" x14ac:dyDescent="0.25">
      <c r="A176">
        <v>101</v>
      </c>
      <c r="B176" t="s">
        <v>5192</v>
      </c>
      <c r="C176" t="s">
        <v>1381</v>
      </c>
      <c r="D176" t="s">
        <v>5144</v>
      </c>
      <c r="E176" t="s">
        <v>41</v>
      </c>
      <c r="F176" t="s">
        <v>41</v>
      </c>
      <c r="G176" t="s">
        <v>42</v>
      </c>
    </row>
    <row r="177" spans="1:7" x14ac:dyDescent="0.25">
      <c r="A177">
        <v>137</v>
      </c>
      <c r="B177" t="s">
        <v>5192</v>
      </c>
      <c r="C177" t="s">
        <v>5318</v>
      </c>
      <c r="D177" t="s">
        <v>5162</v>
      </c>
      <c r="E177" t="s">
        <v>69</v>
      </c>
      <c r="F177" t="s">
        <v>69</v>
      </c>
      <c r="G177" t="s">
        <v>59</v>
      </c>
    </row>
    <row r="178" spans="1:7" x14ac:dyDescent="0.25">
      <c r="A178">
        <v>1</v>
      </c>
      <c r="B178" t="s">
        <v>5192</v>
      </c>
      <c r="C178" t="s">
        <v>50</v>
      </c>
      <c r="D178" t="s">
        <v>5192</v>
      </c>
      <c r="E178" t="s">
        <v>50</v>
      </c>
      <c r="F178" t="s">
        <v>50</v>
      </c>
      <c r="G178" t="s">
        <v>51</v>
      </c>
    </row>
    <row r="179" spans="1:7" x14ac:dyDescent="0.25">
      <c r="A179">
        <v>198</v>
      </c>
      <c r="B179" t="s">
        <v>5319</v>
      </c>
      <c r="C179" t="s">
        <v>5320</v>
      </c>
      <c r="D179" t="s">
        <v>5140</v>
      </c>
      <c r="E179" t="s">
        <v>259</v>
      </c>
      <c r="F179" t="s">
        <v>259</v>
      </c>
      <c r="G179" t="s">
        <v>59</v>
      </c>
    </row>
    <row r="180" spans="1:7" x14ac:dyDescent="0.25">
      <c r="A180">
        <v>239</v>
      </c>
      <c r="B180" t="s">
        <v>5319</v>
      </c>
      <c r="C180" t="s">
        <v>5321</v>
      </c>
      <c r="D180" t="s">
        <v>5148</v>
      </c>
      <c r="E180" t="s">
        <v>58</v>
      </c>
      <c r="F180" t="s">
        <v>58</v>
      </c>
      <c r="G180" t="s">
        <v>59</v>
      </c>
    </row>
    <row r="181" spans="1:7" x14ac:dyDescent="0.25">
      <c r="A181">
        <v>248</v>
      </c>
      <c r="B181" t="s">
        <v>5319</v>
      </c>
      <c r="C181" t="s">
        <v>5322</v>
      </c>
      <c r="D181" t="s">
        <v>5150</v>
      </c>
      <c r="E181" t="s">
        <v>106</v>
      </c>
      <c r="F181" t="s">
        <v>106</v>
      </c>
      <c r="G181" t="s">
        <v>59</v>
      </c>
    </row>
    <row r="182" spans="1:7" x14ac:dyDescent="0.25">
      <c r="A182">
        <v>234</v>
      </c>
      <c r="B182" t="s">
        <v>5319</v>
      </c>
      <c r="C182" t="s">
        <v>5323</v>
      </c>
      <c r="D182" t="s">
        <v>5144</v>
      </c>
      <c r="E182" t="s">
        <v>41</v>
      </c>
      <c r="F182" t="s">
        <v>41</v>
      </c>
      <c r="G182" t="s">
        <v>42</v>
      </c>
    </row>
    <row r="183" spans="1:7" x14ac:dyDescent="0.25">
      <c r="A183">
        <v>247</v>
      </c>
      <c r="B183" t="s">
        <v>5319</v>
      </c>
      <c r="C183" t="s">
        <v>5324</v>
      </c>
      <c r="D183" t="s">
        <v>5140</v>
      </c>
      <c r="E183" t="s">
        <v>259</v>
      </c>
      <c r="F183" t="s">
        <v>259</v>
      </c>
      <c r="G183" t="s">
        <v>59</v>
      </c>
    </row>
    <row r="184" spans="1:7" x14ac:dyDescent="0.25">
      <c r="A184">
        <v>230</v>
      </c>
      <c r="B184" t="s">
        <v>5319</v>
      </c>
      <c r="C184" t="s">
        <v>5325</v>
      </c>
      <c r="D184" t="s">
        <v>5148</v>
      </c>
      <c r="E184" t="s">
        <v>58</v>
      </c>
      <c r="F184" t="s">
        <v>58</v>
      </c>
      <c r="G184" t="s">
        <v>59</v>
      </c>
    </row>
    <row r="185" spans="1:7" x14ac:dyDescent="0.25">
      <c r="A185">
        <v>201</v>
      </c>
      <c r="B185" t="s">
        <v>5319</v>
      </c>
      <c r="C185" t="s">
        <v>5326</v>
      </c>
      <c r="D185" t="s">
        <v>5162</v>
      </c>
      <c r="E185" t="s">
        <v>69</v>
      </c>
      <c r="F185" t="s">
        <v>69</v>
      </c>
      <c r="G185" t="s">
        <v>59</v>
      </c>
    </row>
    <row r="186" spans="1:7" x14ac:dyDescent="0.25">
      <c r="A186">
        <v>205</v>
      </c>
      <c r="B186" t="s">
        <v>5319</v>
      </c>
      <c r="C186" t="s">
        <v>5327</v>
      </c>
      <c r="D186" t="s">
        <v>5140</v>
      </c>
      <c r="E186" t="s">
        <v>259</v>
      </c>
      <c r="F186" t="s">
        <v>259</v>
      </c>
      <c r="G186" t="s">
        <v>59</v>
      </c>
    </row>
    <row r="187" spans="1:7" x14ac:dyDescent="0.25">
      <c r="A187">
        <v>194</v>
      </c>
      <c r="B187" t="s">
        <v>5319</v>
      </c>
      <c r="C187" t="s">
        <v>5328</v>
      </c>
      <c r="D187" t="s">
        <v>5164</v>
      </c>
      <c r="E187" t="s">
        <v>94</v>
      </c>
      <c r="F187" t="s">
        <v>94</v>
      </c>
      <c r="G187" t="s">
        <v>59</v>
      </c>
    </row>
    <row r="188" spans="1:7" x14ac:dyDescent="0.25">
      <c r="A188">
        <v>172</v>
      </c>
      <c r="B188" t="s">
        <v>5319</v>
      </c>
      <c r="C188" t="s">
        <v>5329</v>
      </c>
      <c r="D188" t="s">
        <v>5140</v>
      </c>
      <c r="E188" t="s">
        <v>259</v>
      </c>
      <c r="F188" t="s">
        <v>259</v>
      </c>
      <c r="G188" t="s">
        <v>59</v>
      </c>
    </row>
    <row r="189" spans="1:7" x14ac:dyDescent="0.25">
      <c r="A189">
        <v>173</v>
      </c>
      <c r="B189" t="s">
        <v>5319</v>
      </c>
      <c r="C189" t="s">
        <v>5330</v>
      </c>
      <c r="D189" t="s">
        <v>5162</v>
      </c>
      <c r="E189" t="s">
        <v>69</v>
      </c>
      <c r="F189" t="s">
        <v>69</v>
      </c>
      <c r="G189" t="s">
        <v>59</v>
      </c>
    </row>
    <row r="190" spans="1:7" x14ac:dyDescent="0.25">
      <c r="A190">
        <v>177</v>
      </c>
      <c r="B190" t="s">
        <v>5319</v>
      </c>
      <c r="C190" t="s">
        <v>5331</v>
      </c>
      <c r="D190" t="s">
        <v>5162</v>
      </c>
      <c r="E190" t="s">
        <v>69</v>
      </c>
      <c r="F190" t="s">
        <v>69</v>
      </c>
      <c r="G190" t="s">
        <v>59</v>
      </c>
    </row>
    <row r="191" spans="1:7" x14ac:dyDescent="0.25">
      <c r="A191">
        <v>208</v>
      </c>
      <c r="B191" t="s">
        <v>5319</v>
      </c>
      <c r="C191" t="s">
        <v>5332</v>
      </c>
      <c r="D191" t="s">
        <v>5140</v>
      </c>
      <c r="E191" t="s">
        <v>259</v>
      </c>
      <c r="F191" t="s">
        <v>259</v>
      </c>
      <c r="G191" t="s">
        <v>59</v>
      </c>
    </row>
    <row r="192" spans="1:7" x14ac:dyDescent="0.25">
      <c r="A192">
        <v>213</v>
      </c>
      <c r="B192" t="s">
        <v>5319</v>
      </c>
      <c r="C192" t="s">
        <v>5333</v>
      </c>
      <c r="D192" t="s">
        <v>5140</v>
      </c>
      <c r="E192" t="s">
        <v>259</v>
      </c>
      <c r="F192" t="s">
        <v>259</v>
      </c>
      <c r="G192" t="s">
        <v>59</v>
      </c>
    </row>
    <row r="193" spans="1:7" x14ac:dyDescent="0.25">
      <c r="A193">
        <v>235</v>
      </c>
      <c r="B193" t="s">
        <v>5319</v>
      </c>
      <c r="C193" t="s">
        <v>5334</v>
      </c>
      <c r="D193" t="s">
        <v>5144</v>
      </c>
      <c r="E193" t="s">
        <v>41</v>
      </c>
      <c r="F193" t="s">
        <v>41</v>
      </c>
      <c r="G193" t="s">
        <v>42</v>
      </c>
    </row>
    <row r="194" spans="1:7" x14ac:dyDescent="0.25">
      <c r="A194">
        <v>212</v>
      </c>
      <c r="B194" t="s">
        <v>5319</v>
      </c>
      <c r="C194" t="s">
        <v>5335</v>
      </c>
      <c r="D194" t="s">
        <v>5140</v>
      </c>
      <c r="E194" t="s">
        <v>259</v>
      </c>
      <c r="F194" t="s">
        <v>259</v>
      </c>
      <c r="G194" t="s">
        <v>59</v>
      </c>
    </row>
    <row r="195" spans="1:7" x14ac:dyDescent="0.25">
      <c r="A195">
        <v>223</v>
      </c>
      <c r="B195" t="s">
        <v>5319</v>
      </c>
      <c r="C195" t="s">
        <v>5336</v>
      </c>
      <c r="D195" t="s">
        <v>5150</v>
      </c>
      <c r="E195" t="s">
        <v>106</v>
      </c>
      <c r="F195" t="s">
        <v>106</v>
      </c>
      <c r="G195" t="s">
        <v>59</v>
      </c>
    </row>
    <row r="196" spans="1:7" x14ac:dyDescent="0.25">
      <c r="A196">
        <v>206</v>
      </c>
      <c r="B196" t="s">
        <v>5319</v>
      </c>
      <c r="C196" t="s">
        <v>5337</v>
      </c>
      <c r="D196" t="s">
        <v>5140</v>
      </c>
      <c r="E196" t="s">
        <v>259</v>
      </c>
      <c r="F196" t="s">
        <v>259</v>
      </c>
      <c r="G196" t="s">
        <v>59</v>
      </c>
    </row>
    <row r="197" spans="1:7" x14ac:dyDescent="0.25">
      <c r="A197">
        <v>209</v>
      </c>
      <c r="B197" t="s">
        <v>5319</v>
      </c>
      <c r="C197" t="s">
        <v>5338</v>
      </c>
      <c r="D197" t="s">
        <v>5140</v>
      </c>
      <c r="E197" t="s">
        <v>259</v>
      </c>
      <c r="F197" t="s">
        <v>259</v>
      </c>
      <c r="G197" t="s">
        <v>59</v>
      </c>
    </row>
    <row r="198" spans="1:7" x14ac:dyDescent="0.25">
      <c r="A198">
        <v>210</v>
      </c>
      <c r="B198" t="s">
        <v>5319</v>
      </c>
      <c r="C198" t="s">
        <v>5339</v>
      </c>
      <c r="D198" t="s">
        <v>5140</v>
      </c>
      <c r="E198" t="s">
        <v>259</v>
      </c>
      <c r="F198" t="s">
        <v>259</v>
      </c>
      <c r="G198" t="s">
        <v>59</v>
      </c>
    </row>
    <row r="199" spans="1:7" x14ac:dyDescent="0.25">
      <c r="A199">
        <v>204</v>
      </c>
      <c r="B199" t="s">
        <v>5319</v>
      </c>
      <c r="C199" t="s">
        <v>5340</v>
      </c>
      <c r="D199" t="s">
        <v>5140</v>
      </c>
      <c r="E199" t="s">
        <v>259</v>
      </c>
      <c r="F199" t="s">
        <v>259</v>
      </c>
      <c r="G199" t="s">
        <v>59</v>
      </c>
    </row>
    <row r="200" spans="1:7" x14ac:dyDescent="0.25">
      <c r="A200">
        <v>207</v>
      </c>
      <c r="B200" t="s">
        <v>5319</v>
      </c>
      <c r="C200" t="s">
        <v>5341</v>
      </c>
      <c r="D200" t="s">
        <v>5140</v>
      </c>
      <c r="E200" t="s">
        <v>259</v>
      </c>
      <c r="F200" t="s">
        <v>259</v>
      </c>
      <c r="G200" t="s">
        <v>59</v>
      </c>
    </row>
    <row r="201" spans="1:7" x14ac:dyDescent="0.25">
      <c r="A201">
        <v>175</v>
      </c>
      <c r="B201" t="s">
        <v>5319</v>
      </c>
      <c r="C201" t="s">
        <v>5342</v>
      </c>
      <c r="D201" t="s">
        <v>5162</v>
      </c>
      <c r="E201" t="s">
        <v>69</v>
      </c>
      <c r="F201" t="s">
        <v>69</v>
      </c>
      <c r="G201" t="s">
        <v>59</v>
      </c>
    </row>
    <row r="202" spans="1:7" x14ac:dyDescent="0.25">
      <c r="A202">
        <v>202</v>
      </c>
      <c r="B202" t="s">
        <v>5319</v>
      </c>
      <c r="C202" t="s">
        <v>5343</v>
      </c>
      <c r="D202" t="s">
        <v>5140</v>
      </c>
      <c r="E202" t="s">
        <v>259</v>
      </c>
      <c r="F202" t="s">
        <v>259</v>
      </c>
      <c r="G202" t="s">
        <v>59</v>
      </c>
    </row>
    <row r="203" spans="1:7" x14ac:dyDescent="0.25">
      <c r="A203">
        <v>203</v>
      </c>
      <c r="B203" t="s">
        <v>5319</v>
      </c>
      <c r="C203" t="s">
        <v>5344</v>
      </c>
      <c r="D203" t="s">
        <v>5140</v>
      </c>
      <c r="E203" t="s">
        <v>259</v>
      </c>
      <c r="F203" t="s">
        <v>259</v>
      </c>
      <c r="G203" t="s">
        <v>59</v>
      </c>
    </row>
    <row r="204" spans="1:7" x14ac:dyDescent="0.25">
      <c r="A204">
        <v>211</v>
      </c>
      <c r="B204" t="s">
        <v>5319</v>
      </c>
      <c r="C204" t="s">
        <v>5345</v>
      </c>
      <c r="D204" t="s">
        <v>5140</v>
      </c>
      <c r="E204" t="s">
        <v>259</v>
      </c>
      <c r="F204" t="s">
        <v>259</v>
      </c>
      <c r="G204" t="s">
        <v>59</v>
      </c>
    </row>
    <row r="205" spans="1:7" x14ac:dyDescent="0.25">
      <c r="A205">
        <v>238</v>
      </c>
      <c r="B205" t="s">
        <v>5319</v>
      </c>
      <c r="C205" t="s">
        <v>5346</v>
      </c>
      <c r="D205" t="s">
        <v>5148</v>
      </c>
      <c r="E205" t="s">
        <v>58</v>
      </c>
      <c r="F205" t="s">
        <v>58</v>
      </c>
      <c r="G205" t="s">
        <v>59</v>
      </c>
    </row>
    <row r="206" spans="1:7" x14ac:dyDescent="0.25">
      <c r="A206">
        <v>273</v>
      </c>
      <c r="B206" t="s">
        <v>5319</v>
      </c>
      <c r="C206" t="s">
        <v>5347</v>
      </c>
      <c r="D206" t="s">
        <v>5192</v>
      </c>
      <c r="E206" t="s">
        <v>50</v>
      </c>
      <c r="F206" t="s">
        <v>50</v>
      </c>
      <c r="G206" t="s">
        <v>51</v>
      </c>
    </row>
    <row r="207" spans="1:7" x14ac:dyDescent="0.25">
      <c r="A207">
        <v>229</v>
      </c>
      <c r="B207" t="s">
        <v>5319</v>
      </c>
      <c r="C207" t="s">
        <v>5348</v>
      </c>
      <c r="D207" t="s">
        <v>5148</v>
      </c>
      <c r="E207" t="s">
        <v>58</v>
      </c>
      <c r="F207" t="s">
        <v>58</v>
      </c>
      <c r="G207" t="s">
        <v>59</v>
      </c>
    </row>
    <row r="208" spans="1:7" x14ac:dyDescent="0.25">
      <c r="A208">
        <v>246</v>
      </c>
      <c r="B208" t="s">
        <v>5319</v>
      </c>
      <c r="C208" t="s">
        <v>5349</v>
      </c>
      <c r="D208" t="s">
        <v>5140</v>
      </c>
      <c r="E208" t="s">
        <v>259</v>
      </c>
      <c r="F208" t="s">
        <v>259</v>
      </c>
      <c r="G208" t="s">
        <v>59</v>
      </c>
    </row>
    <row r="209" spans="1:7" x14ac:dyDescent="0.25">
      <c r="A209">
        <v>131</v>
      </c>
      <c r="B209" t="s">
        <v>5350</v>
      </c>
      <c r="C209" t="s">
        <v>5351</v>
      </c>
      <c r="D209" t="s">
        <v>5148</v>
      </c>
      <c r="E209" t="s">
        <v>58</v>
      </c>
      <c r="F209" t="s">
        <v>58</v>
      </c>
      <c r="G209" t="s">
        <v>59</v>
      </c>
    </row>
    <row r="210" spans="1:7" x14ac:dyDescent="0.25">
      <c r="A210">
        <v>34</v>
      </c>
      <c r="B210" t="s">
        <v>5352</v>
      </c>
      <c r="C210" t="s">
        <v>1226</v>
      </c>
      <c r="D210" t="s">
        <v>5150</v>
      </c>
      <c r="E210" t="s">
        <v>106</v>
      </c>
      <c r="F210" t="s">
        <v>106</v>
      </c>
      <c r="G210" t="s">
        <v>59</v>
      </c>
    </row>
    <row r="211" spans="1:7" x14ac:dyDescent="0.25">
      <c r="A211">
        <v>245</v>
      </c>
      <c r="B211" t="s">
        <v>5353</v>
      </c>
      <c r="C211" t="s">
        <v>5354</v>
      </c>
      <c r="D211" t="s">
        <v>5144</v>
      </c>
      <c r="E211" t="s">
        <v>41</v>
      </c>
      <c r="F211" t="s">
        <v>41</v>
      </c>
      <c r="G211" t="s">
        <v>42</v>
      </c>
    </row>
    <row r="212" spans="1:7" x14ac:dyDescent="0.25">
      <c r="A212">
        <v>54</v>
      </c>
      <c r="B212" t="s">
        <v>5355</v>
      </c>
      <c r="C212" t="s">
        <v>278</v>
      </c>
      <c r="D212" t="s">
        <v>5198</v>
      </c>
      <c r="E212" t="s">
        <v>117</v>
      </c>
      <c r="F212" t="s">
        <v>117</v>
      </c>
      <c r="G212" t="s">
        <v>51</v>
      </c>
    </row>
    <row r="213" spans="1:7" x14ac:dyDescent="0.25">
      <c r="A213">
        <v>95</v>
      </c>
      <c r="B213" t="s">
        <v>5356</v>
      </c>
      <c r="C213" t="s">
        <v>5357</v>
      </c>
      <c r="D213" t="s">
        <v>5142</v>
      </c>
      <c r="E213" t="s">
        <v>210</v>
      </c>
      <c r="F213" t="s">
        <v>210</v>
      </c>
      <c r="G213" t="s">
        <v>42</v>
      </c>
    </row>
    <row r="214" spans="1:7" x14ac:dyDescent="0.25">
      <c r="A214">
        <v>227</v>
      </c>
      <c r="B214" t="s">
        <v>5358</v>
      </c>
      <c r="C214" t="s">
        <v>1451</v>
      </c>
      <c r="D214" t="s">
        <v>5150</v>
      </c>
      <c r="E214" t="s">
        <v>106</v>
      </c>
      <c r="F214" t="s">
        <v>106</v>
      </c>
      <c r="G214" t="s">
        <v>59</v>
      </c>
    </row>
    <row r="215" spans="1:7" x14ac:dyDescent="0.25">
      <c r="A215">
        <v>258</v>
      </c>
      <c r="B215" t="s">
        <v>5359</v>
      </c>
      <c r="C215" t="s">
        <v>5360</v>
      </c>
      <c r="D215" t="s">
        <v>5161</v>
      </c>
      <c r="E215" t="s">
        <v>224</v>
      </c>
      <c r="F215" t="s">
        <v>224</v>
      </c>
      <c r="G215" t="s">
        <v>42</v>
      </c>
    </row>
    <row r="216" spans="1:7" x14ac:dyDescent="0.25">
      <c r="A216">
        <v>124</v>
      </c>
      <c r="B216" t="s">
        <v>5361</v>
      </c>
      <c r="C216" t="s">
        <v>1234</v>
      </c>
      <c r="D216" t="s">
        <v>5140</v>
      </c>
      <c r="E216" t="s">
        <v>259</v>
      </c>
      <c r="F216" t="s">
        <v>259</v>
      </c>
      <c r="G216" t="s">
        <v>59</v>
      </c>
    </row>
    <row r="217" spans="1:7" x14ac:dyDescent="0.25">
      <c r="A217">
        <v>168</v>
      </c>
      <c r="B217" t="s">
        <v>5362</v>
      </c>
      <c r="C217" t="s">
        <v>5363</v>
      </c>
      <c r="D217" t="s">
        <v>5140</v>
      </c>
      <c r="E217" t="s">
        <v>259</v>
      </c>
      <c r="F217" t="s">
        <v>259</v>
      </c>
      <c r="G217" t="s">
        <v>59</v>
      </c>
    </row>
    <row r="218" spans="1:7" x14ac:dyDescent="0.25">
      <c r="A218">
        <v>263</v>
      </c>
      <c r="B218" t="s">
        <v>5364</v>
      </c>
      <c r="C218" t="s">
        <v>4550</v>
      </c>
      <c r="D218" t="s">
        <v>5144</v>
      </c>
      <c r="E218" t="s">
        <v>41</v>
      </c>
      <c r="F218" t="s">
        <v>41</v>
      </c>
      <c r="G218" t="s">
        <v>42</v>
      </c>
    </row>
    <row r="219" spans="1:7" x14ac:dyDescent="0.25">
      <c r="A219">
        <v>31</v>
      </c>
      <c r="B219" t="s">
        <v>5364</v>
      </c>
      <c r="C219" t="s">
        <v>502</v>
      </c>
      <c r="D219" t="s">
        <v>5177</v>
      </c>
      <c r="E219" t="s">
        <v>100</v>
      </c>
      <c r="F219" t="s">
        <v>100</v>
      </c>
      <c r="G219" t="s">
        <v>51</v>
      </c>
    </row>
    <row r="220" spans="1:7" x14ac:dyDescent="0.25">
      <c r="A220">
        <v>70</v>
      </c>
      <c r="B220" t="s">
        <v>5364</v>
      </c>
      <c r="C220" t="s">
        <v>87</v>
      </c>
      <c r="D220" t="s">
        <v>5158</v>
      </c>
      <c r="E220" t="s">
        <v>74</v>
      </c>
      <c r="F220" t="s">
        <v>264</v>
      </c>
      <c r="G220" t="s">
        <v>51</v>
      </c>
    </row>
    <row r="221" spans="1:7" x14ac:dyDescent="0.25">
      <c r="A221">
        <v>226</v>
      </c>
      <c r="B221" t="s">
        <v>5365</v>
      </c>
      <c r="C221" t="s">
        <v>5366</v>
      </c>
      <c r="D221" t="s">
        <v>5198</v>
      </c>
      <c r="E221" t="s">
        <v>117</v>
      </c>
      <c r="F221" t="s">
        <v>117</v>
      </c>
      <c r="G221" t="s">
        <v>51</v>
      </c>
    </row>
    <row r="222" spans="1:7" x14ac:dyDescent="0.25">
      <c r="A222">
        <v>232</v>
      </c>
      <c r="B222" t="s">
        <v>5367</v>
      </c>
      <c r="C222" t="s">
        <v>5368</v>
      </c>
      <c r="D222" t="s">
        <v>5152</v>
      </c>
      <c r="E222" t="s">
        <v>112</v>
      </c>
      <c r="F222" t="s">
        <v>470</v>
      </c>
      <c r="G222" t="s">
        <v>42</v>
      </c>
    </row>
    <row r="223" spans="1:7" x14ac:dyDescent="0.25">
      <c r="A223">
        <v>132</v>
      </c>
      <c r="B223" t="s">
        <v>5369</v>
      </c>
      <c r="C223" t="s">
        <v>5370</v>
      </c>
      <c r="D223" t="s">
        <v>5148</v>
      </c>
      <c r="E223" t="s">
        <v>58</v>
      </c>
      <c r="F223" t="s">
        <v>58</v>
      </c>
      <c r="G223" t="s">
        <v>59</v>
      </c>
    </row>
    <row r="224" spans="1:7" x14ac:dyDescent="0.25">
      <c r="A224">
        <v>107</v>
      </c>
      <c r="B224" t="s">
        <v>5371</v>
      </c>
      <c r="C224" t="s">
        <v>1787</v>
      </c>
      <c r="D224" t="s">
        <v>5152</v>
      </c>
      <c r="E224" t="s">
        <v>112</v>
      </c>
      <c r="F224" t="s">
        <v>470</v>
      </c>
      <c r="G224" t="s">
        <v>42</v>
      </c>
    </row>
    <row r="225" spans="1:7" x14ac:dyDescent="0.25">
      <c r="A225">
        <v>241</v>
      </c>
      <c r="B225" t="s">
        <v>5371</v>
      </c>
      <c r="C225" t="s">
        <v>5372</v>
      </c>
      <c r="D225" t="s">
        <v>5144</v>
      </c>
      <c r="E225" t="s">
        <v>41</v>
      </c>
      <c r="F225" t="s">
        <v>41</v>
      </c>
      <c r="G225" t="s">
        <v>42</v>
      </c>
    </row>
    <row r="226" spans="1:7" x14ac:dyDescent="0.25">
      <c r="A226">
        <v>58</v>
      </c>
      <c r="B226" t="s">
        <v>5371</v>
      </c>
      <c r="C226" t="s">
        <v>283</v>
      </c>
      <c r="D226" t="s">
        <v>5162</v>
      </c>
      <c r="E226" t="s">
        <v>69</v>
      </c>
      <c r="F226" t="s">
        <v>69</v>
      </c>
      <c r="G226" t="s">
        <v>59</v>
      </c>
    </row>
    <row r="227" spans="1:7" x14ac:dyDescent="0.25">
      <c r="A227">
        <v>165</v>
      </c>
      <c r="B227" t="s">
        <v>5371</v>
      </c>
      <c r="C227" t="s">
        <v>5373</v>
      </c>
      <c r="D227" t="s">
        <v>5148</v>
      </c>
      <c r="E227" t="s">
        <v>58</v>
      </c>
      <c r="F227" t="s">
        <v>58</v>
      </c>
      <c r="G227" t="s">
        <v>59</v>
      </c>
    </row>
    <row r="228" spans="1:7" x14ac:dyDescent="0.25">
      <c r="A228">
        <v>104</v>
      </c>
      <c r="B228" t="s">
        <v>5371</v>
      </c>
      <c r="C228" t="s">
        <v>1688</v>
      </c>
      <c r="D228" t="s">
        <v>5150</v>
      </c>
      <c r="E228" t="s">
        <v>106</v>
      </c>
      <c r="F228" t="s">
        <v>106</v>
      </c>
      <c r="G228" t="s">
        <v>59</v>
      </c>
    </row>
    <row r="229" spans="1:7" x14ac:dyDescent="0.25">
      <c r="A229">
        <v>110</v>
      </c>
      <c r="B229" t="s">
        <v>5371</v>
      </c>
      <c r="C229" t="s">
        <v>185</v>
      </c>
      <c r="D229" t="s">
        <v>5192</v>
      </c>
      <c r="E229" t="s">
        <v>50</v>
      </c>
      <c r="F229" t="s">
        <v>50</v>
      </c>
      <c r="G229" t="s">
        <v>51</v>
      </c>
    </row>
    <row r="230" spans="1:7" x14ac:dyDescent="0.25">
      <c r="A230">
        <v>152</v>
      </c>
      <c r="B230" t="s">
        <v>5371</v>
      </c>
      <c r="C230" t="s">
        <v>306</v>
      </c>
      <c r="D230" t="s">
        <v>5192</v>
      </c>
      <c r="E230" t="s">
        <v>50</v>
      </c>
      <c r="F230" t="s">
        <v>50</v>
      </c>
      <c r="G230" t="s">
        <v>51</v>
      </c>
    </row>
    <row r="231" spans="1:7" x14ac:dyDescent="0.25">
      <c r="A231">
        <v>93</v>
      </c>
      <c r="B231" t="s">
        <v>5371</v>
      </c>
      <c r="C231" t="s">
        <v>5374</v>
      </c>
      <c r="D231" t="s">
        <v>5198</v>
      </c>
      <c r="E231" t="s">
        <v>117</v>
      </c>
      <c r="F231" t="s">
        <v>117</v>
      </c>
      <c r="G231" t="s">
        <v>51</v>
      </c>
    </row>
    <row r="232" spans="1:7" x14ac:dyDescent="0.25">
      <c r="A232">
        <v>151</v>
      </c>
      <c r="B232" t="s">
        <v>5371</v>
      </c>
      <c r="C232" t="s">
        <v>1455</v>
      </c>
      <c r="D232" t="s">
        <v>5158</v>
      </c>
      <c r="E232" t="s">
        <v>74</v>
      </c>
      <c r="F232" t="s">
        <v>74</v>
      </c>
      <c r="G232" t="s">
        <v>51</v>
      </c>
    </row>
    <row r="233" spans="1:7" x14ac:dyDescent="0.25">
      <c r="A233">
        <v>129</v>
      </c>
      <c r="B233" t="s">
        <v>5371</v>
      </c>
      <c r="C233" t="s">
        <v>4758</v>
      </c>
      <c r="D233" t="s">
        <v>5140</v>
      </c>
      <c r="E233" t="s">
        <v>259</v>
      </c>
      <c r="F233" t="s">
        <v>259</v>
      </c>
      <c r="G233" t="s">
        <v>59</v>
      </c>
    </row>
    <row r="234" spans="1:7" x14ac:dyDescent="0.25">
      <c r="A234">
        <v>180</v>
      </c>
      <c r="B234" t="s">
        <v>5371</v>
      </c>
      <c r="C234" t="s">
        <v>5375</v>
      </c>
      <c r="D234" t="s">
        <v>5198</v>
      </c>
      <c r="E234" t="s">
        <v>117</v>
      </c>
      <c r="F234" t="s">
        <v>117</v>
      </c>
      <c r="G234" t="s">
        <v>51</v>
      </c>
    </row>
    <row r="235" spans="1:7" x14ac:dyDescent="0.25">
      <c r="A235">
        <v>119</v>
      </c>
      <c r="B235" t="s">
        <v>5376</v>
      </c>
      <c r="C235" t="s">
        <v>350</v>
      </c>
      <c r="D235" t="s">
        <v>5140</v>
      </c>
      <c r="E235" t="s">
        <v>259</v>
      </c>
      <c r="F235" t="s">
        <v>259</v>
      </c>
      <c r="G235" t="s">
        <v>59</v>
      </c>
    </row>
    <row r="236" spans="1:7" x14ac:dyDescent="0.25">
      <c r="A236">
        <v>257</v>
      </c>
      <c r="B236" t="s">
        <v>5376</v>
      </c>
      <c r="C236" t="s">
        <v>426</v>
      </c>
      <c r="D236" t="s">
        <v>5279</v>
      </c>
      <c r="E236" t="s">
        <v>135</v>
      </c>
      <c r="F236" t="s">
        <v>135</v>
      </c>
      <c r="G236" t="s">
        <v>51</v>
      </c>
    </row>
    <row r="237" spans="1:7" x14ac:dyDescent="0.25">
      <c r="A237">
        <v>251</v>
      </c>
      <c r="B237" t="s">
        <v>5376</v>
      </c>
      <c r="C237" t="s">
        <v>5377</v>
      </c>
      <c r="D237" t="s">
        <v>5192</v>
      </c>
      <c r="E237" t="s">
        <v>50</v>
      </c>
      <c r="F237" t="s">
        <v>50</v>
      </c>
      <c r="G237" t="s">
        <v>51</v>
      </c>
    </row>
    <row r="238" spans="1:7" x14ac:dyDescent="0.25">
      <c r="A238">
        <v>161</v>
      </c>
      <c r="B238" t="s">
        <v>5376</v>
      </c>
      <c r="C238" t="s">
        <v>5378</v>
      </c>
      <c r="D238" t="s">
        <v>5148</v>
      </c>
      <c r="E238" t="s">
        <v>58</v>
      </c>
      <c r="F238" t="s">
        <v>58</v>
      </c>
      <c r="G238" t="s">
        <v>59</v>
      </c>
    </row>
    <row r="239" spans="1:7" x14ac:dyDescent="0.25">
      <c r="A239">
        <v>255</v>
      </c>
      <c r="B239" t="s">
        <v>5376</v>
      </c>
      <c r="C239" t="s">
        <v>5379</v>
      </c>
      <c r="D239" t="s">
        <v>5140</v>
      </c>
      <c r="E239" t="s">
        <v>259</v>
      </c>
      <c r="F239" t="s">
        <v>259</v>
      </c>
      <c r="G239" t="s">
        <v>59</v>
      </c>
    </row>
    <row r="240" spans="1:7" x14ac:dyDescent="0.25">
      <c r="A240">
        <v>262</v>
      </c>
      <c r="B240" t="s">
        <v>5376</v>
      </c>
      <c r="C240" t="s">
        <v>5380</v>
      </c>
      <c r="D240" t="s">
        <v>5152</v>
      </c>
      <c r="E240" t="s">
        <v>112</v>
      </c>
      <c r="F240" t="s">
        <v>470</v>
      </c>
      <c r="G240" t="s">
        <v>42</v>
      </c>
    </row>
    <row r="241" spans="1:7" x14ac:dyDescent="0.25">
      <c r="A241">
        <v>181</v>
      </c>
      <c r="B241" t="s">
        <v>5376</v>
      </c>
      <c r="C241" t="s">
        <v>5381</v>
      </c>
      <c r="D241" t="s">
        <v>5148</v>
      </c>
      <c r="E241" t="s">
        <v>58</v>
      </c>
      <c r="F241" t="s">
        <v>58</v>
      </c>
      <c r="G241" t="s">
        <v>59</v>
      </c>
    </row>
    <row r="242" spans="1:7" x14ac:dyDescent="0.25">
      <c r="A242">
        <v>103</v>
      </c>
      <c r="B242" t="s">
        <v>5376</v>
      </c>
      <c r="C242" t="s">
        <v>3652</v>
      </c>
      <c r="D242" t="s">
        <v>5148</v>
      </c>
      <c r="E242" t="s">
        <v>58</v>
      </c>
      <c r="F242" t="s">
        <v>58</v>
      </c>
      <c r="G242" t="s">
        <v>59</v>
      </c>
    </row>
    <row r="243" spans="1:7" x14ac:dyDescent="0.25">
      <c r="A243">
        <v>125</v>
      </c>
      <c r="B243" t="s">
        <v>5376</v>
      </c>
      <c r="C243" t="s">
        <v>5382</v>
      </c>
      <c r="D243" t="s">
        <v>5140</v>
      </c>
      <c r="E243" t="s">
        <v>259</v>
      </c>
      <c r="F243" t="s">
        <v>259</v>
      </c>
      <c r="G243" t="s">
        <v>59</v>
      </c>
    </row>
    <row r="244" spans="1:7" x14ac:dyDescent="0.25">
      <c r="A244">
        <v>200</v>
      </c>
      <c r="B244" t="s">
        <v>5376</v>
      </c>
      <c r="C244" t="s">
        <v>293</v>
      </c>
      <c r="D244" t="s">
        <v>5161</v>
      </c>
      <c r="E244" t="s">
        <v>224</v>
      </c>
      <c r="F244" t="s">
        <v>224</v>
      </c>
      <c r="G244" t="s">
        <v>42</v>
      </c>
    </row>
    <row r="245" spans="1:7" x14ac:dyDescent="0.25">
      <c r="A245">
        <v>192</v>
      </c>
      <c r="B245" t="s">
        <v>5376</v>
      </c>
      <c r="C245" t="s">
        <v>5383</v>
      </c>
      <c r="D245" t="s">
        <v>5150</v>
      </c>
      <c r="E245" t="s">
        <v>106</v>
      </c>
      <c r="F245" t="s">
        <v>106</v>
      </c>
      <c r="G245" t="s">
        <v>59</v>
      </c>
    </row>
    <row r="246" spans="1:7" x14ac:dyDescent="0.25">
      <c r="A246">
        <v>69</v>
      </c>
      <c r="B246" t="s">
        <v>5376</v>
      </c>
      <c r="C246" t="s">
        <v>5384</v>
      </c>
      <c r="D246" t="s">
        <v>5148</v>
      </c>
      <c r="E246" t="s">
        <v>58</v>
      </c>
      <c r="F246" t="s">
        <v>58</v>
      </c>
      <c r="G246" t="s">
        <v>59</v>
      </c>
    </row>
    <row r="247" spans="1:7" x14ac:dyDescent="0.25">
      <c r="A247">
        <v>148</v>
      </c>
      <c r="B247" t="s">
        <v>5376</v>
      </c>
      <c r="C247" t="s">
        <v>301</v>
      </c>
      <c r="D247" t="s">
        <v>5161</v>
      </c>
      <c r="E247" t="s">
        <v>224</v>
      </c>
      <c r="F247" t="s">
        <v>224</v>
      </c>
      <c r="G247" t="s">
        <v>42</v>
      </c>
    </row>
    <row r="248" spans="1:7" x14ac:dyDescent="0.25">
      <c r="A248">
        <v>259</v>
      </c>
      <c r="B248" t="s">
        <v>5385</v>
      </c>
      <c r="C248" t="s">
        <v>5386</v>
      </c>
      <c r="D248" t="s">
        <v>5161</v>
      </c>
      <c r="E248" t="s">
        <v>224</v>
      </c>
      <c r="F248" t="s">
        <v>224</v>
      </c>
      <c r="G248" t="s">
        <v>42</v>
      </c>
    </row>
    <row r="249" spans="1:7" x14ac:dyDescent="0.25">
      <c r="A249">
        <v>43</v>
      </c>
      <c r="B249" t="s">
        <v>5387</v>
      </c>
      <c r="C249" t="s">
        <v>49</v>
      </c>
      <c r="D249" t="s">
        <v>5192</v>
      </c>
      <c r="E249" t="s">
        <v>50</v>
      </c>
      <c r="F249" t="s">
        <v>50</v>
      </c>
      <c r="G249" t="s">
        <v>51</v>
      </c>
    </row>
    <row r="250" spans="1:7" x14ac:dyDescent="0.25">
      <c r="A250">
        <v>88</v>
      </c>
      <c r="B250" t="s">
        <v>5388</v>
      </c>
      <c r="C250" t="s">
        <v>5389</v>
      </c>
      <c r="D250" t="s">
        <v>5148</v>
      </c>
      <c r="E250" t="s">
        <v>58</v>
      </c>
      <c r="F250" t="s">
        <v>58</v>
      </c>
      <c r="G250" t="s">
        <v>59</v>
      </c>
    </row>
    <row r="251" spans="1:7" x14ac:dyDescent="0.25">
      <c r="A251">
        <v>102</v>
      </c>
      <c r="B251" t="s">
        <v>5390</v>
      </c>
      <c r="C251" t="s">
        <v>5391</v>
      </c>
      <c r="D251" t="s">
        <v>5144</v>
      </c>
      <c r="E251" t="s">
        <v>41</v>
      </c>
      <c r="F251" t="s">
        <v>41</v>
      </c>
      <c r="G251" t="s">
        <v>42</v>
      </c>
    </row>
    <row r="252" spans="1:7" x14ac:dyDescent="0.25">
      <c r="A252">
        <v>89</v>
      </c>
      <c r="B252" t="s">
        <v>5392</v>
      </c>
      <c r="C252" t="s">
        <v>4739</v>
      </c>
      <c r="D252" t="s">
        <v>5142</v>
      </c>
      <c r="E252" t="s">
        <v>210</v>
      </c>
      <c r="F252" t="s">
        <v>210</v>
      </c>
      <c r="G252" t="s">
        <v>42</v>
      </c>
    </row>
    <row r="253" spans="1:7" x14ac:dyDescent="0.25">
      <c r="A253">
        <v>215</v>
      </c>
      <c r="B253" t="s">
        <v>5393</v>
      </c>
      <c r="C253" t="s">
        <v>5394</v>
      </c>
      <c r="D253" t="s">
        <v>5148</v>
      </c>
      <c r="E253" t="s">
        <v>58</v>
      </c>
      <c r="F253" t="s">
        <v>58</v>
      </c>
      <c r="G253" t="s">
        <v>59</v>
      </c>
    </row>
    <row r="254" spans="1:7" x14ac:dyDescent="0.25">
      <c r="A254">
        <v>38</v>
      </c>
      <c r="B254" t="s">
        <v>5395</v>
      </c>
      <c r="C254" t="s">
        <v>627</v>
      </c>
      <c r="D254" t="s">
        <v>5144</v>
      </c>
      <c r="E254" t="s">
        <v>41</v>
      </c>
      <c r="F254" t="s">
        <v>41</v>
      </c>
      <c r="G254" t="s">
        <v>42</v>
      </c>
    </row>
    <row r="255" spans="1:7" x14ac:dyDescent="0.25">
      <c r="A255">
        <v>147</v>
      </c>
      <c r="B255" t="s">
        <v>5396</v>
      </c>
      <c r="C255" t="s">
        <v>547</v>
      </c>
      <c r="D255" t="s">
        <v>5144</v>
      </c>
      <c r="E255" t="s">
        <v>41</v>
      </c>
      <c r="F255" t="s">
        <v>41</v>
      </c>
      <c r="G255" t="s">
        <v>42</v>
      </c>
    </row>
    <row r="256" spans="1:7" x14ac:dyDescent="0.25">
      <c r="A256">
        <v>97</v>
      </c>
      <c r="B256" t="s">
        <v>5397</v>
      </c>
      <c r="C256" t="s">
        <v>2841</v>
      </c>
      <c r="D256" t="s">
        <v>5152</v>
      </c>
      <c r="E256" t="s">
        <v>112</v>
      </c>
      <c r="F256" t="s">
        <v>470</v>
      </c>
      <c r="G256" t="s">
        <v>42</v>
      </c>
    </row>
    <row r="257" spans="1:7" x14ac:dyDescent="0.25">
      <c r="A257">
        <v>59</v>
      </c>
      <c r="B257" t="s">
        <v>5158</v>
      </c>
      <c r="C257" t="s">
        <v>74</v>
      </c>
      <c r="D257" t="s">
        <v>5158</v>
      </c>
      <c r="E257" t="s">
        <v>74</v>
      </c>
      <c r="F257" t="s">
        <v>74</v>
      </c>
      <c r="G257" t="s">
        <v>51</v>
      </c>
    </row>
    <row r="258" spans="1:7" x14ac:dyDescent="0.25">
      <c r="A258">
        <v>100</v>
      </c>
      <c r="B258" t="s">
        <v>5158</v>
      </c>
      <c r="C258" t="s">
        <v>5398</v>
      </c>
      <c r="D258" t="s">
        <v>5158</v>
      </c>
      <c r="E258" t="s">
        <v>74</v>
      </c>
      <c r="F258" t="s">
        <v>74</v>
      </c>
      <c r="G258" t="s">
        <v>51</v>
      </c>
    </row>
    <row r="259" spans="1:7" x14ac:dyDescent="0.25">
      <c r="A259">
        <v>6</v>
      </c>
      <c r="B259" t="s">
        <v>5140</v>
      </c>
      <c r="C259" t="s">
        <v>1243</v>
      </c>
      <c r="D259" t="s">
        <v>5177</v>
      </c>
      <c r="E259" t="s">
        <v>100</v>
      </c>
      <c r="F259" t="s">
        <v>264</v>
      </c>
      <c r="G259" t="s">
        <v>51</v>
      </c>
    </row>
    <row r="260" spans="1:7" x14ac:dyDescent="0.25">
      <c r="A260">
        <v>2</v>
      </c>
      <c r="B260" t="s">
        <v>5140</v>
      </c>
      <c r="C260" t="s">
        <v>259</v>
      </c>
      <c r="D260" t="s">
        <v>5140</v>
      </c>
      <c r="E260" t="s">
        <v>259</v>
      </c>
      <c r="F260" t="s">
        <v>259</v>
      </c>
      <c r="G260" t="s">
        <v>59</v>
      </c>
    </row>
    <row r="261" spans="1:7" x14ac:dyDescent="0.25">
      <c r="A261">
        <v>61</v>
      </c>
      <c r="B261" t="s">
        <v>5399</v>
      </c>
      <c r="C261" t="s">
        <v>5400</v>
      </c>
      <c r="D261" t="s">
        <v>5148</v>
      </c>
      <c r="E261" t="s">
        <v>58</v>
      </c>
      <c r="F261" t="s">
        <v>58</v>
      </c>
      <c r="G261" t="s">
        <v>59</v>
      </c>
    </row>
    <row r="262" spans="1:7" x14ac:dyDescent="0.25">
      <c r="A262">
        <v>243</v>
      </c>
      <c r="B262" t="s">
        <v>5401</v>
      </c>
      <c r="C262" t="s">
        <v>5402</v>
      </c>
      <c r="D262" t="s">
        <v>5142</v>
      </c>
      <c r="E262" t="s">
        <v>210</v>
      </c>
      <c r="F262" t="s">
        <v>210</v>
      </c>
      <c r="G262" t="s">
        <v>42</v>
      </c>
    </row>
    <row r="263" spans="1:7" x14ac:dyDescent="0.25">
      <c r="A263">
        <v>216</v>
      </c>
      <c r="B263" t="s">
        <v>5403</v>
      </c>
      <c r="C263" t="s">
        <v>5404</v>
      </c>
      <c r="D263" t="s">
        <v>5140</v>
      </c>
      <c r="E263" t="s">
        <v>259</v>
      </c>
      <c r="F263" t="s">
        <v>259</v>
      </c>
      <c r="G263" t="s">
        <v>59</v>
      </c>
    </row>
    <row r="264" spans="1:7" x14ac:dyDescent="0.25">
      <c r="A264">
        <v>11</v>
      </c>
      <c r="B264" t="s">
        <v>5405</v>
      </c>
      <c r="C264" t="s">
        <v>462</v>
      </c>
      <c r="D264" t="s">
        <v>5150</v>
      </c>
      <c r="E264" t="s">
        <v>106</v>
      </c>
      <c r="F264" t="s">
        <v>106</v>
      </c>
      <c r="G264" t="s">
        <v>59</v>
      </c>
    </row>
    <row r="265" spans="1:7" x14ac:dyDescent="0.25">
      <c r="A265">
        <v>67</v>
      </c>
      <c r="B265" t="s">
        <v>5405</v>
      </c>
      <c r="C265" t="s">
        <v>5406</v>
      </c>
      <c r="D265" t="s">
        <v>5164</v>
      </c>
      <c r="E265" t="s">
        <v>94</v>
      </c>
      <c r="F265" t="s">
        <v>94</v>
      </c>
      <c r="G265" t="s">
        <v>59</v>
      </c>
    </row>
    <row r="266" spans="1:7" x14ac:dyDescent="0.25">
      <c r="A266">
        <v>66</v>
      </c>
      <c r="B266" t="s">
        <v>5405</v>
      </c>
      <c r="C266" t="s">
        <v>5407</v>
      </c>
      <c r="D266" t="s">
        <v>5150</v>
      </c>
      <c r="E266" t="s">
        <v>106</v>
      </c>
      <c r="F266" t="s">
        <v>106</v>
      </c>
      <c r="G266" t="s">
        <v>59</v>
      </c>
    </row>
    <row r="267" spans="1:7" x14ac:dyDescent="0.25">
      <c r="A267">
        <v>261</v>
      </c>
      <c r="B267" t="s">
        <v>5408</v>
      </c>
      <c r="C267" t="s">
        <v>5409</v>
      </c>
      <c r="D267" t="s">
        <v>5144</v>
      </c>
      <c r="E267" t="s">
        <v>41</v>
      </c>
      <c r="F267" t="s">
        <v>41</v>
      </c>
      <c r="G267" t="s">
        <v>42</v>
      </c>
    </row>
    <row r="268" spans="1:7" x14ac:dyDescent="0.25">
      <c r="A268">
        <v>271</v>
      </c>
      <c r="B268" t="s">
        <v>5408</v>
      </c>
      <c r="C268" t="s">
        <v>5410</v>
      </c>
      <c r="D268" t="s">
        <v>5202</v>
      </c>
      <c r="E268" t="s">
        <v>264</v>
      </c>
      <c r="F268" t="s">
        <v>264</v>
      </c>
      <c r="G268" t="s">
        <v>51</v>
      </c>
    </row>
    <row r="269" spans="1:7" x14ac:dyDescent="0.25">
      <c r="A269">
        <v>270</v>
      </c>
      <c r="B269" t="s">
        <v>5408</v>
      </c>
      <c r="C269" t="s">
        <v>5411</v>
      </c>
      <c r="D269" t="s">
        <v>5161</v>
      </c>
      <c r="E269" t="s">
        <v>224</v>
      </c>
      <c r="F269" t="s">
        <v>224</v>
      </c>
      <c r="G269" t="s">
        <v>42</v>
      </c>
    </row>
    <row r="270" spans="1:7" x14ac:dyDescent="0.25">
      <c r="A270">
        <v>108</v>
      </c>
      <c r="B270" t="s">
        <v>5408</v>
      </c>
      <c r="C270" t="s">
        <v>5412</v>
      </c>
      <c r="D270" t="s">
        <v>5148</v>
      </c>
      <c r="E270" t="s">
        <v>58</v>
      </c>
      <c r="F270" t="s">
        <v>58</v>
      </c>
      <c r="G270" t="s">
        <v>59</v>
      </c>
    </row>
    <row r="271" spans="1:7" x14ac:dyDescent="0.25">
      <c r="A271">
        <v>267</v>
      </c>
      <c r="B271" t="s">
        <v>5408</v>
      </c>
      <c r="C271" t="s">
        <v>5413</v>
      </c>
      <c r="D271" t="s">
        <v>5152</v>
      </c>
      <c r="E271" t="s">
        <v>112</v>
      </c>
      <c r="F271" t="s">
        <v>470</v>
      </c>
      <c r="G271" t="s">
        <v>42</v>
      </c>
    </row>
    <row r="272" spans="1:7" x14ac:dyDescent="0.25">
      <c r="A272">
        <v>142</v>
      </c>
      <c r="B272" t="s">
        <v>5414</v>
      </c>
      <c r="C272" t="s">
        <v>5415</v>
      </c>
      <c r="D272" t="s">
        <v>5148</v>
      </c>
      <c r="E272" t="s">
        <v>58</v>
      </c>
      <c r="F272" t="s">
        <v>58</v>
      </c>
      <c r="G272" t="s">
        <v>59</v>
      </c>
    </row>
    <row r="273" spans="1:7" x14ac:dyDescent="0.25">
      <c r="A273">
        <v>272</v>
      </c>
      <c r="B273" t="s">
        <v>5414</v>
      </c>
      <c r="C273" t="s">
        <v>5416</v>
      </c>
      <c r="D273" t="s">
        <v>5148</v>
      </c>
      <c r="E273" t="s">
        <v>58</v>
      </c>
      <c r="F273" t="s">
        <v>58</v>
      </c>
      <c r="G273" t="s">
        <v>59</v>
      </c>
    </row>
    <row r="274" spans="1:7" x14ac:dyDescent="0.25">
      <c r="A274">
        <v>274</v>
      </c>
      <c r="B274" t="s">
        <v>5414</v>
      </c>
      <c r="C274" t="s">
        <v>5417</v>
      </c>
      <c r="D274" t="s">
        <v>5148</v>
      </c>
      <c r="E274" t="s">
        <v>58</v>
      </c>
      <c r="F274" t="s">
        <v>58</v>
      </c>
      <c r="G274" t="s">
        <v>59</v>
      </c>
    </row>
    <row r="275" spans="1:7" x14ac:dyDescent="0.25">
      <c r="A275">
        <v>16</v>
      </c>
      <c r="B275" t="s">
        <v>5418</v>
      </c>
      <c r="C275" t="s">
        <v>537</v>
      </c>
      <c r="D275" t="s">
        <v>5140</v>
      </c>
      <c r="E275" t="s">
        <v>259</v>
      </c>
      <c r="F275" t="s">
        <v>259</v>
      </c>
      <c r="G275" t="s">
        <v>59</v>
      </c>
    </row>
    <row r="276" spans="1:7" x14ac:dyDescent="0.25">
      <c r="A276">
        <v>30</v>
      </c>
      <c r="B276" t="s">
        <v>5419</v>
      </c>
      <c r="C276" t="s">
        <v>2051</v>
      </c>
      <c r="D276" t="s">
        <v>5140</v>
      </c>
      <c r="E276" t="s">
        <v>259</v>
      </c>
      <c r="F276" t="s">
        <v>259</v>
      </c>
      <c r="G276" t="s">
        <v>59</v>
      </c>
    </row>
  </sheetData>
  <pageMargins left="0.511811024" right="0.511811024" top="0.78740157499999996" bottom="0.78740157499999996" header="0.31496062000000002" footer="0.31496062000000002"/>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5320B-7D16-4FEB-8FEB-22E07DFA6955}">
  <dimension ref="A2:C8"/>
  <sheetViews>
    <sheetView workbookViewId="0">
      <selection activeCell="A6" sqref="A6:C6"/>
    </sheetView>
  </sheetViews>
  <sheetFormatPr defaultRowHeight="15" x14ac:dyDescent="0.25"/>
  <cols>
    <col min="1" max="3" width="15.140625" customWidth="1"/>
  </cols>
  <sheetData>
    <row r="2" spans="1:3" x14ac:dyDescent="0.25">
      <c r="A2" s="138" t="s">
        <v>5420</v>
      </c>
      <c r="B2" s="138"/>
      <c r="C2" s="138"/>
    </row>
    <row r="3" spans="1:3" x14ac:dyDescent="0.25">
      <c r="A3" s="140" t="s">
        <v>5421</v>
      </c>
      <c r="B3" s="139" t="s">
        <v>5422</v>
      </c>
      <c r="C3" s="139"/>
    </row>
    <row r="4" spans="1:3" x14ac:dyDescent="0.25">
      <c r="A4" s="141"/>
      <c r="B4" s="6" t="s">
        <v>5</v>
      </c>
      <c r="C4" s="6" t="s">
        <v>6</v>
      </c>
    </row>
    <row r="5" spans="1:3" x14ac:dyDescent="0.25">
      <c r="A5" s="4" t="s">
        <v>9</v>
      </c>
      <c r="B5" s="4" t="s">
        <v>5423</v>
      </c>
      <c r="C5" s="4" t="s">
        <v>5424</v>
      </c>
    </row>
    <row r="6" spans="1:3" x14ac:dyDescent="0.25">
      <c r="A6" s="4" t="s">
        <v>13</v>
      </c>
      <c r="B6" s="4" t="s">
        <v>5425</v>
      </c>
      <c r="C6" s="4" t="s">
        <v>5426</v>
      </c>
    </row>
    <row r="7" spans="1:3" x14ac:dyDescent="0.25">
      <c r="A7" s="4" t="s">
        <v>14</v>
      </c>
      <c r="B7" s="4" t="s">
        <v>5427</v>
      </c>
      <c r="C7" s="4" t="s">
        <v>5428</v>
      </c>
    </row>
    <row r="8" spans="1:3" x14ac:dyDescent="0.25">
      <c r="A8" s="4" t="s">
        <v>15</v>
      </c>
      <c r="B8" s="4" t="s">
        <v>5429</v>
      </c>
      <c r="C8" s="4" t="s">
        <v>5430</v>
      </c>
    </row>
  </sheetData>
  <mergeCells count="3">
    <mergeCell ref="B3:C3"/>
    <mergeCell ref="A2:C2"/>
    <mergeCell ref="A3:A4"/>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dc70cac-8545-47b7-a261-82d69e6fcca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C61C35405610D4F935833E55DC15577" ma:contentTypeVersion="15" ma:contentTypeDescription="Crie um novo documento." ma:contentTypeScope="" ma:versionID="47d50944208328d624b4b5dde74ef3f9">
  <xsd:schema xmlns:xsd="http://www.w3.org/2001/XMLSchema" xmlns:xs="http://www.w3.org/2001/XMLSchema" xmlns:p="http://schemas.microsoft.com/office/2006/metadata/properties" xmlns:ns3="adc70cac-8545-47b7-a261-82d69e6fcca6" xmlns:ns4="5d55b19c-0386-4dff-a730-2149a0284772" targetNamespace="http://schemas.microsoft.com/office/2006/metadata/properties" ma:root="true" ma:fieldsID="f12b118c3348c9ecda710c15958ab482" ns3:_="" ns4:_="">
    <xsd:import namespace="adc70cac-8545-47b7-a261-82d69e6fcca6"/>
    <xsd:import namespace="5d55b19c-0386-4dff-a730-2149a028477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c70cac-8545-47b7-a261-82d69e6fcc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55b19c-0386-4dff-a730-2149a0284772"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SharingHintHash" ma:index="18"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3F613A65-F910-4F47-A469-4F35A755E83B}">
  <ds:schemaRefs>
    <ds:schemaRef ds:uri="5d55b19c-0386-4dff-a730-2149a0284772"/>
    <ds:schemaRef ds:uri="http://purl.org/dc/dcmitype/"/>
    <ds:schemaRef ds:uri="http://schemas.openxmlformats.org/package/2006/metadata/core-properties"/>
    <ds:schemaRef ds:uri="http://purl.org/dc/terms/"/>
    <ds:schemaRef ds:uri="http://www.w3.org/XML/1998/namespace"/>
    <ds:schemaRef ds:uri="http://schemas.microsoft.com/office/infopath/2007/PartnerControls"/>
    <ds:schemaRef ds:uri="http://schemas.microsoft.com/office/2006/documentManagement/types"/>
    <ds:schemaRef ds:uri="http://purl.org/dc/elements/1.1/"/>
    <ds:schemaRef ds:uri="http://schemas.microsoft.com/office/2006/metadata/properties"/>
    <ds:schemaRef ds:uri="adc70cac-8545-47b7-a261-82d69e6fcca6"/>
  </ds:schemaRefs>
</ds:datastoreItem>
</file>

<file path=customXml/itemProps2.xml><?xml version="1.0" encoding="utf-8"?>
<ds:datastoreItem xmlns:ds="http://schemas.openxmlformats.org/officeDocument/2006/customXml" ds:itemID="{8A9E584F-9AEE-48EF-A9DF-D30AE344C7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c70cac-8545-47b7-a261-82d69e6fcca6"/>
    <ds:schemaRef ds:uri="5d55b19c-0386-4dff-a730-2149a02847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FFCA0C-2673-4C68-B141-93FFE53670D1}">
  <ds:schemaRefs>
    <ds:schemaRef ds:uri="http://schemas.microsoft.com/sharepoint/v3/contenttype/forms"/>
  </ds:schemaRefs>
</ds:datastoreItem>
</file>

<file path=customXml/itemProps4.xml><?xml version="1.0" encoding="utf-8"?>
<ds:datastoreItem xmlns:ds="http://schemas.openxmlformats.org/officeDocument/2006/customXml" ds:itemID="{E0189B59-06FC-466A-AC9B-DE7E0549CB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Gerencial</vt:lpstr>
      <vt:lpstr>Pendentes</vt:lpstr>
      <vt:lpstr>Premissas por Equipamento</vt:lpstr>
      <vt:lpstr>Planilha1</vt:lpstr>
      <vt:lpstr>Concluídas</vt:lpstr>
      <vt:lpstr>Criticidade por Equipamento Joa</vt:lpstr>
      <vt:lpstr>Joao</vt:lpstr>
      <vt:lpstr>Criticidade por Equipamento</vt:lpstr>
      <vt:lpstr>Premissas</vt:lpstr>
      <vt:lpstr>SGM</vt:lpstr>
      <vt:lpstr>Planilha2</vt:lpstr>
      <vt:lpstr>Localidades</vt:lpstr>
      <vt:lpstr>Matriz de Criticidade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Joao Antonio Lagares Milhomem de Souza</cp:lastModifiedBy>
  <cp:revision/>
  <dcterms:created xsi:type="dcterms:W3CDTF">2016-07-06T08:22:49Z</dcterms:created>
  <dcterms:modified xsi:type="dcterms:W3CDTF">2026-08-21T20:53:05Z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0x0101006C61C35405610D4F935833E55DC15577</vt:lpwstr>
  </property>
</Properties>
</file>
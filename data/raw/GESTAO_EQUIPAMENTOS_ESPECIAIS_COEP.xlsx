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namedSheetViews/namedSheetView2.xml" ContentType="application/vnd.ms-excel.namedsheetviews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DCMDETO/Documentos Compartilhados/COEP/Engenharia da Manutenção/PLANO MANUTENÇÃO 2026/2 - Equipamentos Especiais/1 - Gestão/"/>
    </mc:Choice>
  </mc:AlternateContent>
  <xr:revisionPtr revIDLastSave="1419" documentId="13_ncr:1_{3A440670-0537-48F0-895F-22325A0271D5}" xr6:coauthVersionLast="47" xr6:coauthVersionMax="47" xr10:uidLastSave="{45D349B3-82B7-4FDD-9D66-1D9FA2510028}"/>
  <bookViews>
    <workbookView xWindow="-120" yWindow="-120" windowWidth="29040" windowHeight="15720" activeTab="1" xr2:uid="{00000000-000D-0000-FFFF-FFFF00000000}"/>
  </bookViews>
  <sheets>
    <sheet name="Orçamento" sheetId="7" r:id="rId1"/>
    <sheet name="Apresentação" sheetId="12" r:id="rId2"/>
    <sheet name="Gestão" sheetId="1" r:id="rId3"/>
    <sheet name="Taxa de Falha" sheetId="4" r:id="rId4"/>
    <sheet name="SLA por equipe" sheetId="9" r:id="rId5"/>
    <sheet name="Falha Equipamentos" sheetId="5" r:id="rId6"/>
    <sheet name="Base" sheetId="2" r:id="rId7"/>
    <sheet name="Planilha1" sheetId="10" r:id="rId8"/>
    <sheet name="Resolvidos" sheetId="6" r:id="rId9"/>
    <sheet name="BASE SS_OS" sheetId="8" r:id="rId10"/>
    <sheet name="Planilha2" sheetId="3" state="hidden" r:id="rId11"/>
  </sheets>
  <externalReferences>
    <externalReference r:id="rId12"/>
    <externalReference r:id="rId13"/>
    <externalReference r:id="rId14"/>
  </externalReferences>
  <definedNames>
    <definedName name="DadosExternos_1" localSheetId="9" hidden="1">'BASE SS_OS'!$A$1:$BL$55</definedName>
  </definedNames>
  <calcPr calcId="191029"/>
  <pivotCaches>
    <pivotCache cacheId="14" r:id="rId15"/>
    <pivotCache cacheId="15" r:id="rId16"/>
    <pivotCache cacheId="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2" l="1"/>
  <c r="B6" i="12"/>
  <c r="C6" i="12" s="1"/>
  <c r="D6" i="12" s="1"/>
  <c r="E6" i="12" s="1"/>
  <c r="F6" i="12" s="1"/>
  <c r="G6" i="12" s="1"/>
  <c r="G8" i="12" s="1"/>
  <c r="G5" i="12"/>
  <c r="F5" i="12"/>
  <c r="E5" i="12"/>
  <c r="D5" i="12"/>
  <c r="C5" i="12"/>
  <c r="B5" i="12"/>
  <c r="E58" i="7"/>
  <c r="F58" i="7"/>
  <c r="E72" i="7" s="1"/>
  <c r="E37" i="7"/>
  <c r="F57" i="7"/>
  <c r="E57" i="7"/>
  <c r="H57" i="7"/>
  <c r="F72" i="7"/>
  <c r="C72" i="7"/>
  <c r="D71" i="7"/>
  <c r="E71" i="7"/>
  <c r="F71" i="7"/>
  <c r="C71" i="7"/>
  <c r="G58" i="7"/>
  <c r="H63" i="7"/>
  <c r="H62" i="7"/>
  <c r="D29" i="7"/>
  <c r="M37" i="7"/>
  <c r="C18" i="7"/>
  <c r="E21" i="7" s="1"/>
  <c r="H15" i="7"/>
  <c r="G19" i="7"/>
  <c r="C21" i="7"/>
  <c r="J40" i="7" l="1"/>
  <c r="D72" i="7"/>
  <c r="G72" i="7" s="1"/>
  <c r="H58" i="7"/>
  <c r="F66" i="7"/>
  <c r="F67" i="7" s="1"/>
  <c r="G71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G9" i="7"/>
  <c r="S2" i="2" l="1"/>
  <c r="T2" i="2" s="1"/>
  <c r="R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123" i="4" l="1"/>
  <c r="C123" i="4" s="1"/>
  <c r="D123" i="4" s="1"/>
  <c r="E123" i="4" s="1"/>
  <c r="F123" i="4" s="1"/>
  <c r="G123" i="4" s="1"/>
  <c r="H123" i="4" s="1"/>
  <c r="I123" i="4" s="1"/>
  <c r="B116" i="4"/>
  <c r="C116" i="4" s="1"/>
  <c r="D116" i="4" s="1"/>
  <c r="E116" i="4" s="1"/>
  <c r="F116" i="4" s="1"/>
  <c r="G116" i="4" s="1"/>
  <c r="H116" i="4" s="1"/>
  <c r="I116" i="4" s="1"/>
  <c r="C107" i="4"/>
  <c r="D107" i="4"/>
  <c r="E107" i="4"/>
  <c r="F107" i="4"/>
  <c r="G107" i="4"/>
  <c r="H107" i="4"/>
  <c r="I107" i="4"/>
  <c r="J107" i="4"/>
  <c r="K107" i="4"/>
  <c r="L107" i="4"/>
  <c r="M107" i="4"/>
  <c r="C108" i="4"/>
  <c r="D108" i="4"/>
  <c r="E108" i="4"/>
  <c r="F108" i="4"/>
  <c r="G108" i="4"/>
  <c r="H108" i="4"/>
  <c r="I108" i="4"/>
  <c r="J108" i="4"/>
  <c r="K108" i="4"/>
  <c r="L108" i="4"/>
  <c r="M108" i="4"/>
  <c r="B108" i="4"/>
  <c r="B109" i="4"/>
  <c r="C109" i="4" s="1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B107" i="4"/>
  <c r="C101" i="4"/>
  <c r="D101" i="4"/>
  <c r="E101" i="4"/>
  <c r="F101" i="4"/>
  <c r="G101" i="4"/>
  <c r="H101" i="4"/>
  <c r="I101" i="4"/>
  <c r="J101" i="4"/>
  <c r="K101" i="4"/>
  <c r="L101" i="4"/>
  <c r="M101" i="4"/>
  <c r="C102" i="4"/>
  <c r="D102" i="4"/>
  <c r="E102" i="4"/>
  <c r="F102" i="4"/>
  <c r="G102" i="4"/>
  <c r="H102" i="4"/>
  <c r="I102" i="4"/>
  <c r="J102" i="4"/>
  <c r="K102" i="4"/>
  <c r="L102" i="4"/>
  <c r="M102" i="4"/>
  <c r="B101" i="4"/>
  <c r="B102" i="4"/>
  <c r="B103" i="4"/>
  <c r="C103" i="4" s="1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B93" i="4" a="1"/>
  <c r="B93" i="4" s="1"/>
  <c r="B94" i="4" s="1"/>
  <c r="B96" i="4" s="1"/>
  <c r="B86" i="4" a="1"/>
  <c r="B86" i="4" s="1"/>
  <c r="B87" i="4" s="1"/>
  <c r="B115" i="4" l="1"/>
  <c r="B89" i="4"/>
  <c r="C94" i="4"/>
  <c r="C96" i="4" s="1"/>
  <c r="B122" i="4"/>
  <c r="I114" i="4"/>
  <c r="H121" i="4"/>
  <c r="B114" i="4"/>
  <c r="B121" i="4"/>
  <c r="F121" i="4"/>
  <c r="F114" i="4"/>
  <c r="E121" i="4"/>
  <c r="M114" i="4"/>
  <c r="L121" i="4"/>
  <c r="D121" i="4"/>
  <c r="C121" i="4"/>
  <c r="K114" i="4"/>
  <c r="C114" i="4"/>
  <c r="J121" i="4"/>
  <c r="H114" i="4"/>
  <c r="G121" i="4"/>
  <c r="G114" i="4"/>
  <c r="M121" i="4"/>
  <c r="E114" i="4"/>
  <c r="L114" i="4"/>
  <c r="D114" i="4"/>
  <c r="K121" i="4"/>
  <c r="J114" i="4"/>
  <c r="I121" i="4"/>
  <c r="C87" i="4"/>
  <c r="C89" i="4" s="1"/>
  <c r="C122" i="4" l="1"/>
  <c r="D94" i="4"/>
  <c r="D96" i="4" s="1"/>
  <c r="C115" i="4"/>
  <c r="D87" i="4"/>
  <c r="D89" i="4" s="1"/>
  <c r="E94" i="4" l="1"/>
  <c r="E96" i="4" s="1"/>
  <c r="D122" i="4"/>
  <c r="D115" i="4"/>
  <c r="E87" i="4"/>
  <c r="E89" i="4" s="1"/>
  <c r="E122" i="4" l="1"/>
  <c r="F94" i="4"/>
  <c r="F96" i="4" s="1"/>
  <c r="F87" i="4"/>
  <c r="F89" i="4" s="1"/>
  <c r="E115" i="4"/>
  <c r="F122" i="4" l="1"/>
  <c r="G94" i="4"/>
  <c r="G96" i="4" s="1"/>
  <c r="G87" i="4"/>
  <c r="G89" i="4" s="1"/>
  <c r="F115" i="4"/>
  <c r="G122" i="4" l="1"/>
  <c r="H94" i="4"/>
  <c r="H96" i="4" s="1"/>
  <c r="H87" i="4"/>
  <c r="H89" i="4" s="1"/>
  <c r="G115" i="4"/>
  <c r="H122" i="4" l="1"/>
  <c r="I94" i="4"/>
  <c r="I96" i="4" s="1"/>
  <c r="I87" i="4"/>
  <c r="I89" i="4" s="1"/>
  <c r="H115" i="4"/>
  <c r="I122" i="4" l="1"/>
  <c r="J94" i="4"/>
  <c r="J96" i="4" s="1"/>
  <c r="J87" i="4"/>
  <c r="J89" i="4" s="1"/>
  <c r="I115" i="4"/>
  <c r="K94" i="4" l="1"/>
  <c r="K96" i="4" s="1"/>
  <c r="J122" i="4"/>
  <c r="J115" i="4"/>
  <c r="K87" i="4"/>
  <c r="K89" i="4" s="1"/>
  <c r="K122" i="4" l="1"/>
  <c r="L94" i="4"/>
  <c r="L96" i="4" s="1"/>
  <c r="L87" i="4"/>
  <c r="L89" i="4" s="1"/>
  <c r="K115" i="4"/>
  <c r="L122" i="4" l="1"/>
  <c r="M94" i="4"/>
  <c r="M87" i="4"/>
  <c r="L115" i="4"/>
  <c r="M122" i="4" l="1"/>
  <c r="M96" i="4"/>
  <c r="M115" i="4"/>
  <c r="M89" i="4"/>
  <c r="I2" i="5"/>
  <c r="K2" i="5" s="1"/>
  <c r="D2" i="5" s="1"/>
  <c r="I3" i="5"/>
  <c r="K3" i="5" s="1"/>
  <c r="D3" i="5" s="1"/>
  <c r="I4" i="5"/>
  <c r="K4" i="5" s="1"/>
  <c r="D4" i="5" s="1"/>
  <c r="I5" i="5"/>
  <c r="K5" i="5" s="1"/>
  <c r="D5" i="5" s="1"/>
  <c r="I6" i="5"/>
  <c r="K6" i="5" s="1"/>
  <c r="D6" i="5" s="1"/>
  <c r="I7" i="5"/>
  <c r="K7" i="5" s="1"/>
  <c r="D7" i="5" s="1"/>
  <c r="I8" i="5"/>
  <c r="K8" i="5" s="1"/>
  <c r="D8" i="5" s="1"/>
  <c r="I9" i="5"/>
  <c r="K9" i="5" s="1"/>
  <c r="D9" i="5" s="1"/>
  <c r="I10" i="5"/>
  <c r="K10" i="5" s="1"/>
  <c r="D10" i="5" s="1"/>
  <c r="I11" i="5"/>
  <c r="K11" i="5" s="1"/>
  <c r="D11" i="5" s="1"/>
  <c r="I12" i="5"/>
  <c r="K12" i="5" s="1"/>
  <c r="D12" i="5" s="1"/>
  <c r="I13" i="5"/>
  <c r="K13" i="5" s="1"/>
  <c r="D13" i="5" s="1"/>
  <c r="I14" i="5"/>
  <c r="K14" i="5" s="1"/>
  <c r="D14" i="5" s="1"/>
  <c r="I15" i="5"/>
  <c r="K15" i="5" s="1"/>
  <c r="D15" i="5" s="1"/>
  <c r="I16" i="5"/>
  <c r="K16" i="5" s="1"/>
  <c r="D16" i="5" s="1"/>
  <c r="I17" i="5"/>
  <c r="K17" i="5" s="1"/>
  <c r="D17" i="5" s="1"/>
  <c r="I18" i="5"/>
  <c r="K18" i="5" s="1"/>
  <c r="D18" i="5" s="1"/>
  <c r="I19" i="5"/>
  <c r="K19" i="5" s="1"/>
  <c r="D19" i="5" s="1"/>
  <c r="I20" i="5"/>
  <c r="K20" i="5" s="1"/>
  <c r="D20" i="5" s="1"/>
  <c r="I21" i="5"/>
  <c r="K21" i="5" s="1"/>
  <c r="D21" i="5" s="1"/>
  <c r="I22" i="5"/>
  <c r="K22" i="5" s="1"/>
  <c r="D22" i="5" s="1"/>
  <c r="I23" i="5"/>
  <c r="K23" i="5" s="1"/>
  <c r="D23" i="5" s="1"/>
  <c r="I24" i="5"/>
  <c r="K24" i="5" s="1"/>
  <c r="D24" i="5" s="1"/>
  <c r="I25" i="5"/>
  <c r="K25" i="5" s="1"/>
  <c r="D25" i="5" s="1"/>
  <c r="I26" i="5"/>
  <c r="K26" i="5" s="1"/>
  <c r="D26" i="5" s="1"/>
  <c r="I27" i="5"/>
  <c r="K27" i="5" s="1"/>
  <c r="D27" i="5" s="1"/>
  <c r="I28" i="5"/>
  <c r="K28" i="5" s="1"/>
  <c r="D28" i="5" s="1"/>
  <c r="I29" i="5"/>
  <c r="K29" i="5" s="1"/>
  <c r="D29" i="5" s="1"/>
  <c r="I30" i="5"/>
  <c r="K30" i="5" s="1"/>
  <c r="D30" i="5" s="1"/>
  <c r="I31" i="5"/>
  <c r="K31" i="5" s="1"/>
  <c r="D31" i="5" s="1"/>
  <c r="I32" i="5"/>
  <c r="K32" i="5" s="1"/>
  <c r="D32" i="5" s="1"/>
  <c r="I33" i="5"/>
  <c r="K33" i="5" s="1"/>
  <c r="D33" i="5" s="1"/>
  <c r="I34" i="5"/>
  <c r="K34" i="5" s="1"/>
  <c r="D34" i="5" s="1"/>
  <c r="I35" i="5"/>
  <c r="K35" i="5" s="1"/>
  <c r="D35" i="5" s="1"/>
  <c r="I36" i="5"/>
  <c r="K36" i="5" s="1"/>
  <c r="D36" i="5" s="1"/>
  <c r="I37" i="5"/>
  <c r="K37" i="5" s="1"/>
  <c r="D37" i="5" s="1"/>
  <c r="I38" i="5"/>
  <c r="K38" i="5" s="1"/>
  <c r="D38" i="5" s="1"/>
  <c r="I39" i="5"/>
  <c r="K39" i="5" s="1"/>
  <c r="D39" i="5" s="1"/>
  <c r="I40" i="5"/>
  <c r="K40" i="5" s="1"/>
  <c r="D40" i="5" s="1"/>
  <c r="I41" i="5"/>
  <c r="K41" i="5" s="1"/>
  <c r="D41" i="5" s="1"/>
  <c r="I42" i="5"/>
  <c r="K42" i="5" s="1"/>
  <c r="D42" i="5" s="1"/>
  <c r="I43" i="5"/>
  <c r="K43" i="5" s="1"/>
  <c r="D43" i="5" s="1"/>
  <c r="I44" i="5"/>
  <c r="K44" i="5" s="1"/>
  <c r="D44" i="5" s="1"/>
  <c r="I45" i="5"/>
  <c r="K45" i="5" s="1"/>
  <c r="D45" i="5" s="1"/>
  <c r="I46" i="5"/>
  <c r="K46" i="5" s="1"/>
  <c r="D46" i="5" s="1"/>
  <c r="I47" i="5"/>
  <c r="K47" i="5" s="1"/>
  <c r="D47" i="5" s="1"/>
  <c r="I48" i="5"/>
  <c r="K48" i="5" s="1"/>
  <c r="D48" i="5" s="1"/>
  <c r="I49" i="5"/>
  <c r="K49" i="5" s="1"/>
  <c r="D49" i="5" s="1"/>
  <c r="I50" i="5"/>
  <c r="K50" i="5" s="1"/>
  <c r="D50" i="5" s="1"/>
  <c r="I51" i="5"/>
  <c r="K51" i="5" s="1"/>
  <c r="D51" i="5" s="1"/>
  <c r="I52" i="5"/>
  <c r="K52" i="5" s="1"/>
  <c r="D52" i="5" s="1"/>
  <c r="I53" i="5"/>
  <c r="K53" i="5" s="1"/>
  <c r="D53" i="5" s="1"/>
  <c r="I54" i="5"/>
  <c r="K54" i="5" s="1"/>
  <c r="D54" i="5" s="1"/>
  <c r="I55" i="5"/>
  <c r="K55" i="5" s="1"/>
  <c r="D55" i="5" s="1"/>
  <c r="I56" i="5"/>
  <c r="K56" i="5" s="1"/>
  <c r="D56" i="5" s="1"/>
  <c r="I57" i="5"/>
  <c r="K57" i="5" s="1"/>
  <c r="D57" i="5" s="1"/>
  <c r="I58" i="5"/>
  <c r="K58" i="5" s="1"/>
  <c r="D58" i="5" s="1"/>
  <c r="I59" i="5"/>
  <c r="K59" i="5" s="1"/>
  <c r="D59" i="5" s="1"/>
  <c r="I60" i="5"/>
  <c r="K60" i="5" s="1"/>
  <c r="D60" i="5" s="1"/>
  <c r="I61" i="5"/>
  <c r="K61" i="5" s="1"/>
  <c r="D61" i="5" s="1"/>
  <c r="I62" i="5"/>
  <c r="K62" i="5" s="1"/>
  <c r="D62" i="5" s="1"/>
  <c r="I63" i="5"/>
  <c r="K63" i="5" s="1"/>
  <c r="D63" i="5" s="1"/>
  <c r="I64" i="5"/>
  <c r="K64" i="5" s="1"/>
  <c r="D64" i="5" s="1"/>
  <c r="I65" i="5"/>
  <c r="K65" i="5" s="1"/>
  <c r="D65" i="5" s="1"/>
  <c r="I66" i="5"/>
  <c r="K66" i="5" s="1"/>
  <c r="D66" i="5" s="1"/>
  <c r="I67" i="5"/>
  <c r="K67" i="5" s="1"/>
  <c r="D67" i="5" s="1"/>
  <c r="I68" i="5"/>
  <c r="K68" i="5" s="1"/>
  <c r="D68" i="5" s="1"/>
  <c r="I69" i="5"/>
  <c r="K69" i="5" s="1"/>
  <c r="D69" i="5" s="1"/>
  <c r="I70" i="5"/>
  <c r="K70" i="5" s="1"/>
  <c r="D70" i="5" s="1"/>
  <c r="I71" i="5"/>
  <c r="K71" i="5" s="1"/>
  <c r="D71" i="5" s="1"/>
  <c r="I72" i="5"/>
  <c r="K72" i="5" s="1"/>
  <c r="D72" i="5" s="1"/>
  <c r="I73" i="5"/>
  <c r="K73" i="5" s="1"/>
  <c r="D73" i="5" s="1"/>
  <c r="I74" i="5"/>
  <c r="K74" i="5" s="1"/>
  <c r="D74" i="5" s="1"/>
  <c r="I75" i="5"/>
  <c r="K75" i="5" s="1"/>
  <c r="D75" i="5" s="1"/>
  <c r="I76" i="5"/>
  <c r="K76" i="5" s="1"/>
  <c r="D76" i="5" s="1"/>
  <c r="I77" i="5"/>
  <c r="K77" i="5" s="1"/>
  <c r="D77" i="5" s="1"/>
  <c r="I78" i="5"/>
  <c r="K78" i="5" s="1"/>
  <c r="D78" i="5" s="1"/>
  <c r="I79" i="5"/>
  <c r="K79" i="5" s="1"/>
  <c r="D79" i="5" s="1"/>
  <c r="I80" i="5"/>
  <c r="K80" i="5" s="1"/>
  <c r="D80" i="5" s="1"/>
  <c r="I81" i="5"/>
  <c r="K81" i="5" s="1"/>
  <c r="D81" i="5" s="1"/>
  <c r="I82" i="5"/>
  <c r="K82" i="5" s="1"/>
  <c r="D82" i="5" s="1"/>
  <c r="I83" i="5"/>
  <c r="K83" i="5" s="1"/>
  <c r="D83" i="5" s="1"/>
  <c r="I84" i="5"/>
  <c r="K84" i="5" s="1"/>
  <c r="D84" i="5" s="1"/>
  <c r="I85" i="5"/>
  <c r="K85" i="5" s="1"/>
  <c r="D85" i="5" s="1"/>
  <c r="I86" i="5"/>
  <c r="K86" i="5" s="1"/>
  <c r="D86" i="5" s="1"/>
  <c r="I87" i="5"/>
  <c r="K87" i="5" s="1"/>
  <c r="D87" i="5" s="1"/>
  <c r="I88" i="5"/>
  <c r="K88" i="5" s="1"/>
  <c r="D88" i="5" s="1"/>
  <c r="I89" i="5"/>
  <c r="K89" i="5" s="1"/>
  <c r="D89" i="5" s="1"/>
  <c r="I90" i="5"/>
  <c r="K90" i="5" s="1"/>
  <c r="D90" i="5" s="1"/>
  <c r="I91" i="5"/>
  <c r="K91" i="5" s="1"/>
  <c r="D91" i="5" s="1"/>
  <c r="M124" i="4"/>
  <c r="L124" i="4"/>
  <c r="K124" i="4"/>
  <c r="J124" i="4"/>
  <c r="I124" i="4"/>
  <c r="H124" i="4"/>
  <c r="G124" i="4"/>
  <c r="F124" i="4"/>
  <c r="E124" i="4"/>
  <c r="D124" i="4"/>
  <c r="C124" i="4"/>
  <c r="B124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I90" i="4"/>
  <c r="H90" i="4"/>
  <c r="G90" i="4"/>
  <c r="F90" i="4"/>
  <c r="E90" i="4"/>
  <c r="D90" i="4"/>
  <c r="C90" i="4"/>
  <c r="B90" i="4"/>
  <c r="M82" i="4"/>
  <c r="L82" i="4"/>
  <c r="K82" i="4"/>
  <c r="J82" i="4"/>
  <c r="I82" i="4"/>
  <c r="H82" i="4"/>
  <c r="G82" i="4"/>
  <c r="F82" i="4"/>
  <c r="E82" i="4"/>
  <c r="D82" i="4"/>
  <c r="C82" i="4"/>
  <c r="B82" i="4"/>
  <c r="C76" i="4"/>
  <c r="D76" i="4"/>
  <c r="E76" i="4"/>
  <c r="F76" i="4"/>
  <c r="G76" i="4"/>
  <c r="H76" i="4"/>
  <c r="I76" i="4"/>
  <c r="J76" i="4"/>
  <c r="K76" i="4"/>
  <c r="L76" i="4"/>
  <c r="M76" i="4"/>
  <c r="B76" i="4"/>
  <c r="F54" i="1" l="1"/>
  <c r="F5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G49" i="1" l="1"/>
  <c r="H49" i="1"/>
  <c r="G42" i="1"/>
  <c r="H42" i="1"/>
  <c r="G38" i="1"/>
  <c r="H38" i="1"/>
  <c r="G29" i="1"/>
  <c r="H29" i="1"/>
  <c r="G22" i="1"/>
  <c r="H22" i="1"/>
  <c r="G16" i="1"/>
  <c r="H16" i="1"/>
  <c r="G9" i="1"/>
  <c r="H9" i="1"/>
  <c r="G2" i="1"/>
  <c r="H2" i="1"/>
  <c r="G48" i="1"/>
  <c r="H48" i="1"/>
  <c r="G37" i="1"/>
  <c r="H37" i="1"/>
  <c r="G28" i="1"/>
  <c r="H28" i="1"/>
  <c r="G21" i="1"/>
  <c r="H21" i="1"/>
  <c r="G7" i="1"/>
  <c r="H7" i="1"/>
  <c r="G52" i="1"/>
  <c r="H52" i="1"/>
  <c r="G46" i="1"/>
  <c r="H46" i="1"/>
  <c r="G40" i="1"/>
  <c r="H40" i="1"/>
  <c r="G34" i="1"/>
  <c r="H34" i="1"/>
  <c r="G26" i="1"/>
  <c r="H26" i="1"/>
  <c r="G18" i="1"/>
  <c r="H18" i="1"/>
  <c r="G11" i="1"/>
  <c r="H11" i="1"/>
  <c r="G4" i="1"/>
  <c r="H4" i="1"/>
  <c r="H51" i="1"/>
  <c r="G51" i="1"/>
  <c r="H45" i="1"/>
  <c r="G45" i="1"/>
  <c r="H30" i="1"/>
  <c r="G30" i="1"/>
  <c r="H25" i="1"/>
  <c r="G25" i="1"/>
  <c r="H17" i="1"/>
  <c r="G17" i="1"/>
  <c r="H44" i="1"/>
  <c r="G44" i="1"/>
  <c r="G33" i="1"/>
  <c r="H33" i="1"/>
  <c r="H24" i="1"/>
  <c r="G24" i="1"/>
  <c r="H10" i="1"/>
  <c r="G10" i="1"/>
  <c r="H8" i="1"/>
  <c r="G8" i="1"/>
  <c r="H50" i="1"/>
  <c r="G50" i="1"/>
  <c r="G43" i="1"/>
  <c r="H43" i="1"/>
  <c r="H39" i="1"/>
  <c r="G39" i="1"/>
  <c r="G23" i="1"/>
  <c r="H23" i="1"/>
  <c r="H20" i="1"/>
  <c r="G20" i="1"/>
  <c r="H15" i="1"/>
  <c r="G15" i="1"/>
  <c r="G3" i="1"/>
  <c r="H3" i="1"/>
  <c r="G53" i="1"/>
  <c r="H53" i="1"/>
  <c r="H54" i="1"/>
  <c r="G54" i="1"/>
  <c r="H36" i="1"/>
  <c r="G36" i="1"/>
  <c r="G32" i="1"/>
  <c r="H32" i="1"/>
  <c r="G27" i="1"/>
  <c r="H27" i="1"/>
  <c r="G13" i="1"/>
  <c r="H13" i="1"/>
  <c r="G6" i="1"/>
  <c r="H6" i="1"/>
  <c r="G47" i="1"/>
  <c r="H47" i="1"/>
  <c r="G41" i="1"/>
  <c r="H41" i="1"/>
  <c r="G35" i="1"/>
  <c r="H35" i="1"/>
  <c r="G31" i="1"/>
  <c r="H31" i="1"/>
  <c r="G19" i="1"/>
  <c r="H19" i="1"/>
  <c r="G14" i="1"/>
  <c r="H14" i="1"/>
  <c r="G12" i="1"/>
  <c r="H12" i="1"/>
  <c r="G5" i="1"/>
  <c r="H5" i="1"/>
  <c r="I26" i="1" l="1"/>
  <c r="I52" i="1"/>
  <c r="I37" i="1"/>
  <c r="I12" i="1"/>
  <c r="I35" i="1"/>
  <c r="I13" i="1"/>
  <c r="I33" i="1"/>
  <c r="I21" i="1"/>
  <c r="I2" i="1"/>
  <c r="I29" i="1"/>
  <c r="I16" i="1"/>
  <c r="I19" i="1"/>
  <c r="I3" i="1"/>
  <c r="I25" i="1"/>
  <c r="I47" i="1"/>
  <c r="I32" i="1"/>
  <c r="I49" i="1"/>
  <c r="I5" i="1"/>
  <c r="I31" i="1"/>
  <c r="I6" i="1"/>
  <c r="I43" i="1"/>
  <c r="I4" i="1"/>
  <c r="I14" i="1"/>
  <c r="I41" i="1"/>
  <c r="I27" i="1"/>
  <c r="I53" i="1"/>
  <c r="I23" i="1"/>
  <c r="I46" i="1"/>
  <c r="I45" i="1"/>
  <c r="I30" i="1"/>
  <c r="I51" i="1"/>
  <c r="I54" i="1"/>
  <c r="I36" i="1"/>
  <c r="I20" i="1"/>
  <c r="I39" i="1"/>
  <c r="I8" i="1"/>
  <c r="I10" i="1"/>
  <c r="I17" i="1"/>
  <c r="I15" i="1"/>
  <c r="I50" i="1"/>
  <c r="I24" i="1"/>
  <c r="I44" i="1"/>
  <c r="I18" i="1"/>
  <c r="I34" i="1"/>
  <c r="I28" i="1"/>
  <c r="I48" i="1"/>
  <c r="I9" i="1"/>
  <c r="I38" i="1"/>
  <c r="I11" i="1"/>
  <c r="I40" i="1"/>
  <c r="I7" i="1"/>
  <c r="I22" i="1"/>
  <c r="I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542C-526B-4B3B-932C-6DF6F2757C2C}" keepAlive="1" name="Consulta - BASE SS_OS" description="Conexão com a consulta 'BASE SS_OS' na pasta de trabalho." type="5" refreshedVersion="0" background="1" saveData="1">
    <dbPr connection="Provider=Microsoft.Mashup.OleDb.1;Data Source=$Workbook$;Location=&quot;BASE SS_OS&quot;;Extended Properties=&quot;&quot;" command="SELECT * FROM [BASE SS_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<sst xmlns="http://schemas.openxmlformats.org/spreadsheetml/2006/main" count="6123" uniqueCount="1426">
  <si>
    <t>Ativo</t>
  </si>
  <si>
    <t>Criticidade</t>
  </si>
  <si>
    <t>Índice</t>
  </si>
  <si>
    <t>SLA_Total</t>
  </si>
  <si>
    <t>Dias Pendente</t>
  </si>
  <si>
    <t>Status Atendimento</t>
  </si>
  <si>
    <t>Responsável</t>
  </si>
  <si>
    <t>Status Prazo</t>
  </si>
  <si>
    <t>SS SGM</t>
  </si>
  <si>
    <t>Alimentador</t>
  </si>
  <si>
    <t>Município</t>
  </si>
  <si>
    <t>Polo</t>
  </si>
  <si>
    <t>Regional</t>
  </si>
  <si>
    <t>7923673004</t>
  </si>
  <si>
    <t>Muito Alta</t>
  </si>
  <si>
    <t>40 - DIAS AGUARDANDO DCMD</t>
  </si>
  <si>
    <t>COEP</t>
  </si>
  <si>
    <t>132 - DIAS FORA DO PRAZO</t>
  </si>
  <si>
    <t>ETO-COEP 00124/2026</t>
  </si>
  <si>
    <t>AL04010004 - AL 4 SE ARAGUAINA I</t>
  </si>
  <si>
    <t>ARAGUAINA</t>
  </si>
  <si>
    <t>NORTE</t>
  </si>
  <si>
    <t>7931608059</t>
  </si>
  <si>
    <t>174 - DIAS AGUARDANDO DCMD</t>
  </si>
  <si>
    <t>189 - DIAS FORA DO PRAZO</t>
  </si>
  <si>
    <t>ETO-COEP 00040/2026</t>
  </si>
  <si>
    <t>AL05099059 - AL 5 SE TAQUARALTO I I</t>
  </si>
  <si>
    <t>PALMAS</t>
  </si>
  <si>
    <t>TAQUARALTO</t>
  </si>
  <si>
    <t>CENTRO</t>
  </si>
  <si>
    <t>7947203070</t>
  </si>
  <si>
    <t>255 - DIAS FORA DO PRAZO</t>
  </si>
  <si>
    <t>ETO-COEP 00131/2026</t>
  </si>
  <si>
    <t/>
  </si>
  <si>
    <t>RIO SONO</t>
  </si>
  <si>
    <t>5856070091</t>
  </si>
  <si>
    <t>20 - DIAS AGUARDANDO DCMD</t>
  </si>
  <si>
    <t>COCM-S</t>
  </si>
  <si>
    <t>383 - DIAS FORA DO PRAZO</t>
  </si>
  <si>
    <t>ETO-RD-DP 00479/2026</t>
  </si>
  <si>
    <t>LD04002091 - LD 04 ALMAS NATIVIDADE AO POV PRINCIPE</t>
  </si>
  <si>
    <t>ALMAS</t>
  </si>
  <si>
    <t>DIANOPOLIS</t>
  </si>
  <si>
    <t>SUL</t>
  </si>
  <si>
    <t>7903569004</t>
  </si>
  <si>
    <t>27 - DIAS AGUARDANDO DCMD</t>
  </si>
  <si>
    <t>16 - DIAS FORA DO PRAZO</t>
  </si>
  <si>
    <t>ETO-COEP 00152/2026</t>
  </si>
  <si>
    <t>AL05010004 - AL 5 SE ARAGUAINA I</t>
  </si>
  <si>
    <t>7925744087</t>
  </si>
  <si>
    <t>140 - DIAS AGUARDANDO DCMD</t>
  </si>
  <si>
    <t>177 - DIAS FORA DO PRAZO</t>
  </si>
  <si>
    <t>ETO-COEP 00059/2026</t>
  </si>
  <si>
    <t>LD02022033 - LD COLMEIA A  COUTO MAGALHAES</t>
  </si>
  <si>
    <t>GOIANORTE</t>
  </si>
  <si>
    <t>GUARAI</t>
  </si>
  <si>
    <t>7908705049</t>
  </si>
  <si>
    <t>41 - DIAS AGUARDANDO DCMD</t>
  </si>
  <si>
    <t>385 - DIAS FORA DO PRAZO</t>
  </si>
  <si>
    <t>ETO-RD-DP 00409/2026</t>
  </si>
  <si>
    <t>AL01015049 - AL 1 SE AURORA</t>
  </si>
  <si>
    <t>AURORA DO TOCANTINS</t>
  </si>
  <si>
    <t>7927413001</t>
  </si>
  <si>
    <t>34 - DIAS AGUARDANDO DCMD</t>
  </si>
  <si>
    <t>128 - DIAS FORA DO PRAZO</t>
  </si>
  <si>
    <t>ETO-COEP 00141/2026</t>
  </si>
  <si>
    <t>LD01072001 - LD PORTO NACIONAL A SE PROJETO SAO JOAO</t>
  </si>
  <si>
    <t>PORTO NACIONAL</t>
  </si>
  <si>
    <t>5800440256</t>
  </si>
  <si>
    <t>10 - DIAS AGUARDANDO DCMD</t>
  </si>
  <si>
    <t>9 - DIAS FORA DO PRAZO</t>
  </si>
  <si>
    <t>ETO-COEP 00169/2026</t>
  </si>
  <si>
    <t>LD03046026 - LD UHE ISAMU A  PONTE  ALTA</t>
  </si>
  <si>
    <t>MATEIROS</t>
  </si>
  <si>
    <t>PONTE ALTA TOCANTINS</t>
  </si>
  <si>
    <t>7900453110</t>
  </si>
  <si>
    <t>111 - DIAS AGUARDANDO DCMD</t>
  </si>
  <si>
    <t>470 - DIAS FORA DO PRAZO</t>
  </si>
  <si>
    <t>ETO-COEP 00087/2026</t>
  </si>
  <si>
    <t>LD03040003 - LD GURUPI  A  ALIANCA E  TREVO DA  PRAIA</t>
  </si>
  <si>
    <t>SANTA RITA DO TOCANTINS</t>
  </si>
  <si>
    <t>7925871077</t>
  </si>
  <si>
    <t>154 - DIAS AGUARDANDO DCMD</t>
  </si>
  <si>
    <t>142 - DIAS FORA DO PRAZO</t>
  </si>
  <si>
    <t>ETO-COEP 00048/2026</t>
  </si>
  <si>
    <t>LD03105019 - LD POV BIELANDIA A CAMPOS LINDOS</t>
  </si>
  <si>
    <t>GOIATINS</t>
  </si>
  <si>
    <t>COLINAS DO TOCANTINS</t>
  </si>
  <si>
    <t>5803327001</t>
  </si>
  <si>
    <t>Alta</t>
  </si>
  <si>
    <t>28 - DIAS AGUARDANDO DCMD</t>
  </si>
  <si>
    <t>321 - DIAS FORA DO PRAZO</t>
  </si>
  <si>
    <t>ETO-COEP 00149/2026</t>
  </si>
  <si>
    <t>AL01102271 - AL 01 SE LUZIMANGUES INDUSTRIAL</t>
  </si>
  <si>
    <t>7926089013</t>
  </si>
  <si>
    <t>116 - DIAS AGUARDANDO DCMD</t>
  </si>
  <si>
    <t>117 - DIAS FORA DO PRAZO</t>
  </si>
  <si>
    <t>ETO-COEP 00078/2026</t>
  </si>
  <si>
    <t>LD03062013 - LD PARAISO I  A  PIUM</t>
  </si>
  <si>
    <t>PARAISO DO TOCANTINS</t>
  </si>
  <si>
    <t>5853360007</t>
  </si>
  <si>
    <t>304 - DIAS AGUARDANDO DCMD</t>
  </si>
  <si>
    <t>COCM-C</t>
  </si>
  <si>
    <t>449 - DIAS FORA DO PRAZO</t>
  </si>
  <si>
    <t>ETO-RD-PS 00323/2025</t>
  </si>
  <si>
    <t>LD05050008 - LD MIRANORTE A MIRACEMA</t>
  </si>
  <si>
    <t>MIRACEMA DO TOCANTINS</t>
  </si>
  <si>
    <t>5840227063</t>
  </si>
  <si>
    <t>Média</t>
  </si>
  <si>
    <t>120 - DIAS FORA DO PRAZO</t>
  </si>
  <si>
    <t>ETO-COEP 00151/2026</t>
  </si>
  <si>
    <t>LD01054060 - LD NOVA OLINDA A ARAPOEMA</t>
  </si>
  <si>
    <t>BANDEIRANTES DO TOCANTINS</t>
  </si>
  <si>
    <t>7903112004</t>
  </si>
  <si>
    <t>347 - DIAS AGUARDANDO DCMD</t>
  </si>
  <si>
    <t>322 - DIAS FORA DO PRAZO</t>
  </si>
  <si>
    <t>ETO-COEP 00184/2025</t>
  </si>
  <si>
    <t>LD05010004 - LD ARAGUAINA I  A  BABACULANDIA</t>
  </si>
  <si>
    <t>7920024127</t>
  </si>
  <si>
    <t>411 - DIAS AGUARDANDO DCMD</t>
  </si>
  <si>
    <t>415 - DIAS FORA DO PRAZO</t>
  </si>
  <si>
    <t>ETO-COEP 00120/2025</t>
  </si>
  <si>
    <t>LD01084002 - LD TOCANTINOPOLIS A ANANAS</t>
  </si>
  <si>
    <t>PALMEIRAS DO TOCANTINS</t>
  </si>
  <si>
    <t>TOCANTINOPOLIS</t>
  </si>
  <si>
    <t>7927646026</t>
  </si>
  <si>
    <t>194 - DIAS AGUARDANDO DCMD</t>
  </si>
  <si>
    <t>194 - DIAS FORA DO PRAZO</t>
  </si>
  <si>
    <t>ETO-COEP 00029/2026</t>
  </si>
  <si>
    <t>7930428001</t>
  </si>
  <si>
    <t>386 - DIAS FORA DO PRAZO</t>
  </si>
  <si>
    <t>ETO-COEP 00150/2026</t>
  </si>
  <si>
    <t>LD01100001 - LD  PROJETO SAO JOAO IRRIGACAO</t>
  </si>
  <si>
    <t>7900535058</t>
  </si>
  <si>
    <t>357 - DIAS AGUARDANDO DCMD</t>
  </si>
  <si>
    <t>288 - DIAS FORA DO PRAZO</t>
  </si>
  <si>
    <t>ETO-COEP 00173/2025</t>
  </si>
  <si>
    <t>LD03010004 - LD ARAGUAINA A CARMOLA E ARAGUANA</t>
  </si>
  <si>
    <t>SANTA FE DO ARAGUAIA</t>
  </si>
  <si>
    <t>7927713200</t>
  </si>
  <si>
    <t>VENCE EM: 65 DIAS</t>
  </si>
  <si>
    <t>ETO-COEP 00157/2026</t>
  </si>
  <si>
    <t>LD02010021 - LD PARANA A PALMEIROPOLIS</t>
  </si>
  <si>
    <t>SAO SALVADOR DO TOCANTINS</t>
  </si>
  <si>
    <t>PEIXE</t>
  </si>
  <si>
    <t>7937102148</t>
  </si>
  <si>
    <t>156 - DIAS FORA DO PRAZO</t>
  </si>
  <si>
    <t>ETO-COEP 00129/2026</t>
  </si>
  <si>
    <t>LD01066094 - LD UHE PEIXE A SAO VALERIO</t>
  </si>
  <si>
    <t>SAO VALERIO DA NATIVIDADE</t>
  </si>
  <si>
    <t>7944559149</t>
  </si>
  <si>
    <t>139 - DIAS AGUARDANDO DCMD</t>
  </si>
  <si>
    <t>67 - DIAS FORA DO PRAZO</t>
  </si>
  <si>
    <t>ETO-COEP 00063/2026</t>
  </si>
  <si>
    <t>LD01434149 - LD CASEARA A ARAGUACEMA</t>
  </si>
  <si>
    <t>CASEARA</t>
  </si>
  <si>
    <t>DIVINOPOLIS</t>
  </si>
  <si>
    <t>5800961074</t>
  </si>
  <si>
    <t>254 - DIAS AGUARDANDO DCMD</t>
  </si>
  <si>
    <t>169 - DIAS FORA DO PRAZO</t>
  </si>
  <si>
    <t>ETO-COEP 00221/2025</t>
  </si>
  <si>
    <t>LD03028074 - LD  DIANOPOLIS  A  REGIAO GERAIS</t>
  </si>
  <si>
    <t>7908249152</t>
  </si>
  <si>
    <t>121 - DIAS FORA DO PRAZO</t>
  </si>
  <si>
    <t>ETO-COEP 00038/2026</t>
  </si>
  <si>
    <t>LD02072001 - LD PORTO NACIONAL A  SILVANOPOLIS</t>
  </si>
  <si>
    <t>SANTA ROSA DO TOCANTINS</t>
  </si>
  <si>
    <t>7925733015</t>
  </si>
  <si>
    <t>71 - DIAS FORA DO PRAZO</t>
  </si>
  <si>
    <t>ETO-COEP 00058/2026</t>
  </si>
  <si>
    <t>PEDRO AFONSO</t>
  </si>
  <si>
    <t>7927396052</t>
  </si>
  <si>
    <t>167 - DIAS AGUARDANDO DCMD</t>
  </si>
  <si>
    <t>95 - DIAS FORA DO PRAZO</t>
  </si>
  <si>
    <t>ETO-COEP 00045/2026</t>
  </si>
  <si>
    <t>LD03036052 - LD FORMOSO  A  COOPERFORMOSO</t>
  </si>
  <si>
    <t>FORMOSO DO ARAGUAIA</t>
  </si>
  <si>
    <t>ALVORADA</t>
  </si>
  <si>
    <t>7933585074</t>
  </si>
  <si>
    <t>201 - DIAS AGUARDANDO DCMD</t>
  </si>
  <si>
    <t>116 - DIAS FORA DO PRAZO</t>
  </si>
  <si>
    <t>ETO-COEP 00024/2026</t>
  </si>
  <si>
    <t>7955986084</t>
  </si>
  <si>
    <t>VENCE EM: 46 DIAS</t>
  </si>
  <si>
    <t>ETO-COEP 00133/2026</t>
  </si>
  <si>
    <t>LD04062013 - LD SE  PARAISO I  A DIVINOPOLIS</t>
  </si>
  <si>
    <t>7900525015</t>
  </si>
  <si>
    <t>40 - DIAS FORA DO PRAZO</t>
  </si>
  <si>
    <t>ETO-COEP 00125/2026</t>
  </si>
  <si>
    <t>7928564039</t>
  </si>
  <si>
    <t>359 - DIAS FORA DO PRAZO</t>
  </si>
  <si>
    <t>ETO-COEP 00123/2026</t>
  </si>
  <si>
    <t>LD02109039 - LD ARAGUATINS A  POV SOCO</t>
  </si>
  <si>
    <t>ARAGUATINS</t>
  </si>
  <si>
    <t>AUGUSTINOPOLIS</t>
  </si>
  <si>
    <t>5855411017</t>
  </si>
  <si>
    <t>Baixa</t>
  </si>
  <si>
    <t>23 - DIAS AGUARDANDO DCMD</t>
  </si>
  <si>
    <t>214 - DIAS FORA DO PRAZO</t>
  </si>
  <si>
    <t>ETO-COEP 00156/2026</t>
  </si>
  <si>
    <t>AL02017017 - AL 2 SE BARROLANDIA</t>
  </si>
  <si>
    <t>BARROLANDIA</t>
  </si>
  <si>
    <t>7908196047</t>
  </si>
  <si>
    <t>13 - DIAS AGUARDANDO DCMD</t>
  </si>
  <si>
    <t>188 - DIAS FORA DO PRAZO</t>
  </si>
  <si>
    <t>ETO-COEP 00168/2026</t>
  </si>
  <si>
    <t>AL02033047 - AL 2 SE FIGUEIROPOLIS</t>
  </si>
  <si>
    <t>FIGUEIROPOLIS</t>
  </si>
  <si>
    <t>7921202014</t>
  </si>
  <si>
    <t>49 - DIAS FORA DO PRAZO</t>
  </si>
  <si>
    <t>ETO-COEP 00132/2026</t>
  </si>
  <si>
    <t>LD01025012 - LD CRISTALANDIA A  LAGOA DA CONFUSAO</t>
  </si>
  <si>
    <t>PIUM</t>
  </si>
  <si>
    <t>7923927122</t>
  </si>
  <si>
    <t>32 - DIAS AGUARDANDO DCMD</t>
  </si>
  <si>
    <t>343 - DIAS FORA DO PRAZO</t>
  </si>
  <si>
    <t>ETO-COEP 00148/2026</t>
  </si>
  <si>
    <t>LD02059122 - LD  PALMAS I I  A TAQUARALTO</t>
  </si>
  <si>
    <t>7927446001</t>
  </si>
  <si>
    <t>404 - DIAS AGUARDANDO DCMD</t>
  </si>
  <si>
    <t>283 - DIAS FORA DO PRAZO</t>
  </si>
  <si>
    <t>ETO-COEP 00143/2025</t>
  </si>
  <si>
    <t>7928241200</t>
  </si>
  <si>
    <t>275 - DIAS FORA DO PRAZO</t>
  </si>
  <si>
    <t>ETO-COEP 00128/2026</t>
  </si>
  <si>
    <t>LD02066094 - LD UHE PEIXE  A  SAO SALVADOR</t>
  </si>
  <si>
    <t>7942485096</t>
  </si>
  <si>
    <t>390 - DIAS AGUARDANDO DCMD</t>
  </si>
  <si>
    <t>387 - DIAS FORA DO PRAZO</t>
  </si>
  <si>
    <t>ETO-COEP 00158/2025</t>
  </si>
  <si>
    <t>PINDORAMA DO TOCANTINS</t>
  </si>
  <si>
    <t>7955946007</t>
  </si>
  <si>
    <t>VENCE EM: 94 DIAS</t>
  </si>
  <si>
    <t>ETO-COEP 00134/2026</t>
  </si>
  <si>
    <t>7901110084</t>
  </si>
  <si>
    <t>109 - DIAS FORA DO PRAZO</t>
  </si>
  <si>
    <t>ETO-COEP 00061/2026</t>
  </si>
  <si>
    <t>7910027196</t>
  </si>
  <si>
    <t>26 - DIAS AGUARDANDO DCMD</t>
  </si>
  <si>
    <t>ETO-COEP 00154/2026</t>
  </si>
  <si>
    <t>LAGOA DO TOCANTINS</t>
  </si>
  <si>
    <t>7913662076</t>
  </si>
  <si>
    <t>67 - DIAS AGUARDANDO DCMD</t>
  </si>
  <si>
    <t>VENCE EM: 64 DIAS</t>
  </si>
  <si>
    <t>ETO-COEP 00114/2026</t>
  </si>
  <si>
    <t>AL01031076 - AL 1 SE DUERE</t>
  </si>
  <si>
    <t>DUERE</t>
  </si>
  <si>
    <t>GURUPI</t>
  </si>
  <si>
    <t>5862236091</t>
  </si>
  <si>
    <t>118 - DIAS FORA DO PRAZO</t>
  </si>
  <si>
    <t>ETO-COEP 00158/2026</t>
  </si>
  <si>
    <t>LD05002091 - LD ALMAS  A RAMAL VALE RIO DOCE</t>
  </si>
  <si>
    <t>5836786094</t>
  </si>
  <si>
    <t>91 - DIAS AGUARDANDO DCMD</t>
  </si>
  <si>
    <t>VENCE EM: 11 DIAS</t>
  </si>
  <si>
    <t>ETO-COEP 00095/2026</t>
  </si>
  <si>
    <t>7919270014</t>
  </si>
  <si>
    <t>39 - DIAS FORA DO PRAZO</t>
  </si>
  <si>
    <t>ETO-COEP 00159/2026</t>
  </si>
  <si>
    <t>LD01047073 - LD LAGOA DA CONFUSAO A BARREIRA DA CRUZ</t>
  </si>
  <si>
    <t>7926442035</t>
  </si>
  <si>
    <t>151 - DIAS AGUARDANDO DCMD</t>
  </si>
  <si>
    <t>46 - DIAS FORA DO PRAZO</t>
  </si>
  <si>
    <t>ETO-COEP 00051/2026</t>
  </si>
  <si>
    <t>LD01051035 - LD  MONTE CARMO A SANTA ROSA</t>
  </si>
  <si>
    <t>MONTE DO CARMO</t>
  </si>
  <si>
    <t>7938137007</t>
  </si>
  <si>
    <t>33 - DIAS AGUARDANDO DCMD</t>
  </si>
  <si>
    <t>100 - DIAS FORA DO PRAZO</t>
  </si>
  <si>
    <t>ETO-COEP 00144/2026</t>
  </si>
  <si>
    <t>5856156091</t>
  </si>
  <si>
    <t>293 - DIAS FORA DO PRAZO</t>
  </si>
  <si>
    <t>ETO-COEP 00160/2026</t>
  </si>
  <si>
    <t>5858783119</t>
  </si>
  <si>
    <t>16 - DIAS AGUARDANDO DCMD</t>
  </si>
  <si>
    <t>377 - DIAS FORA DO PRAZO</t>
  </si>
  <si>
    <t>ETO-COEP 00164/2026</t>
  </si>
  <si>
    <t>LD03005098 - LD ANANAS A CACHOEIRINHA</t>
  </si>
  <si>
    <t>SAO BENTO DO TOCANTINS</t>
  </si>
  <si>
    <t>7930359149</t>
  </si>
  <si>
    <t>Falta definir</t>
  </si>
  <si>
    <t>35 - DIAS AGUARDANDO DCMD</t>
  </si>
  <si>
    <t>ETO-COEP 00138/2026</t>
  </si>
  <si>
    <t>LD03414149 - LD CASEARA A MARIANOPOLIS</t>
  </si>
  <si>
    <t>7953211079</t>
  </si>
  <si>
    <t>ETO-COEP 00147/2026</t>
  </si>
  <si>
    <t>LD03038009 - LD  GUARAI I I  A  PRES KENNEDY</t>
  </si>
  <si>
    <t>ITAPIRATINS</t>
  </si>
  <si>
    <t>5825703064</t>
  </si>
  <si>
    <t>ETO-COEP 00153/2026</t>
  </si>
  <si>
    <t>LD02020023 - LD COLINAS A PRES. KENNEDY</t>
  </si>
  <si>
    <t>BRASILANDIA DO TOCANTINS</t>
  </si>
  <si>
    <t>7931219078</t>
  </si>
  <si>
    <t>ETO-RD-PO 00183/2026</t>
  </si>
  <si>
    <t>LD01065015 - LD PEDRO AFONSO  A SANTA.MARIA</t>
  </si>
  <si>
    <t>ITACAJA</t>
  </si>
  <si>
    <t>Coluna1</t>
  </si>
  <si>
    <t>Defeito</t>
  </si>
  <si>
    <t>Status</t>
  </si>
  <si>
    <t>PMA</t>
  </si>
  <si>
    <t>Gerado Obra?</t>
  </si>
  <si>
    <t>Gerado EMD?</t>
  </si>
  <si>
    <t>Entregue N3?</t>
  </si>
  <si>
    <t>Concluído COCM?</t>
  </si>
  <si>
    <t>Repassado ao DMSL?</t>
  </si>
  <si>
    <t>Enviado para Cadastro</t>
  </si>
  <si>
    <t>Comissionado?</t>
  </si>
  <si>
    <t>Orçamento MO</t>
  </si>
  <si>
    <t>Orçamento MAT</t>
  </si>
  <si>
    <t>Orçamento Total</t>
  </si>
  <si>
    <t>Entregue N1?</t>
  </si>
  <si>
    <t>Estudo Proteção</t>
  </si>
  <si>
    <t>Realizado</t>
  </si>
  <si>
    <t>Em logistica (N1&gt;N3)</t>
  </si>
  <si>
    <t>Reforma</t>
  </si>
  <si>
    <t>Avaliar compra</t>
  </si>
  <si>
    <t>Tipo</t>
  </si>
  <si>
    <t>Novos ativos</t>
  </si>
  <si>
    <t>Parque</t>
  </si>
  <si>
    <t>Falha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</si>
  <si>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</si>
  <si>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</si>
  <si>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</si>
  <si>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</si>
  <si>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</si>
  <si>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</si>
  <si>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</si>
  <si>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</si>
  <si>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</si>
  <si>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</si>
  <si>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</si>
  <si>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</si>
  <si>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Falha Mensal - RL - 2025</t>
  </si>
  <si>
    <t>Taxa de Falha Mensal - RT - 2025</t>
  </si>
  <si>
    <t>SS</t>
  </si>
  <si>
    <t>Data</t>
  </si>
  <si>
    <t>Peça (modo)</t>
  </si>
  <si>
    <t>Troca feita</t>
  </si>
  <si>
    <t>Causa raiz</t>
  </si>
  <si>
    <t>Citação do texto da SS</t>
  </si>
  <si>
    <t>Nota do analista</t>
  </si>
  <si>
    <t>Revisão</t>
  </si>
  <si>
    <t>7900230155</t>
  </si>
  <si>
    <t>ETO-COEP 00056/2025</t>
  </si>
  <si>
    <t>29/03/2025</t>
  </si>
  <si>
    <t>completo</t>
  </si>
  <si>
    <t>sim</t>
  </si>
  <si>
    <t>CURTO-CIRCUITO INTERNO</t>
  </si>
  <si>
    <t>«Não responde a comandos abertura e fechamento local ou remoto, pois está com sinal de curto circuito»</t>
  </si>
  <si>
    <t>Tanque danificado com sinal de curto-circuito bloqueando comandos; o para-raios do trafo queimado junto sugere surto, mas o laudo não afirma descarga.</t>
  </si>
  <si>
    <t>7900573047</t>
  </si>
  <si>
    <t>ETO-COEP 00080/2026</t>
  </si>
  <si>
    <t>09/10/2025</t>
  </si>
  <si>
    <t>não</t>
  </si>
  <si>
    <t>«o mesmo estar em curto conforme fotos anexadas»</t>
  </si>
  <si>
    <t>Relato de campo com fotos dá o equipamento em curto e o DMSL constata parte ativa, placa, tanque e relé queimados — curto como mecanismo; origem não descrita.</t>
  </si>
  <si>
    <t>ETO-COEP 00215/2025</t>
  </si>
  <si>
    <t>29/09/2025</t>
  </si>
  <si>
    <t>«Constatado curto-circuito no tanque do religador, impedindo as operações de abertura e fechamento do equipamento»</t>
  </si>
  <si>
    <t>Diagnóstico DMSL explícito de curto-circuito no tanque travando abertura/fechamento; a origem do curto não é detalhada.</t>
  </si>
  <si>
    <t>ETO-COEP 00079/2025</t>
  </si>
  <si>
    <t>27/04/2025</t>
  </si>
  <si>
    <t>tanque</t>
  </si>
  <si>
    <t>«substituir tanque do RL-7923927122 em curto, Anomalia identificada desarme das LD»</t>
  </si>
  <si>
    <t>Tanque em curto derrubando as LDs Palmas/Aparecida e Taquaruçu — curto interno como mecanismo; origem não descrita.</t>
  </si>
  <si>
    <t>ETO-COEP 00139/2025</t>
  </si>
  <si>
    <t>04/07/2025</t>
  </si>
  <si>
    <t>«fizemos ensaios elétricos e foi constatado que o tanque está em curto»</t>
  </si>
  <si>
    <t>Ensaios elétricos constataram o tanque em curto depois de o equipamento tirar a linha — curto interno como mecanismo; origem não descrita.</t>
  </si>
  <si>
    <t>7931610122</t>
  </si>
  <si>
    <t>ETO-COEP 00083/2026</t>
  </si>
  <si>
    <t>10/10/2025</t>
  </si>
  <si>
    <t>«Houve um curto no equipamento danificando a parte ativa, e antena!»</t>
  </si>
  <si>
    <t>Curto no equipamento danificou parte ativa e antena; o texto não localiza a origem (dano simultâneo na antena até sugere surto externo, não afirmado).</t>
  </si>
  <si>
    <t>7933766059</t>
  </si>
  <si>
    <t>ETO-COEP 00082/2026</t>
  </si>
  <si>
    <t>08/10/2025</t>
  </si>
  <si>
    <t>«Houve um curto na parte ativa do equipamento danificando a mesma, será necessário fazer a substituição somente do tanque, parte ativa.»</t>
  </si>
  <si>
    <t>O DMSL afirma curto na própria parte ativa danificando-a — mecanismo explícito; a origem do curto não é detalhada.</t>
  </si>
  <si>
    <t>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</t>
  </si>
  <si>
    <t>7900594026</t>
  </si>
  <si>
    <t>ETO-COEP 00210/2025</t>
  </si>
  <si>
    <t>15/10/2025</t>
  </si>
  <si>
    <t>controle</t>
  </si>
  <si>
    <t>DEFEITO ELETRÔNICO (CONTROLE/PLACA/RELÉ)</t>
  </si>
  <si>
    <t>«o equipamento está com falha na porta de comunicação serial RS 232»</t>
  </si>
  <si>
    <t>Falha localizada na porta serial RS-232 do relé Cooper Form 6 — defeito de hardware do controle; o porquê da falha não é descrito.</t>
  </si>
  <si>
    <t>7936038076</t>
  </si>
  <si>
    <t>ETO-TELE 00074/2025</t>
  </si>
  <si>
    <t>03/02/2025</t>
  </si>
  <si>
    <t>«FOI IDENTIFICADO DISPLAY DO RELE APAGADO - ALIMENTAÇÃO CA NORMAL»</t>
  </si>
  <si>
    <t>Alimentação CA normal com display do relé apagado aponta falha intrínseca da eletrônica do controle; a OS trocou o relé e atualizou o firmware.</t>
  </si>
  <si>
    <t>7957126085</t>
  </si>
  <si>
    <t>ETO-COEP 00156/2025</t>
  </si>
  <si>
    <t>05/06/2025</t>
  </si>
  <si>
    <t>FALHA DE INSTALAÇÃO / MONTAGEM</t>
  </si>
  <si>
    <t>«Os para raios da fase B e C estão fechando arco na cruzeta. Curto desceu para o controle danificando os componentes.»</t>
  </si>
  <si>
    <t>Causa explícita: para-raios arqueando na cruzeta por distância inadequada — o curto desceu e danificou o controle; a correção pede abaixar o tanque para afastar das cruzetas.</t>
  </si>
  <si>
    <t>7957620015</t>
  </si>
  <si>
    <t>ETO-COEP 00081/2026</t>
  </si>
  <si>
    <t>08/05/2025</t>
  </si>
  <si>
    <t>«A antena do rádio do RLG 7957620015 fica próximo da BT, onde a mesma veio a encostar no cabo da fase o que ocasionou um curto-circuito no rádio, que passou para todos os componentes do controle»</t>
  </si>
  <si>
    <t>Causa explícita: antena instalada próxima da BT encostou no cabo da fase e o curto propagou do rádio para todo o controle — erro de montagem.</t>
  </si>
  <si>
    <t>7900117013</t>
  </si>
  <si>
    <t>ETO-COEP 00084/2026</t>
  </si>
  <si>
    <t>02/07/2025</t>
  </si>
  <si>
    <t>FIRMWARE / ATUALIZAÇÃO</t>
  </si>
  <si>
    <t>«equipe DMSL Elisfran estava atualizando firmware no equipamento  , porém relé parou de funcionar devido essa atualização»</t>
  </si>
  <si>
    <t>Explícito: o relé do Cooper Form6 parou de funcionar durante atualização de firmware feita pela própria equipe DMSL; sem peça de reposição, virou troca completa por Noja.</t>
  </si>
  <si>
    <t>08/08/2025</t>
  </si>
  <si>
    <t>«encontra-se com o relé danificado, firmware corrompido, o mesmo não inicia»</t>
  </si>
  <si>
    <t>O relé não inicia por firmware corrompido (laudo DMSL); a origem da corrupção não é descrita, as abelhas no painel relatadas pela equipe não são vinculadas pelo laudo, e a troca completa decorre da falta de peças Cooper.</t>
  </si>
  <si>
    <t>7900018004</t>
  </si>
  <si>
    <t>ETO-COEP 00178/2025</t>
  </si>
  <si>
    <t>21/08/2025</t>
  </si>
  <si>
    <t>OBSOLESCÊNCIA (SEM PEÇAS DE REPOSIÇÃO)</t>
  </si>
  <si>
    <t>«Por se tratar de modelo obsoleto e não termos peça de reposição para religador cooper, se faz necessário a substituição completa por um modelo NOJA RC10»</t>
  </si>
  <si>
    <t>Defeito no controle sem causa descrita; a substituição completa se dá pela obsolescência do Cooper sem peça de reposição.</t>
  </si>
  <si>
    <t>03/09/2025</t>
  </si>
  <si>
    <t>«como se trata de um modelo COOPER FORM6 que está obsoleto e não possuímos peças sobressalentes, faz-se necessária substituição completa por modelo NOJA RC10»</t>
  </si>
  <si>
    <t>O texto só dá 'defeito' genérico; o que determina a perda do equipamento completo é a obsolescência do Cooper FORM6 sem sobressalentes — a causa da falha primária não é descrita.</t>
  </si>
  <si>
    <t>22/04/2025</t>
  </si>
  <si>
    <t>SEM CAUSA DESCRITA NO TEXTO</t>
  </si>
  <si>
    <t>«Equipamento está com defeito na parte ativa, não aceita o comando de fechamento. Será necessário substituir o equipamento completo.»</t>
  </si>
  <si>
    <t>Defeito na parte ativa que não fecha é modo; nenhum porquê no texto — e a parte ativa comprada foi remanejada para outro ativo.</t>
  </si>
  <si>
    <t>17/12/2025</t>
  </si>
  <si>
    <t>«Rl esta danificado dando passagem de tensão mesmo aberto»</t>
  </si>
  <si>
    <t>Análise técnica e testes funcionais só constatam a parte ativa com defeito (dá passagem aberto); o formulário confirma que não ficou em operação; sem porquê.</t>
  </si>
  <si>
    <t>ETO-TELE 00824/2025</t>
  </si>
  <si>
    <t>16/07/2025</t>
  </si>
  <si>
    <t>«constatou que o tanque e o relé do mesmo se encontra queimado, providenciar substituição»</t>
  </si>
  <si>
    <t>Tanque e relé queimados é o modo; a queima simultânea sugere evento elétrico maior, mas o texto não nomeia o agente.</t>
  </si>
  <si>
    <t>«Necessitando substituição completa em função do defeito de leitura de corrente da fase B»</t>
  </si>
  <si>
    <t>Modo claro (leitura da fase B incorreta) sem causa firmada — o COEP especula 'erro de calibração', o parecer DMSL mais recente mantém a troca sem confirmar o porquê.</t>
  </si>
  <si>
    <t>02/06/2025</t>
  </si>
  <si>
    <t>«equipe DMSL constatou que o relé e a parte ativa do equipamento 7920024127 estão com defeito, sendo necessária a substituição completa por um modelo NOJA RC 10»</t>
  </si>
  <si>
    <t>Relé e parte ativa 'com defeito' é modo puro, sem mecanismo; o bloco 3E-SUL de painel solar SIGFI colado no fim da descrição é texto de terceiro e foi descartado.</t>
  </si>
  <si>
    <t>7922995039</t>
  </si>
  <si>
    <t>ETO-TELE 00555/2025</t>
  </si>
  <si>
    <t>29/05/2025</t>
  </si>
  <si>
    <t>«equipe DMSL constatou que o RLG 7922995039 encontra-se com parte ativa e controle danificados»</t>
  </si>
  <si>
    <t>Parte ativa e controle danificados constatados em teste, sem qualquer mecanismo ou agente no texto.</t>
  </si>
  <si>
    <t>7925087021</t>
  </si>
  <si>
    <t>ETO-COEP 00222/2025</t>
  </si>
  <si>
    <t>08/12/2025</t>
  </si>
  <si>
    <t>«Realizar a substituição do tanque do equipamento.»</t>
  </si>
  <si>
    <t>Nesta descrição restou só a ordem de substituir o tanque e a logística do COEP; o 'religador em curto' da cadeia está em outra nota, não citável aqui.</t>
  </si>
  <si>
    <t>ETO-TELE 00799/2025</t>
  </si>
  <si>
    <t>10/07/2025</t>
  </si>
  <si>
    <t>«Foi realizado primeiro ataque mais o mesmo continua intermitente.»</t>
  </si>
  <si>
    <t>A descrição só relata intermitência após o primeiro ataque; a fonte queimada aparece na OS e, mesmo lá, sem a causa da queima.</t>
  </si>
  <si>
    <t>26/06/2025</t>
  </si>
  <si>
    <t>«Placa de alimentação danificada, devido a curto, não temos material sobressalente para manutenção! Favor substituir o equipamento completo.»</t>
  </si>
  <si>
    <t>Modo: placa de alimentação danificada 'devido a curto', sem o texto localizar o curto — pode ser interno ou vindo da rede BT pela alimentação, como nos casos das SS 00156/2025 e 00081/2026; a falta de sobressalente levou à troca do equipamento completo.</t>
  </si>
  <si>
    <t>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</t>
  </si>
  <si>
    <t>ETO-COEP 00162/2025</t>
  </si>
  <si>
    <t>«Equipamento com tanque, modulo e rele com defeito, solicitar troca do equipamento ao DCMD.»</t>
  </si>
  <si>
    <t>Tanque, módulo e relé 'com defeito' é modo em três peças, sem mecanismo algum descrito.</t>
  </si>
  <si>
    <t>DG-RD-PO 00419/2025</t>
  </si>
  <si>
    <t>01/07/2025</t>
  </si>
  <si>
    <t>«equipamento dando passagem na fase A ficou bay-passado até substituição»</t>
  </si>
  <si>
    <t>Dar passagem na fase A é o modo (o interruptor não isola); o texto não diz por que o tanque falhou.</t>
  </si>
  <si>
    <t>7931383086</t>
  </si>
  <si>
    <t>ETO-TELE 00505/2025</t>
  </si>
  <si>
    <t>15/05/2025</t>
  </si>
  <si>
    <t>«RL 7931383086 perde a comunicaçao quando perde a CA»</t>
  </si>
  <si>
    <t>A descrição traz só o sintoma inicial (perde comunicação sem CA, hipótese de bateria); o tanque danificado aparece na OS, sem causa.</t>
  </si>
  <si>
    <t>27/01/2026</t>
  </si>
  <si>
    <t>«REALIZAR SUBSTITUIÇÃO DO TANQUE, O MESMO ESTÁ COM DEFEITO.»</t>
  </si>
  <si>
    <t>Só o modo (tanque com defeito); o 'defeito em curto' registrado em SS irmã de 12/2025 não está nesta descrição.</t>
  </si>
  <si>
    <t>7934698002</t>
  </si>
  <si>
    <t>ETO-COEP 00094/2025</t>
  </si>
  <si>
    <t>06/05/2025</t>
  </si>
  <si>
    <t>«Substituir  caixa de controle  do RL 7934698002-RDU TOCANTINÓPOLIS, onde a mesma se encontra destruída  em campo»</t>
  </si>
  <si>
    <t>Caixa de controle destruída restando a carcaça indica agente mecânico externo (vandalismo? abalroamento?), mas o texto não nomeia; a OBS traz o código com dígitos transpostos (7934968002), mesmo ativo e mesma RDU.</t>
  </si>
  <si>
    <t>ETO-COEP 00228/2025</t>
  </si>
  <si>
    <t>18/12/2025</t>
  </si>
  <si>
    <t>«Tanque com defeito, realizar substituição do tanque.»</t>
  </si>
  <si>
    <t>Só o modo — tanque com defeito; nenhum porquê no texto.</t>
  </si>
  <si>
    <t>ETO-TELE 00050/2026</t>
  </si>
  <si>
    <t>26/12/2025</t>
  </si>
  <si>
    <t>«REALIZAR TROCA DE BATERIA DO EQUIPAMENTO»</t>
  </si>
  <si>
    <t>A descrição pede só troca de bateria; o problema na parte ativa (bucha da fase A) está na OS, sem causa descrita.</t>
  </si>
  <si>
    <t>14/03/2025</t>
  </si>
  <si>
    <t>«Ao testar o tanque, foi constatado que o mesmo está danificado e precisa ser substituído»</t>
  </si>
  <si>
    <t>O teste só constata o dano ('danificado'), nenhuma causa no texto — e o DMSL frisa que o controle não precisa ser trocado.</t>
  </si>
  <si>
    <t>7943790134</t>
  </si>
  <si>
    <t>ETO-COEP 00181/2025</t>
  </si>
  <si>
    <t>«foi constado que o RLG 7943790134 encontra-se com a parte ativa danificada»</t>
  </si>
  <si>
    <t>Os testes constataram a parte ativa danificada, sem porquê; o vazamento interno da fase C citado na revisão anterior está em outra SS, não nesta descrição.</t>
  </si>
  <si>
    <t>23/11/2025</t>
  </si>
  <si>
    <t>«Foi feito análise técnica, a placa do equipamento está queimada nessesario subistituir o equipamento completo»</t>
  </si>
  <si>
    <t>Modo: placa do controle queimada, constatada em análise técnica; nenhum porquê da queima no texto. O parecer COEP mais recente (13/07) definiu compra de controle.</t>
  </si>
  <si>
    <t>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</t>
  </si>
  <si>
    <t>7949648145</t>
  </si>
  <si>
    <t>ETO-TELE 00630/2025</t>
  </si>
  <si>
    <t>10/06/2025</t>
  </si>
  <si>
    <t>«FAVOR, REALIZAR SUBSTITUIÇÃO DE RELIGADOR»</t>
  </si>
  <si>
    <t>Descrição de uma linha só, sem modo nem causa; a execução da troca vem da OS.</t>
  </si>
  <si>
    <t>RL 2025</t>
  </si>
  <si>
    <t>Ano/TIPO</t>
  </si>
  <si>
    <t>5800371025</t>
  </si>
  <si>
    <t>ETO-COEP 00187/2025</t>
  </si>
  <si>
    <t>23/08/2025</t>
  </si>
  <si>
    <t>rele</t>
  </si>
  <si>
    <t>«Após testes foi constatado defeito nos relés da fase A e B, Modelo Toshiba TBR 1000.»</t>
  </si>
  <si>
    <t>O laudo constata defeito nos relés Toshiba TBR 1000 das fases A e B sem dizer por que falharam — defeito do próprio eletrônico, sem causa mais profunda descrita no texto.</t>
  </si>
  <si>
    <t>5800438116</t>
  </si>
  <si>
    <t>ETO-COEP 00171/2025</t>
  </si>
  <si>
    <t>18/07/2025</t>
  </si>
  <si>
    <t>celula</t>
  </si>
  <si>
    <t>DEFEITO MECÂNICO (CHAVE REVERSORA)</t>
  </si>
  <si>
    <t>«Foi feito teste de elevar e abaixar nas fases B e C e o mesmo só aceita elevar os taps, constatando que o mercanismo da chave reversoura polaridade está com defeito.»</t>
  </si>
  <si>
    <t>Fases B/C travadas com causa diagnosticada explícita: defeito no mecanismo da chave reversora de polaridade (placa F do controle também com defeito); a origem do defeito mecânico não é dita.</t>
  </si>
  <si>
    <t>5854566043</t>
  </si>
  <si>
    <t>ETO-COEP 00036/2025</t>
  </si>
  <si>
    <t>21/03/2025</t>
  </si>
  <si>
    <t>DESCARGA ATMOSFÉRICA (RAIO)</t>
  </si>
  <si>
    <t>«a fase C do regulador 5854566043 está danificada devido a uma descarga atmosférica. Vazou óleo e o mesmo está com coloração escura o que evidencia o seu comprometimento.»</t>
  </si>
  <si>
    <t>Laudo explícito: fase C danificada por descarga atmosférica, com óleo vazado e escurecido; o código citado é o do próprio ativo da linha.</t>
  </si>
  <si>
    <t>5841308190</t>
  </si>
  <si>
    <t>ETO-COEP 00154/2025</t>
  </si>
  <si>
    <t>furto</t>
  </si>
  <si>
    <t>FURTO</t>
  </si>
  <si>
    <t>«Solicitação de serviço para reposição de equipamentos furtados»</t>
  </si>
  <si>
    <t>Reposição de equipamento furtado, já substituído pelos COCMs — furto declarado no texto.</t>
  </si>
  <si>
    <t>ETO-COEP 00197/2025</t>
  </si>
  <si>
    <t>«Após alguns análise foi identificado que as 3 fases estava sem óleo, provavelmente foram roubados.»</t>
  </si>
  <si>
    <t>DMSL achou as 3 fases sem óleo ('provavelmente foram roubados') e o COEP desmobiliza o RT citando 'furtos recorrentes na região' — segundo furto do mesmo ativo no ano; o hedge do laudo é coberto pela decisão do COEP.</t>
  </si>
  <si>
    <t>ETO-COEP 00056/2026</t>
  </si>
  <si>
    <t>SS aberta como reposição de equipamento furtado; o restante do texto é a esteira de reposição e um erro de instalação posterior (fonte/carga invertidas), não a causa original.</t>
  </si>
  <si>
    <t>ETO-COEP 00055/2026</t>
  </si>
  <si>
    <t>16/06/2025</t>
  </si>
  <si>
    <t>«PARECER DA PROTEÇÃO:EQUIPAMENTOS FURTADOS. PARA AQUISIÇÃO DAS CELULAS DE REPOSIÇÃO, FAVOR CONSULTAR OS DADOS DE PLACA EM ANEXO.»</t>
  </si>
  <si>
    <t>Parecer da Proteção declara equipamentos furtados e pede células de reposição; o texto chama o ativo de 'religador' por engano, mas o código 5856156091 é o do próprio RT da linha.</t>
  </si>
  <si>
    <t>ETO-COEP 00123/2025</t>
  </si>
  <si>
    <t>24/03/2025</t>
  </si>
  <si>
    <t>«Constatado também que foi furtado todo o óleo isolante das 3 células, sendo necessário a substituição das 3 células.»</t>
  </si>
  <si>
    <t>Tampas de inspeção abertas, para-raios levados e todo o óleo isolante furtado das 3 células; o COEP confirma 'DEVIDO AO ERRO NA INSTALAÇÃO E O FURTO'.</t>
  </si>
  <si>
    <t>ETO-COEP 00021/2026</t>
  </si>
  <si>
    <t>04/09/2025</t>
  </si>
  <si>
    <t>INSTALAÇÃO / COMISSIONAMENTO INADEQUADO</t>
  </si>
  <si>
    <t>«Equipamento foi remanejado, 7 km da sua localização sentido Palmas necessário comissionamento completo*Equipamento com um dos cabos umbilicais danificado.»</t>
  </si>
  <si>
    <t>A razão da troca do controle não é dita, mas o texto detalha remanejamento de 7 km sem comissionamento, cabo umbilical danificado e aterramento da bucha FC mal interligado — falha de instalação, não do equipamento.</t>
  </si>
  <si>
    <t>05/12/2025</t>
  </si>
  <si>
    <t>«Substituir as 3 células- Melhoria na malha de aterramento - Melhoria no circuito de aterramento qua aterra as células.»</t>
  </si>
  <si>
    <t>O texto é só escopo de compra (3 células, melhorias de aterramento, conectores); a melhoria de aterramento sugere deficiência, mas nada liga isso à falha das células — não se chuta laudo.</t>
  </si>
  <si>
    <t>5820790038</t>
  </si>
  <si>
    <t>ETO-TELE 00159/2025</t>
  </si>
  <si>
    <t>19/02/2025</t>
  </si>
  <si>
    <t>«FEITO O PRIMEIRO ATAQUE E PERCEBIDO QUE O MESMO NÃO ESTA COMUNICANDO COM O SCADA. EM CAMPO ESTA COMULTANDO NORMAL»</t>
  </si>
  <si>
    <t>O texto só dá o sintoma — sem comunicação com o SCADA, comutando normal em campo — e nenhuma razão para a falha de comunicação.</t>
  </si>
  <si>
    <t>5850308009</t>
  </si>
  <si>
    <t>ETO-TELE 01109/2025</t>
  </si>
  <si>
    <t>15/08/2025</t>
  </si>
  <si>
    <t>«Realizar manutenção no RT 5850308009.»</t>
  </si>
  <si>
    <t>Texto de uma linha, só o pedido de manutenção — nem o modo de falha nem a causa aparecem.</t>
  </si>
  <si>
    <t>ETO-COEP 00160/2025</t>
  </si>
  <si>
    <t>23/07/2025</t>
  </si>
  <si>
    <t>«A fase B está danificada e será necessário substituir a mesma. Malha de aterramento está relativamente boa e conectada. Fase A e C passaram nos ensaios.»</t>
  </si>
  <si>
    <t>Segunda falha do mesmo ativo no ano: a nota de campo fala fase C queimada, mas vale o parecer DMSL mais recente — fase B danificada, A e C aprovadas — e nenhum porquê; o aterramento estava bom.</t>
  </si>
  <si>
    <t>ETO-COEP 00199/2025</t>
  </si>
  <si>
    <t>«SEM COMUNICAÇÃO, FALHA DE ALIMENTAÇÃO - REALIZADO PRIMEIRO ATAQUE SEM SUCESSO.»</t>
  </si>
  <si>
    <t>O texto dá só o sintoma — sem comunicação, falha de alimentação, primeiro ataque sem sucesso — e a pendência de levar controle completo para trocar; onde está o defeito e por que a alimentação falhou não são ditos.</t>
  </si>
  <si>
    <t>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</t>
  </si>
  <si>
    <t>5827102054</t>
  </si>
  <si>
    <t>ETO-COEP 00216/2025</t>
  </si>
  <si>
    <t>27/08/2025</t>
  </si>
  <si>
    <t>UMIDADE / INFILTRAÇÃO</t>
  </si>
  <si>
    <t>«Se possível retornar com controle completo pq o q está em campo teve infiltração de água»</t>
  </si>
  <si>
    <t>O relé queimado e o nobreak defeituoso ficam dentro do controle que 'teve infiltração de água' — causa explícita do pedido de controle novo; a resistência alta da malha aparece como agravante, não como causa.</t>
  </si>
  <si>
    <t>ETO-SE-PCM 00065/2025</t>
  </si>
  <si>
    <t>«Célula da fase B estava com a tampa do contador de tape aberta, pegou chuva e molhou os contatos danificando a peça toda.»</t>
  </si>
  <si>
    <t>Causa explícita e completa: tampa do contador de tap aberta deixou a chuva molhar os contatos e danificar a célula da fase B — água de chuva, não defeito interno.</t>
  </si>
  <si>
    <t>ETO-TELE 01431/2025</t>
  </si>
  <si>
    <t>30/11/2025</t>
  </si>
  <si>
    <t>VAZAMENTO DE ÓLEO / VEDAÇÃO</t>
  </si>
  <si>
    <t>«o mesmo esta com uma das celulas apresentando vazamento , o equipamento ficou bypassado»</t>
  </si>
  <si>
    <t>A célula vazou óleo a ponto de causar desarme da LD Ponte Alta–Mateiros e bypass — o vazamento é a falha declarada; a origem exata da perda de vedação não é detalhada.</t>
  </si>
  <si>
    <t>5844630060</t>
  </si>
  <si>
    <t>ETO-RD-AR 01131/2026</t>
  </si>
  <si>
    <t>06/08/2025</t>
  </si>
  <si>
    <t>«Célula da fase A encontra-se com vazamento de óleo no pé da torneira. Necessário substituição da célula.»</t>
  </si>
  <si>
    <t>Vazamento de óleo no pé da torneira da fase A declarado pelo DMSL — ponto de vedação; o porquê da perda de vedação não é detalhado.</t>
  </si>
  <si>
    <t>RT 2025</t>
  </si>
  <si>
    <t>13/07/2026</t>
  </si>
  <si>
    <t>«Realizados ensaios de isolação nas três células, e foi identificado curto na fase A, sendo necessário a sua substituição»</t>
  </si>
  <si>
    <t>Ensaio de isolação identificou curto na célula (abertura citava fase C, DMSL fechou na A) — falha dielétrica interna comprovada por ensaio; o gatilho do curto não é declarado.</t>
  </si>
  <si>
    <t>5800859011</t>
  </si>
  <si>
    <t>ETO-COEP 00115/2026</t>
  </si>
  <si>
    <t>27/05/2026</t>
  </si>
  <si>
    <t>«Foi identificado relé da fase C com defeito conforme orientação da supervisão e necessário realiza retrofit para instalação de controle rua.»</t>
  </si>
  <si>
    <t>DMSL identifica relé da fase C com defeito (display apagado, equipamento bypassado, 'FICOU EM OPERAÇÃO: Não'); saída foi retrofit para controle rua. Por que o relé falhou não é dito.</t>
  </si>
  <si>
    <t>5848305116</t>
  </si>
  <si>
    <t>ETO-TELE 00935/2026</t>
  </si>
  <si>
    <t>17/06/2026</t>
  </si>
  <si>
    <t>«Na função Auto zero Regulador 2 foi para o TAP 16, em automático demostra comutação indevida e  em Falha na Cédula RT2»</t>
  </si>
  <si>
    <t>Comutação indevida em automático é o controle comandando errado; a correção registrada foi a troca do relé, que normalizou o banco — defeito no relé, sem causa mais profunda no texto.</t>
  </si>
  <si>
    <t>5800090147</t>
  </si>
  <si>
    <t>ETO-COEP 00117/2026</t>
  </si>
  <si>
    <t>02/04/2026</t>
  </si>
  <si>
    <t>DEFEITO NO MICROSWITCH (SENSOR DE NEUTRO)</t>
  </si>
  <si>
    <t>«Favor, substituir a célula da fase C do RT 5800090147 pois o microswitch que renconhece o neutro do regulador está com defeito.»</t>
  </si>
  <si>
    <t>Parecer DMSL (o mais recente) traz o nexo causal com 'pois': a célula sai porque o microswitch que reconhece o neutro falhou; o porquê da falha do microswitch não é dito.</t>
  </si>
  <si>
    <t>16/04/2026</t>
  </si>
  <si>
    <t>«Favor levar outro regulador de tensão, pois o mesmo foi furtado em campo.»</t>
  </si>
  <si>
    <t>Texto inequívoco: o regulador foi furtado em campo; o parecer COEP posterior só trata da logística do substituto.</t>
  </si>
  <si>
    <t>ETO-COEP 00023/2026</t>
  </si>
  <si>
    <t>26/01/2026</t>
  </si>
  <si>
    <t>«Regulador 5856070091 furtado as 3 fases»</t>
  </si>
  <si>
    <t>Furto das três fases do banco, dito com todas as letras; acesso livre na LD Almas-Natividade explica a exposição.</t>
  </si>
  <si>
    <t>5800366016</t>
  </si>
  <si>
    <t>ETO-RD-AR 00275/2026</t>
  </si>
  <si>
    <t>09/02/2026</t>
  </si>
  <si>
    <t>«CELULAR QUEIMADA REGULADOR DE TENSÃO.SUBSTITUIR CELULA REGULADOR DE TENSÃO 5800366016 FASE A.»</t>
  </si>
  <si>
    <t>Texto dá só o modo — célula queimada — sem uma linha sobre o porquê; engenheiro não chuta laudo.</t>
  </si>
  <si>
    <t>ETO-TELE 01034/2026</t>
  </si>
  <si>
    <t>06/08/2026</t>
  </si>
  <si>
    <t>«Substituir célula da Fase B do banco de Regulador de tensão e realizar melhorias na malha de aterramento do Regulador»</t>
  </si>
  <si>
    <t>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</t>
  </si>
  <si>
    <t>5801866013</t>
  </si>
  <si>
    <t>ETO-RD-PS 00303/2026</t>
  </si>
  <si>
    <t>02/03/2026</t>
  </si>
  <si>
    <t>«Identificado infiltração na caixa de passagem da célula da fase C do banco regulador de tensão, será necessário fazer a substituição da mesma!»</t>
  </si>
  <si>
    <t>DMSL identificou infiltração na caixa de passagem da célula da fase C — água entrando é a causa direta do defeito que bypassou o banco.</t>
  </si>
  <si>
    <t>RT 2026</t>
  </si>
  <si>
    <t>22/01/2026</t>
  </si>
  <si>
    <t>«Houve um curto no equipamento danificando a parte ativa, será necessário fazer a substituição do equipamento completo ( parte ativa e controle)»</t>
  </si>
  <si>
    <t>DMSL é explícito: um curto no equipamento danificou a parte ativa e exigiu a troca completa.</t>
  </si>
  <si>
    <t>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</t>
  </si>
  <si>
    <t>13/03/2026</t>
  </si>
  <si>
    <t>«DESCRIÇÃO: Tanque do equipamento em Curto»</t>
  </si>
  <si>
    <t>Formulário DMSL explícito (tanque em curto), coerente com o 'provavel curto-circuito interno' apontado no primeiro ataque.</t>
  </si>
  <si>
    <t>ETO-COEP 00039/2026</t>
  </si>
  <si>
    <t>24/02/2026</t>
  </si>
  <si>
    <t>«foi identificado que o tanque do equipamento entrou em curto o mesmo necessário substituir o tanque»</t>
  </si>
  <si>
    <t>Análise técnica explícita: o tanque entrou em curto; a origem do curto não é detalhada, mas a causa nomeada no texto é o curto interno.</t>
  </si>
  <si>
    <t>7957021094</t>
  </si>
  <si>
    <t>ETO-TELE 00861/2026</t>
  </si>
  <si>
    <t>10/07/2026</t>
  </si>
  <si>
    <t>«SEGUE SS DE RELIGADOR COM CURTO INTERNO, DJUNTOR DE BT NÃO ACEITA.»</t>
  </si>
  <si>
    <t>Texto explícito em 'curto interno' no circuito de BT (disjuntor não aceitava); a OS resolveu trocando fonte, bateria e relé, então a extensão exata do curto é inferida.</t>
  </si>
  <si>
    <t>7929376022</t>
  </si>
  <si>
    <t>ETO-COEP 00068/2026</t>
  </si>
  <si>
    <t>25/03/2026</t>
  </si>
  <si>
    <t>«PRIMEIRO ATAQUE IDENTIFICOU QUE RELE ESTA EM CURTO»</t>
  </si>
  <si>
    <t>Relé em curto (reincidente após a nota 224/2026) levou o DMSL a mandar trocar o controle completo; o porquê do curto no relé não é informado.</t>
  </si>
  <si>
    <t>07/07/2026</t>
  </si>
  <si>
    <t>«PLACA DO RL ESTA CARBONIZADA COM SINAL DE CURTO.»</t>
  </si>
  <si>
    <t>O único mecanismo declarado no texto está na placa: 'PLACA DO RL ESTA CARBONIZADA COM SINAL DE CURTO' (camada do primeiro ataque, não contradita pelo parecer DMSL de 07/07). A parte ativa aparece só como 'com defeito', sem porquê.</t>
  </si>
  <si>
    <t>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</t>
  </si>
  <si>
    <t>17/03/2026</t>
  </si>
  <si>
    <t>«Serviço Executado:  curto na placa foi tentando recuperar a mesma porém não teve sucesso!»</t>
  </si>
  <si>
    <t>Curto na placa de alimentação, irrecuperável, é falha eletrônica explícita; o porquê do curto na placa não é informado.</t>
  </si>
  <si>
    <t>ETO-COEP 00064/2026</t>
  </si>
  <si>
    <t>«Necessário substituir a placa de alimentação ca, a mesma está em curto não conseguimos recuperar.»</t>
  </si>
  <si>
    <t>Placa de alimentação CA em curto e irrecuperável é falha eletrônica explícita do controle; o porquê do curto na placa não é dito.</t>
  </si>
  <si>
    <t>ETO-COEP 00060/2026</t>
  </si>
  <si>
    <t>11/03/2026</t>
  </si>
  <si>
    <t>«Realizar substituição do equipamento todo e parte ativa.»</t>
  </si>
  <si>
    <t>Só o sintoma (sem comunicação após primeiro ataque) e a ordem de trocar tudo; nenhum laudo do porquê.</t>
  </si>
  <si>
    <t>7908302256</t>
  </si>
  <si>
    <t>ETO-COEP 00071/2026</t>
  </si>
  <si>
    <t>06/04/2026</t>
  </si>
  <si>
    <t>«Serviço Executado: Equipamento com a parte ativa com defeito, será necessário fazer a substituição da mesma!»</t>
  </si>
  <si>
    <t>Parte ativa com defeito é modo; nada no texto (dominado por dados de configuração de satélite) explica a origem.</t>
  </si>
  <si>
    <t>7908708116</t>
  </si>
  <si>
    <t>ETO-COEP 00020/2026</t>
  </si>
  <si>
    <t>«Substituição de tanque e controle, os mesmos estão com defeitos.»</t>
  </si>
  <si>
    <t>Texto dá só o modo (tanque com defeito) e o parecer COEP mais recente ainda pede explicação do defeito; nenhum porquê registrado.</t>
  </si>
  <si>
    <t>Mesma SS do tanque: 'controle com defeito' é modo de falha, não causa; nada no texto explica a origem.</t>
  </si>
  <si>
    <t>08/06/2026</t>
  </si>
  <si>
    <t>«Foi confirmado pela equipe DMSL o defeito do tanque, favor seguir com a substituição e correção da chave de entrada fase B danificada.»</t>
  </si>
  <si>
    <t>Defeito do tanque confirmado sem explicação da origem; a chave de entrada danificada é peça fora da taxa.</t>
  </si>
  <si>
    <t>ETO-COEP 00074/2026</t>
  </si>
  <si>
    <t>25/02/2026</t>
  </si>
  <si>
    <t>«Substituir Equipamento completo problema na placa de alimentação e na parte ativa»</t>
  </si>
  <si>
    <t>Dois modos de falha (placa de alimentação e parte ativa) sem nenhum porquê declarado para nenhum deles.</t>
  </si>
  <si>
    <t>ETO-COEP 00088/2026</t>
  </si>
  <si>
    <t>15/02/2026</t>
  </si>
  <si>
    <t>«indentificado o problema na parte ativa será  necessário fazer a substituição da mesmo»</t>
  </si>
  <si>
    <t>Problema na parte ativa sem porquê; a menção a substituir o pára-raios da fase C é indício fraco demais para atribuir descarga atmosférica.</t>
  </si>
  <si>
    <t>ETO-COEP 00057/2026</t>
  </si>
  <si>
    <t>26/03/2026</t>
  </si>
  <si>
    <t>«RELIGADOR COM RELÉ DANIFICADO, REALIZAR SUBSTITUIÇÃO»</t>
  </si>
  <si>
    <t>Relé danificado é o modo de falha; o texto não diz por que danificou.</t>
  </si>
  <si>
    <t>16/03/2026</t>
  </si>
  <si>
    <t>«PENDENCIA: Religador continua by passado, equipamento está com defeito na parte ativa»</t>
  </si>
  <si>
    <t>SS recriada por baixa indevida da antiga repete só o modo (defeito na parte ativa), sem causa.</t>
  </si>
  <si>
    <t>ETO-TELE 00298/2026</t>
  </si>
  <si>
    <t>18/02/2026</t>
  </si>
  <si>
    <t>«Parte ativa do equipamento danificada: necessita substituição»</t>
  </si>
  <si>
    <t>Parte ativa danificada sem porquê; o vazamento de óleo citado é do trafo (auxiliar, fora da taxa), não da parte ativa do religador.</t>
  </si>
  <si>
    <t>7927169001</t>
  </si>
  <si>
    <t>ETO-COEP 00036/2026</t>
  </si>
  <si>
    <t>16/01/2026</t>
  </si>
  <si>
    <t>«Foi verificado que o tanque do equipamento está danificado, sendo necessário substituir o tanque do equipamento.»</t>
  </si>
  <si>
    <t>Parecer DMSL constata tanque danificado sem dizer o que o danificou.</t>
  </si>
  <si>
    <t>17/02/2026</t>
  </si>
  <si>
    <t>«equipe DMSL constatou que apenas o tanque do RLG 7927396052 encontra-se queimado. Favor, substituir parte ativa do equipamento.»</t>
  </si>
  <si>
    <t>Fumaça no painel e tanque queimado são modo; o texto não explica a origem da queima.</t>
  </si>
  <si>
    <t>«Placa de alimentação do equipamento com defeito, VERIFICAR SE É POSSIVEL  substituir o equipamento completo.»</t>
  </si>
  <si>
    <t>'Placa de alimentação com defeito' é modo de falha, não mecanismo: o texto não diz curto, queima nem origem. Mesmo nível de evidência de 'relé danificado' (SS 00057) e 'problema na placa de alimentação' (SS 00074), classificados SEM CAUSA.</t>
  </si>
  <si>
    <t>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</t>
  </si>
  <si>
    <t>09/01/2026</t>
  </si>
  <si>
    <t>«O religador apresenta defeito no tanque, sendo necessário substituir o tanque o mesmo está tirando a linha»</t>
  </si>
  <si>
    <t>Modo: defeito no tanque que derruba a linha ('está tirando a linha'), com by-pass e troca de isoladores pedida. Nenhum mecanismo declarado — a palavra curto não aparece no texto.</t>
  </si>
  <si>
    <t>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</t>
  </si>
  <si>
    <t>28/01/2026</t>
  </si>
  <si>
    <t>«foi identificado que o tanque do equipamento está danificado, sendo assim,  necessário substituir o tanque e o rádio do equipamento, que está queimado»</t>
  </si>
  <si>
    <t>Tanque danificado e rádio queimado são modos de falha; nenhum porquê no texto.</t>
  </si>
  <si>
    <t>7933726256</t>
  </si>
  <si>
    <t>ETO-PROT 00145/2026</t>
  </si>
  <si>
    <t>04/04/2026</t>
  </si>
  <si>
    <t>«Equipamento com defeito na parte ativa, será necessário fazer a substituição da parte ativa»</t>
  </si>
  <si>
    <t>Defeito na parte ativa sem porquê; a 'melhoria na malha de terra' pedida é recomendação, não causa declarada.</t>
  </si>
  <si>
    <t>16/07/2026</t>
  </si>
  <si>
    <t>«Segue nota para substituir relé religador avariado marca noja , equipamento N: 7953211079 - Itapiratins .»</t>
  </si>
  <si>
    <t>Relé Noja avariado informado pelo técnico DMSL, sem laudo do porquê da avaria.</t>
  </si>
  <si>
    <t>7953610256</t>
  </si>
  <si>
    <t>ETO-COEP 00050/2026</t>
  </si>
  <si>
    <t>16/02/2026</t>
  </si>
  <si>
    <t>«Trocado o DPS, o mesmo estava queimado devido ao tanque estar furado.»</t>
  </si>
  <si>
    <t>A cadeia documentada para no tanque furado (que queimou o DPS e gerou o curto no gabinete); o texto não diz por que o tanque furou — não especulo tiro, vandalismo ou corrosão.</t>
  </si>
  <si>
    <t>ETO-TELE 00323/2026</t>
  </si>
  <si>
    <t>31/03/2026</t>
  </si>
  <si>
    <t>«ATUALIZAR AJUSTES DO RL 7955986084 LD PARAISO A DIVINOPOLIS. IMPLEMENTAÇÃO DE PROTEÇÃO DE SUBTENSÃO (27)»</t>
  </si>
  <si>
    <t>Esta SS é só de ajuste de proteção; a evidência da falha (placa de alimentação CA em curto, substituída) está na OS, fora desta descrição — não uso o que a descrição não traz.</t>
  </si>
  <si>
    <t>«foi identificado água dentro da parte interna do tanque e cabo umbilical encharcado de água»</t>
  </si>
  <si>
    <t>Água dentro do tanque e cabo umbilical encharcado: infiltração explícita como origem da falha do tanque.</t>
  </si>
  <si>
    <t>RL 2026</t>
  </si>
  <si>
    <t>Taxa de Falha Mensal - RL - 2026</t>
  </si>
  <si>
    <t>Taxa de Falha Mensal - RT - 2026</t>
  </si>
  <si>
    <t>Taxa de Falha Acumulado- RL - 2025</t>
  </si>
  <si>
    <t>Taxa de Falha Acumulado - RT - 2025</t>
  </si>
  <si>
    <t>Taxa de Falha Acumulado- RL - 2026</t>
  </si>
  <si>
    <t>Taxa de Falha Acumulado - RT - 2026</t>
  </si>
  <si>
    <t>Rótulos de Linha</t>
  </si>
  <si>
    <t>Total Geral</t>
  </si>
  <si>
    <t>Rótulos de Coluna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</si>
  <si>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</si>
  <si>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</si>
  <si>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</si>
  <si>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</si>
  <si>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</si>
  <si>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</si>
  <si>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</si>
  <si>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</si>
  <si>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</si>
  <si>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</si>
  <si>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</si>
  <si>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</si>
  <si>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Contagem de Data</t>
  </si>
  <si>
    <t>5800291035</t>
  </si>
  <si>
    <t>7915029003</t>
  </si>
  <si>
    <t>7923674004</t>
  </si>
  <si>
    <t>7954668084</t>
  </si>
  <si>
    <t>5846328094</t>
  </si>
  <si>
    <t>5865120195</t>
  </si>
  <si>
    <t>7905357122</t>
  </si>
  <si>
    <t>7908686014</t>
  </si>
  <si>
    <t>7942572059</t>
  </si>
  <si>
    <t>5800291077</t>
  </si>
  <si>
    <t>5820044123</t>
  </si>
  <si>
    <t>5833723026</t>
  </si>
  <si>
    <t>5835587001</t>
  </si>
  <si>
    <t>5836764032</t>
  </si>
  <si>
    <t>5851753086</t>
  </si>
  <si>
    <t>5852775092</t>
  </si>
  <si>
    <t>5854681071</t>
  </si>
  <si>
    <t>5855606027</t>
  </si>
  <si>
    <t>5855643052</t>
  </si>
  <si>
    <t>5855776094</t>
  </si>
  <si>
    <t>5856825025</t>
  </si>
  <si>
    <t>5860500009</t>
  </si>
  <si>
    <t>5862464001</t>
  </si>
  <si>
    <t>5862546023</t>
  </si>
  <si>
    <t>5863381155</t>
  </si>
  <si>
    <t>5863887001</t>
  </si>
  <si>
    <t>7900001227</t>
  </si>
  <si>
    <t>7900236054</t>
  </si>
  <si>
    <t>7900275024</t>
  </si>
  <si>
    <t>7900505026</t>
  </si>
  <si>
    <t>7900532053</t>
  </si>
  <si>
    <t>7900790075</t>
  </si>
  <si>
    <t>7900930040</t>
  </si>
  <si>
    <t>7901151022</t>
  </si>
  <si>
    <t>7901216032</t>
  </si>
  <si>
    <t>7902314013</t>
  </si>
  <si>
    <t>7908206074</t>
  </si>
  <si>
    <t>7913667006</t>
  </si>
  <si>
    <t>7921040031</t>
  </si>
  <si>
    <t>7925573007</t>
  </si>
  <si>
    <t>7925704079</t>
  </si>
  <si>
    <t>7925737080</t>
  </si>
  <si>
    <t>7936753097</t>
  </si>
  <si>
    <t>7944319149</t>
  </si>
  <si>
    <t>7949660066</t>
  </si>
  <si>
    <t>7950310122</t>
  </si>
  <si>
    <t>7955175004</t>
  </si>
  <si>
    <t>7955430075</t>
  </si>
  <si>
    <t>7955520116</t>
  </si>
  <si>
    <t>7955825037</t>
  </si>
  <si>
    <t>7956063152</t>
  </si>
  <si>
    <t>7956117005</t>
  </si>
  <si>
    <t>7957163122</t>
  </si>
  <si>
    <t>7959990070</t>
  </si>
  <si>
    <t>7962635060</t>
  </si>
  <si>
    <t>7963661046</t>
  </si>
  <si>
    <t>7965032004</t>
  </si>
  <si>
    <t>7965164065</t>
  </si>
  <si>
    <t>7967181127</t>
  </si>
  <si>
    <t>Situação</t>
  </si>
  <si>
    <t>Localidade</t>
  </si>
  <si>
    <t>Desde</t>
  </si>
  <si>
    <t>Dias</t>
  </si>
  <si>
    <t>Resolveu e voltou</t>
  </si>
  <si>
    <t>Como terminou</t>
  </si>
  <si>
    <t>Posto que fechou</t>
  </si>
  <si>
    <t>Realizado DCMD</t>
  </si>
  <si>
    <t>Onde está</t>
  </si>
  <si>
    <t>Etapa</t>
  </si>
  <si>
    <t>Nota</t>
  </si>
  <si>
    <t>Na fila do posto</t>
  </si>
  <si>
    <t>regulador</t>
  </si>
  <si>
    <t>ETO-COEP 00174/2026</t>
  </si>
  <si>
    <t>11/08/2026</t>
  </si>
  <si>
    <t>SIM</t>
  </si>
  <si>
    <t>resolveu uma demanda no ano e voltou — conta aqui, não nos resolvidos. A resolvida: SS ATENDIDA em 24/03/2026 (ETO-TELE).</t>
  </si>
  <si>
    <t>20/07/2026</t>
  </si>
  <si>
    <t>—</t>
  </si>
  <si>
    <t>21/07/2026</t>
  </si>
  <si>
    <t>18/05/2026</t>
  </si>
  <si>
    <t>24/07/2026</t>
  </si>
  <si>
    <t>27/07/2026</t>
  </si>
  <si>
    <t>31/07/2026</t>
  </si>
  <si>
    <t>religador</t>
  </si>
  <si>
    <t>27/04/2026</t>
  </si>
  <si>
    <t>resolveu uma demanda no ano e voltou — conta aqui, não nos resolvidos. A resolvida: SS CANCELADA em 11/08/2026 (ETO-COEP).</t>
  </si>
  <si>
    <t>25/08/2025</t>
  </si>
  <si>
    <t>resolveu uma demanda no ano e voltou — conta aqui, não nos resolvidos. A resolvida: SS ATENDIDA em 07/07/2026 (ETO-TELE).</t>
  </si>
  <si>
    <t>03/08/2026</t>
  </si>
  <si>
    <t>ETO-COEP 00175/2026</t>
  </si>
  <si>
    <t>22/07/2026</t>
  </si>
  <si>
    <t>resolveu uma demanda no ano e voltou — conta aqui, não nos resolvidos. A resolvida: SS ATENDIDA em 17/06/2026 (ETO-TELE).</t>
  </si>
  <si>
    <t>10/06/2026</t>
  </si>
  <si>
    <t>ETO-COEP 00013/2023 | ETO-COEP 00063/2023</t>
  </si>
  <si>
    <t>27/01/2023</t>
  </si>
  <si>
    <t>08/07/2026</t>
  </si>
  <si>
    <t>ETO-COEP 00011/2023</t>
  </si>
  <si>
    <t>25/01/2023</t>
  </si>
  <si>
    <t>30/03/2026</t>
  </si>
  <si>
    <t>resolveu uma demanda no ano e voltou — conta aqui, não nos resolvidos. A resolvida: SS CANCELADA em 17/06/2026 (ETO-COEP).</t>
  </si>
  <si>
    <t>23/04/2026</t>
  </si>
  <si>
    <t>resolveu uma demanda no ano e voltou — conta aqui, não nos resolvidos. A resolvida: SS CANCELADA em 16/06/2026 (ETO-COEP).</t>
  </si>
  <si>
    <t>18/03/2026</t>
  </si>
  <si>
    <t>08/07/2025</t>
  </si>
  <si>
    <t>04/02/2026</t>
  </si>
  <si>
    <t>resolveu uma demanda no ano e voltou — conta aqui, não nos resolvidos. A resolvida: SS ATENDIDA em 08/07/2026 (ETO-TELE).</t>
  </si>
  <si>
    <t>15/07/2026</t>
  </si>
  <si>
    <t>ETO-COEP 00176/2026</t>
  </si>
  <si>
    <t>resolveu uma demanda no ano e voltou — conta aqui, não nos resolvidos. A resolvida: SS ATENDIDA em 18/03/2026 (ETO-TELE).</t>
  </si>
  <si>
    <t>resolveu uma demanda no ano e voltou — conta aqui, não nos resolvidos. A resolvida: SS ATENDIDA em 09/04/2026 (ETO-TELE).</t>
  </si>
  <si>
    <t>Em outra mesa</t>
  </si>
  <si>
    <t>ARAPOEMA</t>
  </si>
  <si>
    <t>ETO-TELE 01040/2026</t>
  </si>
  <si>
    <t>30/07/2026</t>
  </si>
  <si>
    <t>ETO-TELE</t>
  </si>
  <si>
    <t>comissionamento — parte do COEP concluída</t>
  </si>
  <si>
    <t>SS PENDENTE</t>
  </si>
  <si>
    <t>ETO-TELE 00986/2026</t>
  </si>
  <si>
    <t>SILVANOPOLIS</t>
  </si>
  <si>
    <t>ETO-PROT 00158/2026</t>
  </si>
  <si>
    <t>28/07/2026</t>
  </si>
  <si>
    <t>ETO-PROT</t>
  </si>
  <si>
    <t>ajuste de proteção — parte do COEP concluída</t>
  </si>
  <si>
    <t>ETO-RD-DP</t>
  </si>
  <si>
    <t>execução com os COCMs</t>
  </si>
  <si>
    <t>CENTENARIO</t>
  </si>
  <si>
    <t>ETO-SE-PCM 00091/2026</t>
  </si>
  <si>
    <t>17/08/2026</t>
  </si>
  <si>
    <t>ETO-SE-PCM</t>
  </si>
  <si>
    <t>ETO-PROT 00154/2026</t>
  </si>
  <si>
    <t>PALMEIRANTE</t>
  </si>
  <si>
    <t>ETO-SE-PCM 00090/2026</t>
  </si>
  <si>
    <t>ETO-PROT 00153/2026</t>
  </si>
  <si>
    <t>ETO-SE-PA 00107/2026</t>
  </si>
  <si>
    <t>ETO-SE-PA</t>
  </si>
  <si>
    <t>ETO-RD-PA 00352/2026</t>
  </si>
  <si>
    <t>22/05/2026</t>
  </si>
  <si>
    <t>ETO-RD-PA</t>
  </si>
  <si>
    <t>ETO-PROT 00159/2026</t>
  </si>
  <si>
    <t>06/07/2026</t>
  </si>
  <si>
    <t>PARANA</t>
  </si>
  <si>
    <t>ETO-PROT 00152/2026</t>
  </si>
  <si>
    <t>ETO-PROT 00156/2026</t>
  </si>
  <si>
    <t>BABACULANDIA</t>
  </si>
  <si>
    <t>ETO-TELE 01107/2026</t>
  </si>
  <si>
    <t>13/08/2026</t>
  </si>
  <si>
    <t>ETO-SE-PCM 00092/2026</t>
  </si>
  <si>
    <t>ETO-PROT 00155/2026</t>
  </si>
  <si>
    <t>ETO-PROT 00157/2026</t>
  </si>
  <si>
    <t>Resolvido</t>
  </si>
  <si>
    <t>TAIPAS DO TOCANTINS</t>
  </si>
  <si>
    <t>SS CANCELADA</t>
  </si>
  <si>
    <t>ETO-COEP</t>
  </si>
  <si>
    <t>cancelada, com leitura que confirma volta à operação</t>
  </si>
  <si>
    <t>ETO-TELE 00413/2026</t>
  </si>
  <si>
    <t>SS ATENDIDA</t>
  </si>
  <si>
    <t>SS atendida — serviço executado; a nota aberta depois é reincidência, demanda nova · nota pendente em outro posto (ETO-TELE 00498/2026 (ETO-TELE), ETO-RD-AR 00841/2026 (ETO-RD-AR), ETO-TELE 00854/2026 (ETO-TELE)) — outra frente, não derruba (régua 22/08)</t>
  </si>
  <si>
    <t>WANDERLANDIA</t>
  </si>
  <si>
    <t>ETO-TELE 00804/2026</t>
  </si>
  <si>
    <t>06/05/2026</t>
  </si>
  <si>
    <t>SS atendida — serviço executado</t>
  </si>
  <si>
    <t>CHAPADA DA NATIVIDADE</t>
  </si>
  <si>
    <t>ETO-TELE 01039/2026</t>
  </si>
  <si>
    <t>TUPIRAMA</t>
  </si>
  <si>
    <t>ETO-TELE 01037/2026</t>
  </si>
  <si>
    <t>14/07/2026</t>
  </si>
  <si>
    <t>ETO-RD-PS</t>
  </si>
  <si>
    <t>SS atendida — serviço executado · nota pendente em outro posto (ETO-PROT 00151/2026 (ETO-PROT)) — outra frente, não derruba (régua 22/08)</t>
  </si>
  <si>
    <t>AGUIARNOPOLIS</t>
  </si>
  <si>
    <t>ETO-COEP 00202/2025</t>
  </si>
  <si>
    <t>30/06/2026</t>
  </si>
  <si>
    <t>resolvido por cancelamento — nenhuma nota nova no COEP depois</t>
  </si>
  <si>
    <t>PUGMIL</t>
  </si>
  <si>
    <t>ETO-RD-PS 00289/2026</t>
  </si>
  <si>
    <t>SS atendida — serviço executado · nota pendente em outro posto (ETO-PROT 00164/2026 (ETO-PROT)) — outra frente, não derruba (régua 22/08)</t>
  </si>
  <si>
    <t>PONTE ALTA DO TOCANTINS</t>
  </si>
  <si>
    <t>ETO-COEP 00126/2024</t>
  </si>
  <si>
    <t>ETO-COEP 00198/2025</t>
  </si>
  <si>
    <t>ARAGUACU</t>
  </si>
  <si>
    <t>ETO-TELE 00807/2026</t>
  </si>
  <si>
    <t>20/05/2026</t>
  </si>
  <si>
    <t>NOVO JARDIM</t>
  </si>
  <si>
    <t>NOVA OLINDA</t>
  </si>
  <si>
    <t>ETO-RD-AR</t>
  </si>
  <si>
    <t>SS atendida — serviço executado · nota pendente em outro posto (ETO-RD-AR 01168/2026 (ETO-RD-AR), ETO-TELE 01036/2026 (ETO-TELE), ETO-TELE 01102/2026 (ETO-TELE)) — outra frente, não derruba (régua 22/08)</t>
  </si>
  <si>
    <t>ETO-COEP 00127/2026</t>
  </si>
  <si>
    <t>MARIANOPOLIS</t>
  </si>
  <si>
    <t>ETO-RD-PS 00261/2026</t>
  </si>
  <si>
    <t>25/06/2026</t>
  </si>
  <si>
    <t>NOVO ACORDO</t>
  </si>
  <si>
    <t>ETO-COEP 00109/2026</t>
  </si>
  <si>
    <t>BREJINHO DE NAZARE</t>
  </si>
  <si>
    <t>ETO-COEP 00025/2026</t>
  </si>
  <si>
    <t>29/06/2026</t>
  </si>
  <si>
    <t>PONTE ALTA DO BOM JESUS</t>
  </si>
  <si>
    <t>ETO-COEP 00106/2025</t>
  </si>
  <si>
    <t>ETO-COEP 00182/2025</t>
  </si>
  <si>
    <t>ETO-COEP 00101/2025</t>
  </si>
  <si>
    <t>ETO-COEP 00112/2025</t>
  </si>
  <si>
    <t>ETO-COEP 00176/2025</t>
  </si>
  <si>
    <t>ETO-PROT 00094/2026</t>
  </si>
  <si>
    <t>19/05/2026</t>
  </si>
  <si>
    <t>ETO-COEP 00217/2025</t>
  </si>
  <si>
    <t>ETO-COEP 00170/2025</t>
  </si>
  <si>
    <t>ETO-TELE 00215/2026</t>
  </si>
  <si>
    <t>RECURSOLANDIA</t>
  </si>
  <si>
    <t>ETO-COEP 00100/2025</t>
  </si>
  <si>
    <t>ETO-TELE 00872/2026</t>
  </si>
  <si>
    <t>23/06/2026</t>
  </si>
  <si>
    <t>ETO-RD-PS 00114/2025</t>
  </si>
  <si>
    <t>07/01/2026</t>
  </si>
  <si>
    <t>ITAPORA DO TOCANTINS</t>
  </si>
  <si>
    <t>ETO-COEP 00114/2025</t>
  </si>
  <si>
    <t>resolvido por cancelamento — nenhuma nota nova no COEP depois · nota pendente em outro posto (ETO-TELE 01093/2026 (ETO-TELE)) — outra frente, não derruba (régua 22/08)</t>
  </si>
  <si>
    <t>ETO-PROT 00136/2026</t>
  </si>
  <si>
    <t>PIRAQUE</t>
  </si>
  <si>
    <t>ETO-COEP 00102/2025</t>
  </si>
  <si>
    <t>DOIS IRMAOS DO TOCANTINS</t>
  </si>
  <si>
    <t>ETO-RD-PS 00112/2025</t>
  </si>
  <si>
    <t>ARAGOMINAS</t>
  </si>
  <si>
    <t>ETO-RD-AR 00764/2026</t>
  </si>
  <si>
    <t>30/04/2026</t>
  </si>
  <si>
    <t>ETO-RD-AR 01243/2026</t>
  </si>
  <si>
    <t>12/08/2026</t>
  </si>
  <si>
    <t>ETO-COEP 00115/2025</t>
  </si>
  <si>
    <t>ETO-COEP 00152/2025</t>
  </si>
  <si>
    <t>19/06/2026</t>
  </si>
  <si>
    <t>ETO-COEP 00063/2025</t>
  </si>
  <si>
    <t>ETO-TELE 00959/2026</t>
  </si>
  <si>
    <t>SS atendida — serviço executado · nota pendente em outro posto (ETO-RD-DP 00491/2026 (ETO-RD-DP), ETO-PROT 00165/2026 (ETO-PROT), ETO-RD-DP 00485/2026 (ETO-RD-DP)) — outra frente, não derruba (régua 22/08)</t>
  </si>
  <si>
    <t>TOCANTINIA</t>
  </si>
  <si>
    <t>ETO-RD-PA 00331/2025</t>
  </si>
  <si>
    <t>RIO DOS BOIS</t>
  </si>
  <si>
    <t>ETO-TELE 00324/2026</t>
  </si>
  <si>
    <t>12/02/2026</t>
  </si>
  <si>
    <t>SS atendida — serviço executado; a nota aberta depois é reincidência, demanda nova</t>
  </si>
  <si>
    <t>ETO-PROT 00135/2026</t>
  </si>
  <si>
    <t>ETO-COEP 00119/2025</t>
  </si>
  <si>
    <t>ETO-COEP 00189/2025</t>
  </si>
  <si>
    <t>DARCINOPOLIS</t>
  </si>
  <si>
    <t>ETO-RD-AR 00838/2026</t>
  </si>
  <si>
    <t>13/05/2026</t>
  </si>
  <si>
    <t>ETO-RD-PO 00180/2026</t>
  </si>
  <si>
    <t>ETO-RD-PO</t>
  </si>
  <si>
    <t>ETO-PROT 00074/2026</t>
  </si>
  <si>
    <t>08/04/2026</t>
  </si>
  <si>
    <t>ETO-TELE 01025/2026</t>
  </si>
  <si>
    <t>04/08/2026</t>
  </si>
  <si>
    <t>ETO-TELE 01024/2026</t>
  </si>
  <si>
    <t>30/05/2026</t>
  </si>
  <si>
    <t>ETO-TELE 00962/2026</t>
  </si>
  <si>
    <t>TALISMA</t>
  </si>
  <si>
    <t>ETO-COEP 00162/2024</t>
  </si>
  <si>
    <t>ESPERANTINA</t>
  </si>
  <si>
    <t>06/06/2026</t>
  </si>
  <si>
    <t>SS atendida — serviço executado · nota pendente em outro posto (ETO-TELE 00896/2026 (ETO-TELE)) — outra frente, não derruba (régua 22/08)</t>
  </si>
  <si>
    <t>ETO-COEP 00201/2025</t>
  </si>
  <si>
    <t>22/06/2026</t>
  </si>
  <si>
    <t>TUPIRATINS</t>
  </si>
  <si>
    <t>ETO-COEP 00099/2025</t>
  </si>
  <si>
    <t>ETO-COEP 00137/2026</t>
  </si>
  <si>
    <t>ETO-COEP 00125/2024</t>
  </si>
  <si>
    <t>21/05/2026</t>
  </si>
  <si>
    <t>ETO-TELE 00964/2026</t>
  </si>
  <si>
    <t>ETO-TELE 00961/2026</t>
  </si>
  <si>
    <t>ALIANCA DO TOCANTINS</t>
  </si>
  <si>
    <t>ETO-COEP 00152/2024</t>
  </si>
  <si>
    <t>14/05/2026</t>
  </si>
  <si>
    <t>ETO-COEP 00091/2025</t>
  </si>
  <si>
    <t>ARRAIAS</t>
  </si>
  <si>
    <t>ETO-COEP 00157/2024</t>
  </si>
  <si>
    <t>MONTE SANTO DO TOCANTINS</t>
  </si>
  <si>
    <t>ETO-COEP 00145/2026</t>
  </si>
  <si>
    <t>ETO-TELE 00362/2026</t>
  </si>
  <si>
    <t>ETO-TELE 00879/2026</t>
  </si>
  <si>
    <t>12/06/2026</t>
  </si>
  <si>
    <t>ETO-COEP 00170/2024</t>
  </si>
  <si>
    <t>ETO-TELE 00936/2026</t>
  </si>
  <si>
    <t>NOVA ROSALANDIA</t>
  </si>
  <si>
    <t>ETO-COEP 00049/2026</t>
  </si>
  <si>
    <t>ETO-RD-AR 00444/2026</t>
  </si>
  <si>
    <t>10/03/2026</t>
  </si>
  <si>
    <t>AXIXA DO TOCANTINS</t>
  </si>
  <si>
    <t>ETO-TELE 00181/2026</t>
  </si>
  <si>
    <t>21/01/2026</t>
  </si>
  <si>
    <t>ETO-RD-AG 00670/2026</t>
  </si>
  <si>
    <t>01/07/2026</t>
  </si>
  <si>
    <t>ETO-RD-AG</t>
  </si>
  <si>
    <t>SS atendida — serviço executado; a nota aberta depois é reincidência, demanda nova · nota pendente em outro posto (ETO-RD-AG 00630/2026 (ETO-RD-AG), ETO-RD-AG 00670/2026 (ETO-RD-AG), ETO-RD-AR 01070/2026 (ETO-RD-AR)) — outra frente, não derruba (régua 22/08)</t>
  </si>
  <si>
    <t>Resolvido (e não voltou)</t>
  </si>
  <si>
    <t>58</t>
  </si>
  <si>
    <t>79</t>
  </si>
  <si>
    <t>Contagem de Ativo</t>
  </si>
  <si>
    <t>Soma de Orçamento Total</t>
  </si>
  <si>
    <t>NUMERO_SS</t>
  </si>
  <si>
    <t>NUMERO_OS</t>
  </si>
  <si>
    <t>NUM_OBRA</t>
  </si>
  <si>
    <t>ORIGEM_SS</t>
  </si>
  <si>
    <t>DEFEITO_SS</t>
  </si>
  <si>
    <t>ORIGEM</t>
  </si>
  <si>
    <t>DEFEITO</t>
  </si>
  <si>
    <t>ESQUEMA</t>
  </si>
  <si>
    <t>TASK</t>
  </si>
  <si>
    <t>ANO</t>
  </si>
  <si>
    <t>ORG_SOLIC</t>
  </si>
  <si>
    <t>COD_EQUIPE</t>
  </si>
  <si>
    <t>ALIMENTADOR</t>
  </si>
  <si>
    <t>NUM_TRAFO</t>
  </si>
  <si>
    <t>COORD_X</t>
  </si>
  <si>
    <t>COORD_Y</t>
  </si>
  <si>
    <t>COD_GIS</t>
  </si>
  <si>
    <t>CRITICIDADE_SS</t>
  </si>
  <si>
    <t>SITUACAO_SS</t>
  </si>
  <si>
    <t>DATA_ABERTURA_SS</t>
  </si>
  <si>
    <t>DATA_TERMINO_SS</t>
  </si>
  <si>
    <t>DATA_LIMITE_SS</t>
  </si>
  <si>
    <t>DESCICAO_DO_ATIVO</t>
  </si>
  <si>
    <t>LOCALIDADE</t>
  </si>
  <si>
    <t>SOLICITANTE</t>
  </si>
  <si>
    <t>RURA_URBANO</t>
  </si>
  <si>
    <t>TIPOSS</t>
  </si>
  <si>
    <t>DESCRIPTION_SS</t>
  </si>
  <si>
    <t>DESCRICAO_OS</t>
  </si>
  <si>
    <t>NS_RETIRADO</t>
  </si>
  <si>
    <t>TOMBAMENTO_RETIRADO</t>
  </si>
  <si>
    <t>FABRICANTE_INSTALADO</t>
  </si>
  <si>
    <t>FABRICANTE_RETIRADO</t>
  </si>
  <si>
    <t>DATA_FABRICACAO_INSTALADO</t>
  </si>
  <si>
    <t>DATA_FABRICACAO_RETIRADO</t>
  </si>
  <si>
    <t>NS_INSTALADO</t>
  </si>
  <si>
    <t>TOMBAMENTO_INSTALADO</t>
  </si>
  <si>
    <t>NUM_INT</t>
  </si>
  <si>
    <t>REFORMADORA_DESAT</t>
  </si>
  <si>
    <t>REFORMADORA_DESAT_1</t>
  </si>
  <si>
    <t>DATA_REFORMA_INST</t>
  </si>
  <si>
    <t>DATA_REFORMA_RET</t>
  </si>
  <si>
    <t>POTENCIA_INST</t>
  </si>
  <si>
    <t>POTENCIA_RET</t>
  </si>
  <si>
    <t>FEITO_COLA_E_FITA</t>
  </si>
  <si>
    <t>QTD_CLIENTES</t>
  </si>
  <si>
    <t>ATERRAMENTO_ESTA_CONECTADO_AO_TANQUE_DO_TRAFO</t>
  </si>
  <si>
    <t>EQUIPAMENTO_APRESENTA_VAZAMENTO_DE_OLEO</t>
  </si>
  <si>
    <t>EXISTE_VEGETAÇÃO_TOCANDO_A_REDE_BT_OU_MT</t>
  </si>
  <si>
    <t>FEZ_MELHORIA_DE_ATERRAMENTO</t>
  </si>
  <si>
    <t>INSTALOU_ALGUM_ESPAÇADOR</t>
  </si>
  <si>
    <t>PARA_RAIOS_INSTALADO_SUBSTITUIDO</t>
  </si>
  <si>
    <t>PROVÁVEL_MOTIVO_DO_DEFEITO</t>
  </si>
  <si>
    <t>QUAL_ELO_INSTALADO_NO_LOCAL</t>
  </si>
  <si>
    <t>TIPO_DE_BARRAMENTO</t>
  </si>
  <si>
    <t>MEDIÇÃO_DE_ATERRAMENTO_ANTES_X1</t>
  </si>
  <si>
    <t>MEDIÇÃO_DE_ATERRAMENTO_ANTES_X2</t>
  </si>
  <si>
    <t>MEDIÇÃO_DE_ATERRAMENTO_ANTES_X3</t>
  </si>
  <si>
    <t>MEDIÇÃO_DE_ATERRAMENTO_X1</t>
  </si>
  <si>
    <t>MEDIÇÃO_DE_ATERRAMENTO_X2</t>
  </si>
  <si>
    <t>MEDIÇÃO_DE_ATERRAMENTO_X3</t>
  </si>
  <si>
    <t>TRAFO_INSTALADO_É_REFORMADO</t>
  </si>
  <si>
    <t>REFORMADORA_INSTALADO</t>
  </si>
  <si>
    <t>TRANSFORMADOR_RETIRADO_É_REFORMADO</t>
  </si>
  <si>
    <t>RELÉ</t>
  </si>
  <si>
    <t>INSPEÇÃO VISUAL</t>
  </si>
  <si>
    <t>COI</t>
  </si>
  <si>
    <t>LD01084002</t>
  </si>
  <si>
    <t>190-17413318</t>
  </si>
  <si>
    <t>EMERGENCIAL</t>
  </si>
  <si>
    <t>BLOCO RELIGADOR DE LINHA</t>
  </si>
  <si>
    <t>WESLEY MARCAL MENDES DE OLIVEI</t>
  </si>
  <si>
    <t>URBANO</t>
  </si>
  <si>
    <t>INDISPONIBILIDADE PARA OPERAÇÃO</t>
  </si>
  <si>
    <t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t>
  </si>
  <si>
    <t>ILEGÍVEL</t>
  </si>
  <si>
    <t>LD02072001</t>
  </si>
  <si>
    <t>190-17412374</t>
  </si>
  <si>
    <t>JANES FERREIRA DA SILVA</t>
  </si>
  <si>
    <t>RURAL</t>
  </si>
  <si>
    <t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t>
  </si>
  <si>
    <t>QUEIMADO</t>
  </si>
  <si>
    <t>LD03046026</t>
  </si>
  <si>
    <t>190-32192324</t>
  </si>
  <si>
    <t>GERALDO JOSE DE FARIA</t>
  </si>
  <si>
    <t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t>
  </si>
  <si>
    <t>CIRCUITO DE COMANDO</t>
  </si>
  <si>
    <t>LD03010004</t>
  </si>
  <si>
    <t>190-17513181</t>
  </si>
  <si>
    <t>RELIGADOR DE LINHA - 38kV</t>
  </si>
  <si>
    <t>ARTHUR MAGALHAES DAS DORES</t>
  </si>
  <si>
    <t>PARECER COEP: EQUIPAMENTO SELECIONADO PARA COMPRAPARECER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t>
  </si>
  <si>
    <t>MANUT</t>
  </si>
  <si>
    <t>LD05010004</t>
  </si>
  <si>
    <t>190-17512526</t>
  </si>
  <si>
    <t>PROGRAMAVEL</t>
  </si>
  <si>
    <t>EDNA MARIA DOS SANTOS PINTO</t>
  </si>
  <si>
    <t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t>
  </si>
  <si>
    <t>REGULADOR DE TENSÃO</t>
  </si>
  <si>
    <t>RELÉ REGULADOR DE TENSÃO</t>
  </si>
  <si>
    <t>LD05050008</t>
  </si>
  <si>
    <t>190-36538096</t>
  </si>
  <si>
    <t>REGULADOR DE TENSAO DE DIST. - 34.5</t>
  </si>
  <si>
    <t>ZENILSON MOREIRA SANTOS</t>
  </si>
  <si>
    <t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t>
  </si>
  <si>
    <t>SCADA</t>
  </si>
  <si>
    <t>LD03028074</t>
  </si>
  <si>
    <t>190-15814905</t>
  </si>
  <si>
    <t>LARA SOARES FARIAS</t>
  </si>
  <si>
    <t>24/08 PARECER COEP: EQUIPAMENTO SELECIONADO PARA REFORMASubstituir as 3 células- Melhoria na malha de aterramento - Melhoria no circuito de aterramento qua aterra as células.- Substituir conectores paralelos</t>
  </si>
  <si>
    <t>190-59145750</t>
  </si>
  <si>
    <t>30/06 PARECER COEP: EQUIPAMENTO SELECIONADO PARA COMPRAREALIZAR SUBSTITUIÇÃO DO TANQUE, O MESMO ESTÁ COM DEFEITO.</t>
  </si>
  <si>
    <t>190-37070331</t>
  </si>
  <si>
    <t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t>
  </si>
  <si>
    <t>190-17512853</t>
  </si>
  <si>
    <t>ALTA</t>
  </si>
  <si>
    <t>JULIA GRAZYELLE BRITO OLIVEIRA</t>
  </si>
  <si>
    <t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t>
  </si>
  <si>
    <t>AL05099059</t>
  </si>
  <si>
    <t>190-17421389</t>
  </si>
  <si>
    <t>RELIGADOR DE LINHA - 13,8kV</t>
  </si>
  <si>
    <t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t>
  </si>
  <si>
    <t>RELIGADOR</t>
  </si>
  <si>
    <t>LD03036052</t>
  </si>
  <si>
    <t>190-21148967</t>
  </si>
  <si>
    <t>ZELITO ALVES DELGADO</t>
  </si>
  <si>
    <t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t>
  </si>
  <si>
    <t>LD03105019</t>
  </si>
  <si>
    <t>190-17512510</t>
  </si>
  <si>
    <t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t>
  </si>
  <si>
    <t>OUTROS</t>
  </si>
  <si>
    <t>LD01051035</t>
  </si>
  <si>
    <t>190-17513078</t>
  </si>
  <si>
    <t>RELIGADOR DE LINHA - 34,5kV</t>
  </si>
  <si>
    <t>SAMUEL PINTO GOMES</t>
  </si>
  <si>
    <t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t>
  </si>
  <si>
    <t>LD01414015</t>
  </si>
  <si>
    <t>190-17404247</t>
  </si>
  <si>
    <t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t>
  </si>
  <si>
    <t>FALTANDO</t>
  </si>
  <si>
    <t>LD02022033</t>
  </si>
  <si>
    <t>190-17408622</t>
  </si>
  <si>
    <t>CLESIO CARVALHO MOURA</t>
  </si>
  <si>
    <t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t>
  </si>
  <si>
    <t>BUCHAS DE PASSAGEM</t>
  </si>
  <si>
    <t>CORROSÃO / OXIDAÇÃO</t>
  </si>
  <si>
    <t>LD04062013</t>
  </si>
  <si>
    <t>190-17407509</t>
  </si>
  <si>
    <t>DIVINOPOLIS DO TOCANTINS</t>
  </si>
  <si>
    <t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t>
  </si>
  <si>
    <t>LD01434149</t>
  </si>
  <si>
    <t>190-35120642</t>
  </si>
  <si>
    <t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t>
  </si>
  <si>
    <t>RELÉ DE PROTEÇÃO</t>
  </si>
  <si>
    <t>COPO</t>
  </si>
  <si>
    <t>LD03062013</t>
  </si>
  <si>
    <t>190-17512949</t>
  </si>
  <si>
    <t>CLEBSON ALVES DUARTE</t>
  </si>
  <si>
    <t>PARECER COEP: EQUIPAMENTO SELECIONADO PARA COMPRAPARECER DMSL: Feedback Equip. EspeciaisRLG 7926089013,RELÉ NOJA RC10SID 1805/2026DATA 15/04/2026Serviço Executado: Favor realizar a troca da parte ativa do equipamento --reprogramar para atualizar a base juntamente com escada Equipamento ficou em operação: Não Pendência: sim atualizar a base e  subistituir o tanque Bateria(s) substituída(s)? Não Data de Fabricação/Instalação da(s) bateria(s): Equipe: Carliel e João Vitor Fernando e Elson---------------------------------------------------------------------------------ATUALIZAR AJUSTES DO RL 7926089013 LD PARAISO I  A  PIUM. IMPLEMENTAÇÃO DA FUNÇÃO 27, SUBTENSÃO.AJUSTES DISPONIVEIS NO APP DA PROTEÇÃO.</t>
  </si>
  <si>
    <t>LD03040003</t>
  </si>
  <si>
    <t>190-17412271</t>
  </si>
  <si>
    <t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t>
  </si>
  <si>
    <t>LD01066094</t>
  </si>
  <si>
    <t>190-34648613</t>
  </si>
  <si>
    <t>IZAIAS SANTOS BRAGA JUNIOR</t>
  </si>
  <si>
    <t>24/07 PARECER COEP:EQUIPAMENTO EM LOGISTICA DE ENTREGA Favor levar outro regulador de tensão, pois o mesmo foi furtado em campo.</t>
  </si>
  <si>
    <t>AL01031076</t>
  </si>
  <si>
    <t>190-17421709</t>
  </si>
  <si>
    <t>RELIGADOR DE LINHA - 19</t>
  </si>
  <si>
    <t>CASSIO GOMES BONFIM</t>
  </si>
  <si>
    <t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t>
  </si>
  <si>
    <t>AL01015049</t>
  </si>
  <si>
    <t>190-17414963</t>
  </si>
  <si>
    <t>Lorrane Sousa Gonçalves</t>
  </si>
  <si>
    <t>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t>
  </si>
  <si>
    <t>LD02109039</t>
  </si>
  <si>
    <t>190-17513063</t>
  </si>
  <si>
    <t>PARECER COEP: EQUIPAMENTO SELECIONADO PARA COMPRATroca do sistema de comunicação do equipamentoDMSL 28/07/2025: Equipamento com tanque, modulo e rele com defeito, solicitar troca do equipamento ao DCMD.Fotos vão ser enviadas por e-mail</t>
  </si>
  <si>
    <t>AL04010004</t>
  </si>
  <si>
    <t>190-17421632</t>
  </si>
  <si>
    <t>RELIGADOR DE LINHA - 15,0kV</t>
  </si>
  <si>
    <t>PARECER COEP: Verificar Disponibilidade de equipamento no Scada e enviar modelo e tensão para a compra.RELIGADOR COM RELÉ DANIFICADO, REALIZAR SUBSTITUIÇÃO</t>
  </si>
  <si>
    <t>BUCHA MT - CARGA (C)</t>
  </si>
  <si>
    <t>LD02424015</t>
  </si>
  <si>
    <t>190-17404244</t>
  </si>
  <si>
    <t>CLEIDSON RODRIGUES VIEIRA</t>
  </si>
  <si>
    <t>PARECER COEP: É PARA REALIZAR A SUBSTITUIÇÃO DO RELIGADOR OU DAS BUCHAS, CASO SEJA BUCHAS , REPASSAR PARA OS COCM'S , CASO NÃO SEJA ESPECIFIQUE O MODELO , E A TENSÃO, FICO NO AGUARDO DO RETORNONota para manutenção substituir religador 7900525015 que está com as buchas de entrada danificadas fase A estourada e bc danificadas Local LD Pedro Afonso A Chaparral</t>
  </si>
  <si>
    <t>LD02066094</t>
  </si>
  <si>
    <t>190-17410002</t>
  </si>
  <si>
    <t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t>
  </si>
  <si>
    <t>190-20409576</t>
  </si>
  <si>
    <t>SAO VALERIO</t>
  </si>
  <si>
    <t>PARECER COEP: REAVALIAR DISPONIBILIDADE DO EQUIPAMENTO NO SCADA ASSIM COMO , FORNECER MODELO DO EQUIPAMENTO E FAIXA DE TENSÃO PARA COMPRA / AQUISIÇÃOTanque com defeito, realizar substituição do tanque.</t>
  </si>
  <si>
    <t>190-68154393</t>
  </si>
  <si>
    <t>LAISON OLIVEIRA CARVALHO</t>
  </si>
  <si>
    <t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t>
  </si>
  <si>
    <t>LD01025012</t>
  </si>
  <si>
    <t>EQP-7921202014</t>
  </si>
  <si>
    <t>RELIGADOR 34,5 KV</t>
  </si>
  <si>
    <t>WANDERLEY TAVARES DA SILVA</t>
  </si>
  <si>
    <t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t>
  </si>
  <si>
    <t>190-28065672</t>
  </si>
  <si>
    <t>14/07/2026 PARECER COEP : SUBSTIUIR CONTROLE COMPLETOPARECER DMSL: Equipamento com a placa de alimentação ca em curto, será necessário substituir a placa do equipamento. (Antiga nota era pra ter sido repassada porém foi baixada indevidamente pela equipe)</t>
  </si>
  <si>
    <t>190-40659920</t>
  </si>
  <si>
    <t>13/07/2026 PARECER COEP: SUBSTITUIR CONTOLE OU MANDAR MANUTENCIONAR EM CASO DE PRIORIDADE ALTAPARECER DMSL: Necessário substituir a placa de alimentação ca, a mesma está em curto não conseguimos recuperar. (Antiga nota era pra ter sido repassada porém foi baixada indevidamente pela equipe)</t>
  </si>
  <si>
    <t>LD01065015</t>
  </si>
  <si>
    <t>190-17404165</t>
  </si>
  <si>
    <t>08/07/2026 PARECER COEP: SUBSTITUIÇÃO DE TRAFO AUXILIAR ENCAMINHADO PARA REALIZAR A TROCA , FAVOR COLOCAR O PARECER AQUI E MANDAR DEPOIS PARA PROTEÇÃO , POR FAVORPARECER COEP: SUBSTITUIÇÃO DO TRAFO É DIRETO COM OS COCM'S, NÃO TEM COMPRA DE EQUIPAMENTO ESPECIAL.PARECER DMSL (25/07/2025): Realizada atualização da base do relé. Feito comissionamento com SCADA (Kauana) e testes com COS (Daniel). Equipamento reinserido no SEP sem anomalias. PENDÊNCIA: Sim. Substituir Trafo auxiliar, pois o mesmo está com vazamento significativo de óleo isolante, o que irá causar a avaria podendo afetar todo controle do religador.FAZER INSPEÇÃO E MANUTENÇÃO DO RL 7931219078. RELIGADOR CHAVE ESTA MUDANDO SOZINHA PARA LOCAL.</t>
  </si>
  <si>
    <t>LD03414149</t>
  </si>
  <si>
    <t>190-17413951</t>
  </si>
  <si>
    <t>PAULO SERGIO CAETANO FREIRE</t>
  </si>
  <si>
    <t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t>
  </si>
  <si>
    <t>LD01072001</t>
  </si>
  <si>
    <t>190-17408527</t>
  </si>
  <si>
    <t>Leonardo Oliveira Bezerra Mato</t>
  </si>
  <si>
    <t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t>
  </si>
  <si>
    <t>AL02017017</t>
  </si>
  <si>
    <t>190-17408695</t>
  </si>
  <si>
    <t>ANDERSON FAZAN SOARES</t>
  </si>
  <si>
    <t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t>
  </si>
  <si>
    <t>LD03038009</t>
  </si>
  <si>
    <t>190-47912485</t>
  </si>
  <si>
    <t>DIOMAR FERREIRA PEREIRA</t>
  </si>
  <si>
    <t>20/07 PARECER COEP: EQUIPAMENTO SELECIONADO PARA COMPRASegue nota para substituir relé religador avariado marca noja , equipamento N: 7953211079 - Itapiratins .Obs: informação repassado pelo técnico DMSL Bruno .</t>
  </si>
  <si>
    <t>LD02059122</t>
  </si>
  <si>
    <t>190-17403330</t>
  </si>
  <si>
    <t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t>
  </si>
  <si>
    <t>FORA DE SERVIÇO</t>
  </si>
  <si>
    <t>AL01102271</t>
  </si>
  <si>
    <t>190-15851809</t>
  </si>
  <si>
    <t>REGULADOR DE TENSAO DE DIST. - 13.8</t>
  </si>
  <si>
    <t>HELDER SILVA CARVALHO</t>
  </si>
  <si>
    <t>24/08 PARECER COEP: EQUIPAMETO SELECIONADO PARA COMPRA(POSSÍVEL REFORMA DO CONTROLE)01/07 PARECER COEP: FOI CONFIRMADO COM A OPERAÇÃO QUE O EQUIPAMENTO SEGUIU O FLUXO INTEIRO DE COMISSIONAMENTO, PROTEÇÃO, FAVOR EXPLICAR O QUE FOI REALIZADO E SE EQUIPAMENTO ESTÁ OPERANDO, SENÃO ESTIVER EXPLICAR O QUE FOI FEITO NELE30/06PARECER COEP: REPASSAR DIRETAMENTE PARA OS COCM'SRegulador 5803327001 fora de operação, by passado em campo com painel de comunicação com cabos desconectados tensão 13.8.parecer DMSL: Feedback Equip. EspeciaisRT 5803327001RELÉ RUASid: 4844Data: 19/09/2025Serviço realizado:*Equipamento foi remanejado, 7 km da sua localização sentido Palmas necessário comissionamento completo*Equipamento com um dos cabos umbilicais danificado.* aterramento bucha FC não esta interligada corretamente * para-raios estão no mesmo aterramento da bucha FC.* Tranques  muito alto e próximo da rede  não permitindo o comissionamento com segurança.* Controle alto  demais tem que baixar Equipamento ficou em operação?: nãoPendência: sim, precisa comissionar completoOBS; reprogramar equipamento.Bateria(s) substituída(s) NÃOEquipe: Ellisfran, Ana Maria    PARECER DMSL: Data 03/12/2025-Equipe: Carliel e BenvindoServiço executado foi ensaiado as três células Equipamento ficou em operação: Não  Pendência: sim, Instalar  controle completo, e fazer melhoria na malhar de aterramento</t>
  </si>
  <si>
    <t>LD01100001</t>
  </si>
  <si>
    <t>190-17408525</t>
  </si>
  <si>
    <t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t>
  </si>
  <si>
    <t>LD01054060</t>
  </si>
  <si>
    <t>190-31814641</t>
  </si>
  <si>
    <t>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t>
  </si>
  <si>
    <t>AL05010004</t>
  </si>
  <si>
    <t>190-17337604</t>
  </si>
  <si>
    <t>PARECER COEP 28/07/2026 : EQUIPAMENTO SELECIONADO PARA COMPRAEquipamento baypassado PARECER DMSL em 12/03: Realizar substituição do equipamento todo e parte ativa.</t>
  </si>
  <si>
    <t>DEFEITO ELETRICO</t>
  </si>
  <si>
    <t>LD02020023</t>
  </si>
  <si>
    <t>190-15838899</t>
  </si>
  <si>
    <t>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t>
  </si>
  <si>
    <t>190-17512828</t>
  </si>
  <si>
    <t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t>
  </si>
  <si>
    <t>190-31114527</t>
  </si>
  <si>
    <t>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t>
  </si>
  <si>
    <t>LD04002091</t>
  </si>
  <si>
    <t>190-55087821</t>
  </si>
  <si>
    <t>BAIXA</t>
  </si>
  <si>
    <t>LEONARDO SIQUEIRA AMORIM</t>
  </si>
  <si>
    <t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t>
  </si>
  <si>
    <t>LD02010021</t>
  </si>
  <si>
    <t>190-17337960</t>
  </si>
  <si>
    <t>VINICIUS DE MORAIS NERY</t>
  </si>
  <si>
    <t>segue SS para REALIZAR SUBSTITUIÇÃO DO TANQUE do RL 7927713200 danificado , com equipe de manutencao tensao 34,5kv mesmo atende Povoado retiro na rural de sao salvador  .</t>
  </si>
  <si>
    <t>LD05002091</t>
  </si>
  <si>
    <t>190-52618825</t>
  </si>
  <si>
    <t>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t>
  </si>
  <si>
    <t>COPC</t>
  </si>
  <si>
    <t>LD01047073</t>
  </si>
  <si>
    <t>190-17407946</t>
  </si>
  <si>
    <t>LAGOA DA CONFUSAO</t>
  </si>
  <si>
    <t>Leonardo Sousa de Lima</t>
  </si>
  <si>
    <t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t>
  </si>
  <si>
    <t>190-38238593</t>
  </si>
  <si>
    <t>27/07/2026 PARECER COEP: EQUIPAMENTO SELECIONADO PARA COMPRA, 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t>
  </si>
  <si>
    <t>LD03005098</t>
  </si>
  <si>
    <t>190-57123183</t>
  </si>
  <si>
    <t>Thais Jordanna Jesus Silva</t>
  </si>
  <si>
    <t>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t>
  </si>
  <si>
    <t>AL02033047</t>
  </si>
  <si>
    <t>190-19172792</t>
  </si>
  <si>
    <t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t>
  </si>
  <si>
    <t>ATERRAMENTO</t>
  </si>
  <si>
    <t>COMUTAÇÃO INDEVIDA</t>
  </si>
  <si>
    <t>190-31222234</t>
  </si>
  <si>
    <t>DANIEL DAS NEVES TEIXEIRA</t>
  </si>
  <si>
    <t>PARECER COEP 24/08 : EQUIPAMENTO EM LOGISTICAPENDENTE DE ABERTURA DE OBRA PARA REQUISIÇÃO DO MATERIAL POR PARTE DOS COCM´SPARECER DMSL 06/08: Substituir célula da Fase B do banco de Regulador de tensão e realizar melhorias na malha de aterramento do ReguladorBoa noite,Segue SS para as devidas tratativas, verificar flutuação de tensão do regulador 5800440256 pois a tensão está oscilando de 16kv a 23kv    favor verificar esta anomalia pois cliente BRK está abrindo reclamação todas as noites.</t>
  </si>
  <si>
    <t>190-30990212</t>
  </si>
  <si>
    <t>Eveline Teixeira da Silva</t>
  </si>
  <si>
    <t>24/08/2026 PARECER COEP: REPASSANDO PARA OS COCM´S PARA FAZEREM A MELHORIA DE ATERRAMENTO12/08/2026 PARECER COEP:ETO-TELE ABRIU ERRADO , MELHORIA DE ATERRAMENTO DEVERA SER ABERTO DIRETO PARA OS COCM´S ASSIM COMO AS DA CHAVE FACAFeito testes funcionais nas 3 células do banco as mesmas corresponderam aos testes. Será necessário fazer a correção da malha de terra, baixar o banco completo pois está muito alto dificultando as atividades da equipe, substituir as 3 chaves facas do lado Fonte e as 3 do lado Carga instalar suporte inclinado das chaves para facilitar as manobras. Colocar cinta no controle RUA abaixar o mesmo, pois está muito alto e fixado com um mosquetão oval, .Obs.: Fizeram melhoria na malha de terra, mas não está dentro do aceitável! As outras pendências continuam, favor corrigir, equipe esteve lá dia 06/08/2026.</t>
  </si>
  <si>
    <t>Ano</t>
  </si>
  <si>
    <t>Equipamento</t>
  </si>
  <si>
    <t>Tensão</t>
  </si>
  <si>
    <t>% falha - mensal</t>
  </si>
  <si>
    <t>% falha - acumulada</t>
  </si>
  <si>
    <t>RL</t>
  </si>
  <si>
    <t>Acumulado</t>
  </si>
  <si>
    <t>RT</t>
  </si>
  <si>
    <t>(Tudo)</t>
  </si>
  <si>
    <t>Mês</t>
  </si>
  <si>
    <t>Concat</t>
  </si>
  <si>
    <t>Mensal</t>
  </si>
  <si>
    <t>34.500</t>
  </si>
  <si>
    <t>13.800</t>
  </si>
  <si>
    <t>TIPO</t>
  </si>
  <si>
    <t>FAIXA DE TENSÃO</t>
  </si>
  <si>
    <t>Ano2</t>
  </si>
  <si>
    <t>RL 34,5</t>
  </si>
  <si>
    <t>RL 13,5</t>
  </si>
  <si>
    <t>RT 34,5</t>
  </si>
  <si>
    <t>RT 13,8</t>
  </si>
  <si>
    <t>RL 13</t>
  </si>
  <si>
    <t>RL 34</t>
  </si>
  <si>
    <t>Qtd RT 13</t>
  </si>
  <si>
    <t>RT13</t>
  </si>
  <si>
    <t>RT 34</t>
  </si>
  <si>
    <t>VANDALISMO</t>
  </si>
  <si>
    <t>Qtd RL Fora</t>
  </si>
  <si>
    <t>Parque RL</t>
  </si>
  <si>
    <t>Prazo do SLA Dias</t>
  </si>
  <si>
    <t>SS COCM</t>
  </si>
  <si>
    <t>Em execução</t>
  </si>
  <si>
    <t>Gerado PMA</t>
  </si>
  <si>
    <t>TOTAL</t>
  </si>
  <si>
    <t>ENC-RD-PS</t>
  </si>
  <si>
    <t>DG-RD-PO</t>
  </si>
  <si>
    <t>DOLP-RD-PA</t>
  </si>
  <si>
    <t>ETO-RD-GU</t>
  </si>
  <si>
    <t>ETO-RD-GR</t>
  </si>
  <si>
    <t>Pior atraso</t>
  </si>
  <si>
    <t>SLA (dias ÷ prazo)</t>
  </si>
  <si>
    <t>Mediana de dias</t>
  </si>
  <si>
    <t>Cumprimento</t>
  </si>
  <si>
    <t>Em curso</t>
  </si>
  <si>
    <t>Estourou</t>
  </si>
  <si>
    <t>No prazo</t>
  </si>
  <si>
    <t>Entregas</t>
  </si>
  <si>
    <t>Equipe</t>
  </si>
  <si>
    <t>2025 + 2026</t>
  </si>
  <si>
    <t>2026</t>
  </si>
  <si>
    <t>2025</t>
  </si>
  <si>
    <t>Equipe é o posto do COCM que recebeu a demanda. A mediana diz o ritmo normal; o pior atraso diz a cauda.</t>
  </si>
  <si>
    <t>SLA DE MANUTENÇÃO — POR EQUIPE DE CAMPO</t>
  </si>
  <si>
    <t>Compras</t>
  </si>
  <si>
    <t>Baclog</t>
  </si>
  <si>
    <t>DCMD</t>
  </si>
  <si>
    <t>Saiu</t>
  </si>
  <si>
    <t>Entrou</t>
  </si>
  <si>
    <t>Pendente</t>
  </si>
  <si>
    <t>Orçamento</t>
  </si>
  <si>
    <t>Execução</t>
  </si>
  <si>
    <t>Logistica</t>
  </si>
  <si>
    <t>(vazio)</t>
  </si>
  <si>
    <t>Novembro</t>
  </si>
  <si>
    <t>Dezembro</t>
  </si>
  <si>
    <t>Setembro</t>
  </si>
  <si>
    <t>Outubro</t>
  </si>
  <si>
    <t>JANEIRO DE 2027</t>
  </si>
  <si>
    <t>Pendentes</t>
  </si>
  <si>
    <t>BC</t>
  </si>
  <si>
    <t>Entrantes RL</t>
  </si>
  <si>
    <t>Entrantes RT</t>
  </si>
  <si>
    <t xml:space="preserve">Valor médio RL </t>
  </si>
  <si>
    <t>Valor Médio RT</t>
  </si>
  <si>
    <t>Total Dinheiro</t>
  </si>
  <si>
    <t>RL Qtd</t>
  </si>
  <si>
    <t>RT Qtd</t>
  </si>
  <si>
    <t>BC Qtd</t>
  </si>
  <si>
    <t>Forecast Quantidade de Resolvidos</t>
  </si>
  <si>
    <t>Premissas : ultilizando a premissa de queimaremos o mesmo tanto que 2025</t>
  </si>
  <si>
    <t>Premissas : ultilizando a premissa de queimaremos o mesmo tanto que 2026</t>
  </si>
  <si>
    <t>Desembolso</t>
  </si>
  <si>
    <t>Qtd Equipamentos</t>
  </si>
  <si>
    <t>Total</t>
  </si>
  <si>
    <t>OUTUBRO</t>
  </si>
  <si>
    <t>NOVEMBRO</t>
  </si>
  <si>
    <t>Em Execução</t>
  </si>
  <si>
    <t>Emitir compra</t>
  </si>
  <si>
    <t>-</t>
  </si>
  <si>
    <t>Soma (acumulada)</t>
  </si>
  <si>
    <t>STATUS</t>
  </si>
  <si>
    <t>CONTAGEM</t>
  </si>
  <si>
    <t>VALOR PREVISTO</t>
  </si>
  <si>
    <t>Gerar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</si>
</sst>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[$-F800]dddd\,\ mmmm\ dd\,\ yyyy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  <scheme val="minor"/>
    </font>
    <font>
      <sz val="10.5"/>
      <color rgb="FF374151"/>
      <name val="Calibri"/>
      <family val="2"/>
      <scheme val="minor"/>
    </font>
    <font>
      <b/>
      <sz val="12"/>
      <color rgb="FF1E276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Arial"/>
    </font>
    <font>
      <sz val="18"/>
      <name val="Arial"/>
    </font>
    <font>
      <b/>
      <sz val="9.5"/>
      <color rgb="FFFFFFFF"/>
      <name val="Calibri"/>
    </font>
    <font>
      <sz val="9.5"/>
      <color rgb="FF374151"/>
      <name val="Calibri"/>
    </font>
    <font>
      <sz val="10"/>
      <color rgb="FF374151"/>
      <name val="Calibri"/>
    </font>
    <font>
      <sz val="9.5"/>
      <color rgb="FF000000"/>
      <name val="Calibri"/>
    </font>
    <font>
      <sz val="10"/>
      <color rgb="FF000000"/>
      <name val="Calibri"/>
    </font>
    <font>
      <sz val="10.5"/>
      <color rgb="FF374151"/>
      <name val="Calibri"/>
    </font>
    <font>
      <b/>
      <sz val="9.5"/>
      <color rgb="FF1E2761"/>
      <name val="Calibri"/>
    </font>
    <font>
      <b/>
      <sz val="10.5"/>
      <color rgb="FF1E2761"/>
      <name val="Calibri"/>
    </font>
    <font>
      <sz val="10.5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F5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1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2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10" fontId="0" fillId="0" borderId="0" xfId="2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5" fillId="2" borderId="0" xfId="2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7" fillId="0" borderId="0" xfId="0" applyFont="1"/>
    <xf numFmtId="1" fontId="7" fillId="0" borderId="2" xfId="2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10" fontId="7" fillId="0" borderId="2" xfId="2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0" fillId="0" borderId="1" xfId="0" applyBorder="1"/>
    <xf numFmtId="10" fontId="0" fillId="0" borderId="1" xfId="2" applyNumberFormat="1" applyFont="1" applyBorder="1"/>
    <xf numFmtId="164" fontId="0" fillId="0" borderId="1" xfId="0" applyNumberFormat="1" applyBorder="1"/>
    <xf numFmtId="0" fontId="5" fillId="2" borderId="0" xfId="0" applyFont="1" applyFill="1" applyAlignment="1">
      <alignment horizontal="center" wrapText="1"/>
    </xf>
    <xf numFmtId="0" fontId="8" fillId="0" borderId="0" xfId="0" applyFont="1"/>
    <xf numFmtId="10" fontId="8" fillId="0" borderId="1" xfId="2" applyNumberFormat="1" applyFont="1" applyBorder="1"/>
    <xf numFmtId="0" fontId="9" fillId="0" borderId="0" xfId="0" applyFont="1"/>
    <xf numFmtId="44" fontId="6" fillId="0" borderId="0" xfId="1" applyFont="1"/>
    <xf numFmtId="0" fontId="6" fillId="0" borderId="0" xfId="0" applyFont="1" applyAlignment="1">
      <alignment horizontal="center"/>
    </xf>
    <xf numFmtId="0" fontId="6" fillId="0" borderId="9" xfId="0" applyFont="1" applyBorder="1"/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8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left" wrapText="1"/>
    </xf>
    <xf numFmtId="10" fontId="5" fillId="2" borderId="0" xfId="2" applyNumberFormat="1" applyFont="1" applyFill="1" applyAlignment="1">
      <alignment horizontal="center" wrapText="1"/>
    </xf>
    <xf numFmtId="17" fontId="0" fillId="0" borderId="0" xfId="0" applyNumberFormat="1"/>
    <xf numFmtId="0" fontId="0" fillId="0" borderId="2" xfId="0" applyBorder="1" applyAlignment="1">
      <alignment horizontal="center" vertical="center"/>
    </xf>
    <xf numFmtId="8" fontId="0" fillId="4" borderId="0" xfId="1" applyNumberFormat="1" applyFont="1" applyFill="1"/>
    <xf numFmtId="44" fontId="0" fillId="4" borderId="0" xfId="0" applyNumberFormat="1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" fontId="11" fillId="0" borderId="0" xfId="0" applyNumberFormat="1" applyFont="1"/>
    <xf numFmtId="44" fontId="0" fillId="0" borderId="2" xfId="1" applyFont="1" applyBorder="1" applyAlignment="1">
      <alignment horizontal="center" vertical="center"/>
    </xf>
    <xf numFmtId="16" fontId="10" fillId="5" borderId="2" xfId="0" applyNumberFormat="1" applyFont="1" applyFill="1" applyBorder="1" applyAlignment="1">
      <alignment horizontal="center" vertical="center"/>
    </xf>
    <xf numFmtId="8" fontId="12" fillId="0" borderId="0" xfId="0" applyNumberFormat="1" applyFont="1" applyAlignment="1">
      <alignment horizontal="center" vertical="center" readingOrder="1"/>
    </xf>
    <xf numFmtId="0" fontId="13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0" fontId="13" fillId="0" borderId="2" xfId="2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0" fontId="14" fillId="0" borderId="2" xfId="2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5" fillId="7" borderId="14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 readingOrder="1"/>
    </xf>
    <xf numFmtId="0" fontId="17" fillId="0" borderId="14" xfId="0" applyFont="1" applyBorder="1" applyAlignment="1">
      <alignment horizontal="center" vertical="center" wrapText="1" readingOrder="1"/>
    </xf>
    <xf numFmtId="8" fontId="17" fillId="0" borderId="14" xfId="0" applyNumberFormat="1" applyFont="1" applyBorder="1" applyAlignment="1">
      <alignment horizontal="center" vertical="center" wrapText="1" readingOrder="1"/>
    </xf>
    <xf numFmtId="8" fontId="18" fillId="0" borderId="14" xfId="0" applyNumberFormat="1" applyFont="1" applyBorder="1" applyAlignment="1">
      <alignment horizontal="center" vertical="center" wrapText="1" readingOrder="1"/>
    </xf>
    <xf numFmtId="0" fontId="19" fillId="0" borderId="14" xfId="0" applyFont="1" applyBorder="1" applyAlignment="1">
      <alignment horizontal="center" vertical="center" wrapText="1" readingOrder="1"/>
    </xf>
    <xf numFmtId="0" fontId="20" fillId="0" borderId="14" xfId="0" applyFont="1" applyBorder="1" applyAlignment="1">
      <alignment horizontal="center" vertical="center" wrapText="1" readingOrder="1"/>
    </xf>
    <xf numFmtId="8" fontId="21" fillId="8" borderId="14" xfId="0" applyNumberFormat="1" applyFont="1" applyFill="1" applyBorder="1" applyAlignment="1">
      <alignment horizontal="center" vertical="center" wrapText="1" readingOrder="1"/>
    </xf>
    <xf numFmtId="0" fontId="18" fillId="0" borderId="14" xfId="0" applyFont="1" applyBorder="1" applyAlignment="1">
      <alignment horizontal="center" vertical="center" wrapText="1" readingOrder="1"/>
    </xf>
    <xf numFmtId="8" fontId="19" fillId="0" borderId="14" xfId="0" applyNumberFormat="1" applyFont="1" applyBorder="1" applyAlignment="1">
      <alignment horizontal="center" vertical="center" wrapText="1" readingOrder="1"/>
    </xf>
    <xf numFmtId="0" fontId="22" fillId="9" borderId="14" xfId="0" applyFont="1" applyFill="1" applyBorder="1" applyAlignment="1">
      <alignment horizontal="center" vertical="center" wrapText="1" readingOrder="1"/>
    </xf>
    <xf numFmtId="8" fontId="22" fillId="9" borderId="14" xfId="0" applyNumberFormat="1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left" vertical="center" wrapText="1" inden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23" fillId="0" borderId="15" xfId="0" applyFont="1" applyBorder="1" applyAlignment="1">
      <alignment horizontal="center" vertical="center" wrapText="1" readingOrder="1"/>
    </xf>
    <xf numFmtId="0" fontId="21" fillId="0" borderId="14" xfId="0" applyFont="1" applyBorder="1" applyAlignment="1">
      <alignment horizontal="left" vertical="center" wrapText="1" indent="1" readingOrder="1"/>
    </xf>
    <xf numFmtId="0" fontId="21" fillId="0" borderId="14" xfId="0" applyFont="1" applyBorder="1" applyAlignment="1">
      <alignment horizontal="center" vertical="center" wrapText="1" readingOrder="1"/>
    </xf>
    <xf numFmtId="8" fontId="21" fillId="0" borderId="14" xfId="0" applyNumberFormat="1" applyFont="1" applyBorder="1" applyAlignment="1">
      <alignment horizontal="center" vertical="center" wrapText="1" readingOrder="1"/>
    </xf>
    <xf numFmtId="0" fontId="23" fillId="0" borderId="16" xfId="0" applyFont="1" applyBorder="1" applyAlignment="1">
      <alignment horizontal="center" vertical="center" wrapText="1" readingOrder="1"/>
    </xf>
    <xf numFmtId="0" fontId="23" fillId="0" borderId="17" xfId="0" applyFont="1" applyBorder="1" applyAlignment="1">
      <alignment horizontal="center" vertical="center" wrapText="1" readingOrder="1"/>
    </xf>
    <xf numFmtId="0" fontId="15" fillId="9" borderId="14" xfId="0" applyFont="1" applyFill="1" applyBorder="1" applyAlignment="1">
      <alignment horizontal="left" vertical="center" wrapText="1" indent="1"/>
    </xf>
    <xf numFmtId="0" fontId="23" fillId="9" borderId="14" xfId="0" applyFont="1" applyFill="1" applyBorder="1" applyAlignment="1">
      <alignment horizontal="center" vertical="center" wrapText="1" readingOrder="1"/>
    </xf>
    <xf numFmtId="8" fontId="23" fillId="9" borderId="14" xfId="0" applyNumberFormat="1" applyFont="1" applyFill="1" applyBorder="1" applyAlignment="1">
      <alignment horizontal="center" vertical="center" wrapText="1" readingOrder="1"/>
    </xf>
    <xf numFmtId="0" fontId="21" fillId="8" borderId="14" xfId="0" applyFont="1" applyFill="1" applyBorder="1" applyAlignment="1">
      <alignment horizontal="left" vertical="center" wrapText="1" indent="1" readingOrder="1"/>
    </xf>
    <xf numFmtId="0" fontId="21" fillId="8" borderId="14" xfId="0" applyFont="1" applyFill="1" applyBorder="1" applyAlignment="1">
      <alignment horizontal="center" vertical="center" wrapText="1" readingOrder="1"/>
    </xf>
    <xf numFmtId="0" fontId="23" fillId="8" borderId="14" xfId="0" applyFont="1" applyFill="1" applyBorder="1" applyAlignment="1">
      <alignment horizontal="center" vertical="center" wrapText="1" readingOrder="1"/>
    </xf>
    <xf numFmtId="0" fontId="24" fillId="8" borderId="14" xfId="0" applyFont="1" applyFill="1" applyBorder="1" applyAlignment="1">
      <alignment horizontal="center" vertical="center" wrapText="1" readingOrder="1"/>
    </xf>
    <xf numFmtId="0" fontId="23" fillId="9" borderId="14" xfId="0" applyFont="1" applyFill="1" applyBorder="1" applyAlignment="1">
      <alignment horizontal="left" vertical="center" wrapText="1" indent="1" readingOrder="1"/>
    </xf>
  </cellXfs>
  <cellStyles count="3">
    <cellStyle name="Moeda" xfId="1" builtinId="4"/>
    <cellStyle name="Normal" xfId="0" builtinId="0"/>
    <cellStyle name="Porcentagem" xfId="2" builtinId="5"/>
  </cellStyles>
  <dxfs count="67">
    <dxf>
      <numFmt numFmtId="19" formatCode="dd/mm/yyyy"/>
    </dxf>
    <dxf>
      <numFmt numFmtId="19" formatCode="dd/mm/yyyy"/>
    </dxf>
    <dxf>
      <alignment horizontal="left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[$-F800]dddd\,\ mmmm\ dd\,\ yyyy"/>
    </dxf>
    <dxf>
      <numFmt numFmtId="165" formatCode="[$-F800]dddd\,\ mmmm\ dd\,\ yyyy"/>
    </dxf>
    <dxf>
      <numFmt numFmtId="0" formatCode="General"/>
    </dxf>
    <dxf>
      <numFmt numFmtId="0" formatCode="General"/>
    </dxf>
    <dxf>
      <alignment wrapText="1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Cumprimento do SLA por equipe · 2025 + 2026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'SLA por equipe'!$F$32</c:f>
              <c:strCache>
                <c:ptCount val="1"/>
                <c:pt idx="0">
                  <c:v>Cumprimento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'SLA por equipe'!$A$33:$A$43</c:f>
              <c:strCache>
                <c:ptCount val="11"/>
                <c:pt idx="0">
                  <c:v>ETO-RD-PO</c:v>
                </c:pt>
                <c:pt idx="1">
                  <c:v>ETO-RD-PS</c:v>
                </c:pt>
                <c:pt idx="2">
                  <c:v>ETO-RD-AR</c:v>
                </c:pt>
                <c:pt idx="3">
                  <c:v>ETO-RD-PA</c:v>
                </c:pt>
                <c:pt idx="4">
                  <c:v>ETO-RD-AG</c:v>
                </c:pt>
                <c:pt idx="5">
                  <c:v>ETO-RD-GR</c:v>
                </c:pt>
                <c:pt idx="6">
                  <c:v>ETO-RD-DP</c:v>
                </c:pt>
                <c:pt idx="7">
                  <c:v>ETO-RD-GU</c:v>
                </c:pt>
                <c:pt idx="8">
                  <c:v>DOLP-RD-PA</c:v>
                </c:pt>
                <c:pt idx="9">
                  <c:v>DG-RD-PO</c:v>
                </c:pt>
                <c:pt idx="10">
                  <c:v>ENC-RD-PS</c:v>
                </c:pt>
              </c:strCache>
            </c:strRef>
          </c:cat>
          <c:val>
            <c:numRef>
              <c:f>'SLA por equipe'!$F$33:$F$43</c:f>
              <c:numCache>
                <c:formatCode>0.0%</c:formatCode>
                <c:ptCount val="11"/>
                <c:pt idx="0">
                  <c:v>0.60869565217391308</c:v>
                </c:pt>
                <c:pt idx="1">
                  <c:v>0.7</c:v>
                </c:pt>
                <c:pt idx="2">
                  <c:v>0.84210526315789469</c:v>
                </c:pt>
                <c:pt idx="3">
                  <c:v>0.58823529411764708</c:v>
                </c:pt>
                <c:pt idx="4">
                  <c:v>0.91666666666666663</c:v>
                </c:pt>
                <c:pt idx="5">
                  <c:v>0.58333333333333337</c:v>
                </c:pt>
                <c:pt idx="6">
                  <c:v>0.27272727272727271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4-4D90-979B-CA293B40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561976</xdr:colOff>
      <xdr:row>3</xdr:row>
      <xdr:rowOff>47625</xdr:rowOff>
    </xdr:from>
    <xdr:to>
      <xdr:col>23</xdr:col>
      <xdr:colOff>266762</xdr:colOff>
      <xdr:row>23</xdr:row>
      <xdr:rowOff>39013</xdr:rowOff>
    </xdr:to>
    <xdr:pic>
      <xdr:nvPicPr>
        <xdr:cNvPr id="9" name="Imagem 1">
          <a:extLst>
            <a:ext uri="{FF2B5EF4-FFF2-40B4-BE49-F238E27FC236}">
              <a16:creationId xmlns:a16="http://schemas.microsoft.com/office/drawing/2014/main" id="{86A6E219-0077-C5CD-4CEC-B4A474BF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6" y="619125"/>
          <a:ext cx="4581586" cy="3801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56877-1EDB-4988-AF8D-4B1CA16C3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allan_souza_energisa_com_br1/Documents/Rela&#231;&#227;o%20dos%20Equipamentos%20Indispon&#237;veis%20-%20ETO%20(ATUALIZADA).xlsx" TargetMode="External"/><Relationship Id="rId1" Type="http://schemas.openxmlformats.org/officeDocument/2006/relationships/externalLinkPath" Target="https://energisa-my.sharepoint.com/personal/allan_souza_energisa_com_br1/Documents/Rela&#231;&#227;o%20dos%20Equipamentos%20Indispon&#237;veis%20-%20ETO%20(ATUALIZADA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Relationship Id="rId1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QUIPAMENTOS%20ESPECIAIS%202026/GEST&#195;O%20DE%20EQUIPAMENTOS.xlsx" TargetMode="External"/><Relationship Id="rId2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Relationship Id="rId1" Type="http://schemas.openxmlformats.org/officeDocument/2006/relationships/externalLinkPath" Target="/sites/DCMDETO/Documentos%20Compartilhados/COEP/Engenharia%20da%20Manuten&#231;&#227;o/EQUIPAMENTOS%20ESPECIAIS%202026/GEST&#195;O%20DE%20EQUIP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encial"/>
      <sheetName val="Pendentes"/>
      <sheetName val="Premissas por Equipamento"/>
      <sheetName val="Planilha1"/>
      <sheetName val="Concluídas"/>
      <sheetName val="Criticidade por Equipamento Joa"/>
      <sheetName val="Joao"/>
      <sheetName val="Detalhes1"/>
      <sheetName val="DCMD - Orçamento"/>
      <sheetName val="Planilha3"/>
      <sheetName val="Criticidade por Equipamento"/>
      <sheetName val="Premissas"/>
      <sheetName val="SGM"/>
      <sheetName val="Planilha2"/>
      <sheetName val="Localidades"/>
      <sheetName val="Matriz de Criticidade"/>
      <sheetName val="Din_Ricardo"/>
      <sheetName val="Relação dos Equipamentos Indi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Ativo</v>
          </cell>
          <cell r="AS1" t="str">
            <v>RL Auto</v>
          </cell>
          <cell r="AT1" t="str">
            <v>Valor Material</v>
          </cell>
          <cell r="AU1" t="str">
            <v>Valor mão de obra estimado</v>
          </cell>
        </row>
        <row r="2">
          <cell r="A2">
            <v>5800291077</v>
          </cell>
          <cell r="AS2" t="str">
            <v xml:space="preserve"> 200 34,5</v>
          </cell>
          <cell r="AT2" t="str">
            <v/>
          </cell>
          <cell r="AU2" t="str">
            <v/>
          </cell>
        </row>
        <row r="3">
          <cell r="A3">
            <v>5854566043</v>
          </cell>
          <cell r="AS3" t="str">
            <v>Célula 400 34,5</v>
          </cell>
          <cell r="AT3">
            <v>90230</v>
          </cell>
          <cell r="AU3">
            <v>80318.5</v>
          </cell>
        </row>
        <row r="4">
          <cell r="A4">
            <v>5800859011</v>
          </cell>
          <cell r="AS4" t="str">
            <v>Controle 167 13,8</v>
          </cell>
          <cell r="AT4">
            <v>23259.599999999999</v>
          </cell>
          <cell r="AU4">
            <v>20000</v>
          </cell>
        </row>
        <row r="5">
          <cell r="A5">
            <v>5836764032</v>
          </cell>
          <cell r="AS5" t="str">
            <v xml:space="preserve"> 400 34,5</v>
          </cell>
          <cell r="AT5" t="str">
            <v/>
          </cell>
          <cell r="AU5" t="str">
            <v/>
          </cell>
        </row>
        <row r="6">
          <cell r="A6">
            <v>7926089013</v>
          </cell>
          <cell r="AS6" t="str">
            <v>Controle 34,5</v>
          </cell>
          <cell r="AT6">
            <v>38094.720000000001</v>
          </cell>
          <cell r="AU6">
            <v>13209.34</v>
          </cell>
        </row>
        <row r="7">
          <cell r="A7">
            <v>7944559149</v>
          </cell>
          <cell r="AS7" t="str">
            <v>Controle 34,5</v>
          </cell>
          <cell r="AT7">
            <v>38094.720000000001</v>
          </cell>
          <cell r="AU7">
            <v>13209.34</v>
          </cell>
        </row>
        <row r="8">
          <cell r="A8">
            <v>7931610122</v>
          </cell>
          <cell r="AS8" t="str">
            <v>Tanque 13,8</v>
          </cell>
          <cell r="AT8">
            <v>21785.72</v>
          </cell>
          <cell r="AU8">
            <v>11016.94</v>
          </cell>
        </row>
        <row r="9">
          <cell r="A9">
            <v>7900648055</v>
          </cell>
          <cell r="AS9" t="str">
            <v xml:space="preserve"> 34,5</v>
          </cell>
          <cell r="AT9" t="str">
            <v/>
          </cell>
          <cell r="AU9" t="str">
            <v/>
          </cell>
        </row>
        <row r="10">
          <cell r="A10">
            <v>7955986084</v>
          </cell>
          <cell r="AS10" t="str">
            <v>Controle 34,5</v>
          </cell>
          <cell r="AT10">
            <v>38094.720000000001</v>
          </cell>
          <cell r="AU10">
            <v>13209.34</v>
          </cell>
        </row>
        <row r="11">
          <cell r="A11">
            <v>5836786094</v>
          </cell>
          <cell r="AS11" t="str">
            <v>Célula 400 34,5</v>
          </cell>
          <cell r="AT11">
            <v>90230</v>
          </cell>
          <cell r="AU11">
            <v>80318.5</v>
          </cell>
        </row>
        <row r="12">
          <cell r="A12">
            <v>7955946007</v>
          </cell>
          <cell r="AS12" t="str">
            <v>Controle 34,5</v>
          </cell>
          <cell r="AT12">
            <v>38094.720000000001</v>
          </cell>
          <cell r="AU12">
            <v>13209.34</v>
          </cell>
        </row>
        <row r="13">
          <cell r="A13">
            <v>7919270014</v>
          </cell>
          <cell r="AS13" t="str">
            <v>Controle 34,5</v>
          </cell>
          <cell r="AT13">
            <v>38094.720000000001</v>
          </cell>
          <cell r="AU13">
            <v>13209.34</v>
          </cell>
        </row>
        <row r="14">
          <cell r="A14">
            <v>7900117013</v>
          </cell>
          <cell r="AS14" t="str">
            <v>Controle 13,8</v>
          </cell>
          <cell r="AT14">
            <v>33816.82</v>
          </cell>
          <cell r="AU14">
            <v>11016.94</v>
          </cell>
        </row>
        <row r="15">
          <cell r="A15">
            <v>7900573047</v>
          </cell>
          <cell r="AS15" t="str">
            <v>RL Completo 13,8</v>
          </cell>
          <cell r="AT15">
            <v>55602.54</v>
          </cell>
          <cell r="AU15">
            <v>11016.94</v>
          </cell>
        </row>
        <row r="16">
          <cell r="A16">
            <v>7953211079</v>
          </cell>
          <cell r="AS16" t="str">
            <v>Controle 34,5</v>
          </cell>
          <cell r="AT16">
            <v>38094.720000000001</v>
          </cell>
          <cell r="AU16">
            <v>13209.34</v>
          </cell>
        </row>
        <row r="17">
          <cell r="A17">
            <v>7933726256</v>
          </cell>
          <cell r="AS17" t="str">
            <v xml:space="preserve"> 34,5</v>
          </cell>
          <cell r="AT17" t="str">
            <v/>
          </cell>
          <cell r="AU17" t="str">
            <v/>
          </cell>
        </row>
        <row r="18">
          <cell r="A18">
            <v>7933766059</v>
          </cell>
          <cell r="AS18" t="str">
            <v xml:space="preserve"> 13,8</v>
          </cell>
          <cell r="AT18" t="str">
            <v/>
          </cell>
          <cell r="AU18" t="str">
            <v/>
          </cell>
        </row>
        <row r="19">
          <cell r="A19">
            <v>7929376022</v>
          </cell>
          <cell r="AS19" t="str">
            <v>RL Completo 34,5</v>
          </cell>
          <cell r="AT19">
            <v>76246.2</v>
          </cell>
          <cell r="AU19">
            <v>13209.34</v>
          </cell>
        </row>
        <row r="20">
          <cell r="A20">
            <v>7921040031</v>
          </cell>
          <cell r="AS20" t="str">
            <v xml:space="preserve"> 34,5</v>
          </cell>
          <cell r="AT20" t="str">
            <v/>
          </cell>
          <cell r="AU20" t="str">
            <v/>
          </cell>
        </row>
        <row r="21">
          <cell r="A21">
            <v>7957620015</v>
          </cell>
          <cell r="AS21" t="str">
            <v xml:space="preserve"> 13,8</v>
          </cell>
          <cell r="AT21" t="str">
            <v/>
          </cell>
          <cell r="AU21" t="str">
            <v/>
          </cell>
        </row>
        <row r="22">
          <cell r="A22">
            <v>5856156091</v>
          </cell>
          <cell r="AS22" t="str">
            <v>RT Completo 400 34,5</v>
          </cell>
          <cell r="AT22">
            <v>293949.59999999998</v>
          </cell>
          <cell r="AU22">
            <v>200637</v>
          </cell>
        </row>
        <row r="23">
          <cell r="A23">
            <v>7908686014</v>
          </cell>
          <cell r="AS23" t="str">
            <v>Tanque 34,5</v>
          </cell>
          <cell r="AT23">
            <v>38151.480000000003</v>
          </cell>
          <cell r="AU23">
            <v>13209.34</v>
          </cell>
        </row>
        <row r="24">
          <cell r="A24">
            <v>7923673004</v>
          </cell>
          <cell r="AS24" t="str">
            <v>RL Completo 13,8</v>
          </cell>
          <cell r="AT24">
            <v>55602.54</v>
          </cell>
          <cell r="AU24">
            <v>11016.94</v>
          </cell>
        </row>
        <row r="25">
          <cell r="A25">
            <v>7943790134</v>
          </cell>
          <cell r="AS25" t="str">
            <v>Tanque 34,5</v>
          </cell>
          <cell r="AT25">
            <v>38151.480000000003</v>
          </cell>
          <cell r="AU25">
            <v>13209.34</v>
          </cell>
        </row>
        <row r="26">
          <cell r="A26">
            <v>7903569004</v>
          </cell>
          <cell r="AS26" t="str">
            <v>RL Completo 13,8</v>
          </cell>
          <cell r="AT26">
            <v>55602.54</v>
          </cell>
          <cell r="AU26">
            <v>11016.94</v>
          </cell>
        </row>
        <row r="27">
          <cell r="A27">
            <v>7908196047</v>
          </cell>
          <cell r="AS27" t="str">
            <v>RL Completo 13,8</v>
          </cell>
          <cell r="AT27">
            <v>55602.54</v>
          </cell>
          <cell r="AU27">
            <v>11016.94</v>
          </cell>
        </row>
        <row r="28">
          <cell r="A28">
            <v>7938137007</v>
          </cell>
          <cell r="AS28" t="str">
            <v>RL Completo 13,8</v>
          </cell>
          <cell r="AT28">
            <v>55602.54</v>
          </cell>
          <cell r="AU28">
            <v>11016.94</v>
          </cell>
        </row>
        <row r="29">
          <cell r="A29">
            <v>7900230155</v>
          </cell>
          <cell r="AS29" t="str">
            <v>Tanque 34,5</v>
          </cell>
          <cell r="AT29">
            <v>38151.480000000003</v>
          </cell>
          <cell r="AU29">
            <v>13209.34</v>
          </cell>
        </row>
        <row r="30">
          <cell r="A30">
            <v>7900543083</v>
          </cell>
          <cell r="AS30" t="str">
            <v xml:space="preserve"> 34,5</v>
          </cell>
          <cell r="AT30" t="str">
            <v/>
          </cell>
          <cell r="AU30" t="str">
            <v/>
          </cell>
        </row>
        <row r="31">
          <cell r="A31">
            <v>7900930040</v>
          </cell>
          <cell r="AS31" t="str">
            <v xml:space="preserve"> 13,8</v>
          </cell>
          <cell r="AT31" t="str">
            <v/>
          </cell>
          <cell r="AU31" t="str">
            <v/>
          </cell>
        </row>
        <row r="32">
          <cell r="A32">
            <v>7931383086</v>
          </cell>
          <cell r="AS32" t="str">
            <v xml:space="preserve"> 34,5</v>
          </cell>
          <cell r="AT32" t="str">
            <v/>
          </cell>
          <cell r="AU32" t="str">
            <v/>
          </cell>
        </row>
        <row r="33">
          <cell r="A33">
            <v>7908302256</v>
          </cell>
          <cell r="AS33" t="str">
            <v xml:space="preserve"> 34,5</v>
          </cell>
          <cell r="AT33" t="str">
            <v/>
          </cell>
          <cell r="AU33" t="str">
            <v/>
          </cell>
        </row>
        <row r="34">
          <cell r="A34">
            <v>5800371025</v>
          </cell>
          <cell r="AS34" t="str">
            <v xml:space="preserve"> 200 34,5</v>
          </cell>
          <cell r="AT34" t="str">
            <v/>
          </cell>
          <cell r="AU34" t="str">
            <v/>
          </cell>
        </row>
        <row r="35">
          <cell r="A35">
            <v>7947203070</v>
          </cell>
          <cell r="AS35" t="str">
            <v>RL Completo 34,5</v>
          </cell>
          <cell r="AT35">
            <v>76246.2</v>
          </cell>
          <cell r="AU35">
            <v>13209.34</v>
          </cell>
        </row>
        <row r="36">
          <cell r="A36">
            <v>7900594026</v>
          </cell>
          <cell r="AS36" t="str">
            <v>RL Completo 34,5</v>
          </cell>
          <cell r="AT36">
            <v>76246.2</v>
          </cell>
          <cell r="AU36">
            <v>13209.34</v>
          </cell>
        </row>
        <row r="37">
          <cell r="A37">
            <v>5801866013</v>
          </cell>
          <cell r="AS37" t="str">
            <v xml:space="preserve"> 167 13,8</v>
          </cell>
          <cell r="AT37" t="str">
            <v/>
          </cell>
          <cell r="AU37" t="str">
            <v/>
          </cell>
        </row>
        <row r="38">
          <cell r="A38">
            <v>5865120195</v>
          </cell>
          <cell r="AS38" t="str">
            <v xml:space="preserve"> 400 34,5</v>
          </cell>
          <cell r="AT38" t="str">
            <v/>
          </cell>
          <cell r="AU38" t="str">
            <v/>
          </cell>
        </row>
        <row r="39">
          <cell r="A39">
            <v>7927413001</v>
          </cell>
          <cell r="AS39" t="str">
            <v>RL Completo 34,5</v>
          </cell>
          <cell r="AT39">
            <v>76246.2</v>
          </cell>
          <cell r="AU39">
            <v>13209.34</v>
          </cell>
        </row>
        <row r="40">
          <cell r="A40">
            <v>5800366016</v>
          </cell>
          <cell r="AS40" t="str">
            <v xml:space="preserve"> 200 34,5</v>
          </cell>
          <cell r="AT40" t="str">
            <v/>
          </cell>
          <cell r="AU40" t="str">
            <v/>
          </cell>
        </row>
        <row r="41">
          <cell r="A41">
            <v>7955523028</v>
          </cell>
          <cell r="AS41" t="str">
            <v xml:space="preserve"> 34,5</v>
          </cell>
          <cell r="AT41" t="str">
            <v/>
          </cell>
          <cell r="AU41" t="str">
            <v/>
          </cell>
        </row>
        <row r="42">
          <cell r="A42">
            <v>7927169001</v>
          </cell>
          <cell r="AS42" t="str">
            <v>Tanque 13,8</v>
          </cell>
          <cell r="AT42">
            <v>21785.72</v>
          </cell>
          <cell r="AU42">
            <v>11016.94</v>
          </cell>
        </row>
        <row r="43">
          <cell r="A43">
            <v>7925087021</v>
          </cell>
          <cell r="AS43" t="str">
            <v>Tanque 34,5</v>
          </cell>
          <cell r="AT43">
            <v>38151.480000000003</v>
          </cell>
          <cell r="AU43">
            <v>13209.34</v>
          </cell>
        </row>
        <row r="44">
          <cell r="A44">
            <v>5800438116</v>
          </cell>
          <cell r="AS44" t="str">
            <v xml:space="preserve"> 200 34,5</v>
          </cell>
          <cell r="AT44" t="str">
            <v/>
          </cell>
          <cell r="AU44" t="str">
            <v/>
          </cell>
        </row>
        <row r="45">
          <cell r="A45">
            <v>5800090147</v>
          </cell>
          <cell r="AS45" t="str">
            <v xml:space="preserve"> 200 34,5</v>
          </cell>
          <cell r="AT45" t="str">
            <v/>
          </cell>
          <cell r="AU45" t="str">
            <v/>
          </cell>
        </row>
        <row r="46">
          <cell r="A46">
            <v>7900453110</v>
          </cell>
          <cell r="AS46" t="str">
            <v>RL Completo 34,5</v>
          </cell>
          <cell r="AT46">
            <v>76246.2</v>
          </cell>
          <cell r="AU46">
            <v>13209.34</v>
          </cell>
        </row>
        <row r="47">
          <cell r="A47">
            <v>5846328094</v>
          </cell>
          <cell r="AS47" t="str">
            <v>Acessório 400 34,5</v>
          </cell>
          <cell r="AT47">
            <v>15000</v>
          </cell>
          <cell r="AU47">
            <v>0</v>
          </cell>
        </row>
        <row r="48">
          <cell r="A48">
            <v>5851753086</v>
          </cell>
          <cell r="AS48" t="str">
            <v xml:space="preserve"> 400 34,5</v>
          </cell>
          <cell r="AT48" t="str">
            <v/>
          </cell>
          <cell r="AU48" t="str">
            <v/>
          </cell>
        </row>
        <row r="49">
          <cell r="A49">
            <v>7903112004</v>
          </cell>
          <cell r="AS49" t="str">
            <v>RL Completo 34,5</v>
          </cell>
          <cell r="AT49">
            <v>76246.2</v>
          </cell>
          <cell r="AU49">
            <v>13209.34</v>
          </cell>
        </row>
        <row r="50">
          <cell r="A50">
            <v>7920024127</v>
          </cell>
          <cell r="AS50" t="str">
            <v>RL Completo 34,5</v>
          </cell>
          <cell r="AT50">
            <v>76246.2</v>
          </cell>
          <cell r="AU50">
            <v>13209.34</v>
          </cell>
        </row>
        <row r="51">
          <cell r="A51">
            <v>7900535058</v>
          </cell>
          <cell r="AS51" t="str">
            <v>RL Completo 34,5</v>
          </cell>
          <cell r="AT51">
            <v>76246.2</v>
          </cell>
          <cell r="AU51">
            <v>13209.34</v>
          </cell>
        </row>
        <row r="52">
          <cell r="A52">
            <v>7953610256</v>
          </cell>
          <cell r="AS52" t="str">
            <v>Tanque 34,5</v>
          </cell>
          <cell r="AT52">
            <v>38151.480000000003</v>
          </cell>
          <cell r="AU52">
            <v>13209.34</v>
          </cell>
        </row>
        <row r="53">
          <cell r="A53">
            <v>7900018004</v>
          </cell>
          <cell r="AS53" t="str">
            <v xml:space="preserve"> 34,5</v>
          </cell>
          <cell r="AT53" t="str">
            <v/>
          </cell>
          <cell r="AU53" t="str">
            <v/>
          </cell>
        </row>
        <row r="54">
          <cell r="A54">
            <v>7934698002</v>
          </cell>
          <cell r="AS54" t="str">
            <v xml:space="preserve"> 13,8</v>
          </cell>
          <cell r="AT54" t="str">
            <v/>
          </cell>
          <cell r="AU54" t="str">
            <v/>
          </cell>
        </row>
        <row r="55">
          <cell r="A55">
            <v>7908249152</v>
          </cell>
          <cell r="AS55" t="str">
            <v>RL Completo 34,5</v>
          </cell>
          <cell r="AT55">
            <v>76246.2</v>
          </cell>
          <cell r="AU55">
            <v>13209.34</v>
          </cell>
        </row>
        <row r="56">
          <cell r="A56">
            <v>7936038076</v>
          </cell>
          <cell r="AS56" t="str">
            <v xml:space="preserve"> 34,5</v>
          </cell>
          <cell r="AT56" t="str">
            <v/>
          </cell>
          <cell r="AU56" t="str">
            <v/>
          </cell>
        </row>
        <row r="57">
          <cell r="A57">
            <v>7955520116</v>
          </cell>
          <cell r="AS57" t="str">
            <v xml:space="preserve"> 34,5</v>
          </cell>
          <cell r="AT57" t="str">
            <v/>
          </cell>
          <cell r="AU57" t="str">
            <v/>
          </cell>
        </row>
        <row r="58">
          <cell r="A58">
            <v>5800291035</v>
          </cell>
          <cell r="AS58" t="str">
            <v xml:space="preserve"> 200 34,5</v>
          </cell>
          <cell r="AT58" t="str">
            <v/>
          </cell>
          <cell r="AU58" t="str">
            <v/>
          </cell>
        </row>
        <row r="59">
          <cell r="A59">
            <v>5827102054</v>
          </cell>
          <cell r="AS59" t="str">
            <v xml:space="preserve"> 200 34,5</v>
          </cell>
          <cell r="AT59" t="str">
            <v/>
          </cell>
          <cell r="AU59" t="str">
            <v/>
          </cell>
        </row>
        <row r="60">
          <cell r="A60">
            <v>5850308009</v>
          </cell>
          <cell r="AS60" t="str">
            <v xml:space="preserve"> 200 13,8</v>
          </cell>
          <cell r="AT60" t="str">
            <v/>
          </cell>
          <cell r="AU60" t="str">
            <v/>
          </cell>
        </row>
        <row r="61">
          <cell r="A61">
            <v>7900525015</v>
          </cell>
          <cell r="AS61" t="str">
            <v>RL Completo 34,5</v>
          </cell>
          <cell r="AT61">
            <v>76246.2</v>
          </cell>
          <cell r="AU61">
            <v>13209.34</v>
          </cell>
        </row>
        <row r="62">
          <cell r="A62">
            <v>7928564039</v>
          </cell>
          <cell r="AS62" t="str">
            <v>RL Completo 34,5</v>
          </cell>
          <cell r="AT62">
            <v>76246.2</v>
          </cell>
          <cell r="AU62">
            <v>13209.34</v>
          </cell>
        </row>
        <row r="63">
          <cell r="A63">
            <v>7927446001</v>
          </cell>
          <cell r="AS63" t="str">
            <v>RL Completo 34,5</v>
          </cell>
          <cell r="AT63">
            <v>76246.2</v>
          </cell>
          <cell r="AU63">
            <v>13209.34</v>
          </cell>
        </row>
        <row r="64">
          <cell r="A64">
            <v>7910027196</v>
          </cell>
          <cell r="AS64" t="str">
            <v>RL Completo 34,5</v>
          </cell>
          <cell r="AT64">
            <v>76246.2</v>
          </cell>
          <cell r="AU64">
            <v>13209.34</v>
          </cell>
        </row>
        <row r="65">
          <cell r="A65">
            <v>7930359149</v>
          </cell>
          <cell r="AS65" t="str">
            <v>RL Completo 34,5</v>
          </cell>
          <cell r="AT65">
            <v>76246.2</v>
          </cell>
          <cell r="AU65">
            <v>13209.34</v>
          </cell>
        </row>
        <row r="66">
          <cell r="A66">
            <v>7931608059</v>
          </cell>
          <cell r="AS66" t="str">
            <v>Tanque 13,8</v>
          </cell>
          <cell r="AT66">
            <v>21785.72</v>
          </cell>
          <cell r="AU66">
            <v>11016.94</v>
          </cell>
        </row>
        <row r="67">
          <cell r="A67">
            <v>7922995039</v>
          </cell>
          <cell r="AS67" t="str">
            <v xml:space="preserve"> 13,8</v>
          </cell>
          <cell r="AT67" t="str">
            <v/>
          </cell>
          <cell r="AU67" t="str">
            <v/>
          </cell>
        </row>
        <row r="68">
          <cell r="A68">
            <v>7913662076</v>
          </cell>
          <cell r="AS68" t="str">
            <v>Tanque 13,8</v>
          </cell>
          <cell r="AT68">
            <v>21785.72</v>
          </cell>
          <cell r="AU68">
            <v>11016.94</v>
          </cell>
        </row>
        <row r="69">
          <cell r="A69">
            <v>7925744087</v>
          </cell>
          <cell r="AS69" t="str">
            <v>Tanque 34,5</v>
          </cell>
          <cell r="AT69">
            <v>38151.480000000003</v>
          </cell>
          <cell r="AU69">
            <v>13209.34</v>
          </cell>
        </row>
        <row r="70">
          <cell r="A70">
            <v>7925871077</v>
          </cell>
          <cell r="AS70" t="str">
            <v>Tanque 34,5</v>
          </cell>
          <cell r="AT70">
            <v>38151.480000000003</v>
          </cell>
          <cell r="AU70">
            <v>13209.34</v>
          </cell>
        </row>
        <row r="71">
          <cell r="A71">
            <v>7942572059</v>
          </cell>
          <cell r="AS71" t="str">
            <v>Acessório 34,5</v>
          </cell>
          <cell r="AT71">
            <v>15000</v>
          </cell>
          <cell r="AU71">
            <v>0</v>
          </cell>
        </row>
        <row r="72">
          <cell r="A72">
            <v>7944319149</v>
          </cell>
          <cell r="AS72" t="str">
            <v xml:space="preserve"> 34,5</v>
          </cell>
          <cell r="AT72" t="str">
            <v/>
          </cell>
          <cell r="AU72" t="str">
            <v/>
          </cell>
        </row>
        <row r="73">
          <cell r="A73">
            <v>7927646026</v>
          </cell>
          <cell r="AS73" t="str">
            <v>Tanque 34,5</v>
          </cell>
          <cell r="AT73">
            <v>38151.480000000003</v>
          </cell>
          <cell r="AU73">
            <v>13209.34</v>
          </cell>
        </row>
        <row r="74">
          <cell r="A74">
            <v>7967181127</v>
          </cell>
          <cell r="AS74" t="str">
            <v xml:space="preserve"> 34,5</v>
          </cell>
          <cell r="AT74" t="str">
            <v/>
          </cell>
          <cell r="AU74" t="str">
            <v/>
          </cell>
        </row>
        <row r="75">
          <cell r="A75">
            <v>7930428001</v>
          </cell>
          <cell r="AS75" t="str">
            <v>Tanque 34,5</v>
          </cell>
          <cell r="AT75">
            <v>38151.480000000003</v>
          </cell>
          <cell r="AU75">
            <v>13209.34</v>
          </cell>
        </row>
        <row r="76">
          <cell r="A76">
            <v>7927713200</v>
          </cell>
          <cell r="AS76" t="str">
            <v>Tanque 34,5</v>
          </cell>
          <cell r="AT76">
            <v>38151.480000000003</v>
          </cell>
          <cell r="AU76">
            <v>13209.34</v>
          </cell>
        </row>
        <row r="77">
          <cell r="A77">
            <v>7957126085</v>
          </cell>
          <cell r="AS77" t="str">
            <v xml:space="preserve"> 34,5</v>
          </cell>
          <cell r="AT77" t="str">
            <v/>
          </cell>
          <cell r="AU77" t="str">
            <v/>
          </cell>
        </row>
        <row r="78">
          <cell r="A78">
            <v>5841308190</v>
          </cell>
          <cell r="AS78" t="str">
            <v xml:space="preserve"> 400 34,5</v>
          </cell>
          <cell r="AT78" t="str">
            <v/>
          </cell>
          <cell r="AU78" t="str">
            <v/>
          </cell>
        </row>
        <row r="79">
          <cell r="A79">
            <v>5844630060</v>
          </cell>
          <cell r="AS79" t="str">
            <v>Célula 200 13,8</v>
          </cell>
          <cell r="AT79">
            <v>62113.2</v>
          </cell>
          <cell r="AU79">
            <v>51402.14</v>
          </cell>
        </row>
        <row r="80">
          <cell r="A80">
            <v>7937102148</v>
          </cell>
          <cell r="AS80" t="str">
            <v>Tanque 34,5</v>
          </cell>
          <cell r="AT80">
            <v>38151.480000000003</v>
          </cell>
          <cell r="AU80">
            <v>13209.34</v>
          </cell>
        </row>
        <row r="81">
          <cell r="A81">
            <v>7900505026</v>
          </cell>
          <cell r="AS81" t="str">
            <v xml:space="preserve"> 34,5</v>
          </cell>
          <cell r="AT81" t="str">
            <v/>
          </cell>
          <cell r="AU81" t="str">
            <v/>
          </cell>
        </row>
        <row r="82">
          <cell r="A82">
            <v>7925733015</v>
          </cell>
          <cell r="AS82" t="str">
            <v>Tanque 34,5</v>
          </cell>
          <cell r="AT82">
            <v>38151.480000000003</v>
          </cell>
          <cell r="AU82">
            <v>13209.34</v>
          </cell>
        </row>
        <row r="83">
          <cell r="A83">
            <v>7927396052</v>
          </cell>
          <cell r="AS83" t="str">
            <v>Tanque 34,5</v>
          </cell>
          <cell r="AT83">
            <v>38151.480000000003</v>
          </cell>
          <cell r="AU83">
            <v>13209.34</v>
          </cell>
        </row>
        <row r="84">
          <cell r="A84">
            <v>7933585074</v>
          </cell>
          <cell r="AS84" t="str">
            <v>Tanque 34,5</v>
          </cell>
          <cell r="AT84">
            <v>38151.480000000003</v>
          </cell>
          <cell r="AU84">
            <v>13209.34</v>
          </cell>
        </row>
        <row r="85">
          <cell r="A85">
            <v>7921202014</v>
          </cell>
          <cell r="AS85" t="str">
            <v>Tanque 34,5</v>
          </cell>
          <cell r="AT85">
            <v>38151.480000000003</v>
          </cell>
          <cell r="AU85">
            <v>13209.34</v>
          </cell>
        </row>
        <row r="86">
          <cell r="A86">
            <v>7923927122</v>
          </cell>
          <cell r="AS86" t="str">
            <v>Tanque 34,5</v>
          </cell>
          <cell r="AT86">
            <v>38151.480000000003</v>
          </cell>
          <cell r="AU86">
            <v>13209.34</v>
          </cell>
        </row>
        <row r="87">
          <cell r="A87">
            <v>7928241200</v>
          </cell>
          <cell r="AS87" t="str">
            <v>Tanque 34,5</v>
          </cell>
          <cell r="AT87">
            <v>38151.480000000003</v>
          </cell>
          <cell r="AU87">
            <v>13209.34</v>
          </cell>
        </row>
        <row r="88">
          <cell r="A88">
            <v>7955430075</v>
          </cell>
          <cell r="AS88" t="str">
            <v xml:space="preserve"> 34,5</v>
          </cell>
          <cell r="AT88" t="str">
            <v/>
          </cell>
          <cell r="AU88" t="str">
            <v/>
          </cell>
        </row>
        <row r="89">
          <cell r="A89">
            <v>7955686076</v>
          </cell>
          <cell r="AS89" t="str">
            <v xml:space="preserve"> 13,8</v>
          </cell>
          <cell r="AT89" t="str">
            <v/>
          </cell>
          <cell r="AU89" t="str">
            <v/>
          </cell>
        </row>
        <row r="90">
          <cell r="A90">
            <v>7942485096</v>
          </cell>
          <cell r="AS90" t="str">
            <v>Tanque 34,5</v>
          </cell>
          <cell r="AT90">
            <v>38151.480000000003</v>
          </cell>
          <cell r="AU90">
            <v>13209.34</v>
          </cell>
        </row>
        <row r="91">
          <cell r="A91">
            <v>7901110084</v>
          </cell>
          <cell r="AS91" t="str">
            <v>Tanque 34,5</v>
          </cell>
          <cell r="AT91">
            <v>38151.480000000003</v>
          </cell>
          <cell r="AU91">
            <v>13209.34</v>
          </cell>
        </row>
        <row r="92">
          <cell r="A92">
            <v>7908206074</v>
          </cell>
          <cell r="AS92" t="str">
            <v xml:space="preserve"> 34,5</v>
          </cell>
          <cell r="AT92" t="str">
            <v/>
          </cell>
          <cell r="AU92" t="str">
            <v/>
          </cell>
        </row>
        <row r="93">
          <cell r="A93">
            <v>7908708116</v>
          </cell>
          <cell r="AS93" t="str">
            <v>Tanque 34,5</v>
          </cell>
          <cell r="AT93">
            <v>38151.480000000003</v>
          </cell>
          <cell r="AU93">
            <v>13209.34</v>
          </cell>
        </row>
        <row r="94">
          <cell r="A94">
            <v>7926442035</v>
          </cell>
          <cell r="AS94" t="str">
            <v>Tanque 34,5</v>
          </cell>
          <cell r="AT94">
            <v>38151.480000000003</v>
          </cell>
          <cell r="AU94">
            <v>13209.34</v>
          </cell>
        </row>
        <row r="95">
          <cell r="A95">
            <v>5800961074</v>
          </cell>
          <cell r="AS95" t="str">
            <v>Célula 200 34,5</v>
          </cell>
          <cell r="AT95">
            <v>51705.75</v>
          </cell>
          <cell r="AU95">
            <v>80318.5</v>
          </cell>
        </row>
        <row r="96">
          <cell r="A96">
            <v>5800440256</v>
          </cell>
          <cell r="AS96" t="str">
            <v>Célula 200 34,5</v>
          </cell>
          <cell r="AT96">
            <v>51705.75</v>
          </cell>
          <cell r="AU96">
            <v>80318.5</v>
          </cell>
        </row>
        <row r="97">
          <cell r="A97">
            <v>5803327001</v>
          </cell>
          <cell r="AS97" t="str">
            <v>Controle 167 13,8</v>
          </cell>
          <cell r="AT97">
            <v>23259.599999999999</v>
          </cell>
          <cell r="AU97">
            <v>20000</v>
          </cell>
        </row>
        <row r="98">
          <cell r="A98">
            <v>5840227063</v>
          </cell>
          <cell r="AS98" t="str">
            <v>Célula 400 34,5</v>
          </cell>
          <cell r="AT98">
            <v>90230</v>
          </cell>
          <cell r="AU98">
            <v>80318.5</v>
          </cell>
        </row>
        <row r="99">
          <cell r="A99">
            <v>5855411017</v>
          </cell>
          <cell r="AS99" t="str">
            <v>Controle 200 13,8</v>
          </cell>
          <cell r="AT99">
            <v>23259.599999999999</v>
          </cell>
          <cell r="AU99">
            <v>20000</v>
          </cell>
        </row>
        <row r="100">
          <cell r="A100">
            <v>7954668084</v>
          </cell>
          <cell r="AS100" t="str">
            <v xml:space="preserve"> 34,5</v>
          </cell>
          <cell r="AT100" t="str">
            <v/>
          </cell>
          <cell r="AU100" t="str">
            <v/>
          </cell>
        </row>
        <row r="101">
          <cell r="A101">
            <v>5862236091</v>
          </cell>
          <cell r="AS101" t="str">
            <v>Célula 400 34,5</v>
          </cell>
          <cell r="AT101">
            <v>90230</v>
          </cell>
          <cell r="AU101">
            <v>80318.5</v>
          </cell>
        </row>
        <row r="102">
          <cell r="A102">
            <v>5858783119</v>
          </cell>
          <cell r="AS102" t="str">
            <v>RT Completo 400 34,5</v>
          </cell>
          <cell r="AT102">
            <v>293949.59999999998</v>
          </cell>
          <cell r="AU102">
            <v>200637</v>
          </cell>
        </row>
        <row r="103">
          <cell r="A103">
            <v>5825703064</v>
          </cell>
          <cell r="AS103" t="str">
            <v>Controle 200 34,5</v>
          </cell>
          <cell r="AT103">
            <v>23259.599999999999</v>
          </cell>
          <cell r="AU103">
            <v>20000</v>
          </cell>
        </row>
        <row r="104">
          <cell r="A104">
            <v>7900532053</v>
          </cell>
          <cell r="AS104" t="e">
            <v>#N/A</v>
          </cell>
          <cell r="AT104" t="e">
            <v>#N/A</v>
          </cell>
          <cell r="AU104" t="e">
            <v>#N/A</v>
          </cell>
        </row>
        <row r="105">
          <cell r="A105">
            <v>5856070091</v>
          </cell>
          <cell r="AS105" t="str">
            <v>RT Completo 400 34,5</v>
          </cell>
          <cell r="AT105">
            <v>293949.59999999998</v>
          </cell>
          <cell r="AU105">
            <v>200637</v>
          </cell>
        </row>
        <row r="106">
          <cell r="A106">
            <v>7931219078</v>
          </cell>
          <cell r="AS106" t="str">
            <v>Acessório 34,5</v>
          </cell>
          <cell r="AT106">
            <v>15000</v>
          </cell>
          <cell r="AU106">
            <v>0</v>
          </cell>
        </row>
        <row r="107">
          <cell r="A107">
            <v>7949648145</v>
          </cell>
          <cell r="AS107" t="str">
            <v xml:space="preserve"> 13,8</v>
          </cell>
          <cell r="AT107" t="str">
            <v/>
          </cell>
          <cell r="AU107" t="str">
            <v/>
          </cell>
        </row>
        <row r="108">
          <cell r="A108">
            <v>7908300096</v>
          </cell>
          <cell r="AS108" t="str">
            <v xml:space="preserve"> 34,5</v>
          </cell>
          <cell r="AT108" t="str">
            <v/>
          </cell>
          <cell r="AU108" t="str">
            <v/>
          </cell>
        </row>
        <row r="109">
          <cell r="A109">
            <v>7911120026</v>
          </cell>
          <cell r="AS109" t="str">
            <v xml:space="preserve"> 34,5</v>
          </cell>
          <cell r="AT109" t="str">
            <v/>
          </cell>
          <cell r="AU109" t="str">
            <v/>
          </cell>
        </row>
        <row r="110">
          <cell r="A110">
            <v>7900722193</v>
          </cell>
          <cell r="AS110" t="str">
            <v xml:space="preserve"> 34,5</v>
          </cell>
          <cell r="AT110" t="str">
            <v/>
          </cell>
          <cell r="AU110" t="str">
            <v/>
          </cell>
        </row>
        <row r="111">
          <cell r="A111">
            <v>5839141113</v>
          </cell>
          <cell r="AS111" t="str">
            <v xml:space="preserve"> 200 13,8</v>
          </cell>
          <cell r="AT111" t="str">
            <v/>
          </cell>
          <cell r="AU111" t="str">
            <v/>
          </cell>
        </row>
        <row r="112">
          <cell r="A112">
            <v>7923110021</v>
          </cell>
          <cell r="AS112" t="str">
            <v xml:space="preserve"> 34,5</v>
          </cell>
          <cell r="AT112" t="str">
            <v/>
          </cell>
          <cell r="AU112" t="str">
            <v/>
          </cell>
        </row>
        <row r="113">
          <cell r="A113">
            <v>5854766001</v>
          </cell>
          <cell r="AS113" t="str">
            <v xml:space="preserve"> 400 34,5</v>
          </cell>
          <cell r="AT113" t="str">
            <v/>
          </cell>
          <cell r="AU113" t="str">
            <v/>
          </cell>
        </row>
        <row r="114">
          <cell r="A114">
            <v>7908705049</v>
          </cell>
          <cell r="AS114" t="str">
            <v>RL Completo 13,8</v>
          </cell>
          <cell r="AT114">
            <v>55602.54</v>
          </cell>
          <cell r="AU114">
            <v>11016.94</v>
          </cell>
        </row>
        <row r="115">
          <cell r="A115">
            <v>7944353028</v>
          </cell>
          <cell r="AS115" t="str">
            <v xml:space="preserve"> 34,5</v>
          </cell>
          <cell r="AT115" t="str">
            <v/>
          </cell>
          <cell r="AU115" t="str">
            <v/>
          </cell>
        </row>
        <row r="116">
          <cell r="A116">
            <v>7902702257</v>
          </cell>
          <cell r="AS116" t="str">
            <v xml:space="preserve"> 34,5</v>
          </cell>
          <cell r="AT116" t="str">
            <v/>
          </cell>
          <cell r="AU116" t="str">
            <v/>
          </cell>
        </row>
        <row r="117">
          <cell r="A117">
            <v>7908693026</v>
          </cell>
          <cell r="AS117" t="str">
            <v xml:space="preserve"> 34,5</v>
          </cell>
          <cell r="AT117" t="str">
            <v/>
          </cell>
          <cell r="AU117" t="str">
            <v/>
          </cell>
        </row>
        <row r="118">
          <cell r="A118">
            <v>7950296049</v>
          </cell>
          <cell r="AS118" t="str">
            <v xml:space="preserve"> 34,5</v>
          </cell>
          <cell r="AT118" t="str">
            <v/>
          </cell>
          <cell r="AU118" t="str">
            <v/>
          </cell>
        </row>
        <row r="119">
          <cell r="A119">
            <v>7946713015</v>
          </cell>
          <cell r="AS119" t="str">
            <v xml:space="preserve"> 34,5</v>
          </cell>
          <cell r="AT119" t="str">
            <v/>
          </cell>
          <cell r="AU119" t="str">
            <v/>
          </cell>
        </row>
        <row r="120">
          <cell r="A120">
            <v>7938048113</v>
          </cell>
          <cell r="AS120" t="str">
            <v xml:space="preserve"> 34,5</v>
          </cell>
          <cell r="AT120" t="str">
            <v/>
          </cell>
          <cell r="AU120" t="str">
            <v/>
          </cell>
        </row>
        <row r="121">
          <cell r="A121">
            <v>7949656024</v>
          </cell>
          <cell r="AS121" t="str">
            <v xml:space="preserve"> 34,5</v>
          </cell>
          <cell r="AT121" t="str">
            <v/>
          </cell>
          <cell r="AU121" t="str">
            <v/>
          </cell>
        </row>
        <row r="122">
          <cell r="A122">
            <v>7926242029</v>
          </cell>
          <cell r="AS122" t="str">
            <v xml:space="preserve"> 34,5</v>
          </cell>
          <cell r="AT122" t="str">
            <v/>
          </cell>
          <cell r="AU122" t="str">
            <v/>
          </cell>
        </row>
        <row r="123">
          <cell r="A123">
            <v>7905320122</v>
          </cell>
          <cell r="AS123" t="str">
            <v xml:space="preserve"> 13,8</v>
          </cell>
          <cell r="AT123" t="str">
            <v/>
          </cell>
          <cell r="AU123" t="str">
            <v/>
          </cell>
        </row>
        <row r="124">
          <cell r="A124">
            <v>7909594004</v>
          </cell>
          <cell r="AS124" t="str">
            <v xml:space="preserve"> 13,8</v>
          </cell>
          <cell r="AT124" t="str">
            <v/>
          </cell>
          <cell r="AU124" t="str">
            <v/>
          </cell>
        </row>
        <row r="125">
          <cell r="A125">
            <v>7925727002</v>
          </cell>
          <cell r="AS125" t="str">
            <v xml:space="preserve"> 13,8</v>
          </cell>
          <cell r="AT125" t="str">
            <v/>
          </cell>
          <cell r="AU125" t="str">
            <v/>
          </cell>
        </row>
        <row r="126">
          <cell r="A126">
            <v>7908709122</v>
          </cell>
          <cell r="AS126" t="str">
            <v xml:space="preserve"> 13,8</v>
          </cell>
          <cell r="AT126" t="str">
            <v/>
          </cell>
          <cell r="AU126" t="str">
            <v/>
          </cell>
        </row>
        <row r="127">
          <cell r="A127">
            <v>7961515047</v>
          </cell>
          <cell r="AS127" t="str">
            <v xml:space="preserve"> 13,8</v>
          </cell>
          <cell r="AT127" t="str">
            <v/>
          </cell>
          <cell r="AU127" t="str">
            <v/>
          </cell>
        </row>
        <row r="128">
          <cell r="A128">
            <v>5853360007</v>
          </cell>
          <cell r="AS128" t="str">
            <v>Acessório 400 34,5</v>
          </cell>
          <cell r="AT128">
            <v>15000</v>
          </cell>
          <cell r="AU128">
            <v>0</v>
          </cell>
        </row>
        <row r="129">
          <cell r="A129">
            <v>7928462040</v>
          </cell>
          <cell r="AS129" t="str">
            <v xml:space="preserve"> 34,5</v>
          </cell>
          <cell r="AT129" t="str">
            <v/>
          </cell>
          <cell r="AU129" t="str">
            <v/>
          </cell>
        </row>
        <row r="130">
          <cell r="A130">
            <v>7901151022</v>
          </cell>
          <cell r="AS130" t="str">
            <v xml:space="preserve"> 34,5</v>
          </cell>
          <cell r="AT130" t="str">
            <v/>
          </cell>
          <cell r="AU130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obras"/>
      <sheetName val="Reformas de redes Sobrecarre"/>
      <sheetName val="Template_Alimentadores_MT_Execu"/>
      <sheetName val="Limpeza de faixa"/>
      <sheetName val="Poda"/>
      <sheetName val="Queimadas"/>
      <sheetName val="Oc. Sobrecarga Dist."/>
      <sheetName val="Trafo subs. prev."/>
      <sheetName val="Queima de trafo"/>
      <sheetName val="Planilha1"/>
      <sheetName val="DMC"/>
      <sheetName val="Eventos Relevantes"/>
      <sheetName val="Expansão EE"/>
      <sheetName val="Indispon. e reat. de EE"/>
      <sheetName val="Planilha2"/>
      <sheetName val="MUST"/>
      <sheetName val="Nível de Tensão"/>
      <sheetName val="Diagnóstico"/>
      <sheetName val="Diagnóstic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E51">
            <v>2</v>
          </cell>
          <cell r="F51">
            <v>0</v>
          </cell>
          <cell r="G51">
            <v>2</v>
          </cell>
          <cell r="H51">
            <v>2</v>
          </cell>
          <cell r="I51">
            <v>3</v>
          </cell>
          <cell r="J51">
            <v>1</v>
          </cell>
          <cell r="K51">
            <v>3</v>
          </cell>
          <cell r="L51"/>
          <cell r="M51"/>
          <cell r="N51"/>
          <cell r="O51"/>
          <cell r="P51"/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07ALLan"/>
      <sheetName val="BASE SS_OS"/>
      <sheetName val="Plan1"/>
      <sheetName val="Detalhes1"/>
      <sheetName val="Dados Apresentação"/>
      <sheetName val="Planilha3"/>
      <sheetName val="Planilha1"/>
      <sheetName val="Custos"/>
      <sheetName val="Check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EQUIPAMENTO</v>
          </cell>
          <cell r="M1" t="str">
            <v>TENSÃO</v>
          </cell>
        </row>
        <row r="2">
          <cell r="A2">
            <v>7934387004</v>
          </cell>
          <cell r="M2" t="str">
            <v>13.800</v>
          </cell>
        </row>
        <row r="3">
          <cell r="A3">
            <v>7900026002</v>
          </cell>
          <cell r="M3" t="str">
            <v>34.500</v>
          </cell>
        </row>
        <row r="4">
          <cell r="A4">
            <v>7900028077</v>
          </cell>
          <cell r="M4" t="str">
            <v>34.500</v>
          </cell>
        </row>
        <row r="5">
          <cell r="A5">
            <v>7900018090</v>
          </cell>
          <cell r="M5" t="str">
            <v>34.500</v>
          </cell>
        </row>
        <row r="6">
          <cell r="A6">
            <v>7900005068</v>
          </cell>
          <cell r="M6" t="str">
            <v>34.500</v>
          </cell>
        </row>
        <row r="7">
          <cell r="A7">
            <v>7900388094</v>
          </cell>
          <cell r="M7" t="str">
            <v>34.500</v>
          </cell>
        </row>
        <row r="8">
          <cell r="A8">
            <v>7900811074</v>
          </cell>
          <cell r="M8" t="str">
            <v>13.800</v>
          </cell>
        </row>
        <row r="9">
          <cell r="A9">
            <v>7902414001</v>
          </cell>
          <cell r="M9" t="str">
            <v>13.800</v>
          </cell>
        </row>
        <row r="10">
          <cell r="A10">
            <v>7900448083</v>
          </cell>
          <cell r="M10" t="str">
            <v>34.500</v>
          </cell>
        </row>
        <row r="11">
          <cell r="A11">
            <v>7900930040</v>
          </cell>
          <cell r="M11" t="str">
            <v>13.800</v>
          </cell>
        </row>
        <row r="12">
          <cell r="A12">
            <v>7901216032</v>
          </cell>
          <cell r="M12" t="str">
            <v>13.800</v>
          </cell>
        </row>
        <row r="13">
          <cell r="A13">
            <v>7900452110</v>
          </cell>
          <cell r="M13" t="str">
            <v>34.500</v>
          </cell>
        </row>
        <row r="14">
          <cell r="A14">
            <v>7900696029</v>
          </cell>
          <cell r="M14" t="str">
            <v>13.800</v>
          </cell>
        </row>
        <row r="15">
          <cell r="A15">
            <v>7900297152</v>
          </cell>
          <cell r="M15" t="str">
            <v>34.500</v>
          </cell>
        </row>
        <row r="16">
          <cell r="A16">
            <v>7900969084</v>
          </cell>
          <cell r="M16" t="str">
            <v>34.500</v>
          </cell>
        </row>
        <row r="17">
          <cell r="A17">
            <v>7901279052</v>
          </cell>
          <cell r="M17" t="str">
            <v>13.800</v>
          </cell>
        </row>
        <row r="18">
          <cell r="A18">
            <v>7900573047</v>
          </cell>
          <cell r="M18" t="str">
            <v>13.800</v>
          </cell>
        </row>
        <row r="19">
          <cell r="A19">
            <v>7900003060</v>
          </cell>
          <cell r="M19" t="str">
            <v>13.800</v>
          </cell>
        </row>
        <row r="20">
          <cell r="A20">
            <v>7955681036</v>
          </cell>
          <cell r="M20" t="str">
            <v>13.800</v>
          </cell>
        </row>
        <row r="21">
          <cell r="A21">
            <v>7900355025</v>
          </cell>
          <cell r="M21" t="str">
            <v>34.500</v>
          </cell>
        </row>
        <row r="22">
          <cell r="A22">
            <v>7900308104</v>
          </cell>
          <cell r="M22" t="str">
            <v>34.500</v>
          </cell>
        </row>
        <row r="23">
          <cell r="A23">
            <v>7900414025</v>
          </cell>
          <cell r="M23" t="str">
            <v>34.500</v>
          </cell>
        </row>
        <row r="24">
          <cell r="A24">
            <v>7900626055</v>
          </cell>
          <cell r="M24" t="str">
            <v>34.500</v>
          </cell>
        </row>
        <row r="25">
          <cell r="A25">
            <v>7900366256</v>
          </cell>
          <cell r="M25" t="str">
            <v>34.500</v>
          </cell>
        </row>
        <row r="26">
          <cell r="A26">
            <v>7900465025</v>
          </cell>
          <cell r="M26" t="str">
            <v>13.800</v>
          </cell>
        </row>
        <row r="27">
          <cell r="A27">
            <v>7900249153</v>
          </cell>
          <cell r="M27" t="str">
            <v>34.500</v>
          </cell>
        </row>
        <row r="28">
          <cell r="A28">
            <v>7900611073</v>
          </cell>
          <cell r="M28" t="str">
            <v>34.500</v>
          </cell>
        </row>
        <row r="29">
          <cell r="A29">
            <v>7900128007</v>
          </cell>
          <cell r="M29" t="str">
            <v>34.500</v>
          </cell>
        </row>
        <row r="30">
          <cell r="A30">
            <v>7900481006</v>
          </cell>
          <cell r="M30" t="str">
            <v>13.800</v>
          </cell>
        </row>
        <row r="31">
          <cell r="A31">
            <v>7900713029</v>
          </cell>
          <cell r="M31" t="str">
            <v>34.500</v>
          </cell>
        </row>
        <row r="32">
          <cell r="A32">
            <v>7900303013</v>
          </cell>
          <cell r="M32" t="str">
            <v>13.800</v>
          </cell>
        </row>
        <row r="33">
          <cell r="A33">
            <v>7900385081</v>
          </cell>
          <cell r="M33" t="str">
            <v>13.800</v>
          </cell>
        </row>
        <row r="34">
          <cell r="A34">
            <v>7900581153</v>
          </cell>
          <cell r="M34" t="str">
            <v>34.500</v>
          </cell>
        </row>
        <row r="35">
          <cell r="A35">
            <v>7900003157</v>
          </cell>
          <cell r="M35" t="str">
            <v>34.500</v>
          </cell>
        </row>
        <row r="36">
          <cell r="A36">
            <v>7900265256</v>
          </cell>
          <cell r="M36" t="str">
            <v>34.500</v>
          </cell>
        </row>
        <row r="37">
          <cell r="A37">
            <v>7900618193</v>
          </cell>
          <cell r="M37" t="str">
            <v>34.500</v>
          </cell>
        </row>
        <row r="38">
          <cell r="A38">
            <v>7900300253</v>
          </cell>
          <cell r="M38" t="str">
            <v>34.500</v>
          </cell>
        </row>
        <row r="39">
          <cell r="A39">
            <v>7901276032</v>
          </cell>
          <cell r="M39" t="str">
            <v>34.500</v>
          </cell>
        </row>
        <row r="40">
          <cell r="A40">
            <v>7901077038</v>
          </cell>
          <cell r="M40" t="str">
            <v>34.500</v>
          </cell>
        </row>
        <row r="41">
          <cell r="A41">
            <v>7900774036</v>
          </cell>
          <cell r="M41" t="str">
            <v>13.800</v>
          </cell>
        </row>
        <row r="42">
          <cell r="A42">
            <v>7900790075</v>
          </cell>
          <cell r="M42" t="str">
            <v>34.500</v>
          </cell>
        </row>
        <row r="43">
          <cell r="A43">
            <v>7903112004</v>
          </cell>
          <cell r="M43" t="str">
            <v>34.500</v>
          </cell>
        </row>
        <row r="44">
          <cell r="A44">
            <v>7900594026</v>
          </cell>
          <cell r="M44" t="str">
            <v>34.500</v>
          </cell>
        </row>
        <row r="45">
          <cell r="A45">
            <v>7900200050</v>
          </cell>
          <cell r="M45" t="str">
            <v>13.800</v>
          </cell>
        </row>
        <row r="46">
          <cell r="A46">
            <v>7900701033</v>
          </cell>
          <cell r="M46" t="str">
            <v>34.500</v>
          </cell>
        </row>
        <row r="47">
          <cell r="A47">
            <v>7900032086</v>
          </cell>
          <cell r="M47" t="str">
            <v>34.500</v>
          </cell>
        </row>
        <row r="48">
          <cell r="A48">
            <v>7900669086</v>
          </cell>
          <cell r="M48" t="str">
            <v>34.500</v>
          </cell>
        </row>
        <row r="49">
          <cell r="A49">
            <v>7900461077</v>
          </cell>
          <cell r="M49" t="str">
            <v>34.500</v>
          </cell>
        </row>
        <row r="50">
          <cell r="A50">
            <v>7900536086</v>
          </cell>
          <cell r="M50" t="str">
            <v>34.500</v>
          </cell>
        </row>
        <row r="51">
          <cell r="A51">
            <v>7903696001</v>
          </cell>
          <cell r="M51" t="str">
            <v>34.500</v>
          </cell>
        </row>
        <row r="52">
          <cell r="A52">
            <v>7902164013</v>
          </cell>
          <cell r="M52" t="str">
            <v>34.500</v>
          </cell>
        </row>
        <row r="53">
          <cell r="A53">
            <v>7905358122</v>
          </cell>
          <cell r="M53" t="str">
            <v>13.800</v>
          </cell>
        </row>
        <row r="54">
          <cell r="A54">
            <v>7905356122</v>
          </cell>
          <cell r="M54" t="str">
            <v>13.800</v>
          </cell>
        </row>
        <row r="55">
          <cell r="A55">
            <v>7901105009</v>
          </cell>
          <cell r="M55" t="str">
            <v>34.500</v>
          </cell>
        </row>
        <row r="56">
          <cell r="A56">
            <v>7904278001</v>
          </cell>
          <cell r="M56" t="str">
            <v>34.500</v>
          </cell>
        </row>
        <row r="57">
          <cell r="A57">
            <v>7905362122</v>
          </cell>
          <cell r="M57" t="str">
            <v>13.800</v>
          </cell>
        </row>
        <row r="58">
          <cell r="A58">
            <v>7900403078</v>
          </cell>
          <cell r="M58" t="str">
            <v>34.500</v>
          </cell>
        </row>
        <row r="59">
          <cell r="A59">
            <v>7905365122</v>
          </cell>
          <cell r="M59" t="str">
            <v>13.800</v>
          </cell>
        </row>
        <row r="60">
          <cell r="A60">
            <v>7901100084</v>
          </cell>
          <cell r="M60" t="str">
            <v>34.500</v>
          </cell>
        </row>
        <row r="61">
          <cell r="A61">
            <v>7900654080</v>
          </cell>
          <cell r="M61" t="str">
            <v>34.500</v>
          </cell>
        </row>
        <row r="62">
          <cell r="A62">
            <v>7900002055</v>
          </cell>
          <cell r="M62" t="str">
            <v>13.800</v>
          </cell>
        </row>
        <row r="63">
          <cell r="A63">
            <v>7900121133</v>
          </cell>
          <cell r="M63" t="str">
            <v>34.500</v>
          </cell>
        </row>
        <row r="64">
          <cell r="A64">
            <v>7902101003</v>
          </cell>
          <cell r="M64" t="str">
            <v>13.800</v>
          </cell>
        </row>
        <row r="65">
          <cell r="A65">
            <v>7902102003</v>
          </cell>
          <cell r="M65" t="str">
            <v>13.800</v>
          </cell>
        </row>
        <row r="66">
          <cell r="A66">
            <v>7900414059</v>
          </cell>
          <cell r="M66" t="str">
            <v>34.500</v>
          </cell>
        </row>
        <row r="67">
          <cell r="A67">
            <v>7902098003</v>
          </cell>
          <cell r="M67" t="str">
            <v>13.800</v>
          </cell>
        </row>
        <row r="68">
          <cell r="A68">
            <v>7900612113</v>
          </cell>
          <cell r="M68" t="str">
            <v>34.500</v>
          </cell>
        </row>
        <row r="69">
          <cell r="A69">
            <v>7900531033</v>
          </cell>
          <cell r="M69" t="str">
            <v>13.800</v>
          </cell>
        </row>
        <row r="70">
          <cell r="A70">
            <v>7900551083</v>
          </cell>
          <cell r="M70" t="str">
            <v>34.500</v>
          </cell>
        </row>
        <row r="71">
          <cell r="A71">
            <v>7905366122</v>
          </cell>
          <cell r="M71" t="str">
            <v>13.800</v>
          </cell>
        </row>
        <row r="72">
          <cell r="A72">
            <v>7900559058</v>
          </cell>
          <cell r="M72" t="str">
            <v>34.500</v>
          </cell>
        </row>
        <row r="73">
          <cell r="A73">
            <v>7900290092</v>
          </cell>
          <cell r="M73" t="str">
            <v>34.500</v>
          </cell>
        </row>
        <row r="74">
          <cell r="A74">
            <v>7903568004</v>
          </cell>
          <cell r="M74" t="str">
            <v>13.800</v>
          </cell>
        </row>
        <row r="75">
          <cell r="A75">
            <v>7903565004</v>
          </cell>
          <cell r="M75" t="str">
            <v>13.800</v>
          </cell>
        </row>
        <row r="76">
          <cell r="A76">
            <v>7900158156</v>
          </cell>
          <cell r="M76" t="str">
            <v>34.500</v>
          </cell>
        </row>
        <row r="77">
          <cell r="A77">
            <v>7905363122</v>
          </cell>
          <cell r="M77" t="str">
            <v>13.800</v>
          </cell>
        </row>
        <row r="78">
          <cell r="A78">
            <v>7900398078</v>
          </cell>
          <cell r="M78" t="str">
            <v>34.500</v>
          </cell>
        </row>
        <row r="79">
          <cell r="A79">
            <v>7900663071</v>
          </cell>
          <cell r="M79" t="str">
            <v>34.500</v>
          </cell>
        </row>
        <row r="80">
          <cell r="A80">
            <v>7900666071</v>
          </cell>
          <cell r="M80" t="str">
            <v>34.500</v>
          </cell>
        </row>
        <row r="81">
          <cell r="A81">
            <v>7900888005</v>
          </cell>
          <cell r="M81" t="str">
            <v>34.500</v>
          </cell>
        </row>
        <row r="82">
          <cell r="A82">
            <v>7900567149</v>
          </cell>
          <cell r="M82" t="str">
            <v>34.500</v>
          </cell>
        </row>
        <row r="83">
          <cell r="A83">
            <v>7901575052</v>
          </cell>
          <cell r="M83" t="str">
            <v>34.500</v>
          </cell>
        </row>
        <row r="84">
          <cell r="A84">
            <v>7902413001</v>
          </cell>
          <cell r="M84" t="str">
            <v>13.800</v>
          </cell>
        </row>
        <row r="85">
          <cell r="A85">
            <v>7902096003</v>
          </cell>
          <cell r="M85" t="str">
            <v>13.800</v>
          </cell>
        </row>
        <row r="86">
          <cell r="A86">
            <v>7900663086</v>
          </cell>
          <cell r="M86" t="str">
            <v>34.500</v>
          </cell>
        </row>
        <row r="87">
          <cell r="A87">
            <v>7900543083</v>
          </cell>
          <cell r="M87" t="str">
            <v>34.500</v>
          </cell>
        </row>
        <row r="88">
          <cell r="A88">
            <v>7900485025</v>
          </cell>
          <cell r="M88" t="str">
            <v>34.500</v>
          </cell>
        </row>
        <row r="89">
          <cell r="A89">
            <v>7900490025</v>
          </cell>
          <cell r="M89" t="str">
            <v>34.500</v>
          </cell>
        </row>
        <row r="90">
          <cell r="A90">
            <v>7900445066</v>
          </cell>
          <cell r="M90" t="str">
            <v>34.500</v>
          </cell>
        </row>
        <row r="91">
          <cell r="A91">
            <v>7901716003</v>
          </cell>
          <cell r="M91" t="str">
            <v>13.800</v>
          </cell>
        </row>
        <row r="92">
          <cell r="A92">
            <v>7900583012</v>
          </cell>
          <cell r="M92" t="str">
            <v>34.500</v>
          </cell>
        </row>
        <row r="93">
          <cell r="A93">
            <v>7900181265</v>
          </cell>
          <cell r="M93" t="str">
            <v>34.500</v>
          </cell>
        </row>
        <row r="94">
          <cell r="A94">
            <v>7900197151</v>
          </cell>
          <cell r="M94" t="str">
            <v>34.500</v>
          </cell>
        </row>
        <row r="95">
          <cell r="A95">
            <v>7905359122</v>
          </cell>
          <cell r="M95" t="str">
            <v>13.800</v>
          </cell>
        </row>
        <row r="96">
          <cell r="A96">
            <v>7900002088</v>
          </cell>
          <cell r="M96" t="str">
            <v>13.800</v>
          </cell>
        </row>
        <row r="97">
          <cell r="A97">
            <v>7902033014</v>
          </cell>
          <cell r="M97" t="str">
            <v>34.500</v>
          </cell>
        </row>
        <row r="98">
          <cell r="A98">
            <v>7920335122</v>
          </cell>
          <cell r="M98" t="str">
            <v>34.500</v>
          </cell>
        </row>
        <row r="99">
          <cell r="A99">
            <v>7900511021</v>
          </cell>
          <cell r="M99" t="str">
            <v>34.500</v>
          </cell>
        </row>
        <row r="100">
          <cell r="A100">
            <v>7901104084</v>
          </cell>
          <cell r="M100" t="str">
            <v>34.500</v>
          </cell>
        </row>
        <row r="101">
          <cell r="A101">
            <v>7900478025</v>
          </cell>
          <cell r="M101" t="str">
            <v>34.500</v>
          </cell>
        </row>
        <row r="102">
          <cell r="A102">
            <v>7901833094</v>
          </cell>
          <cell r="M102" t="str">
            <v>34.500</v>
          </cell>
        </row>
        <row r="103">
          <cell r="A103">
            <v>7900107151</v>
          </cell>
          <cell r="M103" t="str">
            <v>34.500</v>
          </cell>
        </row>
        <row r="104">
          <cell r="A104">
            <v>7900627087</v>
          </cell>
          <cell r="M104" t="str">
            <v>34.500</v>
          </cell>
        </row>
        <row r="105">
          <cell r="A105">
            <v>7903690004</v>
          </cell>
          <cell r="M105" t="str">
            <v>34.500</v>
          </cell>
        </row>
        <row r="106">
          <cell r="A106">
            <v>7901184075</v>
          </cell>
          <cell r="M106" t="str">
            <v>34.500</v>
          </cell>
        </row>
        <row r="107">
          <cell r="A107">
            <v>7900558159</v>
          </cell>
          <cell r="M107" t="str">
            <v>34.500</v>
          </cell>
        </row>
        <row r="108">
          <cell r="A108">
            <v>7900550154</v>
          </cell>
          <cell r="M108" t="str">
            <v>34.500</v>
          </cell>
        </row>
        <row r="109">
          <cell r="A109">
            <v>7900648055</v>
          </cell>
          <cell r="M109" t="str">
            <v>34.500</v>
          </cell>
        </row>
        <row r="110">
          <cell r="A110">
            <v>7901503007</v>
          </cell>
          <cell r="M110" t="str">
            <v>34.500</v>
          </cell>
        </row>
        <row r="111">
          <cell r="A111">
            <v>7900654055</v>
          </cell>
          <cell r="M111" t="str">
            <v>34.500</v>
          </cell>
        </row>
        <row r="112">
          <cell r="A112">
            <v>7902097003</v>
          </cell>
          <cell r="M112" t="str">
            <v>13.800</v>
          </cell>
        </row>
        <row r="113">
          <cell r="A113">
            <v>7900018016</v>
          </cell>
          <cell r="M113" t="str">
            <v>34.500</v>
          </cell>
        </row>
        <row r="114">
          <cell r="A114">
            <v>7905355122</v>
          </cell>
          <cell r="M114" t="str">
            <v>13.800</v>
          </cell>
        </row>
        <row r="115">
          <cell r="A115">
            <v>7905357122</v>
          </cell>
          <cell r="M115" t="str">
            <v>13.800</v>
          </cell>
        </row>
        <row r="116">
          <cell r="A116">
            <v>7903569004</v>
          </cell>
          <cell r="M116" t="str">
            <v>13.800</v>
          </cell>
        </row>
        <row r="117">
          <cell r="A117">
            <v>7903572004</v>
          </cell>
          <cell r="M117" t="str">
            <v>13.800</v>
          </cell>
        </row>
        <row r="118">
          <cell r="A118">
            <v>7905361122</v>
          </cell>
          <cell r="M118" t="str">
            <v>13.800</v>
          </cell>
        </row>
        <row r="119">
          <cell r="A119">
            <v>7920070003</v>
          </cell>
          <cell r="M119" t="str">
            <v>34.500</v>
          </cell>
        </row>
        <row r="120">
          <cell r="A120">
            <v>7900084001</v>
          </cell>
          <cell r="M120" t="str">
            <v>13.800</v>
          </cell>
        </row>
        <row r="121">
          <cell r="A121">
            <v>7900551010</v>
          </cell>
          <cell r="M121" t="str">
            <v>34.500</v>
          </cell>
        </row>
        <row r="122">
          <cell r="A122">
            <v>7900552010</v>
          </cell>
          <cell r="M122" t="str">
            <v>34.500</v>
          </cell>
        </row>
        <row r="123">
          <cell r="A123">
            <v>7908301026</v>
          </cell>
          <cell r="M123" t="str">
            <v>13.800</v>
          </cell>
        </row>
        <row r="124">
          <cell r="A124">
            <v>7908302256</v>
          </cell>
          <cell r="M124" t="str">
            <v>34.500</v>
          </cell>
        </row>
        <row r="125">
          <cell r="A125">
            <v>7900280059</v>
          </cell>
          <cell r="M125" t="str">
            <v>13.800</v>
          </cell>
        </row>
        <row r="126">
          <cell r="A126">
            <v>7900339151</v>
          </cell>
          <cell r="M126" t="str">
            <v>34.500</v>
          </cell>
        </row>
        <row r="127">
          <cell r="A127">
            <v>7900198151</v>
          </cell>
          <cell r="M127" t="str">
            <v>34.500</v>
          </cell>
        </row>
        <row r="128">
          <cell r="A128">
            <v>7920008152</v>
          </cell>
          <cell r="M128" t="str">
            <v>34.500</v>
          </cell>
        </row>
        <row r="129">
          <cell r="A129">
            <v>7900351152</v>
          </cell>
          <cell r="M129" t="str">
            <v>34.500</v>
          </cell>
        </row>
        <row r="130">
          <cell r="A130">
            <v>7900356059</v>
          </cell>
          <cell r="M130" t="str">
            <v>13.800</v>
          </cell>
        </row>
        <row r="131">
          <cell r="A131">
            <v>7900001071</v>
          </cell>
          <cell r="M131" t="str">
            <v>13.800</v>
          </cell>
        </row>
        <row r="132">
          <cell r="A132">
            <v>7900367152</v>
          </cell>
          <cell r="M132" t="str">
            <v>34.500</v>
          </cell>
        </row>
        <row r="133">
          <cell r="A133">
            <v>7907570122</v>
          </cell>
          <cell r="M133" t="str">
            <v>13.800</v>
          </cell>
        </row>
        <row r="134">
          <cell r="A134">
            <v>7905318122</v>
          </cell>
          <cell r="M134" t="str">
            <v>13.800</v>
          </cell>
        </row>
        <row r="135">
          <cell r="A135">
            <v>7900238054</v>
          </cell>
          <cell r="M135" t="str">
            <v>34.500</v>
          </cell>
        </row>
        <row r="136">
          <cell r="A136">
            <v>7900236054</v>
          </cell>
          <cell r="M136" t="str">
            <v>34.500</v>
          </cell>
        </row>
        <row r="137">
          <cell r="A137">
            <v>7903316001</v>
          </cell>
          <cell r="M137" t="str">
            <v>13.800</v>
          </cell>
        </row>
        <row r="138">
          <cell r="A138">
            <v>7908192003</v>
          </cell>
          <cell r="M138" t="str">
            <v>34.500</v>
          </cell>
        </row>
        <row r="139">
          <cell r="A139">
            <v>7908218107</v>
          </cell>
          <cell r="M139" t="str">
            <v>34.500</v>
          </cell>
        </row>
        <row r="140">
          <cell r="A140">
            <v>7900510045</v>
          </cell>
          <cell r="M140" t="str">
            <v>34.500</v>
          </cell>
        </row>
        <row r="141">
          <cell r="A141">
            <v>7900071045</v>
          </cell>
          <cell r="M141" t="str">
            <v>34.500</v>
          </cell>
        </row>
        <row r="142">
          <cell r="A142">
            <v>7900280041</v>
          </cell>
          <cell r="M142" t="str">
            <v>34.500</v>
          </cell>
        </row>
        <row r="143">
          <cell r="A143">
            <v>7900161017</v>
          </cell>
          <cell r="M143" t="str">
            <v>34.500</v>
          </cell>
        </row>
        <row r="144">
          <cell r="A144">
            <v>7900676017</v>
          </cell>
          <cell r="M144" t="str">
            <v>34.500</v>
          </cell>
        </row>
        <row r="145">
          <cell r="A145">
            <v>7901898060</v>
          </cell>
          <cell r="M145" t="str">
            <v>13.800</v>
          </cell>
        </row>
        <row r="146">
          <cell r="A146">
            <v>7910016021</v>
          </cell>
          <cell r="M146" t="str">
            <v>34.500</v>
          </cell>
        </row>
        <row r="147">
          <cell r="A147">
            <v>7900863005</v>
          </cell>
          <cell r="M147" t="str">
            <v>34.500</v>
          </cell>
        </row>
        <row r="148">
          <cell r="A148">
            <v>7900259096</v>
          </cell>
          <cell r="M148" t="str">
            <v>34.500</v>
          </cell>
        </row>
        <row r="149">
          <cell r="A149">
            <v>7900451096</v>
          </cell>
          <cell r="M149" t="str">
            <v>34.500</v>
          </cell>
        </row>
        <row r="150">
          <cell r="A150">
            <v>7900001096</v>
          </cell>
          <cell r="M150" t="str">
            <v>34.500</v>
          </cell>
        </row>
        <row r="151">
          <cell r="A151">
            <v>7900230155</v>
          </cell>
          <cell r="M151" t="str">
            <v>34.500</v>
          </cell>
        </row>
        <row r="152">
          <cell r="A152">
            <v>7910269094</v>
          </cell>
          <cell r="M152" t="str">
            <v>34.500</v>
          </cell>
        </row>
        <row r="153">
          <cell r="A153">
            <v>7919145007</v>
          </cell>
          <cell r="M153" t="str">
            <v>34.500</v>
          </cell>
        </row>
        <row r="154">
          <cell r="A154">
            <v>7900412148</v>
          </cell>
          <cell r="M154" t="str">
            <v>34.500</v>
          </cell>
        </row>
        <row r="155">
          <cell r="A155">
            <v>7900052124</v>
          </cell>
          <cell r="M155" t="str">
            <v>13.800</v>
          </cell>
        </row>
        <row r="156">
          <cell r="A156">
            <v>7908199076</v>
          </cell>
          <cell r="M156" t="str">
            <v>34.500</v>
          </cell>
        </row>
        <row r="157">
          <cell r="A157">
            <v>7926753122</v>
          </cell>
          <cell r="M157" t="str">
            <v>13.800</v>
          </cell>
        </row>
        <row r="158">
          <cell r="A158">
            <v>7908304001</v>
          </cell>
          <cell r="M158" t="str">
            <v>34.500</v>
          </cell>
        </row>
        <row r="159">
          <cell r="A159">
            <v>7908246250</v>
          </cell>
          <cell r="M159" t="str">
            <v>34.500</v>
          </cell>
        </row>
        <row r="160">
          <cell r="A160">
            <v>7902592003</v>
          </cell>
          <cell r="M160" t="str">
            <v>34.500</v>
          </cell>
        </row>
        <row r="161">
          <cell r="A161">
            <v>7900669107</v>
          </cell>
          <cell r="M161" t="str">
            <v>34.500</v>
          </cell>
        </row>
        <row r="162">
          <cell r="A162">
            <v>7900347153</v>
          </cell>
          <cell r="M162" t="str">
            <v>34.500</v>
          </cell>
        </row>
        <row r="163">
          <cell r="A163">
            <v>7907467059</v>
          </cell>
          <cell r="M163" t="str">
            <v>13.800</v>
          </cell>
        </row>
        <row r="164">
          <cell r="A164">
            <v>7902701014</v>
          </cell>
          <cell r="M164" t="str">
            <v>13.800</v>
          </cell>
        </row>
        <row r="165">
          <cell r="A165">
            <v>7911120026</v>
          </cell>
          <cell r="M165" t="str">
            <v>34.500</v>
          </cell>
        </row>
        <row r="166">
          <cell r="A166">
            <v>7900505026</v>
          </cell>
          <cell r="M166" t="str">
            <v>34.500</v>
          </cell>
        </row>
        <row r="167">
          <cell r="A167">
            <v>7907257059</v>
          </cell>
          <cell r="M167" t="str">
            <v>13.800</v>
          </cell>
        </row>
        <row r="168">
          <cell r="A168">
            <v>7900189012</v>
          </cell>
          <cell r="M168" t="str">
            <v>34.500</v>
          </cell>
        </row>
        <row r="169">
          <cell r="A169">
            <v>7900302055</v>
          </cell>
          <cell r="M169" t="str">
            <v>34.500</v>
          </cell>
        </row>
        <row r="170">
          <cell r="A170">
            <v>7900524113</v>
          </cell>
          <cell r="M170" t="str">
            <v>34.500</v>
          </cell>
        </row>
        <row r="171">
          <cell r="A171">
            <v>7900528037</v>
          </cell>
          <cell r="M171" t="str">
            <v>34.500</v>
          </cell>
        </row>
        <row r="172">
          <cell r="A172">
            <v>7900468037</v>
          </cell>
          <cell r="M172" t="str">
            <v>34.500</v>
          </cell>
        </row>
        <row r="173">
          <cell r="A173">
            <v>7900469078</v>
          </cell>
          <cell r="M173" t="str">
            <v>13.800</v>
          </cell>
        </row>
        <row r="174">
          <cell r="A174">
            <v>7908211148</v>
          </cell>
          <cell r="M174" t="str">
            <v>34.500</v>
          </cell>
        </row>
        <row r="175">
          <cell r="A175">
            <v>7901064039</v>
          </cell>
          <cell r="M175" t="str">
            <v>34.500</v>
          </cell>
        </row>
        <row r="176">
          <cell r="A176">
            <v>7900670107</v>
          </cell>
          <cell r="M176" t="str">
            <v>34.500</v>
          </cell>
        </row>
        <row r="177">
          <cell r="A177">
            <v>7956805053</v>
          </cell>
          <cell r="M177" t="str">
            <v>34.500</v>
          </cell>
        </row>
        <row r="178">
          <cell r="A178">
            <v>7901830094</v>
          </cell>
          <cell r="M178" t="str">
            <v>34.500</v>
          </cell>
        </row>
        <row r="179">
          <cell r="A179">
            <v>7908203091</v>
          </cell>
          <cell r="M179" t="str">
            <v>34.500</v>
          </cell>
        </row>
        <row r="180">
          <cell r="A180">
            <v>7908195042</v>
          </cell>
          <cell r="M180" t="str">
            <v>13.800</v>
          </cell>
        </row>
        <row r="181">
          <cell r="A181">
            <v>7900861075</v>
          </cell>
          <cell r="M181" t="str">
            <v>34.500</v>
          </cell>
        </row>
        <row r="182">
          <cell r="A182">
            <v>7906679122</v>
          </cell>
          <cell r="M182" t="str">
            <v>13.800</v>
          </cell>
        </row>
        <row r="183">
          <cell r="A183">
            <v>7908683122</v>
          </cell>
          <cell r="M183" t="str">
            <v>13.800</v>
          </cell>
        </row>
        <row r="184">
          <cell r="A184">
            <v>7908309006</v>
          </cell>
          <cell r="M184" t="str">
            <v>34.500</v>
          </cell>
        </row>
        <row r="185">
          <cell r="A185">
            <v>7900557122</v>
          </cell>
          <cell r="M185" t="str">
            <v>13.800</v>
          </cell>
        </row>
        <row r="186">
          <cell r="A186">
            <v>7909593122</v>
          </cell>
          <cell r="M186" t="str">
            <v>13.800</v>
          </cell>
        </row>
        <row r="187">
          <cell r="A187">
            <v>7908686014</v>
          </cell>
          <cell r="M187" t="str">
            <v>34.500</v>
          </cell>
        </row>
        <row r="188">
          <cell r="A188">
            <v>7908716091</v>
          </cell>
          <cell r="M188" t="str">
            <v>34.500</v>
          </cell>
        </row>
        <row r="189">
          <cell r="A189">
            <v>7913317004</v>
          </cell>
          <cell r="M189" t="str">
            <v>34.500</v>
          </cell>
        </row>
        <row r="190">
          <cell r="A190">
            <v>7908689014</v>
          </cell>
          <cell r="M190" t="str">
            <v>34.500</v>
          </cell>
        </row>
        <row r="191">
          <cell r="A191">
            <v>7900535058</v>
          </cell>
          <cell r="M191" t="str">
            <v>34.500</v>
          </cell>
        </row>
        <row r="192">
          <cell r="A192">
            <v>7900651085</v>
          </cell>
          <cell r="M192" t="str">
            <v>34.500</v>
          </cell>
        </row>
        <row r="193">
          <cell r="A193">
            <v>7901151022</v>
          </cell>
          <cell r="M193" t="str">
            <v>34.500</v>
          </cell>
        </row>
        <row r="194">
          <cell r="A194">
            <v>7900014152</v>
          </cell>
          <cell r="M194" t="str">
            <v>34.500</v>
          </cell>
        </row>
        <row r="195">
          <cell r="A195">
            <v>7909595004</v>
          </cell>
          <cell r="M195" t="str">
            <v>13.800</v>
          </cell>
        </row>
        <row r="196">
          <cell r="A196">
            <v>7909594004</v>
          </cell>
          <cell r="M196" t="str">
            <v>13.800</v>
          </cell>
        </row>
        <row r="197">
          <cell r="A197">
            <v>7911144002</v>
          </cell>
          <cell r="M197" t="str">
            <v>13.800</v>
          </cell>
        </row>
        <row r="198">
          <cell r="A198">
            <v>7913663027</v>
          </cell>
          <cell r="M198" t="str">
            <v>34.500</v>
          </cell>
        </row>
        <row r="199">
          <cell r="A199">
            <v>7901212058</v>
          </cell>
          <cell r="M199" t="str">
            <v>34.500</v>
          </cell>
        </row>
        <row r="200">
          <cell r="A200">
            <v>7900026017</v>
          </cell>
          <cell r="M200" t="str">
            <v>13.800</v>
          </cell>
        </row>
        <row r="201">
          <cell r="A201">
            <v>7900553113</v>
          </cell>
          <cell r="M201" t="str">
            <v>34.500</v>
          </cell>
        </row>
        <row r="202">
          <cell r="A202">
            <v>7900249127</v>
          </cell>
          <cell r="M202" t="str">
            <v>34.500</v>
          </cell>
        </row>
        <row r="203">
          <cell r="A203">
            <v>7908198013</v>
          </cell>
          <cell r="M203" t="str">
            <v>13.800</v>
          </cell>
        </row>
        <row r="204">
          <cell r="A204">
            <v>7915035094</v>
          </cell>
          <cell r="M204" t="str">
            <v>34.500</v>
          </cell>
        </row>
        <row r="205">
          <cell r="A205">
            <v>7908209074</v>
          </cell>
          <cell r="M205" t="str">
            <v>34.500</v>
          </cell>
        </row>
        <row r="206">
          <cell r="A206">
            <v>7900225090</v>
          </cell>
          <cell r="M206" t="str">
            <v>34.500</v>
          </cell>
        </row>
        <row r="207">
          <cell r="A207">
            <v>7900096059</v>
          </cell>
          <cell r="M207" t="str">
            <v>13.800</v>
          </cell>
        </row>
        <row r="208">
          <cell r="A208">
            <v>7910140070</v>
          </cell>
          <cell r="M208" t="str">
            <v>34.500</v>
          </cell>
        </row>
        <row r="209">
          <cell r="A209">
            <v>7910243116</v>
          </cell>
          <cell r="M209" t="str">
            <v>34.500</v>
          </cell>
        </row>
        <row r="210">
          <cell r="A210">
            <v>7913338154</v>
          </cell>
          <cell r="M210" t="str">
            <v>34.500</v>
          </cell>
        </row>
        <row r="211">
          <cell r="A211">
            <v>7915028003</v>
          </cell>
          <cell r="M211" t="str">
            <v>13.800</v>
          </cell>
        </row>
        <row r="212">
          <cell r="A212">
            <v>7901110084</v>
          </cell>
          <cell r="M212" t="str">
            <v>34.500</v>
          </cell>
        </row>
        <row r="213">
          <cell r="A213">
            <v>7913657147</v>
          </cell>
          <cell r="M213" t="str">
            <v>34.500</v>
          </cell>
        </row>
        <row r="214">
          <cell r="A214">
            <v>7909592002</v>
          </cell>
          <cell r="M214" t="str">
            <v>13.800</v>
          </cell>
        </row>
        <row r="215">
          <cell r="A215">
            <v>7904387004</v>
          </cell>
          <cell r="M215" t="str">
            <v>13.800</v>
          </cell>
        </row>
        <row r="216">
          <cell r="A216">
            <v>7902702257</v>
          </cell>
          <cell r="M216" t="str">
            <v>34.500</v>
          </cell>
        </row>
        <row r="217">
          <cell r="A217">
            <v>7900416044</v>
          </cell>
          <cell r="M217" t="str">
            <v>34.500</v>
          </cell>
        </row>
        <row r="218">
          <cell r="A218">
            <v>7900404044</v>
          </cell>
          <cell r="M218" t="str">
            <v>34.500</v>
          </cell>
        </row>
        <row r="219">
          <cell r="A219">
            <v>7910027196</v>
          </cell>
          <cell r="M219" t="str">
            <v>34.500</v>
          </cell>
        </row>
        <row r="220">
          <cell r="A220">
            <v>7908712101</v>
          </cell>
          <cell r="M220" t="str">
            <v>34.500</v>
          </cell>
        </row>
        <row r="221">
          <cell r="A221">
            <v>7900371104</v>
          </cell>
          <cell r="M221" t="str">
            <v>34.500</v>
          </cell>
        </row>
        <row r="222">
          <cell r="A222">
            <v>7913348136</v>
          </cell>
          <cell r="M222" t="str">
            <v>34.500</v>
          </cell>
        </row>
        <row r="223">
          <cell r="A223">
            <v>7913668072</v>
          </cell>
          <cell r="M223" t="str">
            <v>34.500</v>
          </cell>
        </row>
        <row r="224">
          <cell r="A224">
            <v>7913666038</v>
          </cell>
          <cell r="M224" t="str">
            <v>34.500</v>
          </cell>
        </row>
        <row r="225">
          <cell r="A225">
            <v>7908300096</v>
          </cell>
          <cell r="M225" t="str">
            <v>34.500</v>
          </cell>
        </row>
        <row r="226">
          <cell r="A226">
            <v>7913656147</v>
          </cell>
          <cell r="M226" t="str">
            <v>34.500</v>
          </cell>
        </row>
        <row r="227">
          <cell r="A227">
            <v>7915037243</v>
          </cell>
          <cell r="M227" t="str">
            <v>34.500</v>
          </cell>
        </row>
        <row r="228">
          <cell r="A228">
            <v>7909599004</v>
          </cell>
          <cell r="M228" t="str">
            <v>13.800</v>
          </cell>
        </row>
        <row r="229">
          <cell r="A229">
            <v>7900178013</v>
          </cell>
          <cell r="M229" t="str">
            <v>13.800</v>
          </cell>
        </row>
        <row r="230">
          <cell r="A230">
            <v>7913209088</v>
          </cell>
          <cell r="M230" t="str">
            <v>13.800</v>
          </cell>
        </row>
        <row r="231">
          <cell r="A231">
            <v>7900463079</v>
          </cell>
          <cell r="M231" t="str">
            <v>34.500</v>
          </cell>
        </row>
        <row r="232">
          <cell r="A232">
            <v>7900001227</v>
          </cell>
          <cell r="M232" t="str">
            <v>34.500</v>
          </cell>
        </row>
        <row r="233">
          <cell r="A233">
            <v>7908308006</v>
          </cell>
          <cell r="M233" t="str">
            <v>34.500</v>
          </cell>
        </row>
        <row r="234">
          <cell r="A234">
            <v>7908253086</v>
          </cell>
          <cell r="M234" t="str">
            <v>34.500</v>
          </cell>
        </row>
        <row r="235">
          <cell r="A235">
            <v>7915034243</v>
          </cell>
          <cell r="M235" t="str">
            <v>34.500</v>
          </cell>
        </row>
        <row r="236">
          <cell r="A236">
            <v>7900525015</v>
          </cell>
          <cell r="M236" t="str">
            <v>34.500</v>
          </cell>
        </row>
        <row r="237">
          <cell r="A237">
            <v>7913346060</v>
          </cell>
          <cell r="M237" t="str">
            <v>34.500</v>
          </cell>
        </row>
        <row r="238">
          <cell r="A238">
            <v>7913328113</v>
          </cell>
          <cell r="M238" t="str">
            <v>13.800</v>
          </cell>
        </row>
        <row r="239">
          <cell r="A239">
            <v>7902931001</v>
          </cell>
          <cell r="M239" t="str">
            <v>13.800</v>
          </cell>
        </row>
        <row r="240">
          <cell r="A240">
            <v>7900768029</v>
          </cell>
          <cell r="M240" t="str">
            <v>34.500</v>
          </cell>
        </row>
        <row r="241">
          <cell r="A241">
            <v>7900117013</v>
          </cell>
          <cell r="M241" t="str">
            <v>13.800</v>
          </cell>
        </row>
        <row r="242">
          <cell r="A242">
            <v>7900474148</v>
          </cell>
          <cell r="M242" t="str">
            <v>34.500</v>
          </cell>
        </row>
        <row r="243">
          <cell r="A243">
            <v>7915026036</v>
          </cell>
          <cell r="M243" t="str">
            <v>13.800</v>
          </cell>
        </row>
        <row r="244">
          <cell r="A244">
            <v>7915038094</v>
          </cell>
          <cell r="M244" t="str">
            <v>34.500</v>
          </cell>
        </row>
        <row r="245">
          <cell r="A245">
            <v>7920024127</v>
          </cell>
          <cell r="M245" t="str">
            <v>34.500</v>
          </cell>
        </row>
        <row r="246">
          <cell r="A246">
            <v>7915036003</v>
          </cell>
          <cell r="M246" t="str">
            <v>34.500</v>
          </cell>
        </row>
        <row r="247">
          <cell r="A247">
            <v>7908715122</v>
          </cell>
          <cell r="M247" t="str">
            <v>13.800</v>
          </cell>
        </row>
        <row r="248">
          <cell r="A248">
            <v>7908708116</v>
          </cell>
          <cell r="M248" t="str">
            <v>34.500</v>
          </cell>
        </row>
        <row r="249">
          <cell r="A249">
            <v>7904411001</v>
          </cell>
          <cell r="M249" t="str">
            <v>13.800</v>
          </cell>
        </row>
        <row r="250">
          <cell r="A250">
            <v>7908709049</v>
          </cell>
          <cell r="M250" t="str">
            <v>34.500</v>
          </cell>
        </row>
        <row r="251">
          <cell r="A251">
            <v>7908707049</v>
          </cell>
          <cell r="M251" t="str">
            <v>34.500</v>
          </cell>
        </row>
        <row r="252">
          <cell r="A252">
            <v>7908705049</v>
          </cell>
          <cell r="M252" t="str">
            <v>13.800</v>
          </cell>
        </row>
        <row r="253">
          <cell r="A253">
            <v>7911177129</v>
          </cell>
          <cell r="M253" t="str">
            <v>13.800</v>
          </cell>
        </row>
        <row r="254">
          <cell r="A254">
            <v>7908690013</v>
          </cell>
          <cell r="M254" t="str">
            <v>13.800</v>
          </cell>
        </row>
        <row r="255">
          <cell r="A255">
            <v>7910068119</v>
          </cell>
          <cell r="M255" t="str">
            <v>34.500</v>
          </cell>
        </row>
        <row r="256">
          <cell r="A256">
            <v>7908712122</v>
          </cell>
          <cell r="M256" t="str">
            <v>13.800</v>
          </cell>
        </row>
        <row r="257">
          <cell r="A257">
            <v>7913658147</v>
          </cell>
          <cell r="M257" t="str">
            <v>34.500</v>
          </cell>
        </row>
        <row r="258">
          <cell r="A258">
            <v>7901537094</v>
          </cell>
          <cell r="M258" t="str">
            <v>34.500</v>
          </cell>
        </row>
        <row r="259">
          <cell r="A259">
            <v>7900453110</v>
          </cell>
          <cell r="M259" t="str">
            <v>34.500</v>
          </cell>
        </row>
        <row r="260">
          <cell r="A260">
            <v>7900722193</v>
          </cell>
          <cell r="M260" t="str">
            <v>34.500</v>
          </cell>
        </row>
        <row r="261">
          <cell r="A261">
            <v>7907468122</v>
          </cell>
          <cell r="M261" t="str">
            <v>13.800</v>
          </cell>
        </row>
        <row r="262">
          <cell r="A262">
            <v>7900785033</v>
          </cell>
          <cell r="M262" t="str">
            <v>34.500</v>
          </cell>
        </row>
        <row r="263">
          <cell r="A263">
            <v>7900015059</v>
          </cell>
          <cell r="M263" t="str">
            <v>13.800</v>
          </cell>
        </row>
        <row r="264">
          <cell r="A264">
            <v>7909569004</v>
          </cell>
          <cell r="M264" t="str">
            <v>34.500</v>
          </cell>
        </row>
        <row r="265">
          <cell r="A265">
            <v>7908196047</v>
          </cell>
          <cell r="M265" t="str">
            <v>13.800</v>
          </cell>
        </row>
        <row r="266">
          <cell r="A266">
            <v>7913659027</v>
          </cell>
          <cell r="M266" t="str">
            <v>34.500</v>
          </cell>
        </row>
        <row r="267">
          <cell r="A267">
            <v>7900377152</v>
          </cell>
          <cell r="M267" t="str">
            <v>34.500</v>
          </cell>
        </row>
        <row r="268">
          <cell r="A268">
            <v>7908710028</v>
          </cell>
          <cell r="M268" t="str">
            <v>34.500</v>
          </cell>
        </row>
        <row r="269">
          <cell r="A269">
            <v>7913661028</v>
          </cell>
          <cell r="M269" t="str">
            <v>34.500</v>
          </cell>
        </row>
        <row r="270">
          <cell r="A270">
            <v>7908715091</v>
          </cell>
          <cell r="M270" t="str">
            <v>34.500</v>
          </cell>
        </row>
        <row r="271">
          <cell r="A271">
            <v>7910039265</v>
          </cell>
          <cell r="M271" t="str">
            <v>34.500</v>
          </cell>
        </row>
        <row r="272">
          <cell r="A272">
            <v>7908709122</v>
          </cell>
          <cell r="M272" t="str">
            <v>13.800</v>
          </cell>
        </row>
        <row r="273">
          <cell r="A273">
            <v>7900136134</v>
          </cell>
          <cell r="M273" t="str">
            <v>34.500</v>
          </cell>
        </row>
        <row r="274">
          <cell r="A274">
            <v>7913655100</v>
          </cell>
          <cell r="M274" t="str">
            <v>13.800</v>
          </cell>
        </row>
        <row r="275">
          <cell r="A275">
            <v>7913341063</v>
          </cell>
          <cell r="M275" t="str">
            <v>13.800</v>
          </cell>
        </row>
        <row r="276">
          <cell r="A276">
            <v>7908711050</v>
          </cell>
          <cell r="M276" t="str">
            <v>34.500</v>
          </cell>
        </row>
        <row r="277">
          <cell r="A277">
            <v>7913667006</v>
          </cell>
          <cell r="M277" t="str">
            <v>13.800</v>
          </cell>
        </row>
        <row r="278">
          <cell r="A278">
            <v>7919146006</v>
          </cell>
          <cell r="M278" t="str">
            <v>34.500</v>
          </cell>
        </row>
        <row r="279">
          <cell r="A279">
            <v>7900543010</v>
          </cell>
          <cell r="M279" t="str">
            <v>34.500</v>
          </cell>
        </row>
        <row r="280">
          <cell r="A280">
            <v>7908249152</v>
          </cell>
          <cell r="M280" t="str">
            <v>34.500</v>
          </cell>
        </row>
        <row r="281">
          <cell r="A281">
            <v>7915039094</v>
          </cell>
          <cell r="M281" t="str">
            <v>34.500</v>
          </cell>
        </row>
        <row r="282">
          <cell r="A282">
            <v>7900666072</v>
          </cell>
          <cell r="M282" t="str">
            <v>34.500</v>
          </cell>
        </row>
        <row r="283">
          <cell r="A283">
            <v>7900171018</v>
          </cell>
          <cell r="M283" t="str">
            <v>34.500</v>
          </cell>
        </row>
        <row r="284">
          <cell r="A284">
            <v>7900085195</v>
          </cell>
          <cell r="M284" t="str">
            <v>34.500</v>
          </cell>
        </row>
        <row r="285">
          <cell r="A285">
            <v>7915029003</v>
          </cell>
          <cell r="M285" t="str">
            <v>13.800</v>
          </cell>
        </row>
        <row r="286">
          <cell r="A286">
            <v>7908688001</v>
          </cell>
          <cell r="M286" t="str">
            <v>13.800</v>
          </cell>
        </row>
        <row r="287">
          <cell r="A287">
            <v>7920045016</v>
          </cell>
          <cell r="M287" t="str">
            <v>34.500</v>
          </cell>
        </row>
        <row r="288">
          <cell r="A288">
            <v>7909577092</v>
          </cell>
          <cell r="M288" t="str">
            <v>34.500</v>
          </cell>
        </row>
        <row r="289">
          <cell r="A289">
            <v>7913662076</v>
          </cell>
          <cell r="M289" t="str">
            <v>13.800</v>
          </cell>
        </row>
        <row r="290">
          <cell r="A290">
            <v>7900095186</v>
          </cell>
          <cell r="M290" t="str">
            <v>34.500</v>
          </cell>
        </row>
        <row r="291">
          <cell r="A291">
            <v>7915025186</v>
          </cell>
          <cell r="M291" t="str">
            <v>34.500</v>
          </cell>
        </row>
        <row r="292">
          <cell r="A292">
            <v>7908693026</v>
          </cell>
          <cell r="M292" t="str">
            <v>34.500</v>
          </cell>
        </row>
        <row r="293">
          <cell r="A293">
            <v>7907258122</v>
          </cell>
          <cell r="M293" t="str">
            <v>13.800</v>
          </cell>
        </row>
        <row r="294">
          <cell r="A294">
            <v>7900045001</v>
          </cell>
          <cell r="M294" t="str">
            <v>13.800</v>
          </cell>
        </row>
        <row r="295">
          <cell r="A295">
            <v>7908256086</v>
          </cell>
          <cell r="M295" t="str">
            <v>34.500</v>
          </cell>
        </row>
        <row r="296">
          <cell r="A296">
            <v>7907571122</v>
          </cell>
          <cell r="M296" t="str">
            <v>13.800</v>
          </cell>
        </row>
        <row r="297">
          <cell r="A297">
            <v>7908250250</v>
          </cell>
          <cell r="M297" t="str">
            <v>34.500</v>
          </cell>
        </row>
        <row r="298">
          <cell r="A298">
            <v>7910063075</v>
          </cell>
          <cell r="M298" t="str">
            <v>34.500</v>
          </cell>
        </row>
        <row r="299">
          <cell r="A299">
            <v>7908206074</v>
          </cell>
          <cell r="M299" t="str">
            <v>34.500</v>
          </cell>
        </row>
        <row r="300">
          <cell r="A300">
            <v>7921278157</v>
          </cell>
          <cell r="M300" t="str">
            <v>34.500</v>
          </cell>
        </row>
        <row r="301">
          <cell r="A301">
            <v>7921277157</v>
          </cell>
          <cell r="M301" t="str">
            <v>34.500</v>
          </cell>
        </row>
        <row r="302">
          <cell r="A302">
            <v>7900554139</v>
          </cell>
          <cell r="M302" t="str">
            <v>34.500</v>
          </cell>
        </row>
        <row r="303">
          <cell r="A303">
            <v>7908475122</v>
          </cell>
          <cell r="M303" t="str">
            <v>13.800</v>
          </cell>
        </row>
        <row r="304">
          <cell r="A304">
            <v>7908692026</v>
          </cell>
          <cell r="M304" t="str">
            <v>34.500</v>
          </cell>
        </row>
        <row r="305">
          <cell r="A305">
            <v>7910231015</v>
          </cell>
          <cell r="M305" t="str">
            <v>34.500</v>
          </cell>
        </row>
        <row r="306">
          <cell r="A306">
            <v>7921204014</v>
          </cell>
          <cell r="M306" t="str">
            <v>34.500</v>
          </cell>
        </row>
        <row r="307">
          <cell r="A307">
            <v>7921202014</v>
          </cell>
          <cell r="M307" t="str">
            <v>34.500</v>
          </cell>
        </row>
        <row r="308">
          <cell r="A308">
            <v>7901195014</v>
          </cell>
          <cell r="M308" t="str">
            <v>34.500</v>
          </cell>
        </row>
        <row r="309">
          <cell r="A309">
            <v>7908714038</v>
          </cell>
          <cell r="M309" t="str">
            <v>34.500</v>
          </cell>
        </row>
        <row r="310">
          <cell r="A310">
            <v>7900759045</v>
          </cell>
          <cell r="M310" t="str">
            <v>34.500</v>
          </cell>
        </row>
        <row r="311">
          <cell r="A311">
            <v>7910410013</v>
          </cell>
          <cell r="M311" t="str">
            <v>13.800</v>
          </cell>
        </row>
        <row r="312">
          <cell r="A312">
            <v>7919385073</v>
          </cell>
          <cell r="M312" t="str">
            <v>34.500</v>
          </cell>
        </row>
        <row r="313">
          <cell r="A313">
            <v>7900061092</v>
          </cell>
          <cell r="M313" t="str">
            <v>34.500</v>
          </cell>
        </row>
        <row r="314">
          <cell r="A314">
            <v>7907536092</v>
          </cell>
          <cell r="M314" t="str">
            <v>34.500</v>
          </cell>
        </row>
        <row r="315">
          <cell r="A315">
            <v>7921201014</v>
          </cell>
          <cell r="M315" t="str">
            <v>34.500</v>
          </cell>
        </row>
        <row r="316">
          <cell r="A316">
            <v>7908694196</v>
          </cell>
          <cell r="M316" t="str">
            <v>34.500</v>
          </cell>
        </row>
        <row r="317">
          <cell r="A317">
            <v>7921205014</v>
          </cell>
          <cell r="M317" t="str">
            <v>34.500</v>
          </cell>
        </row>
        <row r="318">
          <cell r="A318">
            <v>7900019160</v>
          </cell>
          <cell r="M318" t="str">
            <v>34.500</v>
          </cell>
        </row>
        <row r="319">
          <cell r="A319">
            <v>7900018004</v>
          </cell>
          <cell r="M319" t="str">
            <v>34.500</v>
          </cell>
        </row>
        <row r="320">
          <cell r="A320">
            <v>7919270014</v>
          </cell>
          <cell r="M320" t="str">
            <v>34.500</v>
          </cell>
        </row>
        <row r="321">
          <cell r="A321">
            <v>7919269073</v>
          </cell>
          <cell r="M321" t="str">
            <v>34.500</v>
          </cell>
        </row>
        <row r="322">
          <cell r="A322">
            <v>7900939008</v>
          </cell>
          <cell r="M322" t="str">
            <v>34.500</v>
          </cell>
        </row>
        <row r="323">
          <cell r="A323">
            <v>7919265012</v>
          </cell>
          <cell r="M323" t="str">
            <v>34.500</v>
          </cell>
        </row>
        <row r="324">
          <cell r="A324">
            <v>7920851094</v>
          </cell>
          <cell r="M324" t="str">
            <v>34.500</v>
          </cell>
        </row>
        <row r="325">
          <cell r="A325">
            <v>7920080052</v>
          </cell>
          <cell r="M325" t="str">
            <v>34.500</v>
          </cell>
        </row>
        <row r="326">
          <cell r="A326">
            <v>7900275024</v>
          </cell>
          <cell r="M326" t="str">
            <v>13.800</v>
          </cell>
        </row>
        <row r="327">
          <cell r="A327">
            <v>7900285090</v>
          </cell>
          <cell r="M327" t="str">
            <v>13.800</v>
          </cell>
        </row>
        <row r="328">
          <cell r="A328">
            <v>7911676038</v>
          </cell>
          <cell r="M328" t="str">
            <v>34.500</v>
          </cell>
        </row>
        <row r="329">
          <cell r="A329">
            <v>7908706027</v>
          </cell>
          <cell r="M329" t="str">
            <v>34.500</v>
          </cell>
        </row>
        <row r="330">
          <cell r="A330">
            <v>7823244233</v>
          </cell>
          <cell r="M330" t="str">
            <v>34.500</v>
          </cell>
        </row>
        <row r="331">
          <cell r="A331">
            <v>7927112073</v>
          </cell>
          <cell r="M331" t="str">
            <v>34.500</v>
          </cell>
        </row>
        <row r="332">
          <cell r="A332">
            <v>7923672004</v>
          </cell>
          <cell r="M332" t="str">
            <v>13.800</v>
          </cell>
        </row>
        <row r="333">
          <cell r="A333">
            <v>7943291004</v>
          </cell>
          <cell r="M333" t="str">
            <v>13.800</v>
          </cell>
        </row>
        <row r="334">
          <cell r="A334">
            <v>7923674004</v>
          </cell>
          <cell r="M334" t="str">
            <v>13.800</v>
          </cell>
        </row>
        <row r="335">
          <cell r="A335">
            <v>7923679004</v>
          </cell>
          <cell r="M335" t="str">
            <v>13.800</v>
          </cell>
        </row>
        <row r="336">
          <cell r="A336">
            <v>7923673004</v>
          </cell>
          <cell r="M336" t="str">
            <v>13.800</v>
          </cell>
        </row>
        <row r="337">
          <cell r="A337">
            <v>7924268059</v>
          </cell>
          <cell r="M337" t="str">
            <v>13.800</v>
          </cell>
        </row>
        <row r="338">
          <cell r="A338">
            <v>7924349007</v>
          </cell>
          <cell r="M338" t="str">
            <v>34.500</v>
          </cell>
        </row>
        <row r="339">
          <cell r="A339">
            <v>7922965090</v>
          </cell>
          <cell r="M339" t="str">
            <v>34.500</v>
          </cell>
        </row>
        <row r="340">
          <cell r="A340">
            <v>7923925059</v>
          </cell>
          <cell r="M340" t="str">
            <v>34.500</v>
          </cell>
        </row>
        <row r="341">
          <cell r="A341">
            <v>7924271059</v>
          </cell>
          <cell r="M341" t="str">
            <v>34.500</v>
          </cell>
        </row>
        <row r="342">
          <cell r="A342">
            <v>7924700007</v>
          </cell>
          <cell r="M342" t="str">
            <v>34.500</v>
          </cell>
        </row>
        <row r="343">
          <cell r="A343">
            <v>7925563149</v>
          </cell>
          <cell r="M343" t="str">
            <v>34.500</v>
          </cell>
        </row>
        <row r="344">
          <cell r="A344">
            <v>7921040031</v>
          </cell>
          <cell r="M344" t="str">
            <v>34.500</v>
          </cell>
        </row>
        <row r="345">
          <cell r="A345">
            <v>7925146040</v>
          </cell>
          <cell r="M345" t="str">
            <v>34.500</v>
          </cell>
        </row>
        <row r="346">
          <cell r="A346">
            <v>7925140058</v>
          </cell>
          <cell r="M346" t="str">
            <v>34.500</v>
          </cell>
        </row>
        <row r="347">
          <cell r="A347">
            <v>7924844060</v>
          </cell>
          <cell r="M347" t="str">
            <v>13.800</v>
          </cell>
        </row>
        <row r="348">
          <cell r="A348">
            <v>7925111033</v>
          </cell>
          <cell r="M348" t="str">
            <v>34.500</v>
          </cell>
        </row>
        <row r="349">
          <cell r="A349">
            <v>7924115034</v>
          </cell>
          <cell r="M349" t="str">
            <v>34.500</v>
          </cell>
        </row>
        <row r="350">
          <cell r="A350">
            <v>7925120024</v>
          </cell>
          <cell r="M350" t="str">
            <v>34.500</v>
          </cell>
        </row>
        <row r="351">
          <cell r="A351">
            <v>7925107033</v>
          </cell>
          <cell r="M351" t="str">
            <v>34.500</v>
          </cell>
        </row>
        <row r="352">
          <cell r="A352">
            <v>7925562149</v>
          </cell>
          <cell r="M352" t="str">
            <v>34.500</v>
          </cell>
        </row>
        <row r="353">
          <cell r="A353">
            <v>7900888055</v>
          </cell>
          <cell r="M353" t="str">
            <v>34.500</v>
          </cell>
        </row>
        <row r="354">
          <cell r="A354">
            <v>7925586075</v>
          </cell>
          <cell r="M354" t="str">
            <v>34.500</v>
          </cell>
        </row>
        <row r="355">
          <cell r="A355">
            <v>7921039031</v>
          </cell>
          <cell r="M355" t="str">
            <v>34.500</v>
          </cell>
        </row>
        <row r="356">
          <cell r="A356">
            <v>7925104024</v>
          </cell>
          <cell r="M356" t="str">
            <v>34.500</v>
          </cell>
        </row>
        <row r="357">
          <cell r="A357">
            <v>7924624186</v>
          </cell>
          <cell r="M357" t="str">
            <v>34.500</v>
          </cell>
        </row>
        <row r="358">
          <cell r="A358">
            <v>7924625186</v>
          </cell>
          <cell r="M358" t="str">
            <v>34.500</v>
          </cell>
        </row>
        <row r="359">
          <cell r="A359">
            <v>7925150058</v>
          </cell>
          <cell r="M359" t="str">
            <v>34.500</v>
          </cell>
        </row>
        <row r="360">
          <cell r="A360">
            <v>7925126060</v>
          </cell>
          <cell r="M360" t="str">
            <v>13.800</v>
          </cell>
        </row>
        <row r="361">
          <cell r="A361">
            <v>7925580059</v>
          </cell>
          <cell r="M361" t="str">
            <v>34.500</v>
          </cell>
        </row>
        <row r="362">
          <cell r="A362">
            <v>7925569059</v>
          </cell>
          <cell r="M362" t="str">
            <v>34.500</v>
          </cell>
        </row>
        <row r="363">
          <cell r="A363">
            <v>7923110021</v>
          </cell>
          <cell r="M363" t="str">
            <v>34.500</v>
          </cell>
        </row>
        <row r="364">
          <cell r="A364">
            <v>7921021048</v>
          </cell>
          <cell r="M364" t="str">
            <v>34.500</v>
          </cell>
        </row>
        <row r="365">
          <cell r="A365">
            <v>7924850004</v>
          </cell>
          <cell r="M365" t="str">
            <v>34.500</v>
          </cell>
        </row>
        <row r="366">
          <cell r="A366">
            <v>7924622052</v>
          </cell>
          <cell r="M366" t="str">
            <v>34.500</v>
          </cell>
        </row>
        <row r="367">
          <cell r="A367">
            <v>7925588055</v>
          </cell>
          <cell r="M367" t="str">
            <v>34.500</v>
          </cell>
        </row>
        <row r="368">
          <cell r="A368">
            <v>7924623200</v>
          </cell>
          <cell r="M368" t="str">
            <v>34.500</v>
          </cell>
        </row>
        <row r="369">
          <cell r="A369">
            <v>7925570055</v>
          </cell>
          <cell r="M369" t="str">
            <v>34.500</v>
          </cell>
        </row>
        <row r="370">
          <cell r="A370">
            <v>7923683058</v>
          </cell>
          <cell r="M370" t="str">
            <v>34.500</v>
          </cell>
        </row>
        <row r="371">
          <cell r="A371">
            <v>7925573007</v>
          </cell>
          <cell r="M371" t="str">
            <v>13.800</v>
          </cell>
        </row>
        <row r="372">
          <cell r="A372">
            <v>7922502271</v>
          </cell>
          <cell r="M372" t="str">
            <v>13.800</v>
          </cell>
        </row>
        <row r="373">
          <cell r="A373">
            <v>7925572007</v>
          </cell>
          <cell r="M373" t="str">
            <v>13.800</v>
          </cell>
        </row>
        <row r="374">
          <cell r="A374">
            <v>7900732001</v>
          </cell>
          <cell r="M374" t="str">
            <v>13.800</v>
          </cell>
        </row>
        <row r="375">
          <cell r="A375">
            <v>7924620047</v>
          </cell>
          <cell r="M375" t="str">
            <v>13.800</v>
          </cell>
        </row>
        <row r="376">
          <cell r="A376">
            <v>7925325007</v>
          </cell>
          <cell r="M376" t="str">
            <v>13.800</v>
          </cell>
        </row>
        <row r="377">
          <cell r="A377">
            <v>7924621097</v>
          </cell>
          <cell r="M377" t="str">
            <v>13.800</v>
          </cell>
        </row>
        <row r="378">
          <cell r="A378">
            <v>7901179122</v>
          </cell>
          <cell r="M378" t="str">
            <v>13.800</v>
          </cell>
        </row>
        <row r="379">
          <cell r="A379">
            <v>7925601111</v>
          </cell>
          <cell r="M379" t="str">
            <v>34.500</v>
          </cell>
        </row>
        <row r="380">
          <cell r="A380">
            <v>7925708111</v>
          </cell>
          <cell r="M380" t="str">
            <v>34.500</v>
          </cell>
        </row>
        <row r="381">
          <cell r="A381">
            <v>7902454122</v>
          </cell>
          <cell r="M381" t="str">
            <v>13.800</v>
          </cell>
        </row>
        <row r="382">
          <cell r="A382">
            <v>7925706087</v>
          </cell>
          <cell r="M382" t="str">
            <v>34.500</v>
          </cell>
        </row>
        <row r="383">
          <cell r="A383">
            <v>7925602033</v>
          </cell>
          <cell r="M383" t="str">
            <v>34.500</v>
          </cell>
        </row>
        <row r="384">
          <cell r="A384">
            <v>7925719023</v>
          </cell>
          <cell r="M384" t="str">
            <v>13.800</v>
          </cell>
        </row>
        <row r="385">
          <cell r="A385">
            <v>7925722023</v>
          </cell>
          <cell r="M385" t="str">
            <v>13.800</v>
          </cell>
        </row>
        <row r="386">
          <cell r="A386">
            <v>7924823034</v>
          </cell>
          <cell r="M386" t="str">
            <v>34.500</v>
          </cell>
        </row>
        <row r="387">
          <cell r="A387">
            <v>7925744087</v>
          </cell>
          <cell r="M387" t="str">
            <v>34.500</v>
          </cell>
        </row>
        <row r="388">
          <cell r="A388">
            <v>7923927122</v>
          </cell>
          <cell r="M388" t="str">
            <v>34.500</v>
          </cell>
        </row>
        <row r="389">
          <cell r="A389">
            <v>7923686078</v>
          </cell>
          <cell r="M389" t="str">
            <v>34.500</v>
          </cell>
        </row>
        <row r="390">
          <cell r="A390">
            <v>7921049024</v>
          </cell>
          <cell r="M390" t="str">
            <v>34.500</v>
          </cell>
        </row>
        <row r="391">
          <cell r="A391">
            <v>7925729023</v>
          </cell>
          <cell r="M391" t="str">
            <v>13.800</v>
          </cell>
        </row>
        <row r="392">
          <cell r="A392">
            <v>7925522025</v>
          </cell>
          <cell r="M392" t="str">
            <v>34.500</v>
          </cell>
        </row>
        <row r="393">
          <cell r="A393">
            <v>7925730078</v>
          </cell>
          <cell r="M393" t="str">
            <v>34.500</v>
          </cell>
        </row>
        <row r="394">
          <cell r="A394">
            <v>7949585053</v>
          </cell>
          <cell r="M394" t="str">
            <v>34.500</v>
          </cell>
        </row>
        <row r="395">
          <cell r="A395">
            <v>7924841030</v>
          </cell>
          <cell r="M395" t="str">
            <v>34.500</v>
          </cell>
        </row>
        <row r="396">
          <cell r="A396">
            <v>7925748016</v>
          </cell>
          <cell r="M396" t="str">
            <v>34.500</v>
          </cell>
        </row>
        <row r="397">
          <cell r="A397">
            <v>7922960016</v>
          </cell>
          <cell r="M397" t="str">
            <v>34.500</v>
          </cell>
        </row>
        <row r="398">
          <cell r="A398">
            <v>7925725002</v>
          </cell>
          <cell r="M398" t="str">
            <v>13.800</v>
          </cell>
        </row>
        <row r="399">
          <cell r="A399">
            <v>7925726002</v>
          </cell>
          <cell r="M399" t="str">
            <v>13.800</v>
          </cell>
        </row>
        <row r="400">
          <cell r="A400">
            <v>7925727002</v>
          </cell>
          <cell r="M400" t="str">
            <v>13.800</v>
          </cell>
        </row>
        <row r="401">
          <cell r="A401">
            <v>7925709087</v>
          </cell>
          <cell r="M401" t="str">
            <v>34.500</v>
          </cell>
        </row>
        <row r="402">
          <cell r="A402">
            <v>7925621104</v>
          </cell>
          <cell r="M402" t="str">
            <v>34.500</v>
          </cell>
        </row>
        <row r="403">
          <cell r="A403">
            <v>7925622104</v>
          </cell>
          <cell r="M403" t="str">
            <v>34.500</v>
          </cell>
        </row>
        <row r="404">
          <cell r="A404">
            <v>7925731057</v>
          </cell>
          <cell r="M404" t="str">
            <v>34.500</v>
          </cell>
        </row>
        <row r="405">
          <cell r="A405">
            <v>7925734195</v>
          </cell>
          <cell r="M405" t="str">
            <v>34.500</v>
          </cell>
        </row>
        <row r="406">
          <cell r="A406">
            <v>7921011227</v>
          </cell>
          <cell r="M406" t="str">
            <v>34.500</v>
          </cell>
        </row>
        <row r="407">
          <cell r="A407">
            <v>7926078046</v>
          </cell>
          <cell r="M407" t="str">
            <v>34.500</v>
          </cell>
        </row>
        <row r="408">
          <cell r="A408">
            <v>7925623011</v>
          </cell>
          <cell r="M408" t="str">
            <v>13.800</v>
          </cell>
        </row>
        <row r="409">
          <cell r="A409">
            <v>7925739016</v>
          </cell>
          <cell r="M409" t="str">
            <v>34.500</v>
          </cell>
        </row>
        <row r="410">
          <cell r="A410">
            <v>7926403035</v>
          </cell>
          <cell r="M410" t="str">
            <v>34.500</v>
          </cell>
        </row>
        <row r="411">
          <cell r="A411">
            <v>7926201190</v>
          </cell>
          <cell r="M411" t="str">
            <v>34.500</v>
          </cell>
        </row>
        <row r="412">
          <cell r="A412">
            <v>7901771014</v>
          </cell>
          <cell r="M412" t="str">
            <v>34.500</v>
          </cell>
        </row>
        <row r="413">
          <cell r="A413">
            <v>7926655070</v>
          </cell>
          <cell r="M413" t="str">
            <v>34.500</v>
          </cell>
        </row>
        <row r="414">
          <cell r="A414">
            <v>7926089013</v>
          </cell>
          <cell r="M414" t="str">
            <v>34.500</v>
          </cell>
        </row>
        <row r="415">
          <cell r="A415">
            <v>7926656122</v>
          </cell>
          <cell r="M415" t="str">
            <v>34.500</v>
          </cell>
        </row>
        <row r="416">
          <cell r="A416">
            <v>7925737080</v>
          </cell>
          <cell r="M416" t="str">
            <v>34.500</v>
          </cell>
        </row>
        <row r="417">
          <cell r="A417">
            <v>7924914134</v>
          </cell>
          <cell r="M417" t="str">
            <v>34.500</v>
          </cell>
        </row>
        <row r="418">
          <cell r="A418">
            <v>7926079073</v>
          </cell>
          <cell r="M418" t="str">
            <v>34.500</v>
          </cell>
        </row>
        <row r="419">
          <cell r="A419">
            <v>7926080073</v>
          </cell>
          <cell r="M419" t="str">
            <v>34.500</v>
          </cell>
        </row>
        <row r="420">
          <cell r="A420">
            <v>7922993065</v>
          </cell>
          <cell r="M420" t="str">
            <v>13.800</v>
          </cell>
        </row>
        <row r="421">
          <cell r="A421">
            <v>7927310083</v>
          </cell>
          <cell r="M421" t="str">
            <v>34.500</v>
          </cell>
        </row>
        <row r="422">
          <cell r="A422">
            <v>7926672083</v>
          </cell>
          <cell r="M422" t="str">
            <v>34.500</v>
          </cell>
        </row>
        <row r="423">
          <cell r="A423">
            <v>7927319122</v>
          </cell>
          <cell r="M423" t="str">
            <v>34.500</v>
          </cell>
        </row>
        <row r="424">
          <cell r="A424">
            <v>7927644152</v>
          </cell>
          <cell r="M424" t="str">
            <v>34.500</v>
          </cell>
        </row>
        <row r="425">
          <cell r="A425">
            <v>7927650001</v>
          </cell>
          <cell r="M425" t="str">
            <v>34.500</v>
          </cell>
        </row>
        <row r="426">
          <cell r="A426">
            <v>7925732016</v>
          </cell>
          <cell r="M426" t="str">
            <v>34.500</v>
          </cell>
        </row>
        <row r="427">
          <cell r="A427">
            <v>7926059013</v>
          </cell>
          <cell r="M427" t="str">
            <v>34.500</v>
          </cell>
        </row>
        <row r="428">
          <cell r="A428">
            <v>7926253032</v>
          </cell>
          <cell r="M428" t="str">
            <v>34.500</v>
          </cell>
        </row>
        <row r="429">
          <cell r="A429">
            <v>7925733015</v>
          </cell>
          <cell r="M429" t="str">
            <v>34.500</v>
          </cell>
        </row>
        <row r="430">
          <cell r="A430">
            <v>7924719090</v>
          </cell>
          <cell r="M430" t="str">
            <v>34.500</v>
          </cell>
        </row>
        <row r="431">
          <cell r="A431">
            <v>7924883090</v>
          </cell>
          <cell r="M431" t="str">
            <v>34.500</v>
          </cell>
        </row>
        <row r="432">
          <cell r="A432">
            <v>7926645073</v>
          </cell>
          <cell r="M432" t="str">
            <v>34.500</v>
          </cell>
        </row>
        <row r="433">
          <cell r="A433">
            <v>7926441035</v>
          </cell>
          <cell r="M433" t="str">
            <v>34.500</v>
          </cell>
        </row>
        <row r="434">
          <cell r="A434">
            <v>7926442035</v>
          </cell>
          <cell r="M434" t="str">
            <v>34.500</v>
          </cell>
        </row>
        <row r="435">
          <cell r="A435">
            <v>7925898004</v>
          </cell>
          <cell r="M435" t="str">
            <v>34.500</v>
          </cell>
        </row>
        <row r="436">
          <cell r="A436">
            <v>7925851004</v>
          </cell>
          <cell r="M436" t="str">
            <v>34.500</v>
          </cell>
        </row>
        <row r="437">
          <cell r="A437">
            <v>7900100147</v>
          </cell>
          <cell r="M437" t="str">
            <v>34.500</v>
          </cell>
        </row>
        <row r="438">
          <cell r="A438">
            <v>7925869030</v>
          </cell>
          <cell r="M438" t="str">
            <v>34.500</v>
          </cell>
        </row>
        <row r="439">
          <cell r="A439">
            <v>7911644074</v>
          </cell>
          <cell r="M439" t="str">
            <v>34.500</v>
          </cell>
        </row>
        <row r="440">
          <cell r="A440">
            <v>7927693110</v>
          </cell>
          <cell r="M440" t="str">
            <v>34.500</v>
          </cell>
        </row>
        <row r="441">
          <cell r="A441">
            <v>7911617038</v>
          </cell>
          <cell r="M441" t="str">
            <v>34.500</v>
          </cell>
        </row>
        <row r="442">
          <cell r="A442">
            <v>7925051094</v>
          </cell>
          <cell r="M442" t="str">
            <v>34.500</v>
          </cell>
        </row>
        <row r="443">
          <cell r="A443">
            <v>7924617094</v>
          </cell>
          <cell r="M443" t="str">
            <v>34.500</v>
          </cell>
        </row>
        <row r="444">
          <cell r="A444">
            <v>7924611052</v>
          </cell>
          <cell r="M444" t="str">
            <v>34.500</v>
          </cell>
        </row>
        <row r="445">
          <cell r="A445">
            <v>7924612052</v>
          </cell>
          <cell r="M445" t="str">
            <v>34.500</v>
          </cell>
        </row>
        <row r="446">
          <cell r="A446">
            <v>7924610052</v>
          </cell>
          <cell r="M446" t="str">
            <v>34.500</v>
          </cell>
        </row>
        <row r="447">
          <cell r="A447">
            <v>7927138110</v>
          </cell>
          <cell r="M447" t="str">
            <v>34.500</v>
          </cell>
        </row>
        <row r="448">
          <cell r="A448">
            <v>7926439110</v>
          </cell>
          <cell r="M448" t="str">
            <v>34.500</v>
          </cell>
        </row>
        <row r="449">
          <cell r="A449">
            <v>7925866090</v>
          </cell>
          <cell r="M449" t="str">
            <v>13.800</v>
          </cell>
        </row>
        <row r="450">
          <cell r="A450">
            <v>7926785070</v>
          </cell>
          <cell r="M450" t="str">
            <v>34.500</v>
          </cell>
        </row>
        <row r="451">
          <cell r="A451">
            <v>7924925088</v>
          </cell>
          <cell r="M451" t="str">
            <v>34.500</v>
          </cell>
        </row>
        <row r="452">
          <cell r="A452">
            <v>7924930088</v>
          </cell>
          <cell r="M452" t="str">
            <v>34.500</v>
          </cell>
        </row>
        <row r="453">
          <cell r="A453">
            <v>7924919131</v>
          </cell>
          <cell r="M453" t="str">
            <v>34.500</v>
          </cell>
        </row>
        <row r="454">
          <cell r="A454">
            <v>7925897004</v>
          </cell>
          <cell r="M454" t="str">
            <v>34.500</v>
          </cell>
        </row>
        <row r="455">
          <cell r="A455">
            <v>7925705048</v>
          </cell>
          <cell r="M455" t="str">
            <v>34.500</v>
          </cell>
        </row>
        <row r="456">
          <cell r="A456">
            <v>7925891030</v>
          </cell>
          <cell r="M456" t="str">
            <v>34.500</v>
          </cell>
        </row>
        <row r="457">
          <cell r="A457">
            <v>7925868030</v>
          </cell>
          <cell r="M457" t="str">
            <v>34.500</v>
          </cell>
        </row>
        <row r="458">
          <cell r="A458">
            <v>7925704079</v>
          </cell>
          <cell r="M458" t="str">
            <v>34.500</v>
          </cell>
        </row>
        <row r="459">
          <cell r="A459">
            <v>7900488066</v>
          </cell>
          <cell r="M459" t="str">
            <v>34.500</v>
          </cell>
        </row>
        <row r="460">
          <cell r="A460">
            <v>7924840155</v>
          </cell>
          <cell r="M460" t="str">
            <v>34.500</v>
          </cell>
        </row>
        <row r="461">
          <cell r="A461">
            <v>7925713040</v>
          </cell>
          <cell r="M461" t="str">
            <v>34.500</v>
          </cell>
        </row>
        <row r="462">
          <cell r="A462">
            <v>7927645250</v>
          </cell>
          <cell r="M462" t="str">
            <v>34.500</v>
          </cell>
        </row>
        <row r="463">
          <cell r="A463">
            <v>7925892080</v>
          </cell>
          <cell r="M463" t="str">
            <v>34.500</v>
          </cell>
        </row>
        <row r="464">
          <cell r="A464">
            <v>7926077084</v>
          </cell>
          <cell r="M464" t="str">
            <v>34.500</v>
          </cell>
        </row>
        <row r="465">
          <cell r="A465">
            <v>7924920068</v>
          </cell>
          <cell r="M465" t="str">
            <v>34.500</v>
          </cell>
        </row>
        <row r="466">
          <cell r="A466">
            <v>7924915068</v>
          </cell>
          <cell r="M466" t="str">
            <v>34.500</v>
          </cell>
        </row>
        <row r="467">
          <cell r="A467">
            <v>7925717015</v>
          </cell>
          <cell r="M467" t="str">
            <v>34.500</v>
          </cell>
        </row>
        <row r="468">
          <cell r="A468">
            <v>7925872019</v>
          </cell>
          <cell r="M468" t="str">
            <v>34.500</v>
          </cell>
        </row>
        <row r="469">
          <cell r="A469">
            <v>7927000155</v>
          </cell>
          <cell r="M469" t="str">
            <v>34.500</v>
          </cell>
        </row>
        <row r="470">
          <cell r="A470">
            <v>7925899022</v>
          </cell>
          <cell r="M470" t="str">
            <v>34.500</v>
          </cell>
        </row>
        <row r="471">
          <cell r="A471">
            <v>7925736080</v>
          </cell>
          <cell r="M471" t="str">
            <v>34.500</v>
          </cell>
        </row>
        <row r="472">
          <cell r="A472">
            <v>7924897265</v>
          </cell>
          <cell r="M472" t="str">
            <v>34.500</v>
          </cell>
        </row>
        <row r="473">
          <cell r="A473">
            <v>7925871077</v>
          </cell>
          <cell r="M473" t="str">
            <v>34.500</v>
          </cell>
        </row>
        <row r="474">
          <cell r="A474">
            <v>7924895077</v>
          </cell>
          <cell r="M474" t="str">
            <v>34.500</v>
          </cell>
        </row>
        <row r="475">
          <cell r="A475">
            <v>7924896193</v>
          </cell>
          <cell r="M475" t="str">
            <v>34.500</v>
          </cell>
        </row>
        <row r="476">
          <cell r="A476">
            <v>7925873193</v>
          </cell>
          <cell r="M476" t="str">
            <v>34.500</v>
          </cell>
        </row>
        <row r="477">
          <cell r="A477">
            <v>7925870030</v>
          </cell>
          <cell r="M477" t="str">
            <v>34.500</v>
          </cell>
        </row>
        <row r="478">
          <cell r="A478">
            <v>7926787082</v>
          </cell>
          <cell r="M478" t="str">
            <v>34.500</v>
          </cell>
        </row>
        <row r="479">
          <cell r="A479">
            <v>7927312010</v>
          </cell>
          <cell r="M479" t="str">
            <v>34.500</v>
          </cell>
        </row>
        <row r="480">
          <cell r="A480">
            <v>7925860127</v>
          </cell>
          <cell r="M480" t="str">
            <v>34.500</v>
          </cell>
        </row>
        <row r="481">
          <cell r="A481">
            <v>7925854127</v>
          </cell>
          <cell r="M481" t="str">
            <v>34.500</v>
          </cell>
        </row>
        <row r="482">
          <cell r="A482">
            <v>7925874119</v>
          </cell>
          <cell r="M482" t="str">
            <v>34.500</v>
          </cell>
        </row>
        <row r="483">
          <cell r="A483">
            <v>7925875119</v>
          </cell>
          <cell r="M483" t="str">
            <v>34.500</v>
          </cell>
        </row>
        <row r="484">
          <cell r="A484">
            <v>7922995039</v>
          </cell>
          <cell r="M484" t="str">
            <v>13.800</v>
          </cell>
        </row>
        <row r="485">
          <cell r="A485">
            <v>7924616076</v>
          </cell>
          <cell r="M485" t="str">
            <v>34.500</v>
          </cell>
        </row>
        <row r="486">
          <cell r="A486">
            <v>7926251094</v>
          </cell>
          <cell r="M486" t="str">
            <v>34.500</v>
          </cell>
        </row>
        <row r="487">
          <cell r="A487">
            <v>7926252094</v>
          </cell>
          <cell r="M487" t="str">
            <v>34.500</v>
          </cell>
        </row>
        <row r="488">
          <cell r="A488">
            <v>7928151001</v>
          </cell>
          <cell r="M488" t="str">
            <v>13.800</v>
          </cell>
        </row>
        <row r="489">
          <cell r="A489">
            <v>7927785004</v>
          </cell>
          <cell r="M489" t="str">
            <v>13.800</v>
          </cell>
        </row>
        <row r="490">
          <cell r="A490">
            <v>7925853004</v>
          </cell>
          <cell r="M490" t="str">
            <v>13.800</v>
          </cell>
        </row>
        <row r="491">
          <cell r="A491">
            <v>7927751004</v>
          </cell>
          <cell r="M491" t="str">
            <v>13.800</v>
          </cell>
        </row>
        <row r="492">
          <cell r="A492">
            <v>7927795004</v>
          </cell>
          <cell r="M492" t="str">
            <v>13.800</v>
          </cell>
        </row>
        <row r="493">
          <cell r="A493">
            <v>7924614139</v>
          </cell>
          <cell r="M493" t="str">
            <v>34.500</v>
          </cell>
        </row>
        <row r="494">
          <cell r="A494">
            <v>7925640155</v>
          </cell>
          <cell r="M494" t="str">
            <v>34.500</v>
          </cell>
        </row>
        <row r="495">
          <cell r="A495">
            <v>7928466004</v>
          </cell>
          <cell r="M495" t="str">
            <v>13.800</v>
          </cell>
        </row>
        <row r="496">
          <cell r="A496">
            <v>7925857080</v>
          </cell>
          <cell r="M496" t="str">
            <v>34.500</v>
          </cell>
        </row>
        <row r="497">
          <cell r="A497">
            <v>7929377080</v>
          </cell>
          <cell r="M497" t="str">
            <v>34.500</v>
          </cell>
        </row>
        <row r="498">
          <cell r="A498">
            <v>7929374004</v>
          </cell>
          <cell r="M498" t="str">
            <v>13.800</v>
          </cell>
        </row>
        <row r="499">
          <cell r="A499">
            <v>7928553045</v>
          </cell>
          <cell r="M499" t="str">
            <v>34.500</v>
          </cell>
        </row>
        <row r="500">
          <cell r="A500">
            <v>7925419039</v>
          </cell>
          <cell r="M500" t="str">
            <v>34.500</v>
          </cell>
        </row>
        <row r="501">
          <cell r="A501">
            <v>7925421039</v>
          </cell>
          <cell r="M501" t="str">
            <v>34.500</v>
          </cell>
        </row>
        <row r="502">
          <cell r="A502">
            <v>7925425039</v>
          </cell>
          <cell r="M502" t="str">
            <v>34.500</v>
          </cell>
        </row>
        <row r="503">
          <cell r="A503">
            <v>7925096042</v>
          </cell>
          <cell r="M503" t="str">
            <v>13.800</v>
          </cell>
        </row>
        <row r="504">
          <cell r="A504">
            <v>7927711107</v>
          </cell>
          <cell r="M504" t="str">
            <v>34.500</v>
          </cell>
        </row>
        <row r="505">
          <cell r="A505">
            <v>7928722052</v>
          </cell>
          <cell r="M505" t="str">
            <v>34.500</v>
          </cell>
        </row>
        <row r="506">
          <cell r="A506">
            <v>7927396052</v>
          </cell>
          <cell r="M506" t="str">
            <v>34.500</v>
          </cell>
        </row>
        <row r="507">
          <cell r="A507">
            <v>7930425070</v>
          </cell>
          <cell r="M507" t="str">
            <v>34.500</v>
          </cell>
        </row>
        <row r="508">
          <cell r="A508">
            <v>7900578083</v>
          </cell>
          <cell r="M508" t="str">
            <v>34.500</v>
          </cell>
        </row>
        <row r="509">
          <cell r="A509">
            <v>7825093076</v>
          </cell>
          <cell r="M509" t="str">
            <v>34.500</v>
          </cell>
        </row>
        <row r="510">
          <cell r="A510">
            <v>7927713200</v>
          </cell>
          <cell r="M510" t="str">
            <v>34.500</v>
          </cell>
        </row>
        <row r="511">
          <cell r="A511">
            <v>7927413001</v>
          </cell>
          <cell r="M511" t="str">
            <v>34.500</v>
          </cell>
        </row>
        <row r="512">
          <cell r="A512">
            <v>7926839055</v>
          </cell>
          <cell r="M512" t="str">
            <v>34.500</v>
          </cell>
        </row>
        <row r="513">
          <cell r="A513">
            <v>7925880056</v>
          </cell>
          <cell r="M513" t="str">
            <v>34.500</v>
          </cell>
        </row>
        <row r="514">
          <cell r="A514">
            <v>7930281056</v>
          </cell>
          <cell r="M514" t="str">
            <v>34.500</v>
          </cell>
        </row>
        <row r="515">
          <cell r="A515">
            <v>7900011039</v>
          </cell>
          <cell r="M515" t="str">
            <v>34.500</v>
          </cell>
        </row>
        <row r="516">
          <cell r="A516">
            <v>7928565039</v>
          </cell>
          <cell r="M516" t="str">
            <v>34.500</v>
          </cell>
        </row>
        <row r="517">
          <cell r="A517">
            <v>7928233052</v>
          </cell>
          <cell r="M517" t="str">
            <v>34.500</v>
          </cell>
        </row>
        <row r="518">
          <cell r="A518">
            <v>7930430075</v>
          </cell>
          <cell r="M518" t="str">
            <v>34.500</v>
          </cell>
        </row>
        <row r="519">
          <cell r="A519">
            <v>7928243107</v>
          </cell>
          <cell r="M519" t="str">
            <v>34.500</v>
          </cell>
        </row>
        <row r="520">
          <cell r="A520">
            <v>7930427075</v>
          </cell>
          <cell r="M520" t="str">
            <v>34.500</v>
          </cell>
        </row>
        <row r="521">
          <cell r="A521">
            <v>7930428001</v>
          </cell>
          <cell r="M521" t="str">
            <v>34.500</v>
          </cell>
        </row>
        <row r="522">
          <cell r="A522">
            <v>7930424008</v>
          </cell>
          <cell r="M522" t="str">
            <v>34.500</v>
          </cell>
        </row>
        <row r="523">
          <cell r="A523">
            <v>7928244032</v>
          </cell>
          <cell r="M523" t="str">
            <v>34.500</v>
          </cell>
        </row>
        <row r="524">
          <cell r="A524">
            <v>7927712032</v>
          </cell>
          <cell r="M524" t="str">
            <v>34.500</v>
          </cell>
        </row>
        <row r="525">
          <cell r="A525">
            <v>7930264015</v>
          </cell>
          <cell r="M525" t="str">
            <v>34.500</v>
          </cell>
        </row>
        <row r="526">
          <cell r="A526">
            <v>7930262058</v>
          </cell>
          <cell r="M526" t="str">
            <v>34.500</v>
          </cell>
        </row>
        <row r="527">
          <cell r="A527">
            <v>7924921134</v>
          </cell>
          <cell r="M527" t="str">
            <v>34.500</v>
          </cell>
        </row>
        <row r="528">
          <cell r="A528">
            <v>7927643001</v>
          </cell>
          <cell r="M528" t="str">
            <v>34.500</v>
          </cell>
        </row>
        <row r="529">
          <cell r="A529">
            <v>7928248107</v>
          </cell>
          <cell r="M529" t="str">
            <v>34.500</v>
          </cell>
        </row>
        <row r="530">
          <cell r="A530">
            <v>7930287154</v>
          </cell>
          <cell r="M530" t="str">
            <v>34.500</v>
          </cell>
        </row>
        <row r="531">
          <cell r="A531">
            <v>7930358007</v>
          </cell>
          <cell r="M531" t="str">
            <v>34.500</v>
          </cell>
        </row>
        <row r="532">
          <cell r="A532">
            <v>7928498039</v>
          </cell>
          <cell r="M532" t="str">
            <v>34.500</v>
          </cell>
        </row>
        <row r="533">
          <cell r="A533">
            <v>7930293034</v>
          </cell>
          <cell r="M533" t="str">
            <v>34.500</v>
          </cell>
        </row>
        <row r="534">
          <cell r="A534">
            <v>7930418006</v>
          </cell>
          <cell r="M534" t="str">
            <v>34.500</v>
          </cell>
        </row>
        <row r="535">
          <cell r="A535">
            <v>7929376022</v>
          </cell>
          <cell r="M535" t="str">
            <v>34.500</v>
          </cell>
        </row>
        <row r="536">
          <cell r="A536">
            <v>7926780122</v>
          </cell>
          <cell r="M536" t="str">
            <v>34.500</v>
          </cell>
        </row>
        <row r="537">
          <cell r="A537">
            <v>7929383045</v>
          </cell>
          <cell r="M537" t="str">
            <v>34.500</v>
          </cell>
        </row>
        <row r="538">
          <cell r="A538">
            <v>7930426070</v>
          </cell>
          <cell r="M538" t="str">
            <v>34.500</v>
          </cell>
        </row>
        <row r="539">
          <cell r="A539">
            <v>7930288153</v>
          </cell>
          <cell r="M539" t="str">
            <v>34.500</v>
          </cell>
        </row>
        <row r="540">
          <cell r="A540">
            <v>7925081028</v>
          </cell>
          <cell r="M540" t="str">
            <v>34.500</v>
          </cell>
        </row>
        <row r="541">
          <cell r="A541">
            <v>7930265153</v>
          </cell>
          <cell r="M541" t="str">
            <v>34.500</v>
          </cell>
        </row>
        <row r="542">
          <cell r="A542">
            <v>7930274063</v>
          </cell>
          <cell r="M542" t="str">
            <v>34.500</v>
          </cell>
        </row>
        <row r="543">
          <cell r="A543">
            <v>7930294078</v>
          </cell>
          <cell r="M543" t="str">
            <v>34.500</v>
          </cell>
        </row>
        <row r="544">
          <cell r="A544">
            <v>7926894122</v>
          </cell>
          <cell r="M544" t="str">
            <v>13.800</v>
          </cell>
        </row>
        <row r="545">
          <cell r="A545">
            <v>7930037122</v>
          </cell>
          <cell r="M545" t="str">
            <v>13.800</v>
          </cell>
        </row>
        <row r="546">
          <cell r="A546">
            <v>7930041122</v>
          </cell>
          <cell r="M546" t="str">
            <v>13.800</v>
          </cell>
        </row>
        <row r="547">
          <cell r="A547">
            <v>7930039122</v>
          </cell>
          <cell r="M547" t="str">
            <v>13.800</v>
          </cell>
        </row>
        <row r="548">
          <cell r="A548">
            <v>7929531059</v>
          </cell>
          <cell r="M548" t="str">
            <v>13.800</v>
          </cell>
        </row>
        <row r="549">
          <cell r="A549">
            <v>7905501059</v>
          </cell>
          <cell r="M549" t="str">
            <v>13.800</v>
          </cell>
        </row>
        <row r="550">
          <cell r="A550">
            <v>7931601122</v>
          </cell>
          <cell r="M550" t="str">
            <v>13.800</v>
          </cell>
        </row>
        <row r="551">
          <cell r="A551">
            <v>7905502059</v>
          </cell>
          <cell r="M551" t="str">
            <v>13.800</v>
          </cell>
        </row>
        <row r="552">
          <cell r="A552">
            <v>7925084200</v>
          </cell>
          <cell r="M552" t="str">
            <v>34.500</v>
          </cell>
        </row>
        <row r="553">
          <cell r="A553">
            <v>7927443001</v>
          </cell>
          <cell r="M553" t="str">
            <v>13.800</v>
          </cell>
        </row>
        <row r="554">
          <cell r="A554">
            <v>7931384084</v>
          </cell>
          <cell r="M554" t="str">
            <v>34.500</v>
          </cell>
        </row>
        <row r="555">
          <cell r="A555">
            <v>7931380233</v>
          </cell>
          <cell r="M555" t="str">
            <v>34.500</v>
          </cell>
        </row>
        <row r="556">
          <cell r="A556">
            <v>7930942025</v>
          </cell>
          <cell r="M556" t="str">
            <v>34.500</v>
          </cell>
        </row>
        <row r="557">
          <cell r="A557">
            <v>7931602122</v>
          </cell>
          <cell r="M557" t="str">
            <v>13.800</v>
          </cell>
        </row>
        <row r="558">
          <cell r="A558">
            <v>7931381013</v>
          </cell>
          <cell r="M558" t="str">
            <v>13.800</v>
          </cell>
        </row>
        <row r="559">
          <cell r="A559">
            <v>7928260025</v>
          </cell>
          <cell r="M559" t="str">
            <v>34.500</v>
          </cell>
        </row>
        <row r="560">
          <cell r="A560">
            <v>7961785122</v>
          </cell>
          <cell r="M560" t="str">
            <v>13.800</v>
          </cell>
        </row>
        <row r="561">
          <cell r="A561">
            <v>7931382084</v>
          </cell>
          <cell r="M561" t="str">
            <v>34.500</v>
          </cell>
        </row>
        <row r="562">
          <cell r="A562">
            <v>7930263058</v>
          </cell>
          <cell r="M562" t="str">
            <v>34.500</v>
          </cell>
        </row>
        <row r="563">
          <cell r="A563">
            <v>7931689100</v>
          </cell>
          <cell r="M563" t="str">
            <v>34.500</v>
          </cell>
        </row>
        <row r="564">
          <cell r="A564">
            <v>7930911039</v>
          </cell>
          <cell r="M564" t="str">
            <v>13.800</v>
          </cell>
        </row>
        <row r="565">
          <cell r="A565">
            <v>7928246076</v>
          </cell>
          <cell r="M565" t="str">
            <v>34.500</v>
          </cell>
        </row>
        <row r="566">
          <cell r="A566">
            <v>7928249076</v>
          </cell>
          <cell r="M566" t="str">
            <v>34.500</v>
          </cell>
        </row>
        <row r="567">
          <cell r="A567">
            <v>7927169001</v>
          </cell>
          <cell r="M567" t="str">
            <v>13.800</v>
          </cell>
        </row>
        <row r="568">
          <cell r="A568">
            <v>7930912039</v>
          </cell>
          <cell r="M568" t="str">
            <v>13.800</v>
          </cell>
        </row>
        <row r="569">
          <cell r="A569">
            <v>7927714037</v>
          </cell>
          <cell r="M569" t="str">
            <v>34.500</v>
          </cell>
        </row>
        <row r="570">
          <cell r="A570">
            <v>7926789001</v>
          </cell>
          <cell r="M570" t="str">
            <v>13.800</v>
          </cell>
        </row>
        <row r="571">
          <cell r="A571">
            <v>7928385145</v>
          </cell>
          <cell r="M571" t="str">
            <v>13.800</v>
          </cell>
        </row>
        <row r="572">
          <cell r="A572">
            <v>7927647001</v>
          </cell>
          <cell r="M572" t="str">
            <v>13.800</v>
          </cell>
        </row>
        <row r="573">
          <cell r="A573">
            <v>7927446001</v>
          </cell>
          <cell r="M573" t="str">
            <v>34.500</v>
          </cell>
        </row>
        <row r="574">
          <cell r="A574">
            <v>7925082052</v>
          </cell>
          <cell r="M574" t="str">
            <v>13.800</v>
          </cell>
        </row>
        <row r="575">
          <cell r="A575">
            <v>7928240097</v>
          </cell>
          <cell r="M575" t="str">
            <v>34.500</v>
          </cell>
        </row>
        <row r="576">
          <cell r="A576">
            <v>7927604001</v>
          </cell>
          <cell r="M576" t="str">
            <v>13.800</v>
          </cell>
        </row>
        <row r="577">
          <cell r="A577">
            <v>7928241200</v>
          </cell>
          <cell r="M577" t="str">
            <v>34.500</v>
          </cell>
        </row>
        <row r="578">
          <cell r="A578">
            <v>7930903098</v>
          </cell>
          <cell r="M578" t="str">
            <v>34.500</v>
          </cell>
        </row>
        <row r="579">
          <cell r="A579">
            <v>7930908109</v>
          </cell>
          <cell r="M579" t="str">
            <v>34.500</v>
          </cell>
        </row>
        <row r="580">
          <cell r="A580">
            <v>7931554055</v>
          </cell>
          <cell r="M580" t="str">
            <v>34.500</v>
          </cell>
        </row>
        <row r="581">
          <cell r="A581">
            <v>7930937009</v>
          </cell>
          <cell r="M581" t="str">
            <v>13.800</v>
          </cell>
        </row>
        <row r="582">
          <cell r="A582">
            <v>7930909247</v>
          </cell>
          <cell r="M582" t="str">
            <v>13.800</v>
          </cell>
        </row>
        <row r="583">
          <cell r="A583">
            <v>7931604122</v>
          </cell>
          <cell r="M583" t="str">
            <v>13.800</v>
          </cell>
        </row>
        <row r="584">
          <cell r="A584">
            <v>7927401001</v>
          </cell>
          <cell r="M584" t="str">
            <v>13.800</v>
          </cell>
        </row>
        <row r="585">
          <cell r="A585">
            <v>7927601001</v>
          </cell>
          <cell r="M585" t="str">
            <v>13.800</v>
          </cell>
        </row>
        <row r="586">
          <cell r="A586">
            <v>7930286009</v>
          </cell>
          <cell r="M586" t="str">
            <v>34.500</v>
          </cell>
        </row>
        <row r="587">
          <cell r="A587">
            <v>7931383086</v>
          </cell>
          <cell r="M587" t="str">
            <v>34.500</v>
          </cell>
        </row>
        <row r="588">
          <cell r="A588">
            <v>7930910156</v>
          </cell>
          <cell r="M588" t="str">
            <v>34.500</v>
          </cell>
        </row>
        <row r="589">
          <cell r="A589">
            <v>7930907171</v>
          </cell>
          <cell r="M589" t="str">
            <v>34.500</v>
          </cell>
        </row>
        <row r="590">
          <cell r="A590">
            <v>7931608059</v>
          </cell>
          <cell r="M590" t="str">
            <v>13.800</v>
          </cell>
        </row>
        <row r="591">
          <cell r="A591">
            <v>7928387103</v>
          </cell>
          <cell r="M591" t="str">
            <v>34.500</v>
          </cell>
        </row>
        <row r="592">
          <cell r="A592">
            <v>7931629122</v>
          </cell>
          <cell r="M592" t="str">
            <v>13.800</v>
          </cell>
        </row>
        <row r="593">
          <cell r="A593">
            <v>7930038122</v>
          </cell>
          <cell r="M593" t="str">
            <v>13.800</v>
          </cell>
        </row>
        <row r="594">
          <cell r="A594">
            <v>7928250037</v>
          </cell>
          <cell r="M594" t="str">
            <v>34.500</v>
          </cell>
        </row>
        <row r="595">
          <cell r="A595">
            <v>7930429075</v>
          </cell>
          <cell r="M595" t="str">
            <v>34.500</v>
          </cell>
        </row>
        <row r="596">
          <cell r="A596">
            <v>7928564039</v>
          </cell>
          <cell r="M596" t="str">
            <v>34.500</v>
          </cell>
        </row>
        <row r="597">
          <cell r="A597">
            <v>7926848026</v>
          </cell>
          <cell r="M597" t="str">
            <v>34.500</v>
          </cell>
        </row>
        <row r="598">
          <cell r="A598">
            <v>7925087021</v>
          </cell>
          <cell r="M598" t="str">
            <v>34.500</v>
          </cell>
        </row>
        <row r="599">
          <cell r="A599">
            <v>7930501107</v>
          </cell>
          <cell r="M599" t="str">
            <v>34.500</v>
          </cell>
        </row>
        <row r="600">
          <cell r="A600">
            <v>7925088027</v>
          </cell>
          <cell r="M600" t="str">
            <v>34.500</v>
          </cell>
        </row>
        <row r="601">
          <cell r="A601">
            <v>7927661026</v>
          </cell>
          <cell r="M601" t="str">
            <v>34.500</v>
          </cell>
        </row>
        <row r="602">
          <cell r="A602">
            <v>7923106107</v>
          </cell>
          <cell r="M602" t="str">
            <v>34.500</v>
          </cell>
        </row>
        <row r="603">
          <cell r="A603">
            <v>7925089028</v>
          </cell>
          <cell r="M603" t="str">
            <v>34.500</v>
          </cell>
        </row>
        <row r="604">
          <cell r="A604">
            <v>7930920247</v>
          </cell>
          <cell r="M604" t="str">
            <v>13.800</v>
          </cell>
        </row>
        <row r="605">
          <cell r="A605">
            <v>7930871103</v>
          </cell>
          <cell r="M605" t="str">
            <v>34.500</v>
          </cell>
        </row>
        <row r="606">
          <cell r="A606">
            <v>7929000070</v>
          </cell>
          <cell r="M606" t="str">
            <v>34.500</v>
          </cell>
        </row>
        <row r="607">
          <cell r="A607">
            <v>7929534082</v>
          </cell>
          <cell r="M607" t="str">
            <v>34.500</v>
          </cell>
        </row>
        <row r="608">
          <cell r="A608">
            <v>7930295015</v>
          </cell>
          <cell r="M608" t="str">
            <v>13.800</v>
          </cell>
        </row>
        <row r="609">
          <cell r="A609">
            <v>7927646026</v>
          </cell>
          <cell r="M609" t="str">
            <v>34.500</v>
          </cell>
        </row>
        <row r="610">
          <cell r="A610">
            <v>7931863074</v>
          </cell>
          <cell r="M610" t="str">
            <v>13.800</v>
          </cell>
        </row>
        <row r="611">
          <cell r="A611">
            <v>7930576002</v>
          </cell>
          <cell r="M611" t="str">
            <v>34.500</v>
          </cell>
        </row>
        <row r="612">
          <cell r="A612">
            <v>7901734074</v>
          </cell>
          <cell r="M612" t="str">
            <v>13.800</v>
          </cell>
        </row>
        <row r="613">
          <cell r="A613">
            <v>7930581123</v>
          </cell>
          <cell r="M613" t="str">
            <v>34.500</v>
          </cell>
        </row>
        <row r="614">
          <cell r="A614">
            <v>7931865074</v>
          </cell>
          <cell r="M614" t="str">
            <v>13.800</v>
          </cell>
        </row>
        <row r="615">
          <cell r="A615">
            <v>7930575002</v>
          </cell>
          <cell r="M615" t="str">
            <v>34.500</v>
          </cell>
        </row>
        <row r="616">
          <cell r="A616">
            <v>7925077052</v>
          </cell>
          <cell r="M616" t="str">
            <v>13.800</v>
          </cell>
        </row>
        <row r="617">
          <cell r="A617">
            <v>7931610122</v>
          </cell>
          <cell r="M617" t="str">
            <v>13.800</v>
          </cell>
        </row>
        <row r="618">
          <cell r="A618">
            <v>7930272004</v>
          </cell>
          <cell r="M618" t="str">
            <v>13.800</v>
          </cell>
        </row>
        <row r="619">
          <cell r="A619">
            <v>7931904063</v>
          </cell>
          <cell r="M619" t="str">
            <v>13.800</v>
          </cell>
        </row>
        <row r="620">
          <cell r="A620">
            <v>7930872130</v>
          </cell>
          <cell r="M620" t="str">
            <v>34.500</v>
          </cell>
        </row>
        <row r="621">
          <cell r="A621">
            <v>7926246032</v>
          </cell>
          <cell r="M621" t="str">
            <v>34.500</v>
          </cell>
        </row>
        <row r="622">
          <cell r="A622">
            <v>7928242097</v>
          </cell>
          <cell r="M622" t="str">
            <v>34.500</v>
          </cell>
        </row>
        <row r="623">
          <cell r="A623">
            <v>7930271171</v>
          </cell>
          <cell r="M623" t="str">
            <v>34.500</v>
          </cell>
        </row>
        <row r="624">
          <cell r="A624">
            <v>7925291256</v>
          </cell>
          <cell r="M624" t="str">
            <v>34.500</v>
          </cell>
        </row>
        <row r="625">
          <cell r="A625">
            <v>7928457040</v>
          </cell>
          <cell r="M625" t="str">
            <v>34.500</v>
          </cell>
        </row>
        <row r="626">
          <cell r="A626">
            <v>7928461040</v>
          </cell>
          <cell r="M626" t="str">
            <v>34.500</v>
          </cell>
        </row>
        <row r="627">
          <cell r="A627">
            <v>7928462040</v>
          </cell>
          <cell r="M627" t="str">
            <v>34.500</v>
          </cell>
        </row>
        <row r="628">
          <cell r="A628">
            <v>7926842001</v>
          </cell>
          <cell r="M628" t="str">
            <v>13.800</v>
          </cell>
        </row>
        <row r="629">
          <cell r="A629">
            <v>7928757019</v>
          </cell>
          <cell r="M629" t="str">
            <v>34.500</v>
          </cell>
        </row>
        <row r="630">
          <cell r="A630">
            <v>7924938131</v>
          </cell>
          <cell r="M630" t="str">
            <v>34.500</v>
          </cell>
        </row>
        <row r="631">
          <cell r="A631">
            <v>7900328003</v>
          </cell>
          <cell r="M631" t="str">
            <v>13.800</v>
          </cell>
        </row>
        <row r="632">
          <cell r="A632">
            <v>7931219078</v>
          </cell>
          <cell r="M632" t="str">
            <v>34.500</v>
          </cell>
        </row>
        <row r="633">
          <cell r="A633">
            <v>7931242087</v>
          </cell>
          <cell r="M633" t="str">
            <v>34.500</v>
          </cell>
        </row>
        <row r="634">
          <cell r="A634">
            <v>7932045003</v>
          </cell>
          <cell r="M634" t="str">
            <v>13.800</v>
          </cell>
        </row>
        <row r="635">
          <cell r="A635">
            <v>7926243186</v>
          </cell>
          <cell r="M635" t="str">
            <v>34.500</v>
          </cell>
        </row>
        <row r="636">
          <cell r="A636">
            <v>7930919109</v>
          </cell>
          <cell r="M636" t="str">
            <v>34.500</v>
          </cell>
        </row>
        <row r="637">
          <cell r="A637">
            <v>7926242029</v>
          </cell>
          <cell r="M637" t="str">
            <v>34.500</v>
          </cell>
        </row>
        <row r="638">
          <cell r="A638">
            <v>7901155001</v>
          </cell>
          <cell r="M638" t="str">
            <v>13.800</v>
          </cell>
        </row>
        <row r="639">
          <cell r="A639">
            <v>7929533010</v>
          </cell>
          <cell r="M639" t="str">
            <v>34.500</v>
          </cell>
        </row>
        <row r="640">
          <cell r="A640">
            <v>7931612059</v>
          </cell>
          <cell r="M640" t="str">
            <v>13.800</v>
          </cell>
        </row>
        <row r="641">
          <cell r="A641">
            <v>7930566127</v>
          </cell>
          <cell r="M641" t="str">
            <v>34.500</v>
          </cell>
        </row>
        <row r="642">
          <cell r="A642">
            <v>7931220060</v>
          </cell>
          <cell r="M642" t="str">
            <v>13.800</v>
          </cell>
        </row>
        <row r="643">
          <cell r="A643">
            <v>7928997001</v>
          </cell>
          <cell r="M643" t="str">
            <v>13.800</v>
          </cell>
        </row>
        <row r="644">
          <cell r="A644">
            <v>7931503001</v>
          </cell>
          <cell r="M644" t="str">
            <v>13.800</v>
          </cell>
        </row>
        <row r="645">
          <cell r="A645">
            <v>7931555008</v>
          </cell>
          <cell r="M645" t="str">
            <v>13.800</v>
          </cell>
        </row>
        <row r="646">
          <cell r="A646">
            <v>7928999151</v>
          </cell>
          <cell r="M646" t="str">
            <v>34.500</v>
          </cell>
        </row>
        <row r="647">
          <cell r="A647">
            <v>7930273023</v>
          </cell>
          <cell r="M647" t="str">
            <v>13.800</v>
          </cell>
        </row>
        <row r="648">
          <cell r="A648">
            <v>7908418023</v>
          </cell>
          <cell r="M648" t="str">
            <v>13.800</v>
          </cell>
        </row>
        <row r="649">
          <cell r="A649">
            <v>7931221023</v>
          </cell>
          <cell r="M649" t="str">
            <v>13.800</v>
          </cell>
        </row>
        <row r="650">
          <cell r="A650">
            <v>7931609122</v>
          </cell>
          <cell r="M650" t="str">
            <v>13.800</v>
          </cell>
        </row>
        <row r="651">
          <cell r="A651">
            <v>7927765019</v>
          </cell>
          <cell r="M651" t="str">
            <v>34.500</v>
          </cell>
        </row>
        <row r="652">
          <cell r="A652">
            <v>7931866101</v>
          </cell>
          <cell r="M652" t="str">
            <v>34.500</v>
          </cell>
        </row>
        <row r="653">
          <cell r="A653">
            <v>7931856101</v>
          </cell>
          <cell r="M653" t="str">
            <v>34.500</v>
          </cell>
        </row>
        <row r="654">
          <cell r="A654">
            <v>7926250032</v>
          </cell>
          <cell r="M654" t="str">
            <v>34.500</v>
          </cell>
        </row>
        <row r="655">
          <cell r="A655">
            <v>7937101032</v>
          </cell>
          <cell r="M655" t="str">
            <v>34.500</v>
          </cell>
        </row>
        <row r="656">
          <cell r="A656">
            <v>7931611122</v>
          </cell>
          <cell r="M656" t="str">
            <v>13.800</v>
          </cell>
        </row>
        <row r="657">
          <cell r="A657">
            <v>7931613122</v>
          </cell>
          <cell r="M657" t="str">
            <v>13.800</v>
          </cell>
        </row>
        <row r="658">
          <cell r="A658">
            <v>7931617122</v>
          </cell>
          <cell r="M658" t="str">
            <v>13.800</v>
          </cell>
        </row>
        <row r="659">
          <cell r="A659">
            <v>7929033023</v>
          </cell>
          <cell r="M659" t="str">
            <v>13.800</v>
          </cell>
        </row>
        <row r="660">
          <cell r="A660">
            <v>7931614122</v>
          </cell>
          <cell r="M660" t="str">
            <v>13.800</v>
          </cell>
        </row>
        <row r="661">
          <cell r="A661">
            <v>7931245009</v>
          </cell>
          <cell r="M661" t="str">
            <v>13.800</v>
          </cell>
        </row>
        <row r="662">
          <cell r="A662">
            <v>7929663074</v>
          </cell>
          <cell r="M662" t="str">
            <v>34.500</v>
          </cell>
        </row>
        <row r="663">
          <cell r="A663">
            <v>7931243015</v>
          </cell>
          <cell r="M663" t="str">
            <v>13.800</v>
          </cell>
        </row>
        <row r="664">
          <cell r="A664">
            <v>7929360023</v>
          </cell>
          <cell r="M664" t="str">
            <v>13.800</v>
          </cell>
        </row>
        <row r="665">
          <cell r="A665">
            <v>7937165009</v>
          </cell>
          <cell r="M665" t="str">
            <v>13.800</v>
          </cell>
        </row>
        <row r="666">
          <cell r="A666">
            <v>7937103266</v>
          </cell>
          <cell r="M666" t="str">
            <v>34.500</v>
          </cell>
        </row>
        <row r="667">
          <cell r="A667">
            <v>7937104148</v>
          </cell>
          <cell r="M667" t="str">
            <v>34.500</v>
          </cell>
        </row>
        <row r="668">
          <cell r="A668">
            <v>7937151002</v>
          </cell>
          <cell r="M668" t="str">
            <v>13.800</v>
          </cell>
        </row>
        <row r="669">
          <cell r="A669">
            <v>7937505059</v>
          </cell>
          <cell r="M669" t="str">
            <v>13.800</v>
          </cell>
        </row>
        <row r="670">
          <cell r="A670">
            <v>7931619122</v>
          </cell>
          <cell r="M670" t="str">
            <v>13.800</v>
          </cell>
        </row>
        <row r="671">
          <cell r="A671">
            <v>7931616122</v>
          </cell>
          <cell r="M671" t="str">
            <v>13.800</v>
          </cell>
        </row>
        <row r="672">
          <cell r="A672">
            <v>7931618122</v>
          </cell>
          <cell r="M672" t="str">
            <v>13.800</v>
          </cell>
        </row>
        <row r="673">
          <cell r="A673">
            <v>7931906018</v>
          </cell>
          <cell r="M673" t="str">
            <v>13.800</v>
          </cell>
        </row>
        <row r="674">
          <cell r="A674">
            <v>7931905015</v>
          </cell>
          <cell r="M674" t="str">
            <v>13.800</v>
          </cell>
        </row>
        <row r="675">
          <cell r="A675">
            <v>7937161111</v>
          </cell>
          <cell r="M675" t="str">
            <v>34.500</v>
          </cell>
        </row>
        <row r="676">
          <cell r="A676">
            <v>7931645122</v>
          </cell>
          <cell r="M676" t="str">
            <v>13.800</v>
          </cell>
        </row>
        <row r="677">
          <cell r="A677">
            <v>7931643122</v>
          </cell>
          <cell r="M677" t="str">
            <v>13.800</v>
          </cell>
        </row>
        <row r="678">
          <cell r="A678">
            <v>7931638122</v>
          </cell>
          <cell r="M678" t="str">
            <v>13.800</v>
          </cell>
        </row>
        <row r="679">
          <cell r="A679">
            <v>7930420122</v>
          </cell>
          <cell r="M679" t="str">
            <v>13.800</v>
          </cell>
        </row>
        <row r="680">
          <cell r="A680">
            <v>7900059009</v>
          </cell>
          <cell r="M680" t="str">
            <v>13.800</v>
          </cell>
        </row>
        <row r="681">
          <cell r="A681">
            <v>7928298004</v>
          </cell>
          <cell r="M681" t="str">
            <v>13.800</v>
          </cell>
        </row>
        <row r="682">
          <cell r="A682">
            <v>7931644122</v>
          </cell>
          <cell r="M682" t="str">
            <v>13.800</v>
          </cell>
        </row>
        <row r="683">
          <cell r="A683">
            <v>7900398004</v>
          </cell>
          <cell r="M683" t="str">
            <v>13.800</v>
          </cell>
        </row>
        <row r="684">
          <cell r="A684">
            <v>7931112122</v>
          </cell>
          <cell r="M684" t="str">
            <v>13.800</v>
          </cell>
        </row>
        <row r="685">
          <cell r="A685">
            <v>7931103122</v>
          </cell>
          <cell r="M685" t="str">
            <v>13.800</v>
          </cell>
        </row>
        <row r="686">
          <cell r="A686">
            <v>7931110122</v>
          </cell>
          <cell r="M686" t="str">
            <v>13.800</v>
          </cell>
        </row>
        <row r="687">
          <cell r="A687">
            <v>7931218104</v>
          </cell>
          <cell r="M687" t="str">
            <v>34.500</v>
          </cell>
        </row>
        <row r="688">
          <cell r="A688">
            <v>7932028020</v>
          </cell>
          <cell r="M688" t="str">
            <v>34.500</v>
          </cell>
        </row>
        <row r="689">
          <cell r="A689">
            <v>7932020020</v>
          </cell>
          <cell r="M689" t="str">
            <v>34.500</v>
          </cell>
        </row>
        <row r="690">
          <cell r="A690">
            <v>7934850227</v>
          </cell>
          <cell r="M690" t="str">
            <v>34.500</v>
          </cell>
        </row>
        <row r="691">
          <cell r="A691">
            <v>7937105148</v>
          </cell>
          <cell r="M691" t="str">
            <v>34.500</v>
          </cell>
        </row>
        <row r="692">
          <cell r="A692">
            <v>7926241200</v>
          </cell>
          <cell r="M692" t="str">
            <v>34.500</v>
          </cell>
        </row>
        <row r="693">
          <cell r="A693">
            <v>7929658038</v>
          </cell>
          <cell r="M693" t="str">
            <v>13.800</v>
          </cell>
        </row>
        <row r="694">
          <cell r="A694">
            <v>7932401256</v>
          </cell>
          <cell r="M694" t="str">
            <v>34.500</v>
          </cell>
        </row>
        <row r="695">
          <cell r="A695">
            <v>7929660038</v>
          </cell>
          <cell r="M695" t="str">
            <v>13.800</v>
          </cell>
        </row>
        <row r="696">
          <cell r="A696">
            <v>7932038028</v>
          </cell>
          <cell r="M696" t="str">
            <v>34.500</v>
          </cell>
        </row>
        <row r="697">
          <cell r="A697">
            <v>7932040091</v>
          </cell>
          <cell r="M697" t="str">
            <v>34.500</v>
          </cell>
        </row>
        <row r="698">
          <cell r="A698">
            <v>7934849077</v>
          </cell>
          <cell r="M698" t="str">
            <v>13.800</v>
          </cell>
        </row>
        <row r="699">
          <cell r="A699">
            <v>7934848009</v>
          </cell>
          <cell r="M699" t="str">
            <v>13.800</v>
          </cell>
        </row>
        <row r="700">
          <cell r="A700">
            <v>7938136007</v>
          </cell>
          <cell r="M700" t="str">
            <v>13.800</v>
          </cell>
        </row>
        <row r="701">
          <cell r="A701">
            <v>7936783029</v>
          </cell>
          <cell r="M701" t="str">
            <v>34.500</v>
          </cell>
        </row>
        <row r="702">
          <cell r="A702">
            <v>7936787029</v>
          </cell>
          <cell r="M702" t="str">
            <v>13.800</v>
          </cell>
        </row>
        <row r="703">
          <cell r="A703">
            <v>7936789029</v>
          </cell>
          <cell r="M703" t="str">
            <v>13.800</v>
          </cell>
        </row>
        <row r="704">
          <cell r="A704">
            <v>7936770029</v>
          </cell>
          <cell r="M704" t="str">
            <v>13.800</v>
          </cell>
        </row>
        <row r="705">
          <cell r="A705">
            <v>7937111036</v>
          </cell>
          <cell r="M705" t="str">
            <v>13.800</v>
          </cell>
        </row>
        <row r="706">
          <cell r="A706">
            <v>7938139013</v>
          </cell>
          <cell r="M706" t="str">
            <v>13.800</v>
          </cell>
        </row>
        <row r="707">
          <cell r="A707">
            <v>7937112036</v>
          </cell>
          <cell r="M707" t="str">
            <v>13.800</v>
          </cell>
        </row>
        <row r="708">
          <cell r="A708">
            <v>7936753097</v>
          </cell>
          <cell r="M708" t="str">
            <v>13.800</v>
          </cell>
        </row>
        <row r="709">
          <cell r="A709">
            <v>7936754003</v>
          </cell>
          <cell r="M709" t="str">
            <v>13.800</v>
          </cell>
        </row>
        <row r="710">
          <cell r="A710">
            <v>7937109003</v>
          </cell>
          <cell r="M710" t="str">
            <v>13.800</v>
          </cell>
        </row>
        <row r="711">
          <cell r="A711">
            <v>7937108003</v>
          </cell>
          <cell r="M711" t="str">
            <v>13.800</v>
          </cell>
        </row>
        <row r="712">
          <cell r="A712">
            <v>7937110003</v>
          </cell>
          <cell r="M712" t="str">
            <v>34.500</v>
          </cell>
        </row>
        <row r="713">
          <cell r="A713">
            <v>7937147003</v>
          </cell>
          <cell r="M713" t="str">
            <v>34.500</v>
          </cell>
        </row>
        <row r="714">
          <cell r="A714">
            <v>7930524036</v>
          </cell>
          <cell r="M714" t="str">
            <v>13.800</v>
          </cell>
        </row>
        <row r="715">
          <cell r="A715">
            <v>7936799032</v>
          </cell>
          <cell r="M715" t="str">
            <v>34.500</v>
          </cell>
        </row>
        <row r="716">
          <cell r="A716">
            <v>7936793032</v>
          </cell>
          <cell r="M716" t="str">
            <v>13.800</v>
          </cell>
        </row>
        <row r="717">
          <cell r="A717">
            <v>7931104059</v>
          </cell>
          <cell r="M717" t="str">
            <v>13.800</v>
          </cell>
        </row>
        <row r="718">
          <cell r="A718">
            <v>7938137007</v>
          </cell>
          <cell r="M718" t="str">
            <v>13.800</v>
          </cell>
        </row>
        <row r="719">
          <cell r="A719">
            <v>7932450001</v>
          </cell>
          <cell r="M719" t="str">
            <v>13.800</v>
          </cell>
        </row>
        <row r="720">
          <cell r="A720">
            <v>7937520122</v>
          </cell>
          <cell r="M720" t="str">
            <v>13.800</v>
          </cell>
        </row>
        <row r="721">
          <cell r="A721">
            <v>7937506122</v>
          </cell>
          <cell r="M721" t="str">
            <v>13.800</v>
          </cell>
        </row>
        <row r="722">
          <cell r="A722">
            <v>7937535059</v>
          </cell>
          <cell r="M722" t="str">
            <v>34.500</v>
          </cell>
        </row>
        <row r="723">
          <cell r="A723">
            <v>7931560007</v>
          </cell>
          <cell r="M723" t="str">
            <v>34.500</v>
          </cell>
        </row>
        <row r="724">
          <cell r="A724">
            <v>7932030072</v>
          </cell>
          <cell r="M724" t="str">
            <v>34.500</v>
          </cell>
        </row>
        <row r="725">
          <cell r="A725">
            <v>7938135086</v>
          </cell>
          <cell r="M725" t="str">
            <v>34.500</v>
          </cell>
        </row>
        <row r="726">
          <cell r="A726">
            <v>7927820008</v>
          </cell>
          <cell r="M726" t="str">
            <v>13.800</v>
          </cell>
        </row>
        <row r="727">
          <cell r="A727">
            <v>7938048113</v>
          </cell>
          <cell r="M727" t="str">
            <v>34.500</v>
          </cell>
        </row>
        <row r="728">
          <cell r="A728">
            <v>7937521059</v>
          </cell>
          <cell r="M728" t="str">
            <v>13.800</v>
          </cell>
        </row>
        <row r="729">
          <cell r="A729">
            <v>7937107003</v>
          </cell>
          <cell r="M729" t="str">
            <v>13.800</v>
          </cell>
        </row>
        <row r="730">
          <cell r="A730">
            <v>7931628122</v>
          </cell>
          <cell r="M730" t="str">
            <v>13.800</v>
          </cell>
        </row>
        <row r="731">
          <cell r="A731">
            <v>7937102148</v>
          </cell>
          <cell r="M731" t="str">
            <v>34.500</v>
          </cell>
        </row>
        <row r="732">
          <cell r="A732">
            <v>7931556013</v>
          </cell>
          <cell r="M732" t="str">
            <v>13.800</v>
          </cell>
        </row>
        <row r="733">
          <cell r="A733">
            <v>7932921189</v>
          </cell>
          <cell r="M733" t="str">
            <v>13.800</v>
          </cell>
        </row>
        <row r="734">
          <cell r="A734">
            <v>7913660051</v>
          </cell>
          <cell r="M734" t="str">
            <v>34.500</v>
          </cell>
        </row>
        <row r="735">
          <cell r="A735">
            <v>7933526003</v>
          </cell>
          <cell r="M735" t="str">
            <v>13.800</v>
          </cell>
        </row>
        <row r="736">
          <cell r="A736">
            <v>7933640003</v>
          </cell>
          <cell r="M736" t="str">
            <v>13.800</v>
          </cell>
        </row>
        <row r="737">
          <cell r="A737">
            <v>7931913015</v>
          </cell>
          <cell r="M737" t="str">
            <v>13.800</v>
          </cell>
        </row>
        <row r="738">
          <cell r="A738">
            <v>7934655004</v>
          </cell>
          <cell r="M738" t="str">
            <v>13.800</v>
          </cell>
        </row>
        <row r="739">
          <cell r="A739">
            <v>7934680004</v>
          </cell>
          <cell r="M739" t="str">
            <v>13.800</v>
          </cell>
        </row>
        <row r="740">
          <cell r="A740">
            <v>7900106004</v>
          </cell>
          <cell r="M740" t="str">
            <v>13.800</v>
          </cell>
        </row>
        <row r="741">
          <cell r="A741">
            <v>7934678004</v>
          </cell>
          <cell r="M741" t="str">
            <v>13.800</v>
          </cell>
        </row>
        <row r="742">
          <cell r="A742">
            <v>7900252004</v>
          </cell>
          <cell r="M742" t="str">
            <v>13.800</v>
          </cell>
        </row>
        <row r="743">
          <cell r="A743">
            <v>7934669004</v>
          </cell>
          <cell r="M743" t="str">
            <v>13.800</v>
          </cell>
        </row>
        <row r="744">
          <cell r="A744">
            <v>7900436004</v>
          </cell>
          <cell r="M744" t="str">
            <v>13.800</v>
          </cell>
        </row>
        <row r="745">
          <cell r="A745">
            <v>7910001004</v>
          </cell>
          <cell r="M745" t="str">
            <v>13.800</v>
          </cell>
        </row>
        <row r="746">
          <cell r="A746">
            <v>7900464004</v>
          </cell>
          <cell r="M746" t="str">
            <v>13.800</v>
          </cell>
        </row>
        <row r="747">
          <cell r="A747">
            <v>7935704004</v>
          </cell>
          <cell r="M747" t="str">
            <v>13.800</v>
          </cell>
        </row>
        <row r="748">
          <cell r="A748">
            <v>7934682004</v>
          </cell>
          <cell r="M748" t="str">
            <v>13.800</v>
          </cell>
        </row>
        <row r="749">
          <cell r="A749">
            <v>7935865004</v>
          </cell>
          <cell r="M749" t="str">
            <v>13.800</v>
          </cell>
        </row>
        <row r="750">
          <cell r="A750">
            <v>7934628004</v>
          </cell>
          <cell r="M750" t="str">
            <v>13.800</v>
          </cell>
        </row>
        <row r="751">
          <cell r="A751">
            <v>7900482004</v>
          </cell>
          <cell r="M751" t="str">
            <v>13.800</v>
          </cell>
        </row>
        <row r="752">
          <cell r="A752">
            <v>7935866004</v>
          </cell>
          <cell r="M752" t="str">
            <v>13.800</v>
          </cell>
        </row>
        <row r="753">
          <cell r="A753">
            <v>7935863004</v>
          </cell>
          <cell r="M753" t="str">
            <v>13.800</v>
          </cell>
        </row>
        <row r="754">
          <cell r="A754">
            <v>7935864004</v>
          </cell>
          <cell r="M754" t="str">
            <v>13.800</v>
          </cell>
        </row>
        <row r="755">
          <cell r="A755">
            <v>7936400004</v>
          </cell>
          <cell r="M755" t="str">
            <v>13.800</v>
          </cell>
        </row>
        <row r="756">
          <cell r="A756">
            <v>7935858004</v>
          </cell>
          <cell r="M756" t="str">
            <v>13.800</v>
          </cell>
        </row>
        <row r="757">
          <cell r="A757">
            <v>7902218004</v>
          </cell>
          <cell r="M757" t="str">
            <v>13.800</v>
          </cell>
        </row>
        <row r="758">
          <cell r="A758">
            <v>7935867004</v>
          </cell>
          <cell r="M758" t="str">
            <v>13.800</v>
          </cell>
        </row>
        <row r="759">
          <cell r="A759">
            <v>7900182004</v>
          </cell>
          <cell r="M759" t="str">
            <v>13.800</v>
          </cell>
        </row>
        <row r="760">
          <cell r="A760">
            <v>7934846119</v>
          </cell>
          <cell r="M760" t="str">
            <v>34.500</v>
          </cell>
        </row>
        <row r="761">
          <cell r="A761">
            <v>7834814098</v>
          </cell>
          <cell r="M761" t="str">
            <v>34.500</v>
          </cell>
        </row>
        <row r="762">
          <cell r="A762">
            <v>7838113073</v>
          </cell>
          <cell r="M762" t="str">
            <v>34.500</v>
          </cell>
        </row>
        <row r="763">
          <cell r="A763">
            <v>7933993003</v>
          </cell>
          <cell r="M763" t="str">
            <v>34.500</v>
          </cell>
        </row>
        <row r="764">
          <cell r="A764">
            <v>7955677003</v>
          </cell>
          <cell r="M764" t="str">
            <v>13.800</v>
          </cell>
        </row>
        <row r="765">
          <cell r="A765">
            <v>7915030003</v>
          </cell>
          <cell r="M765" t="str">
            <v>13.800</v>
          </cell>
        </row>
        <row r="766">
          <cell r="A766">
            <v>7933992003</v>
          </cell>
          <cell r="M766" t="str">
            <v>13.800</v>
          </cell>
        </row>
        <row r="767">
          <cell r="A767">
            <v>7936503003</v>
          </cell>
          <cell r="M767" t="str">
            <v>13.800</v>
          </cell>
        </row>
        <row r="768">
          <cell r="A768">
            <v>7936030003</v>
          </cell>
          <cell r="M768" t="str">
            <v>13.800</v>
          </cell>
        </row>
        <row r="769">
          <cell r="A769">
            <v>7936031003</v>
          </cell>
          <cell r="M769" t="str">
            <v>13.800</v>
          </cell>
        </row>
        <row r="770">
          <cell r="A770">
            <v>7934696124</v>
          </cell>
          <cell r="M770" t="str">
            <v>13.800</v>
          </cell>
        </row>
        <row r="771">
          <cell r="A771">
            <v>7934698002</v>
          </cell>
          <cell r="M771" t="str">
            <v>13.800</v>
          </cell>
        </row>
        <row r="772">
          <cell r="A772">
            <v>7935588122</v>
          </cell>
          <cell r="M772" t="str">
            <v>34.500</v>
          </cell>
        </row>
        <row r="773">
          <cell r="A773">
            <v>7933799001</v>
          </cell>
          <cell r="M773" t="str">
            <v>34.500</v>
          </cell>
        </row>
        <row r="774">
          <cell r="A774">
            <v>7933959094</v>
          </cell>
          <cell r="M774" t="str">
            <v>13.800</v>
          </cell>
        </row>
        <row r="775">
          <cell r="A775">
            <v>7933639037</v>
          </cell>
          <cell r="M775" t="str">
            <v>13.800</v>
          </cell>
        </row>
        <row r="776">
          <cell r="A776">
            <v>7902099003</v>
          </cell>
          <cell r="M776" t="str">
            <v>13.800</v>
          </cell>
        </row>
        <row r="777">
          <cell r="A777">
            <v>7933994003</v>
          </cell>
          <cell r="M777" t="str">
            <v>13.800</v>
          </cell>
        </row>
        <row r="778">
          <cell r="A778">
            <v>7932926001</v>
          </cell>
          <cell r="M778" t="str">
            <v>13.800</v>
          </cell>
        </row>
        <row r="779">
          <cell r="A779">
            <v>7932805001</v>
          </cell>
          <cell r="M779" t="str">
            <v>13.800</v>
          </cell>
        </row>
        <row r="780">
          <cell r="A780">
            <v>7936332013</v>
          </cell>
          <cell r="M780" t="str">
            <v>13.800</v>
          </cell>
        </row>
        <row r="781">
          <cell r="A781">
            <v>7933724257</v>
          </cell>
          <cell r="M781" t="str">
            <v>34.500</v>
          </cell>
        </row>
        <row r="782">
          <cell r="A782">
            <v>7933766059</v>
          </cell>
          <cell r="M782" t="str">
            <v>13.800</v>
          </cell>
        </row>
        <row r="783">
          <cell r="A783">
            <v>7933797059</v>
          </cell>
          <cell r="M783" t="str">
            <v>13.800</v>
          </cell>
        </row>
        <row r="784">
          <cell r="A784">
            <v>7934697002</v>
          </cell>
          <cell r="M784" t="str">
            <v>13.800</v>
          </cell>
        </row>
        <row r="785">
          <cell r="A785">
            <v>7940259107</v>
          </cell>
          <cell r="M785" t="str">
            <v>34.500</v>
          </cell>
        </row>
        <row r="786">
          <cell r="A786">
            <v>7932925122</v>
          </cell>
          <cell r="M786" t="str">
            <v>13.800</v>
          </cell>
        </row>
        <row r="787">
          <cell r="A787">
            <v>7933960094</v>
          </cell>
          <cell r="M787" t="str">
            <v>34.500</v>
          </cell>
        </row>
        <row r="788">
          <cell r="A788">
            <v>7936038076</v>
          </cell>
          <cell r="M788" t="str">
            <v>34.500</v>
          </cell>
        </row>
        <row r="789">
          <cell r="A789">
            <v>7936041186</v>
          </cell>
          <cell r="M789" t="str">
            <v>34.500</v>
          </cell>
        </row>
        <row r="790">
          <cell r="A790">
            <v>7935635043</v>
          </cell>
          <cell r="M790" t="str">
            <v>34.500</v>
          </cell>
        </row>
        <row r="791">
          <cell r="A791">
            <v>7933694038</v>
          </cell>
          <cell r="M791" t="str">
            <v>34.500</v>
          </cell>
        </row>
        <row r="792">
          <cell r="A792">
            <v>7965092045</v>
          </cell>
          <cell r="M792" t="str">
            <v>13.800</v>
          </cell>
        </row>
        <row r="793">
          <cell r="A793">
            <v>7934170045</v>
          </cell>
          <cell r="M793" t="str">
            <v>13.800</v>
          </cell>
        </row>
        <row r="794">
          <cell r="A794">
            <v>7937181030</v>
          </cell>
          <cell r="M794" t="str">
            <v>34.500</v>
          </cell>
        </row>
        <row r="795">
          <cell r="A795">
            <v>7935647122</v>
          </cell>
          <cell r="M795" t="str">
            <v>13.800</v>
          </cell>
        </row>
        <row r="796">
          <cell r="A796">
            <v>7935601122</v>
          </cell>
          <cell r="M796" t="str">
            <v>13.800</v>
          </cell>
        </row>
        <row r="797">
          <cell r="A797">
            <v>7940276037</v>
          </cell>
          <cell r="M797" t="str">
            <v>34.500</v>
          </cell>
        </row>
        <row r="798">
          <cell r="A798">
            <v>7936003094</v>
          </cell>
          <cell r="M798" t="str">
            <v>34.500</v>
          </cell>
        </row>
        <row r="799">
          <cell r="A799">
            <v>7940262032</v>
          </cell>
          <cell r="M799" t="str">
            <v>34.500</v>
          </cell>
        </row>
        <row r="800">
          <cell r="A800">
            <v>7933951052</v>
          </cell>
          <cell r="M800" t="str">
            <v>34.500</v>
          </cell>
        </row>
        <row r="801">
          <cell r="A801">
            <v>7940258139</v>
          </cell>
          <cell r="M801" t="str">
            <v>34.500</v>
          </cell>
        </row>
        <row r="802">
          <cell r="A802">
            <v>7940275094</v>
          </cell>
          <cell r="M802" t="str">
            <v>34.500</v>
          </cell>
        </row>
        <row r="803">
          <cell r="A803">
            <v>7933637076</v>
          </cell>
          <cell r="M803" t="str">
            <v>13.800</v>
          </cell>
        </row>
        <row r="804">
          <cell r="A804">
            <v>7935646006</v>
          </cell>
          <cell r="M804" t="str">
            <v>34.500</v>
          </cell>
        </row>
        <row r="805">
          <cell r="A805">
            <v>7936078018</v>
          </cell>
          <cell r="M805" t="str">
            <v>34.500</v>
          </cell>
        </row>
        <row r="806">
          <cell r="A806">
            <v>7933811051</v>
          </cell>
          <cell r="M806" t="str">
            <v>34.500</v>
          </cell>
        </row>
        <row r="807">
          <cell r="A807">
            <v>7936769005</v>
          </cell>
          <cell r="M807" t="str">
            <v>34.500</v>
          </cell>
        </row>
        <row r="808">
          <cell r="A808">
            <v>7933828091</v>
          </cell>
          <cell r="M808" t="str">
            <v>13.800</v>
          </cell>
        </row>
        <row r="809">
          <cell r="A809">
            <v>7940273029</v>
          </cell>
          <cell r="M809" t="str">
            <v>34.500</v>
          </cell>
        </row>
        <row r="810">
          <cell r="A810">
            <v>7933585074</v>
          </cell>
          <cell r="M810" t="str">
            <v>34.500</v>
          </cell>
        </row>
        <row r="811">
          <cell r="A811">
            <v>7940201060</v>
          </cell>
          <cell r="M811" t="str">
            <v>13.800</v>
          </cell>
        </row>
        <row r="812">
          <cell r="A812">
            <v>7936096015</v>
          </cell>
          <cell r="M812" t="str">
            <v>34.500</v>
          </cell>
        </row>
        <row r="813">
          <cell r="A813">
            <v>7940411082</v>
          </cell>
          <cell r="M813" t="str">
            <v>34.500</v>
          </cell>
        </row>
        <row r="814">
          <cell r="A814">
            <v>7933726256</v>
          </cell>
          <cell r="M814" t="str">
            <v>34.500</v>
          </cell>
        </row>
        <row r="815">
          <cell r="A815">
            <v>7931333013</v>
          </cell>
          <cell r="M815" t="str">
            <v>13.800</v>
          </cell>
        </row>
        <row r="816">
          <cell r="A816">
            <v>7933796122</v>
          </cell>
          <cell r="M816" t="str">
            <v>13.800</v>
          </cell>
        </row>
        <row r="817">
          <cell r="A817">
            <v>7941657013</v>
          </cell>
          <cell r="M817" t="str">
            <v>13.800</v>
          </cell>
        </row>
        <row r="818">
          <cell r="A818">
            <v>7939937044</v>
          </cell>
          <cell r="M818" t="str">
            <v>13.800</v>
          </cell>
        </row>
        <row r="819">
          <cell r="A819">
            <v>7941437129</v>
          </cell>
          <cell r="M819" t="str">
            <v>13.800</v>
          </cell>
        </row>
        <row r="820">
          <cell r="A820">
            <v>7941438060</v>
          </cell>
          <cell r="M820" t="str">
            <v>13.800</v>
          </cell>
        </row>
        <row r="821">
          <cell r="A821">
            <v>7942460001</v>
          </cell>
          <cell r="M821" t="str">
            <v>13.800</v>
          </cell>
        </row>
        <row r="822">
          <cell r="A822">
            <v>7943314023</v>
          </cell>
          <cell r="M822" t="str">
            <v>13.800</v>
          </cell>
        </row>
        <row r="823">
          <cell r="A823">
            <v>7943911003</v>
          </cell>
          <cell r="M823" t="str">
            <v>34.500</v>
          </cell>
        </row>
        <row r="824">
          <cell r="A824">
            <v>7902296013</v>
          </cell>
          <cell r="M824" t="str">
            <v>13.800</v>
          </cell>
        </row>
        <row r="825">
          <cell r="A825">
            <v>7934080094</v>
          </cell>
          <cell r="M825" t="str">
            <v>13.800</v>
          </cell>
        </row>
        <row r="826">
          <cell r="A826">
            <v>7941432077</v>
          </cell>
          <cell r="M826" t="str">
            <v>13.800</v>
          </cell>
        </row>
        <row r="827">
          <cell r="A827">
            <v>7941708059</v>
          </cell>
          <cell r="M827" t="str">
            <v>13.800</v>
          </cell>
        </row>
        <row r="828">
          <cell r="A828">
            <v>7942191013</v>
          </cell>
          <cell r="M828" t="str">
            <v>13.800</v>
          </cell>
        </row>
        <row r="829">
          <cell r="A829">
            <v>7943460003</v>
          </cell>
          <cell r="M829" t="str">
            <v>13.800</v>
          </cell>
        </row>
        <row r="830">
          <cell r="A830">
            <v>7941306005</v>
          </cell>
          <cell r="M830" t="str">
            <v>13.800</v>
          </cell>
        </row>
        <row r="831">
          <cell r="A831">
            <v>7943907052</v>
          </cell>
          <cell r="M831" t="str">
            <v>13.800</v>
          </cell>
        </row>
        <row r="832">
          <cell r="A832">
            <v>7902736014</v>
          </cell>
          <cell r="M832" t="str">
            <v>34.500</v>
          </cell>
        </row>
        <row r="833">
          <cell r="A833">
            <v>7943908032</v>
          </cell>
          <cell r="M833" t="str">
            <v>13.800</v>
          </cell>
        </row>
        <row r="834">
          <cell r="A834">
            <v>7941433060</v>
          </cell>
          <cell r="M834" t="str">
            <v>13.800</v>
          </cell>
        </row>
        <row r="835">
          <cell r="A835">
            <v>7923616017</v>
          </cell>
          <cell r="M835" t="str">
            <v>13.800</v>
          </cell>
        </row>
        <row r="836">
          <cell r="A836">
            <v>7930877081</v>
          </cell>
          <cell r="M836" t="str">
            <v>13.800</v>
          </cell>
        </row>
        <row r="837">
          <cell r="A837">
            <v>7935612001</v>
          </cell>
          <cell r="M837" t="str">
            <v>13.800</v>
          </cell>
        </row>
        <row r="838">
          <cell r="A838">
            <v>7932922001</v>
          </cell>
          <cell r="M838" t="str">
            <v>13.800</v>
          </cell>
        </row>
        <row r="839">
          <cell r="A839">
            <v>7905320122</v>
          </cell>
          <cell r="M839" t="str">
            <v>13.800</v>
          </cell>
        </row>
        <row r="840">
          <cell r="A840">
            <v>7942731193</v>
          </cell>
          <cell r="M840" t="str">
            <v>34.500</v>
          </cell>
        </row>
        <row r="841">
          <cell r="A841">
            <v>7936029003</v>
          </cell>
          <cell r="M841" t="str">
            <v>13.800</v>
          </cell>
        </row>
        <row r="842">
          <cell r="A842">
            <v>7941691084</v>
          </cell>
          <cell r="M842" t="str">
            <v>34.500</v>
          </cell>
        </row>
        <row r="843">
          <cell r="A843">
            <v>7939300004</v>
          </cell>
          <cell r="M843" t="str">
            <v>34.500</v>
          </cell>
        </row>
        <row r="844">
          <cell r="A844">
            <v>7941727083</v>
          </cell>
          <cell r="M844" t="str">
            <v>34.500</v>
          </cell>
        </row>
        <row r="845">
          <cell r="A845">
            <v>7941990086</v>
          </cell>
          <cell r="M845" t="str">
            <v>34.500</v>
          </cell>
        </row>
        <row r="846">
          <cell r="A846">
            <v>7943319015</v>
          </cell>
          <cell r="M846" t="str">
            <v>34.500</v>
          </cell>
        </row>
        <row r="847">
          <cell r="A847">
            <v>7943337227</v>
          </cell>
          <cell r="M847" t="str">
            <v>34.500</v>
          </cell>
        </row>
        <row r="848">
          <cell r="A848">
            <v>7942299030</v>
          </cell>
          <cell r="M848" t="str">
            <v>34.500</v>
          </cell>
        </row>
        <row r="849">
          <cell r="A849">
            <v>7942739030</v>
          </cell>
          <cell r="M849" t="str">
            <v>34.500</v>
          </cell>
        </row>
        <row r="850">
          <cell r="A850">
            <v>7936306013</v>
          </cell>
          <cell r="M850" t="str">
            <v>34.500</v>
          </cell>
        </row>
        <row r="851">
          <cell r="A851">
            <v>7931590073</v>
          </cell>
          <cell r="M851" t="str">
            <v>34.500</v>
          </cell>
        </row>
        <row r="852">
          <cell r="A852">
            <v>7936126119</v>
          </cell>
          <cell r="M852" t="str">
            <v>34.500</v>
          </cell>
        </row>
        <row r="853">
          <cell r="A853">
            <v>7938858074</v>
          </cell>
          <cell r="M853" t="str">
            <v>34.500</v>
          </cell>
        </row>
        <row r="854">
          <cell r="A854">
            <v>7942038091</v>
          </cell>
          <cell r="M854" t="str">
            <v>34.500</v>
          </cell>
        </row>
        <row r="855">
          <cell r="A855">
            <v>7942707040</v>
          </cell>
          <cell r="M855" t="str">
            <v>34.500</v>
          </cell>
        </row>
        <row r="856">
          <cell r="A856">
            <v>7933798256</v>
          </cell>
          <cell r="M856" t="str">
            <v>34.500</v>
          </cell>
        </row>
        <row r="857">
          <cell r="A857">
            <v>7941971014</v>
          </cell>
          <cell r="M857" t="str">
            <v>34.500</v>
          </cell>
        </row>
        <row r="858">
          <cell r="A858">
            <v>7942572059</v>
          </cell>
          <cell r="M858" t="str">
            <v>34.500</v>
          </cell>
        </row>
        <row r="859">
          <cell r="A859">
            <v>7942705030</v>
          </cell>
          <cell r="M859" t="str">
            <v>34.500</v>
          </cell>
        </row>
        <row r="860">
          <cell r="A860">
            <v>7932924070</v>
          </cell>
          <cell r="M860" t="str">
            <v>34.500</v>
          </cell>
        </row>
        <row r="861">
          <cell r="A861">
            <v>7942300004</v>
          </cell>
          <cell r="M861" t="str">
            <v>34.500</v>
          </cell>
        </row>
        <row r="862">
          <cell r="A862">
            <v>7940228004</v>
          </cell>
          <cell r="M862" t="str">
            <v>13.800</v>
          </cell>
        </row>
        <row r="863">
          <cell r="A863">
            <v>7933531028</v>
          </cell>
          <cell r="M863" t="str">
            <v>13.800</v>
          </cell>
        </row>
        <row r="864">
          <cell r="A864">
            <v>7909579077</v>
          </cell>
          <cell r="M864" t="str">
            <v>34.500</v>
          </cell>
        </row>
        <row r="865">
          <cell r="A865">
            <v>7942465256</v>
          </cell>
          <cell r="M865" t="str">
            <v>34.500</v>
          </cell>
        </row>
        <row r="866">
          <cell r="A866">
            <v>7910463052</v>
          </cell>
          <cell r="M866" t="str">
            <v>34.500</v>
          </cell>
        </row>
        <row r="867">
          <cell r="A867">
            <v>7944609063</v>
          </cell>
          <cell r="M867" t="str">
            <v>34.500</v>
          </cell>
        </row>
        <row r="868">
          <cell r="A868">
            <v>7936134193</v>
          </cell>
          <cell r="M868" t="str">
            <v>34.500</v>
          </cell>
        </row>
        <row r="869">
          <cell r="A869">
            <v>7938992001</v>
          </cell>
          <cell r="M869" t="str">
            <v>13.800</v>
          </cell>
        </row>
        <row r="870">
          <cell r="A870">
            <v>7944323084</v>
          </cell>
          <cell r="M870" t="str">
            <v>34.500</v>
          </cell>
        </row>
        <row r="871">
          <cell r="A871">
            <v>7943788039</v>
          </cell>
          <cell r="M871" t="str">
            <v>34.500</v>
          </cell>
        </row>
        <row r="872">
          <cell r="A872">
            <v>7943790134</v>
          </cell>
          <cell r="M872" t="str">
            <v>34.500</v>
          </cell>
        </row>
        <row r="873">
          <cell r="A873">
            <v>7943791134</v>
          </cell>
          <cell r="M873" t="str">
            <v>34.500</v>
          </cell>
        </row>
        <row r="874">
          <cell r="A874">
            <v>7943765131</v>
          </cell>
          <cell r="M874" t="str">
            <v>34.500</v>
          </cell>
        </row>
        <row r="875">
          <cell r="A875">
            <v>7944353028</v>
          </cell>
          <cell r="M875" t="str">
            <v>34.500</v>
          </cell>
        </row>
        <row r="876">
          <cell r="A876">
            <v>7942509028</v>
          </cell>
          <cell r="M876" t="str">
            <v>34.500</v>
          </cell>
        </row>
        <row r="877">
          <cell r="A877">
            <v>7944575055</v>
          </cell>
          <cell r="M877" t="str">
            <v>34.500</v>
          </cell>
        </row>
        <row r="878">
          <cell r="A878">
            <v>7944239196</v>
          </cell>
          <cell r="M878" t="str">
            <v>34.500</v>
          </cell>
        </row>
        <row r="879">
          <cell r="A879">
            <v>7944603053</v>
          </cell>
          <cell r="M879" t="str">
            <v>34.500</v>
          </cell>
        </row>
        <row r="880">
          <cell r="A880">
            <v>7944606060</v>
          </cell>
          <cell r="M880" t="str">
            <v>13.800</v>
          </cell>
        </row>
        <row r="881">
          <cell r="A881">
            <v>7941528043</v>
          </cell>
          <cell r="M881" t="str">
            <v>34.500</v>
          </cell>
        </row>
        <row r="882">
          <cell r="A882">
            <v>7944319149</v>
          </cell>
          <cell r="M882" t="str">
            <v>34.500</v>
          </cell>
        </row>
        <row r="883">
          <cell r="A883">
            <v>7944559149</v>
          </cell>
          <cell r="M883" t="str">
            <v>34.500</v>
          </cell>
        </row>
        <row r="884">
          <cell r="A884">
            <v>7932515092</v>
          </cell>
          <cell r="M884" t="str">
            <v>34.500</v>
          </cell>
        </row>
        <row r="885">
          <cell r="A885">
            <v>7942476001</v>
          </cell>
          <cell r="M885" t="str">
            <v>13.800</v>
          </cell>
        </row>
        <row r="886">
          <cell r="A886">
            <v>7942944111</v>
          </cell>
          <cell r="M886" t="str">
            <v>34.500</v>
          </cell>
        </row>
        <row r="887">
          <cell r="A887">
            <v>7943242111</v>
          </cell>
          <cell r="M887" t="str">
            <v>34.500</v>
          </cell>
        </row>
        <row r="888">
          <cell r="A888">
            <v>7944210122</v>
          </cell>
          <cell r="M888" t="str">
            <v>13.800</v>
          </cell>
        </row>
        <row r="889">
          <cell r="A889">
            <v>7943541003</v>
          </cell>
          <cell r="M889" t="str">
            <v>13.800</v>
          </cell>
        </row>
        <row r="890">
          <cell r="A890">
            <v>7944612080</v>
          </cell>
          <cell r="M890" t="str">
            <v>34.500</v>
          </cell>
        </row>
        <row r="891">
          <cell r="A891">
            <v>7942485096</v>
          </cell>
          <cell r="M891" t="str">
            <v>34.500</v>
          </cell>
        </row>
        <row r="892">
          <cell r="A892">
            <v>7942481096</v>
          </cell>
          <cell r="M892" t="str">
            <v>34.500</v>
          </cell>
        </row>
        <row r="893">
          <cell r="A893">
            <v>7942482096</v>
          </cell>
          <cell r="M893" t="str">
            <v>34.500</v>
          </cell>
        </row>
        <row r="894">
          <cell r="A894">
            <v>7945470059</v>
          </cell>
          <cell r="M894" t="str">
            <v>13.800</v>
          </cell>
        </row>
        <row r="895">
          <cell r="A895">
            <v>7932806189</v>
          </cell>
          <cell r="M895" t="str">
            <v>13.800</v>
          </cell>
        </row>
        <row r="896">
          <cell r="A896">
            <v>7942706030</v>
          </cell>
          <cell r="M896" t="str">
            <v>34.500</v>
          </cell>
        </row>
        <row r="897">
          <cell r="A897">
            <v>7942708123</v>
          </cell>
          <cell r="M897" t="str">
            <v>34.500</v>
          </cell>
        </row>
        <row r="898">
          <cell r="A898">
            <v>7946375097</v>
          </cell>
          <cell r="M898" t="str">
            <v>34.500</v>
          </cell>
        </row>
        <row r="899">
          <cell r="A899">
            <v>7931682122</v>
          </cell>
          <cell r="M899" t="str">
            <v>13.800</v>
          </cell>
        </row>
        <row r="900">
          <cell r="A900">
            <v>7943905021</v>
          </cell>
          <cell r="M900" t="str">
            <v>13.800</v>
          </cell>
        </row>
        <row r="901">
          <cell r="A901">
            <v>7946460007</v>
          </cell>
          <cell r="M901" t="str">
            <v>34.500</v>
          </cell>
        </row>
        <row r="902">
          <cell r="A902">
            <v>7947024076</v>
          </cell>
          <cell r="M902" t="str">
            <v>34.500</v>
          </cell>
        </row>
        <row r="903">
          <cell r="A903">
            <v>7948074010</v>
          </cell>
          <cell r="M903" t="str">
            <v>34.500</v>
          </cell>
        </row>
        <row r="904">
          <cell r="A904">
            <v>7946214086</v>
          </cell>
          <cell r="M904" t="str">
            <v>34.500</v>
          </cell>
        </row>
        <row r="905">
          <cell r="A905">
            <v>7946687086</v>
          </cell>
          <cell r="M905" t="str">
            <v>34.500</v>
          </cell>
        </row>
        <row r="906">
          <cell r="A906">
            <v>7941992012</v>
          </cell>
          <cell r="M906" t="str">
            <v>34.500</v>
          </cell>
        </row>
        <row r="907">
          <cell r="A907">
            <v>7947548073</v>
          </cell>
          <cell r="M907" t="str">
            <v>34.500</v>
          </cell>
        </row>
        <row r="908">
          <cell r="A908">
            <v>7947165045</v>
          </cell>
          <cell r="M908" t="str">
            <v>34.500</v>
          </cell>
        </row>
        <row r="909">
          <cell r="A909">
            <v>7949656024</v>
          </cell>
          <cell r="M909" t="str">
            <v>34.500</v>
          </cell>
        </row>
        <row r="910">
          <cell r="A910">
            <v>7949829058</v>
          </cell>
          <cell r="M910" t="str">
            <v>34.500</v>
          </cell>
        </row>
        <row r="911">
          <cell r="A911">
            <v>7964716048</v>
          </cell>
          <cell r="M911" t="str">
            <v>34.500</v>
          </cell>
        </row>
        <row r="912">
          <cell r="A912">
            <v>7949660066</v>
          </cell>
          <cell r="M912" t="str">
            <v>34.500</v>
          </cell>
        </row>
        <row r="913">
          <cell r="A913">
            <v>7949644098</v>
          </cell>
          <cell r="M913" t="str">
            <v>34.500</v>
          </cell>
        </row>
        <row r="914">
          <cell r="A914">
            <v>7949686066</v>
          </cell>
          <cell r="M914" t="str">
            <v>34.500</v>
          </cell>
        </row>
        <row r="915">
          <cell r="A915">
            <v>7947959026</v>
          </cell>
          <cell r="M915" t="str">
            <v>34.500</v>
          </cell>
        </row>
        <row r="916">
          <cell r="A916">
            <v>7947961035</v>
          </cell>
          <cell r="M916" t="str">
            <v>34.500</v>
          </cell>
        </row>
        <row r="917">
          <cell r="A917">
            <v>7942799122</v>
          </cell>
          <cell r="M917" t="str">
            <v>34.500</v>
          </cell>
        </row>
        <row r="918">
          <cell r="A918">
            <v>7947203070</v>
          </cell>
          <cell r="M918" t="str">
            <v>34.500</v>
          </cell>
        </row>
        <row r="919">
          <cell r="A919">
            <v>7947761063</v>
          </cell>
          <cell r="M919" t="str">
            <v>34.500</v>
          </cell>
        </row>
        <row r="920">
          <cell r="A920">
            <v>7946713015</v>
          </cell>
          <cell r="M920" t="str">
            <v>34.500</v>
          </cell>
        </row>
        <row r="921">
          <cell r="A921">
            <v>7947968083</v>
          </cell>
          <cell r="M921" t="str">
            <v>34.500</v>
          </cell>
        </row>
        <row r="922">
          <cell r="A922">
            <v>7949688227</v>
          </cell>
          <cell r="M922" t="str">
            <v>34.500</v>
          </cell>
        </row>
        <row r="923">
          <cell r="A923">
            <v>7948412064</v>
          </cell>
          <cell r="M923" t="str">
            <v>34.500</v>
          </cell>
        </row>
        <row r="924">
          <cell r="A924">
            <v>7947962110</v>
          </cell>
          <cell r="M924" t="str">
            <v>34.500</v>
          </cell>
        </row>
        <row r="925">
          <cell r="A925">
            <v>7949650109</v>
          </cell>
          <cell r="M925" t="str">
            <v>34.500</v>
          </cell>
        </row>
        <row r="926">
          <cell r="A926">
            <v>7943023122</v>
          </cell>
          <cell r="M926" t="str">
            <v>13.800</v>
          </cell>
        </row>
        <row r="927">
          <cell r="A927">
            <v>7949647081</v>
          </cell>
          <cell r="M927" t="str">
            <v>13.800</v>
          </cell>
        </row>
        <row r="928">
          <cell r="A928">
            <v>7949673009</v>
          </cell>
          <cell r="M928" t="str">
            <v>13.800</v>
          </cell>
        </row>
        <row r="929">
          <cell r="A929">
            <v>7949652078</v>
          </cell>
          <cell r="M929" t="str">
            <v>34.500</v>
          </cell>
        </row>
        <row r="930">
          <cell r="A930">
            <v>7949649145</v>
          </cell>
          <cell r="M930" t="str">
            <v>13.800</v>
          </cell>
        </row>
        <row r="931">
          <cell r="A931">
            <v>7949648145</v>
          </cell>
          <cell r="M931" t="str">
            <v>13.800</v>
          </cell>
        </row>
        <row r="932">
          <cell r="A932">
            <v>7946963052</v>
          </cell>
          <cell r="M932" t="str">
            <v>13.800</v>
          </cell>
        </row>
        <row r="933">
          <cell r="A933">
            <v>7949808058</v>
          </cell>
          <cell r="M933" t="str">
            <v>34.500</v>
          </cell>
        </row>
        <row r="934">
          <cell r="A934">
            <v>7950310122</v>
          </cell>
          <cell r="M934" t="str">
            <v>13.800</v>
          </cell>
        </row>
        <row r="935">
          <cell r="A935">
            <v>7949704122</v>
          </cell>
          <cell r="M935" t="str">
            <v>13.800</v>
          </cell>
        </row>
        <row r="936">
          <cell r="A936">
            <v>7944996027</v>
          </cell>
          <cell r="M936" t="str">
            <v>34.500</v>
          </cell>
        </row>
        <row r="937">
          <cell r="A937">
            <v>7949315055</v>
          </cell>
          <cell r="M937" t="str">
            <v>34.500</v>
          </cell>
        </row>
        <row r="938">
          <cell r="A938">
            <v>7900757013</v>
          </cell>
          <cell r="M938" t="str">
            <v>13.800</v>
          </cell>
        </row>
        <row r="939">
          <cell r="A939">
            <v>7946935086</v>
          </cell>
          <cell r="M939" t="str">
            <v>34.500</v>
          </cell>
        </row>
        <row r="940">
          <cell r="A940">
            <v>7946037077</v>
          </cell>
          <cell r="M940" t="str">
            <v>34.500</v>
          </cell>
        </row>
        <row r="941">
          <cell r="A941">
            <v>7949948001</v>
          </cell>
          <cell r="M941" t="str">
            <v>13.800</v>
          </cell>
        </row>
        <row r="942">
          <cell r="A942">
            <v>7948946263</v>
          </cell>
          <cell r="M942" t="str">
            <v>34.500</v>
          </cell>
        </row>
        <row r="943">
          <cell r="A943">
            <v>7947530073</v>
          </cell>
          <cell r="M943" t="str">
            <v>34.500</v>
          </cell>
        </row>
        <row r="944">
          <cell r="A944">
            <v>7947534073</v>
          </cell>
          <cell r="M944" t="str">
            <v>34.500</v>
          </cell>
        </row>
        <row r="945">
          <cell r="A945">
            <v>7952358011</v>
          </cell>
          <cell r="M945" t="str">
            <v>13.800</v>
          </cell>
        </row>
        <row r="946">
          <cell r="A946">
            <v>7961879122</v>
          </cell>
          <cell r="M946" t="str">
            <v>13.800</v>
          </cell>
        </row>
        <row r="947">
          <cell r="A947">
            <v>7941530122</v>
          </cell>
          <cell r="M947" t="str">
            <v>13.800</v>
          </cell>
        </row>
        <row r="948">
          <cell r="A948">
            <v>7951455001</v>
          </cell>
          <cell r="M948" t="str">
            <v>13.800</v>
          </cell>
        </row>
        <row r="949">
          <cell r="A949">
            <v>7951919036</v>
          </cell>
          <cell r="M949" t="str">
            <v>13.800</v>
          </cell>
        </row>
        <row r="950">
          <cell r="A950">
            <v>7951921036</v>
          </cell>
          <cell r="M950" t="str">
            <v>13.800</v>
          </cell>
        </row>
        <row r="951">
          <cell r="A951">
            <v>7951935118</v>
          </cell>
          <cell r="M951" t="str">
            <v>13.800</v>
          </cell>
        </row>
        <row r="952">
          <cell r="A952">
            <v>7951933032</v>
          </cell>
          <cell r="M952" t="str">
            <v>13.800</v>
          </cell>
        </row>
        <row r="953">
          <cell r="A953">
            <v>7948517004</v>
          </cell>
          <cell r="M953" t="str">
            <v>34.500</v>
          </cell>
        </row>
        <row r="954">
          <cell r="A954">
            <v>7949914001</v>
          </cell>
          <cell r="M954" t="str">
            <v>13.800</v>
          </cell>
        </row>
        <row r="955">
          <cell r="A955">
            <v>7952508016</v>
          </cell>
          <cell r="M955" t="str">
            <v>34.500</v>
          </cell>
        </row>
        <row r="956">
          <cell r="A956">
            <v>7950099122</v>
          </cell>
          <cell r="M956" t="str">
            <v>13.800</v>
          </cell>
        </row>
        <row r="957">
          <cell r="A957">
            <v>7942326052</v>
          </cell>
          <cell r="M957" t="str">
            <v>13.800</v>
          </cell>
        </row>
        <row r="958">
          <cell r="A958">
            <v>7948484047</v>
          </cell>
          <cell r="M958" t="str">
            <v>13.800</v>
          </cell>
        </row>
        <row r="959">
          <cell r="A959">
            <v>7950408097</v>
          </cell>
          <cell r="M959" t="str">
            <v>13.800</v>
          </cell>
        </row>
        <row r="960">
          <cell r="A960">
            <v>7949042019</v>
          </cell>
          <cell r="M960" t="str">
            <v>34.500</v>
          </cell>
        </row>
        <row r="961">
          <cell r="A961">
            <v>7952505080</v>
          </cell>
          <cell r="M961" t="str">
            <v>34.500</v>
          </cell>
        </row>
        <row r="962">
          <cell r="A962">
            <v>7952853030</v>
          </cell>
          <cell r="M962" t="str">
            <v>34.500</v>
          </cell>
        </row>
        <row r="963">
          <cell r="A963">
            <v>7951760055</v>
          </cell>
          <cell r="M963" t="str">
            <v>34.500</v>
          </cell>
        </row>
        <row r="964">
          <cell r="A964">
            <v>7952046029</v>
          </cell>
          <cell r="M964" t="str">
            <v>13.800</v>
          </cell>
        </row>
        <row r="965">
          <cell r="A965">
            <v>7951449253</v>
          </cell>
          <cell r="M965" t="str">
            <v>34.500</v>
          </cell>
        </row>
        <row r="966">
          <cell r="A966">
            <v>7949925001</v>
          </cell>
          <cell r="M966" t="str">
            <v>34.500</v>
          </cell>
        </row>
        <row r="967">
          <cell r="A967">
            <v>7952522025</v>
          </cell>
          <cell r="M967" t="str">
            <v>34.500</v>
          </cell>
        </row>
        <row r="968">
          <cell r="A968">
            <v>7952534136</v>
          </cell>
          <cell r="M968" t="str">
            <v>34.500</v>
          </cell>
        </row>
        <row r="969">
          <cell r="A969">
            <v>7952894004</v>
          </cell>
          <cell r="M969" t="str">
            <v>34.500</v>
          </cell>
        </row>
        <row r="970">
          <cell r="A970">
            <v>7953208154</v>
          </cell>
          <cell r="M970" t="str">
            <v>34.500</v>
          </cell>
        </row>
        <row r="971">
          <cell r="A971">
            <v>7953211079</v>
          </cell>
          <cell r="M971" t="str">
            <v>34.500</v>
          </cell>
        </row>
        <row r="972">
          <cell r="A972">
            <v>7948471021</v>
          </cell>
          <cell r="M972" t="str">
            <v>34.500</v>
          </cell>
        </row>
        <row r="973">
          <cell r="A973">
            <v>7953006081</v>
          </cell>
          <cell r="M973" t="str">
            <v>13.800</v>
          </cell>
        </row>
        <row r="974">
          <cell r="A974">
            <v>7948112088</v>
          </cell>
          <cell r="M974" t="str">
            <v>13.800</v>
          </cell>
        </row>
        <row r="975">
          <cell r="A975">
            <v>7951887110</v>
          </cell>
          <cell r="M975" t="str">
            <v>34.500</v>
          </cell>
        </row>
        <row r="976">
          <cell r="A976">
            <v>7952853077</v>
          </cell>
          <cell r="M976" t="str">
            <v>34.500</v>
          </cell>
        </row>
        <row r="977">
          <cell r="A977">
            <v>7948631032</v>
          </cell>
          <cell r="M977" t="str">
            <v>34.500</v>
          </cell>
        </row>
        <row r="978">
          <cell r="A978">
            <v>7950592046</v>
          </cell>
          <cell r="M978" t="str">
            <v>34.500</v>
          </cell>
        </row>
        <row r="979">
          <cell r="A979">
            <v>7951872071</v>
          </cell>
          <cell r="M979" t="str">
            <v>34.500</v>
          </cell>
        </row>
        <row r="980">
          <cell r="A980">
            <v>7948129130</v>
          </cell>
          <cell r="M980" t="str">
            <v>34.500</v>
          </cell>
        </row>
        <row r="981">
          <cell r="A981">
            <v>7952228122</v>
          </cell>
          <cell r="M981" t="str">
            <v>34.500</v>
          </cell>
        </row>
        <row r="982">
          <cell r="A982">
            <v>7953143122</v>
          </cell>
          <cell r="M982" t="str">
            <v>34.500</v>
          </cell>
        </row>
        <row r="983">
          <cell r="A983">
            <v>7951107122</v>
          </cell>
          <cell r="M983" t="str">
            <v>34.500</v>
          </cell>
        </row>
        <row r="984">
          <cell r="A984">
            <v>7950870127</v>
          </cell>
          <cell r="M984" t="str">
            <v>34.500</v>
          </cell>
        </row>
        <row r="985">
          <cell r="A985">
            <v>7951766110</v>
          </cell>
          <cell r="M985" t="str">
            <v>34.500</v>
          </cell>
        </row>
        <row r="986">
          <cell r="A986">
            <v>7953120122</v>
          </cell>
          <cell r="M986" t="str">
            <v>13.800</v>
          </cell>
        </row>
        <row r="987">
          <cell r="A987">
            <v>7952705103</v>
          </cell>
          <cell r="M987" t="str">
            <v>34.500</v>
          </cell>
        </row>
        <row r="988">
          <cell r="A988">
            <v>7950261190</v>
          </cell>
          <cell r="M988" t="str">
            <v>34.500</v>
          </cell>
        </row>
        <row r="989">
          <cell r="A989">
            <v>7950287005</v>
          </cell>
          <cell r="M989" t="str">
            <v>34.500</v>
          </cell>
        </row>
        <row r="990">
          <cell r="A990">
            <v>7950291049</v>
          </cell>
          <cell r="M990" t="str">
            <v>34.500</v>
          </cell>
        </row>
        <row r="991">
          <cell r="A991">
            <v>7950296049</v>
          </cell>
          <cell r="M991" t="str">
            <v>34.500</v>
          </cell>
        </row>
        <row r="992">
          <cell r="A992">
            <v>7950283147</v>
          </cell>
          <cell r="M992" t="str">
            <v>34.500</v>
          </cell>
        </row>
        <row r="993">
          <cell r="A993">
            <v>7948761028</v>
          </cell>
          <cell r="M993" t="str">
            <v>34.500</v>
          </cell>
        </row>
        <row r="994">
          <cell r="A994">
            <v>7951345028</v>
          </cell>
          <cell r="M994" t="str">
            <v>34.500</v>
          </cell>
        </row>
        <row r="995">
          <cell r="A995">
            <v>7950282038</v>
          </cell>
          <cell r="M995" t="str">
            <v>34.500</v>
          </cell>
        </row>
        <row r="996">
          <cell r="A996">
            <v>7950298038</v>
          </cell>
          <cell r="M996" t="str">
            <v>34.500</v>
          </cell>
        </row>
        <row r="997">
          <cell r="A997">
            <v>7950260038</v>
          </cell>
          <cell r="M997" t="str">
            <v>34.500</v>
          </cell>
        </row>
        <row r="998">
          <cell r="A998">
            <v>7953078085</v>
          </cell>
          <cell r="M998" t="str">
            <v>34.500</v>
          </cell>
        </row>
        <row r="999">
          <cell r="A999">
            <v>7951634086</v>
          </cell>
          <cell r="M999" t="str">
            <v>34.500</v>
          </cell>
        </row>
        <row r="1000">
          <cell r="A1000">
            <v>7951946041</v>
          </cell>
          <cell r="M1000" t="str">
            <v>13.800</v>
          </cell>
        </row>
        <row r="1001">
          <cell r="A1001">
            <v>7948507052</v>
          </cell>
          <cell r="M1001" t="str">
            <v>34.500</v>
          </cell>
        </row>
        <row r="1002">
          <cell r="A1002">
            <v>7950387026</v>
          </cell>
          <cell r="M1002" t="str">
            <v>34.500</v>
          </cell>
        </row>
        <row r="1003">
          <cell r="A1003">
            <v>7929657074</v>
          </cell>
          <cell r="M1003" t="str">
            <v>34.500</v>
          </cell>
        </row>
        <row r="1004">
          <cell r="A1004">
            <v>7953610256</v>
          </cell>
          <cell r="M1004" t="str">
            <v>34.500</v>
          </cell>
        </row>
        <row r="1005">
          <cell r="A1005">
            <v>7954050193</v>
          </cell>
          <cell r="M1005" t="str">
            <v>34.500</v>
          </cell>
        </row>
        <row r="1006">
          <cell r="A1006">
            <v>7953695077</v>
          </cell>
          <cell r="M1006" t="str">
            <v>34.500</v>
          </cell>
        </row>
        <row r="1007">
          <cell r="A1007">
            <v>7951972003</v>
          </cell>
          <cell r="M1007" t="str">
            <v>34.500</v>
          </cell>
        </row>
        <row r="1008">
          <cell r="A1008">
            <v>7951973003</v>
          </cell>
          <cell r="M1008" t="str">
            <v>13.800</v>
          </cell>
        </row>
        <row r="1009">
          <cell r="A1009">
            <v>7951356092</v>
          </cell>
          <cell r="M1009" t="str">
            <v>34.500</v>
          </cell>
        </row>
        <row r="1010">
          <cell r="A1010">
            <v>7952668060</v>
          </cell>
          <cell r="M1010" t="str">
            <v>13.800</v>
          </cell>
        </row>
        <row r="1011">
          <cell r="A1011">
            <v>7954864073</v>
          </cell>
          <cell r="M1011" t="str">
            <v>34.500</v>
          </cell>
        </row>
        <row r="1012">
          <cell r="A1012">
            <v>7951445073</v>
          </cell>
          <cell r="M1012" t="str">
            <v>34.500</v>
          </cell>
        </row>
        <row r="1013">
          <cell r="A1013">
            <v>7951446073</v>
          </cell>
          <cell r="M1013" t="str">
            <v>34.500</v>
          </cell>
        </row>
        <row r="1014">
          <cell r="A1014">
            <v>7953364073</v>
          </cell>
          <cell r="M1014" t="str">
            <v>34.500</v>
          </cell>
        </row>
        <row r="1015">
          <cell r="A1015">
            <v>7954668084</v>
          </cell>
          <cell r="M1015" t="str">
            <v>34.500</v>
          </cell>
        </row>
        <row r="1016">
          <cell r="A1016">
            <v>7947668005</v>
          </cell>
          <cell r="M1016" t="str">
            <v>34.500</v>
          </cell>
        </row>
        <row r="1017">
          <cell r="A1017">
            <v>7951844001</v>
          </cell>
          <cell r="M1017" t="str">
            <v>13.800</v>
          </cell>
        </row>
        <row r="1018">
          <cell r="A1018">
            <v>7952138122</v>
          </cell>
          <cell r="M1018" t="str">
            <v>34.500</v>
          </cell>
        </row>
        <row r="1019">
          <cell r="A1019">
            <v>7952416122</v>
          </cell>
          <cell r="M1019" t="str">
            <v>34.500</v>
          </cell>
        </row>
        <row r="1020">
          <cell r="A1020">
            <v>7953394054</v>
          </cell>
          <cell r="M1020" t="str">
            <v>34.500</v>
          </cell>
        </row>
        <row r="1021">
          <cell r="A1021">
            <v>7949249030</v>
          </cell>
          <cell r="M1021" t="str">
            <v>34.500</v>
          </cell>
        </row>
        <row r="1022">
          <cell r="A1022">
            <v>7952613004</v>
          </cell>
          <cell r="M1022" t="str">
            <v>34.500</v>
          </cell>
        </row>
        <row r="1023">
          <cell r="A1023">
            <v>7952852014</v>
          </cell>
          <cell r="M1023" t="str">
            <v>34.500</v>
          </cell>
        </row>
        <row r="1024">
          <cell r="A1024">
            <v>7954534046</v>
          </cell>
          <cell r="M1024" t="str">
            <v>34.500</v>
          </cell>
        </row>
        <row r="1025">
          <cell r="A1025">
            <v>7952841155</v>
          </cell>
          <cell r="M1025" t="str">
            <v>34.500</v>
          </cell>
        </row>
        <row r="1026">
          <cell r="A1026">
            <v>7954476060</v>
          </cell>
          <cell r="M1026" t="str">
            <v>13.800</v>
          </cell>
        </row>
        <row r="1027">
          <cell r="A1027">
            <v>7954491004</v>
          </cell>
          <cell r="M1027" t="str">
            <v>34.500</v>
          </cell>
        </row>
        <row r="1028">
          <cell r="A1028">
            <v>7950004155</v>
          </cell>
          <cell r="M1028" t="str">
            <v>34.500</v>
          </cell>
        </row>
        <row r="1029">
          <cell r="A1029">
            <v>7948105221</v>
          </cell>
          <cell r="M1029" t="str">
            <v>13.800</v>
          </cell>
        </row>
        <row r="1030">
          <cell r="A1030">
            <v>7948105088</v>
          </cell>
          <cell r="M1030" t="str">
            <v>34.500</v>
          </cell>
        </row>
        <row r="1031">
          <cell r="A1031">
            <v>7948140088</v>
          </cell>
          <cell r="M1031" t="str">
            <v>13.800</v>
          </cell>
        </row>
        <row r="1032">
          <cell r="A1032">
            <v>7954440074</v>
          </cell>
          <cell r="M1032" t="str">
            <v>34.500</v>
          </cell>
        </row>
        <row r="1033">
          <cell r="A1033">
            <v>7954910004</v>
          </cell>
          <cell r="M1033" t="str">
            <v>13.800</v>
          </cell>
        </row>
        <row r="1034">
          <cell r="A1034">
            <v>7958320136</v>
          </cell>
          <cell r="M1034" t="str">
            <v>34.500</v>
          </cell>
        </row>
        <row r="1035">
          <cell r="A1035">
            <v>7958319136</v>
          </cell>
          <cell r="M1035" t="str">
            <v>34.500</v>
          </cell>
        </row>
        <row r="1036">
          <cell r="A1036">
            <v>7955394085</v>
          </cell>
          <cell r="M1036" t="str">
            <v>34.500</v>
          </cell>
        </row>
        <row r="1037">
          <cell r="A1037">
            <v>7955395085</v>
          </cell>
          <cell r="M1037" t="str">
            <v>34.500</v>
          </cell>
        </row>
        <row r="1038">
          <cell r="A1038">
            <v>7953269122</v>
          </cell>
          <cell r="M1038" t="str">
            <v>13.800</v>
          </cell>
        </row>
        <row r="1039">
          <cell r="A1039">
            <v>7955572081</v>
          </cell>
          <cell r="M1039" t="str">
            <v>13.800</v>
          </cell>
        </row>
        <row r="1040">
          <cell r="A1040">
            <v>7940868065</v>
          </cell>
          <cell r="M1040" t="str">
            <v>13.800</v>
          </cell>
        </row>
        <row r="1041">
          <cell r="A1041">
            <v>7958346065</v>
          </cell>
          <cell r="M1041" t="str">
            <v>13.800</v>
          </cell>
        </row>
        <row r="1042">
          <cell r="A1042">
            <v>7954654073</v>
          </cell>
          <cell r="M1042" t="str">
            <v>13.800</v>
          </cell>
        </row>
        <row r="1043">
          <cell r="A1043">
            <v>7954900073</v>
          </cell>
          <cell r="M1043" t="str">
            <v>13.800</v>
          </cell>
        </row>
        <row r="1044">
          <cell r="A1044">
            <v>7957622153</v>
          </cell>
          <cell r="M1044" t="str">
            <v>34.500</v>
          </cell>
        </row>
        <row r="1045">
          <cell r="A1045">
            <v>7958324004</v>
          </cell>
          <cell r="M1045" t="str">
            <v>34.500</v>
          </cell>
        </row>
        <row r="1046">
          <cell r="A1046">
            <v>7955223016</v>
          </cell>
          <cell r="M1046" t="str">
            <v>13.800</v>
          </cell>
        </row>
        <row r="1047">
          <cell r="A1047">
            <v>7956374073</v>
          </cell>
          <cell r="M1047" t="str">
            <v>34.500</v>
          </cell>
        </row>
        <row r="1048">
          <cell r="A1048">
            <v>7957609153</v>
          </cell>
          <cell r="M1048" t="str">
            <v>34.500</v>
          </cell>
        </row>
        <row r="1049">
          <cell r="A1049">
            <v>7957921153</v>
          </cell>
          <cell r="M1049" t="str">
            <v>34.500</v>
          </cell>
        </row>
        <row r="1050">
          <cell r="A1050">
            <v>7956333111</v>
          </cell>
          <cell r="M1050" t="str">
            <v>34.500</v>
          </cell>
        </row>
        <row r="1051">
          <cell r="A1051">
            <v>7955586111</v>
          </cell>
          <cell r="M1051" t="str">
            <v>34.500</v>
          </cell>
        </row>
        <row r="1052">
          <cell r="A1052">
            <v>7951276103</v>
          </cell>
          <cell r="M1052" t="str">
            <v>34.500</v>
          </cell>
        </row>
        <row r="1053">
          <cell r="A1053">
            <v>7954779001</v>
          </cell>
          <cell r="M1053" t="str">
            <v>34.500</v>
          </cell>
        </row>
        <row r="1054">
          <cell r="A1054">
            <v>7956373149</v>
          </cell>
          <cell r="M1054" t="str">
            <v>34.500</v>
          </cell>
        </row>
        <row r="1055">
          <cell r="A1055">
            <v>7950184103</v>
          </cell>
          <cell r="M1055" t="str">
            <v>34.500</v>
          </cell>
        </row>
        <row r="1056">
          <cell r="A1056">
            <v>7952401151</v>
          </cell>
          <cell r="M1056" t="str">
            <v>34.500</v>
          </cell>
        </row>
        <row r="1057">
          <cell r="A1057">
            <v>7949587113</v>
          </cell>
          <cell r="M1057" t="str">
            <v>34.500</v>
          </cell>
        </row>
        <row r="1058">
          <cell r="A1058">
            <v>7955414007</v>
          </cell>
          <cell r="M1058" t="str">
            <v>34.500</v>
          </cell>
        </row>
        <row r="1059">
          <cell r="A1059">
            <v>7955207004</v>
          </cell>
          <cell r="M1059" t="str">
            <v>13.800</v>
          </cell>
        </row>
        <row r="1060">
          <cell r="A1060">
            <v>7958332098</v>
          </cell>
          <cell r="M1060" t="str">
            <v>13.800</v>
          </cell>
        </row>
        <row r="1061">
          <cell r="A1061">
            <v>7955539039</v>
          </cell>
          <cell r="M1061" t="str">
            <v>13.800</v>
          </cell>
        </row>
        <row r="1062">
          <cell r="A1062">
            <v>7954778001</v>
          </cell>
          <cell r="M1062" t="str">
            <v>34.500</v>
          </cell>
        </row>
        <row r="1063">
          <cell r="A1063">
            <v>7954762001</v>
          </cell>
          <cell r="M1063" t="str">
            <v>34.500</v>
          </cell>
        </row>
        <row r="1064">
          <cell r="A1064">
            <v>7955856193</v>
          </cell>
          <cell r="M1064" t="str">
            <v>34.500</v>
          </cell>
        </row>
        <row r="1065">
          <cell r="A1065">
            <v>7955886193</v>
          </cell>
          <cell r="M1065" t="str">
            <v>34.500</v>
          </cell>
        </row>
        <row r="1066">
          <cell r="A1066">
            <v>7954516026</v>
          </cell>
          <cell r="M1066" t="str">
            <v>34.500</v>
          </cell>
        </row>
        <row r="1067">
          <cell r="A1067">
            <v>7955946007</v>
          </cell>
          <cell r="M1067" t="str">
            <v>34.500</v>
          </cell>
        </row>
        <row r="1068">
          <cell r="A1068">
            <v>7955357022</v>
          </cell>
          <cell r="M1068" t="str">
            <v>34.500</v>
          </cell>
        </row>
        <row r="1069">
          <cell r="A1069">
            <v>7955559103</v>
          </cell>
          <cell r="M1069" t="str">
            <v>34.500</v>
          </cell>
        </row>
        <row r="1070">
          <cell r="A1070">
            <v>7955862004</v>
          </cell>
          <cell r="M1070" t="str">
            <v>13.800</v>
          </cell>
        </row>
        <row r="1071">
          <cell r="A1071">
            <v>7957608034</v>
          </cell>
          <cell r="M1071" t="str">
            <v>34.500</v>
          </cell>
        </row>
        <row r="1072">
          <cell r="A1072">
            <v>7954703256</v>
          </cell>
          <cell r="M1072" t="str">
            <v>34.500</v>
          </cell>
        </row>
        <row r="1073">
          <cell r="A1073">
            <v>7957874223</v>
          </cell>
          <cell r="M1073" t="str">
            <v>34.500</v>
          </cell>
        </row>
        <row r="1074">
          <cell r="A1074">
            <v>7955429075</v>
          </cell>
          <cell r="M1074" t="str">
            <v>34.500</v>
          </cell>
        </row>
        <row r="1075">
          <cell r="A1075">
            <v>7957878033</v>
          </cell>
          <cell r="M1075" t="str">
            <v>34.500</v>
          </cell>
        </row>
        <row r="1076">
          <cell r="A1076">
            <v>7955956073</v>
          </cell>
          <cell r="M1076" t="str">
            <v>34.500</v>
          </cell>
        </row>
        <row r="1077">
          <cell r="A1077">
            <v>7955942014</v>
          </cell>
          <cell r="M1077" t="str">
            <v>34.500</v>
          </cell>
        </row>
        <row r="1078">
          <cell r="A1078">
            <v>7954632001</v>
          </cell>
          <cell r="M1078" t="str">
            <v>13.800</v>
          </cell>
        </row>
        <row r="1079">
          <cell r="A1079">
            <v>7957557094</v>
          </cell>
          <cell r="M1079" t="str">
            <v>34.500</v>
          </cell>
        </row>
        <row r="1080">
          <cell r="A1080">
            <v>7954284003</v>
          </cell>
          <cell r="M1080" t="str">
            <v>13.800</v>
          </cell>
        </row>
        <row r="1081">
          <cell r="A1081">
            <v>7955360183</v>
          </cell>
          <cell r="M1081" t="str">
            <v>34.500</v>
          </cell>
        </row>
        <row r="1082">
          <cell r="A1082">
            <v>7947531073</v>
          </cell>
          <cell r="M1082" t="str">
            <v>34.500</v>
          </cell>
        </row>
        <row r="1083">
          <cell r="A1083">
            <v>7955839063</v>
          </cell>
          <cell r="M1083" t="str">
            <v>34.500</v>
          </cell>
        </row>
        <row r="1084">
          <cell r="A1084">
            <v>7954481004</v>
          </cell>
          <cell r="M1084" t="str">
            <v>34.500</v>
          </cell>
        </row>
        <row r="1085">
          <cell r="A1085">
            <v>7955859022</v>
          </cell>
          <cell r="M1085" t="str">
            <v>34.500</v>
          </cell>
        </row>
        <row r="1086">
          <cell r="A1086">
            <v>7955858004</v>
          </cell>
          <cell r="M1086" t="str">
            <v>13.800</v>
          </cell>
        </row>
        <row r="1087">
          <cell r="A1087">
            <v>7955175004</v>
          </cell>
          <cell r="M1087" t="str">
            <v>13.800</v>
          </cell>
        </row>
        <row r="1088">
          <cell r="A1088">
            <v>7955372016</v>
          </cell>
          <cell r="M1088" t="str">
            <v>34.500</v>
          </cell>
        </row>
        <row r="1089">
          <cell r="A1089">
            <v>7956068152</v>
          </cell>
          <cell r="M1089" t="str">
            <v>34.500</v>
          </cell>
        </row>
        <row r="1090">
          <cell r="A1090">
            <v>7955949013</v>
          </cell>
          <cell r="M1090" t="str">
            <v>13.800</v>
          </cell>
        </row>
        <row r="1091">
          <cell r="A1091">
            <v>7955948013</v>
          </cell>
          <cell r="M1091" t="str">
            <v>13.800</v>
          </cell>
        </row>
        <row r="1092">
          <cell r="A1092">
            <v>7956063152</v>
          </cell>
          <cell r="M1092" t="str">
            <v>34.500</v>
          </cell>
        </row>
        <row r="1093">
          <cell r="A1093">
            <v>7954704001</v>
          </cell>
          <cell r="M1093" t="str">
            <v>13.800</v>
          </cell>
        </row>
        <row r="1094">
          <cell r="A1094">
            <v>7955713003</v>
          </cell>
          <cell r="M1094" t="str">
            <v>13.800</v>
          </cell>
        </row>
        <row r="1095">
          <cell r="A1095">
            <v>7955731003</v>
          </cell>
          <cell r="M1095" t="str">
            <v>13.800</v>
          </cell>
        </row>
        <row r="1096">
          <cell r="A1096">
            <v>7955711003</v>
          </cell>
          <cell r="M1096" t="str">
            <v>13.800</v>
          </cell>
        </row>
        <row r="1097">
          <cell r="A1097">
            <v>7954283003</v>
          </cell>
          <cell r="M1097" t="str">
            <v>13.800</v>
          </cell>
        </row>
        <row r="1098">
          <cell r="A1098">
            <v>7957558003</v>
          </cell>
          <cell r="M1098" t="str">
            <v>34.500</v>
          </cell>
        </row>
        <row r="1099">
          <cell r="A1099">
            <v>7955702037</v>
          </cell>
          <cell r="M1099" t="str">
            <v>34.500</v>
          </cell>
        </row>
        <row r="1100">
          <cell r="A1100">
            <v>7955986084</v>
          </cell>
          <cell r="M1100" t="str">
            <v>34.500</v>
          </cell>
        </row>
        <row r="1101">
          <cell r="A1101">
            <v>7957719009</v>
          </cell>
          <cell r="M1101" t="str">
            <v>13.800</v>
          </cell>
        </row>
        <row r="1102">
          <cell r="A1102">
            <v>7954971011</v>
          </cell>
          <cell r="M1102" t="str">
            <v>13.800</v>
          </cell>
        </row>
        <row r="1103">
          <cell r="A1103">
            <v>7955882060</v>
          </cell>
          <cell r="M1103" t="str">
            <v>13.800</v>
          </cell>
        </row>
        <row r="1104">
          <cell r="A1104">
            <v>7957920111</v>
          </cell>
          <cell r="M1104" t="str">
            <v>34.500</v>
          </cell>
        </row>
        <row r="1105">
          <cell r="A1105">
            <v>7957882153</v>
          </cell>
          <cell r="M1105" t="str">
            <v>34.500</v>
          </cell>
        </row>
        <row r="1106">
          <cell r="A1106">
            <v>7957658155</v>
          </cell>
          <cell r="M1106" t="str">
            <v>34.500</v>
          </cell>
        </row>
        <row r="1107">
          <cell r="A1107">
            <v>7955430075</v>
          </cell>
          <cell r="M1107" t="str">
            <v>34.500</v>
          </cell>
        </row>
        <row r="1108">
          <cell r="A1108">
            <v>7959990070</v>
          </cell>
          <cell r="M1108" t="str">
            <v>34.500</v>
          </cell>
        </row>
        <row r="1109">
          <cell r="A1109">
            <v>7956939122</v>
          </cell>
          <cell r="M1109" t="str">
            <v>13.800</v>
          </cell>
        </row>
        <row r="1110">
          <cell r="A1110">
            <v>7954748001</v>
          </cell>
          <cell r="M1110" t="str">
            <v>13.800</v>
          </cell>
        </row>
        <row r="1111">
          <cell r="A1111">
            <v>7956903122</v>
          </cell>
          <cell r="M1111" t="str">
            <v>13.800</v>
          </cell>
        </row>
        <row r="1112">
          <cell r="A1112">
            <v>7954721001</v>
          </cell>
          <cell r="M1112" t="str">
            <v>13.800</v>
          </cell>
        </row>
        <row r="1113">
          <cell r="A1113">
            <v>7956927122</v>
          </cell>
          <cell r="M1113" t="str">
            <v>13.800</v>
          </cell>
        </row>
        <row r="1114">
          <cell r="A1114">
            <v>7955582039</v>
          </cell>
          <cell r="M1114" t="str">
            <v>13.800</v>
          </cell>
        </row>
        <row r="1115">
          <cell r="A1115">
            <v>7955999039</v>
          </cell>
          <cell r="M1115" t="str">
            <v>13.800</v>
          </cell>
        </row>
        <row r="1116">
          <cell r="A1116">
            <v>7955211004</v>
          </cell>
          <cell r="M1116" t="str">
            <v>13.800</v>
          </cell>
        </row>
        <row r="1117">
          <cell r="A1117">
            <v>7954717001</v>
          </cell>
          <cell r="M1117" t="str">
            <v>13.800</v>
          </cell>
        </row>
        <row r="1118">
          <cell r="A1118">
            <v>7955576039</v>
          </cell>
          <cell r="M1118" t="str">
            <v>13.800</v>
          </cell>
        </row>
        <row r="1119">
          <cell r="A1119">
            <v>7957834045</v>
          </cell>
          <cell r="M1119" t="str">
            <v>34.500</v>
          </cell>
        </row>
        <row r="1120">
          <cell r="A1120">
            <v>7957822039</v>
          </cell>
          <cell r="M1120" t="str">
            <v>34.500</v>
          </cell>
        </row>
        <row r="1121">
          <cell r="A1121">
            <v>7955546065</v>
          </cell>
          <cell r="M1121" t="str">
            <v>34.500</v>
          </cell>
        </row>
        <row r="1122">
          <cell r="A1122">
            <v>7957817039</v>
          </cell>
          <cell r="M1122" t="str">
            <v>34.500</v>
          </cell>
        </row>
        <row r="1123">
          <cell r="A1123">
            <v>7957715064</v>
          </cell>
          <cell r="M1123" t="str">
            <v>34.500</v>
          </cell>
        </row>
        <row r="1124">
          <cell r="A1124">
            <v>7957126085</v>
          </cell>
          <cell r="M1124" t="str">
            <v>34.500</v>
          </cell>
        </row>
        <row r="1125">
          <cell r="A1125">
            <v>7957607113</v>
          </cell>
          <cell r="M1125" t="str">
            <v>13.800</v>
          </cell>
        </row>
        <row r="1126">
          <cell r="A1126">
            <v>7957620015</v>
          </cell>
          <cell r="M1126" t="str">
            <v>13.800</v>
          </cell>
        </row>
        <row r="1127">
          <cell r="A1127">
            <v>7956003081</v>
          </cell>
          <cell r="M1127" t="str">
            <v>13.800</v>
          </cell>
        </row>
        <row r="1128">
          <cell r="A1128">
            <v>7955347193</v>
          </cell>
          <cell r="M1128" t="str">
            <v>34.500</v>
          </cell>
        </row>
        <row r="1129">
          <cell r="A1129">
            <v>7957838081</v>
          </cell>
          <cell r="M1129" t="str">
            <v>13.800</v>
          </cell>
        </row>
        <row r="1130">
          <cell r="A1130">
            <v>7956039101</v>
          </cell>
          <cell r="M1130" t="str">
            <v>34.500</v>
          </cell>
        </row>
        <row r="1131">
          <cell r="A1131">
            <v>7957553097</v>
          </cell>
          <cell r="M1131" t="str">
            <v>13.800</v>
          </cell>
        </row>
        <row r="1132">
          <cell r="A1132">
            <v>7957571200</v>
          </cell>
          <cell r="M1132" t="str">
            <v>34.500</v>
          </cell>
        </row>
        <row r="1133">
          <cell r="A1133">
            <v>7956993021</v>
          </cell>
          <cell r="M1133" t="str">
            <v>34.500</v>
          </cell>
        </row>
        <row r="1134">
          <cell r="A1134">
            <v>7957564052</v>
          </cell>
          <cell r="M1134" t="str">
            <v>34.500</v>
          </cell>
        </row>
        <row r="1135">
          <cell r="A1135">
            <v>7955658107</v>
          </cell>
          <cell r="M1135" t="str">
            <v>34.500</v>
          </cell>
        </row>
        <row r="1136">
          <cell r="A1136">
            <v>7956041038</v>
          </cell>
          <cell r="M1136" t="str">
            <v>34.500</v>
          </cell>
        </row>
        <row r="1137">
          <cell r="A1137">
            <v>7957023094</v>
          </cell>
          <cell r="M1137" t="str">
            <v>34.500</v>
          </cell>
        </row>
        <row r="1138">
          <cell r="A1138">
            <v>7956998021</v>
          </cell>
          <cell r="M1138" t="str">
            <v>34.500</v>
          </cell>
        </row>
        <row r="1139">
          <cell r="A1139">
            <v>7956992021</v>
          </cell>
          <cell r="M1139" t="str">
            <v>34.500</v>
          </cell>
        </row>
        <row r="1140">
          <cell r="A1140">
            <v>7957008037</v>
          </cell>
          <cell r="M1140" t="str">
            <v>34.500</v>
          </cell>
        </row>
        <row r="1141">
          <cell r="A1141">
            <v>7957004076</v>
          </cell>
          <cell r="M1141" t="str">
            <v>34.500</v>
          </cell>
        </row>
        <row r="1142">
          <cell r="A1142">
            <v>7957018094</v>
          </cell>
          <cell r="M1142" t="str">
            <v>34.500</v>
          </cell>
        </row>
        <row r="1143">
          <cell r="A1143">
            <v>7957021094</v>
          </cell>
          <cell r="M1143" t="str">
            <v>34.500</v>
          </cell>
        </row>
        <row r="1144">
          <cell r="A1144">
            <v>7955715032</v>
          </cell>
          <cell r="M1144" t="str">
            <v>34.500</v>
          </cell>
        </row>
        <row r="1145">
          <cell r="A1145">
            <v>7955644076</v>
          </cell>
          <cell r="M1145" t="str">
            <v>34.500</v>
          </cell>
        </row>
        <row r="1146">
          <cell r="A1146">
            <v>7955452007</v>
          </cell>
          <cell r="M1146" t="str">
            <v>13.800</v>
          </cell>
        </row>
        <row r="1147">
          <cell r="A1147">
            <v>7955789032</v>
          </cell>
          <cell r="M1147" t="str">
            <v>34.500</v>
          </cell>
        </row>
        <row r="1148">
          <cell r="A1148">
            <v>7955792076</v>
          </cell>
          <cell r="M1148" t="str">
            <v>34.500</v>
          </cell>
        </row>
        <row r="1149">
          <cell r="A1149">
            <v>7955700073</v>
          </cell>
          <cell r="M1149" t="str">
            <v>34.500</v>
          </cell>
        </row>
        <row r="1150">
          <cell r="A1150">
            <v>7955832052</v>
          </cell>
          <cell r="M1150" t="str">
            <v>34.500</v>
          </cell>
        </row>
        <row r="1151">
          <cell r="A1151">
            <v>7955521116</v>
          </cell>
          <cell r="M1151" t="str">
            <v>34.500</v>
          </cell>
        </row>
        <row r="1152">
          <cell r="A1152">
            <v>7955523028</v>
          </cell>
          <cell r="M1152" t="str">
            <v>34.500</v>
          </cell>
        </row>
        <row r="1153">
          <cell r="A1153">
            <v>7955825037</v>
          </cell>
          <cell r="M1153" t="str">
            <v>34.500</v>
          </cell>
        </row>
        <row r="1154">
          <cell r="A1154">
            <v>7957020076</v>
          </cell>
          <cell r="M1154" t="str">
            <v>34.500</v>
          </cell>
        </row>
        <row r="1155">
          <cell r="A1155">
            <v>7956130072</v>
          </cell>
          <cell r="M1155" t="str">
            <v>34.500</v>
          </cell>
        </row>
        <row r="1156">
          <cell r="A1156">
            <v>7957025089</v>
          </cell>
          <cell r="M1156" t="str">
            <v>34.500</v>
          </cell>
        </row>
        <row r="1157">
          <cell r="A1157">
            <v>7957017089</v>
          </cell>
          <cell r="M1157" t="str">
            <v>34.500</v>
          </cell>
        </row>
        <row r="1158">
          <cell r="A1158">
            <v>7955922122</v>
          </cell>
          <cell r="M1158" t="str">
            <v>13.800</v>
          </cell>
        </row>
        <row r="1159">
          <cell r="A1159">
            <v>7955936122</v>
          </cell>
          <cell r="M1159" t="str">
            <v>13.800</v>
          </cell>
        </row>
        <row r="1160">
          <cell r="A1160">
            <v>7957659223</v>
          </cell>
          <cell r="M1160" t="str">
            <v>34.500</v>
          </cell>
        </row>
        <row r="1161">
          <cell r="A1161">
            <v>7957022094</v>
          </cell>
          <cell r="M1161" t="str">
            <v>34.500</v>
          </cell>
        </row>
        <row r="1162">
          <cell r="A1162">
            <v>7957019003</v>
          </cell>
          <cell r="M1162" t="str">
            <v>34.500</v>
          </cell>
        </row>
        <row r="1163">
          <cell r="A1163">
            <v>7958237186</v>
          </cell>
          <cell r="M1163" t="str">
            <v>34.500</v>
          </cell>
        </row>
        <row r="1164">
          <cell r="A1164">
            <v>7957853064</v>
          </cell>
          <cell r="M1164" t="str">
            <v>34.500</v>
          </cell>
        </row>
        <row r="1165">
          <cell r="A1165">
            <v>7957024200</v>
          </cell>
          <cell r="M1165" t="str">
            <v>34.500</v>
          </cell>
        </row>
        <row r="1166">
          <cell r="A1166">
            <v>7955804021</v>
          </cell>
          <cell r="M1166" t="str">
            <v>34.500</v>
          </cell>
        </row>
        <row r="1167">
          <cell r="A1167">
            <v>7957655033</v>
          </cell>
          <cell r="M1167" t="str">
            <v>34.500</v>
          </cell>
        </row>
        <row r="1168">
          <cell r="A1168">
            <v>7956924006</v>
          </cell>
          <cell r="M1168" t="str">
            <v>34.500</v>
          </cell>
        </row>
        <row r="1169">
          <cell r="A1169">
            <v>7954561110</v>
          </cell>
          <cell r="M1169" t="str">
            <v>34.500</v>
          </cell>
        </row>
        <row r="1170">
          <cell r="A1170">
            <v>7955810021</v>
          </cell>
          <cell r="M1170" t="str">
            <v>34.500</v>
          </cell>
        </row>
        <row r="1171">
          <cell r="A1171">
            <v>7956117005</v>
          </cell>
          <cell r="M1171" t="str">
            <v>13.800</v>
          </cell>
        </row>
        <row r="1172">
          <cell r="A1172">
            <v>7956129005</v>
          </cell>
          <cell r="M1172" t="str">
            <v>13.800</v>
          </cell>
        </row>
        <row r="1173">
          <cell r="A1173">
            <v>7955790094</v>
          </cell>
          <cell r="M1173" t="str">
            <v>13.800</v>
          </cell>
        </row>
        <row r="1174">
          <cell r="A1174">
            <v>7955666036</v>
          </cell>
          <cell r="M1174" t="str">
            <v>13.800</v>
          </cell>
        </row>
        <row r="1175">
          <cell r="A1175">
            <v>7953298122</v>
          </cell>
          <cell r="M1175" t="str">
            <v>13.800</v>
          </cell>
        </row>
        <row r="1176">
          <cell r="A1176">
            <v>7956399193</v>
          </cell>
          <cell r="M1176" t="str">
            <v>34.500</v>
          </cell>
        </row>
        <row r="1177">
          <cell r="A1177">
            <v>7954583110</v>
          </cell>
          <cell r="M1177" t="str">
            <v>34.500</v>
          </cell>
        </row>
        <row r="1178">
          <cell r="A1178">
            <v>7957089155</v>
          </cell>
          <cell r="M1178" t="str">
            <v>34.500</v>
          </cell>
        </row>
        <row r="1179">
          <cell r="A1179">
            <v>7955889122</v>
          </cell>
          <cell r="M1179" t="str">
            <v>34.500</v>
          </cell>
        </row>
        <row r="1180">
          <cell r="A1180">
            <v>7954564001</v>
          </cell>
          <cell r="M1180" t="str">
            <v>13.800</v>
          </cell>
        </row>
        <row r="1181">
          <cell r="A1181">
            <v>7955914059</v>
          </cell>
          <cell r="M1181" t="str">
            <v>34.500</v>
          </cell>
        </row>
        <row r="1182">
          <cell r="A1182">
            <v>7957466015</v>
          </cell>
          <cell r="M1182" t="str">
            <v>34.500</v>
          </cell>
        </row>
        <row r="1183">
          <cell r="A1183">
            <v>7957163122</v>
          </cell>
          <cell r="M1183" t="str">
            <v>13.800</v>
          </cell>
        </row>
        <row r="1184">
          <cell r="A1184">
            <v>7955635116</v>
          </cell>
          <cell r="M1184" t="str">
            <v>34.500</v>
          </cell>
        </row>
        <row r="1185">
          <cell r="A1185">
            <v>7957858079</v>
          </cell>
          <cell r="M1185" t="str">
            <v>34.500</v>
          </cell>
        </row>
        <row r="1186">
          <cell r="A1186">
            <v>7957441077</v>
          </cell>
          <cell r="M1186" t="str">
            <v>13.800</v>
          </cell>
        </row>
        <row r="1187">
          <cell r="A1187">
            <v>7957460018</v>
          </cell>
          <cell r="M1187" t="str">
            <v>34.500</v>
          </cell>
        </row>
        <row r="1188">
          <cell r="A1188">
            <v>7957721078</v>
          </cell>
          <cell r="M1188" t="str">
            <v>34.500</v>
          </cell>
        </row>
        <row r="1189">
          <cell r="A1189">
            <v>7957042154</v>
          </cell>
          <cell r="M1189" t="str">
            <v>34.500</v>
          </cell>
        </row>
        <row r="1190">
          <cell r="A1190">
            <v>7957616048</v>
          </cell>
          <cell r="M1190" t="str">
            <v>34.500</v>
          </cell>
        </row>
        <row r="1191">
          <cell r="A1191">
            <v>7956220007</v>
          </cell>
          <cell r="M1191" t="str">
            <v>13.800</v>
          </cell>
        </row>
        <row r="1192">
          <cell r="A1192">
            <v>7957465048</v>
          </cell>
          <cell r="M1192" t="str">
            <v>34.500</v>
          </cell>
        </row>
        <row r="1193">
          <cell r="A1193">
            <v>7955910059</v>
          </cell>
          <cell r="M1193" t="str">
            <v>34.500</v>
          </cell>
        </row>
        <row r="1194">
          <cell r="A1194">
            <v>7957897064</v>
          </cell>
          <cell r="M1194" t="str">
            <v>34.500</v>
          </cell>
        </row>
        <row r="1195">
          <cell r="A1195">
            <v>7955520116</v>
          </cell>
          <cell r="M1195" t="str">
            <v>34.500</v>
          </cell>
        </row>
        <row r="1196">
          <cell r="A1196">
            <v>7956040101</v>
          </cell>
          <cell r="M1196" t="str">
            <v>34.500</v>
          </cell>
        </row>
        <row r="1197">
          <cell r="A1197">
            <v>7930419122</v>
          </cell>
          <cell r="M1197" t="str">
            <v>13.800</v>
          </cell>
        </row>
        <row r="1198">
          <cell r="A1198">
            <v>7957762039</v>
          </cell>
          <cell r="M1198" t="str">
            <v>13.800</v>
          </cell>
        </row>
        <row r="1199">
          <cell r="A1199">
            <v>7957640009</v>
          </cell>
          <cell r="M1199" t="str">
            <v>13.800</v>
          </cell>
        </row>
        <row r="1200">
          <cell r="A1200">
            <v>7955932122</v>
          </cell>
          <cell r="M1200" t="str">
            <v>13.800</v>
          </cell>
        </row>
        <row r="1201">
          <cell r="A1201">
            <v>7955908083</v>
          </cell>
          <cell r="M1201" t="str">
            <v>34.500</v>
          </cell>
        </row>
        <row r="1202">
          <cell r="A1202">
            <v>7956131005</v>
          </cell>
          <cell r="M1202" t="str">
            <v>13.800</v>
          </cell>
        </row>
        <row r="1203">
          <cell r="A1203">
            <v>7955913122</v>
          </cell>
          <cell r="M1203" t="str">
            <v>13.800</v>
          </cell>
        </row>
        <row r="1204">
          <cell r="A1204">
            <v>7956932122</v>
          </cell>
          <cell r="M1204" t="str">
            <v>13.800</v>
          </cell>
        </row>
        <row r="1205">
          <cell r="A1205">
            <v>7957425066</v>
          </cell>
          <cell r="M1205" t="str">
            <v>34.500</v>
          </cell>
        </row>
        <row r="1206">
          <cell r="A1206">
            <v>7955686076</v>
          </cell>
          <cell r="M1206" t="str">
            <v>13.800</v>
          </cell>
        </row>
        <row r="1207">
          <cell r="A1207">
            <v>7953570026</v>
          </cell>
          <cell r="M1207" t="str">
            <v>34.500</v>
          </cell>
        </row>
        <row r="1208">
          <cell r="A1208">
            <v>7955987088</v>
          </cell>
          <cell r="M1208" t="str">
            <v>34.500</v>
          </cell>
        </row>
        <row r="1209">
          <cell r="A1209">
            <v>7954560043</v>
          </cell>
          <cell r="M1209" t="str">
            <v>13.800</v>
          </cell>
        </row>
        <row r="1210">
          <cell r="A1210">
            <v>7954490001</v>
          </cell>
          <cell r="M1210" t="str">
            <v>13.800</v>
          </cell>
        </row>
        <row r="1211">
          <cell r="A1211">
            <v>7956127190</v>
          </cell>
          <cell r="M1211" t="str">
            <v>34.500</v>
          </cell>
        </row>
        <row r="1212">
          <cell r="A1212">
            <v>7954559001</v>
          </cell>
          <cell r="M1212" t="str">
            <v>13.800</v>
          </cell>
        </row>
        <row r="1213">
          <cell r="A1213">
            <v>7934079003</v>
          </cell>
          <cell r="M1213" t="str">
            <v>13.800</v>
          </cell>
        </row>
        <row r="1214">
          <cell r="A1214">
            <v>7955761003</v>
          </cell>
          <cell r="M1214" t="str">
            <v>13.800</v>
          </cell>
        </row>
        <row r="1215">
          <cell r="A1215">
            <v>7956784003</v>
          </cell>
          <cell r="M1215" t="str">
            <v>13.800</v>
          </cell>
        </row>
        <row r="1216">
          <cell r="A1216">
            <v>7956777003</v>
          </cell>
          <cell r="M1216" t="str">
            <v>13.800</v>
          </cell>
        </row>
        <row r="1217">
          <cell r="A1217">
            <v>7958217097</v>
          </cell>
          <cell r="M1217" t="str">
            <v>13.800</v>
          </cell>
        </row>
        <row r="1218">
          <cell r="A1218">
            <v>7958244094</v>
          </cell>
          <cell r="M1218" t="str">
            <v>34.500</v>
          </cell>
        </row>
        <row r="1219">
          <cell r="A1219">
            <v>7962016046</v>
          </cell>
          <cell r="M1219" t="str">
            <v>13.800</v>
          </cell>
        </row>
        <row r="1220">
          <cell r="A1220">
            <v>7902314013</v>
          </cell>
          <cell r="M1220" t="str">
            <v>13.800</v>
          </cell>
        </row>
        <row r="1221">
          <cell r="A1221">
            <v>7959800122</v>
          </cell>
          <cell r="M1221" t="str">
            <v>34.500</v>
          </cell>
        </row>
        <row r="1222">
          <cell r="A1222">
            <v>7958549025</v>
          </cell>
          <cell r="M1222" t="str">
            <v>34.500</v>
          </cell>
        </row>
        <row r="1223">
          <cell r="A1223">
            <v>7961329003</v>
          </cell>
          <cell r="M1223" t="str">
            <v>13.800</v>
          </cell>
        </row>
        <row r="1224">
          <cell r="A1224">
            <v>7955730003</v>
          </cell>
          <cell r="M1224" t="str">
            <v>13.800</v>
          </cell>
        </row>
        <row r="1225">
          <cell r="A1225">
            <v>7962052017</v>
          </cell>
          <cell r="M1225" t="str">
            <v>13.800</v>
          </cell>
        </row>
        <row r="1226">
          <cell r="A1226">
            <v>7960870193</v>
          </cell>
          <cell r="M1226" t="str">
            <v>34.500</v>
          </cell>
        </row>
        <row r="1227">
          <cell r="A1227">
            <v>7960498009</v>
          </cell>
          <cell r="M1227" t="str">
            <v>34.500</v>
          </cell>
        </row>
        <row r="1228">
          <cell r="A1228">
            <v>7960538048</v>
          </cell>
          <cell r="M1228" t="str">
            <v>34.500</v>
          </cell>
        </row>
        <row r="1229">
          <cell r="A1229">
            <v>7929777147</v>
          </cell>
          <cell r="M1229" t="str">
            <v>34.500</v>
          </cell>
        </row>
        <row r="1230">
          <cell r="A1230">
            <v>7961515047</v>
          </cell>
          <cell r="M1230" t="str">
            <v>13.800</v>
          </cell>
        </row>
        <row r="1231">
          <cell r="A1231">
            <v>7961301052</v>
          </cell>
          <cell r="M1231" t="str">
            <v>13.800</v>
          </cell>
        </row>
        <row r="1232">
          <cell r="A1232">
            <v>7961368005</v>
          </cell>
          <cell r="M1232" t="str">
            <v>34.500</v>
          </cell>
        </row>
        <row r="1233">
          <cell r="A1233">
            <v>7961377005</v>
          </cell>
          <cell r="M1233" t="str">
            <v>34.500</v>
          </cell>
        </row>
        <row r="1234">
          <cell r="A1234">
            <v>7950078122</v>
          </cell>
          <cell r="M1234" t="str">
            <v>34.500</v>
          </cell>
        </row>
        <row r="1235">
          <cell r="A1235">
            <v>7963713004</v>
          </cell>
          <cell r="M1235" t="str">
            <v>13.800</v>
          </cell>
        </row>
        <row r="1236">
          <cell r="A1236">
            <v>7959680004</v>
          </cell>
          <cell r="M1236" t="str">
            <v>13.800</v>
          </cell>
        </row>
        <row r="1237">
          <cell r="A1237">
            <v>7959698004</v>
          </cell>
          <cell r="M1237" t="str">
            <v>13.800</v>
          </cell>
        </row>
        <row r="1238">
          <cell r="A1238">
            <v>7960973004</v>
          </cell>
          <cell r="M1238" t="str">
            <v>13.800</v>
          </cell>
        </row>
        <row r="1239">
          <cell r="A1239">
            <v>7963715004</v>
          </cell>
          <cell r="M1239" t="str">
            <v>13.800</v>
          </cell>
        </row>
        <row r="1240">
          <cell r="A1240">
            <v>7956772003</v>
          </cell>
          <cell r="M1240" t="str">
            <v>34.500</v>
          </cell>
        </row>
        <row r="1241">
          <cell r="A1241">
            <v>7963704004</v>
          </cell>
          <cell r="M1241" t="str">
            <v>13.800</v>
          </cell>
        </row>
        <row r="1242">
          <cell r="A1242">
            <v>7962864003</v>
          </cell>
          <cell r="M1242" t="str">
            <v>34.500</v>
          </cell>
        </row>
        <row r="1243">
          <cell r="A1243">
            <v>7962886003</v>
          </cell>
          <cell r="M1243" t="str">
            <v>34.500</v>
          </cell>
        </row>
        <row r="1244">
          <cell r="A1244">
            <v>7960790036</v>
          </cell>
          <cell r="M1244" t="str">
            <v>13.800</v>
          </cell>
        </row>
        <row r="1245">
          <cell r="A1245">
            <v>7961993059</v>
          </cell>
          <cell r="M1245" t="str">
            <v>13.800</v>
          </cell>
        </row>
        <row r="1246">
          <cell r="A1246">
            <v>7960788036</v>
          </cell>
          <cell r="M1246" t="str">
            <v>13.800</v>
          </cell>
        </row>
        <row r="1247">
          <cell r="A1247">
            <v>7962861003</v>
          </cell>
          <cell r="M1247" t="str">
            <v>13.800</v>
          </cell>
        </row>
        <row r="1248">
          <cell r="A1248">
            <v>7929763027</v>
          </cell>
          <cell r="M1248" t="str">
            <v>13.800</v>
          </cell>
        </row>
        <row r="1249">
          <cell r="A1249">
            <v>7963618032</v>
          </cell>
          <cell r="M1249" t="str">
            <v>13.800</v>
          </cell>
        </row>
        <row r="1250">
          <cell r="A1250">
            <v>7960701094</v>
          </cell>
          <cell r="M1250" t="str">
            <v>34.500</v>
          </cell>
        </row>
        <row r="1251">
          <cell r="A1251">
            <v>7965194065</v>
          </cell>
          <cell r="M1251" t="str">
            <v>13.800</v>
          </cell>
        </row>
        <row r="1252">
          <cell r="A1252">
            <v>7956702007</v>
          </cell>
          <cell r="M1252" t="str">
            <v>34.500</v>
          </cell>
        </row>
        <row r="1253">
          <cell r="A1253">
            <v>7962837017</v>
          </cell>
          <cell r="M1253" t="str">
            <v>34.500</v>
          </cell>
        </row>
        <row r="1254">
          <cell r="A1254">
            <v>7961041073</v>
          </cell>
          <cell r="M1254" t="str">
            <v>13.800</v>
          </cell>
        </row>
        <row r="1255">
          <cell r="A1255">
            <v>7964644046</v>
          </cell>
          <cell r="M1255" t="str">
            <v>34.500</v>
          </cell>
        </row>
        <row r="1256">
          <cell r="A1256">
            <v>7962638060</v>
          </cell>
          <cell r="M1256" t="str">
            <v>13.800</v>
          </cell>
        </row>
        <row r="1257">
          <cell r="A1257">
            <v>7960797042</v>
          </cell>
          <cell r="M1257" t="str">
            <v>13.800</v>
          </cell>
        </row>
        <row r="1258">
          <cell r="A1258">
            <v>7960798037</v>
          </cell>
          <cell r="M1258" t="str">
            <v>34.500</v>
          </cell>
        </row>
        <row r="1259">
          <cell r="A1259">
            <v>7960800037</v>
          </cell>
          <cell r="M1259" t="str">
            <v>34.500</v>
          </cell>
        </row>
        <row r="1260">
          <cell r="A1260">
            <v>7961325003</v>
          </cell>
          <cell r="M1260" t="str">
            <v>13.800</v>
          </cell>
        </row>
        <row r="1261">
          <cell r="A1261">
            <v>7960781003</v>
          </cell>
          <cell r="M1261" t="str">
            <v>34.500</v>
          </cell>
        </row>
        <row r="1262">
          <cell r="A1262">
            <v>7960714107</v>
          </cell>
          <cell r="M1262" t="str">
            <v>34.500</v>
          </cell>
        </row>
        <row r="1263">
          <cell r="A1263">
            <v>7964803072</v>
          </cell>
          <cell r="M1263" t="str">
            <v>34.500</v>
          </cell>
        </row>
        <row r="1264">
          <cell r="A1264">
            <v>7965010157</v>
          </cell>
          <cell r="M1264" t="str">
            <v>34.500</v>
          </cell>
        </row>
        <row r="1265">
          <cell r="A1265">
            <v>7961143060</v>
          </cell>
          <cell r="M1265" t="str">
            <v>34.500</v>
          </cell>
        </row>
        <row r="1266">
          <cell r="A1266">
            <v>7962637060</v>
          </cell>
          <cell r="M1266" t="str">
            <v>34.500</v>
          </cell>
        </row>
        <row r="1267">
          <cell r="A1267">
            <v>7965042063</v>
          </cell>
          <cell r="M1267" t="str">
            <v>34.500</v>
          </cell>
        </row>
        <row r="1268">
          <cell r="A1268">
            <v>7960923045</v>
          </cell>
          <cell r="M1268" t="str">
            <v>13.800</v>
          </cell>
        </row>
        <row r="1269">
          <cell r="A1269">
            <v>7965089045</v>
          </cell>
          <cell r="M1269" t="str">
            <v>13.800</v>
          </cell>
        </row>
        <row r="1270">
          <cell r="A1270">
            <v>7965032004</v>
          </cell>
          <cell r="M1270" t="str">
            <v>13.800</v>
          </cell>
        </row>
        <row r="1271">
          <cell r="A1271">
            <v>7963521038</v>
          </cell>
          <cell r="M1271" t="str">
            <v>34.500</v>
          </cell>
        </row>
        <row r="1272">
          <cell r="A1272">
            <v>7963508027</v>
          </cell>
          <cell r="M1272" t="str">
            <v>34.500</v>
          </cell>
        </row>
        <row r="1273">
          <cell r="A1273">
            <v>7964815091</v>
          </cell>
          <cell r="M1273" t="str">
            <v>34.500</v>
          </cell>
        </row>
        <row r="1274">
          <cell r="A1274">
            <v>7961675122</v>
          </cell>
          <cell r="M1274" t="str">
            <v>34.500</v>
          </cell>
        </row>
        <row r="1275">
          <cell r="A1275">
            <v>7963500031</v>
          </cell>
          <cell r="M1275" t="str">
            <v>34.500</v>
          </cell>
        </row>
        <row r="1276">
          <cell r="A1276">
            <v>7964816091</v>
          </cell>
          <cell r="M1276" t="str">
            <v>34.500</v>
          </cell>
        </row>
        <row r="1277">
          <cell r="A1277">
            <v>7962734119</v>
          </cell>
          <cell r="M1277" t="str">
            <v>34.500</v>
          </cell>
        </row>
        <row r="1278">
          <cell r="A1278">
            <v>7963661046</v>
          </cell>
          <cell r="M1278" t="str">
            <v>34.500</v>
          </cell>
        </row>
        <row r="1279">
          <cell r="A1279">
            <v>7964802072</v>
          </cell>
          <cell r="M1279" t="str">
            <v>34.500</v>
          </cell>
        </row>
        <row r="1280">
          <cell r="A1280">
            <v>7963997027</v>
          </cell>
          <cell r="M1280" t="str">
            <v>34.500</v>
          </cell>
        </row>
        <row r="1281">
          <cell r="A1281">
            <v>7960787037</v>
          </cell>
          <cell r="M1281" t="str">
            <v>34.500</v>
          </cell>
        </row>
        <row r="1282">
          <cell r="A1282">
            <v>7962821013</v>
          </cell>
          <cell r="M1282" t="str">
            <v>13.800</v>
          </cell>
        </row>
        <row r="1283">
          <cell r="A1283">
            <v>7924620042</v>
          </cell>
          <cell r="M1283" t="str">
            <v>13.800</v>
          </cell>
        </row>
        <row r="1284">
          <cell r="A1284">
            <v>7965013080</v>
          </cell>
          <cell r="M1284" t="str">
            <v>34.500</v>
          </cell>
        </row>
        <row r="1285">
          <cell r="A1285">
            <v>7967181127</v>
          </cell>
          <cell r="M1285" t="str">
            <v>34.500</v>
          </cell>
        </row>
        <row r="1286">
          <cell r="A1286">
            <v>7962635060</v>
          </cell>
          <cell r="M1286" t="str">
            <v>13.800</v>
          </cell>
        </row>
        <row r="1287">
          <cell r="A1287">
            <v>7967182124</v>
          </cell>
          <cell r="M1287" t="str">
            <v>13.800</v>
          </cell>
        </row>
        <row r="1288">
          <cell r="A1288">
            <v>7965133015</v>
          </cell>
          <cell r="M1288" t="str">
            <v>34.500</v>
          </cell>
        </row>
        <row r="1289">
          <cell r="A1289">
            <v>7963253008</v>
          </cell>
          <cell r="M1289" t="str">
            <v>34.500</v>
          </cell>
        </row>
        <row r="1290">
          <cell r="A1290">
            <v>7954395015</v>
          </cell>
          <cell r="M1290" t="str">
            <v>34.500</v>
          </cell>
        </row>
        <row r="1291">
          <cell r="A1291">
            <v>7963511038</v>
          </cell>
          <cell r="M1291" t="str">
            <v>34.500</v>
          </cell>
        </row>
        <row r="1292">
          <cell r="A1292">
            <v>7964751038</v>
          </cell>
          <cell r="M1292" t="str">
            <v>34.500</v>
          </cell>
        </row>
        <row r="1293">
          <cell r="A1293">
            <v>7960070001</v>
          </cell>
          <cell r="M1293" t="str">
            <v>13.800</v>
          </cell>
        </row>
        <row r="1294">
          <cell r="A1294"/>
          <cell r="M1294"/>
        </row>
        <row r="1295">
          <cell r="A1295"/>
        </row>
        <row r="1296">
          <cell r="A1296"/>
          <cell r="M1296"/>
        </row>
        <row r="1297">
          <cell r="A1297"/>
          <cell r="M1297"/>
        </row>
        <row r="1298">
          <cell r="A1298"/>
          <cell r="M1298"/>
        </row>
        <row r="1299">
          <cell r="A1299"/>
          <cell r="M1299"/>
        </row>
        <row r="1300">
          <cell r="A1300"/>
          <cell r="M1300"/>
        </row>
        <row r="1301">
          <cell r="A1301"/>
          <cell r="M1301"/>
        </row>
        <row r="1302">
          <cell r="A1302"/>
          <cell r="M1302"/>
        </row>
        <row r="1303">
          <cell r="A1303"/>
          <cell r="M1303"/>
        </row>
        <row r="1304">
          <cell r="A1304"/>
          <cell r="M1304"/>
        </row>
        <row r="1305">
          <cell r="A1305"/>
          <cell r="M1305"/>
        </row>
        <row r="1306">
          <cell r="A1306"/>
          <cell r="M1306"/>
        </row>
        <row r="1307">
          <cell r="A1307"/>
          <cell r="M1307"/>
        </row>
        <row r="1308">
          <cell r="A1308"/>
          <cell r="M1308"/>
        </row>
        <row r="1309">
          <cell r="A1309"/>
          <cell r="M1309"/>
        </row>
        <row r="1310">
          <cell r="A1310"/>
          <cell r="M1310"/>
        </row>
        <row r="1311">
          <cell r="A1311"/>
          <cell r="M1311"/>
        </row>
        <row r="1312">
          <cell r="A1312"/>
          <cell r="M1312"/>
        </row>
        <row r="1313">
          <cell r="A1313"/>
          <cell r="M1313"/>
        </row>
        <row r="1314">
          <cell r="A1314"/>
          <cell r="M1314"/>
        </row>
        <row r="1315">
          <cell r="A1315"/>
          <cell r="M1315"/>
        </row>
        <row r="1316">
          <cell r="A1316"/>
          <cell r="M1316"/>
        </row>
        <row r="1317">
          <cell r="A1317"/>
          <cell r="M1317"/>
        </row>
        <row r="1318">
          <cell r="A1318"/>
          <cell r="M1318"/>
        </row>
        <row r="1319">
          <cell r="A1319"/>
          <cell r="M1319"/>
        </row>
        <row r="1320">
          <cell r="A1320"/>
          <cell r="M1320"/>
        </row>
        <row r="1321">
          <cell r="A1321"/>
          <cell r="M1321"/>
        </row>
        <row r="1322">
          <cell r="A1322"/>
          <cell r="M1322"/>
        </row>
        <row r="1323">
          <cell r="A1323"/>
          <cell r="M1323"/>
        </row>
        <row r="1324">
          <cell r="A1324"/>
          <cell r="M1324"/>
        </row>
        <row r="1325">
          <cell r="A1325"/>
          <cell r="M1325"/>
        </row>
        <row r="1326">
          <cell r="A1326"/>
          <cell r="M1326"/>
        </row>
        <row r="1327">
          <cell r="A1327"/>
          <cell r="M1327"/>
        </row>
        <row r="1328">
          <cell r="A1328"/>
          <cell r="M1328"/>
        </row>
        <row r="1329">
          <cell r="A1329"/>
          <cell r="M1329"/>
        </row>
        <row r="1330">
          <cell r="A1330"/>
          <cell r="M1330"/>
        </row>
        <row r="1331">
          <cell r="A1331"/>
          <cell r="M1331"/>
        </row>
        <row r="1332">
          <cell r="A1332"/>
          <cell r="M1332"/>
        </row>
        <row r="1333">
          <cell r="A1333"/>
          <cell r="M1333"/>
        </row>
        <row r="1334">
          <cell r="A1334"/>
          <cell r="M1334"/>
        </row>
        <row r="1335">
          <cell r="A1335"/>
          <cell r="M1335"/>
        </row>
        <row r="1336">
          <cell r="A1336"/>
          <cell r="M1336"/>
        </row>
        <row r="1337">
          <cell r="A1337"/>
          <cell r="M1337"/>
        </row>
        <row r="1338">
          <cell r="A1338"/>
          <cell r="M1338"/>
        </row>
        <row r="1339">
          <cell r="A1339"/>
          <cell r="M1339"/>
        </row>
        <row r="1340">
          <cell r="A1340"/>
          <cell r="M1340"/>
        </row>
        <row r="1341">
          <cell r="A1341"/>
          <cell r="M1341"/>
        </row>
        <row r="1342">
          <cell r="A1342"/>
          <cell r="M1342"/>
        </row>
        <row r="1343">
          <cell r="A1343"/>
          <cell r="M1343"/>
        </row>
        <row r="1344">
          <cell r="A1344"/>
          <cell r="M1344"/>
        </row>
        <row r="1345">
          <cell r="A1345"/>
          <cell r="M1345"/>
        </row>
        <row r="1346">
          <cell r="A1346"/>
          <cell r="M1346"/>
        </row>
        <row r="1347">
          <cell r="A1347"/>
          <cell r="M1347"/>
        </row>
        <row r="1348">
          <cell r="A1348"/>
          <cell r="M1348"/>
        </row>
        <row r="1349">
          <cell r="A1349"/>
          <cell r="M1349"/>
        </row>
        <row r="1350">
          <cell r="A1350"/>
          <cell r="M1350"/>
        </row>
        <row r="1351">
          <cell r="A1351"/>
          <cell r="M1351"/>
        </row>
        <row r="1352">
          <cell r="A1352"/>
          <cell r="M1352"/>
        </row>
        <row r="1353">
          <cell r="A1353"/>
          <cell r="M1353"/>
        </row>
        <row r="1354">
          <cell r="A1354"/>
          <cell r="M1354"/>
        </row>
        <row r="1355">
          <cell r="A1355"/>
          <cell r="M1355"/>
        </row>
        <row r="1356">
          <cell r="A1356"/>
          <cell r="M1356"/>
        </row>
        <row r="1357">
          <cell r="A1357"/>
          <cell r="M1357"/>
        </row>
        <row r="1358">
          <cell r="A1358"/>
          <cell r="M1358"/>
        </row>
        <row r="1359">
          <cell r="A1359"/>
          <cell r="M1359"/>
        </row>
        <row r="1360">
          <cell r="A1360"/>
          <cell r="M1360"/>
        </row>
        <row r="1361">
          <cell r="A1361"/>
          <cell r="M1361"/>
        </row>
        <row r="1362">
          <cell r="A1362"/>
          <cell r="M1362"/>
        </row>
        <row r="1363">
          <cell r="A1363"/>
          <cell r="M1363"/>
        </row>
        <row r="1364">
          <cell r="A1364"/>
          <cell r="M1364"/>
        </row>
        <row r="1365">
          <cell r="A1365"/>
          <cell r="M1365"/>
        </row>
        <row r="1366">
          <cell r="A1366"/>
          <cell r="M1366"/>
        </row>
        <row r="1367">
          <cell r="A1367"/>
          <cell r="M1367"/>
        </row>
        <row r="1368">
          <cell r="A1368"/>
          <cell r="M1368"/>
        </row>
        <row r="1369">
          <cell r="A1369"/>
          <cell r="M1369"/>
        </row>
        <row r="1370">
          <cell r="A1370"/>
          <cell r="M1370"/>
        </row>
        <row r="1371">
          <cell r="A1371"/>
          <cell r="M1371"/>
        </row>
        <row r="1372">
          <cell r="A1372"/>
          <cell r="M1372"/>
        </row>
        <row r="1373">
          <cell r="A1373"/>
          <cell r="M1373"/>
        </row>
        <row r="1374">
          <cell r="A1374"/>
          <cell r="M1374"/>
        </row>
        <row r="1375">
          <cell r="A1375"/>
          <cell r="M1375"/>
        </row>
        <row r="1376">
          <cell r="A1376"/>
          <cell r="M1376"/>
        </row>
        <row r="1377">
          <cell r="A1377"/>
          <cell r="M1377"/>
        </row>
        <row r="1378">
          <cell r="A1378"/>
          <cell r="M1378"/>
        </row>
        <row r="1379">
          <cell r="A1379"/>
          <cell r="M1379"/>
        </row>
        <row r="1380">
          <cell r="A1380"/>
          <cell r="M1380"/>
        </row>
        <row r="1381">
          <cell r="A1381"/>
          <cell r="M1381"/>
        </row>
        <row r="1382">
          <cell r="A1382"/>
          <cell r="M1382"/>
        </row>
        <row r="1383">
          <cell r="A1383"/>
          <cell r="M1383"/>
        </row>
        <row r="1384">
          <cell r="A1384"/>
          <cell r="M1384"/>
        </row>
        <row r="1385">
          <cell r="A1385"/>
          <cell r="M1385"/>
        </row>
        <row r="1386">
          <cell r="A1386"/>
          <cell r="M1386"/>
        </row>
        <row r="1387">
          <cell r="A1387"/>
          <cell r="M1387"/>
        </row>
        <row r="1388">
          <cell r="A1388"/>
          <cell r="M1388"/>
        </row>
        <row r="1389">
          <cell r="A1389"/>
          <cell r="M1389"/>
        </row>
        <row r="1390">
          <cell r="A1390"/>
          <cell r="M1390"/>
        </row>
        <row r="1391">
          <cell r="A1391"/>
          <cell r="M1391"/>
        </row>
        <row r="1392">
          <cell r="A1392"/>
          <cell r="M1392"/>
        </row>
        <row r="1393">
          <cell r="A1393"/>
          <cell r="M1393"/>
        </row>
        <row r="1394">
          <cell r="A1394"/>
          <cell r="M1394"/>
        </row>
        <row r="1395">
          <cell r="A1395"/>
          <cell r="M1395"/>
        </row>
        <row r="1396">
          <cell r="A1396"/>
          <cell r="M1396"/>
        </row>
        <row r="1397">
          <cell r="A1397"/>
          <cell r="M1397"/>
        </row>
        <row r="1398">
          <cell r="A1398"/>
          <cell r="M1398"/>
        </row>
        <row r="1399">
          <cell r="A1399"/>
          <cell r="M1399"/>
        </row>
        <row r="1400">
          <cell r="A1400"/>
          <cell r="M1400"/>
        </row>
        <row r="1401">
          <cell r="A1401"/>
          <cell r="M1401"/>
        </row>
        <row r="1402">
          <cell r="A1402"/>
          <cell r="M1402"/>
        </row>
        <row r="1403">
          <cell r="A1403"/>
          <cell r="M1403"/>
        </row>
        <row r="1404">
          <cell r="A1404"/>
          <cell r="M1404"/>
        </row>
        <row r="1405">
          <cell r="A1405"/>
          <cell r="M1405"/>
        </row>
        <row r="1406">
          <cell r="A1406"/>
          <cell r="M1406"/>
        </row>
        <row r="1407">
          <cell r="A1407"/>
          <cell r="M1407"/>
        </row>
        <row r="1408">
          <cell r="A1408"/>
          <cell r="M1408"/>
        </row>
        <row r="1409">
          <cell r="A1409"/>
          <cell r="M1409"/>
        </row>
        <row r="1410">
          <cell r="A1410"/>
          <cell r="M1410"/>
        </row>
        <row r="1411">
          <cell r="A1411"/>
          <cell r="M1411"/>
        </row>
        <row r="1412">
          <cell r="A1412"/>
          <cell r="M1412"/>
        </row>
        <row r="1413">
          <cell r="A1413"/>
          <cell r="M1413"/>
        </row>
        <row r="1414">
          <cell r="A1414"/>
          <cell r="M1414"/>
        </row>
        <row r="1415">
          <cell r="A1415"/>
          <cell r="M1415"/>
        </row>
        <row r="1416">
          <cell r="A1416"/>
          <cell r="M1416"/>
        </row>
        <row r="1417">
          <cell r="A1417"/>
          <cell r="M1417"/>
        </row>
        <row r="1418">
          <cell r="A1418"/>
          <cell r="M1418"/>
        </row>
        <row r="1419">
          <cell r="A1419"/>
          <cell r="M1419"/>
        </row>
        <row r="1420">
          <cell r="A1420"/>
          <cell r="M1420"/>
        </row>
        <row r="1421">
          <cell r="A1421"/>
          <cell r="M1421"/>
        </row>
        <row r="1422">
          <cell r="A1422"/>
          <cell r="M1422"/>
        </row>
        <row r="1423">
          <cell r="A1423"/>
          <cell r="M1423"/>
        </row>
        <row r="1424">
          <cell r="A1424"/>
          <cell r="M1424"/>
        </row>
        <row r="1425">
          <cell r="A1425"/>
          <cell r="M1425"/>
        </row>
        <row r="1426">
          <cell r="A1426"/>
          <cell r="M1426"/>
        </row>
        <row r="1427">
          <cell r="A1427"/>
          <cell r="M1427"/>
        </row>
        <row r="1428">
          <cell r="A1428"/>
          <cell r="M1428"/>
        </row>
        <row r="1429">
          <cell r="A1429"/>
          <cell r="M1429"/>
        </row>
        <row r="1430">
          <cell r="A1430"/>
          <cell r="M1430"/>
        </row>
        <row r="1431">
          <cell r="A1431"/>
          <cell r="M1431"/>
        </row>
        <row r="1432">
          <cell r="A1432"/>
          <cell r="M1432"/>
        </row>
        <row r="1433">
          <cell r="A1433"/>
          <cell r="M1433"/>
        </row>
        <row r="1434">
          <cell r="A1434"/>
          <cell r="M1434"/>
        </row>
        <row r="1435">
          <cell r="A1435"/>
          <cell r="M1435"/>
        </row>
        <row r="1436">
          <cell r="A1436"/>
          <cell r="M1436"/>
        </row>
        <row r="1437">
          <cell r="A1437"/>
          <cell r="M1437"/>
        </row>
        <row r="1438">
          <cell r="A1438"/>
          <cell r="M1438"/>
        </row>
        <row r="1439">
          <cell r="A1439"/>
          <cell r="M1439"/>
        </row>
        <row r="1440">
          <cell r="A1440"/>
          <cell r="M1440"/>
        </row>
        <row r="1441">
          <cell r="A1441"/>
          <cell r="M1441"/>
        </row>
        <row r="1442">
          <cell r="A1442"/>
          <cell r="M1442"/>
        </row>
        <row r="1443">
          <cell r="A1443"/>
          <cell r="M1443"/>
        </row>
        <row r="1444">
          <cell r="A1444"/>
          <cell r="M1444"/>
        </row>
        <row r="1445">
          <cell r="A1445"/>
          <cell r="M1445"/>
        </row>
        <row r="1446">
          <cell r="A1446"/>
          <cell r="M1446"/>
        </row>
        <row r="1447">
          <cell r="A1447"/>
          <cell r="M1447"/>
        </row>
        <row r="1448">
          <cell r="A1448"/>
          <cell r="M1448"/>
        </row>
        <row r="1449">
          <cell r="A1449"/>
          <cell r="M1449"/>
        </row>
        <row r="1450">
          <cell r="A1450"/>
          <cell r="M1450"/>
        </row>
        <row r="1451">
          <cell r="A1451"/>
          <cell r="M1451"/>
        </row>
        <row r="1452">
          <cell r="A1452"/>
          <cell r="M1452"/>
        </row>
        <row r="1453">
          <cell r="A1453"/>
          <cell r="M1453"/>
        </row>
        <row r="1454">
          <cell r="A1454"/>
          <cell r="M1454"/>
        </row>
        <row r="1455">
          <cell r="A1455"/>
          <cell r="M1455"/>
        </row>
        <row r="1456">
          <cell r="A1456"/>
          <cell r="M1456"/>
        </row>
        <row r="1457">
          <cell r="A1457"/>
          <cell r="M1457"/>
        </row>
        <row r="1458">
          <cell r="A1458"/>
          <cell r="M1458"/>
        </row>
        <row r="1459">
          <cell r="A1459"/>
          <cell r="M1459"/>
        </row>
        <row r="1460">
          <cell r="A1460"/>
          <cell r="M1460"/>
        </row>
        <row r="1461">
          <cell r="A1461"/>
          <cell r="M1461"/>
        </row>
        <row r="1462">
          <cell r="A1462"/>
          <cell r="M1462"/>
        </row>
        <row r="1463">
          <cell r="A1463"/>
          <cell r="M1463"/>
        </row>
        <row r="1464">
          <cell r="A1464"/>
          <cell r="M1464"/>
        </row>
        <row r="1465">
          <cell r="A1465"/>
          <cell r="M1465"/>
        </row>
        <row r="1466">
          <cell r="A1466"/>
          <cell r="M1466"/>
        </row>
        <row r="1467">
          <cell r="A1467"/>
          <cell r="M1467"/>
        </row>
        <row r="1468">
          <cell r="A1468"/>
          <cell r="M1468"/>
        </row>
        <row r="1469">
          <cell r="A1469"/>
          <cell r="M1469"/>
        </row>
        <row r="1470">
          <cell r="A1470"/>
          <cell r="M1470"/>
        </row>
        <row r="1471">
          <cell r="A1471"/>
          <cell r="M1471"/>
        </row>
        <row r="1472">
          <cell r="A1472"/>
          <cell r="M1472"/>
        </row>
        <row r="1473">
          <cell r="A1473"/>
          <cell r="M1473"/>
        </row>
        <row r="1474">
          <cell r="A1474"/>
          <cell r="M1474"/>
        </row>
        <row r="1475">
          <cell r="A1475"/>
          <cell r="M1475"/>
        </row>
        <row r="1476">
          <cell r="A1476"/>
          <cell r="M1476"/>
        </row>
        <row r="1477">
          <cell r="A1477"/>
          <cell r="M1477"/>
        </row>
        <row r="1478">
          <cell r="A1478"/>
          <cell r="M1478"/>
        </row>
        <row r="1479">
          <cell r="A1479"/>
          <cell r="M1479"/>
        </row>
        <row r="1480">
          <cell r="A1480"/>
          <cell r="M1480"/>
        </row>
        <row r="1481">
          <cell r="A1481"/>
          <cell r="M1481"/>
        </row>
        <row r="1482">
          <cell r="A1482"/>
          <cell r="M1482"/>
        </row>
        <row r="1483">
          <cell r="A1483"/>
          <cell r="M1483"/>
        </row>
        <row r="1484">
          <cell r="A1484"/>
          <cell r="M1484"/>
        </row>
        <row r="1485">
          <cell r="A1485"/>
          <cell r="M1485"/>
        </row>
        <row r="1486">
          <cell r="A1486"/>
          <cell r="M1486"/>
        </row>
        <row r="1487">
          <cell r="A1487"/>
          <cell r="M1487"/>
        </row>
        <row r="1488">
          <cell r="A1488"/>
          <cell r="M1488"/>
        </row>
        <row r="1489">
          <cell r="A1489"/>
          <cell r="M1489"/>
        </row>
        <row r="1490">
          <cell r="A1490"/>
          <cell r="M1490"/>
        </row>
        <row r="1491">
          <cell r="A1491"/>
          <cell r="M1491"/>
        </row>
        <row r="1492">
          <cell r="A1492"/>
          <cell r="M1492"/>
        </row>
        <row r="1493">
          <cell r="A1493"/>
          <cell r="M1493"/>
        </row>
        <row r="1494">
          <cell r="A1494"/>
          <cell r="M1494"/>
        </row>
        <row r="1495">
          <cell r="A1495"/>
          <cell r="M1495"/>
        </row>
        <row r="1496">
          <cell r="A1496"/>
          <cell r="M1496"/>
        </row>
        <row r="1497">
          <cell r="A1497"/>
          <cell r="M1497"/>
        </row>
        <row r="1498">
          <cell r="A1498"/>
          <cell r="M1498"/>
        </row>
        <row r="1499">
          <cell r="A1499"/>
          <cell r="M1499"/>
        </row>
        <row r="1500">
          <cell r="A1500"/>
          <cell r="M1500"/>
        </row>
        <row r="1501">
          <cell r="A1501"/>
          <cell r="M1501"/>
        </row>
        <row r="1502">
          <cell r="A1502"/>
          <cell r="M1502"/>
        </row>
        <row r="1503">
          <cell r="A1503"/>
          <cell r="M1503"/>
        </row>
        <row r="1504">
          <cell r="A1504"/>
          <cell r="M1504"/>
        </row>
        <row r="1505">
          <cell r="A1505"/>
          <cell r="M1505"/>
        </row>
        <row r="1506">
          <cell r="A1506"/>
          <cell r="M1506"/>
        </row>
        <row r="1507">
          <cell r="A1507"/>
          <cell r="M1507"/>
        </row>
        <row r="1508">
          <cell r="A1508"/>
          <cell r="M1508"/>
        </row>
        <row r="1509">
          <cell r="A1509"/>
          <cell r="M1509"/>
        </row>
        <row r="1510">
          <cell r="A1510"/>
          <cell r="M1510"/>
        </row>
        <row r="1511">
          <cell r="A1511"/>
          <cell r="M1511"/>
        </row>
        <row r="1512">
          <cell r="A1512"/>
          <cell r="M1512"/>
        </row>
        <row r="1513">
          <cell r="A1513"/>
          <cell r="M1513"/>
        </row>
        <row r="1514">
          <cell r="A1514"/>
          <cell r="M1514"/>
        </row>
        <row r="1515">
          <cell r="A1515"/>
          <cell r="M1515"/>
        </row>
        <row r="1516">
          <cell r="A1516"/>
          <cell r="M1516"/>
        </row>
        <row r="1517">
          <cell r="A1517"/>
          <cell r="M1517"/>
        </row>
        <row r="1518">
          <cell r="A1518"/>
          <cell r="M1518"/>
        </row>
        <row r="1519">
          <cell r="A1519"/>
          <cell r="M1519"/>
        </row>
        <row r="1520">
          <cell r="A1520"/>
          <cell r="M1520"/>
        </row>
        <row r="1521">
          <cell r="A1521"/>
          <cell r="M1521"/>
        </row>
        <row r="1522">
          <cell r="A1522"/>
          <cell r="M1522"/>
        </row>
        <row r="1523">
          <cell r="A1523"/>
          <cell r="M1523"/>
        </row>
        <row r="1524">
          <cell r="A1524"/>
          <cell r="M1524"/>
        </row>
        <row r="1525">
          <cell r="A1525"/>
          <cell r="M1525"/>
        </row>
        <row r="1526">
          <cell r="A1526"/>
          <cell r="M1526"/>
        </row>
        <row r="1527">
          <cell r="A1527"/>
          <cell r="M1527"/>
        </row>
        <row r="1528">
          <cell r="A1528"/>
          <cell r="M1528"/>
        </row>
        <row r="1529">
          <cell r="A1529"/>
          <cell r="M1529"/>
        </row>
        <row r="1530">
          <cell r="A1530"/>
          <cell r="M1530"/>
        </row>
        <row r="1531">
          <cell r="A1531"/>
          <cell r="M1531"/>
        </row>
        <row r="1532">
          <cell r="A1532"/>
          <cell r="M1532"/>
        </row>
        <row r="1533">
          <cell r="A1533"/>
          <cell r="M1533"/>
        </row>
        <row r="1534">
          <cell r="A1534"/>
          <cell r="M1534"/>
        </row>
        <row r="1535">
          <cell r="A1535"/>
          <cell r="M1535"/>
        </row>
        <row r="1536">
          <cell r="A1536"/>
          <cell r="M1536"/>
        </row>
        <row r="1537">
          <cell r="A1537"/>
          <cell r="M1537"/>
        </row>
        <row r="1538">
          <cell r="A1538"/>
          <cell r="M1538"/>
        </row>
        <row r="1539">
          <cell r="A1539"/>
          <cell r="M1539"/>
        </row>
        <row r="1540">
          <cell r="A1540"/>
          <cell r="M1540"/>
        </row>
        <row r="1541">
          <cell r="A1541"/>
          <cell r="M1541"/>
        </row>
        <row r="1542">
          <cell r="A1542"/>
          <cell r="M1542"/>
        </row>
        <row r="1543">
          <cell r="A1543"/>
          <cell r="M1543"/>
        </row>
        <row r="1544">
          <cell r="A1544"/>
          <cell r="M1544"/>
        </row>
        <row r="1545">
          <cell r="A1545"/>
          <cell r="M1545"/>
        </row>
        <row r="1546">
          <cell r="A1546"/>
          <cell r="M1546"/>
        </row>
        <row r="1547">
          <cell r="A1547"/>
          <cell r="M1547"/>
        </row>
        <row r="1548">
          <cell r="A1548"/>
          <cell r="M1548"/>
        </row>
        <row r="1549">
          <cell r="A1549"/>
          <cell r="M1549"/>
        </row>
        <row r="1550">
          <cell r="A1550"/>
          <cell r="M1550"/>
        </row>
        <row r="1551">
          <cell r="A1551"/>
          <cell r="M1551"/>
        </row>
        <row r="1552">
          <cell r="A1552"/>
          <cell r="M1552"/>
        </row>
        <row r="1553">
          <cell r="A1553"/>
          <cell r="M1553"/>
        </row>
        <row r="1554">
          <cell r="A1554"/>
          <cell r="M1554"/>
        </row>
        <row r="1555">
          <cell r="A1555"/>
          <cell r="M1555"/>
        </row>
        <row r="1556">
          <cell r="A1556"/>
          <cell r="M1556"/>
        </row>
        <row r="1557">
          <cell r="A1557"/>
          <cell r="M1557"/>
        </row>
        <row r="1558">
          <cell r="A1558"/>
          <cell r="M1558"/>
        </row>
        <row r="1559">
          <cell r="A1559"/>
          <cell r="M1559"/>
        </row>
        <row r="1560">
          <cell r="A1560"/>
          <cell r="M1560"/>
        </row>
        <row r="1561">
          <cell r="A1561"/>
          <cell r="M1561"/>
        </row>
        <row r="1562">
          <cell r="A1562"/>
          <cell r="M1562"/>
        </row>
        <row r="1563">
          <cell r="A1563"/>
          <cell r="M1563"/>
        </row>
        <row r="1564">
          <cell r="A1564"/>
          <cell r="M1564"/>
        </row>
        <row r="1565">
          <cell r="A1565"/>
          <cell r="M1565"/>
        </row>
        <row r="1566">
          <cell r="A1566"/>
          <cell r="M1566"/>
        </row>
        <row r="1567">
          <cell r="A1567"/>
          <cell r="M1567"/>
        </row>
        <row r="1568">
          <cell r="A1568"/>
          <cell r="M1568"/>
        </row>
        <row r="1569">
          <cell r="A1569"/>
          <cell r="M1569"/>
        </row>
        <row r="1570">
          <cell r="A1570"/>
          <cell r="M1570"/>
        </row>
        <row r="1571">
          <cell r="A1571"/>
          <cell r="M1571"/>
        </row>
        <row r="1572">
          <cell r="A1572"/>
          <cell r="M1572"/>
        </row>
        <row r="1573">
          <cell r="A1573"/>
          <cell r="M1573"/>
        </row>
        <row r="1574">
          <cell r="A1574"/>
          <cell r="M1574"/>
        </row>
        <row r="1575">
          <cell r="A1575"/>
          <cell r="M1575"/>
        </row>
        <row r="1576">
          <cell r="A1576"/>
          <cell r="M1576"/>
        </row>
        <row r="1577">
          <cell r="A1577"/>
          <cell r="M1577"/>
        </row>
        <row r="1578">
          <cell r="A1578"/>
          <cell r="M1578"/>
        </row>
        <row r="1579">
          <cell r="A1579"/>
          <cell r="M1579"/>
        </row>
        <row r="1580">
          <cell r="A1580"/>
          <cell r="M1580"/>
        </row>
        <row r="1581">
          <cell r="A1581"/>
          <cell r="M1581"/>
        </row>
        <row r="1582">
          <cell r="A1582"/>
          <cell r="M1582"/>
        </row>
        <row r="1583">
          <cell r="A1583"/>
          <cell r="M1583"/>
        </row>
        <row r="1584">
          <cell r="A1584"/>
          <cell r="M1584"/>
        </row>
        <row r="1585">
          <cell r="A1585"/>
          <cell r="M1585"/>
        </row>
        <row r="1586">
          <cell r="A1586"/>
          <cell r="M1586"/>
        </row>
        <row r="1587">
          <cell r="A1587"/>
          <cell r="M1587"/>
        </row>
        <row r="1588">
          <cell r="A1588"/>
          <cell r="M1588"/>
        </row>
        <row r="1589">
          <cell r="A1589"/>
          <cell r="M1589"/>
        </row>
        <row r="1590">
          <cell r="A1590"/>
          <cell r="M1590"/>
        </row>
        <row r="1591">
          <cell r="A1591"/>
          <cell r="M1591"/>
        </row>
        <row r="1592">
          <cell r="A1592"/>
          <cell r="M1592"/>
        </row>
        <row r="1593">
          <cell r="A1593"/>
          <cell r="M1593"/>
        </row>
        <row r="1594">
          <cell r="A1594"/>
          <cell r="M1594"/>
        </row>
        <row r="1595">
          <cell r="A1595"/>
          <cell r="M1595"/>
        </row>
        <row r="1596">
          <cell r="A1596"/>
          <cell r="M1596"/>
        </row>
        <row r="1597">
          <cell r="A1597"/>
          <cell r="M1597"/>
        </row>
        <row r="1598">
          <cell r="A1598"/>
          <cell r="M1598"/>
        </row>
        <row r="1599">
          <cell r="A1599"/>
          <cell r="M1599"/>
        </row>
        <row r="1600">
          <cell r="A1600"/>
          <cell r="M1600"/>
        </row>
        <row r="1601">
          <cell r="A1601"/>
          <cell r="M1601"/>
        </row>
        <row r="1602">
          <cell r="A1602"/>
          <cell r="M1602"/>
        </row>
        <row r="1603">
          <cell r="A1603"/>
          <cell r="M1603"/>
        </row>
        <row r="1604">
          <cell r="A1604"/>
          <cell r="M1604"/>
        </row>
        <row r="1605">
          <cell r="A1605"/>
          <cell r="M1605"/>
        </row>
        <row r="1606">
          <cell r="A1606"/>
          <cell r="M1606"/>
        </row>
        <row r="1607">
          <cell r="A1607"/>
          <cell r="M1607"/>
        </row>
        <row r="1608">
          <cell r="A1608"/>
          <cell r="M1608"/>
        </row>
        <row r="1609">
          <cell r="A1609"/>
          <cell r="M1609"/>
        </row>
        <row r="1610">
          <cell r="A1610"/>
          <cell r="M1610"/>
        </row>
        <row r="1611">
          <cell r="A1611"/>
          <cell r="M1611"/>
        </row>
        <row r="1612">
          <cell r="A1612"/>
          <cell r="M1612"/>
        </row>
        <row r="1613">
          <cell r="A1613"/>
          <cell r="M1613"/>
        </row>
        <row r="1614">
          <cell r="A1614"/>
          <cell r="M1614"/>
        </row>
        <row r="1615">
          <cell r="A1615"/>
          <cell r="M1615"/>
        </row>
        <row r="1616">
          <cell r="A1616"/>
          <cell r="M1616"/>
        </row>
        <row r="1617">
          <cell r="A1617"/>
          <cell r="M1617"/>
        </row>
        <row r="1618">
          <cell r="A1618"/>
          <cell r="M1618"/>
        </row>
        <row r="1619">
          <cell r="A1619"/>
          <cell r="M1619"/>
        </row>
        <row r="1620">
          <cell r="A1620"/>
          <cell r="M1620"/>
        </row>
        <row r="1621">
          <cell r="A1621"/>
          <cell r="M1621"/>
        </row>
        <row r="1622">
          <cell r="A1622"/>
          <cell r="M1622"/>
        </row>
        <row r="1623">
          <cell r="A1623"/>
          <cell r="M1623"/>
        </row>
        <row r="1624">
          <cell r="A1624"/>
          <cell r="M1624"/>
        </row>
        <row r="1625">
          <cell r="A1625"/>
          <cell r="M1625"/>
        </row>
        <row r="1626">
          <cell r="A1626"/>
          <cell r="M1626"/>
        </row>
        <row r="1627">
          <cell r="A1627"/>
          <cell r="M1627"/>
        </row>
        <row r="1628">
          <cell r="A1628"/>
          <cell r="M1628"/>
        </row>
        <row r="1629">
          <cell r="A1629"/>
          <cell r="M1629"/>
        </row>
        <row r="1630">
          <cell r="A1630"/>
          <cell r="M1630"/>
        </row>
        <row r="1631">
          <cell r="A1631"/>
          <cell r="M1631"/>
        </row>
        <row r="1632">
          <cell r="A1632"/>
          <cell r="M1632"/>
        </row>
        <row r="1633">
          <cell r="A1633"/>
          <cell r="M1633"/>
        </row>
        <row r="1634">
          <cell r="A1634"/>
          <cell r="M1634"/>
        </row>
        <row r="1635">
          <cell r="A1635"/>
          <cell r="M1635"/>
        </row>
        <row r="1636">
          <cell r="A1636"/>
          <cell r="M1636"/>
        </row>
        <row r="1637">
          <cell r="A1637"/>
          <cell r="M1637"/>
        </row>
        <row r="1638">
          <cell r="A1638"/>
          <cell r="M1638"/>
        </row>
        <row r="1639">
          <cell r="A1639"/>
          <cell r="M1639"/>
        </row>
        <row r="1640">
          <cell r="A1640"/>
          <cell r="M1640"/>
        </row>
        <row r="1641">
          <cell r="A1641"/>
          <cell r="M1641"/>
        </row>
        <row r="1642">
          <cell r="A1642"/>
          <cell r="M1642"/>
        </row>
        <row r="1643">
          <cell r="A1643"/>
          <cell r="M1643"/>
        </row>
        <row r="1644">
          <cell r="A1644"/>
          <cell r="M1644"/>
        </row>
        <row r="1645">
          <cell r="A1645"/>
          <cell r="M1645"/>
        </row>
        <row r="1646">
          <cell r="A1646"/>
          <cell r="M1646"/>
        </row>
        <row r="1647">
          <cell r="A1647"/>
          <cell r="M1647"/>
        </row>
        <row r="1648">
          <cell r="A1648"/>
          <cell r="M1648"/>
        </row>
        <row r="1649">
          <cell r="A1649"/>
          <cell r="M1649"/>
        </row>
        <row r="1650">
          <cell r="A1650"/>
          <cell r="M1650"/>
        </row>
        <row r="1651">
          <cell r="A1651"/>
          <cell r="M1651"/>
        </row>
        <row r="1652">
          <cell r="A1652"/>
          <cell r="M1652"/>
        </row>
        <row r="1653">
          <cell r="A1653"/>
          <cell r="M1653"/>
        </row>
        <row r="1654">
          <cell r="A1654"/>
          <cell r="M1654"/>
        </row>
        <row r="1655">
          <cell r="A1655"/>
          <cell r="M1655"/>
        </row>
        <row r="1656">
          <cell r="A1656"/>
          <cell r="M1656"/>
        </row>
        <row r="1657">
          <cell r="A1657"/>
          <cell r="M1657"/>
        </row>
        <row r="1658">
          <cell r="A1658"/>
          <cell r="M1658"/>
        </row>
        <row r="1659">
          <cell r="A1659"/>
          <cell r="M1659"/>
        </row>
        <row r="1660">
          <cell r="A1660"/>
          <cell r="M1660"/>
        </row>
        <row r="1661">
          <cell r="A1661"/>
          <cell r="M1661"/>
        </row>
        <row r="1662">
          <cell r="A1662"/>
          <cell r="M1662"/>
        </row>
        <row r="1663">
          <cell r="A1663"/>
          <cell r="M1663"/>
        </row>
        <row r="1664">
          <cell r="A1664"/>
          <cell r="M1664"/>
        </row>
        <row r="1665">
          <cell r="A1665"/>
          <cell r="M1665"/>
        </row>
        <row r="1666">
          <cell r="A1666"/>
          <cell r="M1666"/>
        </row>
        <row r="1667">
          <cell r="A1667"/>
          <cell r="M1667"/>
        </row>
        <row r="1668">
          <cell r="A1668"/>
          <cell r="M1668"/>
        </row>
        <row r="1669">
          <cell r="A1669"/>
          <cell r="M1669"/>
        </row>
        <row r="1670">
          <cell r="A1670"/>
          <cell r="M1670"/>
        </row>
        <row r="1671">
          <cell r="A1671"/>
          <cell r="M1671"/>
        </row>
        <row r="1672">
          <cell r="A1672"/>
          <cell r="M1672"/>
        </row>
        <row r="1673">
          <cell r="A1673"/>
          <cell r="M1673"/>
        </row>
        <row r="1674">
          <cell r="A1674"/>
          <cell r="M1674"/>
        </row>
        <row r="1675">
          <cell r="A1675"/>
          <cell r="M1675"/>
        </row>
        <row r="1676">
          <cell r="A1676"/>
          <cell r="M1676"/>
        </row>
        <row r="1677">
          <cell r="A1677"/>
          <cell r="M1677"/>
        </row>
        <row r="1678">
          <cell r="A1678"/>
          <cell r="M1678"/>
        </row>
        <row r="1679">
          <cell r="A1679"/>
          <cell r="M1679"/>
        </row>
        <row r="1680">
          <cell r="A1680"/>
          <cell r="M1680"/>
        </row>
        <row r="1681">
          <cell r="A1681"/>
          <cell r="M1681"/>
        </row>
        <row r="1682">
          <cell r="A1682"/>
          <cell r="M1682"/>
        </row>
        <row r="1683">
          <cell r="A1683"/>
          <cell r="M1683"/>
        </row>
        <row r="1684">
          <cell r="A1684"/>
          <cell r="M1684"/>
        </row>
        <row r="1685">
          <cell r="A1685"/>
          <cell r="M1685"/>
        </row>
        <row r="1686">
          <cell r="A1686"/>
          <cell r="M1686"/>
        </row>
        <row r="1687">
          <cell r="A1687"/>
          <cell r="M1687"/>
        </row>
        <row r="1688">
          <cell r="A1688"/>
          <cell r="M1688"/>
        </row>
        <row r="1689">
          <cell r="A1689"/>
          <cell r="M1689"/>
        </row>
        <row r="1690">
          <cell r="A1690"/>
          <cell r="M1690"/>
        </row>
        <row r="1691">
          <cell r="A1691"/>
          <cell r="M1691"/>
        </row>
        <row r="1692">
          <cell r="A1692"/>
          <cell r="M1692"/>
        </row>
        <row r="1693">
          <cell r="A1693"/>
          <cell r="M1693"/>
        </row>
        <row r="1694">
          <cell r="A1694"/>
          <cell r="M1694"/>
        </row>
        <row r="1695">
          <cell r="A1695"/>
          <cell r="M1695"/>
        </row>
        <row r="1696">
          <cell r="A1696"/>
          <cell r="M1696"/>
        </row>
        <row r="1697">
          <cell r="A1697"/>
          <cell r="M1697"/>
        </row>
        <row r="1698">
          <cell r="A1698"/>
          <cell r="M1698"/>
        </row>
        <row r="1699">
          <cell r="A1699"/>
          <cell r="M1699"/>
        </row>
        <row r="1700">
          <cell r="A1700"/>
          <cell r="M1700"/>
        </row>
        <row r="1701">
          <cell r="A1701"/>
          <cell r="M1701"/>
        </row>
        <row r="1702">
          <cell r="A1702"/>
          <cell r="M1702"/>
        </row>
        <row r="1703">
          <cell r="A1703"/>
          <cell r="M1703"/>
        </row>
        <row r="1704">
          <cell r="A1704"/>
          <cell r="M1704"/>
        </row>
        <row r="1705">
          <cell r="A1705"/>
          <cell r="M1705"/>
        </row>
        <row r="1706">
          <cell r="A1706"/>
          <cell r="M1706"/>
        </row>
        <row r="1707">
          <cell r="A1707"/>
          <cell r="M1707"/>
        </row>
        <row r="1708">
          <cell r="A1708"/>
          <cell r="M1708"/>
        </row>
        <row r="1709">
          <cell r="A1709"/>
          <cell r="M1709"/>
        </row>
        <row r="1710">
          <cell r="A1710"/>
          <cell r="M1710"/>
        </row>
        <row r="1711">
          <cell r="A1711"/>
          <cell r="M1711"/>
        </row>
        <row r="1712">
          <cell r="A1712"/>
          <cell r="M1712"/>
        </row>
        <row r="1713">
          <cell r="A1713"/>
          <cell r="M1713"/>
        </row>
        <row r="1714">
          <cell r="A1714"/>
          <cell r="M1714"/>
        </row>
        <row r="1715">
          <cell r="A1715"/>
          <cell r="M1715"/>
        </row>
        <row r="1716">
          <cell r="A1716"/>
          <cell r="M1716"/>
        </row>
        <row r="1717">
          <cell r="A1717"/>
          <cell r="M1717"/>
        </row>
        <row r="1718">
          <cell r="A1718"/>
          <cell r="M1718"/>
        </row>
        <row r="1719">
          <cell r="A1719"/>
          <cell r="M1719"/>
        </row>
        <row r="1720">
          <cell r="A1720"/>
          <cell r="M1720"/>
        </row>
        <row r="1721">
          <cell r="A1721"/>
          <cell r="M1721"/>
        </row>
        <row r="1722">
          <cell r="A1722"/>
          <cell r="M1722"/>
        </row>
        <row r="1723">
          <cell r="A1723"/>
          <cell r="M1723"/>
        </row>
        <row r="1724">
          <cell r="A1724"/>
          <cell r="M1724"/>
        </row>
        <row r="1725">
          <cell r="A1725"/>
          <cell r="M1725"/>
        </row>
        <row r="1726">
          <cell r="A1726"/>
          <cell r="M1726"/>
        </row>
        <row r="1727">
          <cell r="A1727"/>
          <cell r="M1727"/>
        </row>
        <row r="1728">
          <cell r="A1728"/>
          <cell r="M1728"/>
        </row>
        <row r="1729">
          <cell r="A1729"/>
          <cell r="M1729"/>
        </row>
        <row r="1730">
          <cell r="A1730"/>
          <cell r="M1730"/>
        </row>
        <row r="1731">
          <cell r="A1731"/>
          <cell r="M1731"/>
        </row>
        <row r="1732">
          <cell r="A1732"/>
          <cell r="M1732"/>
        </row>
        <row r="1733">
          <cell r="A1733"/>
          <cell r="M1733"/>
        </row>
        <row r="1734">
          <cell r="A1734"/>
          <cell r="M1734"/>
        </row>
        <row r="1735">
          <cell r="A1735"/>
          <cell r="M1735"/>
        </row>
        <row r="1736">
          <cell r="A1736"/>
          <cell r="M1736"/>
        </row>
        <row r="1737">
          <cell r="A1737"/>
          <cell r="M1737"/>
        </row>
        <row r="1738">
          <cell r="A1738"/>
          <cell r="M1738"/>
        </row>
        <row r="1739">
          <cell r="A1739"/>
          <cell r="M1739"/>
        </row>
        <row r="1740">
          <cell r="A1740"/>
          <cell r="M1740"/>
        </row>
        <row r="1741">
          <cell r="A1741"/>
          <cell r="M1741"/>
        </row>
        <row r="1742">
          <cell r="A1742"/>
          <cell r="M1742"/>
        </row>
        <row r="1743">
          <cell r="A1743"/>
          <cell r="M1743"/>
        </row>
        <row r="1744">
          <cell r="A1744"/>
          <cell r="M1744"/>
        </row>
        <row r="1745">
          <cell r="A1745"/>
          <cell r="M1745"/>
        </row>
        <row r="1746">
          <cell r="A1746"/>
          <cell r="M1746"/>
        </row>
        <row r="1747">
          <cell r="A1747"/>
          <cell r="M1747"/>
        </row>
        <row r="1748">
          <cell r="A1748"/>
          <cell r="M1748"/>
        </row>
        <row r="1749">
          <cell r="A1749"/>
          <cell r="M1749"/>
        </row>
        <row r="1750">
          <cell r="A1750"/>
          <cell r="M1750"/>
        </row>
        <row r="1751">
          <cell r="A1751"/>
          <cell r="M1751"/>
        </row>
        <row r="1752">
          <cell r="A1752"/>
          <cell r="M1752"/>
        </row>
        <row r="1753">
          <cell r="A1753"/>
          <cell r="M1753"/>
        </row>
        <row r="1754">
          <cell r="A1754"/>
          <cell r="M1754"/>
        </row>
        <row r="1755">
          <cell r="A1755"/>
          <cell r="M1755"/>
        </row>
        <row r="1756">
          <cell r="A1756"/>
          <cell r="M1756"/>
        </row>
        <row r="1757">
          <cell r="A1757"/>
          <cell r="M1757"/>
        </row>
        <row r="1758">
          <cell r="A1758"/>
          <cell r="M1758"/>
        </row>
        <row r="1759">
          <cell r="A1759"/>
          <cell r="M1759"/>
        </row>
        <row r="1760">
          <cell r="A1760"/>
          <cell r="M1760"/>
        </row>
        <row r="1761">
          <cell r="A1761"/>
          <cell r="M1761"/>
        </row>
        <row r="1762">
          <cell r="A1762"/>
          <cell r="M1762"/>
        </row>
        <row r="1763">
          <cell r="A1763"/>
          <cell r="M1763"/>
        </row>
        <row r="1764">
          <cell r="A1764"/>
          <cell r="M1764"/>
        </row>
        <row r="1765">
          <cell r="A1765"/>
          <cell r="M1765"/>
        </row>
        <row r="1766">
          <cell r="A1766"/>
          <cell r="M1766"/>
        </row>
        <row r="1767">
          <cell r="A1767"/>
          <cell r="M1767"/>
        </row>
        <row r="1768">
          <cell r="A1768"/>
          <cell r="M1768"/>
        </row>
        <row r="1769">
          <cell r="A1769"/>
          <cell r="M1769"/>
        </row>
        <row r="1770">
          <cell r="A1770"/>
          <cell r="M1770"/>
        </row>
        <row r="1771">
          <cell r="A1771"/>
          <cell r="M1771"/>
        </row>
        <row r="1772">
          <cell r="A1772"/>
          <cell r="M1772"/>
        </row>
        <row r="1773">
          <cell r="A1773"/>
          <cell r="M1773"/>
        </row>
        <row r="1774">
          <cell r="A1774"/>
          <cell r="M1774"/>
        </row>
        <row r="1775">
          <cell r="A1775"/>
          <cell r="M1775"/>
        </row>
        <row r="1776">
          <cell r="A1776"/>
          <cell r="M1776"/>
        </row>
        <row r="1777">
          <cell r="A1777"/>
          <cell r="M1777"/>
        </row>
        <row r="1778">
          <cell r="A1778"/>
          <cell r="M1778"/>
        </row>
        <row r="1779">
          <cell r="A1779"/>
          <cell r="M1779"/>
        </row>
        <row r="1780">
          <cell r="A1780"/>
          <cell r="M1780"/>
        </row>
        <row r="1781">
          <cell r="A1781"/>
          <cell r="M1781"/>
        </row>
        <row r="1782">
          <cell r="A1782"/>
          <cell r="M1782"/>
        </row>
        <row r="1783">
          <cell r="A1783"/>
          <cell r="M1783"/>
        </row>
        <row r="1784">
          <cell r="A1784"/>
          <cell r="M1784"/>
        </row>
        <row r="1785">
          <cell r="A1785"/>
          <cell r="M1785"/>
        </row>
        <row r="1786">
          <cell r="A1786"/>
          <cell r="M1786"/>
        </row>
        <row r="1787">
          <cell r="A1787"/>
          <cell r="M1787"/>
        </row>
        <row r="1788">
          <cell r="A1788"/>
          <cell r="M1788"/>
        </row>
        <row r="1789">
          <cell r="A1789"/>
          <cell r="M1789"/>
        </row>
        <row r="1790">
          <cell r="A1790"/>
          <cell r="M1790"/>
        </row>
        <row r="1791">
          <cell r="A1791"/>
          <cell r="M1791"/>
        </row>
        <row r="1792">
          <cell r="A1792"/>
          <cell r="M1792"/>
        </row>
        <row r="1793">
          <cell r="A1793"/>
          <cell r="M1793"/>
        </row>
        <row r="1794">
          <cell r="A1794"/>
          <cell r="M1794"/>
        </row>
        <row r="1795">
          <cell r="A1795"/>
          <cell r="M1795"/>
        </row>
        <row r="1796">
          <cell r="A1796"/>
          <cell r="M1796"/>
        </row>
        <row r="1797">
          <cell r="A1797"/>
          <cell r="M1797"/>
        </row>
        <row r="1798">
          <cell r="A1798"/>
          <cell r="M1798"/>
        </row>
        <row r="1799">
          <cell r="A1799"/>
          <cell r="M1799"/>
        </row>
        <row r="1800">
          <cell r="A1800"/>
          <cell r="M1800"/>
        </row>
        <row r="1801">
          <cell r="A1801"/>
          <cell r="M1801"/>
        </row>
        <row r="1802">
          <cell r="A1802"/>
          <cell r="M1802"/>
        </row>
        <row r="1803">
          <cell r="A1803"/>
          <cell r="M1803"/>
        </row>
        <row r="1804">
          <cell r="A1804"/>
          <cell r="M1804"/>
        </row>
        <row r="1805">
          <cell r="A1805"/>
          <cell r="M1805"/>
        </row>
        <row r="1806">
          <cell r="A1806"/>
          <cell r="M1806"/>
        </row>
        <row r="1807">
          <cell r="A1807"/>
          <cell r="M1807"/>
        </row>
        <row r="1808">
          <cell r="A1808"/>
          <cell r="M1808"/>
        </row>
        <row r="1809">
          <cell r="A1809"/>
          <cell r="M1809"/>
        </row>
        <row r="1810">
          <cell r="A1810"/>
          <cell r="M1810"/>
        </row>
        <row r="1811">
          <cell r="A1811"/>
          <cell r="M1811"/>
        </row>
        <row r="1812">
          <cell r="A1812"/>
          <cell r="M1812"/>
        </row>
        <row r="1813">
          <cell r="A1813"/>
          <cell r="M1813"/>
        </row>
        <row r="1814">
          <cell r="A1814"/>
          <cell r="M1814"/>
        </row>
        <row r="1815">
          <cell r="A1815"/>
          <cell r="M1815"/>
        </row>
        <row r="1816">
          <cell r="A1816"/>
          <cell r="M1816"/>
        </row>
        <row r="1817">
          <cell r="A1817"/>
          <cell r="M1817"/>
        </row>
        <row r="1818">
          <cell r="A1818"/>
          <cell r="M1818"/>
        </row>
        <row r="1819">
          <cell r="A1819"/>
          <cell r="M1819"/>
        </row>
        <row r="1820">
          <cell r="A1820"/>
          <cell r="M1820"/>
        </row>
        <row r="1821">
          <cell r="A1821"/>
          <cell r="M1821"/>
        </row>
        <row r="1822">
          <cell r="A1822"/>
          <cell r="M1822"/>
        </row>
        <row r="1823">
          <cell r="A1823"/>
          <cell r="M1823"/>
        </row>
        <row r="1824">
          <cell r="A1824"/>
          <cell r="M1824"/>
        </row>
        <row r="1825">
          <cell r="A1825"/>
          <cell r="M1825"/>
        </row>
        <row r="1826">
          <cell r="A1826"/>
          <cell r="M1826"/>
        </row>
        <row r="1827">
          <cell r="A1827"/>
          <cell r="M1827"/>
        </row>
        <row r="1828">
          <cell r="A1828"/>
          <cell r="M1828"/>
        </row>
        <row r="1829">
          <cell r="A1829"/>
          <cell r="M1829"/>
        </row>
        <row r="1830">
          <cell r="A1830"/>
          <cell r="M1830"/>
        </row>
        <row r="1831">
          <cell r="A1831"/>
          <cell r="M1831"/>
        </row>
        <row r="1832">
          <cell r="A1832"/>
          <cell r="M1832"/>
        </row>
        <row r="1833">
          <cell r="A1833"/>
          <cell r="M1833"/>
        </row>
        <row r="1834">
          <cell r="A1834"/>
          <cell r="M1834"/>
        </row>
        <row r="1835">
          <cell r="A1835"/>
          <cell r="M1835"/>
        </row>
        <row r="1836">
          <cell r="A1836"/>
          <cell r="M1836"/>
        </row>
        <row r="1837">
          <cell r="A1837"/>
          <cell r="M1837"/>
        </row>
        <row r="1838">
          <cell r="A1838"/>
          <cell r="M1838"/>
        </row>
        <row r="1839">
          <cell r="A1839"/>
          <cell r="M1839"/>
        </row>
        <row r="1840">
          <cell r="A1840"/>
          <cell r="M1840"/>
        </row>
        <row r="1841">
          <cell r="A1841"/>
          <cell r="M1841"/>
        </row>
        <row r="1842">
          <cell r="A1842"/>
          <cell r="M1842"/>
        </row>
        <row r="1843">
          <cell r="A1843"/>
          <cell r="M1843"/>
        </row>
        <row r="1844">
          <cell r="A1844"/>
          <cell r="M1844"/>
        </row>
        <row r="1845">
          <cell r="A1845"/>
          <cell r="M1845"/>
        </row>
        <row r="1846">
          <cell r="A1846"/>
          <cell r="M1846"/>
        </row>
        <row r="1847">
          <cell r="A1847"/>
          <cell r="M1847"/>
        </row>
        <row r="1848">
          <cell r="A1848"/>
          <cell r="M1848"/>
        </row>
        <row r="1849">
          <cell r="A1849"/>
          <cell r="M1849"/>
        </row>
        <row r="1850">
          <cell r="A1850"/>
          <cell r="M1850"/>
        </row>
        <row r="1851">
          <cell r="A1851"/>
          <cell r="M1851"/>
        </row>
        <row r="1852">
          <cell r="A1852"/>
          <cell r="M1852"/>
        </row>
        <row r="1853">
          <cell r="A1853"/>
          <cell r="M1853"/>
        </row>
        <row r="1854">
          <cell r="A1854"/>
          <cell r="M1854"/>
        </row>
        <row r="1855">
          <cell r="A1855"/>
          <cell r="M1855"/>
        </row>
        <row r="1856">
          <cell r="A1856"/>
          <cell r="M1856"/>
        </row>
        <row r="1857">
          <cell r="A1857"/>
          <cell r="M1857"/>
        </row>
        <row r="1858">
          <cell r="A1858"/>
          <cell r="M1858"/>
        </row>
        <row r="1859">
          <cell r="A1859"/>
          <cell r="M1859"/>
        </row>
        <row r="1860">
          <cell r="A1860"/>
          <cell r="M1860"/>
        </row>
        <row r="1861">
          <cell r="A1861"/>
          <cell r="M1861"/>
        </row>
        <row r="1862">
          <cell r="A1862"/>
          <cell r="M1862"/>
        </row>
        <row r="1863">
          <cell r="A1863"/>
          <cell r="M1863"/>
        </row>
        <row r="1864">
          <cell r="A1864"/>
          <cell r="M1864"/>
        </row>
        <row r="1865">
          <cell r="A1865"/>
          <cell r="M1865"/>
        </row>
        <row r="1866">
          <cell r="A1866"/>
          <cell r="M1866"/>
        </row>
        <row r="1867">
          <cell r="A1867"/>
          <cell r="M1867"/>
        </row>
        <row r="1868">
          <cell r="A1868"/>
          <cell r="M1868"/>
        </row>
        <row r="1869">
          <cell r="A1869"/>
          <cell r="M1869"/>
        </row>
        <row r="1870">
          <cell r="A1870"/>
          <cell r="M1870"/>
        </row>
        <row r="1871">
          <cell r="A1871"/>
          <cell r="M1871"/>
        </row>
        <row r="1872">
          <cell r="A1872"/>
          <cell r="M1872"/>
        </row>
        <row r="1873">
          <cell r="A1873"/>
          <cell r="M1873"/>
        </row>
        <row r="1874">
          <cell r="A1874"/>
          <cell r="M1874"/>
        </row>
        <row r="1875">
          <cell r="A1875"/>
          <cell r="M1875"/>
        </row>
        <row r="1876">
          <cell r="A1876"/>
          <cell r="M1876"/>
        </row>
        <row r="1877">
          <cell r="A1877"/>
          <cell r="M1877"/>
        </row>
        <row r="1878">
          <cell r="A1878"/>
          <cell r="M1878"/>
        </row>
        <row r="1879">
          <cell r="A1879"/>
          <cell r="M1879"/>
        </row>
        <row r="1880">
          <cell r="A1880"/>
          <cell r="M1880"/>
        </row>
        <row r="1881">
          <cell r="A1881"/>
          <cell r="M1881"/>
        </row>
        <row r="1882">
          <cell r="A1882"/>
          <cell r="M1882"/>
        </row>
        <row r="1883">
          <cell r="A1883"/>
          <cell r="M1883"/>
        </row>
        <row r="1884">
          <cell r="A1884"/>
          <cell r="M1884"/>
        </row>
        <row r="1885">
          <cell r="A1885"/>
          <cell r="M1885"/>
        </row>
        <row r="1886">
          <cell r="A1886"/>
          <cell r="M1886"/>
        </row>
        <row r="1887">
          <cell r="A1887"/>
          <cell r="M1887"/>
        </row>
        <row r="1888">
          <cell r="A1888"/>
          <cell r="M1888"/>
        </row>
        <row r="1889">
          <cell r="A1889"/>
          <cell r="M1889"/>
        </row>
        <row r="1890">
          <cell r="A1890"/>
          <cell r="M1890"/>
        </row>
        <row r="1891">
          <cell r="A1891"/>
          <cell r="M1891"/>
        </row>
        <row r="1892">
          <cell r="A1892"/>
          <cell r="M1892"/>
        </row>
        <row r="1893">
          <cell r="A1893"/>
          <cell r="M1893"/>
        </row>
        <row r="1894">
          <cell r="A1894"/>
          <cell r="M1894"/>
        </row>
        <row r="1895">
          <cell r="A1895"/>
          <cell r="M1895"/>
        </row>
        <row r="1896">
          <cell r="A1896"/>
          <cell r="M1896"/>
        </row>
        <row r="1897">
          <cell r="A1897"/>
          <cell r="M1897"/>
        </row>
        <row r="1898">
          <cell r="A1898"/>
          <cell r="M1898"/>
        </row>
        <row r="1899">
          <cell r="A1899"/>
          <cell r="M1899"/>
        </row>
        <row r="1900">
          <cell r="A1900"/>
          <cell r="M1900"/>
        </row>
        <row r="1901">
          <cell r="A1901"/>
          <cell r="M1901"/>
        </row>
        <row r="1902">
          <cell r="A1902"/>
          <cell r="M1902"/>
        </row>
        <row r="1903">
          <cell r="A1903"/>
          <cell r="M1903"/>
        </row>
        <row r="1904">
          <cell r="A1904"/>
          <cell r="M1904"/>
        </row>
        <row r="1905">
          <cell r="A1905"/>
          <cell r="M1905"/>
        </row>
        <row r="1906">
          <cell r="A1906"/>
          <cell r="M1906"/>
        </row>
        <row r="1907">
          <cell r="A1907"/>
          <cell r="M1907"/>
        </row>
        <row r="1908">
          <cell r="A1908"/>
          <cell r="M1908"/>
        </row>
        <row r="1909">
          <cell r="A1909"/>
          <cell r="M1909"/>
        </row>
        <row r="1910">
          <cell r="A1910"/>
          <cell r="M1910"/>
        </row>
        <row r="1911">
          <cell r="A1911"/>
          <cell r="M1911"/>
        </row>
        <row r="1912">
          <cell r="A1912"/>
          <cell r="M1912"/>
        </row>
        <row r="1913">
          <cell r="A1913"/>
          <cell r="M1913"/>
        </row>
        <row r="1914">
          <cell r="A1914"/>
          <cell r="M1914"/>
        </row>
        <row r="1915">
          <cell r="A1915"/>
          <cell r="M1915"/>
        </row>
        <row r="1916">
          <cell r="A1916"/>
          <cell r="M1916"/>
        </row>
        <row r="1917">
          <cell r="A1917"/>
          <cell r="M1917"/>
        </row>
        <row r="1918">
          <cell r="A1918"/>
          <cell r="M1918"/>
        </row>
        <row r="1919">
          <cell r="A1919"/>
          <cell r="M1919"/>
        </row>
        <row r="1920">
          <cell r="A1920"/>
          <cell r="M1920"/>
        </row>
        <row r="1921">
          <cell r="A1921"/>
          <cell r="M1921"/>
        </row>
        <row r="1922">
          <cell r="A1922"/>
          <cell r="M1922"/>
        </row>
        <row r="1923">
          <cell r="A1923"/>
          <cell r="M1923"/>
        </row>
        <row r="1924">
          <cell r="A1924"/>
          <cell r="M1924"/>
        </row>
        <row r="1925">
          <cell r="A1925"/>
          <cell r="M1925"/>
        </row>
        <row r="1926">
          <cell r="A1926"/>
          <cell r="M1926"/>
        </row>
        <row r="1927">
          <cell r="A1927"/>
          <cell r="M1927"/>
        </row>
        <row r="1928">
          <cell r="A1928"/>
          <cell r="M1928"/>
        </row>
        <row r="1929">
          <cell r="A1929"/>
          <cell r="M1929"/>
        </row>
        <row r="1930">
          <cell r="A1930"/>
          <cell r="M1930"/>
        </row>
        <row r="1931">
          <cell r="A1931"/>
          <cell r="M1931"/>
        </row>
        <row r="1932">
          <cell r="A1932"/>
          <cell r="M1932"/>
        </row>
        <row r="1933">
          <cell r="A1933"/>
          <cell r="M1933"/>
        </row>
        <row r="1934">
          <cell r="A1934"/>
          <cell r="M1934"/>
        </row>
        <row r="1935">
          <cell r="A1935"/>
          <cell r="M1935"/>
        </row>
        <row r="1936">
          <cell r="A1936"/>
          <cell r="M1936"/>
        </row>
        <row r="1937">
          <cell r="A1937"/>
          <cell r="M1937"/>
        </row>
        <row r="1938">
          <cell r="A1938"/>
          <cell r="M1938"/>
        </row>
        <row r="1939">
          <cell r="A1939"/>
          <cell r="M1939"/>
        </row>
        <row r="1940">
          <cell r="A1940"/>
          <cell r="M1940"/>
        </row>
        <row r="1941">
          <cell r="A1941"/>
          <cell r="M1941"/>
        </row>
        <row r="1942">
          <cell r="A1942"/>
          <cell r="M1942"/>
        </row>
        <row r="1943">
          <cell r="A1943"/>
          <cell r="M1943"/>
        </row>
        <row r="1944">
          <cell r="A1944"/>
          <cell r="M1944"/>
        </row>
        <row r="1945">
          <cell r="A1945"/>
          <cell r="M1945"/>
        </row>
        <row r="1946">
          <cell r="A1946"/>
          <cell r="M1946"/>
        </row>
        <row r="1947">
          <cell r="A1947"/>
          <cell r="M1947"/>
        </row>
        <row r="1948">
          <cell r="A1948"/>
          <cell r="M1948"/>
        </row>
        <row r="1949">
          <cell r="A1949"/>
          <cell r="M1949"/>
        </row>
        <row r="1950">
          <cell r="A1950"/>
          <cell r="M1950"/>
        </row>
        <row r="1951">
          <cell r="A1951"/>
          <cell r="M1951"/>
        </row>
        <row r="1952">
          <cell r="A1952"/>
          <cell r="M1952"/>
        </row>
        <row r="1953">
          <cell r="A1953"/>
          <cell r="M1953"/>
        </row>
        <row r="1954">
          <cell r="A1954"/>
          <cell r="M1954"/>
        </row>
        <row r="1955">
          <cell r="A1955"/>
          <cell r="M1955"/>
        </row>
        <row r="1956">
          <cell r="A1956"/>
          <cell r="M1956"/>
        </row>
        <row r="1957">
          <cell r="A1957"/>
          <cell r="M1957"/>
        </row>
        <row r="1958">
          <cell r="A1958"/>
          <cell r="M1958"/>
        </row>
        <row r="1959">
          <cell r="A1959"/>
          <cell r="M1959"/>
        </row>
        <row r="1960">
          <cell r="A1960"/>
          <cell r="M1960"/>
        </row>
        <row r="1961">
          <cell r="A1961"/>
          <cell r="M1961"/>
        </row>
        <row r="1962">
          <cell r="A1962"/>
          <cell r="M1962"/>
        </row>
        <row r="1963">
          <cell r="A1963"/>
          <cell r="M1963"/>
        </row>
        <row r="1964">
          <cell r="A1964"/>
          <cell r="M1964"/>
        </row>
        <row r="1965">
          <cell r="A1965"/>
          <cell r="M1965"/>
        </row>
        <row r="1966">
          <cell r="A1966"/>
          <cell r="M1966"/>
        </row>
        <row r="1967">
          <cell r="A1967"/>
          <cell r="M1967"/>
        </row>
        <row r="1968">
          <cell r="A1968"/>
          <cell r="M1968"/>
        </row>
        <row r="1969">
          <cell r="A1969"/>
          <cell r="M1969"/>
        </row>
        <row r="1970">
          <cell r="A1970"/>
          <cell r="M1970"/>
        </row>
        <row r="1971">
          <cell r="A1971"/>
          <cell r="M1971"/>
        </row>
        <row r="1972">
          <cell r="A1972"/>
          <cell r="M1972"/>
        </row>
        <row r="1973">
          <cell r="A1973"/>
          <cell r="M1973"/>
        </row>
        <row r="1974">
          <cell r="A1974"/>
          <cell r="M1974"/>
        </row>
        <row r="1975">
          <cell r="A1975"/>
          <cell r="M1975"/>
        </row>
        <row r="1976">
          <cell r="A1976"/>
          <cell r="M1976"/>
        </row>
        <row r="1977">
          <cell r="A1977"/>
          <cell r="M1977"/>
        </row>
        <row r="1978">
          <cell r="A1978"/>
          <cell r="M1978"/>
        </row>
        <row r="1979">
          <cell r="A1979"/>
          <cell r="M1979"/>
        </row>
        <row r="1980">
          <cell r="A1980"/>
          <cell r="M1980"/>
        </row>
        <row r="1981">
          <cell r="A1981"/>
          <cell r="M1981"/>
        </row>
        <row r="1982">
          <cell r="A1982"/>
          <cell r="M1982"/>
        </row>
        <row r="1983">
          <cell r="A1983"/>
          <cell r="M1983"/>
        </row>
        <row r="1984">
          <cell r="A1984"/>
          <cell r="M1984"/>
        </row>
        <row r="1985">
          <cell r="A1985"/>
          <cell r="M1985"/>
        </row>
        <row r="1986">
          <cell r="A1986"/>
          <cell r="M1986"/>
        </row>
        <row r="1987">
          <cell r="A1987"/>
          <cell r="M1987"/>
        </row>
        <row r="1988">
          <cell r="A1988"/>
          <cell r="M1988"/>
        </row>
        <row r="1989">
          <cell r="A1989"/>
          <cell r="M1989"/>
        </row>
        <row r="1990">
          <cell r="A1990"/>
          <cell r="M1990"/>
        </row>
        <row r="1991">
          <cell r="A1991"/>
          <cell r="M1991"/>
        </row>
        <row r="1992">
          <cell r="A1992"/>
          <cell r="M1992"/>
        </row>
        <row r="1993">
          <cell r="A1993"/>
          <cell r="M1993"/>
        </row>
        <row r="1994">
          <cell r="A1994"/>
          <cell r="M1994"/>
        </row>
        <row r="1995">
          <cell r="A1995"/>
          <cell r="M1995"/>
        </row>
        <row r="1996">
          <cell r="A1996"/>
          <cell r="M1996"/>
        </row>
        <row r="1997">
          <cell r="A1997"/>
          <cell r="M1997"/>
        </row>
        <row r="1998">
          <cell r="A1998"/>
          <cell r="M1998"/>
        </row>
        <row r="1999">
          <cell r="A1999"/>
          <cell r="M1999"/>
        </row>
        <row r="2000">
          <cell r="A2000"/>
          <cell r="M2000"/>
        </row>
        <row r="2001">
          <cell r="A2001"/>
          <cell r="M2001"/>
        </row>
        <row r="2002">
          <cell r="A2002"/>
          <cell r="M2002"/>
        </row>
        <row r="2003">
          <cell r="A2003"/>
          <cell r="M2003"/>
        </row>
        <row r="2004">
          <cell r="A2004"/>
          <cell r="M2004"/>
        </row>
        <row r="2005">
          <cell r="A2005"/>
          <cell r="M2005"/>
        </row>
        <row r="2006">
          <cell r="A2006"/>
          <cell r="M2006"/>
        </row>
        <row r="2007">
          <cell r="A2007"/>
          <cell r="M2007"/>
        </row>
        <row r="2008">
          <cell r="A2008"/>
          <cell r="M2008"/>
        </row>
        <row r="2009">
          <cell r="A2009"/>
          <cell r="M2009"/>
        </row>
        <row r="2010">
          <cell r="A2010"/>
          <cell r="M2010"/>
        </row>
        <row r="2011">
          <cell r="A2011"/>
          <cell r="M2011"/>
        </row>
        <row r="2012">
          <cell r="A2012"/>
          <cell r="M2012"/>
        </row>
        <row r="2013">
          <cell r="A2013"/>
          <cell r="M2013"/>
        </row>
        <row r="2014">
          <cell r="A2014"/>
          <cell r="M2014"/>
        </row>
        <row r="2015">
          <cell r="A2015"/>
          <cell r="M2015"/>
        </row>
        <row r="2016">
          <cell r="A2016"/>
          <cell r="M2016"/>
        </row>
        <row r="2017">
          <cell r="A2017"/>
          <cell r="M2017"/>
        </row>
        <row r="2018">
          <cell r="A2018"/>
          <cell r="M2018"/>
        </row>
        <row r="2019">
          <cell r="A2019"/>
          <cell r="M2019"/>
        </row>
        <row r="2020">
          <cell r="A2020"/>
          <cell r="M2020"/>
        </row>
        <row r="2021">
          <cell r="A2021"/>
          <cell r="M2021"/>
        </row>
        <row r="2022">
          <cell r="A2022"/>
          <cell r="M2022"/>
        </row>
        <row r="2023">
          <cell r="A2023"/>
          <cell r="M2023"/>
        </row>
        <row r="2024">
          <cell r="A2024"/>
          <cell r="M2024"/>
        </row>
        <row r="2025">
          <cell r="A2025"/>
          <cell r="M2025"/>
        </row>
        <row r="2026">
          <cell r="A2026"/>
          <cell r="M2026"/>
        </row>
        <row r="2027">
          <cell r="A2027"/>
          <cell r="M2027"/>
        </row>
        <row r="2028">
          <cell r="A2028"/>
          <cell r="M2028"/>
        </row>
        <row r="2029">
          <cell r="A2029"/>
          <cell r="M2029"/>
        </row>
        <row r="2030">
          <cell r="A2030"/>
          <cell r="M2030"/>
        </row>
        <row r="2031">
          <cell r="A2031"/>
          <cell r="M2031"/>
        </row>
        <row r="2032">
          <cell r="A2032"/>
          <cell r="M2032"/>
        </row>
        <row r="2033">
          <cell r="A2033"/>
          <cell r="M2033"/>
        </row>
        <row r="2034">
          <cell r="A2034"/>
          <cell r="M2034"/>
        </row>
        <row r="2035">
          <cell r="A2035"/>
          <cell r="M2035"/>
        </row>
        <row r="2036">
          <cell r="A2036"/>
          <cell r="M2036"/>
        </row>
        <row r="2037">
          <cell r="A2037"/>
          <cell r="M2037"/>
        </row>
        <row r="2038">
          <cell r="A2038"/>
          <cell r="M2038"/>
        </row>
        <row r="2039">
          <cell r="A2039"/>
          <cell r="M2039"/>
        </row>
        <row r="2040">
          <cell r="A2040"/>
          <cell r="M2040"/>
        </row>
        <row r="2041">
          <cell r="A2041"/>
          <cell r="M2041"/>
        </row>
        <row r="2042">
          <cell r="A2042"/>
          <cell r="M2042"/>
        </row>
        <row r="2043">
          <cell r="A2043"/>
          <cell r="M2043"/>
        </row>
        <row r="2044">
          <cell r="A2044"/>
          <cell r="M2044"/>
        </row>
        <row r="2045">
          <cell r="A2045"/>
          <cell r="M2045"/>
        </row>
        <row r="2046">
          <cell r="A2046"/>
          <cell r="M2046"/>
        </row>
        <row r="2047">
          <cell r="A2047"/>
          <cell r="M2047"/>
        </row>
        <row r="2048">
          <cell r="A2048"/>
          <cell r="M2048"/>
        </row>
        <row r="2049">
          <cell r="A2049"/>
          <cell r="M2049"/>
        </row>
        <row r="2050">
          <cell r="A2050"/>
          <cell r="M2050"/>
        </row>
        <row r="2051">
          <cell r="A2051"/>
          <cell r="M2051"/>
        </row>
        <row r="2052">
          <cell r="A2052"/>
          <cell r="M2052"/>
        </row>
        <row r="2053">
          <cell r="A2053"/>
          <cell r="M2053"/>
        </row>
        <row r="2054">
          <cell r="A2054"/>
          <cell r="M2054"/>
        </row>
        <row r="2055">
          <cell r="A2055"/>
          <cell r="M2055"/>
        </row>
        <row r="2056">
          <cell r="A2056"/>
          <cell r="M2056"/>
        </row>
        <row r="2057">
          <cell r="A2057"/>
          <cell r="M2057"/>
        </row>
        <row r="2058">
          <cell r="A2058"/>
          <cell r="M2058"/>
        </row>
        <row r="2059">
          <cell r="A2059"/>
          <cell r="M2059"/>
        </row>
        <row r="2060">
          <cell r="A2060"/>
          <cell r="M2060"/>
        </row>
        <row r="2061">
          <cell r="A2061"/>
          <cell r="M2061"/>
        </row>
        <row r="2062">
          <cell r="A2062"/>
          <cell r="M2062"/>
        </row>
        <row r="2063">
          <cell r="A2063"/>
          <cell r="M2063"/>
        </row>
        <row r="2064">
          <cell r="A2064"/>
          <cell r="M2064"/>
        </row>
        <row r="2065">
          <cell r="A2065"/>
          <cell r="M2065"/>
        </row>
        <row r="2066">
          <cell r="A2066"/>
          <cell r="M2066"/>
        </row>
        <row r="2067">
          <cell r="A2067"/>
          <cell r="M2067"/>
        </row>
        <row r="2068">
          <cell r="A2068"/>
          <cell r="M2068"/>
        </row>
        <row r="2069">
          <cell r="A2069"/>
          <cell r="M2069"/>
        </row>
        <row r="2070">
          <cell r="A2070"/>
          <cell r="M2070"/>
        </row>
        <row r="2071">
          <cell r="A2071"/>
          <cell r="M2071"/>
        </row>
        <row r="2072">
          <cell r="A2072"/>
          <cell r="M2072"/>
        </row>
        <row r="2073">
          <cell r="A2073"/>
          <cell r="M2073"/>
        </row>
        <row r="2074">
          <cell r="A2074"/>
          <cell r="M2074"/>
        </row>
        <row r="2075">
          <cell r="A2075"/>
          <cell r="M2075"/>
        </row>
        <row r="2076">
          <cell r="A2076"/>
          <cell r="M2076"/>
        </row>
        <row r="2077">
          <cell r="A2077"/>
          <cell r="M2077"/>
        </row>
        <row r="2078">
          <cell r="A2078"/>
          <cell r="M2078"/>
        </row>
        <row r="2079">
          <cell r="A2079"/>
          <cell r="M2079"/>
        </row>
        <row r="2080">
          <cell r="A2080"/>
          <cell r="M2080"/>
        </row>
        <row r="2081">
          <cell r="A2081"/>
          <cell r="M2081"/>
        </row>
        <row r="2082">
          <cell r="A2082"/>
          <cell r="M2082"/>
        </row>
        <row r="2083">
          <cell r="A2083"/>
          <cell r="M2083"/>
        </row>
        <row r="2084">
          <cell r="A2084"/>
          <cell r="M2084"/>
        </row>
        <row r="2085">
          <cell r="A2085"/>
          <cell r="M2085"/>
        </row>
        <row r="2086">
          <cell r="A2086"/>
          <cell r="M2086"/>
        </row>
        <row r="2087">
          <cell r="A2087"/>
          <cell r="M2087"/>
        </row>
        <row r="2088">
          <cell r="A2088"/>
          <cell r="M2088"/>
        </row>
        <row r="2089">
          <cell r="A2089"/>
          <cell r="M2089"/>
        </row>
        <row r="2090">
          <cell r="A2090"/>
          <cell r="M2090"/>
        </row>
        <row r="2091">
          <cell r="A2091"/>
          <cell r="M2091"/>
        </row>
        <row r="2092">
          <cell r="A2092"/>
          <cell r="M2092"/>
        </row>
        <row r="2093">
          <cell r="A2093"/>
          <cell r="M2093"/>
        </row>
        <row r="2094">
          <cell r="A2094"/>
          <cell r="M2094"/>
        </row>
        <row r="2095">
          <cell r="A2095"/>
          <cell r="M2095"/>
        </row>
        <row r="2096">
          <cell r="A2096"/>
          <cell r="M2096"/>
        </row>
        <row r="2097">
          <cell r="A2097"/>
          <cell r="M2097"/>
        </row>
        <row r="2098">
          <cell r="A2098"/>
          <cell r="M2098"/>
        </row>
        <row r="2099">
          <cell r="A2099"/>
          <cell r="M2099"/>
        </row>
        <row r="2100">
          <cell r="A2100"/>
          <cell r="M2100"/>
        </row>
        <row r="2101">
          <cell r="A2101"/>
          <cell r="M2101"/>
        </row>
        <row r="2102">
          <cell r="A2102"/>
          <cell r="M2102"/>
        </row>
        <row r="2103">
          <cell r="A2103"/>
          <cell r="M2103"/>
        </row>
        <row r="2104">
          <cell r="A2104"/>
          <cell r="M2104"/>
        </row>
        <row r="2105">
          <cell r="A2105"/>
          <cell r="M2105"/>
        </row>
        <row r="2106">
          <cell r="A2106"/>
          <cell r="M2106"/>
        </row>
        <row r="2107">
          <cell r="A2107"/>
          <cell r="M2107"/>
        </row>
        <row r="2108">
          <cell r="A2108"/>
          <cell r="M2108"/>
        </row>
        <row r="2109">
          <cell r="A2109"/>
          <cell r="M2109"/>
        </row>
        <row r="2110">
          <cell r="A2110"/>
          <cell r="M2110"/>
        </row>
        <row r="2111">
          <cell r="A2111"/>
          <cell r="M2111"/>
        </row>
        <row r="2112">
          <cell r="A2112"/>
          <cell r="M2112"/>
        </row>
        <row r="2113">
          <cell r="A2113"/>
          <cell r="M2113"/>
        </row>
        <row r="2114">
          <cell r="A2114"/>
          <cell r="M2114"/>
        </row>
        <row r="2115">
          <cell r="A2115"/>
          <cell r="M2115"/>
        </row>
        <row r="2116">
          <cell r="A2116"/>
          <cell r="M2116"/>
        </row>
        <row r="2117">
          <cell r="A2117"/>
          <cell r="M2117"/>
        </row>
        <row r="2118">
          <cell r="A2118"/>
          <cell r="M2118"/>
        </row>
        <row r="2119">
          <cell r="A2119"/>
          <cell r="M2119"/>
        </row>
        <row r="2120">
          <cell r="A2120"/>
          <cell r="M2120"/>
        </row>
        <row r="2121">
          <cell r="A2121"/>
          <cell r="M2121"/>
        </row>
        <row r="2122">
          <cell r="A2122"/>
          <cell r="M2122"/>
        </row>
        <row r="2123">
          <cell r="A2123"/>
          <cell r="M2123"/>
        </row>
        <row r="2124">
          <cell r="A2124"/>
          <cell r="M2124"/>
        </row>
        <row r="2125">
          <cell r="A2125"/>
          <cell r="M2125"/>
        </row>
        <row r="2126">
          <cell r="A2126"/>
          <cell r="M2126"/>
        </row>
        <row r="2127">
          <cell r="A2127"/>
          <cell r="M2127"/>
        </row>
        <row r="2128">
          <cell r="A2128"/>
          <cell r="M2128"/>
        </row>
        <row r="2129">
          <cell r="A2129"/>
          <cell r="M2129"/>
        </row>
        <row r="2130">
          <cell r="A2130"/>
          <cell r="M2130"/>
        </row>
        <row r="2131">
          <cell r="A2131"/>
          <cell r="M2131"/>
        </row>
        <row r="2132">
          <cell r="A2132"/>
          <cell r="M2132"/>
        </row>
        <row r="2133">
          <cell r="A2133"/>
          <cell r="M2133"/>
        </row>
        <row r="2134">
          <cell r="A2134"/>
          <cell r="M2134"/>
        </row>
        <row r="2135">
          <cell r="A2135"/>
          <cell r="M2135"/>
        </row>
        <row r="2136">
          <cell r="A2136"/>
          <cell r="M2136"/>
        </row>
        <row r="2137">
          <cell r="A2137"/>
          <cell r="M2137"/>
        </row>
        <row r="2138">
          <cell r="A2138"/>
          <cell r="M2138"/>
        </row>
        <row r="2139">
          <cell r="A2139"/>
          <cell r="M2139"/>
        </row>
        <row r="2140">
          <cell r="A2140"/>
          <cell r="M2140"/>
        </row>
        <row r="2141">
          <cell r="A2141"/>
          <cell r="M2141"/>
        </row>
        <row r="2142">
          <cell r="A2142"/>
          <cell r="M2142"/>
        </row>
        <row r="2143">
          <cell r="A2143"/>
          <cell r="M2143"/>
        </row>
        <row r="2144">
          <cell r="A2144"/>
          <cell r="M2144"/>
        </row>
        <row r="2145">
          <cell r="A2145"/>
          <cell r="M2145"/>
        </row>
        <row r="2146">
          <cell r="A2146"/>
          <cell r="M2146"/>
        </row>
        <row r="2147">
          <cell r="A2147"/>
          <cell r="M2147"/>
        </row>
        <row r="2148">
          <cell r="A2148"/>
          <cell r="M2148"/>
        </row>
        <row r="2149">
          <cell r="A2149"/>
          <cell r="M2149"/>
        </row>
        <row r="2150">
          <cell r="A2150"/>
          <cell r="M2150"/>
        </row>
        <row r="2151">
          <cell r="A2151"/>
          <cell r="M2151"/>
        </row>
        <row r="2152">
          <cell r="A2152"/>
          <cell r="M2152"/>
        </row>
        <row r="2153">
          <cell r="A2153"/>
          <cell r="M2153"/>
        </row>
        <row r="2154">
          <cell r="A2154"/>
          <cell r="M2154"/>
        </row>
        <row r="2155">
          <cell r="A2155"/>
          <cell r="M2155"/>
        </row>
        <row r="2156">
          <cell r="A2156"/>
          <cell r="M2156"/>
        </row>
        <row r="2157">
          <cell r="A2157"/>
          <cell r="M2157"/>
        </row>
        <row r="2158">
          <cell r="A2158"/>
          <cell r="M2158"/>
        </row>
        <row r="2159">
          <cell r="A2159"/>
          <cell r="M2159"/>
        </row>
        <row r="2160">
          <cell r="A2160"/>
          <cell r="M2160"/>
        </row>
        <row r="2161">
          <cell r="A2161"/>
          <cell r="M2161"/>
        </row>
        <row r="2162">
          <cell r="A2162"/>
          <cell r="M2162"/>
        </row>
        <row r="2163">
          <cell r="A2163"/>
          <cell r="M2163"/>
        </row>
        <row r="2164">
          <cell r="A2164"/>
          <cell r="M2164"/>
        </row>
        <row r="2165">
          <cell r="A2165"/>
          <cell r="M2165"/>
        </row>
        <row r="2166">
          <cell r="A2166"/>
          <cell r="M2166"/>
        </row>
        <row r="2167">
          <cell r="A2167"/>
          <cell r="M2167"/>
        </row>
        <row r="2168">
          <cell r="A2168"/>
          <cell r="M2168"/>
        </row>
        <row r="2169">
          <cell r="A2169"/>
          <cell r="M2169"/>
        </row>
        <row r="2170">
          <cell r="A2170"/>
          <cell r="M2170"/>
        </row>
        <row r="2171">
          <cell r="A2171"/>
          <cell r="M2171"/>
        </row>
        <row r="2172">
          <cell r="A2172"/>
          <cell r="M2172"/>
        </row>
        <row r="2173">
          <cell r="A2173"/>
          <cell r="M2173"/>
        </row>
        <row r="2174">
          <cell r="A2174"/>
          <cell r="M2174"/>
        </row>
        <row r="2175">
          <cell r="A2175"/>
          <cell r="M2175"/>
        </row>
        <row r="2176">
          <cell r="A2176"/>
          <cell r="M2176"/>
        </row>
        <row r="2177">
          <cell r="A2177"/>
          <cell r="M2177"/>
        </row>
        <row r="2178">
          <cell r="A2178"/>
          <cell r="M2178"/>
        </row>
        <row r="2179">
          <cell r="A2179"/>
          <cell r="M2179"/>
        </row>
        <row r="2180">
          <cell r="A2180"/>
          <cell r="M2180"/>
        </row>
        <row r="2181">
          <cell r="A2181"/>
          <cell r="M2181"/>
        </row>
        <row r="2182">
          <cell r="A2182"/>
          <cell r="M2182"/>
        </row>
        <row r="2183">
          <cell r="A2183"/>
          <cell r="M2183"/>
        </row>
        <row r="2184">
          <cell r="A2184"/>
          <cell r="M2184"/>
        </row>
        <row r="2185">
          <cell r="A2185"/>
          <cell r="M2185"/>
        </row>
        <row r="2186">
          <cell r="A2186"/>
          <cell r="M2186"/>
        </row>
        <row r="2187">
          <cell r="A2187"/>
          <cell r="M2187"/>
        </row>
        <row r="2188">
          <cell r="A2188"/>
          <cell r="M2188"/>
        </row>
        <row r="2189">
          <cell r="A2189"/>
          <cell r="M2189"/>
        </row>
        <row r="2190">
          <cell r="A2190"/>
          <cell r="M2190"/>
        </row>
        <row r="2191">
          <cell r="A2191"/>
          <cell r="M2191"/>
        </row>
        <row r="2192">
          <cell r="A2192"/>
          <cell r="M2192"/>
        </row>
        <row r="2193">
          <cell r="A2193"/>
          <cell r="M2193"/>
        </row>
        <row r="2194">
          <cell r="A2194"/>
          <cell r="M2194"/>
        </row>
        <row r="2195">
          <cell r="A2195"/>
          <cell r="M2195"/>
        </row>
        <row r="2196">
          <cell r="A2196"/>
          <cell r="M2196"/>
        </row>
        <row r="2197">
          <cell r="A2197"/>
          <cell r="M2197"/>
        </row>
        <row r="2198">
          <cell r="A2198"/>
          <cell r="M2198"/>
        </row>
        <row r="2199">
          <cell r="A2199"/>
          <cell r="M2199"/>
        </row>
        <row r="2200">
          <cell r="A2200"/>
          <cell r="M2200"/>
        </row>
        <row r="2201">
          <cell r="A2201"/>
          <cell r="M2201"/>
        </row>
        <row r="2202">
          <cell r="A2202"/>
          <cell r="M2202"/>
        </row>
        <row r="2203">
          <cell r="A2203"/>
          <cell r="M2203"/>
        </row>
        <row r="2204">
          <cell r="A2204"/>
          <cell r="M2204"/>
        </row>
        <row r="2205">
          <cell r="A2205"/>
          <cell r="M2205"/>
        </row>
        <row r="2206">
          <cell r="A2206"/>
          <cell r="M2206"/>
        </row>
        <row r="2207">
          <cell r="A2207"/>
          <cell r="M2207"/>
        </row>
        <row r="2208">
          <cell r="A2208"/>
          <cell r="M2208"/>
        </row>
        <row r="2209">
          <cell r="A2209"/>
          <cell r="M2209"/>
        </row>
        <row r="2210">
          <cell r="A2210"/>
          <cell r="M2210"/>
        </row>
        <row r="2211">
          <cell r="A2211"/>
          <cell r="M2211"/>
        </row>
        <row r="2212">
          <cell r="A2212"/>
          <cell r="M2212"/>
        </row>
        <row r="2213">
          <cell r="A2213"/>
          <cell r="M2213"/>
        </row>
        <row r="2214">
          <cell r="A2214"/>
          <cell r="M2214"/>
        </row>
        <row r="2215">
          <cell r="A2215"/>
          <cell r="M2215"/>
        </row>
        <row r="2216">
          <cell r="A2216"/>
          <cell r="M2216"/>
        </row>
        <row r="2217">
          <cell r="A2217"/>
          <cell r="M2217"/>
        </row>
        <row r="2218">
          <cell r="A2218"/>
          <cell r="M2218"/>
        </row>
        <row r="2219">
          <cell r="A2219"/>
          <cell r="M2219"/>
        </row>
        <row r="2220">
          <cell r="A2220"/>
          <cell r="M2220"/>
        </row>
        <row r="2221">
          <cell r="A2221"/>
          <cell r="M2221"/>
        </row>
        <row r="2222">
          <cell r="A2222"/>
          <cell r="M2222"/>
        </row>
        <row r="2223">
          <cell r="A2223"/>
          <cell r="M2223"/>
        </row>
        <row r="2224">
          <cell r="A2224"/>
          <cell r="M2224"/>
        </row>
        <row r="2225">
          <cell r="A2225"/>
          <cell r="M2225"/>
        </row>
        <row r="2226">
          <cell r="A2226"/>
          <cell r="M2226"/>
        </row>
        <row r="2227">
          <cell r="A2227"/>
          <cell r="M2227"/>
        </row>
        <row r="2228">
          <cell r="A2228"/>
          <cell r="M2228"/>
        </row>
        <row r="2229">
          <cell r="A2229"/>
          <cell r="M2229"/>
        </row>
        <row r="2230">
          <cell r="A2230"/>
          <cell r="M2230"/>
        </row>
        <row r="2231">
          <cell r="A2231"/>
          <cell r="M2231"/>
        </row>
        <row r="2232">
          <cell r="A2232"/>
          <cell r="M2232"/>
        </row>
        <row r="2233">
          <cell r="A2233"/>
          <cell r="M2233"/>
        </row>
        <row r="2234">
          <cell r="A2234"/>
          <cell r="M2234"/>
        </row>
        <row r="2235">
          <cell r="A2235"/>
          <cell r="M2235"/>
        </row>
        <row r="2236">
          <cell r="A2236"/>
          <cell r="M2236"/>
        </row>
        <row r="2237">
          <cell r="A2237"/>
          <cell r="M2237"/>
        </row>
        <row r="2238">
          <cell r="A2238"/>
          <cell r="M2238"/>
        </row>
        <row r="2239">
          <cell r="A2239"/>
          <cell r="M2239"/>
        </row>
        <row r="2240">
          <cell r="A2240"/>
          <cell r="M2240"/>
        </row>
        <row r="2241">
          <cell r="A2241"/>
          <cell r="M2241"/>
        </row>
        <row r="2242">
          <cell r="A2242"/>
          <cell r="M2242"/>
        </row>
        <row r="2243">
          <cell r="A2243"/>
          <cell r="M2243"/>
        </row>
        <row r="2244">
          <cell r="A2244"/>
          <cell r="M2244"/>
        </row>
        <row r="2245">
          <cell r="A2245"/>
          <cell r="M2245"/>
        </row>
        <row r="2246">
          <cell r="A2246"/>
          <cell r="M2246"/>
        </row>
        <row r="2247">
          <cell r="A2247"/>
          <cell r="M2247"/>
        </row>
        <row r="2248">
          <cell r="A2248"/>
          <cell r="M2248"/>
        </row>
        <row r="2249">
          <cell r="A2249"/>
          <cell r="M2249"/>
        </row>
        <row r="2250">
          <cell r="A2250"/>
          <cell r="M2250"/>
        </row>
        <row r="2251">
          <cell r="A2251"/>
          <cell r="M2251"/>
        </row>
        <row r="2252">
          <cell r="A2252"/>
          <cell r="M2252"/>
        </row>
        <row r="2253">
          <cell r="A2253"/>
          <cell r="M2253"/>
        </row>
        <row r="2254">
          <cell r="A2254"/>
          <cell r="M2254"/>
        </row>
        <row r="2255">
          <cell r="A2255"/>
          <cell r="M2255"/>
        </row>
        <row r="2256">
          <cell r="A2256"/>
          <cell r="M2256"/>
        </row>
        <row r="2257">
          <cell r="A2257"/>
          <cell r="M2257"/>
        </row>
        <row r="2258">
          <cell r="A2258"/>
          <cell r="M2258"/>
        </row>
        <row r="2259">
          <cell r="A2259"/>
          <cell r="M2259"/>
        </row>
        <row r="2260">
          <cell r="A2260"/>
          <cell r="M2260"/>
        </row>
        <row r="2261">
          <cell r="A2261"/>
          <cell r="M2261"/>
        </row>
        <row r="2262">
          <cell r="A2262"/>
          <cell r="M2262"/>
        </row>
        <row r="2263">
          <cell r="A2263"/>
          <cell r="M2263"/>
        </row>
        <row r="2264">
          <cell r="A2264"/>
          <cell r="M2264"/>
        </row>
        <row r="2265">
          <cell r="A2265"/>
          <cell r="M2265"/>
        </row>
        <row r="2266">
          <cell r="A2266"/>
          <cell r="M2266"/>
        </row>
        <row r="2267">
          <cell r="A2267"/>
          <cell r="M2267"/>
        </row>
        <row r="2268">
          <cell r="A2268"/>
          <cell r="M2268"/>
        </row>
        <row r="2269">
          <cell r="A2269"/>
          <cell r="M2269"/>
        </row>
        <row r="2270">
          <cell r="A2270"/>
          <cell r="M2270"/>
        </row>
        <row r="2271">
          <cell r="A2271"/>
          <cell r="M2271"/>
        </row>
        <row r="2272">
          <cell r="A2272"/>
          <cell r="M2272"/>
        </row>
        <row r="2273">
          <cell r="A2273"/>
          <cell r="M2273"/>
        </row>
        <row r="2274">
          <cell r="A2274"/>
          <cell r="M2274"/>
        </row>
        <row r="2275">
          <cell r="A2275"/>
          <cell r="M2275"/>
        </row>
        <row r="2276">
          <cell r="A2276"/>
          <cell r="M2276"/>
        </row>
        <row r="2277">
          <cell r="A2277"/>
          <cell r="M2277"/>
        </row>
        <row r="2278">
          <cell r="A2278"/>
          <cell r="M2278"/>
        </row>
        <row r="2279">
          <cell r="A2279"/>
          <cell r="M2279"/>
        </row>
        <row r="2280">
          <cell r="A2280"/>
          <cell r="M2280"/>
        </row>
        <row r="2281">
          <cell r="A2281"/>
          <cell r="M2281"/>
        </row>
        <row r="2282">
          <cell r="A2282"/>
          <cell r="M2282"/>
        </row>
        <row r="2283">
          <cell r="A2283"/>
          <cell r="M2283"/>
        </row>
        <row r="2284">
          <cell r="A2284"/>
          <cell r="M2284"/>
        </row>
        <row r="2285">
          <cell r="A2285"/>
          <cell r="M2285"/>
        </row>
        <row r="2286">
          <cell r="A2286"/>
          <cell r="M2286"/>
        </row>
        <row r="2287">
          <cell r="A2287"/>
          <cell r="M2287"/>
        </row>
        <row r="2288">
          <cell r="A2288"/>
          <cell r="M2288"/>
        </row>
        <row r="2289">
          <cell r="A2289"/>
          <cell r="M2289"/>
        </row>
        <row r="2290">
          <cell r="A2290"/>
          <cell r="M2290"/>
        </row>
        <row r="2291">
          <cell r="A2291"/>
          <cell r="M2291"/>
        </row>
        <row r="2292">
          <cell r="A2292"/>
          <cell r="M2292"/>
        </row>
        <row r="2293">
          <cell r="A2293"/>
          <cell r="M2293"/>
        </row>
        <row r="2294">
          <cell r="A2294"/>
          <cell r="M2294"/>
        </row>
        <row r="2295">
          <cell r="A2295"/>
          <cell r="M2295"/>
        </row>
        <row r="2296">
          <cell r="A2296"/>
          <cell r="M2296"/>
        </row>
        <row r="2297">
          <cell r="A2297"/>
          <cell r="M2297"/>
        </row>
        <row r="2298">
          <cell r="A2298"/>
          <cell r="M2298"/>
        </row>
        <row r="2299">
          <cell r="A2299"/>
          <cell r="M2299"/>
        </row>
        <row r="2300">
          <cell r="A2300"/>
          <cell r="M2300"/>
        </row>
        <row r="2301">
          <cell r="A2301"/>
          <cell r="M2301"/>
        </row>
        <row r="2302">
          <cell r="A2302"/>
          <cell r="M2302"/>
        </row>
        <row r="2303">
          <cell r="A2303"/>
          <cell r="M2303"/>
        </row>
        <row r="2304">
          <cell r="A2304"/>
          <cell r="M2304"/>
        </row>
        <row r="2305">
          <cell r="A2305"/>
          <cell r="M2305"/>
        </row>
        <row r="2306">
          <cell r="A2306"/>
          <cell r="M2306"/>
        </row>
      </sheetData>
      <sheetData sheetId="10">
        <row r="1">
          <cell r="A1" t="str">
            <v>CÓDIGO</v>
          </cell>
          <cell r="I1" t="str">
            <v>TENSÃO PRIMÁRIA [Kv]</v>
          </cell>
        </row>
        <row r="2">
          <cell r="A2">
            <v>5868303009</v>
          </cell>
          <cell r="I2">
            <v>34500</v>
          </cell>
        </row>
        <row r="3">
          <cell r="A3">
            <v>5863512038</v>
          </cell>
          <cell r="I3" t="str">
            <v>34.500</v>
          </cell>
        </row>
        <row r="4">
          <cell r="A4">
            <v>5863050038</v>
          </cell>
          <cell r="I4" t="str">
            <v>34.500</v>
          </cell>
        </row>
        <row r="5">
          <cell r="A5">
            <v>5863049038</v>
          </cell>
          <cell r="I5" t="str">
            <v>34.500</v>
          </cell>
        </row>
        <row r="6">
          <cell r="A6">
            <v>5862247038</v>
          </cell>
          <cell r="I6" t="str">
            <v>34.500</v>
          </cell>
        </row>
        <row r="7">
          <cell r="A7">
            <v>5867939086</v>
          </cell>
          <cell r="I7" t="str">
            <v>34.500</v>
          </cell>
        </row>
        <row r="8">
          <cell r="A8">
            <v>5867938149</v>
          </cell>
          <cell r="I8" t="str">
            <v>34.500</v>
          </cell>
        </row>
        <row r="9">
          <cell r="A9">
            <v>5843614038</v>
          </cell>
          <cell r="I9" t="str">
            <v>34.500</v>
          </cell>
        </row>
        <row r="10">
          <cell r="A10">
            <v>5838622038</v>
          </cell>
          <cell r="I10" t="str">
            <v>34.500</v>
          </cell>
        </row>
        <row r="11">
          <cell r="A11">
            <v>5866894016</v>
          </cell>
          <cell r="I11" t="str">
            <v>34.500</v>
          </cell>
        </row>
        <row r="12">
          <cell r="A12">
            <v>5863659055</v>
          </cell>
          <cell r="I12" t="str">
            <v>34.500</v>
          </cell>
        </row>
        <row r="13">
          <cell r="A13">
            <v>5863000094</v>
          </cell>
          <cell r="I13" t="str">
            <v>34.500</v>
          </cell>
        </row>
        <row r="14">
          <cell r="A14">
            <v>5863384078</v>
          </cell>
          <cell r="I14" t="str">
            <v>34.500</v>
          </cell>
        </row>
        <row r="15">
          <cell r="A15">
            <v>5860477104</v>
          </cell>
          <cell r="I15" t="str">
            <v>34.500</v>
          </cell>
        </row>
        <row r="16">
          <cell r="A16">
            <v>5865120195</v>
          </cell>
          <cell r="I16" t="str">
            <v>34.500</v>
          </cell>
        </row>
        <row r="17">
          <cell r="A17">
            <v>5840261097</v>
          </cell>
          <cell r="I17" t="str">
            <v>13.800</v>
          </cell>
        </row>
        <row r="18">
          <cell r="A18">
            <v>5856661091</v>
          </cell>
          <cell r="I18" t="str">
            <v>34.500</v>
          </cell>
        </row>
        <row r="19">
          <cell r="A19">
            <v>5862464001</v>
          </cell>
          <cell r="I19" t="str">
            <v>13.800</v>
          </cell>
        </row>
        <row r="20">
          <cell r="A20">
            <v>5862050086</v>
          </cell>
          <cell r="I20" t="str">
            <v>34.500</v>
          </cell>
        </row>
        <row r="21">
          <cell r="A21">
            <v>5820044123</v>
          </cell>
          <cell r="I21" t="str">
            <v>13.800</v>
          </cell>
        </row>
        <row r="22">
          <cell r="A22">
            <v>5862523111</v>
          </cell>
          <cell r="I22" t="str">
            <v>34.500</v>
          </cell>
        </row>
        <row r="23">
          <cell r="A23">
            <v>5863887001</v>
          </cell>
          <cell r="I23" t="str">
            <v>13.800</v>
          </cell>
        </row>
        <row r="24">
          <cell r="A24">
            <v>5835587001</v>
          </cell>
          <cell r="I24" t="str">
            <v>13.800</v>
          </cell>
        </row>
        <row r="25">
          <cell r="A25">
            <v>5862546023</v>
          </cell>
          <cell r="I25" t="str">
            <v>13.800</v>
          </cell>
        </row>
        <row r="26">
          <cell r="A26">
            <v>5861324076</v>
          </cell>
          <cell r="I26" t="str">
            <v>34.500</v>
          </cell>
        </row>
        <row r="27">
          <cell r="A27">
            <v>5862236091</v>
          </cell>
          <cell r="I27" t="str">
            <v>34.500</v>
          </cell>
        </row>
        <row r="28">
          <cell r="A28">
            <v>5841308190</v>
          </cell>
          <cell r="I28" t="str">
            <v>34.500</v>
          </cell>
        </row>
        <row r="29">
          <cell r="A29">
            <v>5861382036</v>
          </cell>
          <cell r="I29" t="str">
            <v>13.800</v>
          </cell>
        </row>
        <row r="30">
          <cell r="A30">
            <v>5860500009</v>
          </cell>
          <cell r="I30" t="str">
            <v>34.500</v>
          </cell>
        </row>
        <row r="31">
          <cell r="A31">
            <v>5861366005</v>
          </cell>
          <cell r="I31" t="str">
            <v>34.500</v>
          </cell>
        </row>
        <row r="32">
          <cell r="A32">
            <v>5826303015</v>
          </cell>
          <cell r="I32" t="str">
            <v>34.500</v>
          </cell>
        </row>
        <row r="33">
          <cell r="A33">
            <v>5860621001</v>
          </cell>
          <cell r="I33" t="str">
            <v>13.800</v>
          </cell>
        </row>
        <row r="34">
          <cell r="A34">
            <v>5809431091</v>
          </cell>
          <cell r="I34" t="str">
            <v>34.500</v>
          </cell>
        </row>
        <row r="35">
          <cell r="A35">
            <v>5863381155</v>
          </cell>
          <cell r="I35" t="str">
            <v>34.500</v>
          </cell>
        </row>
        <row r="36">
          <cell r="A36">
            <v>5863382155</v>
          </cell>
          <cell r="I36" t="str">
            <v>34.500</v>
          </cell>
        </row>
        <row r="37">
          <cell r="A37">
            <v>5856661005</v>
          </cell>
          <cell r="I37" t="str">
            <v>34.500</v>
          </cell>
        </row>
        <row r="38">
          <cell r="A38">
            <v>5856156091</v>
          </cell>
          <cell r="I38" t="str">
            <v>34.500</v>
          </cell>
        </row>
        <row r="39">
          <cell r="A39">
            <v>5800880014</v>
          </cell>
          <cell r="I39" t="str">
            <v>34.500</v>
          </cell>
        </row>
        <row r="40">
          <cell r="A40">
            <v>5861441026</v>
          </cell>
          <cell r="I40" t="str">
            <v>34.500</v>
          </cell>
        </row>
        <row r="41">
          <cell r="A41">
            <v>5841467200</v>
          </cell>
          <cell r="I41" t="str">
            <v>34.500</v>
          </cell>
        </row>
        <row r="42">
          <cell r="A42">
            <v>5853769152</v>
          </cell>
          <cell r="I42" t="str">
            <v>34.500</v>
          </cell>
        </row>
        <row r="43">
          <cell r="A43">
            <v>5854771001</v>
          </cell>
          <cell r="I43" t="str">
            <v>34.500</v>
          </cell>
        </row>
        <row r="44">
          <cell r="A44">
            <v>5856825025</v>
          </cell>
          <cell r="I44" t="str">
            <v>34.500</v>
          </cell>
        </row>
        <row r="45">
          <cell r="A45">
            <v>5857855025</v>
          </cell>
          <cell r="I45" t="str">
            <v>34.500</v>
          </cell>
        </row>
        <row r="46">
          <cell r="A46">
            <v>5855606027</v>
          </cell>
          <cell r="I46" t="str">
            <v>34.500</v>
          </cell>
        </row>
        <row r="47">
          <cell r="A47">
            <v>5858783119</v>
          </cell>
          <cell r="I47" t="str">
            <v>34.500</v>
          </cell>
        </row>
        <row r="48">
          <cell r="A48">
            <v>5857409073</v>
          </cell>
          <cell r="I48" t="str">
            <v>34.500</v>
          </cell>
        </row>
        <row r="49">
          <cell r="A49">
            <v>5836786094</v>
          </cell>
          <cell r="I49" t="str">
            <v>34.500</v>
          </cell>
        </row>
        <row r="50">
          <cell r="A50">
            <v>5851801003</v>
          </cell>
          <cell r="I50" t="str">
            <v>34.500</v>
          </cell>
        </row>
        <row r="51">
          <cell r="A51">
            <v>5846328094</v>
          </cell>
          <cell r="I51" t="str">
            <v>34.500</v>
          </cell>
        </row>
        <row r="52">
          <cell r="A52">
            <v>5804170122</v>
          </cell>
          <cell r="I52" t="str">
            <v>34.500</v>
          </cell>
        </row>
        <row r="53">
          <cell r="A53">
            <v>5856529073</v>
          </cell>
          <cell r="I53" t="str">
            <v>34.500</v>
          </cell>
        </row>
        <row r="54">
          <cell r="A54">
            <v>5800299073</v>
          </cell>
          <cell r="I54" t="str">
            <v>34.500</v>
          </cell>
        </row>
        <row r="55">
          <cell r="A55">
            <v>5857855056</v>
          </cell>
          <cell r="I55" t="str">
            <v>34.500</v>
          </cell>
        </row>
        <row r="56">
          <cell r="A56">
            <v>5837995077</v>
          </cell>
          <cell r="I56" t="str">
            <v>13.800</v>
          </cell>
        </row>
        <row r="57">
          <cell r="A57">
            <v>5856070091</v>
          </cell>
          <cell r="I57" t="str">
            <v>34.500</v>
          </cell>
        </row>
        <row r="58">
          <cell r="A58">
            <v>5855776094</v>
          </cell>
          <cell r="I58" t="str">
            <v>34.500</v>
          </cell>
        </row>
        <row r="59">
          <cell r="A59">
            <v>5800778005</v>
          </cell>
          <cell r="I59" t="str">
            <v>13.800</v>
          </cell>
        </row>
        <row r="60">
          <cell r="A60">
            <v>5854566043</v>
          </cell>
          <cell r="I60" t="str">
            <v>34.500</v>
          </cell>
        </row>
        <row r="61">
          <cell r="A61">
            <v>5858227036</v>
          </cell>
          <cell r="I61" t="str">
            <v>13.800</v>
          </cell>
        </row>
        <row r="62">
          <cell r="A62">
            <v>5855634038</v>
          </cell>
          <cell r="I62" t="str">
            <v>34.500</v>
          </cell>
        </row>
        <row r="63">
          <cell r="A63">
            <v>5851752014</v>
          </cell>
          <cell r="I63" t="str">
            <v>34.500</v>
          </cell>
        </row>
        <row r="64">
          <cell r="A64">
            <v>5854681071</v>
          </cell>
          <cell r="I64" t="str">
            <v>13.800</v>
          </cell>
        </row>
        <row r="65">
          <cell r="A65">
            <v>5854906080</v>
          </cell>
          <cell r="I65" t="str">
            <v>34.500</v>
          </cell>
        </row>
        <row r="66">
          <cell r="A66">
            <v>5855643052</v>
          </cell>
          <cell r="I66" t="str">
            <v>34.500</v>
          </cell>
        </row>
        <row r="67">
          <cell r="A67">
            <v>5857506193</v>
          </cell>
          <cell r="I67" t="str">
            <v>34.500</v>
          </cell>
        </row>
        <row r="68">
          <cell r="A68">
            <v>5854782001</v>
          </cell>
          <cell r="I68" t="str">
            <v>13.800</v>
          </cell>
        </row>
        <row r="69">
          <cell r="A69">
            <v>5849248030</v>
          </cell>
          <cell r="I69" t="str">
            <v>34.500</v>
          </cell>
        </row>
        <row r="70">
          <cell r="A70">
            <v>5855411017</v>
          </cell>
          <cell r="I70" t="str">
            <v>13.800</v>
          </cell>
        </row>
        <row r="71">
          <cell r="A71">
            <v>5849019063</v>
          </cell>
          <cell r="I71" t="str">
            <v>34.500</v>
          </cell>
        </row>
        <row r="72">
          <cell r="A72">
            <v>5855962013</v>
          </cell>
          <cell r="I72" t="str">
            <v>34.500</v>
          </cell>
        </row>
        <row r="73">
          <cell r="A73">
            <v>5820790038</v>
          </cell>
          <cell r="I73" t="str">
            <v>34.500</v>
          </cell>
        </row>
        <row r="74">
          <cell r="A74">
            <v>5855165193</v>
          </cell>
          <cell r="I74" t="str">
            <v>34.500</v>
          </cell>
        </row>
        <row r="75">
          <cell r="A75">
            <v>5836514073</v>
          </cell>
          <cell r="I75" t="str">
            <v>34.500</v>
          </cell>
        </row>
        <row r="76">
          <cell r="A76">
            <v>5855189265</v>
          </cell>
          <cell r="I76" t="str">
            <v>34.500</v>
          </cell>
        </row>
        <row r="77">
          <cell r="A77">
            <v>5800291035</v>
          </cell>
          <cell r="I77" t="str">
            <v>34.500</v>
          </cell>
        </row>
        <row r="78">
          <cell r="A78">
            <v>5854492004</v>
          </cell>
          <cell r="I78" t="str">
            <v>34.500</v>
          </cell>
        </row>
        <row r="79">
          <cell r="A79">
            <v>5854767035</v>
          </cell>
          <cell r="I79" t="str">
            <v>34.500</v>
          </cell>
        </row>
        <row r="80">
          <cell r="A80">
            <v>5854766001</v>
          </cell>
          <cell r="I80" t="str">
            <v>34.500</v>
          </cell>
        </row>
        <row r="81">
          <cell r="A81">
            <v>5853032090</v>
          </cell>
          <cell r="I81" t="str">
            <v>34.500</v>
          </cell>
        </row>
        <row r="82">
          <cell r="A82">
            <v>5852775092</v>
          </cell>
          <cell r="I82" t="str">
            <v>34.500</v>
          </cell>
        </row>
        <row r="83">
          <cell r="A83">
            <v>5858330039</v>
          </cell>
          <cell r="I83" t="str">
            <v>13.800</v>
          </cell>
        </row>
        <row r="84">
          <cell r="A84">
            <v>5827767081</v>
          </cell>
          <cell r="I84" t="str">
            <v>13.800</v>
          </cell>
        </row>
        <row r="85">
          <cell r="A85">
            <v>5853359076</v>
          </cell>
          <cell r="I85" t="str">
            <v>34.500</v>
          </cell>
        </row>
        <row r="86">
          <cell r="A86">
            <v>5850308009</v>
          </cell>
          <cell r="I86" t="str">
            <v>13.800</v>
          </cell>
        </row>
        <row r="87">
          <cell r="A87">
            <v>5854977104</v>
          </cell>
          <cell r="I87" t="str">
            <v>34.500</v>
          </cell>
        </row>
        <row r="88">
          <cell r="A88">
            <v>5855063080</v>
          </cell>
          <cell r="I88" t="str">
            <v>34.500</v>
          </cell>
        </row>
        <row r="89">
          <cell r="A89">
            <v>5840227063</v>
          </cell>
          <cell r="I89" t="str">
            <v>34.500</v>
          </cell>
        </row>
        <row r="90">
          <cell r="A90">
            <v>5850410265</v>
          </cell>
          <cell r="I90" t="str">
            <v>34.500</v>
          </cell>
        </row>
        <row r="91">
          <cell r="A91">
            <v>5800090147</v>
          </cell>
          <cell r="I91" t="str">
            <v>34.500</v>
          </cell>
        </row>
        <row r="92">
          <cell r="A92">
            <v>5836785074</v>
          </cell>
          <cell r="I92" t="str">
            <v>34.500</v>
          </cell>
        </row>
        <row r="93">
          <cell r="A93">
            <v>5848305116</v>
          </cell>
          <cell r="I93" t="str">
            <v>34.500</v>
          </cell>
        </row>
        <row r="94">
          <cell r="A94">
            <v>5854858149</v>
          </cell>
          <cell r="I94" t="str">
            <v>34.500</v>
          </cell>
        </row>
        <row r="95">
          <cell r="A95">
            <v>5838020063</v>
          </cell>
          <cell r="I95" t="str">
            <v>34.500</v>
          </cell>
        </row>
        <row r="96">
          <cell r="A96">
            <v>5800765149</v>
          </cell>
          <cell r="I96" t="str">
            <v>34.500</v>
          </cell>
        </row>
        <row r="97">
          <cell r="A97">
            <v>5851504001</v>
          </cell>
          <cell r="I97" t="str">
            <v>13.800</v>
          </cell>
        </row>
        <row r="98">
          <cell r="A98">
            <v>5826651083</v>
          </cell>
          <cell r="I98" t="str">
            <v>34.500</v>
          </cell>
        </row>
        <row r="99">
          <cell r="A99">
            <v>5849892032</v>
          </cell>
          <cell r="I99" t="str">
            <v>34.500</v>
          </cell>
        </row>
        <row r="100">
          <cell r="A100">
            <v>5851753086</v>
          </cell>
          <cell r="I100" t="str">
            <v>34.500</v>
          </cell>
        </row>
        <row r="101">
          <cell r="A101">
            <v>5853360007</v>
          </cell>
          <cell r="I101" t="str">
            <v>34.500</v>
          </cell>
        </row>
        <row r="102">
          <cell r="A102">
            <v>5848685005</v>
          </cell>
          <cell r="I102" t="str">
            <v>34.500</v>
          </cell>
        </row>
        <row r="103">
          <cell r="A103">
            <v>5848475097</v>
          </cell>
          <cell r="I103" t="str">
            <v>13.800</v>
          </cell>
        </row>
        <row r="104">
          <cell r="A104">
            <v>5849245019</v>
          </cell>
          <cell r="I104" t="str">
            <v>34.500</v>
          </cell>
        </row>
        <row r="105">
          <cell r="A105">
            <v>5848517004</v>
          </cell>
          <cell r="I105" t="str">
            <v>34.500</v>
          </cell>
        </row>
        <row r="106">
          <cell r="A106">
            <v>5843649091</v>
          </cell>
          <cell r="I106" t="str">
            <v>34.500</v>
          </cell>
        </row>
        <row r="107">
          <cell r="A107">
            <v>5851857001</v>
          </cell>
          <cell r="I107" t="str">
            <v>13.800</v>
          </cell>
        </row>
        <row r="108">
          <cell r="A108">
            <v>5848554003</v>
          </cell>
          <cell r="I108" t="str">
            <v>13.800</v>
          </cell>
        </row>
        <row r="109">
          <cell r="A109">
            <v>5844369186</v>
          </cell>
          <cell r="I109" t="str">
            <v>34.500</v>
          </cell>
        </row>
        <row r="110">
          <cell r="A110">
            <v>5848968003</v>
          </cell>
          <cell r="I110" t="str">
            <v>34.500</v>
          </cell>
        </row>
        <row r="111">
          <cell r="A111">
            <v>5847496001</v>
          </cell>
          <cell r="I111" t="str">
            <v>13.800</v>
          </cell>
        </row>
        <row r="112">
          <cell r="A112">
            <v>5801843038</v>
          </cell>
          <cell r="I112" t="str">
            <v>34.500</v>
          </cell>
        </row>
        <row r="113">
          <cell r="A113">
            <v>5849327013</v>
          </cell>
          <cell r="I113" t="str">
            <v>13.800</v>
          </cell>
        </row>
        <row r="114">
          <cell r="A114">
            <v>5847227003</v>
          </cell>
          <cell r="I114" t="str">
            <v>13.800</v>
          </cell>
        </row>
        <row r="115">
          <cell r="A115">
            <v>5847506122</v>
          </cell>
          <cell r="I115" t="str">
            <v>13.800</v>
          </cell>
        </row>
        <row r="116">
          <cell r="A116">
            <v>5847351063</v>
          </cell>
          <cell r="I116" t="str">
            <v>13.800</v>
          </cell>
        </row>
        <row r="117">
          <cell r="A117">
            <v>5845765030</v>
          </cell>
          <cell r="I117" t="str">
            <v>13.800</v>
          </cell>
        </row>
        <row r="118">
          <cell r="A118">
            <v>5846401004</v>
          </cell>
          <cell r="I118" t="str">
            <v>13.800</v>
          </cell>
        </row>
        <row r="119">
          <cell r="A119">
            <v>5846699075</v>
          </cell>
          <cell r="I119" t="str">
            <v>34.500</v>
          </cell>
        </row>
        <row r="120">
          <cell r="A120">
            <v>5835226045</v>
          </cell>
          <cell r="I120" t="str">
            <v>34.500</v>
          </cell>
        </row>
        <row r="121">
          <cell r="A121">
            <v>5843204066</v>
          </cell>
          <cell r="I121" t="str">
            <v>34.500</v>
          </cell>
        </row>
        <row r="122">
          <cell r="A122">
            <v>5844296001</v>
          </cell>
          <cell r="I122" t="str">
            <v>13.800</v>
          </cell>
        </row>
        <row r="123">
          <cell r="A123">
            <v>5844277001</v>
          </cell>
          <cell r="I123" t="str">
            <v>13.800</v>
          </cell>
        </row>
        <row r="124">
          <cell r="A124">
            <v>5800535010</v>
          </cell>
          <cell r="I124" t="str">
            <v>34.500</v>
          </cell>
        </row>
        <row r="125">
          <cell r="A125">
            <v>5800586084</v>
          </cell>
          <cell r="I125" t="str">
            <v>34.500</v>
          </cell>
        </row>
        <row r="126">
          <cell r="A126">
            <v>5843767129</v>
          </cell>
          <cell r="I126" t="str">
            <v>13.800</v>
          </cell>
        </row>
        <row r="127">
          <cell r="A127">
            <v>5844630060</v>
          </cell>
          <cell r="I127" t="str">
            <v>13.800</v>
          </cell>
        </row>
        <row r="128">
          <cell r="A128">
            <v>5844577073</v>
          </cell>
          <cell r="I128" t="str">
            <v>34.500</v>
          </cell>
        </row>
        <row r="129">
          <cell r="A129">
            <v>5800243083</v>
          </cell>
          <cell r="I129" t="str">
            <v>34.500</v>
          </cell>
        </row>
        <row r="130">
          <cell r="A130">
            <v>5843544107</v>
          </cell>
          <cell r="I130" t="str">
            <v>34.500</v>
          </cell>
        </row>
        <row r="131">
          <cell r="A131">
            <v>5800859011</v>
          </cell>
          <cell r="I131" t="str">
            <v>13.800</v>
          </cell>
        </row>
        <row r="132">
          <cell r="A132">
            <v>5800438116</v>
          </cell>
          <cell r="I132" t="str">
            <v>34.500</v>
          </cell>
        </row>
        <row r="133">
          <cell r="A133">
            <v>5833578028</v>
          </cell>
          <cell r="I133" t="str">
            <v>34.500</v>
          </cell>
        </row>
        <row r="134">
          <cell r="A134">
            <v>5836033037</v>
          </cell>
          <cell r="I134" t="str">
            <v>34.500</v>
          </cell>
        </row>
        <row r="135">
          <cell r="A135">
            <v>5839394012</v>
          </cell>
          <cell r="I135" t="str">
            <v>34.500</v>
          </cell>
        </row>
        <row r="136">
          <cell r="A136">
            <v>5833576116</v>
          </cell>
          <cell r="I136" t="str">
            <v>34.500</v>
          </cell>
        </row>
        <row r="137">
          <cell r="A137">
            <v>5843320223</v>
          </cell>
          <cell r="I137" t="str">
            <v>34.500</v>
          </cell>
        </row>
        <row r="138">
          <cell r="A138">
            <v>5820143038</v>
          </cell>
          <cell r="I138" t="str">
            <v>34.500</v>
          </cell>
        </row>
        <row r="139">
          <cell r="A139">
            <v>5843325009</v>
          </cell>
          <cell r="I139" t="str">
            <v>13.800</v>
          </cell>
        </row>
        <row r="140">
          <cell r="A140">
            <v>5841307050</v>
          </cell>
          <cell r="I140" t="str">
            <v>34.500</v>
          </cell>
        </row>
        <row r="141">
          <cell r="A141">
            <v>5838014063</v>
          </cell>
          <cell r="I141" t="str">
            <v>34.500</v>
          </cell>
        </row>
        <row r="142">
          <cell r="A142">
            <v>5800366016</v>
          </cell>
          <cell r="I142" t="str">
            <v>34.500</v>
          </cell>
        </row>
        <row r="143">
          <cell r="A143">
            <v>5843904032</v>
          </cell>
          <cell r="I143" t="str">
            <v>13.800</v>
          </cell>
        </row>
        <row r="144">
          <cell r="A144">
            <v>5800566084</v>
          </cell>
          <cell r="I144" t="str">
            <v>34.500</v>
          </cell>
        </row>
        <row r="145">
          <cell r="A145">
            <v>5840260107</v>
          </cell>
          <cell r="I145" t="str">
            <v>34.500</v>
          </cell>
        </row>
        <row r="146">
          <cell r="A146">
            <v>5800148068</v>
          </cell>
          <cell r="I146" t="str">
            <v>34.500</v>
          </cell>
        </row>
        <row r="147">
          <cell r="A147">
            <v>5840203077</v>
          </cell>
          <cell r="I147" t="str">
            <v>34.500</v>
          </cell>
        </row>
        <row r="148">
          <cell r="A148">
            <v>5840274021</v>
          </cell>
          <cell r="I148" t="str">
            <v>34.500</v>
          </cell>
        </row>
        <row r="149">
          <cell r="A149">
            <v>5839141113</v>
          </cell>
          <cell r="I149" t="str">
            <v>13.800</v>
          </cell>
        </row>
        <row r="150">
          <cell r="A150">
            <v>5835284131</v>
          </cell>
          <cell r="I150" t="str">
            <v>34.500</v>
          </cell>
        </row>
        <row r="151">
          <cell r="A151">
            <v>5800440256</v>
          </cell>
          <cell r="I151" t="str">
            <v>34.500</v>
          </cell>
        </row>
        <row r="152">
          <cell r="A152">
            <v>5834839155</v>
          </cell>
          <cell r="I152" t="str">
            <v>34.500</v>
          </cell>
        </row>
        <row r="153">
          <cell r="A153">
            <v>5837543086</v>
          </cell>
          <cell r="I153" t="str">
            <v>34.500</v>
          </cell>
        </row>
        <row r="154">
          <cell r="A154">
            <v>5833725083</v>
          </cell>
          <cell r="I154" t="str">
            <v>34.500</v>
          </cell>
        </row>
        <row r="155">
          <cell r="A155">
            <v>5834625193</v>
          </cell>
          <cell r="I155" t="str">
            <v>34.500</v>
          </cell>
        </row>
        <row r="156">
          <cell r="A156">
            <v>5831914015</v>
          </cell>
          <cell r="I156" t="str">
            <v>34.500</v>
          </cell>
        </row>
        <row r="157">
          <cell r="A157">
            <v>5834913065</v>
          </cell>
          <cell r="I157" t="str">
            <v>13.800</v>
          </cell>
        </row>
        <row r="158">
          <cell r="A158">
            <v>5837992077</v>
          </cell>
          <cell r="I158" t="str">
            <v>13.800</v>
          </cell>
        </row>
        <row r="159">
          <cell r="A159">
            <v>5836448001</v>
          </cell>
          <cell r="I159" t="str">
            <v>13.800</v>
          </cell>
        </row>
        <row r="160">
          <cell r="A160">
            <v>5836764032</v>
          </cell>
          <cell r="I160" t="str">
            <v>34.500</v>
          </cell>
        </row>
        <row r="161">
          <cell r="A161">
            <v>5803327001</v>
          </cell>
          <cell r="I161" t="str">
            <v>13.800</v>
          </cell>
        </row>
        <row r="162">
          <cell r="A162">
            <v>5837741055</v>
          </cell>
          <cell r="I162" t="str">
            <v>34.500</v>
          </cell>
        </row>
        <row r="163">
          <cell r="A163">
            <v>5834837034</v>
          </cell>
          <cell r="I163" t="str">
            <v>34.500</v>
          </cell>
        </row>
        <row r="164">
          <cell r="A164">
            <v>5832406044</v>
          </cell>
          <cell r="I164" t="str">
            <v>34.500</v>
          </cell>
        </row>
        <row r="165">
          <cell r="A165">
            <v>5831240034</v>
          </cell>
          <cell r="I165" t="str">
            <v>34.500</v>
          </cell>
        </row>
        <row r="166">
          <cell r="A166">
            <v>5800843075</v>
          </cell>
          <cell r="I166" t="str">
            <v>34.500</v>
          </cell>
        </row>
        <row r="167">
          <cell r="A167">
            <v>5838053076</v>
          </cell>
          <cell r="I167" t="str">
            <v>13.800</v>
          </cell>
        </row>
        <row r="168">
          <cell r="A168">
            <v>5801866013</v>
          </cell>
          <cell r="I168" t="str">
            <v>13.800</v>
          </cell>
        </row>
        <row r="169">
          <cell r="A169">
            <v>5800559153</v>
          </cell>
          <cell r="I169" t="str">
            <v>34.500</v>
          </cell>
        </row>
        <row r="170">
          <cell r="A170">
            <v>5827277123</v>
          </cell>
          <cell r="I170" t="str">
            <v>34.500</v>
          </cell>
        </row>
        <row r="171">
          <cell r="A171">
            <v>5801773013</v>
          </cell>
          <cell r="I171" t="str">
            <v>13.800</v>
          </cell>
        </row>
        <row r="172">
          <cell r="A172">
            <v>5825122040</v>
          </cell>
          <cell r="I172" t="str">
            <v>34.500</v>
          </cell>
        </row>
        <row r="173">
          <cell r="A173">
            <v>5825743016</v>
          </cell>
          <cell r="I173" t="str">
            <v>13.800</v>
          </cell>
        </row>
        <row r="174">
          <cell r="A174">
            <v>5828060036</v>
          </cell>
          <cell r="I174" t="str">
            <v>13.800</v>
          </cell>
        </row>
        <row r="175">
          <cell r="A175">
            <v>5826450001</v>
          </cell>
          <cell r="I175" t="str">
            <v>13.800</v>
          </cell>
        </row>
        <row r="176">
          <cell r="A176">
            <v>5800961074</v>
          </cell>
          <cell r="I176" t="str">
            <v>34.500</v>
          </cell>
        </row>
        <row r="177">
          <cell r="A177">
            <v>5825703064</v>
          </cell>
          <cell r="I177" t="str">
            <v>34.500</v>
          </cell>
        </row>
        <row r="178">
          <cell r="A178" t="str">
            <v>RT SE CRISTALÂNDIA</v>
          </cell>
          <cell r="I178" t="str">
            <v>13.800</v>
          </cell>
        </row>
        <row r="179">
          <cell r="A179">
            <v>5823916001</v>
          </cell>
          <cell r="I179" t="str">
            <v>13.800</v>
          </cell>
        </row>
        <row r="180">
          <cell r="A180">
            <v>5800366078</v>
          </cell>
          <cell r="I180" t="str">
            <v>13.800</v>
          </cell>
        </row>
        <row r="181">
          <cell r="A181">
            <v>5822332110</v>
          </cell>
          <cell r="I181" t="str">
            <v>34.500</v>
          </cell>
        </row>
        <row r="182">
          <cell r="A182">
            <v>5827102054</v>
          </cell>
          <cell r="I182" t="str">
            <v>34.500</v>
          </cell>
        </row>
        <row r="183">
          <cell r="A183">
            <v>5826657122</v>
          </cell>
          <cell r="I183" t="str">
            <v>34.500</v>
          </cell>
        </row>
        <row r="184">
          <cell r="A184">
            <v>5800445049</v>
          </cell>
          <cell r="I184" t="str">
            <v>13.800</v>
          </cell>
        </row>
        <row r="185">
          <cell r="A185">
            <v>5800371025</v>
          </cell>
          <cell r="I185" t="str">
            <v>34.500</v>
          </cell>
        </row>
        <row r="186">
          <cell r="A186">
            <v>5800705023</v>
          </cell>
          <cell r="I186" t="str">
            <v>13.800</v>
          </cell>
        </row>
        <row r="187">
          <cell r="A187">
            <v>5822344043</v>
          </cell>
          <cell r="I187" t="str">
            <v>13.800</v>
          </cell>
        </row>
        <row r="188">
          <cell r="A188">
            <v>5815027029</v>
          </cell>
          <cell r="I188" t="str">
            <v>13.800</v>
          </cell>
        </row>
        <row r="189">
          <cell r="A189">
            <v>5800657026</v>
          </cell>
          <cell r="I189" t="str">
            <v>34.500</v>
          </cell>
        </row>
        <row r="190">
          <cell r="A190">
            <v>5800291077</v>
          </cell>
          <cell r="I190" t="str">
            <v>34.500</v>
          </cell>
        </row>
        <row r="191">
          <cell r="A191">
            <v>5800306104</v>
          </cell>
          <cell r="I191" t="str">
            <v>34.500</v>
          </cell>
        </row>
        <row r="192">
          <cell r="A192"/>
          <cell r="I192" t="str">
            <v/>
          </cell>
        </row>
        <row r="193">
          <cell r="A193"/>
          <cell r="I193" t="str">
            <v/>
          </cell>
        </row>
        <row r="194">
          <cell r="A194"/>
          <cell r="I194" t="str">
            <v/>
          </cell>
        </row>
        <row r="195">
          <cell r="A195"/>
          <cell r="I195" t="str">
            <v/>
          </cell>
        </row>
        <row r="196">
          <cell r="A196"/>
          <cell r="I196" t="str">
            <v/>
          </cell>
        </row>
        <row r="197">
          <cell r="A197"/>
          <cell r="I197" t="str">
            <v/>
          </cell>
        </row>
        <row r="198">
          <cell r="A198"/>
          <cell r="I198" t="str">
            <v/>
          </cell>
        </row>
        <row r="199">
          <cell r="A199"/>
          <cell r="I199" t="str">
            <v/>
          </cell>
        </row>
        <row r="200">
          <cell r="A200"/>
          <cell r="I200" t="str">
            <v/>
          </cell>
        </row>
        <row r="201">
          <cell r="A201"/>
          <cell r="I201" t="str">
            <v/>
          </cell>
        </row>
        <row r="202">
          <cell r="A202"/>
          <cell r="I202" t="str">
            <v/>
          </cell>
        </row>
        <row r="203">
          <cell r="A203"/>
          <cell r="I203" t="str">
            <v/>
          </cell>
        </row>
        <row r="204">
          <cell r="A204"/>
          <cell r="I204" t="str">
            <v/>
          </cell>
        </row>
        <row r="205">
          <cell r="A205"/>
          <cell r="I205" t="str">
            <v/>
          </cell>
        </row>
        <row r="206">
          <cell r="A206"/>
          <cell r="I206" t="str">
            <v/>
          </cell>
        </row>
        <row r="207">
          <cell r="A207"/>
          <cell r="I207" t="str">
            <v/>
          </cell>
        </row>
        <row r="208">
          <cell r="A208"/>
          <cell r="I208" t="str">
            <v/>
          </cell>
        </row>
        <row r="209">
          <cell r="A209"/>
          <cell r="I209" t="str">
            <v/>
          </cell>
        </row>
        <row r="210">
          <cell r="A210"/>
          <cell r="I210" t="str">
            <v/>
          </cell>
        </row>
        <row r="211">
          <cell r="A211"/>
          <cell r="I211" t="str">
            <v/>
          </cell>
        </row>
        <row r="212">
          <cell r="A212"/>
          <cell r="I212" t="str">
            <v/>
          </cell>
        </row>
        <row r="213">
          <cell r="A213"/>
          <cell r="I213" t="str">
            <v/>
          </cell>
        </row>
        <row r="214">
          <cell r="A214"/>
          <cell r="I214" t="str">
            <v/>
          </cell>
        </row>
        <row r="215">
          <cell r="A215"/>
          <cell r="I215" t="str">
            <v/>
          </cell>
        </row>
        <row r="216">
          <cell r="A216"/>
          <cell r="I216" t="str">
            <v/>
          </cell>
        </row>
        <row r="217">
          <cell r="A217"/>
          <cell r="I217" t="str">
            <v/>
          </cell>
        </row>
        <row r="218">
          <cell r="A218"/>
          <cell r="I218" t="str">
            <v/>
          </cell>
        </row>
        <row r="219">
          <cell r="A219"/>
          <cell r="I219" t="str">
            <v/>
          </cell>
        </row>
        <row r="220">
          <cell r="A220"/>
          <cell r="I220" t="str">
            <v/>
          </cell>
        </row>
        <row r="221">
          <cell r="A221"/>
          <cell r="I221" t="str">
            <v/>
          </cell>
        </row>
        <row r="222">
          <cell r="A222"/>
          <cell r="I222" t="str">
            <v/>
          </cell>
        </row>
        <row r="223">
          <cell r="A223"/>
          <cell r="I223" t="str">
            <v/>
          </cell>
        </row>
        <row r="224">
          <cell r="A224"/>
          <cell r="I224" t="str">
            <v/>
          </cell>
        </row>
        <row r="225">
          <cell r="A225"/>
          <cell r="I225" t="str">
            <v/>
          </cell>
        </row>
        <row r="226">
          <cell r="A226"/>
          <cell r="I226" t="str">
            <v/>
          </cell>
        </row>
        <row r="227">
          <cell r="A227"/>
          <cell r="I227" t="str">
            <v/>
          </cell>
        </row>
        <row r="228">
          <cell r="A228"/>
          <cell r="I228" t="str">
            <v/>
          </cell>
        </row>
        <row r="229">
          <cell r="A229"/>
          <cell r="I229" t="str">
            <v/>
          </cell>
        </row>
        <row r="230">
          <cell r="A230"/>
          <cell r="I230" t="str">
            <v/>
          </cell>
        </row>
        <row r="231">
          <cell r="A231"/>
          <cell r="I231" t="str">
            <v/>
          </cell>
        </row>
        <row r="232">
          <cell r="A232"/>
          <cell r="I232" t="str">
            <v/>
          </cell>
        </row>
        <row r="233">
          <cell r="A233"/>
          <cell r="I233" t="str">
            <v/>
          </cell>
        </row>
        <row r="234">
          <cell r="A234"/>
          <cell r="I234" t="str">
            <v/>
          </cell>
        </row>
        <row r="235">
          <cell r="A235"/>
          <cell r="I235" t="str">
            <v/>
          </cell>
        </row>
        <row r="236">
          <cell r="A236"/>
          <cell r="I236" t="str">
            <v/>
          </cell>
        </row>
        <row r="237">
          <cell r="A237"/>
          <cell r="I237" t="str">
            <v/>
          </cell>
        </row>
        <row r="238">
          <cell r="A238"/>
          <cell r="I238" t="str">
            <v/>
          </cell>
        </row>
        <row r="239">
          <cell r="A239"/>
          <cell r="I239" t="str">
            <v/>
          </cell>
        </row>
        <row r="240">
          <cell r="A240"/>
          <cell r="I240" t="str">
            <v/>
          </cell>
        </row>
        <row r="241">
          <cell r="A241"/>
          <cell r="I241" t="str">
            <v/>
          </cell>
        </row>
        <row r="242">
          <cell r="A242"/>
          <cell r="I242" t="str">
            <v/>
          </cell>
        </row>
        <row r="243">
          <cell r="A243"/>
          <cell r="I243" t="str">
            <v/>
          </cell>
        </row>
        <row r="244">
          <cell r="A244"/>
          <cell r="I244" t="str">
            <v/>
          </cell>
        </row>
        <row r="245">
          <cell r="A245"/>
          <cell r="I245" t="str">
            <v/>
          </cell>
        </row>
        <row r="246">
          <cell r="A246"/>
          <cell r="I246" t="str">
            <v/>
          </cell>
        </row>
        <row r="247">
          <cell r="A247"/>
          <cell r="I247" t="str">
            <v/>
          </cell>
        </row>
        <row r="248">
          <cell r="A248"/>
          <cell r="I248" t="str">
            <v/>
          </cell>
        </row>
        <row r="249">
          <cell r="A249"/>
          <cell r="I249" t="str">
            <v/>
          </cell>
        </row>
        <row r="250">
          <cell r="A250"/>
          <cell r="I250" t="str">
            <v/>
          </cell>
        </row>
        <row r="251">
          <cell r="A251"/>
          <cell r="I251" t="str">
            <v/>
          </cell>
        </row>
        <row r="252">
          <cell r="A252"/>
          <cell r="I252" t="str">
            <v/>
          </cell>
        </row>
        <row r="253">
          <cell r="A253"/>
          <cell r="I253" t="str">
            <v/>
          </cell>
        </row>
        <row r="254">
          <cell r="A254"/>
          <cell r="I254" t="str">
            <v/>
          </cell>
        </row>
        <row r="255">
          <cell r="A255"/>
          <cell r="I255" t="str">
            <v/>
          </cell>
        </row>
        <row r="256">
          <cell r="A256"/>
          <cell r="I256" t="str">
            <v/>
          </cell>
        </row>
        <row r="257">
          <cell r="A257"/>
          <cell r="I257" t="str">
            <v/>
          </cell>
        </row>
        <row r="258">
          <cell r="A258"/>
          <cell r="I258" t="str">
            <v/>
          </cell>
        </row>
        <row r="259">
          <cell r="A259"/>
          <cell r="I259" t="str">
            <v/>
          </cell>
        </row>
        <row r="260">
          <cell r="A260"/>
          <cell r="I260" t="str">
            <v/>
          </cell>
        </row>
        <row r="261">
          <cell r="A261"/>
          <cell r="I261" t="str">
            <v/>
          </cell>
        </row>
        <row r="262">
          <cell r="A262"/>
          <cell r="I262" t="str">
            <v/>
          </cell>
        </row>
        <row r="263">
          <cell r="A263"/>
          <cell r="I263" t="str">
            <v/>
          </cell>
        </row>
        <row r="264">
          <cell r="A264"/>
          <cell r="I264" t="str">
            <v/>
          </cell>
        </row>
        <row r="265">
          <cell r="A265"/>
          <cell r="I265" t="str">
            <v/>
          </cell>
        </row>
        <row r="266">
          <cell r="A266"/>
          <cell r="I266" t="str">
            <v/>
          </cell>
        </row>
        <row r="267">
          <cell r="A267"/>
          <cell r="I267" t="str">
            <v/>
          </cell>
        </row>
        <row r="268">
          <cell r="A268"/>
          <cell r="I268" t="str">
            <v/>
          </cell>
        </row>
        <row r="269">
          <cell r="A269"/>
          <cell r="I269" t="str">
            <v/>
          </cell>
        </row>
        <row r="270">
          <cell r="A270"/>
          <cell r="I270" t="str">
            <v/>
          </cell>
        </row>
        <row r="271">
          <cell r="A271"/>
          <cell r="I271" t="str">
            <v/>
          </cell>
        </row>
        <row r="272">
          <cell r="A272"/>
          <cell r="I272" t="str">
            <v/>
          </cell>
        </row>
        <row r="273">
          <cell r="A273"/>
          <cell r="I273" t="str">
            <v/>
          </cell>
        </row>
        <row r="274">
          <cell r="A274"/>
          <cell r="I274" t="str">
            <v/>
          </cell>
        </row>
        <row r="275">
          <cell r="A275"/>
          <cell r="I275" t="str">
            <v/>
          </cell>
        </row>
        <row r="276">
          <cell r="A276"/>
          <cell r="I276" t="str">
            <v/>
          </cell>
        </row>
        <row r="277">
          <cell r="A277"/>
          <cell r="I277" t="str">
            <v/>
          </cell>
        </row>
        <row r="278">
          <cell r="A278"/>
          <cell r="I278" t="str">
            <v/>
          </cell>
        </row>
        <row r="279">
          <cell r="A279"/>
          <cell r="I279" t="str">
            <v/>
          </cell>
        </row>
        <row r="280">
          <cell r="A280"/>
          <cell r="I280" t="str">
            <v/>
          </cell>
        </row>
        <row r="281">
          <cell r="A281"/>
          <cell r="I281" t="str">
            <v/>
          </cell>
        </row>
        <row r="282">
          <cell r="A282"/>
          <cell r="I282" t="str">
            <v/>
          </cell>
        </row>
        <row r="283">
          <cell r="A283"/>
          <cell r="I283" t="str">
            <v/>
          </cell>
        </row>
        <row r="284">
          <cell r="A284"/>
          <cell r="I284" t="str">
            <v/>
          </cell>
        </row>
        <row r="285">
          <cell r="A285"/>
          <cell r="I285" t="str">
            <v/>
          </cell>
        </row>
        <row r="286">
          <cell r="A286"/>
          <cell r="I286" t="str">
            <v/>
          </cell>
        </row>
        <row r="287">
          <cell r="A287"/>
          <cell r="I287" t="str">
            <v/>
          </cell>
        </row>
        <row r="288">
          <cell r="A288"/>
          <cell r="I288" t="str">
            <v/>
          </cell>
        </row>
        <row r="289">
          <cell r="A289"/>
          <cell r="I289" t="str">
            <v/>
          </cell>
        </row>
        <row r="290">
          <cell r="A290"/>
          <cell r="I290" t="str">
            <v/>
          </cell>
        </row>
        <row r="291">
          <cell r="A291"/>
          <cell r="I291" t="str">
            <v/>
          </cell>
        </row>
        <row r="292">
          <cell r="A292"/>
          <cell r="I292" t="str">
            <v/>
          </cell>
        </row>
        <row r="293">
          <cell r="A293"/>
          <cell r="I293" t="str">
            <v/>
          </cell>
        </row>
        <row r="294">
          <cell r="A294"/>
          <cell r="I294" t="str">
            <v/>
          </cell>
        </row>
        <row r="295">
          <cell r="A295"/>
          <cell r="I295" t="str">
            <v/>
          </cell>
        </row>
        <row r="296">
          <cell r="A296"/>
          <cell r="I296" t="str">
            <v/>
          </cell>
        </row>
        <row r="297">
          <cell r="A297"/>
          <cell r="I297" t="str">
            <v/>
          </cell>
        </row>
        <row r="298">
          <cell r="A298"/>
          <cell r="I298" t="str">
            <v/>
          </cell>
        </row>
        <row r="299">
          <cell r="A299"/>
          <cell r="I299" t="str">
            <v/>
          </cell>
        </row>
        <row r="300">
          <cell r="A300"/>
          <cell r="I300" t="str">
            <v/>
          </cell>
        </row>
        <row r="301">
          <cell r="A301"/>
          <cell r="I301" t="str">
            <v/>
          </cell>
        </row>
        <row r="302">
          <cell r="A302"/>
          <cell r="I302" t="str">
            <v/>
          </cell>
        </row>
        <row r="303">
          <cell r="A303"/>
          <cell r="I303" t="str">
            <v/>
          </cell>
        </row>
        <row r="304">
          <cell r="A304"/>
          <cell r="I304" t="str">
            <v/>
          </cell>
        </row>
        <row r="305">
          <cell r="A305"/>
          <cell r="I305" t="str">
            <v/>
          </cell>
        </row>
        <row r="306">
          <cell r="A306"/>
          <cell r="I306" t="str">
            <v/>
          </cell>
        </row>
        <row r="307">
          <cell r="A307"/>
          <cell r="I307" t="str">
            <v/>
          </cell>
        </row>
        <row r="308">
          <cell r="A308"/>
          <cell r="I308" t="str">
            <v/>
          </cell>
        </row>
        <row r="309">
          <cell r="A309"/>
          <cell r="I309" t="str">
            <v/>
          </cell>
        </row>
        <row r="310">
          <cell r="A310"/>
          <cell r="I310" t="str">
            <v/>
          </cell>
        </row>
        <row r="311">
          <cell r="A311"/>
          <cell r="I311" t="str">
            <v/>
          </cell>
        </row>
        <row r="312">
          <cell r="A312"/>
          <cell r="I312" t="str">
            <v/>
          </cell>
        </row>
        <row r="313">
          <cell r="A313"/>
          <cell r="I313" t="str">
            <v/>
          </cell>
        </row>
        <row r="314">
          <cell r="A314"/>
          <cell r="I314" t="str">
            <v/>
          </cell>
        </row>
        <row r="315">
          <cell r="A315"/>
          <cell r="I315" t="str">
            <v/>
          </cell>
        </row>
        <row r="316">
          <cell r="A316"/>
          <cell r="I316" t="str">
            <v/>
          </cell>
        </row>
        <row r="317">
          <cell r="A317"/>
          <cell r="I317" t="str">
            <v/>
          </cell>
        </row>
        <row r="318">
          <cell r="A318"/>
          <cell r="I318" t="str">
            <v/>
          </cell>
        </row>
        <row r="319">
          <cell r="A319"/>
          <cell r="I319" t="str">
            <v/>
          </cell>
        </row>
        <row r="320">
          <cell r="A320"/>
          <cell r="I320" t="str">
            <v/>
          </cell>
        </row>
        <row r="321">
          <cell r="A321"/>
          <cell r="I321" t="str">
            <v/>
          </cell>
        </row>
        <row r="322">
          <cell r="A322"/>
          <cell r="I322" t="str">
            <v/>
          </cell>
        </row>
        <row r="323">
          <cell r="A323"/>
          <cell r="I323" t="str">
            <v/>
          </cell>
        </row>
        <row r="324">
          <cell r="A324"/>
          <cell r="I324" t="str">
            <v/>
          </cell>
        </row>
        <row r="325">
          <cell r="A325"/>
          <cell r="I325" t="str">
            <v/>
          </cell>
        </row>
        <row r="326">
          <cell r="A326"/>
          <cell r="I326" t="str">
            <v/>
          </cell>
        </row>
        <row r="327">
          <cell r="A327"/>
          <cell r="I327" t="str">
            <v/>
          </cell>
        </row>
        <row r="328">
          <cell r="A328"/>
          <cell r="I328" t="str">
            <v/>
          </cell>
        </row>
        <row r="329">
          <cell r="A329"/>
          <cell r="I329" t="str">
            <v/>
          </cell>
        </row>
        <row r="330">
          <cell r="A330"/>
          <cell r="I330" t="str">
            <v/>
          </cell>
        </row>
        <row r="331">
          <cell r="A331"/>
          <cell r="I331" t="str">
            <v/>
          </cell>
        </row>
        <row r="332">
          <cell r="A332"/>
          <cell r="I332" t="str">
            <v/>
          </cell>
        </row>
        <row r="333">
          <cell r="A333"/>
          <cell r="I333" t="str">
            <v/>
          </cell>
        </row>
        <row r="334">
          <cell r="A334"/>
          <cell r="I334" t="str">
            <v/>
          </cell>
        </row>
        <row r="335">
          <cell r="A335"/>
          <cell r="I335" t="str">
            <v/>
          </cell>
        </row>
        <row r="336">
          <cell r="A336"/>
          <cell r="I336" t="str">
            <v/>
          </cell>
        </row>
        <row r="337">
          <cell r="A337"/>
          <cell r="I337" t="str">
            <v/>
          </cell>
        </row>
        <row r="338">
          <cell r="A338"/>
          <cell r="I338" t="str">
            <v/>
          </cell>
        </row>
        <row r="339">
          <cell r="A339"/>
          <cell r="I339" t="str">
            <v/>
          </cell>
        </row>
        <row r="340">
          <cell r="A340"/>
          <cell r="I340" t="str">
            <v/>
          </cell>
        </row>
        <row r="341">
          <cell r="A341"/>
          <cell r="I341" t="str">
            <v/>
          </cell>
        </row>
        <row r="342">
          <cell r="A342"/>
          <cell r="I342" t="str">
            <v/>
          </cell>
        </row>
        <row r="343">
          <cell r="A343"/>
          <cell r="I343" t="str">
            <v/>
          </cell>
        </row>
        <row r="344">
          <cell r="A344"/>
          <cell r="I344" t="str">
            <v/>
          </cell>
        </row>
        <row r="345">
          <cell r="A345"/>
          <cell r="I345" t="str">
            <v/>
          </cell>
        </row>
        <row r="346">
          <cell r="A346"/>
          <cell r="I346" t="str">
            <v/>
          </cell>
        </row>
        <row r="347">
          <cell r="A347"/>
          <cell r="I347" t="str">
            <v/>
          </cell>
        </row>
        <row r="348">
          <cell r="A348"/>
          <cell r="I348" t="str">
            <v/>
          </cell>
        </row>
        <row r="349">
          <cell r="A349"/>
          <cell r="I349" t="str">
            <v/>
          </cell>
        </row>
        <row r="350">
          <cell r="A350"/>
          <cell r="I350" t="str">
            <v/>
          </cell>
        </row>
        <row r="351">
          <cell r="A351"/>
          <cell r="I351" t="str">
            <v/>
          </cell>
        </row>
        <row r="352">
          <cell r="A352"/>
          <cell r="I352" t="str">
            <v/>
          </cell>
        </row>
        <row r="353">
          <cell r="A353"/>
          <cell r="I353" t="str">
            <v/>
          </cell>
        </row>
        <row r="354">
          <cell r="A354"/>
          <cell r="I354" t="str">
            <v/>
          </cell>
        </row>
        <row r="355">
          <cell r="A355"/>
          <cell r="I355" t="str">
            <v/>
          </cell>
        </row>
        <row r="356">
          <cell r="A356"/>
          <cell r="I356" t="str">
            <v/>
          </cell>
        </row>
        <row r="357">
          <cell r="A357"/>
          <cell r="I357" t="str">
            <v/>
          </cell>
        </row>
        <row r="358">
          <cell r="A358"/>
          <cell r="I358" t="str">
            <v/>
          </cell>
        </row>
        <row r="359">
          <cell r="A359"/>
          <cell r="I359" t="str">
            <v/>
          </cell>
        </row>
        <row r="360">
          <cell r="A360"/>
          <cell r="I360" t="str">
            <v/>
          </cell>
        </row>
        <row r="361">
          <cell r="A361"/>
          <cell r="I361" t="str">
            <v/>
          </cell>
        </row>
        <row r="362">
          <cell r="A362"/>
          <cell r="I362" t="str">
            <v/>
          </cell>
        </row>
        <row r="363">
          <cell r="A363"/>
          <cell r="I363" t="str">
            <v/>
          </cell>
        </row>
        <row r="364">
          <cell r="A364"/>
          <cell r="I364" t="str">
            <v/>
          </cell>
        </row>
        <row r="365">
          <cell r="A365"/>
          <cell r="I365" t="str">
            <v/>
          </cell>
        </row>
        <row r="366">
          <cell r="A366"/>
          <cell r="I366" t="str">
            <v/>
          </cell>
        </row>
        <row r="367">
          <cell r="A367"/>
          <cell r="I367" t="str">
            <v/>
          </cell>
        </row>
        <row r="368">
          <cell r="A368"/>
          <cell r="I368" t="str">
            <v/>
          </cell>
        </row>
        <row r="369">
          <cell r="A369"/>
          <cell r="I369" t="str">
            <v/>
          </cell>
        </row>
        <row r="370">
          <cell r="A370"/>
          <cell r="I370" t="str">
            <v/>
          </cell>
        </row>
        <row r="371">
          <cell r="A371"/>
          <cell r="I371" t="str">
            <v/>
          </cell>
        </row>
        <row r="372">
          <cell r="A372"/>
          <cell r="I372" t="str">
            <v/>
          </cell>
        </row>
        <row r="373">
          <cell r="A373"/>
          <cell r="I373" t="str">
            <v/>
          </cell>
        </row>
        <row r="374">
          <cell r="A374"/>
          <cell r="I374" t="str">
            <v/>
          </cell>
        </row>
        <row r="375">
          <cell r="A375"/>
          <cell r="I375" t="str">
            <v/>
          </cell>
        </row>
        <row r="376">
          <cell r="A376"/>
          <cell r="I376" t="str">
            <v/>
          </cell>
        </row>
        <row r="377">
          <cell r="A377"/>
          <cell r="I377" t="str">
            <v/>
          </cell>
        </row>
        <row r="378">
          <cell r="A378"/>
          <cell r="I378" t="str">
            <v/>
          </cell>
        </row>
        <row r="379">
          <cell r="A379"/>
          <cell r="I379" t="str">
            <v/>
          </cell>
        </row>
        <row r="380">
          <cell r="A380"/>
          <cell r="I380" t="str">
            <v/>
          </cell>
        </row>
        <row r="381">
          <cell r="A381"/>
          <cell r="I381" t="str">
            <v/>
          </cell>
        </row>
        <row r="382">
          <cell r="A382"/>
          <cell r="I382" t="str">
            <v/>
          </cell>
        </row>
        <row r="383">
          <cell r="A383"/>
          <cell r="I383" t="str">
            <v/>
          </cell>
        </row>
        <row r="384">
          <cell r="A384"/>
          <cell r="I384" t="str">
            <v/>
          </cell>
        </row>
        <row r="385">
          <cell r="A385"/>
          <cell r="I385" t="str">
            <v/>
          </cell>
        </row>
        <row r="386">
          <cell r="A386"/>
          <cell r="I386" t="str">
            <v/>
          </cell>
        </row>
        <row r="387">
          <cell r="A387"/>
          <cell r="I387" t="str">
            <v/>
          </cell>
        </row>
        <row r="388">
          <cell r="A388"/>
          <cell r="I388" t="str">
            <v/>
          </cell>
        </row>
        <row r="389">
          <cell r="A389"/>
          <cell r="I389" t="str">
            <v/>
          </cell>
        </row>
        <row r="390">
          <cell r="A390"/>
          <cell r="I390" t="str">
            <v/>
          </cell>
        </row>
        <row r="391">
          <cell r="A391"/>
          <cell r="I391" t="str">
            <v/>
          </cell>
        </row>
        <row r="392">
          <cell r="A392"/>
          <cell r="I392" t="str">
            <v/>
          </cell>
        </row>
        <row r="393">
          <cell r="A393"/>
          <cell r="I393" t="str">
            <v/>
          </cell>
        </row>
        <row r="394">
          <cell r="A394"/>
          <cell r="I394" t="str">
            <v/>
          </cell>
        </row>
        <row r="395">
          <cell r="A395"/>
          <cell r="I395" t="str">
            <v/>
          </cell>
        </row>
        <row r="396">
          <cell r="A396"/>
          <cell r="I396" t="str">
            <v/>
          </cell>
        </row>
        <row r="397">
          <cell r="A397"/>
          <cell r="I397" t="str">
            <v/>
          </cell>
        </row>
        <row r="398">
          <cell r="A398"/>
          <cell r="I398" t="str">
            <v/>
          </cell>
        </row>
        <row r="399">
          <cell r="A399"/>
          <cell r="I399" t="str">
            <v/>
          </cell>
        </row>
        <row r="400">
          <cell r="A400"/>
          <cell r="I400" t="str">
            <v/>
          </cell>
        </row>
        <row r="401">
          <cell r="A401"/>
          <cell r="I401" t="str">
            <v/>
          </cell>
        </row>
        <row r="402">
          <cell r="A402"/>
          <cell r="I402" t="str">
            <v/>
          </cell>
        </row>
        <row r="403">
          <cell r="A403"/>
          <cell r="I403" t="str">
            <v/>
          </cell>
        </row>
        <row r="404">
          <cell r="A404"/>
          <cell r="I404" t="str">
            <v/>
          </cell>
        </row>
        <row r="405">
          <cell r="A405"/>
          <cell r="I405" t="str">
            <v/>
          </cell>
        </row>
        <row r="406">
          <cell r="A406"/>
          <cell r="I406" t="str">
            <v/>
          </cell>
        </row>
        <row r="407">
          <cell r="A407"/>
          <cell r="I407" t="str">
            <v/>
          </cell>
        </row>
        <row r="408">
          <cell r="A408"/>
          <cell r="I408" t="str">
            <v/>
          </cell>
        </row>
        <row r="409">
          <cell r="A409"/>
          <cell r="I409" t="str">
            <v/>
          </cell>
        </row>
        <row r="410">
          <cell r="A410"/>
          <cell r="I410" t="str">
            <v/>
          </cell>
        </row>
        <row r="411">
          <cell r="A411"/>
          <cell r="I411" t="str">
            <v/>
          </cell>
        </row>
        <row r="412">
          <cell r="A412"/>
          <cell r="I412" t="str">
            <v/>
          </cell>
        </row>
        <row r="413">
          <cell r="A413"/>
          <cell r="I413" t="str">
            <v/>
          </cell>
        </row>
        <row r="414">
          <cell r="A414"/>
          <cell r="I414" t="str">
            <v/>
          </cell>
        </row>
        <row r="415">
          <cell r="A415"/>
          <cell r="I415" t="str">
            <v/>
          </cell>
        </row>
        <row r="416">
          <cell r="A416"/>
          <cell r="I416" t="str">
            <v/>
          </cell>
        </row>
        <row r="417">
          <cell r="A417"/>
          <cell r="I417" t="str">
            <v/>
          </cell>
        </row>
        <row r="418">
          <cell r="A418"/>
          <cell r="I418" t="str">
            <v/>
          </cell>
        </row>
        <row r="419">
          <cell r="A419"/>
          <cell r="I419" t="str">
            <v/>
          </cell>
        </row>
        <row r="420">
          <cell r="A420"/>
          <cell r="I420" t="str">
            <v/>
          </cell>
        </row>
        <row r="421">
          <cell r="A421"/>
          <cell r="I421" t="str">
            <v/>
          </cell>
        </row>
        <row r="422">
          <cell r="A422"/>
          <cell r="I422" t="str">
            <v/>
          </cell>
        </row>
        <row r="423">
          <cell r="A423"/>
          <cell r="I423" t="str">
            <v/>
          </cell>
        </row>
        <row r="424">
          <cell r="A424"/>
          <cell r="I424" t="str">
            <v/>
          </cell>
        </row>
        <row r="425">
          <cell r="A425"/>
          <cell r="I425" t="str">
            <v/>
          </cell>
        </row>
        <row r="426">
          <cell r="A426"/>
          <cell r="I426" t="str">
            <v/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0.739432870374" createdVersion="8" refreshedVersion="8" minRefreshableVersion="3" recordCount="90" xr:uid="{1F9B830F-62E0-47F7-8840-9A23C00946AA}">
  <cacheSource type="worksheet">
    <worksheetSource name="Tabela3"/>
  </cacheSource>
  <cacheFields count="18">
    <cacheField name="Ano/TIPO" numFmtId="0">
      <sharedItems count="4">
        <s v="RL 2025"/>
        <s v="RT 2025"/>
        <s v="RT 2026"/>
        <s v="RL 2026"/>
      </sharedItems>
    </cacheField>
    <cacheField name="Equipamento" numFmtId="0">
      <sharedItems count="2">
        <s v="RL"/>
        <s v="RT"/>
      </sharedItems>
    </cacheField>
    <cacheField name="Mensal" numFmtId="10">
      <sharedItems containsSemiMixedTypes="0" containsString="0" containsNumber="1" minValue="1.56128024980484E-3" maxValue="4.6057767369242782E-2"/>
    </cacheField>
    <cacheField name="Parque" numFmtId="0">
      <sharedItems containsSemiMixedTypes="0" containsString="0" containsNumber="1" containsInteger="1" minValue="1281" maxValue="1294"/>
    </cacheField>
    <cacheField name="Ativo" numFmtId="0">
      <sharedItems/>
    </cacheField>
    <cacheField name="SS" numFmtId="0">
      <sharedItems/>
    </cacheField>
    <cacheField name="Tensão" numFmtId="0">
      <sharedItems count="3">
        <s v="34.500"/>
        <s v="13.800"/>
        <e v="#N/A"/>
      </sharedItems>
    </cacheField>
    <cacheField name="Data" numFmtId="0">
      <sharedItems/>
    </cacheField>
    <cacheField name="Mês" numFmtId="0">
      <sharedItems count="12">
        <s v="março"/>
        <s v="outubro"/>
        <s v="setembro"/>
        <s v="abril"/>
        <s v="julho"/>
        <s v="fevereiro"/>
        <s v="junho"/>
        <s v="maio"/>
        <s v="agosto"/>
        <s v="dezembro"/>
        <s v="janeiro"/>
        <s v="nov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Concat" numFmtId="0">
      <sharedItems/>
    </cacheField>
    <cacheField name="Peça (modo)" numFmtId="0">
      <sharedItems/>
    </cacheField>
    <cacheField name="Troca feita" numFmtId="0">
      <sharedItems/>
    </cacheField>
    <cacheField name="Causa raiz" numFmtId="0">
      <sharedItems/>
    </cacheField>
    <cacheField name="Citação do texto da SS" numFmtId="0">
      <sharedItems/>
    </cacheField>
    <cacheField name="Nota do analista" numFmtId="0">
      <sharedItems longText="1"/>
    </cacheField>
    <cacheField name="Revisão" numFmtId="0">
      <sharedItems containsBlank="1" longText="1"/>
    </cacheField>
    <cacheField name="Coluna1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o Padilha Dias Junior" refreshedDate="46261.664127546297" createdVersion="8" refreshedVersion="8" minRefreshableVersion="3" recordCount="143" xr:uid="{BD4F9754-802E-4B1E-B8E1-B5E101A5B14F}">
  <cacheSource type="worksheet">
    <worksheetSource name="Tabela4"/>
  </cacheSource>
  <cacheFields count="18">
    <cacheField name="Situação" numFmtId="0">
      <sharedItems/>
    </cacheField>
    <cacheField name="Ativo" numFmtId="0">
      <sharedItems containsMixedTypes="1" containsNumber="1" containsInteger="1" minValue="5800291035" maxValue="5800291035"/>
    </cacheField>
    <cacheField name="Tipo" numFmtId="0">
      <sharedItems count="2">
        <s v="regulador"/>
        <s v="religador"/>
      </sharedItems>
    </cacheField>
    <cacheField name="Localidade" numFmtId="0">
      <sharedItems/>
    </cacheField>
    <cacheField name="Criticidade" numFmtId="0">
      <sharedItems/>
    </cacheField>
    <cacheField name="SS" numFmtId="0">
      <sharedItems count="143">
        <s v="ETO-COEP 00174/2026"/>
        <s v="ETO-COEP 00169/2026"/>
        <s v="ETO-COEP 00221/2025"/>
        <s v="ETO-COEP 00149/2026"/>
        <s v="ETO-COEP 00153/2026"/>
        <s v="ETO-COEP 00095/2026"/>
        <s v="ETO-COEP 00151/2026"/>
        <s v="ETO-COEP 00156/2026"/>
        <s v="ETO-COEP 00160/2026"/>
        <s v="ETO-COEP 00164/2026"/>
        <s v="ETO-COEP 00158/2026"/>
        <s v="ETO-COEP 00087/2026"/>
        <s v="ETO-COEP 00125/2026"/>
        <s v="ETO-COEP 00173/2025"/>
        <s v="ETO-COEP 00061/2026"/>
        <s v="ETO-COEP 00184/2025"/>
        <s v="ETO-COEP 00152/2026"/>
        <s v="ETO-COEP 00168/2026"/>
        <s v="ETO-COEP 00038/2026"/>
        <s v="ETO-COEP 00175/2026"/>
        <s v="ETO-COEP 00154/2026"/>
        <s v="ETO-COEP 00114/2026"/>
        <s v="ETO-COEP 00013/2023 | ETO-COEP 00063/2023"/>
        <s v="ETO-COEP 00159/2026"/>
        <s v="ETO-COEP 00120/2025"/>
        <s v="ETO-COEP 00132/2026"/>
        <s v="ETO-COEP 00124/2026"/>
        <s v="ETO-COEP 00011/2023"/>
        <s v="ETO-COEP 00148/2026"/>
        <s v="ETO-COEP 00058/2026"/>
        <s v="ETO-COEP 00059/2026"/>
        <s v="ETO-COEP 00048/2026"/>
        <s v="ETO-COEP 00078/2026"/>
        <s v="ETO-COEP 00051/2026"/>
        <s v="ETO-COEP 00045/2026"/>
        <s v="ETO-COEP 00141/2026"/>
        <s v="ETO-COEP 00143/2025"/>
        <s v="ETO-COEP 00029/2026"/>
        <s v="ETO-COEP 00157/2026"/>
        <s v="ETO-COEP 00128/2026"/>
        <s v="ETO-COEP 00123/2026"/>
        <s v="ETO-COEP 00138/2026"/>
        <s v="ETO-COEP 00150/2026"/>
        <s v="ETO-COEP 00040/2026"/>
        <s v="ETO-COEP 00024/2026"/>
        <s v="ETO-COEP 00129/2026"/>
        <s v="ETO-COEP 00144/2026"/>
        <s v="ETO-COEP 00158/2025"/>
        <s v="ETO-COEP 00063/2026"/>
        <s v="ETO-COEP 00131/2026"/>
        <s v="ETO-COEP 00147/2026"/>
        <s v="ETO-COEP 00176/2026"/>
        <s v="ETO-COEP 00134/2026"/>
        <s v="ETO-COEP 00133/2026"/>
        <s v="ETO-TELE 01040/2026"/>
        <s v="ETO-TELE 00986/2026"/>
        <s v="ETO-PROT 00158/2026"/>
        <s v="ETO-RD-DP 00479/2026"/>
        <s v="ETO-SE-PCM 00091/2026"/>
        <s v="ETO-PROT 00154/2026"/>
        <s v="ETO-SE-PCM 00090/2026"/>
        <s v="ETO-PROT 00153/2026"/>
        <s v="ETO-SE-PA 00107/2026"/>
        <s v="ETO-RD-PA 00352/2026"/>
        <s v="ETO-PROT 00159/2026"/>
        <s v="ETO-RD-DP 00409/2026"/>
        <s v="ETO-PROT 00152/2026"/>
        <s v="ETO-PROT 00156/2026"/>
        <s v="ETO-TELE 01107/2026"/>
        <s v="ETO-SE-PCM 00092/2026"/>
        <s v="ETO-PROT 00155/2026"/>
        <s v="ETO-PROT 00157/2026"/>
        <s v="ETO-COEP 00117/2026"/>
        <s v="ETO-TELE 00413/2026"/>
        <s v="ETO-TELE 00804/2026"/>
        <s v="ETO-TELE 01039/2026"/>
        <s v="ETO-TELE 01037/2026"/>
        <s v="ETO-RD-PS 00303/2026"/>
        <s v="ETO-COEP 00202/2025"/>
        <s v="ETO-RD-PS 00289/2026"/>
        <s v="ETO-COEP 00126/2024"/>
        <s v="ETO-COEP 00198/2025"/>
        <s v="ETO-TELE 00807/2026"/>
        <s v="ETO-COEP 00197/2025"/>
        <s v="ETO-RD-AR 01131/2026"/>
        <s v="ETO-COEP 00127/2026"/>
        <s v="ETO-RD-PS 00261/2026"/>
        <s v="ETO-COEP 00109/2026"/>
        <s v="ETO-COEP 00025/2026"/>
        <s v="ETO-COEP 00106/2025"/>
        <s v="ETO-COEP 00182/2025"/>
        <s v="ETO-COEP 00101/2025"/>
        <s v="ETO-COEP 00112/2025"/>
        <s v="ETO-COEP 00176/2025"/>
        <s v="ETO-PROT 00094/2026"/>
        <s v="ETO-COEP 00217/2025"/>
        <s v="ETO-COEP 00170/2025"/>
        <s v="ETO-TELE 00215/2026"/>
        <s v="ETO-COEP 00100/2025"/>
        <s v="ETO-TELE 00872/2026"/>
        <s v="ETO-RD-PS 00114/2025"/>
        <s v="ETO-COEP 00114/2025"/>
        <s v="ETO-PROT 00136/2026"/>
        <s v="ETO-COEP 00102/2025"/>
        <s v="ETO-RD-PS 00112/2025"/>
        <s v="ETO-RD-AR 00764/2026"/>
        <s v="ETO-RD-AR 01243/2026"/>
        <s v="ETO-COEP 00115/2025"/>
        <s v="ETO-COEP 00152/2025"/>
        <s v="ETO-COEP 00063/2025"/>
        <s v="ETO-TELE 00959/2026"/>
        <s v="ETO-RD-PA 00331/2025"/>
        <s v="ETO-TELE 00324/2026"/>
        <s v="ETO-PROT 00135/2026"/>
        <s v="ETO-COEP 00119/2025"/>
        <s v="ETO-COEP 00189/2025"/>
        <s v="ETO-RD-AR 00838/2026"/>
        <s v="ETO-RD-PO 00180/2026"/>
        <s v="ETO-PROT 00074/2026"/>
        <s v="ETO-TELE 01025/2026"/>
        <s v="ETO-TELE 01024/2026"/>
        <s v="ETO-COEP 00094/2025"/>
        <s v="ETO-TELE 00962/2026"/>
        <s v="ETO-COEP 00162/2024"/>
        <s v="ETO-COEP 00181/2025"/>
        <s v="ETO-COEP 00201/2025"/>
        <s v="ETO-COEP 00099/2025"/>
        <s v="ETO-COEP 00137/2026"/>
        <s v="ETO-COEP 00125/2024"/>
        <s v="ETO-TELE 00964/2026"/>
        <s v="ETO-TELE 00961/2026"/>
        <s v="ETO-COEP 00152/2024"/>
        <s v="ETO-COEP 00091/2025"/>
        <s v="ETO-COEP 00157/2024"/>
        <s v="ETO-COEP 00145/2026"/>
        <s v="ETO-TELE 00362/2026"/>
        <s v="ETO-TELE 00879/2026"/>
        <s v="ETO-COEP 00170/2024"/>
        <s v="ETO-TELE 00936/2026"/>
        <s v="ETO-COEP 00049/2026"/>
        <s v="ETO-RD-AR 00444/2026"/>
        <s v="ETO-TELE 00181/2026"/>
        <s v="ETO-RD-AG 00670/2026"/>
      </sharedItems>
    </cacheField>
    <cacheField name="Prazo do SLA Dias" numFmtId="0">
      <sharedItems containsNonDate="0" containsString="0" containsBlank="1" count="1">
        <m/>
      </sharedItems>
    </cacheField>
    <cacheField name="SS COCM" numFmtId="0">
      <sharedItems containsNonDate="0" containsString="0" containsBlank="1"/>
    </cacheField>
    <cacheField name="Desde" numFmtId="165">
      <sharedItems/>
    </cacheField>
    <cacheField name="Ano" numFmtId="165">
      <sharedItems count="3">
        <s v="2026"/>
        <s v="2025"/>
        <s v="2023"/>
      </sharedItems>
    </cacheField>
    <cacheField name="Dias" numFmtId="0">
      <sharedItems containsSemiMixedTypes="0" containsString="0" containsNumber="1" containsInteger="1" minValue="1" maxValue="1301"/>
    </cacheField>
    <cacheField name="Resolveu e voltou" numFmtId="0">
      <sharedItems containsBlank="1" count="2">
        <s v="SIM"/>
        <m/>
      </sharedItems>
    </cacheField>
    <cacheField name="Como terminou" numFmtId="0">
      <sharedItems containsBlank="1" count="3">
        <m/>
        <s v="SS CANCELADA"/>
        <s v="SS ATENDIDA"/>
      </sharedItems>
    </cacheField>
    <cacheField name="Posto que fechou" numFmtId="0">
      <sharedItems containsBlank="1" count="9">
        <m/>
        <s v="ETO-COEP"/>
        <s v="ETO-TELE"/>
        <s v="ETO-RD-PS"/>
        <s v="ETO-RD-AR"/>
        <s v="ETO-PROT"/>
        <s v="ETO-RD-PA"/>
        <s v="ETO-RD-PO"/>
        <s v="ETO-RD-AG"/>
      </sharedItems>
    </cacheField>
    <cacheField name="Realizado DCMD" numFmtId="0">
      <sharedItems containsBlank="1" count="2">
        <m/>
        <s v="sim"/>
      </sharedItems>
    </cacheField>
    <cacheField name="Onde está" numFmtId="0">
      <sharedItems containsBlank="1"/>
    </cacheField>
    <cacheField name="Etapa" numFmtId="0">
      <sharedItems containsBlank="1" count="4">
        <m/>
        <s v="comissionamento — parte do COEP concluída"/>
        <s v="ajuste de proteção — parte do COEP concluída"/>
        <s v="execução com os COCMs"/>
      </sharedItems>
    </cacheField>
    <cacheField name="Nota" numFmtId="0">
      <sharedItems containsBlank="1" count="23" longText="1">
        <s v="resolveu uma demanda no ano e voltou — conta aqui, não nos resolvidos. A resolvida: SS ATENDIDA em 24/03/2026 (ETO-TELE)."/>
        <m/>
        <s v="resolveu uma demanda no ano e voltou — conta aqui, não nos resolvidos. A resolvida: SS CANCELADA em 11/08/2026 (ETO-COEP)."/>
        <s v="resolveu uma demanda no ano e voltou — conta aqui, não nos resolvidos. A resolvida: SS ATENDIDA em 07/07/2026 (ETO-TELE)."/>
        <s v="resolveu uma demanda no ano e voltou — conta aqui, não nos resolvidos. A resolvida: SS ATENDIDA em 17/06/2026 (ETO-TELE)."/>
        <s v="resolveu uma demanda no ano e voltou — conta aqui, não nos resolvidos. A resolvida: SS CANCELADA em 17/06/2026 (ETO-COEP)."/>
        <s v="resolveu uma demanda no ano e voltou — conta aqui, não nos resolvidos. A resolvida: SS CANCELADA em 16/06/2026 (ETO-COEP)."/>
        <s v="resolveu uma demanda no ano e voltou — conta aqui, não nos resolvidos. A resolvida: SS ATENDIDA em 08/07/2026 (ETO-TELE)."/>
        <s v="resolveu uma demanda no ano e voltou — conta aqui, não nos resolvidos. A resolvida: SS ATENDIDA em 18/03/2026 (ETO-TELE)."/>
        <s v="resolveu uma demanda no ano e voltou — conta aqui, não nos resolvidos. A resolvida: SS ATENDIDA em 09/04/2026 (ETO-TELE)."/>
        <s v="SS PENDENTE"/>
        <s v="cancelada, com leitura que confirma volta à operação"/>
        <s v="SS atendida — serviço executado; a nota aberta depois é reincidência, demanda nova · nota pendente em outro posto (ETO-TELE 00498/2026 (ETO-TELE), ETO-RD-AR 00841/2026 (ETO-RD-AR), ETO-TELE 00854/2026 (ETO-TELE)) — outra frente, não derruba (régua 22/08)"/>
        <s v="SS atendida — serviço executado"/>
        <s v="SS atendida — serviço executado · nota pendente em outro posto (ETO-PROT 00151/2026 (ETO-PROT)) — outra frente, não derruba (régua 22/08)"/>
        <s v="resolvido por cancelamento — nenhuma nota nova no COEP depois"/>
        <s v="SS atendida — serviço executado · nota pendente em outro posto (ETO-PROT 00164/2026 (ETO-PROT)) — outra frente, não derruba (régua 22/08)"/>
        <s v="SS atendida — serviço executado · nota pendente em outro posto (ETO-RD-AR 01168/2026 (ETO-RD-AR), ETO-TELE 01036/2026 (ETO-TELE), ETO-TELE 01102/2026 (ETO-TELE)) — outra frente, não derruba (régua 22/08)"/>
        <s v="resolvido por cancelamento — nenhuma nota nova no COEP depois · nota pendente em outro posto (ETO-TELE 01093/2026 (ETO-TELE)) — outra frente, não derruba (régua 22/08)"/>
        <s v="SS atendida — serviço executado · nota pendente em outro posto (ETO-RD-DP 00491/2026 (ETO-RD-DP), ETO-PROT 00165/2026 (ETO-PROT), ETO-RD-DP 00485/2026 (ETO-RD-DP)) — outra frente, não derruba (régua 22/08)"/>
        <s v="SS atendida — serviço executado; a nota aberta depois é reincidência, demanda nova"/>
        <s v="SS atendida — serviço executado · nota pendente em outro posto (ETO-TELE 00896/2026 (ETO-TELE)) — outra frente, não derruba (régua 22/08)"/>
        <s v="SS atendida — serviço executado; a nota aberta depois é reincidência, demanda nova · nota pendente em outro posto (ETO-RD-AG 00630/2026 (ETO-RD-AG), ETO-RD-AG 00670/2026 (ETO-RD-AG), ETO-RD-AR 01070/2026 (ETO-RD-AR)) — outra frente, não derruba (régua 22/08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2.673983680557" createdVersion="8" refreshedVersion="8" minRefreshableVersion="3" recordCount="53" xr:uid="{F5C31003-088B-4FBA-825B-3138AA93A539}">
  <cacheSource type="worksheet">
    <worksheetSource name="Table1"/>
  </cacheSource>
  <cacheFields count="30">
    <cacheField name="Ativo" numFmtId="0">
      <sharedItems/>
    </cacheField>
    <cacheField name="Tipo" numFmtId="0">
      <sharedItems count="2">
        <s v="79"/>
        <s v="58"/>
      </sharedItems>
    </cacheField>
    <cacheField name="SS SGM" numFmtId="0">
      <sharedItems/>
    </cacheField>
    <cacheField name="Criticidade" numFmtId="0">
      <sharedItems count="5">
        <s v="Muito Alta"/>
        <s v="Alta"/>
        <s v="Média"/>
        <s v="Baixa"/>
        <s v="Falta definir"/>
      </sharedItems>
    </cacheField>
    <cacheField name="Status" numFmtId="0">
      <sharedItems count="7">
        <s v="Gerado PMA"/>
        <s v="Em execução"/>
        <s v="Em logistica (N1&gt;N3)"/>
        <s v="Avaliar compra"/>
        <s v="Reforma"/>
        <s v="Em compra" u="1"/>
        <s v="A realizar (COCM)" u="1"/>
      </sharedItems>
    </cacheField>
    <cacheField name="Defeito" numFmtId="0">
      <sharedItems/>
    </cacheField>
    <cacheField name="Orçamento MO" numFmtId="44">
      <sharedItems containsSemiMixedTypes="0" containsString="0" containsNumber="1" minValue="0" maxValue="200637"/>
    </cacheField>
    <cacheField name="Orçamento MAT" numFmtId="44">
      <sharedItems containsSemiMixedTypes="0" containsString="0" containsNumber="1" minValue="15000" maxValue="293949.59999999998"/>
    </cacheField>
    <cacheField name="Orçamento Total" numFmtId="44">
      <sharedItems containsSemiMixedTypes="0" containsString="0" containsNumber="1" minValue="15000" maxValue="494586.6"/>
    </cacheField>
    <cacheField name="PMA" numFmtId="0">
      <sharedItems containsNonDate="0" containsString="0" containsBlank="1"/>
    </cacheField>
    <cacheField name="Entregue N1?" numFmtId="0">
      <sharedItems containsNonDate="0" containsString="0" containsBlank="1"/>
    </cacheField>
    <cacheField name="Gerado Obra?" numFmtId="0">
      <sharedItems containsNonDate="0" containsString="0" containsBlank="1"/>
    </cacheField>
    <cacheField name="Gerado EMD?" numFmtId="0">
      <sharedItems containsNonDate="0" containsString="0" containsBlank="1"/>
    </cacheField>
    <cacheField name="Entregue N3?" numFmtId="0">
      <sharedItems containsNonDate="0" containsString="0" containsBlank="1"/>
    </cacheField>
    <cacheField name="Concluído COCM?" numFmtId="0">
      <sharedItems containsNonDate="0" containsString="0" containsBlank="1"/>
    </cacheField>
    <cacheField name="Enviado para Cadastro" numFmtId="0">
      <sharedItems containsNonDate="0" containsString="0" containsBlank="1"/>
    </cacheField>
    <cacheField name="Estudo Proteção" numFmtId="0">
      <sharedItems containsNonDate="0" containsString="0" containsBlank="1"/>
    </cacheField>
    <cacheField name="Repassado ao DMSL?" numFmtId="0">
      <sharedItems containsNonDate="0" containsString="0" containsBlank="1"/>
    </cacheField>
    <cacheField name="Comissionado?" numFmtId="0">
      <sharedItems containsNonDate="0" containsString="0" containsBlank="1"/>
    </cacheField>
    <cacheField name="Índice" numFmtId="1">
      <sharedItems containsSemiMixedTypes="0" containsString="0" containsNumber="1" containsInteger="1" minValue="5" maxValue="145"/>
    </cacheField>
    <cacheField name="SLA_Total" numFmtId="1">
      <sharedItems containsString="0" containsBlank="1" containsNumber="1" containsInteger="1" minValue="12" maxValue="134"/>
    </cacheField>
    <cacheField name="Dias Pendente" numFmtId="1">
      <sharedItems containsSemiMixedTypes="0" containsString="0" containsNumber="1" containsInteger="1" minValue="21" maxValue="521"/>
    </cacheField>
    <cacheField name="Status Atendimento" numFmtId="0">
      <sharedItems/>
    </cacheField>
    <cacheField name="Responsável" numFmtId="0">
      <sharedItems/>
    </cacheField>
    <cacheField name="Status Prazo" numFmtId="0">
      <sharedItems/>
    </cacheField>
    <cacheField name="Coluna1" numFmtId="0">
      <sharedItems containsNonDate="0" containsString="0" containsBlank="1"/>
    </cacheField>
    <cacheField name="Alimentador" numFmtId="0">
      <sharedItems/>
    </cacheField>
    <cacheField name="Município" numFmtId="0">
      <sharedItems/>
    </cacheField>
    <cacheField name="Polo" numFmtId="0">
      <sharedItems/>
    </cacheField>
    <cacheField name="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3.1225604996096799E-3"/>
    <n v="1281"/>
    <s v="7900230155"/>
    <s v="ETO-COEP 00056/2025"/>
    <x v="0"/>
    <s v="29/03/2025"/>
    <x v="0"/>
    <x v="0"/>
    <s v="2025março"/>
    <s v="completo"/>
    <s v="sim"/>
    <s v="CURTO-CIRCUITO INTERNO"/>
    <s v="«Não responde a comandos abertura e fechamento local ou remoto, pois está com sinal de curto circuito»"/>
    <s v="Tanque danificado com sinal de curto-circuito bloqueando comandos; o para-raios do trafo queimado junto sugere surto, mas o laudo não afirma descarga."/>
    <m/>
    <m/>
  </r>
  <r>
    <x v="0"/>
    <x v="0"/>
    <n v="2.3419203747072601E-2"/>
    <n v="1281"/>
    <s v="7900573047"/>
    <s v="ETO-COEP 00080/2026"/>
    <x v="1"/>
    <s v="09/10/2025"/>
    <x v="1"/>
    <x v="0"/>
    <s v="2025outubro"/>
    <s v="completo"/>
    <s v="não"/>
    <s v="CURTO-CIRCUITO INTERNO"/>
    <s v="«o mesmo estar em curto conforme fotos anexadas»"/>
    <s v="Relato de campo com fotos dá o equipamento em curto e o DMSL constata parte ativa, placa, tanque e relé queimados — curto como mecanismo; origem não descrita."/>
    <m/>
    <m/>
  </r>
  <r>
    <x v="0"/>
    <x v="0"/>
    <n v="2.0296643247462921E-2"/>
    <n v="1281"/>
    <s v="7908196047"/>
    <s v="ETO-COEP 00215/2025"/>
    <x v="1"/>
    <s v="29/09/2025"/>
    <x v="2"/>
    <x v="0"/>
    <s v="2025setembro"/>
    <s v="completo"/>
    <s v="não"/>
    <s v="CURTO-CIRCUITO INTERNO"/>
    <s v="«Constatado curto-circuito no tanque do religador, impedindo as operações de abertura e fechamento do equipamento»"/>
    <s v="Diagnóstico DMSL explícito de curto-circuito no tanque travando abertura/fechamento; a origem do curto não é detalhada."/>
    <m/>
    <m/>
  </r>
  <r>
    <x v="0"/>
    <x v="0"/>
    <n v="4.6838407494145199E-3"/>
    <n v="1281"/>
    <s v="7923927122"/>
    <s v="ETO-COEP 00079/2025"/>
    <x v="0"/>
    <s v="27/04/2025"/>
    <x v="3"/>
    <x v="0"/>
    <s v="2025abril"/>
    <s v="tanque"/>
    <s v="não"/>
    <s v="CURTO-CIRCUITO INTERNO"/>
    <s v="«substituir tanque do RL-7923927122 em curto, Anomalia identificada desarme das LD»"/>
    <s v="Tanque em curto derrubando as LDs Palmas/Aparecida e Taquaruçu — curto interno como mecanismo; origem não descrita."/>
    <m/>
    <m/>
  </r>
  <r>
    <x v="0"/>
    <x v="0"/>
    <n v="1.7174082747853241E-2"/>
    <n v="1281"/>
    <s v="7928241200"/>
    <s v="ETO-COEP 00139/2025"/>
    <x v="0"/>
    <s v="04/07/2025"/>
    <x v="4"/>
    <x v="0"/>
    <s v="2025julho"/>
    <s v="tanque"/>
    <s v="não"/>
    <s v="CURTO-CIRCUITO INTERNO"/>
    <s v="«fizemos ensaios elétricos e foi constatado que o tanque está em curto»"/>
    <s v="Ensaios elétricos constataram o tanque em curto depois de o equipamento tirar a linha — curto interno como mecanismo; origem não descrita."/>
    <m/>
    <m/>
  </r>
  <r>
    <x v="0"/>
    <x v="0"/>
    <n v="2.3419203747072601E-2"/>
    <n v="1281"/>
    <s v="7931610122"/>
    <s v="ETO-COEP 00083/2026"/>
    <x v="1"/>
    <s v="10/10/2025"/>
    <x v="1"/>
    <x v="0"/>
    <s v="2025outubro"/>
    <s v="tanque"/>
    <s v="sim"/>
    <s v="CURTO-CIRCUITO INTERNO"/>
    <s v="«Houve um curto no equipamento danificando a parte ativa, e antena!»"/>
    <s v="Curto no equipamento danificou parte ativa e antena; o texto não localiza a origem (dano simultâneo na antena até sugere surto externo, não afirmado)."/>
    <m/>
    <m/>
  </r>
  <r>
    <x v="0"/>
    <x v="0"/>
    <n v="2.3419203747072601E-2"/>
    <n v="1281"/>
    <s v="7933766059"/>
    <s v="ETO-COEP 00082/2026"/>
    <x v="1"/>
    <s v="08/10/2025"/>
    <x v="1"/>
    <x v="0"/>
    <s v="2025outubro"/>
    <s v="tanque"/>
    <s v="sim"/>
    <s v="CURTO-CIRCUITO INTERNO"/>
    <s v="«Houve um curto na parte ativa do equipamento danificando a mesma, será necessário fazer a substituição somente do tanque, parte ativa.»"/>
    <s v="O DMSL afirma curto na própria parte ativa danificando-a — mecanismo explícito; a origem do curto não é detalhada."/>
    <s v="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"/>
    <m/>
  </r>
  <r>
    <x v="0"/>
    <x v="0"/>
    <n v="2.3419203747072601E-2"/>
    <n v="1281"/>
    <s v="7900594026"/>
    <s v="ETO-COEP 00210/2025"/>
    <x v="0"/>
    <s v="15/10/2025"/>
    <x v="1"/>
    <x v="0"/>
    <s v="2025outubro"/>
    <s v="controle"/>
    <s v="sim"/>
    <s v="DEFEITO ELETRÔNICO (CONTROLE/PLACA/RELÉ)"/>
    <s v="«o equipamento está com falha na porta de comunicação serial RS 232»"/>
    <s v="Falha localizada na porta serial RS-232 do relé Cooper Form 6 — defeito de hardware do controle; o porquê da falha não é descrito."/>
    <m/>
    <m/>
  </r>
  <r>
    <x v="0"/>
    <x v="0"/>
    <n v="1.56128024980484E-3"/>
    <n v="1281"/>
    <s v="7936038076"/>
    <s v="ETO-TELE 00074/2025"/>
    <x v="0"/>
    <s v="03/02/2025"/>
    <x v="5"/>
    <x v="0"/>
    <s v="2025fevereiro"/>
    <s v="controle"/>
    <s v="sim"/>
    <s v="DEFEITO ELETRÔNICO (CONTROLE/PLACA/RELÉ)"/>
    <s v="«FOI IDENTIFICADO DISPLAY DO RELE APAGADO - ALIMENTAÇÃO CA NORMAL»"/>
    <s v="Alimentação CA normal com display do relé apagado aponta falha intrínseca da eletrônica do controle; a OS trocou o relé e atualizou o firmware."/>
    <m/>
    <m/>
  </r>
  <r>
    <x v="0"/>
    <x v="0"/>
    <n v="1.3270882123341141E-2"/>
    <n v="1281"/>
    <s v="7957126085"/>
    <s v="ETO-COEP 00156/2025"/>
    <x v="0"/>
    <s v="05/06/2025"/>
    <x v="6"/>
    <x v="0"/>
    <s v="2025junho"/>
    <s v="controle"/>
    <s v="não"/>
    <s v="FALHA DE INSTALAÇÃO / MONTAGEM"/>
    <s v="«Os para raios da fase B e C estão fechando arco na cruzeta. Curto desceu para o controle danificando os componentes.»"/>
    <s v="Causa explícita: para-raios arqueando na cruzeta por distância inadequada — o curto desceu e danificou o controle; a correção pede abaixar o tanque para afastar das cruzetas."/>
    <m/>
    <m/>
  </r>
  <r>
    <x v="0"/>
    <x v="0"/>
    <n v="1.0148321623731461E-2"/>
    <n v="1281"/>
    <s v="7957620015"/>
    <s v="ETO-COEP 00081/2026"/>
    <x v="1"/>
    <s v="08/05/2025"/>
    <x v="7"/>
    <x v="0"/>
    <s v="2025maio"/>
    <s v="controle"/>
    <s v="sim"/>
    <s v="FALHA DE INSTALAÇÃO / MONTAGEM"/>
    <s v="«A antena do rádio do RLG 7957620015 fica próximo da BT, onde a mesma veio a encostar no cabo da fase o que ocasionou um curto-circuito no rádio, que passou para todos os componentes do controle»"/>
    <s v="Causa explícita: antena instalada próxima da BT encostou no cabo da fase e o curto propagou do rádio para todo o controle — erro de montagem."/>
    <m/>
    <m/>
  </r>
  <r>
    <x v="0"/>
    <x v="0"/>
    <n v="1.7174082747853241E-2"/>
    <n v="1281"/>
    <s v="7900117013"/>
    <s v="ETO-COEP 00084/2026"/>
    <x v="1"/>
    <s v="02/07/2025"/>
    <x v="4"/>
    <x v="0"/>
    <s v="2025julho"/>
    <s v="completo"/>
    <s v="sim"/>
    <s v="FIRMWARE / ATUALIZAÇÃO"/>
    <s v="«equipe DMSL Elisfran estava atualizando firmware no equipamento  , porém relé parou de funcionar devido essa atualização»"/>
    <s v="Explícito: o relé do Cooper Form6 parou de funcionar durante atualização de firmware feita pela própria equipe DMSL; sem peça de reposição, virou troca completa por Noja."/>
    <m/>
    <m/>
  </r>
  <r>
    <x v="0"/>
    <x v="0"/>
    <n v="1.873536299765808E-2"/>
    <n v="1281"/>
    <s v="7900535058"/>
    <s v="ETO-COEP 00173/2025"/>
    <x v="0"/>
    <s v="08/08/2025"/>
    <x v="8"/>
    <x v="0"/>
    <s v="2025agosto"/>
    <s v="completo"/>
    <s v="não"/>
    <s v="FIRMWARE / ATUALIZAÇÃO"/>
    <s v="«encontra-se com o relé danificado, firmware corrompido, o mesmo não inicia»"/>
    <s v="O relé não inicia por firmware corrompido (laudo DMSL); a origem da corrupção não é descrita, as abelhas no painel relatadas pela equipe não são vinculadas pelo laudo, e a troca completa decorre da falta de peças Cooper."/>
    <m/>
    <m/>
  </r>
  <r>
    <x v="0"/>
    <x v="0"/>
    <n v="1.873536299765808E-2"/>
    <n v="1281"/>
    <s v="7900018004"/>
    <s v="ETO-COEP 00178/2025"/>
    <x v="0"/>
    <s v="21/08/2025"/>
    <x v="8"/>
    <x v="0"/>
    <s v="2025agosto"/>
    <s v="completo"/>
    <s v="sim"/>
    <s v="OBSOLESCÊNCIA (SEM PEÇAS DE REPOSIÇÃO)"/>
    <s v="«Por se tratar de modelo obsoleto e não termos peça de reposição para religador cooper, se faz necessário a substituição completa por um modelo NOJA RC10»"/>
    <s v="Defeito no controle sem causa descrita; a substituição completa se dá pela obsolescência do Cooper sem peça de reposição."/>
    <m/>
    <m/>
  </r>
  <r>
    <x v="0"/>
    <x v="0"/>
    <n v="2.0296643247462921E-2"/>
    <n v="1281"/>
    <s v="7903112004"/>
    <s v="ETO-COEP 00184/2025"/>
    <x v="0"/>
    <s v="03/09/2025"/>
    <x v="2"/>
    <x v="0"/>
    <s v="2025setembro"/>
    <s v="completo"/>
    <s v="não"/>
    <s v="OBSOLESCÊNCIA (SEM PEÇAS DE REPOSIÇÃO)"/>
    <s v="«como se trata de um modelo COOPER FORM6 que está obsoleto e não possuímos peças sobressalentes, faz-se necessária substituição completa por modelo NOJA RC10»"/>
    <s v="O texto só dá 'defeito' genérico; o que determina a perda do equipamento completo é a obsolescência do Cooper FORM6 sem sobressalentes — a causa da falha primária não é descrita."/>
    <m/>
    <m/>
  </r>
  <r>
    <x v="0"/>
    <x v="0"/>
    <n v="4.6838407494145199E-3"/>
    <n v="1281"/>
    <s v="7900453110"/>
    <s v="ETO-COEP 00087/2026"/>
    <x v="0"/>
    <s v="22/04/2025"/>
    <x v="3"/>
    <x v="0"/>
    <s v="2025abril"/>
    <s v="completo"/>
    <s v="não"/>
    <s v="SEM CAUSA DESCRITA NO TEXTO"/>
    <s v="«Equipamento está com defeito na parte ativa, não aceita o comando de fechamento. Será necessário substituir o equipamento completo.»"/>
    <s v="Defeito na parte ativa que não fecha é modo; nenhum porquê no texto — e a parte ativa comprada foi remanejada para outro ativo."/>
    <m/>
    <m/>
  </r>
  <r>
    <x v="0"/>
    <x v="0"/>
    <n v="2.7322404371584702E-2"/>
    <n v="1281"/>
    <s v="7901110084"/>
    <s v="ETO-COEP 00061/2026"/>
    <x v="0"/>
    <s v="17/12/2025"/>
    <x v="9"/>
    <x v="0"/>
    <s v="2025dezembro"/>
    <s v="tanque"/>
    <s v="não"/>
    <s v="SEM CAUSA DESCRITA NO TEXTO"/>
    <s v="«Rl esta danificado dando passagem de tensão mesmo aberto»"/>
    <s v="Análise técnica e testes funcionais só constatam a parte ativa com defeito (dá passagem aberto); o formulário confirma que não ficou em operação; sem porquê."/>
    <m/>
    <m/>
  </r>
  <r>
    <x v="0"/>
    <x v="0"/>
    <n v="1.7174082747853241E-2"/>
    <n v="1281"/>
    <s v="7908705049"/>
    <s v="ETO-TELE 00824/2025"/>
    <x v="1"/>
    <s v="16/07/2025"/>
    <x v="4"/>
    <x v="0"/>
    <s v="2025julho"/>
    <s v="completo"/>
    <s v="não"/>
    <s v="SEM CAUSA DESCRITA NO TEXTO"/>
    <s v="«constatou que o tanque e o relé do mesmo se encontra queimado, providenciar substituição»"/>
    <s v="Tanque e relé queimados é o modo; a queima simultânea sugere evento elétrico maior, mas o texto não nomeia o agente."/>
    <m/>
    <m/>
  </r>
  <r>
    <x v="0"/>
    <x v="0"/>
    <n v="1.0148321623731461E-2"/>
    <n v="1281"/>
    <s v="7910027196"/>
    <s v="ETO-COEP 00154/2026"/>
    <x v="0"/>
    <s v="08/05/2025"/>
    <x v="7"/>
    <x v="0"/>
    <s v="2025maio"/>
    <s v="completo"/>
    <s v="não"/>
    <s v="SEM CAUSA DESCRITA NO TEXTO"/>
    <s v="«Necessitando substituição completa em função do defeito de leitura de corrente da fase B»"/>
    <s v="Modo claro (leitura da fase B incorreta) sem causa firmada — o COEP especula 'erro de calibração', o parecer DMSL mais recente mantém a troca sem confirmar o porquê."/>
    <m/>
    <m/>
  </r>
  <r>
    <x v="0"/>
    <x v="0"/>
    <n v="1.3270882123341141E-2"/>
    <n v="1281"/>
    <s v="7920024127"/>
    <s v="ETO-COEP 00120/2025"/>
    <x v="0"/>
    <s v="02/06/2025"/>
    <x v="6"/>
    <x v="0"/>
    <s v="2025junho"/>
    <s v="completo"/>
    <s v="não"/>
    <s v="SEM CAUSA DESCRITA NO TEXTO"/>
    <s v="«equipe DMSL constatou que o relé e a parte ativa do equipamento 7920024127 estão com defeito, sendo necessária a substituição completa por um modelo NOJA RC 10»"/>
    <s v="Relé e parte ativa 'com defeito' é modo puro, sem mecanismo; o bloco 3E-SUL de painel solar SIGFI colado no fim da descrição é texto de terceiro e foi descartado."/>
    <m/>
    <m/>
  </r>
  <r>
    <x v="0"/>
    <x v="0"/>
    <n v="1.0148321623731461E-2"/>
    <n v="1281"/>
    <s v="7922995039"/>
    <s v="ETO-TELE 00555/2025"/>
    <x v="1"/>
    <s v="29/05/2025"/>
    <x v="7"/>
    <x v="0"/>
    <s v="2025maio"/>
    <s v="completo"/>
    <s v="sim"/>
    <s v="SEM CAUSA DESCRITA NO TEXTO"/>
    <s v="«equipe DMSL constatou que o RLG 7922995039 encontra-se com parte ativa e controle danificados»"/>
    <s v="Parte ativa e controle danificados constatados em teste, sem qualquer mecanismo ou agente no texto."/>
    <m/>
    <m/>
  </r>
  <r>
    <x v="0"/>
    <x v="0"/>
    <n v="2.7322404371584702E-2"/>
    <n v="1281"/>
    <s v="7925087021"/>
    <s v="ETO-COEP 00222/2025"/>
    <x v="0"/>
    <s v="08/12/2025"/>
    <x v="9"/>
    <x v="0"/>
    <s v="2025dezembro"/>
    <s v="tanque"/>
    <s v="não"/>
    <s v="SEM CAUSA DESCRITA NO TEXTO"/>
    <s v="«Realizar a substituição do tanque do equipamento.»"/>
    <s v="Nesta descrição restou só a ordem de substituir o tanque e a logística do COEP; o 'religador em curto' da cadeia está em outra nota, não citável aqui."/>
    <m/>
    <m/>
  </r>
  <r>
    <x v="0"/>
    <x v="0"/>
    <n v="1.7174082747853241E-2"/>
    <n v="1281"/>
    <s v="7925871077"/>
    <s v="ETO-TELE 00799/2025"/>
    <x v="0"/>
    <s v="10/07/2025"/>
    <x v="4"/>
    <x v="0"/>
    <s v="2025julho"/>
    <s v="controle"/>
    <s v="sim"/>
    <s v="SEM CAUSA DESCRITA NO TEXTO"/>
    <s v="«Foi realizado primeiro ataque mais o mesmo continua intermitente.»"/>
    <s v="A descrição só relata intermitência após o primeiro ataque; a fonte queimada aparece na OS e, mesmo lá, sem a causa da queima."/>
    <m/>
    <m/>
  </r>
  <r>
    <x v="0"/>
    <x v="0"/>
    <n v="1.3270882123341141E-2"/>
    <n v="1281"/>
    <s v="7927446001"/>
    <s v="ETO-COEP 00143/2025"/>
    <x v="0"/>
    <s v="26/06/2025"/>
    <x v="6"/>
    <x v="0"/>
    <s v="2025junho"/>
    <s v="completo"/>
    <s v="não"/>
    <s v="SEM CAUSA DESCRITA NO TEXTO"/>
    <s v="«Placa de alimentação danificada, devido a curto, não temos material sobressalente para manutenção! Favor substituir o equipamento completo.»"/>
    <s v="Modo: placa de alimentação danificada 'devido a curto', sem o texto localizar o curto — pode ser interno ou vindo da rede BT pela alimentação, como nos casos das SS 00156/2025 e 00081/2026; a falta de sobressalente levou à troca do equipamento completo."/>
    <s v="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"/>
    <m/>
  </r>
  <r>
    <x v="0"/>
    <x v="0"/>
    <n v="1.0148321623731461E-2"/>
    <n v="1281"/>
    <s v="7928564039"/>
    <s v="ETO-COEP 00162/2025"/>
    <x v="0"/>
    <s v="29/05/2025"/>
    <x v="7"/>
    <x v="0"/>
    <s v="2025maio"/>
    <s v="completo"/>
    <s v="não"/>
    <s v="SEM CAUSA DESCRITA NO TEXTO"/>
    <s v="«Equipamento com tanque, modulo e rele com defeito, solicitar troca do equipamento ao DCMD.»"/>
    <s v="Tanque, módulo e relé 'com defeito' é modo em três peças, sem mecanismo algum descrito."/>
    <m/>
    <m/>
  </r>
  <r>
    <x v="0"/>
    <x v="0"/>
    <n v="1.7174082747853241E-2"/>
    <n v="1281"/>
    <s v="7930428001"/>
    <s v="DG-RD-PO 00419/2025"/>
    <x v="0"/>
    <s v="01/07/2025"/>
    <x v="4"/>
    <x v="0"/>
    <s v="2025julho"/>
    <s v="tanque"/>
    <s v="não"/>
    <s v="SEM CAUSA DESCRITA NO TEXTO"/>
    <s v="«equipamento dando passagem na fase A ficou bay-passado até substituição»"/>
    <s v="Dar passagem na fase A é o modo (o interruptor não isola); o texto não diz por que o tanque falhou."/>
    <m/>
    <m/>
  </r>
  <r>
    <x v="0"/>
    <x v="0"/>
    <n v="1.0148321623731461E-2"/>
    <n v="1281"/>
    <s v="7931383086"/>
    <s v="ETO-TELE 00505/2025"/>
    <x v="0"/>
    <s v="15/05/2025"/>
    <x v="7"/>
    <x v="0"/>
    <s v="2025maio"/>
    <s v="tanque"/>
    <s v="sim"/>
    <s v="SEM CAUSA DESCRITA NO TEXTO"/>
    <s v="«RL 7931383086 perde a comunicaçao quando perde a CA»"/>
    <s v="A descrição traz só o sintoma inicial (perde comunicação sem CA, hipótese de bateria); o tanque danificado aparece na OS, sem causa."/>
    <m/>
    <m/>
  </r>
  <r>
    <x v="0"/>
    <x v="0"/>
    <n v="2.8103044496487123E-2"/>
    <n v="1283"/>
    <s v="7933585074"/>
    <s v="ETO-COEP 00024/2026"/>
    <x v="0"/>
    <s v="27/01/2026"/>
    <x v="10"/>
    <x v="1"/>
    <s v="2026janeiro"/>
    <s v="tanque"/>
    <s v="não"/>
    <s v="SEM CAUSA DESCRITA NO TEXTO"/>
    <s v="«REALIZAR SUBSTITUIÇÃO DO TANQUE, O MESMO ESTÁ COM DEFEITO.»"/>
    <s v="Só o modo (tanque com defeito); o 'defeito em curto' registrado em SS irmã de 12/2025 não está nesta descrição."/>
    <m/>
    <m/>
  </r>
  <r>
    <x v="0"/>
    <x v="0"/>
    <n v="1.0148321623731461E-2"/>
    <n v="1281"/>
    <s v="7934698002"/>
    <s v="ETO-COEP 00094/2025"/>
    <x v="1"/>
    <s v="06/05/2025"/>
    <x v="7"/>
    <x v="0"/>
    <s v="2025maio"/>
    <s v="controle"/>
    <s v="sim"/>
    <s v="SEM CAUSA DESCRITA NO TEXTO"/>
    <s v="«Substituir  caixa de controle  do RL 7934698002-RDU TOCANTINÓPOLIS, onde a mesma se encontra destruída  em campo»"/>
    <s v="Caixa de controle destruída restando a carcaça indica agente mecânico externo (vandalismo? abalroamento?), mas o texto não nomeia; a OBS traz o código com dígitos transpostos (7934968002), mesmo ativo e mesma RDU."/>
    <m/>
    <m/>
  </r>
  <r>
    <x v="0"/>
    <x v="0"/>
    <n v="2.7322404371584702E-2"/>
    <n v="1281"/>
    <s v="7937102148"/>
    <s v="ETO-COEP 00228/2025"/>
    <x v="0"/>
    <s v="18/12/2025"/>
    <x v="9"/>
    <x v="0"/>
    <s v="2025dezembro"/>
    <s v="tanque"/>
    <s v="não"/>
    <s v="SEM CAUSA DESCRITA NO TEXTO"/>
    <s v="«Tanque com defeito, realizar substituição do tanque.»"/>
    <s v="Só o modo — tanque com defeito; nenhum porquê no texto."/>
    <m/>
    <m/>
  </r>
  <r>
    <x v="0"/>
    <x v="0"/>
    <n v="2.7322404371584702E-2"/>
    <n v="1281"/>
    <s v="7938137007"/>
    <s v="ETO-TELE 00050/2026"/>
    <x v="1"/>
    <s v="26/12/2025"/>
    <x v="9"/>
    <x v="0"/>
    <s v="2025dezembro"/>
    <s v="completo"/>
    <s v="não"/>
    <s v="SEM CAUSA DESCRITA NO TEXTO"/>
    <s v="«REALIZAR TROCA DE BATERIA DO EQUIPAMENTO»"/>
    <s v="A descrição pede só troca de bateria; o problema na parte ativa (bucha da fase A) está na OS, sem causa descrita."/>
    <m/>
    <m/>
  </r>
  <r>
    <x v="0"/>
    <x v="0"/>
    <n v="3.1225604996096799E-3"/>
    <n v="1281"/>
    <s v="7942485096"/>
    <s v="ETO-COEP 00158/2025"/>
    <x v="0"/>
    <s v="14/03/2025"/>
    <x v="0"/>
    <x v="0"/>
    <s v="2025março"/>
    <s v="tanque"/>
    <s v="não"/>
    <s v="SEM CAUSA DESCRITA NO TEXTO"/>
    <s v="«Ao testar o tanque, foi constatado que o mesmo está danificado e precisa ser substituído»"/>
    <s v="O teste só constata o dano ('danificado'), nenhuma causa no texto — e o DMSL frisa que o controle não precisa ser trocado."/>
    <m/>
    <m/>
  </r>
  <r>
    <x v="0"/>
    <x v="0"/>
    <n v="1.0148321623731461E-2"/>
    <n v="1281"/>
    <s v="7943790134"/>
    <s v="ETO-COEP 00181/2025"/>
    <x v="0"/>
    <s v="29/05/2025"/>
    <x v="7"/>
    <x v="0"/>
    <s v="2025maio"/>
    <s v="tanque"/>
    <s v="sim"/>
    <s v="SEM CAUSA DESCRITA NO TEXTO"/>
    <s v="«foi constado que o RLG 7943790134 encontra-se com a parte ativa danificada»"/>
    <s v="Os testes constataram a parte ativa danificada, sem porquê; o vazamento interno da fase C citado na revisão anterior está em outra SS, não nesta descrição."/>
    <m/>
    <m/>
  </r>
  <r>
    <x v="0"/>
    <x v="0"/>
    <n v="2.4199843871975022E-2"/>
    <n v="1281"/>
    <s v="7947203070"/>
    <s v="ETO-COEP 00131/2026"/>
    <x v="0"/>
    <s v="23/11/2025"/>
    <x v="11"/>
    <x v="0"/>
    <s v="2025novembro"/>
    <s v="controle"/>
    <s v="não"/>
    <s v="SEM CAUSA DESCRITA NO TEXTO"/>
    <s v="«Foi feito análise técnica, a placa do equipamento está queimada nessesario subistituir o equipamento completo»"/>
    <s v="Modo: placa do controle queimada, constatada em análise técnica; nenhum porquê da queima no texto. O parecer COEP mais recente (13/07) definiu compra de controle."/>
    <s v="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"/>
    <m/>
  </r>
  <r>
    <x v="0"/>
    <x v="0"/>
    <n v="1.3270882123341141E-2"/>
    <n v="1281"/>
    <s v="7949648145"/>
    <s v="ETO-TELE 00630/2025"/>
    <x v="1"/>
    <s v="10/06/2025"/>
    <x v="6"/>
    <x v="0"/>
    <s v="2025junho"/>
    <s v="completo"/>
    <s v="sim"/>
    <s v="SEM CAUSA DESCRITA NO TEXTO"/>
    <s v="«FAVOR, REALIZAR SUBSTITUIÇÃO DE RELIGADOR»"/>
    <s v="Descrição de uma linha só, sem modo nem causa; a execução da troca vem da OS."/>
    <m/>
    <m/>
  </r>
  <r>
    <x v="1"/>
    <x v="1"/>
    <n v="1.873536299765808E-2"/>
    <n v="1281"/>
    <s v="5800371025"/>
    <s v="ETO-COEP 00187/2025"/>
    <x v="0"/>
    <s v="23/08/2025"/>
    <x v="8"/>
    <x v="0"/>
    <s v="2025agosto"/>
    <s v="rele"/>
    <s v="sim"/>
    <s v="DEFEITO ELETRÔNICO (CONTROLE/PLACA/RELÉ)"/>
    <s v="«Após testes foi constatado defeito nos relés da fase A e B, Modelo Toshiba TBR 1000.»"/>
    <s v="O laudo constata defeito nos relés Toshiba TBR 1000 das fases A e B sem dizer por que falharam — defeito do próprio eletrônico, sem causa mais profunda descrita no texto."/>
    <m/>
    <m/>
  </r>
  <r>
    <x v="1"/>
    <x v="1"/>
    <n v="1.7174082747853241E-2"/>
    <n v="1281"/>
    <s v="5800438116"/>
    <s v="ETO-COEP 00171/2025"/>
    <x v="0"/>
    <s v="18/07/2025"/>
    <x v="4"/>
    <x v="0"/>
    <s v="2025julho"/>
    <s v="celula"/>
    <s v="sim"/>
    <s v="DEFEITO MECÂNICO (CHAVE REVERSORA)"/>
    <s v="«Foi feito teste de elevar e abaixar nas fases B e C e o mesmo só aceita elevar os taps, constatando que o mercanismo da chave reversoura polaridade está com defeito.»"/>
    <s v="Fases B/C travadas com causa diagnosticada explícita: defeito no mecanismo da chave reversora de polaridade (placa F do controle também com defeito); a origem do defeito mecânico não é dita."/>
    <m/>
    <m/>
  </r>
  <r>
    <x v="1"/>
    <x v="1"/>
    <n v="3.1225604996096799E-3"/>
    <n v="1281"/>
    <s v="5854566043"/>
    <s v="ETO-COEP 00036/2025"/>
    <x v="0"/>
    <s v="21/03/2025"/>
    <x v="0"/>
    <x v="0"/>
    <s v="2025março"/>
    <s v="celula"/>
    <s v="sim"/>
    <s v="DESCARGA ATMOSFÉRICA (RAIO)"/>
    <s v="«a fase C do regulador 5854566043 está danificada devido a uma descarga atmosférica. Vazou óleo e o mesmo está com coloração escura o que evidencia o seu comprometimento.»"/>
    <s v="Laudo explícito: fase C danificada por descarga atmosférica, com óleo vazado e escurecido; o código citado é o do próprio ativo da linha."/>
    <m/>
    <m/>
  </r>
  <r>
    <x v="1"/>
    <x v="1"/>
    <n v="1.873536299765808E-2"/>
    <n v="1281"/>
    <s v="5841308190"/>
    <s v="ETO-COEP 00154/2025"/>
    <x v="0"/>
    <s v="21/08/2025"/>
    <x v="8"/>
    <x v="0"/>
    <s v="2025agosto"/>
    <s v="furto"/>
    <s v="sim"/>
    <s v="FURTO"/>
    <s v="«Solicitação de serviço para reposição de equipamentos furtados»"/>
    <s v="Reposição de equipamento furtado, já substituído pelos COCMs — furto declarado no texto."/>
    <m/>
    <m/>
  </r>
  <r>
    <x v="1"/>
    <x v="1"/>
    <n v="2.0296643247462921E-2"/>
    <n v="1281"/>
    <s v="5841308190"/>
    <s v="ETO-COEP 00197/2025"/>
    <x v="0"/>
    <s v="29/09/2025"/>
    <x v="2"/>
    <x v="0"/>
    <s v="2025setembro"/>
    <s v="furto"/>
    <s v="não"/>
    <s v="FURTO"/>
    <s v="«Após alguns análise foi identificado que as 3 fases estava sem óleo, provavelmente foram roubados.»"/>
    <s v="DMSL achou as 3 fases sem óleo ('provavelmente foram roubados') e o COEP desmobiliza o RT citando 'furtos recorrentes na região' — segundo furto do mesmo ativo no ano; o hedge do laudo é coberto pela decisão do COEP."/>
    <m/>
    <m/>
  </r>
  <r>
    <x v="1"/>
    <x v="1"/>
    <n v="1.7174082747853241E-2"/>
    <n v="1281"/>
    <s v="5856070091"/>
    <s v="ETO-COEP 00056/2026"/>
    <x v="0"/>
    <s v="18/07/2025"/>
    <x v="4"/>
    <x v="0"/>
    <s v="2025julho"/>
    <s v="furto"/>
    <s v="sim"/>
    <s v="FURTO"/>
    <s v="«Solicitação de serviço para reposição de equipamentos furtados»"/>
    <s v="SS aberta como reposição de equipamento furtado; o restante do texto é a esteira de reposição e um erro de instalação posterior (fonte/carga invertidas), não a causa original."/>
    <m/>
    <m/>
  </r>
  <r>
    <x v="1"/>
    <x v="1"/>
    <n v="1.3270882123341141E-2"/>
    <n v="1281"/>
    <s v="5856156091"/>
    <s v="ETO-COEP 00055/2026"/>
    <x v="0"/>
    <s v="16/06/2025"/>
    <x v="6"/>
    <x v="0"/>
    <s v="2025junho"/>
    <s v="furto"/>
    <s v="não"/>
    <s v="FURTO"/>
    <s v="«PARECER DA PROTEÇÃO:EQUIPAMENTOS FURTADOS. PARA AQUISIÇÃO DAS CELULAS DE REPOSIÇÃO, FAVOR CONSULTAR OS DADOS DE PLACA EM ANEXO.»"/>
    <s v="Parecer da Proteção declara equipamentos furtados e pede células de reposição; o texto chama o ativo de 'religador' por engano, mas o código 5856156091 é o do próprio RT da linha."/>
    <m/>
    <m/>
  </r>
  <r>
    <x v="1"/>
    <x v="1"/>
    <n v="3.1225604996096799E-3"/>
    <n v="1281"/>
    <s v="5858783119"/>
    <s v="ETO-COEP 00123/2025"/>
    <x v="0"/>
    <s v="24/03/2025"/>
    <x v="0"/>
    <x v="0"/>
    <s v="2025março"/>
    <s v="furto"/>
    <s v="não"/>
    <s v="FURTO"/>
    <s v="«Constatado também que foi furtado todo o óleo isolante das 3 células, sendo necessário a substituição das 3 células.»"/>
    <s v="Tampas de inspeção abertas, para-raios levados e todo o óleo isolante furtado das 3 células; o COEP confirma 'DEVIDO AO ERRO NA INSTALAÇÃO E O FURTO'."/>
    <m/>
    <m/>
  </r>
  <r>
    <x v="1"/>
    <x v="1"/>
    <n v="2.0296643247462921E-2"/>
    <n v="1281"/>
    <s v="5803327001"/>
    <s v="ETO-COEP 00021/2026"/>
    <x v="1"/>
    <s v="04/09/2025"/>
    <x v="2"/>
    <x v="0"/>
    <s v="2025setembro"/>
    <s v="controle"/>
    <s v="não"/>
    <s v="INSTALAÇÃO / COMISSIONAMENTO INADEQUADO"/>
    <s v="«Equipamento foi remanejado, 7 km da sua localização sentido Palmas necessário comissionamento completo*Equipamento com um dos cabos umbilicais danificado.»"/>
    <s v="A razão da troca do controle não é dita, mas o texto detalha remanejamento de 7 km sem comissionamento, cabo umbilical danificado e aterramento da bucha FC mal interligado — falha de instalação, não do equipamento."/>
    <m/>
    <m/>
  </r>
  <r>
    <x v="1"/>
    <x v="1"/>
    <n v="2.7322404371584702E-2"/>
    <n v="1281"/>
    <s v="5800961074"/>
    <s v="ETO-COEP 00221/2025"/>
    <x v="0"/>
    <s v="05/12/2025"/>
    <x v="9"/>
    <x v="0"/>
    <s v="2025dezembro"/>
    <s v="celula"/>
    <s v="não"/>
    <s v="SEM CAUSA DESCRITA NO TEXTO"/>
    <s v="«Substituir as 3 células- Melhoria na malha de aterramento - Melhoria no circuito de aterramento qua aterra as células.»"/>
    <s v="O texto é só escopo de compra (3 células, melhorias de aterramento, conectores); a melhoria de aterramento sugere deficiência, mas nada liga isso à falha das células — não se chuta laudo."/>
    <m/>
    <m/>
  </r>
  <r>
    <x v="1"/>
    <x v="1"/>
    <n v="1.56128024980484E-3"/>
    <n v="1281"/>
    <s v="5820790038"/>
    <s v="ETO-TELE 00159/2025"/>
    <x v="0"/>
    <s v="19/02/2025"/>
    <x v="5"/>
    <x v="0"/>
    <s v="2025fevereiro"/>
    <s v="controle"/>
    <s v="sim"/>
    <s v="SEM CAUSA DESCRITA NO TEXTO"/>
    <s v="«FEITO O PRIMEIRO ATAQUE E PERCEBIDO QUE O MESMO NÃO ESTA COMUNICANDO COM O SCADA. EM CAMPO ESTA COMULTANDO NORMAL»"/>
    <s v="O texto só dá o sintoma — sem comunicação com o SCADA, comutando normal em campo — e nenhuma razão para a falha de comunicação."/>
    <m/>
    <m/>
  </r>
  <r>
    <x v="1"/>
    <x v="1"/>
    <n v="1.873536299765808E-2"/>
    <n v="1281"/>
    <s v="5850308009"/>
    <s v="ETO-TELE 01109/2025"/>
    <x v="1"/>
    <s v="15/08/2025"/>
    <x v="8"/>
    <x v="0"/>
    <s v="2025agosto"/>
    <s v="controle"/>
    <s v="sim"/>
    <s v="SEM CAUSA DESCRITA NO TEXTO"/>
    <s v="«Realizar manutenção no RT 5850308009.»"/>
    <s v="Texto de uma linha, só o pedido de manutenção — nem o modo de falha nem a causa aparecem."/>
    <m/>
    <m/>
  </r>
  <r>
    <x v="1"/>
    <x v="1"/>
    <n v="1.7174082747853241E-2"/>
    <n v="1281"/>
    <s v="5854566043"/>
    <s v="ETO-COEP 00160/2025"/>
    <x v="0"/>
    <s v="23/07/2025"/>
    <x v="4"/>
    <x v="0"/>
    <s v="2025julho"/>
    <s v="celula"/>
    <s v="sim"/>
    <s v="SEM CAUSA DESCRITA NO TEXTO"/>
    <s v="«A fase B está danificada e será necessário substituir a mesma. Malha de aterramento está relativamente boa e conectada. Fase A e C passaram nos ensaios.»"/>
    <s v="Segunda falha do mesmo ativo no ano: a nota de campo fala fase C queimada, mas vale o parecer DMSL mais recente — fase B danificada, A e C aprovadas — e nenhum porquê; o aterramento estava bom."/>
    <m/>
    <m/>
  </r>
  <r>
    <x v="1"/>
    <x v="1"/>
    <n v="2.0296643247462921E-2"/>
    <n v="1281"/>
    <s v="5855411017"/>
    <s v="ETO-COEP 00199/2025"/>
    <x v="1"/>
    <s v="03/09/2025"/>
    <x v="2"/>
    <x v="0"/>
    <s v="2025setembro"/>
    <s v="controle"/>
    <s v="não"/>
    <s v="SEM CAUSA DESCRITA NO TEXTO"/>
    <s v="«SEM COMUNICAÇÃO, FALHA DE ALIMENTAÇÃO - REALIZADO PRIMEIRO ATAQUE SEM SUCESSO.»"/>
    <s v="O texto dá só o sintoma — sem comunicação, falha de alimentação, primeiro ataque sem sucesso — e a pendência de levar controle completo para trocar; onde está o defeito e por que a alimentação falhou não são ditos."/>
    <m/>
    <s v="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"/>
  </r>
  <r>
    <x v="1"/>
    <x v="1"/>
    <n v="1.873536299765808E-2"/>
    <n v="1281"/>
    <s v="5827102054"/>
    <s v="ETO-COEP 00216/2025"/>
    <x v="0"/>
    <s v="27/08/2025"/>
    <x v="8"/>
    <x v="0"/>
    <s v="2025agosto"/>
    <s v="rele"/>
    <s v="sim"/>
    <s v="UMIDADE / INFILTRAÇÃO"/>
    <s v="«Se possível retornar com controle completo pq o q está em campo teve infiltração de água»"/>
    <s v="O relé queimado e o nobreak defeituoso ficam dentro do controle que 'teve infiltração de água' — causa explícita do pedido de controle novo; a resistência alta da malha aparece como agravante, não como causa."/>
    <m/>
    <m/>
  </r>
  <r>
    <x v="1"/>
    <x v="1"/>
    <n v="2.7322404371584702E-2"/>
    <n v="1281"/>
    <s v="5862236091"/>
    <s v="ETO-SE-PCM 00065/2025"/>
    <x v="0"/>
    <s v="08/12/2025"/>
    <x v="9"/>
    <x v="0"/>
    <s v="2025dezembro"/>
    <s v="celula"/>
    <s v="não"/>
    <s v="UMIDADE / INFILTRAÇÃO"/>
    <s v="«Célula da fase B estava com a tampa do contador de tape aberta, pegou chuva e molhou os contatos danificando a peça toda.»"/>
    <s v="Causa explícita e completa: tampa do contador de tap aberta deixou a chuva molhar os contatos e danificar a célula da fase B — água de chuva, não defeito interno."/>
    <m/>
    <m/>
  </r>
  <r>
    <x v="1"/>
    <x v="1"/>
    <n v="2.4199843871975022E-2"/>
    <n v="1281"/>
    <s v="5800440256"/>
    <s v="ETO-TELE 01431/2025"/>
    <x v="0"/>
    <s v="30/11/2025"/>
    <x v="11"/>
    <x v="0"/>
    <s v="2025novembro"/>
    <s v="celula"/>
    <s v="sim"/>
    <s v="VAZAMENTO DE ÓLEO / VEDAÇÃO"/>
    <s v="«o mesmo esta com uma das celulas apresentando vazamento , o equipamento ficou bypassado»"/>
    <s v="A célula vazou óleo a ponto de causar desarme da LD Ponte Alta–Mateiros e bypass — o vazamento é a falha declarada; a origem exata da perda de vedação não é detalhada."/>
    <m/>
    <m/>
  </r>
  <r>
    <x v="1"/>
    <x v="1"/>
    <n v="1.873536299765808E-2"/>
    <n v="1281"/>
    <s v="5844630060"/>
    <s v="ETO-RD-AR 01131/2026"/>
    <x v="1"/>
    <s v="06/08/2025"/>
    <x v="8"/>
    <x v="0"/>
    <s v="2025agosto"/>
    <s v="celula"/>
    <s v="sim"/>
    <s v="VAZAMENTO DE ÓLEO / VEDAÇÃO"/>
    <s v="«Célula da fase A encontra-se com vazamento de óleo no pé da torneira. Necessário substituição da célula.»"/>
    <s v="Vazamento de óleo no pé da torneira da fase A declarado pelo DMSL — ponto de vedação; o porquê da perda de vedação não é detalhado."/>
    <m/>
    <m/>
  </r>
  <r>
    <x v="2"/>
    <x v="1"/>
    <n v="4.449648711943794E-2"/>
    <n v="1294"/>
    <s v="5840227063"/>
    <s v="ETO-COEP 00151/2026"/>
    <x v="0"/>
    <s v="13/07/2026"/>
    <x v="4"/>
    <x v="1"/>
    <s v="2026julho"/>
    <s v="celula"/>
    <s v="não"/>
    <s v="CURTO-CIRCUITO INTERNO"/>
    <s v="«Realizados ensaios de isolação nas três células, e foi identificado curto na fase A, sendo necessário a sua substituição»"/>
    <s v="Ensaio de isolação identificou curto na célula (abertura citava fase C, DMSL fechou na A) — falha dielétrica interna comprovada por ensaio; o gatilho do curto não é declarado."/>
    <m/>
    <m/>
  </r>
  <r>
    <x v="2"/>
    <x v="1"/>
    <n v="3.7470725995316166E-2"/>
    <n v="1290"/>
    <s v="5800859011"/>
    <s v="ETO-COEP 00115/2026"/>
    <x v="1"/>
    <s v="27/05/2026"/>
    <x v="7"/>
    <x v="1"/>
    <s v="2026maio"/>
    <s v="controle"/>
    <s v="sim"/>
    <s v="DEFEITO ELETRÔNICO (CONTROLE/PLACA/RELÉ)"/>
    <s v="«Foi identificado relé da fase C com defeito conforme orientação da supervisão e necessário realiza retrofit para instalação de controle rua.»"/>
    <s v="DMSL identifica relé da fase C com defeito (display apagado, equipamento bypassado, 'FICOU EM OPERAÇÃO: Não'); saída foi retrofit para controle rua. Por que o relé falhou não é dito."/>
    <m/>
    <m/>
  </r>
  <r>
    <x v="2"/>
    <x v="1"/>
    <n v="4.0593286494925843E-2"/>
    <n v="1291"/>
    <s v="5848305116"/>
    <s v="ETO-TELE 00935/2026"/>
    <x v="0"/>
    <s v="17/06/2026"/>
    <x v="6"/>
    <x v="1"/>
    <s v="2026junho"/>
    <s v="controle"/>
    <s v="sim"/>
    <s v="DEFEITO ELETRÔNICO (CONTROLE/PLACA/RELÉ)"/>
    <s v="«Na função Auto zero Regulador 2 foi para o TAP 16, em automático demostra comutação indevida e  em Falha na Cédula RT2»"/>
    <s v="Comutação indevida em automático é o controle comandando errado; a correção registrada foi a troca do relé, que normalizou o banco — defeito no relé, sem causa mais profunda no texto."/>
    <m/>
    <m/>
  </r>
  <r>
    <x v="2"/>
    <x v="1"/>
    <n v="3.2006245120999227E-2"/>
    <n v="1287"/>
    <s v="5800090147"/>
    <s v="ETO-COEP 00117/2026"/>
    <x v="0"/>
    <s v="02/04/2026"/>
    <x v="3"/>
    <x v="1"/>
    <s v="2026abril"/>
    <s v="celula"/>
    <s v="não"/>
    <s v="DEFEITO NO MICROSWITCH (SENSOR DE NEUTRO)"/>
    <s v="«Favor, substituir a célula da fase C do RT 5800090147 pois o microswitch que renconhece o neutro do regulador está com defeito.»"/>
    <s v="Parecer DMSL (o mais recente) traz o nexo causal com 'pois': a célula sai porque o microswitch que reconhece o neutro falhou; o porquê da falha do microswitch não é dito."/>
    <m/>
    <m/>
  </r>
  <r>
    <x v="2"/>
    <x v="1"/>
    <n v="3.2006245120999227E-2"/>
    <n v="1287"/>
    <s v="5836786094"/>
    <s v="ETO-COEP 00095/2026"/>
    <x v="0"/>
    <s v="16/04/2026"/>
    <x v="3"/>
    <x v="1"/>
    <s v="2026abril"/>
    <s v="furto"/>
    <s v="não"/>
    <s v="FURTO"/>
    <s v="«Favor levar outro regulador de tensão, pois o mesmo foi furtado em campo.»"/>
    <s v="Texto inequívoco: o regulador foi furtado em campo; o parecer COEP posterior só trata da logística do substituto."/>
    <m/>
    <m/>
  </r>
  <r>
    <x v="2"/>
    <x v="1"/>
    <n v="2.8103044496487123E-2"/>
    <n v="1283"/>
    <s v="5856070091"/>
    <s v="ETO-COEP 00023/2026"/>
    <x v="0"/>
    <s v="26/01/2026"/>
    <x v="10"/>
    <x v="1"/>
    <s v="2026janeiro"/>
    <s v="furto"/>
    <s v="não"/>
    <s v="FURTO"/>
    <s v="«Regulador 5856070091 furtado as 3 fases»"/>
    <s v="Furto das três fases do banco, dito com todas as letras; acesso livre na LD Almas-Natividade explica a exposição."/>
    <m/>
    <m/>
  </r>
  <r>
    <x v="2"/>
    <x v="1"/>
    <n v="2.8883684621389544E-2"/>
    <n v="1283"/>
    <s v="5800366016"/>
    <s v="ETO-RD-AR 00275/2026"/>
    <x v="0"/>
    <s v="09/02/2026"/>
    <x v="5"/>
    <x v="1"/>
    <s v="2026fevereiro"/>
    <s v="celula"/>
    <s v="sim"/>
    <s v="SEM CAUSA DESCRITA NO TEXTO"/>
    <s v="«CELULAR QUEIMADA REGULADOR DE TENSÃO.SUBSTITUIR CELULA REGULADOR DE TENSÃO 5800366016 FASE A.»"/>
    <s v="Texto dá só o modo — célula queimada — sem uma linha sobre o porquê; engenheiro não chuta laudo."/>
    <m/>
    <m/>
  </r>
  <r>
    <x v="2"/>
    <x v="1"/>
    <n v="4.6057767369242782E-2"/>
    <n v="1294"/>
    <s v="5800440256"/>
    <s v="ETO-TELE 01034/2026"/>
    <x v="0"/>
    <s v="06/08/2026"/>
    <x v="8"/>
    <x v="1"/>
    <s v="2026agosto"/>
    <s v="celula"/>
    <s v="não"/>
    <s v="SEM CAUSA DESCRITA NO TEXTO"/>
    <s v="«Substituir célula da Fase B do banco de Regulador de tensão e realizar melhorias na malha de aterramento do Regulador»"/>
    <s v="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"/>
    <m/>
    <m/>
  </r>
  <r>
    <x v="2"/>
    <x v="1"/>
    <n v="3.0444964871194385E-2"/>
    <n v="1285"/>
    <s v="5801866013"/>
    <s v="ETO-RD-PS 00303/2026"/>
    <x v="1"/>
    <s v="02/03/2026"/>
    <x v="0"/>
    <x v="1"/>
    <s v="2026março"/>
    <s v="celula"/>
    <s v="sim"/>
    <s v="UMIDADE / INFILTRAÇÃO"/>
    <s v="«Identificado infiltração na caixa de passagem da célula da fase C do banco regulador de tensão, será necessário fazer a substituição da mesma!»"/>
    <s v="DMSL identificou infiltração na caixa de passagem da célula da fase C — água entrando é a causa direta do defeito que bypassou o banco."/>
    <m/>
    <m/>
  </r>
  <r>
    <x v="3"/>
    <x v="0"/>
    <n v="2.8103044496487123E-2"/>
    <n v="1283"/>
    <s v="7908249152"/>
    <s v="ETO-COEP 00038/2026"/>
    <x v="0"/>
    <s v="22/01/2026"/>
    <x v="10"/>
    <x v="1"/>
    <s v="2026janeiro"/>
    <s v="completo"/>
    <s v="não"/>
    <s v="CURTO-CIRCUITO INTERNO"/>
    <s v="«Houve um curto no equipamento danificando a parte ativa, será necessário fazer a substituição do equipamento completo ( parte ativa e controle)»"/>
    <s v="DMSL é explícito: um curto no equipamento danificou a parte ativa e exigiu a troca completa."/>
    <s v="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"/>
    <m/>
  </r>
  <r>
    <x v="3"/>
    <x v="0"/>
    <n v="3.0444964871194385E-2"/>
    <n v="1285"/>
    <s v="7925733015"/>
    <s v="ETO-COEP 00058/2026"/>
    <x v="0"/>
    <s v="13/03/2026"/>
    <x v="0"/>
    <x v="1"/>
    <s v="2026março"/>
    <s v="tanque"/>
    <s v="não"/>
    <s v="CURTO-CIRCUITO INTERNO"/>
    <s v="«DESCRIÇÃO: Tanque do equipamento em Curto»"/>
    <s v="Formulário DMSL explícito (tanque em curto), coerente com o 'provavel curto-circuito interno' apontado no primeiro ataque."/>
    <m/>
    <m/>
  </r>
  <r>
    <x v="3"/>
    <x v="0"/>
    <n v="2.8883684621389544E-2"/>
    <n v="1283"/>
    <s v="7926089013"/>
    <s v="ETO-COEP 00039/2026"/>
    <x v="0"/>
    <s v="24/02/2026"/>
    <x v="5"/>
    <x v="1"/>
    <s v="2026fevereiro"/>
    <s v="tanque"/>
    <s v="não"/>
    <s v="CURTO-CIRCUITO INTERNO"/>
    <s v="«foi identificado que o tanque do equipamento entrou em curto o mesmo necessário substituir o tanque»"/>
    <s v="Análise técnica explícita: o tanque entrou em curto; a origem do curto não é detalhada, mas a causa nomeada no texto é o curto interno."/>
    <m/>
    <m/>
  </r>
  <r>
    <x v="3"/>
    <x v="0"/>
    <n v="4.449648711943794E-2"/>
    <n v="1294"/>
    <s v="7957021094"/>
    <s v="ETO-TELE 00861/2026"/>
    <x v="0"/>
    <s v="10/07/2026"/>
    <x v="4"/>
    <x v="1"/>
    <s v="2026julho"/>
    <s v="controle"/>
    <s v="sim"/>
    <s v="CURTO-CIRCUITO INTERNO"/>
    <s v="«SEGUE SS DE RELIGADOR COM CURTO INTERNO, DJUNTOR DE BT NÃO ACEITA.»"/>
    <s v="Texto explícito em 'curto interno' no circuito de BT (disjuntor não aceitava); a OS resolveu trocando fonte, bateria e relé, então a extensão exata do curto é inferida."/>
    <m/>
    <m/>
  </r>
  <r>
    <x v="3"/>
    <x v="0"/>
    <n v="3.0444964871194385E-2"/>
    <n v="1285"/>
    <s v="7929376022"/>
    <s v="ETO-COEP 00068/2026"/>
    <x v="0"/>
    <s v="25/03/2026"/>
    <x v="0"/>
    <x v="1"/>
    <s v="2026março"/>
    <s v="controle"/>
    <s v="não"/>
    <s v="DEFEITO ELETRÔNICO (CONTROLE/PLACA/RELÉ)"/>
    <s v="«PRIMEIRO ATAQUE IDENTIFICOU QUE RELE ESTA EM CURTO»"/>
    <s v="Relé em curto (reincidente após a nota 224/2026) levou o DMSL a mandar trocar o controle completo; o porquê do curto no relé não é informado."/>
    <m/>
    <m/>
  </r>
  <r>
    <x v="3"/>
    <x v="0"/>
    <n v="4.449648711943794E-2"/>
    <n v="1294"/>
    <s v="7930359149"/>
    <s v="ETO-COEP 00138/2026"/>
    <x v="2"/>
    <s v="07/07/2026"/>
    <x v="4"/>
    <x v="1"/>
    <s v="2026julho"/>
    <s v="completo"/>
    <s v="não"/>
    <s v="DEFEITO ELETRÔNICO (CONTROLE/PLACA/RELÉ)"/>
    <s v="«PLACA DO RL ESTA CARBONIZADA COM SINAL DE CURTO.»"/>
    <s v="O único mecanismo declarado no texto está na placa: 'PLACA DO RL ESTA CARBONIZADA COM SINAL DE CURTO' (camada do primeiro ataque, não contradita pelo parecer DMSL de 07/07). A parte ativa aparece só como 'com defeito', sem porquê."/>
    <s v="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"/>
    <m/>
  </r>
  <r>
    <x v="3"/>
    <x v="0"/>
    <n v="3.0444964871194385E-2"/>
    <n v="1285"/>
    <s v="7944559149"/>
    <s v="ETO-COEP 00063/2026"/>
    <x v="0"/>
    <s v="17/03/2026"/>
    <x v="0"/>
    <x v="1"/>
    <s v="2026março"/>
    <s v="controle"/>
    <s v="não"/>
    <s v="DEFEITO ELETRÔNICO (CONTROLE/PLACA/RELÉ)"/>
    <s v="«Serviço Executado:  curto na placa foi tentando recuperar a mesma porém não teve sucesso!»"/>
    <s v="Curto na placa de alimentação, irrecuperável, é falha eletrônica explícita; o porquê do curto na placa não é informado."/>
    <m/>
    <m/>
  </r>
  <r>
    <x v="3"/>
    <x v="0"/>
    <n v="3.0444964871194385E-2"/>
    <n v="1285"/>
    <s v="7955946007"/>
    <s v="ETO-COEP 00064/2026"/>
    <x v="0"/>
    <s v="02/03/2026"/>
    <x v="0"/>
    <x v="1"/>
    <s v="2026março"/>
    <s v="controle"/>
    <s v="não"/>
    <s v="DEFEITO ELETRÔNICO (CONTROLE/PLACA/RELÉ)"/>
    <s v="«Necessário substituir a placa de alimentação ca, a mesma está em curto não conseguimos recuperar.»"/>
    <s v="Placa de alimentação CA em curto e irrecuperável é falha eletrônica explícita do controle; o porquê do curto na placa não é dito."/>
    <m/>
    <m/>
  </r>
  <r>
    <x v="3"/>
    <x v="0"/>
    <n v="3.0444964871194385E-2"/>
    <n v="1285"/>
    <s v="7903569004"/>
    <s v="ETO-COEP 00060/2026"/>
    <x v="1"/>
    <s v="11/03/2026"/>
    <x v="0"/>
    <x v="1"/>
    <s v="2026março"/>
    <s v="completo"/>
    <s v="não"/>
    <s v="SEM CAUSA DESCRITA NO TEXTO"/>
    <s v="«Realizar substituição do equipamento todo e parte ativa.»"/>
    <s v="Só o sintoma (sem comunicação após primeiro ataque) e a ordem de trocar tudo; nenhum laudo do porquê."/>
    <m/>
    <m/>
  </r>
  <r>
    <x v="3"/>
    <x v="0"/>
    <n v="3.2006245120999227E-2"/>
    <n v="1287"/>
    <s v="7908302256"/>
    <s v="ETO-COEP 00071/2026"/>
    <x v="0"/>
    <s v="06/04/2026"/>
    <x v="3"/>
    <x v="1"/>
    <s v="2026abril"/>
    <s v="tanque"/>
    <s v="não"/>
    <s v="SEM CAUSA DESCRITA NO TEXTO"/>
    <s v="«Serviço Executado: Equipamento com a parte ativa com defeito, será necessário fazer a substituição da mesma!»"/>
    <s v="Parte ativa com defeito é modo; nada no texto (dominado por dados de configuração de satélite) explica a origem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tanque"/>
    <s v="sim"/>
    <s v="SEM CAUSA DESCRITA NO TEXTO"/>
    <s v="«Substituição de tanque e controle, os mesmos estão com defeitos.»"/>
    <s v="Texto dá só o modo (tanque com defeito) e o parecer COEP mais recente ainda pede explicação do defeito; nenhum porquê registrado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controle"/>
    <s v="não"/>
    <s v="SEM CAUSA DESCRITA NO TEXTO"/>
    <s v="«Substituição de tanque e controle, os mesmos estão com defeitos.»"/>
    <s v="Mesma SS do tanque: 'controle com defeito' é modo de falha, não causa; nada no texto explica a origem."/>
    <m/>
    <m/>
  </r>
  <r>
    <x v="3"/>
    <x v="0"/>
    <n v="4.0593286494925843E-2"/>
    <n v="1291"/>
    <s v="7913662076"/>
    <s v="ETO-COEP 00114/2026"/>
    <x v="1"/>
    <s v="08/06/2026"/>
    <x v="6"/>
    <x v="1"/>
    <s v="2026junho"/>
    <s v="tanque"/>
    <s v="não"/>
    <s v="SEM CAUSA DESCRITA NO TEXTO"/>
    <s v="«Foi confirmado pela equipe DMSL o defeito do tanque, favor seguir com a substituição e correção da chave de entrada fase B danificada.»"/>
    <s v="Defeito do tanque confirmado sem explicação da origem; a chave de entrada danificada é peça fora da taxa."/>
    <m/>
    <m/>
  </r>
  <r>
    <x v="3"/>
    <x v="0"/>
    <n v="2.8883684621389544E-2"/>
    <n v="1283"/>
    <s v="7919270014"/>
    <s v="ETO-COEP 00074/2026"/>
    <x v="0"/>
    <s v="25/02/2026"/>
    <x v="5"/>
    <x v="1"/>
    <s v="2026fevereiro"/>
    <s v="completo"/>
    <s v="não"/>
    <s v="SEM CAUSA DESCRITA NO TEXTO"/>
    <s v="«Substituir Equipamento completo problema na placa de alimentação e na parte ativa»"/>
    <s v="Dois modos de falha (placa de alimentação e parte ativa) sem nenhum porquê declarado para nenhum deles."/>
    <m/>
    <m/>
  </r>
  <r>
    <x v="3"/>
    <x v="0"/>
    <n v="2.8883684621389544E-2"/>
    <n v="1283"/>
    <s v="7921202014"/>
    <s v="ETO-COEP 00088/2026"/>
    <x v="0"/>
    <s v="15/02/2026"/>
    <x v="5"/>
    <x v="1"/>
    <s v="2026fevereiro"/>
    <s v="tanque"/>
    <s v="não"/>
    <s v="SEM CAUSA DESCRITA NO TEXTO"/>
    <s v="«indentificado o problema na parte ativa será  necessário fazer a substituição da mesmo»"/>
    <s v="Problema na parte ativa sem porquê; a menção a substituir o pára-raios da fase C é indício fraco demais para atribuir descarga atmosférica."/>
    <m/>
    <m/>
  </r>
  <r>
    <x v="3"/>
    <x v="0"/>
    <n v="3.0444964871194385E-2"/>
    <n v="1285"/>
    <s v="7923673004"/>
    <s v="ETO-COEP 00057/2026"/>
    <x v="1"/>
    <s v="26/03/2026"/>
    <x v="0"/>
    <x v="1"/>
    <s v="2026março"/>
    <s v="controle"/>
    <s v="não"/>
    <s v="SEM CAUSA DESCRITA NO TEXTO"/>
    <s v="«RELIGADOR COM RELÉ DANIFICADO, REALIZAR SUBSTITUIÇÃO»"/>
    <s v="Relé danificado é o modo de falha; o texto não diz por que danificou."/>
    <m/>
    <m/>
  </r>
  <r>
    <x v="3"/>
    <x v="0"/>
    <n v="3.0444964871194385E-2"/>
    <n v="1285"/>
    <s v="7925871077"/>
    <s v="ETO-COEP 00048/2026"/>
    <x v="0"/>
    <s v="16/03/2026"/>
    <x v="0"/>
    <x v="1"/>
    <s v="2026março"/>
    <s v="tanque"/>
    <s v="não"/>
    <s v="SEM CAUSA DESCRITA NO TEXTO"/>
    <s v="«PENDENCIA: Religador continua by passado, equipamento está com defeito na parte ativa»"/>
    <s v="SS recriada por baixa indevida da antiga repete só o modo (defeito na parte ativa), sem causa."/>
    <m/>
    <m/>
  </r>
  <r>
    <x v="3"/>
    <x v="0"/>
    <n v="2.8883684621389544E-2"/>
    <n v="1283"/>
    <s v="7926442035"/>
    <s v="ETO-TELE 00298/2026"/>
    <x v="0"/>
    <s v="18/02/2026"/>
    <x v="5"/>
    <x v="1"/>
    <s v="2026fevereiro"/>
    <s v="tanque"/>
    <s v="não"/>
    <s v="SEM CAUSA DESCRITA NO TEXTO"/>
    <s v="«Parte ativa do equipamento danificada: necessita substituição»"/>
    <s v="Parte ativa danificada sem porquê; o vazamento de óleo citado é do trafo (auxiliar, fora da taxa), não da parte ativa do religador."/>
    <m/>
    <m/>
  </r>
  <r>
    <x v="3"/>
    <x v="0"/>
    <n v="2.8103044496487123E-2"/>
    <n v="1283"/>
    <s v="7927169001"/>
    <s v="ETO-COEP 00036/2026"/>
    <x v="1"/>
    <s v="16/01/2026"/>
    <x v="10"/>
    <x v="1"/>
    <s v="2026janeiro"/>
    <s v="tanque"/>
    <s v="sim"/>
    <s v="SEM CAUSA DESCRITA NO TEXTO"/>
    <s v="«Foi verificado que o tanque do equipamento está danificado, sendo necessário substituir o tanque do equipamento.»"/>
    <s v="Parecer DMSL constata tanque danificado sem dizer o que o danificou."/>
    <m/>
    <m/>
  </r>
  <r>
    <x v="3"/>
    <x v="0"/>
    <n v="2.8883684621389544E-2"/>
    <n v="1283"/>
    <s v="7927396052"/>
    <s v="ETO-COEP 00045/2026"/>
    <x v="0"/>
    <s v="17/02/2026"/>
    <x v="5"/>
    <x v="1"/>
    <s v="2026fevereiro"/>
    <s v="tanque"/>
    <s v="não"/>
    <s v="SEM CAUSA DESCRITA NO TEXTO"/>
    <s v="«equipe DMSL constatou que apenas o tanque do RLG 7927396052 encontra-se queimado. Favor, substituir parte ativa do equipamento.»"/>
    <s v="Fumaça no painel e tanque queimado são modo; o texto não explica a origem da queima."/>
    <m/>
    <m/>
  </r>
  <r>
    <x v="3"/>
    <x v="0"/>
    <n v="3.2006245120999227E-2"/>
    <n v="1287"/>
    <s v="7927413001"/>
    <s v="ETO-COEP 00141/2026"/>
    <x v="0"/>
    <s v="16/04/2026"/>
    <x v="3"/>
    <x v="1"/>
    <s v="2026abril"/>
    <s v="completo"/>
    <s v="não"/>
    <s v="SEM CAUSA DESCRITA NO TEXTO"/>
    <s v="«Placa de alimentação do equipamento com defeito, VERIFICAR SE É POSSIVEL  substituir o equipamento completo.»"/>
    <s v="'Placa de alimentação com defeito' é modo de falha, não mecanismo: o texto não diz curto, queima nem origem. Mesmo nível de evidência de 'relé danificado' (SS 00057) e 'problema na placa de alimentação' (SS 00074), classificados SEM CAUSA."/>
    <s v="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"/>
    <m/>
  </r>
  <r>
    <x v="3"/>
    <x v="0"/>
    <n v="2.8103044496487123E-2"/>
    <n v="1283"/>
    <s v="7927646026"/>
    <s v="ETO-COEP 00029/2026"/>
    <x v="0"/>
    <s v="09/01/2026"/>
    <x v="10"/>
    <x v="1"/>
    <s v="2026janeiro"/>
    <s v="tanque"/>
    <s v="não"/>
    <s v="SEM CAUSA DESCRITA NO TEXTO"/>
    <s v="«O religador apresenta defeito no tanque, sendo necessário substituir o tanque o mesmo está tirando a linha»"/>
    <s v="Modo: defeito no tanque que derruba a linha ('está tirando a linha'), com by-pass e troca de isoladores pedida. Nenhum mecanismo declarado — a palavra curto não aparece no texto."/>
    <s v="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"/>
    <m/>
  </r>
  <r>
    <x v="3"/>
    <x v="0"/>
    <n v="2.8103044496487123E-2"/>
    <n v="1283"/>
    <s v="7931608059"/>
    <s v="ETO-COEP 00040/2026"/>
    <x v="1"/>
    <s v="28/01/2026"/>
    <x v="10"/>
    <x v="1"/>
    <s v="2026janeiro"/>
    <s v="tanque"/>
    <s v="não"/>
    <s v="SEM CAUSA DESCRITA NO TEXTO"/>
    <s v="«foi identificado que o tanque do equipamento está danificado, sendo assim,  necessário substituir o tanque e o rádio do equipamento, que está queimado»"/>
    <s v="Tanque danificado e rádio queimado são modos de falha; nenhum porquê no texto."/>
    <m/>
    <m/>
  </r>
  <r>
    <x v="3"/>
    <x v="0"/>
    <n v="3.2006245120999227E-2"/>
    <n v="1287"/>
    <s v="7933726256"/>
    <s v="ETO-PROT 00145/2026"/>
    <x v="0"/>
    <s v="04/04/2026"/>
    <x v="3"/>
    <x v="1"/>
    <s v="2026abril"/>
    <s v="tanque"/>
    <s v="sim"/>
    <s v="SEM CAUSA DESCRITA NO TEXTO"/>
    <s v="«Equipamento com defeito na parte ativa, será necessário fazer a substituição da parte ativa»"/>
    <s v="Defeito na parte ativa sem porquê; a 'melhoria na malha de terra' pedida é recomendação, não causa declarada."/>
    <m/>
    <m/>
  </r>
  <r>
    <x v="3"/>
    <x v="0"/>
    <n v="4.449648711943794E-2"/>
    <n v="1294"/>
    <s v="7953211079"/>
    <s v="ETO-COEP 00147/2026"/>
    <x v="0"/>
    <s v="16/07/2026"/>
    <x v="4"/>
    <x v="1"/>
    <s v="2026julho"/>
    <s v="controle"/>
    <s v="não"/>
    <s v="SEM CAUSA DESCRITA NO TEXTO"/>
    <s v="«Segue nota para substituir relé religador avariado marca noja , equipamento N: 7953211079 - Itapiratins .»"/>
    <s v="Relé Noja avariado informado pelo técnico DMSL, sem laudo do porquê da avaria."/>
    <m/>
    <m/>
  </r>
  <r>
    <x v="3"/>
    <x v="0"/>
    <n v="2.8883684621389544E-2"/>
    <n v="1283"/>
    <s v="7953610256"/>
    <s v="ETO-COEP 00050/2026"/>
    <x v="0"/>
    <s v="16/02/2026"/>
    <x v="5"/>
    <x v="1"/>
    <s v="2026fevereiro"/>
    <s v="completo"/>
    <s v="sim"/>
    <s v="SEM CAUSA DESCRITA NO TEXTO"/>
    <s v="«Trocado o DPS, o mesmo estava queimado devido ao tanque estar furado.»"/>
    <s v="A cadeia documentada para no tanque furado (que queimou o DPS e gerou o curto no gabinete); o texto não diz por que o tanque furou — não especulo tiro, vandalismo ou corrosão."/>
    <m/>
    <m/>
  </r>
  <r>
    <x v="3"/>
    <x v="0"/>
    <n v="3.0444964871194385E-2"/>
    <n v="1285"/>
    <s v="7955986084"/>
    <s v="ETO-TELE 00323/2026"/>
    <x v="0"/>
    <s v="31/03/2026"/>
    <x v="0"/>
    <x v="1"/>
    <s v="2026março"/>
    <s v="controle"/>
    <s v="sim"/>
    <s v="SEM CAUSA DESCRITA NO TEXTO"/>
    <s v="«ATUALIZAR AJUSTES DO RL 7955986084 LD PARAISO A DIVINOPOLIS. IMPLEMENTAÇÃO DE PROTEÇÃO DE SUBTENSÃO (27)»"/>
    <s v="Esta SS é só de ajuste de proteção; a evidência da falha (placa de alimentação CA em curto, substituída) está na OS, fora desta descrição — não uso o que a descrição não traz."/>
    <m/>
    <m/>
  </r>
  <r>
    <x v="3"/>
    <x v="0"/>
    <n v="2.8883684621389544E-2"/>
    <n v="1283"/>
    <s v="7925744087"/>
    <s v="ETO-COEP 00059/2026"/>
    <x v="0"/>
    <s v="09/02/2026"/>
    <x v="5"/>
    <x v="1"/>
    <s v="2026fevereiro"/>
    <s v="tanque"/>
    <s v="não"/>
    <s v="UMIDADE / INFILTRAÇÃO"/>
    <s v="«foi identificado água dentro da parte interna do tanque e cabo umbilical encharcado de água»"/>
    <s v="Água dentro do tanque e cabo umbilical encharcado: infiltração explícita como origem da falha do tanque.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Na fila do posto"/>
    <n v="5800291035"/>
    <x v="0"/>
    <s v="MONTE DO CARMO"/>
    <s v="Média"/>
    <x v="0"/>
    <x v="0"/>
    <m/>
    <s v="11/08/2026"/>
    <x v="0"/>
    <n v="7"/>
    <x v="0"/>
    <x v="0"/>
    <x v="0"/>
    <x v="0"/>
    <m/>
    <x v="0"/>
    <x v="0"/>
  </r>
  <r>
    <s v="Na fila do posto"/>
    <s v="5800440256"/>
    <x v="0"/>
    <s v="MATEIROS"/>
    <s v="Muito Alta"/>
    <x v="1"/>
    <x v="0"/>
    <m/>
    <s v="06/08/2026"/>
    <x v="0"/>
    <n v="12"/>
    <x v="1"/>
    <x v="0"/>
    <x v="0"/>
    <x v="0"/>
    <m/>
    <x v="0"/>
    <x v="1"/>
  </r>
  <r>
    <s v="Na fila do posto"/>
    <s v="5800961074"/>
    <x v="0"/>
    <s v="DIANOPOLIS"/>
    <s v="Média"/>
    <x v="2"/>
    <x v="0"/>
    <m/>
    <s v="05/12/2025"/>
    <x v="1"/>
    <n v="256"/>
    <x v="1"/>
    <x v="0"/>
    <x v="0"/>
    <x v="0"/>
    <m/>
    <x v="0"/>
    <x v="1"/>
  </r>
  <r>
    <s v="Na fila do posto"/>
    <s v="5803327001"/>
    <x v="0"/>
    <s v="PORTO NACIONAL"/>
    <s v="Alta"/>
    <x v="3"/>
    <x v="0"/>
    <m/>
    <s v="20/07/2026"/>
    <x v="0"/>
    <n v="29"/>
    <x v="1"/>
    <x v="0"/>
    <x v="0"/>
    <x v="0"/>
    <m/>
    <x v="0"/>
    <x v="1"/>
  </r>
  <r>
    <s v="Na fila do posto"/>
    <s v="5825703064"/>
    <x v="0"/>
    <s v="BRASILANDIA DO TOCANTINS"/>
    <s v="—"/>
    <x v="4"/>
    <x v="0"/>
    <m/>
    <s v="21/07/2026"/>
    <x v="0"/>
    <n v="28"/>
    <x v="1"/>
    <x v="0"/>
    <x v="0"/>
    <x v="0"/>
    <m/>
    <x v="0"/>
    <x v="1"/>
  </r>
  <r>
    <s v="Na fila do posto"/>
    <s v="5836786094"/>
    <x v="0"/>
    <s v="PEIXE"/>
    <s v="Baixa"/>
    <x v="5"/>
    <x v="0"/>
    <m/>
    <s v="18/05/2026"/>
    <x v="0"/>
    <n v="92"/>
    <x v="1"/>
    <x v="0"/>
    <x v="0"/>
    <x v="0"/>
    <m/>
    <x v="0"/>
    <x v="1"/>
  </r>
  <r>
    <s v="Na fila do posto"/>
    <s v="5840227063"/>
    <x v="0"/>
    <s v="BANDEIRANTES DO TOCANTINS"/>
    <s v="Média"/>
    <x v="6"/>
    <x v="0"/>
    <m/>
    <s v="20/07/2026"/>
    <x v="0"/>
    <n v="29"/>
    <x v="1"/>
    <x v="0"/>
    <x v="0"/>
    <x v="0"/>
    <m/>
    <x v="0"/>
    <x v="1"/>
  </r>
  <r>
    <s v="Na fila do posto"/>
    <s v="5855411017"/>
    <x v="0"/>
    <s v="BARROLANDIA"/>
    <s v="Baixa"/>
    <x v="7"/>
    <x v="0"/>
    <m/>
    <s v="24/07/2026"/>
    <x v="0"/>
    <n v="25"/>
    <x v="1"/>
    <x v="0"/>
    <x v="0"/>
    <x v="0"/>
    <m/>
    <x v="0"/>
    <x v="1"/>
  </r>
  <r>
    <s v="Na fila do posto"/>
    <s v="5856156091"/>
    <x v="0"/>
    <s v="ALMAS"/>
    <s v="Baixa"/>
    <x v="8"/>
    <x v="0"/>
    <m/>
    <s v="27/07/2026"/>
    <x v="0"/>
    <n v="22"/>
    <x v="1"/>
    <x v="0"/>
    <x v="0"/>
    <x v="0"/>
    <m/>
    <x v="0"/>
    <x v="1"/>
  </r>
  <r>
    <s v="Na fila do posto"/>
    <s v="5858783119"/>
    <x v="0"/>
    <s v="SAO BENTO DO TOCANTINS"/>
    <s v="Baixa"/>
    <x v="9"/>
    <x v="0"/>
    <m/>
    <s v="31/07/2026"/>
    <x v="0"/>
    <n v="18"/>
    <x v="1"/>
    <x v="0"/>
    <x v="0"/>
    <x v="0"/>
    <m/>
    <x v="0"/>
    <x v="1"/>
  </r>
  <r>
    <s v="Na fila do posto"/>
    <s v="5862236091"/>
    <x v="0"/>
    <s v="ALMAS"/>
    <s v="Baixa"/>
    <x v="10"/>
    <x v="0"/>
    <m/>
    <s v="27/07/2026"/>
    <x v="0"/>
    <n v="22"/>
    <x v="1"/>
    <x v="0"/>
    <x v="0"/>
    <x v="0"/>
    <m/>
    <x v="0"/>
    <x v="1"/>
  </r>
  <r>
    <s v="Na fila do posto"/>
    <s v="7900453110"/>
    <x v="1"/>
    <s v="SANTA RITA DO TOCANTINS"/>
    <s v="Muito Alta"/>
    <x v="11"/>
    <x v="0"/>
    <m/>
    <s v="27/04/2026"/>
    <x v="0"/>
    <n v="113"/>
    <x v="0"/>
    <x v="0"/>
    <x v="0"/>
    <x v="0"/>
    <m/>
    <x v="0"/>
    <x v="2"/>
  </r>
  <r>
    <s v="Na fila do posto"/>
    <s v="7900525015"/>
    <x v="1"/>
    <s v="PEDRO AFONSO"/>
    <s v="Média"/>
    <x v="12"/>
    <x v="0"/>
    <m/>
    <s v="07/07/2026"/>
    <x v="0"/>
    <n v="42"/>
    <x v="1"/>
    <x v="0"/>
    <x v="0"/>
    <x v="0"/>
    <m/>
    <x v="0"/>
    <x v="1"/>
  </r>
  <r>
    <s v="Na fila do posto"/>
    <s v="7900535058"/>
    <x v="1"/>
    <s v="SANTA FE DO ARAGUAIA"/>
    <s v="Média"/>
    <x v="13"/>
    <x v="0"/>
    <m/>
    <s v="25/08/2025"/>
    <x v="1"/>
    <n v="358"/>
    <x v="1"/>
    <x v="0"/>
    <x v="0"/>
    <x v="0"/>
    <m/>
    <x v="0"/>
    <x v="1"/>
  </r>
  <r>
    <s v="Na fila do posto"/>
    <s v="7901110084"/>
    <x v="1"/>
    <s v="DIVINOPOLIS"/>
    <s v="Baixa"/>
    <x v="14"/>
    <x v="0"/>
    <m/>
    <s v="31/03/2026"/>
    <x v="0"/>
    <n v="140"/>
    <x v="1"/>
    <x v="0"/>
    <x v="0"/>
    <x v="0"/>
    <m/>
    <x v="0"/>
    <x v="1"/>
  </r>
  <r>
    <s v="Na fila do posto"/>
    <s v="7903112004"/>
    <x v="1"/>
    <s v="ARAGUAINA"/>
    <s v="Alta"/>
    <x v="15"/>
    <x v="0"/>
    <m/>
    <s v="03/09/2025"/>
    <x v="1"/>
    <n v="349"/>
    <x v="1"/>
    <x v="0"/>
    <x v="0"/>
    <x v="0"/>
    <m/>
    <x v="0"/>
    <x v="1"/>
  </r>
  <r>
    <s v="Na fila do posto"/>
    <s v="7903569004"/>
    <x v="1"/>
    <s v="ARAGUAINA"/>
    <s v="Muito Alta"/>
    <x v="16"/>
    <x v="0"/>
    <m/>
    <s v="20/07/2026"/>
    <x v="0"/>
    <n v="29"/>
    <x v="0"/>
    <x v="0"/>
    <x v="0"/>
    <x v="0"/>
    <m/>
    <x v="0"/>
    <x v="3"/>
  </r>
  <r>
    <s v="Na fila do posto"/>
    <s v="7908196047"/>
    <x v="1"/>
    <s v="FIGUEIROPOLIS"/>
    <s v="Baixa"/>
    <x v="17"/>
    <x v="0"/>
    <m/>
    <s v="03/08/2026"/>
    <x v="0"/>
    <n v="15"/>
    <x v="1"/>
    <x v="0"/>
    <x v="0"/>
    <x v="0"/>
    <m/>
    <x v="0"/>
    <x v="1"/>
  </r>
  <r>
    <s v="Na fila do posto"/>
    <s v="7908249152"/>
    <x v="1"/>
    <s v="SANTA ROSA DO TOCANTINS"/>
    <s v="Média"/>
    <x v="18"/>
    <x v="0"/>
    <m/>
    <s v="24/02/2026"/>
    <x v="0"/>
    <n v="175"/>
    <x v="1"/>
    <x v="0"/>
    <x v="0"/>
    <x v="0"/>
    <m/>
    <x v="0"/>
    <x v="1"/>
  </r>
  <r>
    <s v="Na fila do posto"/>
    <s v="7908302256"/>
    <x v="1"/>
    <s v="MATEIROS"/>
    <s v="Alta"/>
    <x v="19"/>
    <x v="0"/>
    <m/>
    <s v="11/08/2026"/>
    <x v="0"/>
    <n v="7"/>
    <x v="1"/>
    <x v="0"/>
    <x v="0"/>
    <x v="0"/>
    <m/>
    <x v="0"/>
    <x v="1"/>
  </r>
  <r>
    <s v="Na fila do posto"/>
    <s v="7910027196"/>
    <x v="1"/>
    <s v="LAGOA DO TOCANTINS"/>
    <s v="Baixa"/>
    <x v="20"/>
    <x v="0"/>
    <m/>
    <s v="22/07/2026"/>
    <x v="0"/>
    <n v="27"/>
    <x v="0"/>
    <x v="0"/>
    <x v="0"/>
    <x v="0"/>
    <m/>
    <x v="0"/>
    <x v="4"/>
  </r>
  <r>
    <s v="Na fila do posto"/>
    <s v="7913662076"/>
    <x v="1"/>
    <s v="DUERE"/>
    <s v="Baixa"/>
    <x v="21"/>
    <x v="0"/>
    <m/>
    <s v="10/06/2026"/>
    <x v="0"/>
    <n v="69"/>
    <x v="1"/>
    <x v="0"/>
    <x v="0"/>
    <x v="0"/>
    <m/>
    <x v="0"/>
    <x v="1"/>
  </r>
  <r>
    <s v="Na fila do posto"/>
    <s v="7915029003"/>
    <x v="1"/>
    <s v="GURUPI"/>
    <s v="—"/>
    <x v="22"/>
    <x v="0"/>
    <m/>
    <s v="27/01/2023"/>
    <x v="2"/>
    <n v="1299"/>
    <x v="1"/>
    <x v="0"/>
    <x v="0"/>
    <x v="0"/>
    <m/>
    <x v="0"/>
    <x v="1"/>
  </r>
  <r>
    <s v="Na fila do posto"/>
    <s v="7919270014"/>
    <x v="1"/>
    <s v="PIUM"/>
    <s v="Baixa"/>
    <x v="23"/>
    <x v="0"/>
    <m/>
    <s v="27/07/2026"/>
    <x v="0"/>
    <n v="22"/>
    <x v="1"/>
    <x v="0"/>
    <x v="0"/>
    <x v="0"/>
    <m/>
    <x v="0"/>
    <x v="1"/>
  </r>
  <r>
    <s v="Na fila do posto"/>
    <s v="7920024127"/>
    <x v="1"/>
    <s v="PALMEIRAS DO TOCANTINS"/>
    <s v="Alta"/>
    <x v="24"/>
    <x v="0"/>
    <m/>
    <s v="01/07/2025"/>
    <x v="1"/>
    <n v="413"/>
    <x v="1"/>
    <x v="0"/>
    <x v="0"/>
    <x v="0"/>
    <m/>
    <x v="0"/>
    <x v="1"/>
  </r>
  <r>
    <s v="Na fila do posto"/>
    <s v="7921202014"/>
    <x v="1"/>
    <s v="PIUM"/>
    <s v="Baixa"/>
    <x v="25"/>
    <x v="0"/>
    <m/>
    <s v="08/07/2026"/>
    <x v="0"/>
    <n v="41"/>
    <x v="1"/>
    <x v="0"/>
    <x v="0"/>
    <x v="0"/>
    <m/>
    <x v="0"/>
    <x v="1"/>
  </r>
  <r>
    <s v="Na fila do posto"/>
    <s v="7923673004"/>
    <x v="1"/>
    <s v="ARAGUAINA"/>
    <s v="Muito Alta"/>
    <x v="26"/>
    <x v="0"/>
    <m/>
    <s v="07/07/2026"/>
    <x v="0"/>
    <n v="42"/>
    <x v="1"/>
    <x v="0"/>
    <x v="0"/>
    <x v="0"/>
    <m/>
    <x v="0"/>
    <x v="1"/>
  </r>
  <r>
    <s v="Na fila do posto"/>
    <s v="7923674004"/>
    <x v="1"/>
    <s v="ARAGUAINA"/>
    <s v="—"/>
    <x v="27"/>
    <x v="0"/>
    <m/>
    <s v="25/01/2023"/>
    <x v="2"/>
    <n v="1301"/>
    <x v="1"/>
    <x v="0"/>
    <x v="0"/>
    <x v="0"/>
    <m/>
    <x v="0"/>
    <x v="1"/>
  </r>
  <r>
    <s v="Na fila do posto"/>
    <s v="7923927122"/>
    <x v="1"/>
    <s v="PALMAS"/>
    <s v="Baixa"/>
    <x v="28"/>
    <x v="0"/>
    <m/>
    <s v="16/07/2026"/>
    <x v="0"/>
    <n v="33"/>
    <x v="1"/>
    <x v="0"/>
    <x v="0"/>
    <x v="0"/>
    <m/>
    <x v="0"/>
    <x v="1"/>
  </r>
  <r>
    <s v="Na fila do posto"/>
    <s v="7925733015"/>
    <x v="1"/>
    <s v="PEDRO AFONSO"/>
    <s v="Média"/>
    <x v="29"/>
    <x v="0"/>
    <m/>
    <s v="30/03/2026"/>
    <x v="0"/>
    <n v="141"/>
    <x v="0"/>
    <x v="0"/>
    <x v="0"/>
    <x v="0"/>
    <m/>
    <x v="0"/>
    <x v="5"/>
  </r>
  <r>
    <s v="Na fila do posto"/>
    <s v="7925744087"/>
    <x v="1"/>
    <s v="GOIANORTE"/>
    <s v="Muito Alta"/>
    <x v="30"/>
    <x v="0"/>
    <m/>
    <s v="30/03/2026"/>
    <x v="0"/>
    <n v="141"/>
    <x v="1"/>
    <x v="0"/>
    <x v="0"/>
    <x v="0"/>
    <m/>
    <x v="0"/>
    <x v="1"/>
  </r>
  <r>
    <s v="Na fila do posto"/>
    <s v="7925871077"/>
    <x v="1"/>
    <s v="GOIATINS"/>
    <s v="Muito Alta"/>
    <x v="31"/>
    <x v="0"/>
    <m/>
    <s v="16/03/2026"/>
    <x v="0"/>
    <n v="155"/>
    <x v="1"/>
    <x v="0"/>
    <x v="0"/>
    <x v="0"/>
    <m/>
    <x v="0"/>
    <x v="1"/>
  </r>
  <r>
    <s v="Na fila do posto"/>
    <s v="7926089013"/>
    <x v="1"/>
    <s v="PARAISO DO TOCANTINS"/>
    <s v="Alta"/>
    <x v="32"/>
    <x v="0"/>
    <m/>
    <s v="23/04/2026"/>
    <x v="0"/>
    <n v="117"/>
    <x v="0"/>
    <x v="0"/>
    <x v="0"/>
    <x v="0"/>
    <m/>
    <x v="0"/>
    <x v="6"/>
  </r>
  <r>
    <s v="Na fila do posto"/>
    <s v="7926442035"/>
    <x v="1"/>
    <s v="MONTE DO CARMO"/>
    <s v="Baixa"/>
    <x v="33"/>
    <x v="0"/>
    <m/>
    <s v="18/03/2026"/>
    <x v="0"/>
    <n v="153"/>
    <x v="1"/>
    <x v="0"/>
    <x v="0"/>
    <x v="0"/>
    <m/>
    <x v="0"/>
    <x v="1"/>
  </r>
  <r>
    <s v="Na fila do posto"/>
    <s v="7927396052"/>
    <x v="1"/>
    <s v="FORMOSO DO ARAGUAIA"/>
    <s v="Média"/>
    <x v="34"/>
    <x v="0"/>
    <m/>
    <s v="02/03/2026"/>
    <x v="0"/>
    <n v="169"/>
    <x v="1"/>
    <x v="0"/>
    <x v="0"/>
    <x v="0"/>
    <m/>
    <x v="0"/>
    <x v="1"/>
  </r>
  <r>
    <s v="Na fila do posto"/>
    <s v="7927413001"/>
    <x v="1"/>
    <s v="PORTO NACIONAL"/>
    <s v="Muito Alta"/>
    <x v="35"/>
    <x v="0"/>
    <m/>
    <s v="13/07/2026"/>
    <x v="0"/>
    <n v="36"/>
    <x v="1"/>
    <x v="0"/>
    <x v="0"/>
    <x v="0"/>
    <m/>
    <x v="0"/>
    <x v="1"/>
  </r>
  <r>
    <s v="Na fila do posto"/>
    <s v="7927446001"/>
    <x v="1"/>
    <s v="PORTO NACIONAL"/>
    <s v="Baixa"/>
    <x v="36"/>
    <x v="0"/>
    <m/>
    <s v="08/07/2025"/>
    <x v="1"/>
    <n v="406"/>
    <x v="1"/>
    <x v="0"/>
    <x v="0"/>
    <x v="0"/>
    <m/>
    <x v="0"/>
    <x v="1"/>
  </r>
  <r>
    <s v="Na fila do posto"/>
    <s v="7927646026"/>
    <x v="1"/>
    <s v="PONTE ALTA TOCANTINS"/>
    <s v="Alta"/>
    <x v="37"/>
    <x v="0"/>
    <m/>
    <s v="04/02/2026"/>
    <x v="0"/>
    <n v="195"/>
    <x v="1"/>
    <x v="0"/>
    <x v="0"/>
    <x v="0"/>
    <m/>
    <x v="0"/>
    <x v="1"/>
  </r>
  <r>
    <s v="Na fila do posto"/>
    <s v="7927713200"/>
    <x v="1"/>
    <s v="SAO SALVADOR DO TOCANTINS"/>
    <s v="Média"/>
    <x v="38"/>
    <x v="0"/>
    <m/>
    <s v="27/07/2026"/>
    <x v="0"/>
    <n v="22"/>
    <x v="0"/>
    <x v="0"/>
    <x v="0"/>
    <x v="0"/>
    <m/>
    <x v="0"/>
    <x v="7"/>
  </r>
  <r>
    <s v="Na fila do posto"/>
    <s v="7928241200"/>
    <x v="1"/>
    <s v="SAO SALVADOR DO TOCANTINS"/>
    <s v="Baixa"/>
    <x v="39"/>
    <x v="0"/>
    <m/>
    <s v="07/07/2026"/>
    <x v="0"/>
    <n v="42"/>
    <x v="1"/>
    <x v="0"/>
    <x v="0"/>
    <x v="0"/>
    <m/>
    <x v="0"/>
    <x v="1"/>
  </r>
  <r>
    <s v="Na fila do posto"/>
    <s v="7928564039"/>
    <x v="1"/>
    <s v="ARAGUATINS"/>
    <s v="Média"/>
    <x v="40"/>
    <x v="0"/>
    <m/>
    <s v="07/07/2026"/>
    <x v="0"/>
    <n v="42"/>
    <x v="1"/>
    <x v="0"/>
    <x v="0"/>
    <x v="0"/>
    <m/>
    <x v="0"/>
    <x v="1"/>
  </r>
  <r>
    <s v="Na fila do posto"/>
    <s v="7930359149"/>
    <x v="1"/>
    <s v="CASEARA"/>
    <s v="—"/>
    <x v="41"/>
    <x v="0"/>
    <m/>
    <s v="13/07/2026"/>
    <x v="0"/>
    <n v="36"/>
    <x v="1"/>
    <x v="0"/>
    <x v="0"/>
    <x v="0"/>
    <m/>
    <x v="0"/>
    <x v="1"/>
  </r>
  <r>
    <s v="Na fila do posto"/>
    <s v="7930428001"/>
    <x v="1"/>
    <s v="PORTO NACIONAL"/>
    <s v="Alta"/>
    <x v="42"/>
    <x v="0"/>
    <m/>
    <s v="20/07/2026"/>
    <x v="0"/>
    <n v="29"/>
    <x v="1"/>
    <x v="0"/>
    <x v="0"/>
    <x v="0"/>
    <m/>
    <x v="0"/>
    <x v="1"/>
  </r>
  <r>
    <s v="Na fila do posto"/>
    <s v="7931608059"/>
    <x v="1"/>
    <s v="TAQUARALTO"/>
    <s v="Muito Alta"/>
    <x v="43"/>
    <x v="0"/>
    <m/>
    <s v="24/02/2026"/>
    <x v="0"/>
    <n v="175"/>
    <x v="0"/>
    <x v="0"/>
    <x v="0"/>
    <x v="0"/>
    <m/>
    <x v="0"/>
    <x v="5"/>
  </r>
  <r>
    <s v="Na fila do posto"/>
    <s v="7933585074"/>
    <x v="1"/>
    <s v="DIANOPOLIS"/>
    <s v="Média"/>
    <x v="44"/>
    <x v="0"/>
    <m/>
    <s v="27/01/2026"/>
    <x v="0"/>
    <n v="203"/>
    <x v="1"/>
    <x v="0"/>
    <x v="0"/>
    <x v="0"/>
    <m/>
    <x v="0"/>
    <x v="1"/>
  </r>
  <r>
    <s v="Na fila do posto"/>
    <s v="7937102148"/>
    <x v="1"/>
    <s v="SAO VALERIO DA NATIVIDADE"/>
    <s v="Média"/>
    <x v="45"/>
    <x v="0"/>
    <m/>
    <s v="07/07/2026"/>
    <x v="0"/>
    <n v="42"/>
    <x v="1"/>
    <x v="0"/>
    <x v="0"/>
    <x v="0"/>
    <m/>
    <x v="0"/>
    <x v="1"/>
  </r>
  <r>
    <s v="Na fila do posto"/>
    <s v="7938137007"/>
    <x v="1"/>
    <s v="MIRACEMA DO TOCANTINS"/>
    <s v="Baixa"/>
    <x v="46"/>
    <x v="0"/>
    <m/>
    <s v="15/07/2026"/>
    <x v="0"/>
    <n v="34"/>
    <x v="1"/>
    <x v="0"/>
    <x v="0"/>
    <x v="0"/>
    <m/>
    <x v="0"/>
    <x v="1"/>
  </r>
  <r>
    <s v="Na fila do posto"/>
    <s v="7942485096"/>
    <x v="1"/>
    <s v="PINDORAMA DO TOCANTINS"/>
    <s v="Baixa"/>
    <x v="47"/>
    <x v="0"/>
    <m/>
    <s v="23/07/2025"/>
    <x v="1"/>
    <n v="391"/>
    <x v="1"/>
    <x v="0"/>
    <x v="0"/>
    <x v="0"/>
    <m/>
    <x v="0"/>
    <x v="1"/>
  </r>
  <r>
    <s v="Na fila do posto"/>
    <s v="7944559149"/>
    <x v="1"/>
    <s v="CASEARA"/>
    <s v="Média"/>
    <x v="48"/>
    <x v="0"/>
    <m/>
    <s v="31/03/2026"/>
    <x v="0"/>
    <n v="140"/>
    <x v="1"/>
    <x v="0"/>
    <x v="0"/>
    <x v="0"/>
    <m/>
    <x v="0"/>
    <x v="1"/>
  </r>
  <r>
    <s v="Na fila do posto"/>
    <s v="7947203070"/>
    <x v="1"/>
    <s v="RIO SONO"/>
    <s v="Muito Alta"/>
    <x v="49"/>
    <x v="0"/>
    <m/>
    <s v="08/07/2026"/>
    <x v="0"/>
    <n v="41"/>
    <x v="1"/>
    <x v="0"/>
    <x v="0"/>
    <x v="0"/>
    <m/>
    <x v="0"/>
    <x v="1"/>
  </r>
  <r>
    <s v="Na fila do posto"/>
    <s v="7953211079"/>
    <x v="1"/>
    <s v="ITAPIRATINS"/>
    <s v="—"/>
    <x v="50"/>
    <x v="0"/>
    <m/>
    <s v="16/07/2026"/>
    <x v="0"/>
    <n v="33"/>
    <x v="1"/>
    <x v="0"/>
    <x v="0"/>
    <x v="0"/>
    <m/>
    <x v="0"/>
    <x v="1"/>
  </r>
  <r>
    <s v="Na fila do posto"/>
    <s v="7954668084"/>
    <x v="1"/>
    <s v="DIVINOPOLIS"/>
    <s v="Baixa"/>
    <x v="51"/>
    <x v="0"/>
    <m/>
    <s v="11/08/2026"/>
    <x v="0"/>
    <n v="7"/>
    <x v="0"/>
    <x v="0"/>
    <x v="0"/>
    <x v="0"/>
    <m/>
    <x v="0"/>
    <x v="3"/>
  </r>
  <r>
    <s v="Na fila do posto"/>
    <s v="7955946007"/>
    <x v="1"/>
    <s v="MIRACEMA DO TOCANTINS"/>
    <s v="Baixa"/>
    <x v="52"/>
    <x v="0"/>
    <m/>
    <s v="08/07/2026"/>
    <x v="0"/>
    <n v="41"/>
    <x v="0"/>
    <x v="0"/>
    <x v="0"/>
    <x v="0"/>
    <m/>
    <x v="0"/>
    <x v="8"/>
  </r>
  <r>
    <s v="Na fila do posto"/>
    <s v="7955986084"/>
    <x v="1"/>
    <s v="DIVINOPOLIS"/>
    <s v="Média"/>
    <x v="53"/>
    <x v="0"/>
    <m/>
    <s v="08/07/2026"/>
    <x v="0"/>
    <n v="41"/>
    <x v="0"/>
    <x v="0"/>
    <x v="0"/>
    <x v="0"/>
    <m/>
    <x v="0"/>
    <x v="9"/>
  </r>
  <r>
    <s v="Em outra mesa"/>
    <s v="5800371025"/>
    <x v="0"/>
    <s v="ARAPOEMA"/>
    <s v="Alta"/>
    <x v="54"/>
    <x v="0"/>
    <m/>
    <s v="30/07/2026"/>
    <x v="0"/>
    <n v="19"/>
    <x v="1"/>
    <x v="0"/>
    <x v="0"/>
    <x v="0"/>
    <s v="ETO-TELE"/>
    <x v="1"/>
    <x v="10"/>
  </r>
  <r>
    <s v="Em outra mesa"/>
    <s v="5846328094"/>
    <x v="0"/>
    <s v="PEIXE"/>
    <s v="Média"/>
    <x v="55"/>
    <x v="0"/>
    <m/>
    <s v="08/07/2026"/>
    <x v="0"/>
    <n v="41"/>
    <x v="1"/>
    <x v="0"/>
    <x v="0"/>
    <x v="0"/>
    <s v="ETO-TELE"/>
    <x v="1"/>
    <x v="10"/>
  </r>
  <r>
    <s v="Em outra mesa"/>
    <s v="5854566043"/>
    <x v="0"/>
    <s v="SILVANOPOLIS"/>
    <s v="Muito Alta"/>
    <x v="56"/>
    <x v="0"/>
    <m/>
    <s v="28/07/2026"/>
    <x v="0"/>
    <n v="21"/>
    <x v="1"/>
    <x v="0"/>
    <x v="0"/>
    <x v="0"/>
    <s v="ETO-PROT"/>
    <x v="2"/>
    <x v="10"/>
  </r>
  <r>
    <s v="Em outra mesa"/>
    <s v="5856070091"/>
    <x v="0"/>
    <s v="ALMAS"/>
    <s v="Muito Alta"/>
    <x v="57"/>
    <x v="0"/>
    <m/>
    <s v="27/07/2026"/>
    <x v="0"/>
    <n v="22"/>
    <x v="1"/>
    <x v="0"/>
    <x v="0"/>
    <x v="0"/>
    <s v="ETO-RD-DP"/>
    <x v="3"/>
    <x v="10"/>
  </r>
  <r>
    <s v="Em outra mesa"/>
    <s v="5865120195"/>
    <x v="0"/>
    <s v="CENTENARIO"/>
    <s v="Alta"/>
    <x v="58"/>
    <x v="0"/>
    <m/>
    <s v="17/08/2026"/>
    <x v="0"/>
    <n v="1"/>
    <x v="1"/>
    <x v="0"/>
    <x v="0"/>
    <x v="0"/>
    <s v="ETO-SE-PCM"/>
    <x v="1"/>
    <x v="10"/>
  </r>
  <r>
    <s v="Em outra mesa"/>
    <s v="7900117013"/>
    <x v="1"/>
    <s v="PARAISO DO TOCANTINS"/>
    <s v="Muito Alta"/>
    <x v="59"/>
    <x v="0"/>
    <m/>
    <s v="21/07/2026"/>
    <x v="0"/>
    <n v="28"/>
    <x v="1"/>
    <x v="0"/>
    <x v="0"/>
    <x v="0"/>
    <s v="ETO-PROT"/>
    <x v="2"/>
    <x v="10"/>
  </r>
  <r>
    <s v="Em outra mesa"/>
    <s v="7900230155"/>
    <x v="1"/>
    <s v="PALMEIRANTE"/>
    <s v="Muito Alta"/>
    <x v="60"/>
    <x v="0"/>
    <m/>
    <s v="17/08/2026"/>
    <x v="0"/>
    <n v="1"/>
    <x v="1"/>
    <x v="0"/>
    <x v="0"/>
    <x v="0"/>
    <s v="ETO-SE-PCM"/>
    <x v="1"/>
    <x v="10"/>
  </r>
  <r>
    <s v="Em outra mesa"/>
    <s v="7900573047"/>
    <x v="1"/>
    <s v="FIGUEIROPOLIS"/>
    <s v="Alta"/>
    <x v="61"/>
    <x v="0"/>
    <m/>
    <s v="20/07/2026"/>
    <x v="0"/>
    <n v="29"/>
    <x v="1"/>
    <x v="0"/>
    <x v="0"/>
    <x v="0"/>
    <s v="ETO-PROT"/>
    <x v="2"/>
    <x v="10"/>
  </r>
  <r>
    <s v="Em outra mesa"/>
    <s v="7900594026"/>
    <x v="1"/>
    <s v="PONTE ALTA TOCANTINS"/>
    <s v="Muito Alta"/>
    <x v="62"/>
    <x v="0"/>
    <m/>
    <s v="16/07/2026"/>
    <x v="0"/>
    <n v="33"/>
    <x v="1"/>
    <x v="0"/>
    <x v="0"/>
    <x v="0"/>
    <s v="ETO-SE-PA"/>
    <x v="1"/>
    <x v="10"/>
  </r>
  <r>
    <s v="Em outra mesa"/>
    <s v="7905357122"/>
    <x v="1"/>
    <s v="PALMAS"/>
    <s v="—"/>
    <x v="63"/>
    <x v="0"/>
    <m/>
    <s v="22/05/2026"/>
    <x v="0"/>
    <n v="88"/>
    <x v="1"/>
    <x v="0"/>
    <x v="0"/>
    <x v="0"/>
    <s v="ETO-RD-PA"/>
    <x v="3"/>
    <x v="10"/>
  </r>
  <r>
    <s v="Em outra mesa"/>
    <s v="7908686014"/>
    <x v="1"/>
    <s v="PIUM"/>
    <s v="Muito Alta"/>
    <x v="64"/>
    <x v="0"/>
    <m/>
    <s v="28/07/2026"/>
    <x v="0"/>
    <n v="21"/>
    <x v="1"/>
    <x v="0"/>
    <x v="0"/>
    <x v="0"/>
    <s v="ETO-PROT"/>
    <x v="2"/>
    <x v="10"/>
  </r>
  <r>
    <s v="Em outra mesa"/>
    <s v="7908705049"/>
    <x v="1"/>
    <s v="AURORA DO TOCANTINS"/>
    <s v="Muito Alta"/>
    <x v="65"/>
    <x v="0"/>
    <m/>
    <s v="06/07/2026"/>
    <x v="0"/>
    <n v="43"/>
    <x v="1"/>
    <x v="0"/>
    <x v="0"/>
    <x v="0"/>
    <s v="ETO-RD-DP"/>
    <x v="3"/>
    <x v="10"/>
  </r>
  <r>
    <s v="Em outra mesa"/>
    <s v="7925087021"/>
    <x v="1"/>
    <s v="PARANA"/>
    <s v="Alta"/>
    <x v="66"/>
    <x v="0"/>
    <m/>
    <s v="20/07/2026"/>
    <x v="0"/>
    <n v="29"/>
    <x v="1"/>
    <x v="0"/>
    <x v="0"/>
    <x v="0"/>
    <s v="ETO-PROT"/>
    <x v="2"/>
    <x v="10"/>
  </r>
  <r>
    <s v="Em outra mesa"/>
    <s v="7927169001"/>
    <x v="1"/>
    <s v="PORTO NACIONAL"/>
    <s v="Alta"/>
    <x v="67"/>
    <x v="0"/>
    <m/>
    <s v="21/07/2026"/>
    <x v="0"/>
    <n v="28"/>
    <x v="1"/>
    <x v="0"/>
    <x v="0"/>
    <x v="0"/>
    <s v="ETO-PROT"/>
    <x v="2"/>
    <x v="10"/>
  </r>
  <r>
    <s v="Em outra mesa"/>
    <s v="7929376022"/>
    <x v="1"/>
    <s v="BABACULANDIA"/>
    <s v="Muito Alta"/>
    <x v="68"/>
    <x v="0"/>
    <m/>
    <s v="13/08/2026"/>
    <x v="0"/>
    <n v="5"/>
    <x v="1"/>
    <x v="0"/>
    <x v="0"/>
    <x v="0"/>
    <s v="ETO-TELE"/>
    <x v="1"/>
    <x v="10"/>
  </r>
  <r>
    <s v="Em outra mesa"/>
    <s v="7933726256"/>
    <x v="1"/>
    <s v="MATEIROS"/>
    <s v="Muito Alta"/>
    <x v="69"/>
    <x v="0"/>
    <m/>
    <s v="17/08/2026"/>
    <x v="0"/>
    <n v="1"/>
    <x v="1"/>
    <x v="0"/>
    <x v="0"/>
    <x v="0"/>
    <s v="ETO-SE-PCM"/>
    <x v="1"/>
    <x v="10"/>
  </r>
  <r>
    <s v="Em outra mesa"/>
    <s v="7942572059"/>
    <x v="1"/>
    <s v="TAQUARALTO"/>
    <s v="Média"/>
    <x v="70"/>
    <x v="0"/>
    <m/>
    <s v="21/07/2026"/>
    <x v="0"/>
    <n v="28"/>
    <x v="1"/>
    <x v="0"/>
    <x v="0"/>
    <x v="0"/>
    <s v="ETO-PROT"/>
    <x v="2"/>
    <x v="10"/>
  </r>
  <r>
    <s v="Em outra mesa"/>
    <s v="7953610256"/>
    <x v="1"/>
    <s v="MATEIROS"/>
    <s v="Alta"/>
    <x v="71"/>
    <x v="0"/>
    <m/>
    <s v="28/07/2026"/>
    <x v="0"/>
    <n v="21"/>
    <x v="1"/>
    <x v="0"/>
    <x v="0"/>
    <x v="0"/>
    <s v="ETO-PROT"/>
    <x v="2"/>
    <x v="10"/>
  </r>
  <r>
    <s v="Resolvido"/>
    <s v="5800090147"/>
    <x v="0"/>
    <s v="TAIPAS DO TOCANTINS"/>
    <s v="Média"/>
    <x v="72"/>
    <x v="0"/>
    <m/>
    <s v="13/07/2026"/>
    <x v="0"/>
    <n v="102"/>
    <x v="1"/>
    <x v="1"/>
    <x v="1"/>
    <x v="1"/>
    <m/>
    <x v="0"/>
    <x v="11"/>
  </r>
  <r>
    <s v="Resolvido"/>
    <s v="5800291077"/>
    <x v="0"/>
    <s v="GOIATINS"/>
    <s v="Muito Alta"/>
    <x v="73"/>
    <x v="0"/>
    <m/>
    <s v="31/03/2026"/>
    <x v="0"/>
    <n v="49"/>
    <x v="1"/>
    <x v="2"/>
    <x v="2"/>
    <x v="0"/>
    <m/>
    <x v="0"/>
    <x v="12"/>
  </r>
  <r>
    <s v="Resolvido"/>
    <s v="5800366016"/>
    <x v="0"/>
    <s v="WANDERLANDIA"/>
    <s v="Alta"/>
    <x v="74"/>
    <x v="0"/>
    <m/>
    <s v="06/05/2026"/>
    <x v="0"/>
    <n v="235"/>
    <x v="1"/>
    <x v="2"/>
    <x v="2"/>
    <x v="0"/>
    <m/>
    <x v="0"/>
    <x v="13"/>
  </r>
  <r>
    <s v="Resolvido"/>
    <s v="5800438116"/>
    <x v="0"/>
    <s v="CHAPADA DA NATIVIDADE"/>
    <s v="Média"/>
    <x v="75"/>
    <x v="0"/>
    <m/>
    <s v="13/08/2026"/>
    <x v="0"/>
    <n v="390"/>
    <x v="1"/>
    <x v="2"/>
    <x v="2"/>
    <x v="1"/>
    <m/>
    <x v="0"/>
    <x v="13"/>
  </r>
  <r>
    <s v="Resolvido"/>
    <s v="5800859011"/>
    <x v="0"/>
    <s v="TUPIRAMA"/>
    <s v="Muito Alta"/>
    <x v="76"/>
    <x v="0"/>
    <m/>
    <s v="13/08/2026"/>
    <x v="0"/>
    <n v="77"/>
    <x v="1"/>
    <x v="2"/>
    <x v="2"/>
    <x v="1"/>
    <m/>
    <x v="0"/>
    <x v="13"/>
  </r>
  <r>
    <s v="Resolvido"/>
    <s v="5801866013"/>
    <x v="0"/>
    <s v="PARAISO DO TOCANTINS"/>
    <s v="Alta"/>
    <x v="77"/>
    <x v="0"/>
    <m/>
    <s v="14/07/2026"/>
    <x v="0"/>
    <n v="133"/>
    <x v="1"/>
    <x v="2"/>
    <x v="3"/>
    <x v="1"/>
    <m/>
    <x v="0"/>
    <x v="14"/>
  </r>
  <r>
    <s v="Resolvido"/>
    <s v="5820044123"/>
    <x v="0"/>
    <s v="AGUIARNOPOLIS"/>
    <s v="—"/>
    <x v="78"/>
    <x v="0"/>
    <m/>
    <s v="30/06/2026"/>
    <x v="0"/>
    <n v="270"/>
    <x v="1"/>
    <x v="1"/>
    <x v="1"/>
    <x v="1"/>
    <m/>
    <x v="0"/>
    <x v="15"/>
  </r>
  <r>
    <s v="Resolvido"/>
    <s v="5827102054"/>
    <x v="0"/>
    <s v="PUGMIL"/>
    <s v="Média"/>
    <x v="79"/>
    <x v="0"/>
    <m/>
    <s v="28/07/2026"/>
    <x v="0"/>
    <n v="334"/>
    <x v="1"/>
    <x v="2"/>
    <x v="3"/>
    <x v="1"/>
    <m/>
    <x v="0"/>
    <x v="16"/>
  </r>
  <r>
    <s v="Resolvido"/>
    <s v="5833723026"/>
    <x v="0"/>
    <s v="PONTE ALTA DO TOCANTINS"/>
    <s v="—"/>
    <x v="80"/>
    <x v="0"/>
    <m/>
    <s v="22/05/2026"/>
    <x v="0"/>
    <n v="617"/>
    <x v="1"/>
    <x v="1"/>
    <x v="1"/>
    <x v="1"/>
    <m/>
    <x v="0"/>
    <x v="15"/>
  </r>
  <r>
    <s v="Resolvido"/>
    <s v="5835587001"/>
    <x v="0"/>
    <s v="PORTO NACIONAL"/>
    <s v="—"/>
    <x v="81"/>
    <x v="0"/>
    <m/>
    <s v="30/06/2026"/>
    <x v="0"/>
    <n v="293"/>
    <x v="1"/>
    <x v="1"/>
    <x v="1"/>
    <x v="1"/>
    <m/>
    <x v="0"/>
    <x v="15"/>
  </r>
  <r>
    <s v="Resolvido"/>
    <s v="5836764032"/>
    <x v="0"/>
    <s v="ARAGUACU"/>
    <s v="Muito Alta"/>
    <x v="82"/>
    <x v="0"/>
    <m/>
    <s v="20/05/2026"/>
    <x v="0"/>
    <n v="302"/>
    <x v="1"/>
    <x v="2"/>
    <x v="2"/>
    <x v="1"/>
    <m/>
    <x v="0"/>
    <x v="13"/>
  </r>
  <r>
    <s v="Resolvido"/>
    <s v="5841308190"/>
    <x v="0"/>
    <s v="NOVO JARDIM"/>
    <s v="Baixa"/>
    <x v="83"/>
    <x v="0"/>
    <m/>
    <s v="18/03/2026"/>
    <x v="0"/>
    <n v="242"/>
    <x v="1"/>
    <x v="2"/>
    <x v="1"/>
    <x v="0"/>
    <m/>
    <x v="0"/>
    <x v="13"/>
  </r>
  <r>
    <s v="Resolvido"/>
    <s v="5844630060"/>
    <x v="0"/>
    <s v="NOVA OLINDA"/>
    <s v="Baixa"/>
    <x v="84"/>
    <x v="0"/>
    <m/>
    <s v="24/07/2026"/>
    <x v="0"/>
    <n v="351"/>
    <x v="1"/>
    <x v="2"/>
    <x v="4"/>
    <x v="1"/>
    <m/>
    <x v="0"/>
    <x v="17"/>
  </r>
  <r>
    <s v="Resolvido"/>
    <s v="5850308009"/>
    <x v="0"/>
    <s v="GUARAI"/>
    <s v="Média"/>
    <x v="85"/>
    <x v="0"/>
    <m/>
    <s v="13/07/2026"/>
    <x v="0"/>
    <n v="332"/>
    <x v="1"/>
    <x v="1"/>
    <x v="1"/>
    <x v="1"/>
    <m/>
    <x v="0"/>
    <x v="11"/>
  </r>
  <r>
    <s v="Resolvido"/>
    <s v="5851753086"/>
    <x v="0"/>
    <s v="MARIANOPOLIS"/>
    <s v="Média"/>
    <x v="86"/>
    <x v="0"/>
    <m/>
    <s v="25/06/2026"/>
    <x v="0"/>
    <n v="56"/>
    <x v="1"/>
    <x v="1"/>
    <x v="3"/>
    <x v="1"/>
    <m/>
    <x v="0"/>
    <x v="15"/>
  </r>
  <r>
    <s v="Resolvido"/>
    <s v="5852775092"/>
    <x v="0"/>
    <s v="NOVO ACORDO"/>
    <s v="—"/>
    <x v="87"/>
    <x v="0"/>
    <m/>
    <s v="30/06/2026"/>
    <x v="0"/>
    <n v="756"/>
    <x v="1"/>
    <x v="1"/>
    <x v="1"/>
    <x v="1"/>
    <m/>
    <x v="0"/>
    <x v="15"/>
  </r>
  <r>
    <s v="Resolvido"/>
    <s v="5854681071"/>
    <x v="0"/>
    <s v="BREJINHO DE NAZARE"/>
    <s v="—"/>
    <x v="88"/>
    <x v="0"/>
    <m/>
    <s v="29/06/2026"/>
    <x v="0"/>
    <n v="585"/>
    <x v="1"/>
    <x v="1"/>
    <x v="1"/>
    <x v="1"/>
    <m/>
    <x v="0"/>
    <x v="15"/>
  </r>
  <r>
    <s v="Resolvido"/>
    <s v="5855606027"/>
    <x v="0"/>
    <s v="PONTE ALTA DO BOM JESUS"/>
    <s v="—"/>
    <x v="89"/>
    <x v="0"/>
    <m/>
    <s v="30/06/2026"/>
    <x v="0"/>
    <n v="455"/>
    <x v="1"/>
    <x v="1"/>
    <x v="1"/>
    <x v="1"/>
    <m/>
    <x v="0"/>
    <x v="15"/>
  </r>
  <r>
    <s v="Resolvido"/>
    <s v="5855643052"/>
    <x v="0"/>
    <s v="FORMOSO DO ARAGUAIA"/>
    <s v="—"/>
    <x v="90"/>
    <x v="0"/>
    <m/>
    <s v="30/06/2026"/>
    <x v="0"/>
    <n v="315"/>
    <x v="1"/>
    <x v="1"/>
    <x v="1"/>
    <x v="1"/>
    <m/>
    <x v="0"/>
    <x v="15"/>
  </r>
  <r>
    <s v="Resolvido"/>
    <s v="5855776094"/>
    <x v="0"/>
    <s v="PEIXE"/>
    <s v="—"/>
    <x v="91"/>
    <x v="0"/>
    <m/>
    <s v="29/06/2026"/>
    <x v="0"/>
    <n v="399"/>
    <x v="1"/>
    <x v="1"/>
    <x v="1"/>
    <x v="1"/>
    <m/>
    <x v="0"/>
    <x v="15"/>
  </r>
  <r>
    <s v="Resolvido"/>
    <s v="5856825025"/>
    <x v="0"/>
    <s v="ARAPOEMA"/>
    <s v="—"/>
    <x v="92"/>
    <x v="0"/>
    <m/>
    <s v="30/06/2026"/>
    <x v="0"/>
    <n v="462"/>
    <x v="1"/>
    <x v="1"/>
    <x v="1"/>
    <x v="1"/>
    <m/>
    <x v="0"/>
    <x v="15"/>
  </r>
  <r>
    <s v="Resolvido"/>
    <s v="5860500009"/>
    <x v="0"/>
    <s v="GUARAI"/>
    <s v="—"/>
    <x v="93"/>
    <x v="0"/>
    <m/>
    <s v="30/06/2026"/>
    <x v="0"/>
    <n v="348"/>
    <x v="1"/>
    <x v="1"/>
    <x v="1"/>
    <x v="1"/>
    <m/>
    <x v="0"/>
    <x v="15"/>
  </r>
  <r>
    <s v="Resolvido"/>
    <s v="5862464001"/>
    <x v="0"/>
    <s v="PORTO NACIONAL"/>
    <s v="—"/>
    <x v="94"/>
    <x v="0"/>
    <m/>
    <s v="19/05/2026"/>
    <x v="0"/>
    <n v="207"/>
    <x v="1"/>
    <x v="2"/>
    <x v="5"/>
    <x v="0"/>
    <m/>
    <x v="0"/>
    <x v="13"/>
  </r>
  <r>
    <s v="Resolvido"/>
    <s v="5862546023"/>
    <x v="0"/>
    <s v="COLINAS DO TOCANTINS"/>
    <s v="—"/>
    <x v="95"/>
    <x v="0"/>
    <m/>
    <s v="30/06/2026"/>
    <x v="0"/>
    <n v="238"/>
    <x v="1"/>
    <x v="1"/>
    <x v="1"/>
    <x v="1"/>
    <m/>
    <x v="0"/>
    <x v="15"/>
  </r>
  <r>
    <s v="Resolvido"/>
    <s v="5863381155"/>
    <x v="0"/>
    <s v="PALMEIRANTE"/>
    <s v="—"/>
    <x v="96"/>
    <x v="0"/>
    <m/>
    <s v="30/06/2026"/>
    <x v="0"/>
    <n v="362"/>
    <x v="1"/>
    <x v="1"/>
    <x v="1"/>
    <x v="1"/>
    <m/>
    <x v="0"/>
    <x v="15"/>
  </r>
  <r>
    <s v="Resolvido"/>
    <s v="5863887001"/>
    <x v="0"/>
    <s v="PORTO NACIONAL"/>
    <s v="—"/>
    <x v="97"/>
    <x v="0"/>
    <m/>
    <s v="11/03/2026"/>
    <x v="0"/>
    <n v="112"/>
    <x v="1"/>
    <x v="1"/>
    <x v="2"/>
    <x v="1"/>
    <m/>
    <x v="0"/>
    <x v="15"/>
  </r>
  <r>
    <s v="Resolvido"/>
    <s v="7900001227"/>
    <x v="1"/>
    <s v="RECURSOLANDIA"/>
    <s v="—"/>
    <x v="98"/>
    <x v="0"/>
    <m/>
    <s v="30/06/2026"/>
    <x v="0"/>
    <n v="498"/>
    <x v="1"/>
    <x v="1"/>
    <x v="1"/>
    <x v="1"/>
    <m/>
    <x v="0"/>
    <x v="15"/>
  </r>
  <r>
    <s v="Resolvido"/>
    <s v="7900018004"/>
    <x v="1"/>
    <s v="ARAGUAINA"/>
    <s v="Alta"/>
    <x v="99"/>
    <x v="0"/>
    <m/>
    <s v="23/06/2026"/>
    <x v="0"/>
    <n v="305"/>
    <x v="1"/>
    <x v="2"/>
    <x v="2"/>
    <x v="1"/>
    <m/>
    <x v="0"/>
    <x v="13"/>
  </r>
  <r>
    <s v="Resolvido"/>
    <s v="7900236054"/>
    <x v="1"/>
    <s v="PUGMIL"/>
    <s v="—"/>
    <x v="100"/>
    <x v="0"/>
    <m/>
    <s v="07/01/2026"/>
    <x v="0"/>
    <n v="1096"/>
    <x v="1"/>
    <x v="1"/>
    <x v="3"/>
    <x v="1"/>
    <m/>
    <x v="0"/>
    <x v="15"/>
  </r>
  <r>
    <s v="Resolvido"/>
    <s v="7900275024"/>
    <x v="1"/>
    <s v="ITAPORA DO TOCANTINS"/>
    <s v="—"/>
    <x v="101"/>
    <x v="0"/>
    <m/>
    <s v="30/06/2026"/>
    <x v="0"/>
    <n v="372"/>
    <x v="1"/>
    <x v="1"/>
    <x v="1"/>
    <x v="1"/>
    <m/>
    <x v="0"/>
    <x v="18"/>
  </r>
  <r>
    <s v="Resolvido"/>
    <s v="7900505026"/>
    <x v="1"/>
    <s v="PONTE ALTA TOCANTINS"/>
    <s v="Baixa"/>
    <x v="102"/>
    <x v="0"/>
    <m/>
    <s v="14/07/2026"/>
    <x v="0"/>
    <n v="138"/>
    <x v="1"/>
    <x v="1"/>
    <x v="5"/>
    <x v="1"/>
    <m/>
    <x v="0"/>
    <x v="11"/>
  </r>
  <r>
    <s v="Resolvido"/>
    <s v="7900532053"/>
    <x v="1"/>
    <s v="PIRAQUE"/>
    <s v="Baixa"/>
    <x v="103"/>
    <x v="0"/>
    <m/>
    <s v="13/07/2026"/>
    <x v="0"/>
    <n v="413"/>
    <x v="1"/>
    <x v="1"/>
    <x v="1"/>
    <x v="1"/>
    <m/>
    <x v="0"/>
    <x v="11"/>
  </r>
  <r>
    <s v="Resolvido"/>
    <s v="7900790075"/>
    <x v="1"/>
    <s v="DOIS IRMAOS DO TOCANTINS"/>
    <s v="—"/>
    <x v="104"/>
    <x v="0"/>
    <m/>
    <s v="07/01/2026"/>
    <x v="0"/>
    <n v="315"/>
    <x v="1"/>
    <x v="1"/>
    <x v="3"/>
    <x v="1"/>
    <m/>
    <x v="0"/>
    <x v="11"/>
  </r>
  <r>
    <s v="Resolvido"/>
    <s v="7900930040"/>
    <x v="1"/>
    <s v="ARAGOMINAS"/>
    <s v="Muito Alta"/>
    <x v="105"/>
    <x v="0"/>
    <m/>
    <s v="30/04/2026"/>
    <x v="0"/>
    <n v="253"/>
    <x v="1"/>
    <x v="1"/>
    <x v="4"/>
    <x v="1"/>
    <m/>
    <x v="0"/>
    <x v="11"/>
  </r>
  <r>
    <s v="Resolvido"/>
    <s v="7901151022"/>
    <x v="1"/>
    <s v="BABACULANDIA"/>
    <s v="—"/>
    <x v="106"/>
    <x v="0"/>
    <m/>
    <s v="12/08/2026"/>
    <x v="0"/>
    <n v="11"/>
    <x v="1"/>
    <x v="2"/>
    <x v="4"/>
    <x v="1"/>
    <m/>
    <x v="0"/>
    <x v="13"/>
  </r>
  <r>
    <s v="Resolvido"/>
    <s v="7901216032"/>
    <x v="1"/>
    <s v="ARAGUACU"/>
    <s v="—"/>
    <x v="107"/>
    <x v="0"/>
    <m/>
    <s v="30/06/2026"/>
    <x v="0"/>
    <n v="372"/>
    <x v="1"/>
    <x v="1"/>
    <x v="1"/>
    <x v="1"/>
    <m/>
    <x v="0"/>
    <x v="15"/>
  </r>
  <r>
    <s v="Resolvido"/>
    <s v="7902314013"/>
    <x v="1"/>
    <s v="PARAISO DO TOCANTINS"/>
    <s v="—"/>
    <x v="108"/>
    <x v="0"/>
    <m/>
    <s v="19/06/2026"/>
    <x v="0"/>
    <n v="483"/>
    <x v="1"/>
    <x v="1"/>
    <x v="1"/>
    <x v="1"/>
    <m/>
    <x v="0"/>
    <x v="15"/>
  </r>
  <r>
    <s v="Resolvido"/>
    <s v="7908206074"/>
    <x v="1"/>
    <s v="DIANOPOLIS"/>
    <s v="Baixa"/>
    <x v="109"/>
    <x v="0"/>
    <m/>
    <s v="29/06/2026"/>
    <x v="0"/>
    <n v="439"/>
    <x v="1"/>
    <x v="1"/>
    <x v="1"/>
    <x v="1"/>
    <m/>
    <x v="0"/>
    <x v="15"/>
  </r>
  <r>
    <s v="Resolvido"/>
    <s v="7908708116"/>
    <x v="1"/>
    <s v="CHAPADA DA NATIVIDADE"/>
    <s v="Baixa"/>
    <x v="110"/>
    <x v="0"/>
    <m/>
    <s v="08/07/2026"/>
    <x v="0"/>
    <n v="166"/>
    <x v="1"/>
    <x v="2"/>
    <x v="2"/>
    <x v="0"/>
    <m/>
    <x v="0"/>
    <x v="19"/>
  </r>
  <r>
    <s v="Resolvido"/>
    <s v="7913667006"/>
    <x v="1"/>
    <s v="TOCANTINIA"/>
    <s v="—"/>
    <x v="111"/>
    <x v="0"/>
    <m/>
    <s v="22/01/2026"/>
    <x v="0"/>
    <n v="741"/>
    <x v="1"/>
    <x v="1"/>
    <x v="6"/>
    <x v="1"/>
    <m/>
    <x v="0"/>
    <x v="15"/>
  </r>
  <r>
    <s v="Resolvido"/>
    <s v="7921040031"/>
    <x v="1"/>
    <s v="RIO DOS BOIS"/>
    <s v="Muito Alta"/>
    <x v="112"/>
    <x v="0"/>
    <m/>
    <s v="12/02/2026"/>
    <x v="0"/>
    <n v="49"/>
    <x v="1"/>
    <x v="2"/>
    <x v="2"/>
    <x v="0"/>
    <m/>
    <x v="0"/>
    <x v="20"/>
  </r>
  <r>
    <s v="Resolvido"/>
    <s v="7922995039"/>
    <x v="1"/>
    <s v="ARAGUATINS"/>
    <s v="Média"/>
    <x v="113"/>
    <x v="0"/>
    <m/>
    <s v="17/08/2026"/>
    <x v="0"/>
    <n v="444"/>
    <x v="1"/>
    <x v="2"/>
    <x v="5"/>
    <x v="0"/>
    <m/>
    <x v="0"/>
    <x v="13"/>
  </r>
  <r>
    <s v="Resolvido"/>
    <s v="7925573007"/>
    <x v="1"/>
    <s v="MIRACEMA DO TOCANTINS"/>
    <s v="—"/>
    <x v="114"/>
    <x v="0"/>
    <m/>
    <s v="30/06/2026"/>
    <x v="0"/>
    <n v="608"/>
    <x v="1"/>
    <x v="1"/>
    <x v="1"/>
    <x v="1"/>
    <m/>
    <x v="0"/>
    <x v="11"/>
  </r>
  <r>
    <s v="Resolvido"/>
    <s v="7925704079"/>
    <x v="1"/>
    <s v="ITAPIRATINS"/>
    <s v="—"/>
    <x v="115"/>
    <x v="0"/>
    <m/>
    <s v="30/06/2026"/>
    <x v="0"/>
    <n v="340"/>
    <x v="1"/>
    <x v="1"/>
    <x v="1"/>
    <x v="1"/>
    <m/>
    <x v="0"/>
    <x v="15"/>
  </r>
  <r>
    <s v="Resolvido"/>
    <s v="7925737080"/>
    <x v="1"/>
    <s v="DARCINOPOLIS"/>
    <s v="—"/>
    <x v="116"/>
    <x v="0"/>
    <m/>
    <s v="13/05/2026"/>
    <x v="0"/>
    <n v="49"/>
    <x v="1"/>
    <x v="2"/>
    <x v="4"/>
    <x v="1"/>
    <m/>
    <x v="0"/>
    <x v="13"/>
  </r>
  <r>
    <s v="Resolvido"/>
    <s v="7931219078"/>
    <x v="1"/>
    <s v="ITACAJA"/>
    <s v="—"/>
    <x v="117"/>
    <x v="0"/>
    <m/>
    <s v="08/07/2026"/>
    <x v="0"/>
    <n v="380"/>
    <x v="1"/>
    <x v="1"/>
    <x v="7"/>
    <x v="1"/>
    <m/>
    <x v="0"/>
    <x v="11"/>
  </r>
  <r>
    <s v="Resolvido"/>
    <s v="7931383086"/>
    <x v="1"/>
    <s v="MARIANOPOLIS"/>
    <s v="Muito Alta"/>
    <x v="118"/>
    <x v="0"/>
    <m/>
    <s v="08/04/2026"/>
    <x v="0"/>
    <n v="337"/>
    <x v="1"/>
    <x v="2"/>
    <x v="5"/>
    <x v="1"/>
    <m/>
    <x v="0"/>
    <x v="13"/>
  </r>
  <r>
    <s v="Resolvido"/>
    <s v="7931610122"/>
    <x v="1"/>
    <s v="PALMAS"/>
    <s v="Muito Alta"/>
    <x v="119"/>
    <x v="0"/>
    <m/>
    <s v="04/08/2026"/>
    <x v="0"/>
    <n v="298"/>
    <x v="1"/>
    <x v="2"/>
    <x v="2"/>
    <x v="1"/>
    <m/>
    <x v="0"/>
    <x v="13"/>
  </r>
  <r>
    <s v="Resolvido"/>
    <s v="7933766059"/>
    <x v="1"/>
    <s v="TAQUARALTO"/>
    <s v="Muito Alta"/>
    <x v="120"/>
    <x v="0"/>
    <m/>
    <s v="03/08/2026"/>
    <x v="0"/>
    <n v="298"/>
    <x v="1"/>
    <x v="2"/>
    <x v="2"/>
    <x v="1"/>
    <m/>
    <x v="0"/>
    <x v="13"/>
  </r>
  <r>
    <s v="Resolvido"/>
    <s v="7934698002"/>
    <x v="1"/>
    <s v="TOCANTINOPOLIS"/>
    <s v="Alta"/>
    <x v="121"/>
    <x v="0"/>
    <m/>
    <s v="30/05/2026"/>
    <x v="0"/>
    <n v="389"/>
    <x v="1"/>
    <x v="2"/>
    <x v="1"/>
    <x v="0"/>
    <m/>
    <x v="0"/>
    <x v="13"/>
  </r>
  <r>
    <s v="Resolvido"/>
    <s v="7936038076"/>
    <x v="1"/>
    <s v="DUERE"/>
    <s v="Alta"/>
    <x v="122"/>
    <x v="0"/>
    <m/>
    <s v="08/07/2026"/>
    <x v="0"/>
    <n v="127"/>
    <x v="1"/>
    <x v="2"/>
    <x v="2"/>
    <x v="0"/>
    <m/>
    <x v="0"/>
    <x v="13"/>
  </r>
  <r>
    <s v="Resolvido"/>
    <s v="7936753097"/>
    <x v="1"/>
    <s v="TALISMA"/>
    <s v="—"/>
    <x v="123"/>
    <x v="0"/>
    <m/>
    <s v="30/06/2026"/>
    <x v="0"/>
    <n v="575"/>
    <x v="1"/>
    <x v="1"/>
    <x v="1"/>
    <x v="1"/>
    <m/>
    <x v="0"/>
    <x v="15"/>
  </r>
  <r>
    <s v="Resolvido"/>
    <s v="7943790134"/>
    <x v="1"/>
    <s v="ESPERANTINA"/>
    <s v="Muito Alta"/>
    <x v="124"/>
    <x v="0"/>
    <m/>
    <s v="06/06/2026"/>
    <x v="0"/>
    <n v="373"/>
    <x v="1"/>
    <x v="2"/>
    <x v="1"/>
    <x v="0"/>
    <m/>
    <x v="0"/>
    <x v="21"/>
  </r>
  <r>
    <s v="Resolvido"/>
    <s v="7944319149"/>
    <x v="1"/>
    <s v="CASEARA"/>
    <s v="Média"/>
    <x v="125"/>
    <x v="0"/>
    <m/>
    <s v="22/06/2026"/>
    <x v="0"/>
    <n v="325"/>
    <x v="1"/>
    <x v="1"/>
    <x v="1"/>
    <x v="1"/>
    <m/>
    <x v="0"/>
    <x v="15"/>
  </r>
  <r>
    <s v="Resolvido"/>
    <s v="7949660066"/>
    <x v="1"/>
    <s v="TUPIRATINS"/>
    <s v="—"/>
    <x v="126"/>
    <x v="0"/>
    <m/>
    <s v="30/06/2026"/>
    <x v="0"/>
    <n v="454"/>
    <x v="1"/>
    <x v="1"/>
    <x v="1"/>
    <x v="1"/>
    <m/>
    <x v="0"/>
    <x v="11"/>
  </r>
  <r>
    <s v="Resolvido"/>
    <s v="7950310122"/>
    <x v="1"/>
    <s v="PALMAS"/>
    <s v="—"/>
    <x v="127"/>
    <x v="0"/>
    <m/>
    <s v="14/07/2026"/>
    <x v="0"/>
    <n v="1"/>
    <x v="1"/>
    <x v="1"/>
    <x v="1"/>
    <x v="1"/>
    <m/>
    <x v="0"/>
    <x v="15"/>
  </r>
  <r>
    <s v="Resolvido"/>
    <s v="7955175004"/>
    <x v="1"/>
    <s v="ARAGUAINA"/>
    <s v="—"/>
    <x v="128"/>
    <x v="0"/>
    <m/>
    <s v="21/05/2026"/>
    <x v="0"/>
    <n v="617"/>
    <x v="1"/>
    <x v="1"/>
    <x v="1"/>
    <x v="1"/>
    <m/>
    <x v="0"/>
    <x v="15"/>
  </r>
  <r>
    <s v="Resolvido"/>
    <s v="7955430075"/>
    <x v="1"/>
    <s v="DOIS IRMAOS DO TOCANTINS"/>
    <s v="Baixa"/>
    <x v="129"/>
    <x v="0"/>
    <m/>
    <s v="31/03/2026"/>
    <x v="0"/>
    <n v="223"/>
    <x v="1"/>
    <x v="2"/>
    <x v="2"/>
    <x v="0"/>
    <m/>
    <x v="0"/>
    <x v="20"/>
  </r>
  <r>
    <s v="Resolvido"/>
    <s v="7955520116"/>
    <x v="1"/>
    <s v="CHAPADA DA NATIVIDADE"/>
    <s v="Alta"/>
    <x v="130"/>
    <x v="0"/>
    <m/>
    <s v="08/07/2026"/>
    <x v="0"/>
    <n v="361"/>
    <x v="1"/>
    <x v="2"/>
    <x v="2"/>
    <x v="0"/>
    <m/>
    <x v="0"/>
    <x v="13"/>
  </r>
  <r>
    <s v="Resolvido"/>
    <s v="7955825037"/>
    <x v="1"/>
    <s v="ALIANCA DO TOCANTINS"/>
    <s v="—"/>
    <x v="131"/>
    <x v="0"/>
    <m/>
    <s v="14/05/2026"/>
    <x v="0"/>
    <n v="552"/>
    <x v="1"/>
    <x v="1"/>
    <x v="1"/>
    <x v="1"/>
    <m/>
    <x v="0"/>
    <x v="15"/>
  </r>
  <r>
    <s v="Resolvido"/>
    <s v="7956063152"/>
    <x v="1"/>
    <s v="SANTA ROSA DO TOCANTINS"/>
    <s v="—"/>
    <x v="132"/>
    <x v="0"/>
    <m/>
    <s v="19/05/2026"/>
    <x v="0"/>
    <n v="617"/>
    <x v="1"/>
    <x v="1"/>
    <x v="1"/>
    <x v="1"/>
    <m/>
    <x v="0"/>
    <x v="15"/>
  </r>
  <r>
    <s v="Resolvido"/>
    <s v="7956117005"/>
    <x v="1"/>
    <s v="ARRAIAS"/>
    <s v="—"/>
    <x v="133"/>
    <x v="0"/>
    <m/>
    <s v="22/05/2026"/>
    <x v="0"/>
    <n v="557"/>
    <x v="1"/>
    <x v="1"/>
    <x v="1"/>
    <x v="1"/>
    <m/>
    <x v="0"/>
    <x v="15"/>
  </r>
  <r>
    <s v="Resolvido"/>
    <s v="7957126085"/>
    <x v="1"/>
    <s v="MONTE SANTO DO TOCANTINS"/>
    <s v="Média"/>
    <x v="134"/>
    <x v="0"/>
    <m/>
    <s v="20/07/2026"/>
    <x v="0"/>
    <n v="409"/>
    <x v="1"/>
    <x v="1"/>
    <x v="1"/>
    <x v="1"/>
    <m/>
    <x v="0"/>
    <x v="15"/>
  </r>
  <r>
    <s v="Resolvido"/>
    <s v="7957163122"/>
    <x v="1"/>
    <s v="PALMAS"/>
    <s v="—"/>
    <x v="135"/>
    <x v="0"/>
    <m/>
    <s v="22/06/2026"/>
    <x v="0"/>
    <n v="648"/>
    <x v="1"/>
    <x v="2"/>
    <x v="2"/>
    <x v="1"/>
    <m/>
    <x v="0"/>
    <x v="13"/>
  </r>
  <r>
    <s v="Resolvido"/>
    <s v="7957620015"/>
    <x v="1"/>
    <s v="PEDRO AFONSO"/>
    <s v="Muito Alta"/>
    <x v="136"/>
    <x v="0"/>
    <m/>
    <s v="12/06/2026"/>
    <x v="0"/>
    <n v="399"/>
    <x v="1"/>
    <x v="2"/>
    <x v="2"/>
    <x v="1"/>
    <m/>
    <x v="0"/>
    <x v="13"/>
  </r>
  <r>
    <s v="Resolvido"/>
    <s v="7959990070"/>
    <x v="1"/>
    <s v="RIO SONO"/>
    <s v="—"/>
    <x v="137"/>
    <x v="0"/>
    <m/>
    <s v="22/05/2026"/>
    <x v="0"/>
    <n v="598"/>
    <x v="1"/>
    <x v="1"/>
    <x v="1"/>
    <x v="1"/>
    <m/>
    <x v="0"/>
    <x v="15"/>
  </r>
  <r>
    <s v="Resolvido"/>
    <s v="7962635060"/>
    <x v="1"/>
    <s v="ARAGUAINA"/>
    <s v="—"/>
    <x v="138"/>
    <x v="0"/>
    <m/>
    <s v="29/06/2026"/>
    <x v="0"/>
    <n v="189"/>
    <x v="1"/>
    <x v="2"/>
    <x v="2"/>
    <x v="1"/>
    <m/>
    <x v="0"/>
    <x v="13"/>
  </r>
  <r>
    <s v="Resolvido"/>
    <s v="7963661046"/>
    <x v="1"/>
    <s v="NOVA ROSALANDIA"/>
    <s v="—"/>
    <x v="139"/>
    <x v="0"/>
    <m/>
    <s v="30/06/2026"/>
    <x v="0"/>
    <n v="151"/>
    <x v="1"/>
    <x v="1"/>
    <x v="1"/>
    <x v="1"/>
    <m/>
    <x v="0"/>
    <x v="15"/>
  </r>
  <r>
    <s v="Resolvido"/>
    <s v="7965032004"/>
    <x v="1"/>
    <s v="ARAGUAINA"/>
    <s v="—"/>
    <x v="140"/>
    <x v="0"/>
    <m/>
    <s v="10/03/2026"/>
    <x v="0"/>
    <n v="61"/>
    <x v="1"/>
    <x v="2"/>
    <x v="4"/>
    <x v="1"/>
    <m/>
    <x v="0"/>
    <x v="13"/>
  </r>
  <r>
    <s v="Resolvido"/>
    <s v="7965164065"/>
    <x v="1"/>
    <s v="AXIXA DO TOCANTINS"/>
    <s v="—"/>
    <x v="141"/>
    <x v="0"/>
    <m/>
    <s v="21/01/2026"/>
    <x v="0"/>
    <n v="75"/>
    <x v="1"/>
    <x v="2"/>
    <x v="2"/>
    <x v="1"/>
    <m/>
    <x v="0"/>
    <x v="13"/>
  </r>
  <r>
    <s v="Resolvido"/>
    <s v="7967181127"/>
    <x v="1"/>
    <s v="PALMEIRAS DO TOCANTINS"/>
    <s v="Média"/>
    <x v="142"/>
    <x v="0"/>
    <m/>
    <s v="01/07/2026"/>
    <x v="0"/>
    <n v="159"/>
    <x v="1"/>
    <x v="2"/>
    <x v="8"/>
    <x v="1"/>
    <m/>
    <x v="0"/>
    <x v="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7923673004"/>
    <x v="0"/>
    <s v="ETO-COEP 00124/2026"/>
    <x v="0"/>
    <x v="0"/>
    <s v="RL Completo 13,8"/>
    <n v="11016.94"/>
    <n v="55602.54"/>
    <n v="66619.48"/>
    <m/>
    <m/>
    <m/>
    <m/>
    <m/>
    <m/>
    <m/>
    <m/>
    <m/>
    <m/>
    <n v="5"/>
    <n v="12"/>
    <n v="144"/>
    <s v="40 - DIAS AGUARDANDO DCMD"/>
    <s v="COEP"/>
    <s v="132 - DIAS FORA DO PRAZO"/>
    <m/>
    <s v="AL04010004 - AL 4 SE ARAGUAINA I"/>
    <s v="ARAGUAINA"/>
    <s v="ARAGUAINA"/>
    <s v="NORTE"/>
  </r>
  <r>
    <s v="7931608059"/>
    <x v="0"/>
    <s v="ETO-COEP 00040/2026"/>
    <x v="0"/>
    <x v="0"/>
    <s v="Tanque 13,8"/>
    <n v="11016.94"/>
    <n v="21785.72"/>
    <n v="32802.660000000003"/>
    <m/>
    <m/>
    <m/>
    <m/>
    <m/>
    <m/>
    <m/>
    <m/>
    <m/>
    <m/>
    <n v="6"/>
    <n v="12"/>
    <n v="201"/>
    <s v="174 - DIAS AGUARDANDO DCMD"/>
    <s v="COEP"/>
    <s v="189 - DIAS FORA DO PRAZO"/>
    <m/>
    <s v="AL05099059 - AL 5 SE TAQUARALTO I I"/>
    <s v="PALMAS"/>
    <s v="TAQUARALTO"/>
    <s v="CENTRO"/>
  </r>
  <r>
    <s v="7947203070"/>
    <x v="0"/>
    <s v="ETO-COEP 00131/2026"/>
    <x v="0"/>
    <x v="0"/>
    <s v="RL Completo 34,5"/>
    <n v="13209.34"/>
    <n v="76246.2"/>
    <n v="89455.54"/>
    <m/>
    <m/>
    <m/>
    <m/>
    <m/>
    <m/>
    <m/>
    <m/>
    <m/>
    <m/>
    <n v="9"/>
    <n v="12"/>
    <n v="267"/>
    <s v="40 - DIAS AGUARDANDO DCMD"/>
    <s v="COEP"/>
    <s v="255 - DIAS FORA DO PRAZO"/>
    <m/>
    <s v=""/>
    <s v="RIO SONO"/>
    <s v="PALMAS"/>
    <s v="CENTRO"/>
  </r>
  <r>
    <s v="5856070091"/>
    <x v="1"/>
    <s v="ETO-RD-DP 00479/2026"/>
    <x v="0"/>
    <x v="1"/>
    <s v="RT Completo 400 34,5"/>
    <n v="200637"/>
    <n v="293949.59999999998"/>
    <n v="494586.6"/>
    <m/>
    <m/>
    <m/>
    <m/>
    <m/>
    <m/>
    <m/>
    <m/>
    <m/>
    <m/>
    <n v="10"/>
    <n v="12"/>
    <n v="395"/>
    <s v="20 - DIAS AGUARDANDO DCMD"/>
    <s v="COCM-S"/>
    <s v="383 - DIAS FORA DO PRAZO"/>
    <m/>
    <s v="LD04002091 - LD 04 ALMAS NATIVIDADE AO POV PRINCIPE"/>
    <s v="ALMAS"/>
    <s v="DIANOPOLIS"/>
    <s v="SUL"/>
  </r>
  <r>
    <s v="7903569004"/>
    <x v="0"/>
    <s v="ETO-COEP 00152/2026"/>
    <x v="0"/>
    <x v="0"/>
    <s v="RL Completo 13,8"/>
    <n v="11016.94"/>
    <n v="55602.54"/>
    <n v="66619.48"/>
    <m/>
    <m/>
    <m/>
    <m/>
    <m/>
    <m/>
    <m/>
    <m/>
    <m/>
    <m/>
    <n v="11"/>
    <n v="12"/>
    <n v="28"/>
    <s v="27 - DIAS AGUARDANDO DCMD"/>
    <s v="COEP"/>
    <s v="16 - DIAS FORA DO PRAZO"/>
    <m/>
    <s v="AL05010004 - AL 5 SE ARAGUAINA I"/>
    <s v="ARAGUAINA"/>
    <s v="ARAGUAINA"/>
    <s v="NORTE"/>
  </r>
  <r>
    <s v="7925744087"/>
    <x v="0"/>
    <s v="ETO-COEP 00059/2026"/>
    <x v="0"/>
    <x v="0"/>
    <s v="Tanque 34,5"/>
    <n v="13209.34"/>
    <n v="38151.480000000003"/>
    <n v="51360.820000000007"/>
    <m/>
    <m/>
    <m/>
    <m/>
    <m/>
    <m/>
    <m/>
    <m/>
    <m/>
    <m/>
    <n v="12"/>
    <n v="12"/>
    <n v="189"/>
    <s v="140 - DIAS AGUARDANDO DCMD"/>
    <s v="COEP"/>
    <s v="177 - DIAS FORA DO PRAZO"/>
    <m/>
    <s v="LD02022033 - LD COLMEIA A  COUTO MAGALHAES"/>
    <s v="GOIANORTE"/>
    <s v="GUARAI"/>
    <s v="NORTE"/>
  </r>
  <r>
    <s v="7908705049"/>
    <x v="0"/>
    <s v="ETO-RD-DP 00409/2026"/>
    <x v="0"/>
    <x v="0"/>
    <s v="RL Completo 13,8"/>
    <n v="11016.94"/>
    <n v="55602.54"/>
    <n v="66619.48"/>
    <m/>
    <m/>
    <m/>
    <m/>
    <m/>
    <m/>
    <m/>
    <m/>
    <m/>
    <m/>
    <n v="15"/>
    <n v="12"/>
    <n v="397"/>
    <s v="41 - DIAS AGUARDANDO DCMD"/>
    <s v="COCM-S"/>
    <s v="385 - DIAS FORA DO PRAZO"/>
    <m/>
    <s v="AL01015049 - AL 1 SE AURORA"/>
    <s v="AURORA DO TOCANTINS"/>
    <s v="DIANOPOLIS"/>
    <s v="SUL"/>
  </r>
  <r>
    <s v="7927413001"/>
    <x v="0"/>
    <s v="ETO-COEP 00141/2026"/>
    <x v="0"/>
    <x v="0"/>
    <s v="RL Completo 34,5"/>
    <n v="13209.34"/>
    <n v="76246.2"/>
    <n v="89455.54"/>
    <m/>
    <m/>
    <m/>
    <m/>
    <m/>
    <m/>
    <m/>
    <m/>
    <m/>
    <m/>
    <n v="21"/>
    <n v="12"/>
    <n v="140"/>
    <s v="34 - DIAS AGUARDANDO DCMD"/>
    <s v="COEP"/>
    <s v="128 - DIAS FORA DO PRAZO"/>
    <m/>
    <s v="LD01072001 - LD PORTO NACIONAL A SE PROJETO SAO JOAO"/>
    <s v="PORTO NACIONAL"/>
    <s v="PORTO NACIONAL"/>
    <s v="CENTRO"/>
  </r>
  <r>
    <s v="5800440256"/>
    <x v="1"/>
    <s v="ETO-COEP 00169/2026"/>
    <x v="0"/>
    <x v="2"/>
    <s v="Célula 200 34,5"/>
    <n v="80318.5"/>
    <n v="51705.75"/>
    <n v="132024.25"/>
    <m/>
    <m/>
    <m/>
    <m/>
    <m/>
    <m/>
    <m/>
    <m/>
    <m/>
    <m/>
    <n v="23"/>
    <n v="12"/>
    <n v="21"/>
    <s v="10 - DIAS AGUARDANDO DCMD"/>
    <s v="COEP"/>
    <s v="9 - DIAS FORA DO PRAZO"/>
    <m/>
    <s v="LD03046026 - LD UHE ISAMU A  PONTE  ALTA"/>
    <s v="MATEIROS"/>
    <s v="PONTE ALTA TOCANTINS"/>
    <s v="CENTRO"/>
  </r>
  <r>
    <s v="7900453110"/>
    <x v="0"/>
    <s v="ETO-COEP 00087/2026"/>
    <x v="0"/>
    <x v="0"/>
    <s v="RL Completo 34,5"/>
    <n v="13209.34"/>
    <n v="76246.2"/>
    <n v="89455.54"/>
    <m/>
    <m/>
    <m/>
    <m/>
    <m/>
    <m/>
    <m/>
    <m/>
    <m/>
    <m/>
    <n v="25"/>
    <n v="12"/>
    <n v="482"/>
    <s v="111 - DIAS AGUARDANDO DCMD"/>
    <s v="COEP"/>
    <s v="470 - DIAS FORA DO PRAZO"/>
    <m/>
    <s v="LD03040003 - LD GURUPI  A  ALIANCA E  TREVO DA  PRAIA"/>
    <s v="SANTA RITA DO TOCANTINS"/>
    <s v="PORTO NACIONAL"/>
    <s v="CENTRO"/>
  </r>
  <r>
    <s v="7925871077"/>
    <x v="0"/>
    <s v="ETO-COEP 00048/2026"/>
    <x v="0"/>
    <x v="0"/>
    <s v="Tanque 34,5"/>
    <n v="13209.34"/>
    <n v="38151.480000000003"/>
    <n v="51360.820000000007"/>
    <m/>
    <m/>
    <m/>
    <m/>
    <m/>
    <m/>
    <m/>
    <m/>
    <m/>
    <m/>
    <n v="26"/>
    <n v="12"/>
    <n v="154"/>
    <s v="154 - DIAS AGUARDANDO DCMD"/>
    <s v="COEP"/>
    <s v="142 - DIAS FORA DO PRAZO"/>
    <m/>
    <s v="LD03105019 - LD POV BIELANDIA A CAMPOS LINDOS"/>
    <s v="GOIATINS"/>
    <s v="COLINAS DO TOCANTINS"/>
    <s v="NORTE"/>
  </r>
  <r>
    <s v="5803327001"/>
    <x v="1"/>
    <s v="ETO-COEP 00149/2026"/>
    <x v="1"/>
    <x v="2"/>
    <s v="Controle 167 13,8"/>
    <n v="20000"/>
    <n v="23259.599999999999"/>
    <n v="43259.6"/>
    <m/>
    <m/>
    <m/>
    <m/>
    <m/>
    <m/>
    <m/>
    <m/>
    <m/>
    <m/>
    <n v="27"/>
    <n v="26"/>
    <n v="347"/>
    <s v="28 - DIAS AGUARDANDO DCMD"/>
    <s v="COEP"/>
    <s v="321 - DIAS FORA DO PRAZO"/>
    <m/>
    <s v="AL01102271 - AL 01 SE LUZIMANGUES INDUSTRIAL"/>
    <s v="PORTO NACIONAL"/>
    <s v="PORTO NACIONAL"/>
    <s v="CENTRO"/>
  </r>
  <r>
    <s v="7926089013"/>
    <x v="0"/>
    <s v="ETO-COEP 00078/2026"/>
    <x v="1"/>
    <x v="0"/>
    <s v="Controle 34,5"/>
    <n v="13209.34"/>
    <n v="38094.720000000001"/>
    <n v="51304.06"/>
    <m/>
    <m/>
    <m/>
    <m/>
    <m/>
    <m/>
    <m/>
    <m/>
    <m/>
    <m/>
    <n v="34"/>
    <n v="26"/>
    <n v="143"/>
    <s v="116 - DIAS AGUARDANDO DCMD"/>
    <s v="COEP"/>
    <s v="117 - DIAS FORA DO PRAZO"/>
    <m/>
    <s v="LD03062013 - LD PARAISO I  A  PIUM"/>
    <s v="PARAISO DO TOCANTINS"/>
    <s v="PARAISO DO TOCANTINS"/>
    <s v="CENTRO"/>
  </r>
  <r>
    <s v="5853360007"/>
    <x v="1"/>
    <s v="ETO-RD-PS 00323/2025"/>
    <x v="1"/>
    <x v="1"/>
    <s v="Acessório 400 34,5"/>
    <n v="0"/>
    <n v="15000"/>
    <n v="15000"/>
    <m/>
    <m/>
    <m/>
    <m/>
    <m/>
    <m/>
    <m/>
    <m/>
    <m/>
    <m/>
    <n v="38"/>
    <n v="26"/>
    <n v="475"/>
    <s v="304 - DIAS AGUARDANDO DCMD"/>
    <s v="COCM-C"/>
    <s v="449 - DIAS FORA DO PRAZO"/>
    <m/>
    <s v="LD05050008 - LD MIRANORTE A MIRACEMA"/>
    <s v="MIRACEMA DO TOCANTINS"/>
    <s v="MIRACEMA DO TOCANTINS"/>
    <s v="CENTRO"/>
  </r>
  <r>
    <s v="5840227063"/>
    <x v="1"/>
    <s v="ETO-COEP 00151/2026"/>
    <x v="2"/>
    <x v="2"/>
    <s v="Célula 400 34,5"/>
    <n v="80318.5"/>
    <n v="90230"/>
    <n v="170548.5"/>
    <m/>
    <m/>
    <m/>
    <m/>
    <m/>
    <m/>
    <m/>
    <m/>
    <m/>
    <m/>
    <n v="45"/>
    <n v="86"/>
    <n v="206"/>
    <s v="28 - DIAS AGUARDANDO DCMD"/>
    <s v="COEP"/>
    <s v="120 - DIAS FORA DO PRAZO"/>
    <m/>
    <s v="LD01054060 - LD NOVA OLINDA A ARAPOEMA"/>
    <s v="BANDEIRANTES DO TOCANTINS"/>
    <s v="COLINAS DO TOCANTINS"/>
    <s v="NORTE"/>
  </r>
  <r>
    <s v="7903112004"/>
    <x v="0"/>
    <s v="ETO-COEP 00184/2025"/>
    <x v="1"/>
    <x v="0"/>
    <s v="RL Completo 34,5"/>
    <n v="13209.34"/>
    <n v="76246.2"/>
    <n v="89455.54"/>
    <m/>
    <m/>
    <m/>
    <m/>
    <m/>
    <m/>
    <m/>
    <m/>
    <m/>
    <m/>
    <n v="48"/>
    <n v="26"/>
    <n v="348"/>
    <s v="347 - DIAS AGUARDANDO DCMD"/>
    <s v="COEP"/>
    <s v="322 - DIAS FORA DO PRAZO"/>
    <m/>
    <s v="LD05010004 - LD ARAGUAINA I  A  BABACULANDIA"/>
    <s v="ARAGUAINA"/>
    <s v="ARAGUAINA"/>
    <s v="NORTE"/>
  </r>
  <r>
    <s v="7920024127"/>
    <x v="0"/>
    <s v="ETO-COEP 00120/2025"/>
    <x v="1"/>
    <x v="0"/>
    <s v="RL Completo 34,5"/>
    <n v="13209.34"/>
    <n v="76246.2"/>
    <n v="89455.54"/>
    <m/>
    <m/>
    <m/>
    <m/>
    <m/>
    <m/>
    <m/>
    <m/>
    <m/>
    <m/>
    <n v="49"/>
    <n v="26"/>
    <n v="441"/>
    <s v="411 - DIAS AGUARDANDO DCMD"/>
    <s v="COEP"/>
    <s v="415 - DIAS FORA DO PRAZO"/>
    <m/>
    <s v="LD01084002 - LD TOCANTINOPOLIS A ANANAS"/>
    <s v="PALMEIRAS DO TOCANTINS"/>
    <s v="TOCANTINOPOLIS"/>
    <s v="NORTE"/>
  </r>
  <r>
    <s v="7927646026"/>
    <x v="0"/>
    <s v="ETO-COEP 00029/2026"/>
    <x v="1"/>
    <x v="0"/>
    <s v="Tanque 34,5"/>
    <n v="13209.34"/>
    <n v="38151.480000000003"/>
    <n v="51360.820000000007"/>
    <m/>
    <m/>
    <m/>
    <m/>
    <m/>
    <m/>
    <m/>
    <m/>
    <m/>
    <m/>
    <n v="50"/>
    <n v="26"/>
    <n v="220"/>
    <s v="194 - DIAS AGUARDANDO DCMD"/>
    <s v="COEP"/>
    <s v="194 - DIAS FORA DO PRAZO"/>
    <m/>
    <s v="LD03046026 - LD UHE ISAMU A  PONTE  ALTA"/>
    <s v="PONTE ALTA TOCANTINS"/>
    <s v="PONTE ALTA TOCANTINS"/>
    <s v="CENTRO"/>
  </r>
  <r>
    <s v="7930428001"/>
    <x v="0"/>
    <s v="ETO-COEP 00150/2026"/>
    <x v="1"/>
    <x v="0"/>
    <s v="Tanque 34,5"/>
    <n v="13209.34"/>
    <n v="38151.480000000003"/>
    <n v="51360.820000000007"/>
    <m/>
    <m/>
    <m/>
    <m/>
    <m/>
    <m/>
    <m/>
    <m/>
    <m/>
    <m/>
    <n v="54"/>
    <n v="26"/>
    <n v="412"/>
    <s v="28 - DIAS AGUARDANDO DCMD"/>
    <s v="COEP"/>
    <s v="386 - DIAS FORA DO PRAZO"/>
    <m/>
    <s v="LD01100001 - LD  PROJETO SAO JOAO IRRIGACAO"/>
    <s v="PORTO NACIONAL"/>
    <s v="PORTO NACIONAL"/>
    <s v="CENTRO"/>
  </r>
  <r>
    <s v="7900535058"/>
    <x v="0"/>
    <s v="ETO-COEP 00173/2025"/>
    <x v="2"/>
    <x v="0"/>
    <s v="RL Completo 34,5"/>
    <n v="13209.34"/>
    <n v="76246.2"/>
    <n v="89455.54"/>
    <m/>
    <m/>
    <m/>
    <m/>
    <m/>
    <m/>
    <m/>
    <m/>
    <m/>
    <m/>
    <n v="60"/>
    <n v="86"/>
    <n v="374"/>
    <s v="357 - DIAS AGUARDANDO DCMD"/>
    <s v="COEP"/>
    <s v="288 - DIAS FORA DO PRAZO"/>
    <m/>
    <s v="LD03010004 - LD ARAGUAINA A CARMOLA E ARAGUANA"/>
    <s v="SANTA FE DO ARAGUAIA"/>
    <s v="ARAGUAINA"/>
    <s v="NORTE"/>
  </r>
  <r>
    <s v="7927713200"/>
    <x v="0"/>
    <s v="ETO-COEP 00157/2026"/>
    <x v="2"/>
    <x v="0"/>
    <s v="Tanque 34,5"/>
    <n v="13209.34"/>
    <n v="38151.480000000003"/>
    <n v="51360.820000000007"/>
    <m/>
    <m/>
    <m/>
    <m/>
    <m/>
    <m/>
    <m/>
    <m/>
    <m/>
    <m/>
    <n v="61"/>
    <n v="86"/>
    <n v="21"/>
    <s v="20 - DIAS AGUARDANDO DCMD"/>
    <s v="COEP"/>
    <s v="VENCE EM: 65 DIAS"/>
    <m/>
    <s v="LD02010021 - LD PARANA A PALMEIROPOLIS"/>
    <s v="SAO SALVADOR DO TOCANTINS"/>
    <s v="PEIXE"/>
    <s v="SUL"/>
  </r>
  <r>
    <s v="7937102148"/>
    <x v="0"/>
    <s v="ETO-COEP 00129/2026"/>
    <x v="2"/>
    <x v="0"/>
    <s v="Tanque 34,5"/>
    <n v="13209.34"/>
    <n v="38151.480000000003"/>
    <n v="51360.820000000007"/>
    <m/>
    <m/>
    <m/>
    <m/>
    <m/>
    <m/>
    <m/>
    <m/>
    <m/>
    <m/>
    <n v="62"/>
    <n v="86"/>
    <n v="242"/>
    <s v="40 - DIAS AGUARDANDO DCMD"/>
    <s v="COEP"/>
    <s v="156 - DIAS FORA DO PRAZO"/>
    <m/>
    <s v="LD01066094 - LD UHE PEIXE A SAO VALERIO"/>
    <s v="SAO VALERIO DA NATIVIDADE"/>
    <s v="PEIXE"/>
    <s v="SUL"/>
  </r>
  <r>
    <s v="7944559149"/>
    <x v="0"/>
    <s v="ETO-COEP 00063/2026"/>
    <x v="2"/>
    <x v="0"/>
    <s v="Controle 34,5"/>
    <n v="13209.34"/>
    <n v="38094.720000000001"/>
    <n v="51304.06"/>
    <m/>
    <m/>
    <m/>
    <m/>
    <m/>
    <m/>
    <m/>
    <m/>
    <m/>
    <m/>
    <n v="63"/>
    <n v="86"/>
    <n v="153"/>
    <s v="139 - DIAS AGUARDANDO DCMD"/>
    <s v="COEP"/>
    <s v="67 - DIAS FORA DO PRAZO"/>
    <m/>
    <s v="LD01434149 - LD CASEARA A ARAGUACEMA"/>
    <s v="CASEARA"/>
    <s v="DIVINOPOLIS"/>
    <s v="CENTRO"/>
  </r>
  <r>
    <s v="5800961074"/>
    <x v="1"/>
    <s v="ETO-COEP 00221/2025"/>
    <x v="2"/>
    <x v="2"/>
    <s v="Célula 200 34,5"/>
    <n v="80318.5"/>
    <n v="51705.75"/>
    <n v="132024.25"/>
    <m/>
    <m/>
    <m/>
    <m/>
    <m/>
    <m/>
    <m/>
    <m/>
    <m/>
    <m/>
    <n v="64"/>
    <n v="86"/>
    <n v="255"/>
    <s v="254 - DIAS AGUARDANDO DCMD"/>
    <s v="COEP"/>
    <s v="169 - DIAS FORA DO PRAZO"/>
    <m/>
    <s v="LD03028074 - LD  DIANOPOLIS  A  REGIAO GERAIS"/>
    <s v="DIANOPOLIS"/>
    <s v="DIANOPOLIS"/>
    <s v="SUL"/>
  </r>
  <r>
    <s v="7908249152"/>
    <x v="0"/>
    <s v="ETO-COEP 00038/2026"/>
    <x v="2"/>
    <x v="0"/>
    <s v="RL Completo 34,5"/>
    <n v="13209.34"/>
    <n v="76246.2"/>
    <n v="89455.54"/>
    <m/>
    <m/>
    <m/>
    <m/>
    <m/>
    <m/>
    <m/>
    <m/>
    <m/>
    <m/>
    <n v="65"/>
    <n v="86"/>
    <n v="207"/>
    <s v="174 - DIAS AGUARDANDO DCMD"/>
    <s v="COEP"/>
    <s v="121 - DIAS FORA DO PRAZO"/>
    <m/>
    <s v="LD02072001 - LD PORTO NACIONAL A  SILVANOPOLIS"/>
    <s v="SANTA ROSA DO TOCANTINS"/>
    <s v="PORTO NACIONAL"/>
    <s v="CENTRO"/>
  </r>
  <r>
    <s v="7925733015"/>
    <x v="0"/>
    <s v="ETO-COEP 00058/2026"/>
    <x v="2"/>
    <x v="0"/>
    <s v="Tanque 34,5"/>
    <n v="13209.34"/>
    <n v="38151.480000000003"/>
    <n v="51360.820000000007"/>
    <m/>
    <m/>
    <m/>
    <m/>
    <m/>
    <m/>
    <m/>
    <m/>
    <m/>
    <m/>
    <n v="67"/>
    <n v="86"/>
    <n v="157"/>
    <s v="140 - DIAS AGUARDANDO DCMD"/>
    <s v="COEP"/>
    <s v="71 - DIAS FORA DO PRAZO"/>
    <m/>
    <s v=""/>
    <s v="PEDRO AFONSO"/>
    <s v="GUARAI"/>
    <s v="NORTE"/>
  </r>
  <r>
    <s v="7927396052"/>
    <x v="0"/>
    <s v="ETO-COEP 00045/2026"/>
    <x v="2"/>
    <x v="3"/>
    <s v="Tanque 34,5"/>
    <n v="13209.34"/>
    <n v="38151.480000000003"/>
    <n v="51360.820000000007"/>
    <m/>
    <m/>
    <m/>
    <m/>
    <m/>
    <m/>
    <m/>
    <m/>
    <m/>
    <m/>
    <n v="68"/>
    <n v="86"/>
    <n v="181"/>
    <s v="167 - DIAS AGUARDANDO DCMD"/>
    <s v="COEP"/>
    <s v="95 - DIAS FORA DO PRAZO"/>
    <m/>
    <s v="LD03036052 - LD FORMOSO  A  COOPERFORMOSO"/>
    <s v="FORMOSO DO ARAGUAIA"/>
    <s v="ALVORADA"/>
    <s v="SUL"/>
  </r>
  <r>
    <s v="7933585074"/>
    <x v="0"/>
    <s v="ETO-COEP 00024/2026"/>
    <x v="2"/>
    <x v="3"/>
    <s v="Tanque 34,5"/>
    <n v="13209.34"/>
    <n v="38151.480000000003"/>
    <n v="51360.820000000007"/>
    <m/>
    <m/>
    <m/>
    <m/>
    <m/>
    <m/>
    <m/>
    <m/>
    <m/>
    <m/>
    <n v="69"/>
    <n v="86"/>
    <n v="202"/>
    <s v="201 - DIAS AGUARDANDO DCMD"/>
    <s v="COEP"/>
    <s v="116 - DIAS FORA DO PRAZO"/>
    <m/>
    <s v="LD03028074 - LD  DIANOPOLIS  A  REGIAO GERAIS"/>
    <s v="DIANOPOLIS"/>
    <s v="DIANOPOLIS"/>
    <s v="SUL"/>
  </r>
  <r>
    <s v="7955986084"/>
    <x v="0"/>
    <s v="ETO-COEP 00133/2026"/>
    <x v="2"/>
    <x v="3"/>
    <s v="Controle 34,5"/>
    <n v="13209.34"/>
    <n v="38094.720000000001"/>
    <n v="51304.06"/>
    <m/>
    <m/>
    <m/>
    <m/>
    <m/>
    <m/>
    <m/>
    <m/>
    <m/>
    <m/>
    <n v="72"/>
    <n v="86"/>
    <n v="40"/>
    <s v="40 - DIAS AGUARDANDO DCMD"/>
    <s v="COEP"/>
    <s v="VENCE EM: 46 DIAS"/>
    <m/>
    <s v="LD04062013 - LD SE  PARAISO I  A DIVINOPOLIS"/>
    <s v="DIVINOPOLIS"/>
    <s v="DIVINOPOLIS"/>
    <s v="CENTRO"/>
  </r>
  <r>
    <s v="7900525015"/>
    <x v="0"/>
    <s v="ETO-COEP 00125/2026"/>
    <x v="2"/>
    <x v="3"/>
    <s v="RL Completo 34,5"/>
    <n v="13209.34"/>
    <n v="76246.2"/>
    <n v="89455.54"/>
    <m/>
    <m/>
    <m/>
    <m/>
    <m/>
    <m/>
    <m/>
    <m/>
    <m/>
    <m/>
    <n v="74"/>
    <n v="86"/>
    <n v="126"/>
    <s v="40 - DIAS AGUARDANDO DCMD"/>
    <s v="COEP"/>
    <s v="40 - DIAS FORA DO PRAZO"/>
    <m/>
    <s v=""/>
    <s v="PEDRO AFONSO"/>
    <s v="GUARAI"/>
    <s v="NORTE"/>
  </r>
  <r>
    <s v="7928564039"/>
    <x v="0"/>
    <s v="ETO-COEP 00123/2026"/>
    <x v="2"/>
    <x v="3"/>
    <s v="RL Completo 34,5"/>
    <n v="13209.34"/>
    <n v="76246.2"/>
    <n v="89455.54"/>
    <m/>
    <m/>
    <m/>
    <m/>
    <m/>
    <m/>
    <m/>
    <m/>
    <m/>
    <m/>
    <n v="75"/>
    <n v="86"/>
    <n v="445"/>
    <s v="40 - DIAS AGUARDANDO DCMD"/>
    <s v="COEP"/>
    <s v="359 - DIAS FORA DO PRAZO"/>
    <m/>
    <s v="LD02109039 - LD ARAGUATINS A  POV SOCO"/>
    <s v="ARAGUATINS"/>
    <s v="AUGUSTINOPOLIS"/>
    <s v="NORTE"/>
  </r>
  <r>
    <s v="5855411017"/>
    <x v="1"/>
    <s v="ETO-COEP 00156/2026"/>
    <x v="3"/>
    <x v="2"/>
    <s v="Controle 200 13,8"/>
    <n v="20000"/>
    <n v="23259.599999999999"/>
    <n v="43259.6"/>
    <m/>
    <m/>
    <m/>
    <m/>
    <m/>
    <m/>
    <m/>
    <m/>
    <m/>
    <m/>
    <n v="79"/>
    <n v="134"/>
    <n v="348"/>
    <s v="23 - DIAS AGUARDANDO DCMD"/>
    <s v="COEP"/>
    <s v="214 - DIAS FORA DO PRAZO"/>
    <m/>
    <s v="AL02017017 - AL 2 SE BARROLANDIA"/>
    <s v="BARROLANDIA"/>
    <s v="MIRACEMA DO TOCANTINS"/>
    <s v="CENTRO"/>
  </r>
  <r>
    <s v="7908196047"/>
    <x v="0"/>
    <s v="ETO-COEP 00168/2026"/>
    <x v="3"/>
    <x v="3"/>
    <s v="RL Completo 13,8"/>
    <n v="11016.94"/>
    <n v="55602.54"/>
    <n v="66619.48"/>
    <m/>
    <m/>
    <m/>
    <m/>
    <m/>
    <m/>
    <m/>
    <m/>
    <m/>
    <m/>
    <n v="81"/>
    <n v="134"/>
    <n v="322"/>
    <s v="13 - DIAS AGUARDANDO DCMD"/>
    <s v="COEP"/>
    <s v="188 - DIAS FORA DO PRAZO"/>
    <m/>
    <s v="AL02033047 - AL 2 SE FIGUEIROPOLIS"/>
    <s v="FIGUEIROPOLIS"/>
    <s v="ALVORADA"/>
    <s v="SUL"/>
  </r>
  <r>
    <s v="7921202014"/>
    <x v="0"/>
    <s v="ETO-COEP 00132/2026"/>
    <x v="3"/>
    <x v="3"/>
    <s v="Tanque 34,5"/>
    <n v="13209.34"/>
    <n v="38151.480000000003"/>
    <n v="51360.820000000007"/>
    <m/>
    <m/>
    <m/>
    <m/>
    <m/>
    <m/>
    <m/>
    <m/>
    <m/>
    <m/>
    <n v="82"/>
    <n v="134"/>
    <n v="183"/>
    <s v="40 - DIAS AGUARDANDO DCMD"/>
    <s v="COEP"/>
    <s v="49 - DIAS FORA DO PRAZO"/>
    <m/>
    <s v="LD01025012 - LD CRISTALANDIA A  LAGOA DA CONFUSAO"/>
    <s v="PIUM"/>
    <s v="PARAISO DO TOCANTINS"/>
    <s v="CENTRO"/>
  </r>
  <r>
    <s v="7923927122"/>
    <x v="0"/>
    <s v="ETO-COEP 00148/2026"/>
    <x v="3"/>
    <x v="3"/>
    <s v="Tanque 34,5"/>
    <n v="13209.34"/>
    <n v="38151.480000000003"/>
    <n v="51360.820000000007"/>
    <m/>
    <m/>
    <m/>
    <m/>
    <m/>
    <m/>
    <m/>
    <m/>
    <m/>
    <m/>
    <n v="83"/>
    <n v="134"/>
    <n v="477"/>
    <s v="32 - DIAS AGUARDANDO DCMD"/>
    <s v="COEP"/>
    <s v="343 - DIAS FORA DO PRAZO"/>
    <m/>
    <s v="LD02059122 - LD  PALMAS I I  A TAQUARALTO"/>
    <s v="PALMAS"/>
    <s v="PALMAS"/>
    <s v="CENTRO"/>
  </r>
  <r>
    <s v="7927446001"/>
    <x v="0"/>
    <s v="ETO-COEP 00143/2025"/>
    <x v="3"/>
    <x v="3"/>
    <s v="RL Completo 34,5"/>
    <n v="13209.34"/>
    <n v="76246.2"/>
    <n v="89455.54"/>
    <m/>
    <m/>
    <m/>
    <m/>
    <m/>
    <m/>
    <m/>
    <m/>
    <m/>
    <m/>
    <n v="84"/>
    <n v="134"/>
    <n v="417"/>
    <s v="404 - DIAS AGUARDANDO DCMD"/>
    <s v="COEP"/>
    <s v="283 - DIAS FORA DO PRAZO"/>
    <m/>
    <s v="LD02072001 - LD PORTO NACIONAL A  SILVANOPOLIS"/>
    <s v="PORTO NACIONAL"/>
    <s v="PORTO NACIONAL"/>
    <s v="CENTRO"/>
  </r>
  <r>
    <s v="7928241200"/>
    <x v="0"/>
    <s v="ETO-COEP 00128/2026"/>
    <x v="3"/>
    <x v="3"/>
    <s v="Tanque 34,5"/>
    <n v="13209.34"/>
    <n v="38151.480000000003"/>
    <n v="51360.820000000007"/>
    <m/>
    <m/>
    <m/>
    <m/>
    <m/>
    <m/>
    <m/>
    <m/>
    <m/>
    <m/>
    <n v="85"/>
    <n v="134"/>
    <n v="409"/>
    <s v="40 - DIAS AGUARDANDO DCMD"/>
    <s v="COEP"/>
    <s v="275 - DIAS FORA DO PRAZO"/>
    <m/>
    <s v="LD02066094 - LD UHE PEIXE  A  SAO SALVADOR"/>
    <s v="SAO SALVADOR DO TOCANTINS"/>
    <s v="PEIXE"/>
    <s v="SUL"/>
  </r>
  <r>
    <s v="7942485096"/>
    <x v="0"/>
    <s v="ETO-COEP 00158/2025"/>
    <x v="3"/>
    <x v="3"/>
    <s v="Tanque 34,5"/>
    <n v="13209.34"/>
    <n v="38151.480000000003"/>
    <n v="51360.820000000007"/>
    <m/>
    <m/>
    <m/>
    <m/>
    <m/>
    <m/>
    <m/>
    <m/>
    <m/>
    <m/>
    <n v="86"/>
    <n v="134"/>
    <n v="521"/>
    <s v="390 - DIAS AGUARDANDO DCMD"/>
    <s v="COEP"/>
    <s v="387 - DIAS FORA DO PRAZO"/>
    <m/>
    <s v="LD03046026 - LD UHE ISAMU A  PONTE  ALTA"/>
    <s v="PINDORAMA DO TOCANTINS"/>
    <s v="PONTE ALTA TOCANTINS"/>
    <s v="CENTRO"/>
  </r>
  <r>
    <s v="7955946007"/>
    <x v="0"/>
    <s v="ETO-COEP 00134/2026"/>
    <x v="3"/>
    <x v="3"/>
    <s v="Controle 34,5"/>
    <n v="13209.34"/>
    <n v="38094.720000000001"/>
    <n v="51304.06"/>
    <m/>
    <m/>
    <m/>
    <m/>
    <m/>
    <m/>
    <m/>
    <m/>
    <m/>
    <m/>
    <n v="89"/>
    <n v="134"/>
    <n v="40"/>
    <s v="40 - DIAS AGUARDANDO DCMD"/>
    <s v="COEP"/>
    <s v="VENCE EM: 94 DIAS"/>
    <m/>
    <s v="LD05050008 - LD MIRANORTE A MIRACEMA"/>
    <s v="MIRACEMA DO TOCANTINS"/>
    <s v="MIRACEMA DO TOCANTINS"/>
    <s v="CENTRO"/>
  </r>
  <r>
    <s v="7901110084"/>
    <x v="0"/>
    <s v="ETO-COEP 00061/2026"/>
    <x v="3"/>
    <x v="3"/>
    <s v="Tanque 34,5"/>
    <n v="13209.34"/>
    <n v="38151.480000000003"/>
    <n v="51360.820000000007"/>
    <m/>
    <m/>
    <m/>
    <m/>
    <m/>
    <m/>
    <m/>
    <m/>
    <m/>
    <m/>
    <n v="90"/>
    <n v="134"/>
    <n v="243"/>
    <s v="139 - DIAS AGUARDANDO DCMD"/>
    <s v="COEP"/>
    <s v="109 - DIAS FORA DO PRAZO"/>
    <m/>
    <s v="LD04062013 - LD SE  PARAISO I  A DIVINOPOLIS"/>
    <s v="DIVINOPOLIS"/>
    <s v="DIVINOPOLIS"/>
    <s v="CENTRO"/>
  </r>
  <r>
    <s v="7910027196"/>
    <x v="0"/>
    <s v="ETO-COEP 00154/2026"/>
    <x v="3"/>
    <x v="3"/>
    <s v="RL Completo 34,5"/>
    <n v="13209.34"/>
    <n v="76246.2"/>
    <n v="89455.54"/>
    <m/>
    <m/>
    <m/>
    <m/>
    <m/>
    <m/>
    <m/>
    <m/>
    <m/>
    <m/>
    <n v="93"/>
    <n v="134"/>
    <n v="40"/>
    <s v="26 - DIAS AGUARDANDO DCMD"/>
    <s v="COEP"/>
    <s v="VENCE EM: 94 DIAS"/>
    <m/>
    <s v="LD02059122 - LD  PALMAS I I  A TAQUARALTO"/>
    <s v="LAGOA DO TOCANTINS"/>
    <s v="TAQUARALTO"/>
    <s v="CENTRO"/>
  </r>
  <r>
    <s v="7913662076"/>
    <x v="0"/>
    <s v="ETO-COEP 00114/2026"/>
    <x v="3"/>
    <x v="3"/>
    <s v="Tanque 13,8"/>
    <n v="11016.94"/>
    <n v="21785.72"/>
    <n v="32802.660000000003"/>
    <m/>
    <m/>
    <m/>
    <m/>
    <m/>
    <m/>
    <m/>
    <m/>
    <m/>
    <m/>
    <n v="94"/>
    <n v="134"/>
    <n v="70"/>
    <s v="67 - DIAS AGUARDANDO DCMD"/>
    <s v="COEP"/>
    <s v="VENCE EM: 64 DIAS"/>
    <m/>
    <s v="AL01031076 - AL 1 SE DUERE"/>
    <s v="DUERE"/>
    <s v="GURUPI"/>
    <s v="SUL"/>
  </r>
  <r>
    <s v="5862236091"/>
    <x v="1"/>
    <s v="ETO-COEP 00158/2026"/>
    <x v="3"/>
    <x v="2"/>
    <s v="Célula 400 34,5"/>
    <n v="80318.5"/>
    <n v="90230"/>
    <n v="170548.5"/>
    <m/>
    <m/>
    <m/>
    <m/>
    <m/>
    <m/>
    <m/>
    <m/>
    <m/>
    <m/>
    <n v="95"/>
    <n v="134"/>
    <n v="252"/>
    <s v="20 - DIAS AGUARDANDO DCMD"/>
    <s v="COEP"/>
    <s v="118 - DIAS FORA DO PRAZO"/>
    <m/>
    <s v="LD05002091 - LD ALMAS  A RAMAL VALE RIO DOCE"/>
    <s v="ALMAS"/>
    <s v="DIANOPOLIS"/>
    <s v="SUL"/>
  </r>
  <r>
    <s v="5836786094"/>
    <x v="1"/>
    <s v="ETO-COEP 00095/2026"/>
    <x v="3"/>
    <x v="4"/>
    <s v="Célula 400 34,5"/>
    <n v="80318.5"/>
    <n v="90230"/>
    <n v="170548.5"/>
    <m/>
    <m/>
    <m/>
    <m/>
    <m/>
    <m/>
    <m/>
    <m/>
    <m/>
    <m/>
    <n v="96"/>
    <n v="134"/>
    <n v="123"/>
    <s v="91 - DIAS AGUARDANDO DCMD"/>
    <s v="COEP"/>
    <s v="VENCE EM: 11 DIAS"/>
    <m/>
    <s v="LD01066094 - LD UHE PEIXE A SAO VALERIO"/>
    <s v="PEIXE"/>
    <s v="PEIXE"/>
    <s v="SUL"/>
  </r>
  <r>
    <s v="7919270014"/>
    <x v="0"/>
    <s v="ETO-COEP 00159/2026"/>
    <x v="3"/>
    <x v="3"/>
    <s v="Controle 34,5"/>
    <n v="13209.34"/>
    <n v="38094.720000000001"/>
    <n v="51304.06"/>
    <m/>
    <m/>
    <m/>
    <m/>
    <m/>
    <m/>
    <m/>
    <m/>
    <m/>
    <m/>
    <n v="97"/>
    <n v="134"/>
    <n v="173"/>
    <s v="20 - DIAS AGUARDANDO DCMD"/>
    <s v="COEP"/>
    <s v="39 - DIAS FORA DO PRAZO"/>
    <m/>
    <s v="LD01047073 - LD LAGOA DA CONFUSAO A BARREIRA DA CRUZ"/>
    <s v="PIUM"/>
    <s v="PARAISO DO TOCANTINS"/>
    <s v="CENTRO"/>
  </r>
  <r>
    <s v="7926442035"/>
    <x v="0"/>
    <s v="ETO-COEP 00051/2026"/>
    <x v="3"/>
    <x v="3"/>
    <s v="Tanque 34,5"/>
    <n v="13209.34"/>
    <n v="38151.480000000003"/>
    <n v="51360.820000000007"/>
    <m/>
    <m/>
    <m/>
    <m/>
    <m/>
    <m/>
    <m/>
    <m/>
    <m/>
    <m/>
    <n v="98"/>
    <n v="134"/>
    <n v="180"/>
    <s v="151 - DIAS AGUARDANDO DCMD"/>
    <s v="COEP"/>
    <s v="46 - DIAS FORA DO PRAZO"/>
    <m/>
    <s v="LD01051035 - LD  MONTE CARMO A SANTA ROSA"/>
    <s v="MONTE DO CARMO"/>
    <s v="PONTE ALTA TOCANTINS"/>
    <s v="CENTRO"/>
  </r>
  <r>
    <s v="7938137007"/>
    <x v="0"/>
    <s v="ETO-COEP 00144/2026"/>
    <x v="3"/>
    <x v="3"/>
    <s v="RL Completo 13,8"/>
    <n v="11016.94"/>
    <n v="55602.54"/>
    <n v="66619.48"/>
    <m/>
    <m/>
    <m/>
    <m/>
    <m/>
    <m/>
    <m/>
    <m/>
    <m/>
    <m/>
    <n v="100"/>
    <n v="134"/>
    <n v="234"/>
    <s v="33 - DIAS AGUARDANDO DCMD"/>
    <s v="COEP"/>
    <s v="100 - DIAS FORA DO PRAZO"/>
    <m/>
    <s v="AL02017017 - AL 2 SE BARROLANDIA"/>
    <s v="MIRACEMA DO TOCANTINS"/>
    <s v="MIRACEMA DO TOCANTINS"/>
    <s v="CENTRO"/>
  </r>
  <r>
    <s v="5856156091"/>
    <x v="1"/>
    <s v="ETO-COEP 00160/2026"/>
    <x v="3"/>
    <x v="3"/>
    <s v="RT Completo 400 34,5"/>
    <n v="200637"/>
    <n v="293949.59999999998"/>
    <n v="494586.6"/>
    <m/>
    <m/>
    <m/>
    <m/>
    <m/>
    <m/>
    <m/>
    <m/>
    <m/>
    <m/>
    <n v="101"/>
    <n v="134"/>
    <n v="427"/>
    <s v="20 - DIAS AGUARDANDO DCMD"/>
    <s v="COEP"/>
    <s v="293 - DIAS FORA DO PRAZO"/>
    <m/>
    <s v="LD04002091 - LD 04 ALMAS NATIVIDADE AO POV PRINCIPE"/>
    <s v="ALMAS"/>
    <s v="DIANOPOLIS"/>
    <s v="SUL"/>
  </r>
  <r>
    <s v="5858783119"/>
    <x v="1"/>
    <s v="ETO-COEP 00164/2026"/>
    <x v="3"/>
    <x v="3"/>
    <s v="RT Completo 400 34,5"/>
    <n v="200637"/>
    <n v="293949.59999999998"/>
    <n v="494586.6"/>
    <m/>
    <m/>
    <m/>
    <m/>
    <m/>
    <m/>
    <m/>
    <m/>
    <m/>
    <m/>
    <n v="102"/>
    <n v="134"/>
    <n v="511"/>
    <s v="16 - DIAS AGUARDANDO DCMD"/>
    <s v="COEP"/>
    <s v="377 - DIAS FORA DO PRAZO"/>
    <m/>
    <s v="LD03005098 - LD ANANAS A CACHOEIRINHA"/>
    <s v="SAO BENTO DO TOCANTINS"/>
    <s v="TOCANTINOPOLIS"/>
    <s v="NORTE"/>
  </r>
  <r>
    <s v="7930359149"/>
    <x v="0"/>
    <s v="ETO-COEP 00138/2026"/>
    <x v="4"/>
    <x v="3"/>
    <s v="RL Completo 34,5"/>
    <n v="13209.34"/>
    <n v="76246.2"/>
    <n v="89455.54"/>
    <m/>
    <m/>
    <m/>
    <m/>
    <m/>
    <m/>
    <m/>
    <m/>
    <m/>
    <m/>
    <n v="107"/>
    <m/>
    <n v="54"/>
    <s v="35 - DIAS AGUARDANDO DCMD"/>
    <s v="COEP"/>
    <s v=""/>
    <m/>
    <s v="LD03414149 - LD CASEARA A MARIANOPOLIS"/>
    <s v="CASEARA"/>
    <s v="DIVINOPOLIS"/>
    <s v="CENTRO"/>
  </r>
  <r>
    <s v="7953211079"/>
    <x v="0"/>
    <s v="ETO-COEP 00147/2026"/>
    <x v="4"/>
    <x v="3"/>
    <s v="Controle 34,5"/>
    <n v="13209.34"/>
    <n v="38094.720000000001"/>
    <n v="51304.06"/>
    <m/>
    <m/>
    <m/>
    <m/>
    <m/>
    <m/>
    <m/>
    <m/>
    <m/>
    <m/>
    <n v="109"/>
    <m/>
    <n v="33"/>
    <s v="32 - DIAS AGUARDANDO DCMD"/>
    <s v="COEP"/>
    <s v=""/>
    <m/>
    <s v="LD03038009 - LD  GUARAI I I  A  PRES KENNEDY"/>
    <s v="ITAPIRATINS"/>
    <s v="GUARAI"/>
    <s v="NORTE"/>
  </r>
  <r>
    <s v="5825703064"/>
    <x v="1"/>
    <s v="ETO-COEP 00153/2026"/>
    <x v="4"/>
    <x v="4"/>
    <s v="Controle 200 34,5"/>
    <n v="20000"/>
    <n v="23259.599999999999"/>
    <n v="43259.6"/>
    <m/>
    <m/>
    <m/>
    <m/>
    <m/>
    <m/>
    <m/>
    <m/>
    <m/>
    <m/>
    <n v="137"/>
    <m/>
    <n v="56"/>
    <s v="26 - DIAS AGUARDANDO DCMD"/>
    <s v="COEP"/>
    <s v=""/>
    <m/>
    <s v="LD02020023 - LD COLINAS A PRES. KENNEDY"/>
    <s v="BRASILANDIA DO TOCANTINS"/>
    <s v="GUARAI"/>
    <s v="NORTE"/>
  </r>
  <r>
    <s v="7931219078"/>
    <x v="0"/>
    <s v="ETO-RD-PO 00183/2026"/>
    <x v="4"/>
    <x v="1"/>
    <s v="Acessório 34,5"/>
    <n v="0"/>
    <n v="15000"/>
    <n v="15000"/>
    <m/>
    <m/>
    <m/>
    <m/>
    <m/>
    <m/>
    <m/>
    <m/>
    <m/>
    <m/>
    <n v="145"/>
    <m/>
    <n v="420"/>
    <s v="40 - DIAS AGUARDANDO DCMD"/>
    <s v="COCM-C"/>
    <s v=""/>
    <m/>
    <s v="LD01065015 - LD PEDRO AFONSO  A SANTA.MARIA"/>
    <s v="ITACAJA"/>
    <s v="GUARAI"/>
    <s v="NOR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11C6-32F2-4F95-82F8-86006A9518E8}" name="Tabela dinâmica1" cacheId="16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D11" firstHeaderRow="0" firstDataRow="1" firstDataCol="2" rowPageCount="1" colPageCount="1"/>
  <pivotFields count="30">
    <pivotField dataField="1"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axis="axisPage" compact="0" outline="0" subtotalTop="0" showAll="0" defaultSubtotal="0">
      <items count="5">
        <item x="1"/>
        <item x="3"/>
        <item x="4"/>
        <item x="2"/>
        <item x="0"/>
      </items>
    </pivotField>
    <pivotField axis="axisRow" compact="0" outline="0" subtotalTop="0" showAll="0" defaultSubtotal="0">
      <items count="7">
        <item m="1" x="6"/>
        <item x="3"/>
        <item m="1" x="5"/>
        <item x="2"/>
        <item x="4"/>
        <item x="0"/>
        <item x="1"/>
      </items>
    </pivotField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  <pivotField dataField="1" compact="0" numFmtId="4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1"/>
    <field x="4"/>
  </rowFields>
  <rowItems count="8">
    <i>
      <x/>
      <x v="1"/>
    </i>
    <i r="1">
      <x v="3"/>
    </i>
    <i r="1">
      <x v="4"/>
    </i>
    <i r="1">
      <x v="6"/>
    </i>
    <i>
      <x v="1"/>
      <x v="1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ntagem de Ativo" fld="0" subtotal="count" baseField="0" baseItem="0"/>
    <dataField name="Soma de Orçamento Total" fld="8" baseField="0" baseItem="0" numFmtId="44"/>
  </dataFields>
  <formats count="6">
    <format dxfId="66">
      <pivotArea outline="0" fieldPosition="0">
        <references count="2">
          <reference field="1" count="0" selected="0"/>
          <reference field="4" count="0" selected="0"/>
        </references>
      </pivotArea>
    </format>
    <format dxfId="65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3"/>
          </reference>
        </references>
      </pivotArea>
    </format>
    <format dxfId="64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4"/>
          </reference>
        </references>
      </pivotArea>
    </format>
    <format dxfId="63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6"/>
          </reference>
        </references>
      </pivotArea>
    </format>
    <format dxfId="62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5"/>
          </reference>
        </references>
      </pivotArea>
    </format>
    <format dxfId="61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251D-100A-48FF-894A-B1F1EC1A96E2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L6" firstHeaderRow="1" firstDataRow="2" firstDataCol="0" rowPageCount="3" colPageCount="1"/>
  <pivotFields count="18">
    <pivotField showAll="0"/>
    <pivotField axis="axisPage" multipleItemSelectionAllowed="1" showAll="0">
      <items count="3">
        <item x="0"/>
        <item x="1"/>
        <item t="default"/>
      </items>
    </pivotField>
    <pivotField numFmtId="10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Col" showAll="0">
      <items count="13">
        <item x="10"/>
        <item x="5"/>
        <item x="0"/>
        <item x="3"/>
        <item x="7"/>
        <item x="6"/>
        <item x="4"/>
        <item x="8"/>
        <item x="2"/>
        <item x="1"/>
        <item x="11"/>
        <item x="9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9" hier="-1"/>
    <pageField fld="1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2AD3-6940-4E21-9DAC-C0476A482156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8" firstHeaderRow="1" firstDataRow="1" firstDataCol="1"/>
  <pivotFields count="18">
    <pivotField axis="axisRow" showAll="0">
      <items count="5">
        <item x="0"/>
        <item x="3"/>
        <item x="1"/>
        <item x="2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ata" fld="7" subtotal="count" baseField="0" baseItem="0"/>
  </dataFields>
  <formats count="8"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E1B9-938A-49AF-AE0F-1BCDBCB77892}" name="Tabela dinâmica5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10" firstHeaderRow="1" firstDataRow="2" firstDataCol="1" rowPageCount="4" colPageCount="1"/>
  <pivotFields count="18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144">
        <item x="27"/>
        <item x="22"/>
        <item x="44"/>
        <item x="88"/>
        <item x="37"/>
        <item x="18"/>
        <item x="43"/>
        <item x="34"/>
        <item x="31"/>
        <item x="139"/>
        <item x="33"/>
        <item x="29"/>
        <item x="30"/>
        <item x="14"/>
        <item x="109"/>
        <item x="48"/>
        <item x="32"/>
        <item x="11"/>
        <item x="132"/>
        <item x="121"/>
        <item x="5"/>
        <item x="126"/>
        <item x="98"/>
        <item x="91"/>
        <item x="103"/>
        <item x="89"/>
        <item x="87"/>
        <item x="92"/>
        <item x="101"/>
        <item x="21"/>
        <item x="107"/>
        <item x="72"/>
        <item x="114"/>
        <item x="24"/>
        <item x="40"/>
        <item x="26"/>
        <item x="128"/>
        <item x="12"/>
        <item x="80"/>
        <item x="85"/>
        <item x="39"/>
        <item x="45"/>
        <item x="49"/>
        <item x="25"/>
        <item x="53"/>
        <item x="52"/>
        <item x="127"/>
        <item x="41"/>
        <item x="35"/>
        <item x="36"/>
        <item x="46"/>
        <item x="134"/>
        <item x="50"/>
        <item x="28"/>
        <item x="3"/>
        <item x="42"/>
        <item x="6"/>
        <item x="131"/>
        <item x="108"/>
        <item x="16"/>
        <item x="4"/>
        <item x="20"/>
        <item x="7"/>
        <item x="133"/>
        <item x="38"/>
        <item x="47"/>
        <item x="10"/>
        <item x="23"/>
        <item x="8"/>
        <item x="123"/>
        <item x="9"/>
        <item x="17"/>
        <item x="1"/>
        <item x="137"/>
        <item x="96"/>
        <item x="13"/>
        <item x="0"/>
        <item x="19"/>
        <item x="93"/>
        <item x="51"/>
        <item x="124"/>
        <item x="90"/>
        <item x="15"/>
        <item x="115"/>
        <item x="83"/>
        <item x="81"/>
        <item x="125"/>
        <item x="78"/>
        <item x="95"/>
        <item x="2"/>
        <item x="118"/>
        <item x="94"/>
        <item x="113"/>
        <item x="102"/>
        <item x="66"/>
        <item x="61"/>
        <item x="59"/>
        <item x="70"/>
        <item x="67"/>
        <item x="71"/>
        <item x="56"/>
        <item x="64"/>
        <item x="142"/>
        <item x="140"/>
        <item x="105"/>
        <item x="116"/>
        <item x="84"/>
        <item x="106"/>
        <item x="65"/>
        <item x="57"/>
        <item x="111"/>
        <item x="63"/>
        <item x="117"/>
        <item x="104"/>
        <item x="100"/>
        <item x="86"/>
        <item x="79"/>
        <item x="77"/>
        <item x="62"/>
        <item x="60"/>
        <item x="58"/>
        <item x="69"/>
        <item x="141"/>
        <item x="97"/>
        <item x="112"/>
        <item x="135"/>
        <item x="73"/>
        <item x="74"/>
        <item x="82"/>
        <item x="99"/>
        <item x="136"/>
        <item x="138"/>
        <item x="110"/>
        <item x="130"/>
        <item x="122"/>
        <item x="129"/>
        <item x="55"/>
        <item x="120"/>
        <item x="119"/>
        <item x="76"/>
        <item x="75"/>
        <item x="54"/>
        <item x="68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1"/>
        <item x="5"/>
        <item x="8"/>
        <item x="4"/>
        <item x="6"/>
        <item x="7"/>
        <item x="3"/>
        <item x="2"/>
        <item x="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24">
        <item x="11"/>
        <item x="3"/>
        <item x="7"/>
        <item x="9"/>
        <item x="4"/>
        <item x="8"/>
        <item x="0"/>
        <item x="2"/>
        <item x="6"/>
        <item x="5"/>
        <item x="15"/>
        <item x="18"/>
        <item x="13"/>
        <item x="14"/>
        <item x="16"/>
        <item x="17"/>
        <item x="19"/>
        <item x="21"/>
        <item x="20"/>
        <item x="22"/>
        <item x="12"/>
        <item x="1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9" hier="-1"/>
    <pageField fld="5" hier="-1"/>
    <pageField fld="14" hier="-1"/>
    <pageField fld="13" hier="-1"/>
  </pageFields>
  <dataFields count="1">
    <dataField name="Contagem de Ativo" fld="1" subtotal="count" baseField="0" baseItem="0"/>
  </dataFields>
  <formats count="1">
    <format dxfId="1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70C016-2A3B-4A3B-9580-EFC5A98879F9}" autoFormatId="16" applyNumberFormats="0" applyBorderFormats="0" applyFontFormats="0" applyPatternFormats="0" applyAlignmentFormats="0" applyWidthHeightFormats="0">
  <queryTableRefresh nextId="65">
    <queryTableFields count="64">
      <queryTableField id="1" name="NUMERO_SS" tableColumnId="1"/>
      <queryTableField id="2" name="NUMERO_OS" tableColumnId="2"/>
      <queryTableField id="3" name="NUM_OBRA" tableColumnId="3"/>
      <queryTableField id="4" name="ORIGEM_SS" tableColumnId="4"/>
      <queryTableField id="5" name="DEFEITO_SS" tableColumnId="5"/>
      <queryTableField id="6" name="ORIGEM" tableColumnId="6"/>
      <queryTableField id="7" name="DEFEITO" tableColumnId="7"/>
      <queryTableField id="8" name="ESQUEMA" tableColumnId="8"/>
      <queryTableField id="9" name="TASK" tableColumnId="9"/>
      <queryTableField id="10" name="ANO" tableColumnId="10"/>
      <queryTableField id="11" name="ORG_SOLIC" tableColumnId="11"/>
      <queryTableField id="12" name="COD_EQUIPE" tableColumnId="12"/>
      <queryTableField id="13" name="ALIMENTADOR" tableColumnId="13"/>
      <queryTableField id="14" name="NUM_TRAFO" tableColumnId="14"/>
      <queryTableField id="15" name="COORD_X" tableColumnId="15"/>
      <queryTableField id="16" name="COORD_Y" tableColumnId="16"/>
      <queryTableField id="17" name="COD_GIS" tableColumnId="17"/>
      <queryTableField id="18" name="CRITICIDADE_SS" tableColumnId="18"/>
      <queryTableField id="19" name="SITUACAO_SS" tableColumnId="19"/>
      <queryTableField id="20" name="DATA_ABERTURA_SS" tableColumnId="20"/>
      <queryTableField id="21" name="DATA_TERMINO_SS" tableColumnId="21"/>
      <queryTableField id="22" name="DATA_LIMITE_SS" tableColumnId="22"/>
      <queryTableField id="23" name="DESCICAO_DO_ATIVO" tableColumnId="23"/>
      <queryTableField id="24" name="LOCALIDADE" tableColumnId="24"/>
      <queryTableField id="25" name="SOLICITANTE" tableColumnId="25"/>
      <queryTableField id="26" name="RURA_URBANO" tableColumnId="26"/>
      <queryTableField id="27" name="TIPOSS" tableColumnId="27"/>
      <queryTableField id="28" name="DESCRIPTION_SS" tableColumnId="28"/>
      <queryTableField id="29" name="DESCRICAO_OS" tableColumnId="29"/>
      <queryTableField id="30" name="NS_RETIRADO" tableColumnId="30"/>
      <queryTableField id="31" name="TOMBAMENTO_RETIRADO" tableColumnId="31"/>
      <queryTableField id="32" name="FABRICANTE_INSTALADO" tableColumnId="32"/>
      <queryTableField id="33" name="FABRICANTE_RETIRADO" tableColumnId="33"/>
      <queryTableField id="34" name="DATA_FABRICACAO_INSTALADO" tableColumnId="34"/>
      <queryTableField id="35" name="DATA_FABRICACAO_RETIRADO" tableColumnId="35"/>
      <queryTableField id="36" name="NS_INSTALADO" tableColumnId="36"/>
      <queryTableField id="37" name="TOMBAMENTO_INSTALADO" tableColumnId="37"/>
      <queryTableField id="38" name="NUM_INT" tableColumnId="38"/>
      <queryTableField id="39" name="REFORMADORA_DESAT" tableColumnId="39"/>
      <queryTableField id="40" name="REFORMADORA_DESAT_1" tableColumnId="40"/>
      <queryTableField id="41" name="DATA_REFORMA_INST" tableColumnId="41"/>
      <queryTableField id="42" name="DATA_REFORMA_RET" tableColumnId="42"/>
      <queryTableField id="43" name="POTENCIA_INST" tableColumnId="43"/>
      <queryTableField id="44" name="POTENCIA_RET" tableColumnId="44"/>
      <queryTableField id="45" name="FEITO_COLA_E_FITA" tableColumnId="45"/>
      <queryTableField id="46" name="QTD_CLIENTES" tableColumnId="46"/>
      <queryTableField id="47" name="ATERRAMENTO_ESTA_CONECTADO_AO_TANQUE_DO_TRAFO" tableColumnId="47"/>
      <queryTableField id="48" name="EQUIPAMENTO_APRESENTA_VAZAMENTO_DE_OLEO" tableColumnId="48"/>
      <queryTableField id="49" name="EXISTE_VEGETAÇÃO_TOCANDO_A_REDE_BT_OU_MT" tableColumnId="49"/>
      <queryTableField id="50" name="FEZ_MELHORIA_DE_ATERRAMENTO" tableColumnId="50"/>
      <queryTableField id="51" name="INSTALOU_ALGUM_ESPAÇADOR" tableColumnId="51"/>
      <queryTableField id="52" name="PARA_RAIOS_INSTALADO_SUBSTITUIDO" tableColumnId="52"/>
      <queryTableField id="53" name="PROVÁVEL_MOTIVO_DO_DEFEITO" tableColumnId="53"/>
      <queryTableField id="54" name="QUAL_ELO_INSTALADO_NO_LOCAL" tableColumnId="54"/>
      <queryTableField id="55" name="TIPO_DE_BARRAMENTO" tableColumnId="55"/>
      <queryTableField id="56" name="MEDIÇÃO_DE_ATERRAMENTO_ANTES_X1" tableColumnId="56"/>
      <queryTableField id="57" name="MEDIÇÃO_DE_ATERRAMENTO_ANTES_X2" tableColumnId="57"/>
      <queryTableField id="58" name="MEDIÇÃO_DE_ATERRAMENTO_ANTES_X3" tableColumnId="58"/>
      <queryTableField id="59" name="MEDIÇÃO_DE_ATERRAMENTO_X1" tableColumnId="59"/>
      <queryTableField id="60" name="MEDIÇÃO_DE_ATERRAMENTO_X2" tableColumnId="60"/>
      <queryTableField id="61" name="MEDIÇÃO_DE_ATERRAMENTO_X3" tableColumnId="61"/>
      <queryTableField id="62" name="TRAFO_INSTALADO_É_REFORMADO" tableColumnId="62"/>
      <queryTableField id="63" name="REFORMADORA_INSTALADO" tableColumnId="63"/>
      <queryTableField id="64" name="TRANSFORMADOR_RETIRADO_É_REFORMADO" tableColumnId="6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54" headerRowDxfId="60">
  <autoFilter ref="A1:AD54" xr:uid="{00000000-000C-0000-FFFF-FFFF00000000}">
    <filterColumn colId="1">
      <filters>
        <filter val="79"/>
      </filters>
    </filterColumn>
    <filterColumn colId="4">
      <filters>
        <filter val="Avaliar compra"/>
      </filters>
    </filterColumn>
  </autoFilter>
  <tableColumns count="30">
    <tableColumn id="1" xr3:uid="{00000000-0010-0000-0000-000001000000}" name="Ativo"/>
    <tableColumn id="30" xr3:uid="{7A31F433-20E4-4A21-89DA-AC5867CD4E93}" name="Tipo" dataDxfId="59">
      <calculatedColumnFormula>LEFT(Table1[[#This Row],[Ativo]],2)</calculatedColumnFormula>
    </tableColumn>
    <tableColumn id="14" xr3:uid="{EDFE8C0F-C9A4-49EA-B80E-786D1AE90468}" name="SS SGM"/>
    <tableColumn id="2" xr3:uid="{00000000-0010-0000-0000-000002000000}" name="Criticidade"/>
    <tableColumn id="17" xr3:uid="{E6ADC558-E059-4AC4-95D7-84FF312F6C1C}" name="Status"/>
    <tableColumn id="15" xr3:uid="{F8E75885-9938-477A-BDEA-743DA88F51EC}" name="Defeito" dataDxfId="58">
      <calculatedColumnFormula>_xlfn.XLOOKUP(_xlfn.NUMBERVALUE(Table1[[#This Row],[Ativo]]),'[1]Criticidade por Equipamento'!$A:$A,'[1]Criticidade por Equipamento'!$AS:$AS)</calculatedColumnFormula>
    </tableColumn>
    <tableColumn id="16" xr3:uid="{18948962-7D4D-46C7-AE7B-0DA746FCF124}" name="Orçamento MO" dataCellStyle="Moeda">
      <calculatedColumnFormula>_xlfn.XLOOKUP(_xlfn.NUMBERVALUE(Table1[[#This Row],[Ativo]]),'[1]Criticidade por Equipamento'!$A:$A,'[1]Criticidade por Equipamento'!$AU:$AU)</calculatedColumnFormula>
    </tableColumn>
    <tableColumn id="27" xr3:uid="{3F38CD24-F8B0-4539-8B29-05D03012E332}" name="Orçamento MAT" dataDxfId="57">
      <calculatedColumnFormula>_xlfn.XLOOKUP(_xlfn.NUMBERVALUE(Table1[[#This Row],[Ativo]]),'[1]Criticidade por Equipamento'!$A:$A,'[1]Criticidade por Equipamento'!$AT:$AT)</calculatedColumnFormula>
    </tableColumn>
    <tableColumn id="28" xr3:uid="{986DFB0C-4ECA-430B-A8BB-A014FD13D64D}" name="Orçamento Total" dataDxfId="56" dataCellStyle="Moeda">
      <calculatedColumnFormula>Table1[[#This Row],[Orçamento MAT]]+Table1[[#This Row],[Orçamento MO]]</calculatedColumnFormula>
    </tableColumn>
    <tableColumn id="18" xr3:uid="{5B5880DF-6BEE-429F-9BEB-4303D15BF4E1}" name="PMA"/>
    <tableColumn id="19" xr3:uid="{1970A7E9-2F1A-4B6F-8DED-6A77F29A07EB}" name="Entregue N1?"/>
    <tableColumn id="20" xr3:uid="{984DCF3F-4491-40F3-81AD-AD4402A2F496}" name="Gerado Obra?"/>
    <tableColumn id="21" xr3:uid="{4C3C52C8-FC43-432B-B122-89F346D6863F}" name="Gerado EMD?"/>
    <tableColumn id="22" xr3:uid="{5AED385E-0A0A-4513-A2F5-31CB5384771F}" name="Entregue N3?"/>
    <tableColumn id="23" xr3:uid="{DDF7746A-3302-4819-B89F-E0208ACF0B7D}" name="Concluído COCM?"/>
    <tableColumn id="25" xr3:uid="{792D444D-7AFB-4924-9CEF-6B04D1FD40C7}" name="Enviado para Cadastro"/>
    <tableColumn id="29" xr3:uid="{DC3EF059-F1E2-4132-A42E-1E575D668550}" name="Estudo Proteção"/>
    <tableColumn id="24" xr3:uid="{0E301D37-EBFA-4892-B11B-844AF9120E9E}" name="Repassado ao DMSL?"/>
    <tableColumn id="26" xr3:uid="{39331AC8-DFCC-491C-88E9-D6750A47C2B1}" name="Comissionado?"/>
    <tableColumn id="3" xr3:uid="{00000000-0010-0000-0000-000003000000}" name="Índice"/>
    <tableColumn id="4" xr3:uid="{00000000-0010-0000-0000-000004000000}" name="SLA_Total"/>
    <tableColumn id="5" xr3:uid="{00000000-0010-0000-0000-000005000000}" name="Dias Pendente"/>
    <tableColumn id="6" xr3:uid="{00000000-0010-0000-0000-000006000000}" name="Status Atendimento"/>
    <tableColumn id="7" xr3:uid="{00000000-0010-0000-0000-000007000000}" name="Responsável"/>
    <tableColumn id="8" xr3:uid="{00000000-0010-0000-0000-000008000000}" name="Status Prazo"/>
    <tableColumn id="9" xr3:uid="{00000000-0010-0000-0000-000009000000}" name="Coluna1"/>
    <tableColumn id="10" xr3:uid="{00000000-0010-0000-0000-00000A000000}" name="Alimentador"/>
    <tableColumn id="11" xr3:uid="{00000000-0010-0000-0000-00000B000000}" name="Município"/>
    <tableColumn id="12" xr3:uid="{00000000-0010-0000-0000-00000C000000}" name="Polo"/>
    <tableColumn id="13" xr3:uid="{00000000-0010-0000-0000-00000D000000}" name="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78DE5-F307-4397-ADA8-0A9D79D933B5}" name="Tabela3" displayName="Tabela3" ref="A1:R91" totalsRowShown="0" headerRowDxfId="47" dataDxfId="46">
  <autoFilter ref="A1:R91" xr:uid="{3FB78DE5-F307-4397-ADA8-0A9D79D933B5}">
    <filterColumn colId="12">
      <filters>
        <filter val="sim"/>
      </filters>
    </filterColumn>
  </autoFilter>
  <tableColumns count="18">
    <tableColumn id="1" xr3:uid="{AB944434-D209-45BF-889B-DB3B5F31CAD6}" name="Ano/TIPO" dataDxfId="45"/>
    <tableColumn id="15" xr3:uid="{3ECCC878-C8CA-4A06-BDAC-409392C090EA}" name="Equipamento" dataDxfId="44">
      <calculatedColumnFormula>LEFT(Tabela3[[#This Row],[Ano/TIPO]],2)</calculatedColumnFormula>
    </tableColumn>
    <tableColumn id="18" xr3:uid="{07E17440-7BEB-4DAE-B964-C5EE7BD3F294}" name="Mensal" dataDxfId="43" dataCellStyle="Porcentagem"/>
    <tableColumn id="13" xr3:uid="{1092F510-3DAB-4FD7-A2EE-252B990F4038}" name="Parque">
      <calculatedColumnFormula>_xlfn.XLOOKUP(K2,Base!G:G,Base!I:I)</calculatedColumnFormula>
    </tableColumn>
    <tableColumn id="2" xr3:uid="{FCB5F12E-3C6E-4F03-BDF5-FA363617BD71}" name="Ativo" dataDxfId="42"/>
    <tableColumn id="3" xr3:uid="{C807A217-F3C5-468E-BE1F-D86F7C509558}" name="SS" dataDxfId="41"/>
    <tableColumn id="16" xr3:uid="{8FE6477E-C693-4A84-A4AD-D5FA9FF39CF8}" name="Tensão" dataDxfId="40">
      <calculatedColumnFormula>_xlfn.XLOOKUP(_xlfn.NUMBERVALUE(Tabela3[[#This Row],[Ativo]]),'[3]Ajustes Reguladores de Tensão'!$A:$A,'[3]Ajustes Reguladores de Tensão'!$I:$I,_xlfn.XLOOKUP(_xlfn.NUMBERVALUE(Tabela3[[#This Row],[Ativo]]),'[3]Ajustes RL Poste'!$A:$A,'[3]Ajustes RL Poste'!$M:$M))</calculatedColumnFormula>
    </tableColumn>
    <tableColumn id="4" xr3:uid="{4593478B-8829-4080-99B1-BB4DCBD24F7D}" name="Data" dataDxfId="39"/>
    <tableColumn id="12" xr3:uid="{1050F63D-31E1-4D0B-90F6-2195560466D3}" name="Mês" dataDxfId="38">
      <calculatedColumnFormula>TEXT(Tabela3[[#This Row],[Data]],"mmmm")</calculatedColumnFormula>
    </tableColumn>
    <tableColumn id="14" xr3:uid="{0B090E55-6738-4417-97FA-51FE3BECAA43}" name="Ano" dataDxfId="37">
      <calculatedColumnFormula>YEAR(Tabela3[[#This Row],[Data]])</calculatedColumnFormula>
    </tableColumn>
    <tableColumn id="17" xr3:uid="{0E633709-5C36-48F5-9911-830E364389E5}" name="Concat" dataDxfId="36">
      <calculatedColumnFormula>_xlfn.CONCAT(Tabela3[[#This Row],[Ano]],Tabela3[[#This Row],[Mês]])</calculatedColumnFormula>
    </tableColumn>
    <tableColumn id="5" xr3:uid="{A503E45E-2ABB-4A06-9FD8-EB72929DC0DD}" name="Peça (modo)" dataDxfId="35"/>
    <tableColumn id="6" xr3:uid="{3F1BA0CB-29A3-4F40-8B09-C317C5BA5E31}" name="Troca feita" dataDxfId="34"/>
    <tableColumn id="7" xr3:uid="{DC2BDADF-E64B-4D49-9B91-037B8016E660}" name="Causa raiz" dataDxfId="33"/>
    <tableColumn id="8" xr3:uid="{5C64F460-F78E-45AA-A07C-103BF0CDF4BE}" name="Citação do texto da SS" dataDxfId="32"/>
    <tableColumn id="9" xr3:uid="{91186D37-DB42-466E-90E7-2BB4B78F3B8E}" name="Nota do analista" dataDxfId="31"/>
    <tableColumn id="10" xr3:uid="{C00D5216-780B-4365-B1F3-DE552C0208E6}" name="Revisão" dataDxfId="30"/>
    <tableColumn id="11" xr3:uid="{A825C986-B765-4556-BA80-6FFB4854192F}" name="Coluna1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E9B72-1B58-4452-A01A-5E921EE92EF2}" name="Tabela2" displayName="Tabela2" ref="A1:A7" totalsRowShown="0" headerRowDxfId="28" dataDxfId="27">
  <autoFilter ref="A1:A7" xr:uid="{B5AE9B72-1B58-4452-A01A-5E921EE92EF2}"/>
  <tableColumns count="1">
    <tableColumn id="1" xr3:uid="{EA509076-49F4-44B9-96E5-B5542F2CA885}" name="Status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D8B646-CFF4-4232-A0CF-6C0E37160DA1}" name="Tabela17" displayName="Tabela17" ref="C1:O97" totalsRowShown="0" headerRowDxfId="25" dataDxfId="24">
  <autoFilter ref="C1:O97" xr:uid="{D7D8B646-CFF4-4232-A0CF-6C0E37160DA1}"/>
  <tableColumns count="13">
    <tableColumn id="1" xr3:uid="{5CF7B95E-63EF-4B61-907A-A60E957AEC82}" name="FAIXA DE TENSÃO" dataDxfId="23"/>
    <tableColumn id="9" xr3:uid="{65EE88FB-59ED-4B3D-A4E0-B090259854D6}" name="TIPO" dataDxfId="22"/>
    <tableColumn id="8" xr3:uid="{FE366F5B-7BA5-4621-819B-5FA578670B51}" name="Ano2" dataDxfId="21"/>
    <tableColumn id="2" xr3:uid="{DD637EAA-E5A1-44B8-9186-31AF5027E5BD}" name="Mês" dataDxfId="20"/>
    <tableColumn id="5" xr3:uid="{4297B92A-F6A7-4306-A536-E412F1128209}" name="Concat" dataDxfId="19">
      <calculatedColumnFormula>_xlfn.CONCAT(Tabela17[[#This Row],[FAIXA DE TENSÃO]],Tabela17[[#This Row],[TIPO]],Tabela17[[#This Row],[Ano2]],Tabela17[[#This Row],[Mês]])</calculatedColumnFormula>
    </tableColumn>
    <tableColumn id="14" xr3:uid="{6A16DAF5-D3C2-49C9-9E1D-27DDB4D2B51D}" name="Qtd RL Fora" dataDxfId="18"/>
    <tableColumn id="4" xr3:uid="{D8A91BD8-83C4-4DFF-B406-670B21A9332F}" name="Parque RL" dataDxfId="17">
      <calculatedColumnFormula>I1+#REF!</calculatedColumnFormula>
    </tableColumn>
    <tableColumn id="6" xr3:uid="{3E1CAFE2-829B-45E3-9B64-A977FE773DAC}" name="RL 13" dataDxfId="16" dataCellStyle="Porcentagem"/>
    <tableColumn id="10" xr3:uid="{28A0230F-A087-4D9B-A65B-91CE55CDCB99}" name="RL 34" dataDxfId="15" dataCellStyle="Porcentagem"/>
    <tableColumn id="12" xr3:uid="{F441F194-3EA7-4153-9732-1B361FAA7B81}" name="Qtd RT 13" dataDxfId="14" dataCellStyle="Porcentagem"/>
    <tableColumn id="13" xr3:uid="{459E23D6-A525-487F-9738-088FB591E43C}" name="RT13" dataDxfId="13" dataCellStyle="Porcentagem"/>
    <tableColumn id="11" xr3:uid="{C213F654-3A37-487D-B1A7-C456D68A13FD}" name="RT 34" dataDxfId="12" dataCellStyle="Porcentagem"/>
    <tableColumn id="7" xr3:uid="{B20C3597-BBC5-42BC-BB33-4C7FB564037D}" name="Acumulado" dataDxfId="11">
      <calculatedColumnFormula>O1+J2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AC33D-C0EC-482E-A968-E63E0FA744F6}" name="Tabela4" displayName="Tabela4" ref="A5:R148" totalsRowShown="0">
  <autoFilter ref="A5:R148" xr:uid="{061AC33D-C0EC-482E-A968-E63E0FA744F6}"/>
  <tableColumns count="18">
    <tableColumn id="1" xr3:uid="{2D8E8E98-F33E-46BC-A97C-EEA3F62A1A5B}" name="Situação"/>
    <tableColumn id="2" xr3:uid="{9D1A2C73-5433-4330-BFA8-55FA1B77AE0B}" name="Ativo"/>
    <tableColumn id="3" xr3:uid="{6597A554-2CC8-4AAF-AA1C-30504CBB9152}" name="Tipo"/>
    <tableColumn id="4" xr3:uid="{9A758054-6624-4460-8D6C-18D5256AF83A}" name="Localidade"/>
    <tableColumn id="5" xr3:uid="{B920708F-66E3-4B38-8167-3D125645EE78}" name="Criticidade"/>
    <tableColumn id="6" xr3:uid="{28E39076-1D8D-4B04-A5E2-5D53302DC955}" name="SS"/>
    <tableColumn id="16" xr3:uid="{85317436-64B3-48D9-8AD5-2744E306E66A}" name="Prazo do SLA Dias" dataDxfId="9"/>
    <tableColumn id="17" xr3:uid="{49E305DA-248F-472D-8E0F-F100D967C78C}" name="SS COCM" dataDxfId="8"/>
    <tableColumn id="7" xr3:uid="{A6196150-851E-4464-A76F-1E8E4B6B8C95}" name="Desde" dataDxfId="7"/>
    <tableColumn id="18" xr3:uid="{29523734-6697-4F6C-9772-EEE1E84AF770}" name="Ano" dataDxfId="6">
      <calculatedColumnFormula>RIGHT(Tabela4[[#This Row],[Desde]],4)</calculatedColumnFormula>
    </tableColumn>
    <tableColumn id="8" xr3:uid="{F9BB7F69-3F27-4F91-8FDB-600536CED4E4}" name="Dias"/>
    <tableColumn id="9" xr3:uid="{A0B6D4EE-4097-49F8-B332-B791E6B900C1}" name="Resolveu e voltou"/>
    <tableColumn id="10" xr3:uid="{D4D2997B-1EDD-49F2-91C4-D534704CD04B}" name="Como terminou"/>
    <tableColumn id="11" xr3:uid="{278B7719-C225-453D-ADB9-C7602BF0675C}" name="Posto que fechou"/>
    <tableColumn id="12" xr3:uid="{35D33EDD-BB95-41AC-9AD5-D9C12B4C3174}" name="Realizado DCMD"/>
    <tableColumn id="13" xr3:uid="{9E7F4D3F-AB77-43AE-A7D2-70E5F10BFD6D}" name="Onde está"/>
    <tableColumn id="14" xr3:uid="{0830264A-AF20-4033-A19E-F7E3D628AF57}" name="Etapa"/>
    <tableColumn id="15" xr3:uid="{C55C76C2-05F7-4664-8E14-A2088F97FF51}" name="No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BEC8CF-72D8-4A0E-BD32-D94C2AED3A9F}" name="BASE_SS_OS" displayName="BASE_SS_OS" ref="A1:BL55" tableType="queryTable" totalsRowShown="0">
  <autoFilter ref="A1:BL55" xr:uid="{8DBEC8CF-72D8-4A0E-BD32-D94C2AED3A9F}"/>
  <sortState xmlns:xlrd2="http://schemas.microsoft.com/office/spreadsheetml/2017/richdata2" ref="A2:BL55">
    <sortCondition descending="1" ref="T1:T55"/>
  </sortState>
  <tableColumns count="64">
    <tableColumn id="1" xr3:uid="{626C8A0A-8F14-4551-9542-78E5EBA1C45E}" uniqueName="1" name="NUMERO_SS" queryTableFieldId="1"/>
    <tableColumn id="2" xr3:uid="{AAE39E6D-6345-47AE-86F1-64B0A21EC9CB}" uniqueName="2" name="NUMERO_OS" queryTableFieldId="2"/>
    <tableColumn id="3" xr3:uid="{AA62EB35-C25E-4B25-8148-52729A4764E7}" uniqueName="3" name="NUM_OBRA" queryTableFieldId="3"/>
    <tableColumn id="4" xr3:uid="{C9DEFD10-A5FB-4EDE-BE42-2BDFF5C311D3}" uniqueName="4" name="ORIGEM_SS" queryTableFieldId="4"/>
    <tableColumn id="5" xr3:uid="{7D93DE95-C20E-453C-A98C-D88DD7D62734}" uniqueName="5" name="DEFEITO_SS" queryTableFieldId="5"/>
    <tableColumn id="6" xr3:uid="{CD0E171F-4147-429F-AB8D-E338059B6278}" uniqueName="6" name="ORIGEM" queryTableFieldId="6"/>
    <tableColumn id="7" xr3:uid="{5EF54858-CC9B-466E-BE58-10908C5851D0}" uniqueName="7" name="DEFEITO" queryTableFieldId="7"/>
    <tableColumn id="8" xr3:uid="{F234489D-B7A8-4BD2-A016-EC6D4703DBB1}" uniqueName="8" name="ESQUEMA" queryTableFieldId="8"/>
    <tableColumn id="9" xr3:uid="{12131901-7D7A-45C6-A996-4CED16FAC0DE}" uniqueName="9" name="TASK" queryTableFieldId="9"/>
    <tableColumn id="10" xr3:uid="{8287B1E5-AC2A-4B68-8968-DA0296D8316E}" uniqueName="10" name="ANO" queryTableFieldId="10"/>
    <tableColumn id="11" xr3:uid="{548B7179-9C4C-4C67-A43D-C34B02F9A2F8}" uniqueName="11" name="ORG_SOLIC" queryTableFieldId="11"/>
    <tableColumn id="12" xr3:uid="{BD44FCB4-F21E-4057-98EE-4561ED6FE73A}" uniqueName="12" name="COD_EQUIPE" queryTableFieldId="12"/>
    <tableColumn id="13" xr3:uid="{E9A2A8E7-E3BF-49EF-B591-14A58DAB1504}" uniqueName="13" name="ALIMENTADOR" queryTableFieldId="13"/>
    <tableColumn id="14" xr3:uid="{11F8BF3C-A107-427E-9F50-AA0A7001CD59}" uniqueName="14" name="NUM_TRAFO" queryTableFieldId="14"/>
    <tableColumn id="15" xr3:uid="{C8886174-6FA5-4A54-9659-2C9AF0BF70EA}" uniqueName="15" name="COORD_X" queryTableFieldId="15"/>
    <tableColumn id="16" xr3:uid="{5AAED5FB-B33D-4B46-90C4-E1F13604F4D9}" uniqueName="16" name="COORD_Y" queryTableFieldId="16"/>
    <tableColumn id="17" xr3:uid="{ED8F00D7-9AF6-42D3-84B6-9B10BFE7401C}" uniqueName="17" name="COD_GIS" queryTableFieldId="17"/>
    <tableColumn id="18" xr3:uid="{D7AE4FA1-8D52-4B37-973F-D870630A8EAB}" uniqueName="18" name="CRITICIDADE_SS" queryTableFieldId="18"/>
    <tableColumn id="19" xr3:uid="{907D76B9-0C18-4F09-BD2B-5F43C3A190CF}" uniqueName="19" name="SITUACAO_SS" queryTableFieldId="19"/>
    <tableColumn id="20" xr3:uid="{AA84D78E-1E61-45A5-993D-20462DF23502}" uniqueName="20" name="DATA_ABERTURA_SS" queryTableFieldId="20" dataDxfId="5"/>
    <tableColumn id="21" xr3:uid="{01CB5462-B528-4E48-A5AB-5623CC88A8FC}" uniqueName="21" name="DATA_TERMINO_SS" queryTableFieldId="21" dataDxfId="4"/>
    <tableColumn id="22" xr3:uid="{0D6E5ECD-F549-49D5-BCBC-A35D0B2D51F5}" uniqueName="22" name="DATA_LIMITE_SS" queryTableFieldId="22" dataDxfId="3"/>
    <tableColumn id="23" xr3:uid="{036082BF-8499-4999-B7B3-29B5CCD3BBE6}" uniqueName="23" name="DESCICAO_DO_ATIVO" queryTableFieldId="23"/>
    <tableColumn id="24" xr3:uid="{5F6B274B-958B-4DC7-B0D7-D59C5BCBE51D}" uniqueName="24" name="LOCALIDADE" queryTableFieldId="24"/>
    <tableColumn id="25" xr3:uid="{D5E86172-F884-41A9-94F3-588E6A846DEE}" uniqueName="25" name="SOLICITANTE" queryTableFieldId="25"/>
    <tableColumn id="26" xr3:uid="{BC78C091-AF80-4EC8-9F1A-CFC7E84D48BE}" uniqueName="26" name="RURA_URBANO" queryTableFieldId="26"/>
    <tableColumn id="27" xr3:uid="{1283C8E4-F620-41C3-A192-7A2D1FAEDDF6}" uniqueName="27" name="TIPOSS" queryTableFieldId="27"/>
    <tableColumn id="28" xr3:uid="{EAB6E76B-C397-482F-A401-B8D4ABFCAC68}" uniqueName="28" name="DESCRIPTION_SS" queryTableFieldId="28" dataDxfId="2"/>
    <tableColumn id="29" xr3:uid="{F389BCF8-AC9E-4365-9866-9ED376C02EA6}" uniqueName="29" name="DESCRICAO_OS" queryTableFieldId="29"/>
    <tableColumn id="30" xr3:uid="{42D20AB9-5E4A-4707-B4F9-04134B6C583E}" uniqueName="30" name="NS_RETIRADO" queryTableFieldId="30"/>
    <tableColumn id="31" xr3:uid="{A29F1923-2868-47F5-A285-B48C2441E99F}" uniqueName="31" name="TOMBAMENTO_RETIRADO" queryTableFieldId="31"/>
    <tableColumn id="32" xr3:uid="{2FC86244-D742-4F10-ADE4-620BBE4916AD}" uniqueName="32" name="FABRICANTE_INSTALADO" queryTableFieldId="32"/>
    <tableColumn id="33" xr3:uid="{817716A1-B5B9-49D4-B40B-BFA5E2A1C7C6}" uniqueName="33" name="FABRICANTE_RETIRADO" queryTableFieldId="33"/>
    <tableColumn id="34" xr3:uid="{D255C0A6-2646-4EC8-BBEA-30CF73C58643}" uniqueName="34" name="DATA_FABRICACAO_INSTALADO" queryTableFieldId="34"/>
    <tableColumn id="35" xr3:uid="{AF1E7D48-3916-4F8D-89DB-9239C6D460E7}" uniqueName="35" name="DATA_FABRICACAO_RETIRADO" queryTableFieldId="35"/>
    <tableColumn id="36" xr3:uid="{4FCA9704-3C2F-4E65-8842-60DEF4EB3396}" uniqueName="36" name="NS_INSTALADO" queryTableFieldId="36"/>
    <tableColumn id="37" xr3:uid="{A9381F43-031F-4215-9CC1-FF4A62C211D5}" uniqueName="37" name="TOMBAMENTO_INSTALADO" queryTableFieldId="37"/>
    <tableColumn id="38" xr3:uid="{79DBDBF5-2B25-4099-8353-7BBBD55F7588}" uniqueName="38" name="NUM_INT" queryTableFieldId="38"/>
    <tableColumn id="39" xr3:uid="{C775C99C-5F4F-408A-ADB5-0127F744B193}" uniqueName="39" name="REFORMADORA_DESAT" queryTableFieldId="39"/>
    <tableColumn id="40" xr3:uid="{403854D9-368B-4F8F-B61D-B4B6668E4E15}" uniqueName="40" name="REFORMADORA_DESAT_1" queryTableFieldId="40"/>
    <tableColumn id="41" xr3:uid="{4DF2DB67-B00B-4360-A223-64D18640BCE7}" uniqueName="41" name="DATA_REFORMA_INST" queryTableFieldId="41" dataDxfId="1"/>
    <tableColumn id="42" xr3:uid="{94685090-3923-43B1-8568-6BB43F074C8A}" uniqueName="42" name="DATA_REFORMA_RET" queryTableFieldId="42" dataDxfId="0"/>
    <tableColumn id="43" xr3:uid="{F3FD2EBE-BBDA-4580-ACA1-16AF71891E4D}" uniqueName="43" name="POTENCIA_INST" queryTableFieldId="43"/>
    <tableColumn id="44" xr3:uid="{81DD308A-A1C1-4BA6-9036-FF8FBB888AF5}" uniqueName="44" name="POTENCIA_RET" queryTableFieldId="44"/>
    <tableColumn id="45" xr3:uid="{788286B9-DD1C-419B-968D-A29A903629E7}" uniqueName="45" name="FEITO_COLA_E_FITA" queryTableFieldId="45"/>
    <tableColumn id="46" xr3:uid="{02B54AFC-B5DA-4662-AD20-16B6FAC61CE5}" uniqueName="46" name="QTD_CLIENTES" queryTableFieldId="46"/>
    <tableColumn id="47" xr3:uid="{78CE85F9-14B0-41B1-888D-91F55D2B15BF}" uniqueName="47" name="ATERRAMENTO_ESTA_CONECTADO_AO_TANQUE_DO_TRAFO" queryTableFieldId="47"/>
    <tableColumn id="48" xr3:uid="{6D3AFE02-BAED-4753-8D94-E0F7980F4A57}" uniqueName="48" name="EQUIPAMENTO_APRESENTA_VAZAMENTO_DE_OLEO" queryTableFieldId="48"/>
    <tableColumn id="49" xr3:uid="{72CDE7EF-FAF1-4038-870C-A5EB86277788}" uniqueName="49" name="EXISTE_VEGETAÇÃO_TOCANDO_A_REDE_BT_OU_MT" queryTableFieldId="49"/>
    <tableColumn id="50" xr3:uid="{0D28899C-0BC4-418E-BB06-68E11F5C0FFC}" uniqueName="50" name="FEZ_MELHORIA_DE_ATERRAMENTO" queryTableFieldId="50"/>
    <tableColumn id="51" xr3:uid="{F6B88AA9-DCA9-496C-9AAA-C2996E637CDB}" uniqueName="51" name="INSTALOU_ALGUM_ESPAÇADOR" queryTableFieldId="51"/>
    <tableColumn id="52" xr3:uid="{0BFBA0C2-22A0-4C44-A144-6EC8F1BCDEB1}" uniqueName="52" name="PARA_RAIOS_INSTALADO_SUBSTITUIDO" queryTableFieldId="52"/>
    <tableColumn id="53" xr3:uid="{4EC4D7FE-1C7F-474B-93A3-3C375092DB63}" uniqueName="53" name="PROVÁVEL_MOTIVO_DO_DEFEITO" queryTableFieldId="53"/>
    <tableColumn id="54" xr3:uid="{BA392EEF-900D-47A2-AE82-C3302FFE293F}" uniqueName="54" name="QUAL_ELO_INSTALADO_NO_LOCAL" queryTableFieldId="54"/>
    <tableColumn id="55" xr3:uid="{03F5C7AB-5B6B-4494-8A67-79D5A4F724D2}" uniqueName="55" name="TIPO_DE_BARRAMENTO" queryTableFieldId="55"/>
    <tableColumn id="56" xr3:uid="{51A7B2EA-D313-4541-AAA7-B38C3D480A72}" uniqueName="56" name="MEDIÇÃO_DE_ATERRAMENTO_ANTES_X1" queryTableFieldId="56"/>
    <tableColumn id="57" xr3:uid="{4B5D07BC-293E-4C5A-BA10-0FF8758A8040}" uniqueName="57" name="MEDIÇÃO_DE_ATERRAMENTO_ANTES_X2" queryTableFieldId="57"/>
    <tableColumn id="58" xr3:uid="{32148BA0-0524-4CFB-8873-3BABDAB17A3C}" uniqueName="58" name="MEDIÇÃO_DE_ATERRAMENTO_ANTES_X3" queryTableFieldId="58"/>
    <tableColumn id="59" xr3:uid="{E0FD484D-3C51-40E4-A4CF-06B267F4114F}" uniqueName="59" name="MEDIÇÃO_DE_ATERRAMENTO_X1" queryTableFieldId="59"/>
    <tableColumn id="60" xr3:uid="{150E0F0E-7EE0-4BC4-B836-B57038059D9F}" uniqueName="60" name="MEDIÇÃO_DE_ATERRAMENTO_X2" queryTableFieldId="60"/>
    <tableColumn id="61" xr3:uid="{112592B2-0FA8-4CAC-969C-4F0D230A298D}" uniqueName="61" name="MEDIÇÃO_DE_ATERRAMENTO_X3" queryTableFieldId="61"/>
    <tableColumn id="62" xr3:uid="{4F9EFB76-C050-4466-8F14-9EF73C09CF4F}" uniqueName="62" name="TRAFO_INSTALADO_É_REFORMADO" queryTableFieldId="62"/>
    <tableColumn id="63" xr3:uid="{66CDE5E0-62EC-42AC-B3CA-94459EC4D8C3}" uniqueName="63" name="REFORMADORA_INSTALADO" queryTableFieldId="63"/>
    <tableColumn id="64" xr3:uid="{276C1CA9-4DCC-4267-84D9-E7E57F5F321B}" uniqueName="64" name="TRANSFORMADOR_RETIRADO_É_REFORMADO" queryTableFieldId="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DC6A-C60E-4C08-83D8-03541B6E5423}">
  <dimension ref="A1:O72"/>
  <sheetViews>
    <sheetView topLeftCell="A31" zoomScale="85" zoomScaleNormal="85" workbookViewId="0">
      <selection activeCell="I65" sqref="I65"/>
    </sheetView>
  </sheetViews>
  <sheetFormatPr defaultRowHeight="15" x14ac:dyDescent="0.25"/>
  <cols>
    <col min="1" max="1" width="23.140625" bestFit="1" customWidth="1"/>
    <col min="2" max="2" width="19.42578125" bestFit="1" customWidth="1"/>
    <col min="3" max="3" width="17.5703125" customWidth="1"/>
    <col min="4" max="5" width="24.140625" bestFit="1" customWidth="1"/>
    <col min="6" max="6" width="24.140625" customWidth="1"/>
    <col min="7" max="7" width="20.85546875" customWidth="1"/>
    <col min="8" max="8" width="42.140625" bestFit="1" customWidth="1"/>
    <col min="9" max="9" width="15.85546875" bestFit="1" customWidth="1"/>
    <col min="10" max="10" width="15.85546875" customWidth="1"/>
    <col min="11" max="11" width="15.85546875" bestFit="1" customWidth="1"/>
    <col min="13" max="13" width="15.85546875" bestFit="1" customWidth="1"/>
    <col min="15" max="15" width="9.7109375" bestFit="1" customWidth="1"/>
    <col min="27" max="27" width="13.7109375" bestFit="1" customWidth="1"/>
    <col min="28" max="28" width="15.85546875" bestFit="1" customWidth="1"/>
    <col min="29" max="29" width="14.28515625" bestFit="1" customWidth="1"/>
    <col min="30" max="32" width="15.85546875" bestFit="1" customWidth="1"/>
    <col min="33" max="33" width="20.5703125" customWidth="1"/>
    <col min="34" max="34" width="14.28515625" bestFit="1" customWidth="1"/>
  </cols>
  <sheetData>
    <row r="1" spans="1:15" x14ac:dyDescent="0.25">
      <c r="A1" s="5" t="s">
        <v>1</v>
      </c>
      <c r="B1" t="s">
        <v>1340</v>
      </c>
      <c r="K1" s="71" t="s">
        <v>1387</v>
      </c>
      <c r="L1" s="72"/>
      <c r="M1" s="72"/>
      <c r="N1" s="72"/>
      <c r="O1" s="73"/>
    </row>
    <row r="2" spans="1:15" x14ac:dyDescent="0.25">
      <c r="K2" s="42"/>
      <c r="L2" s="41" t="s">
        <v>1386</v>
      </c>
      <c r="M2" s="41" t="s">
        <v>1388</v>
      </c>
      <c r="N2" s="41" t="s">
        <v>1389</v>
      </c>
      <c r="O2" s="43" t="s">
        <v>1390</v>
      </c>
    </row>
    <row r="3" spans="1:15" x14ac:dyDescent="0.25">
      <c r="A3" s="5" t="s">
        <v>316</v>
      </c>
      <c r="B3" s="5" t="s">
        <v>298</v>
      </c>
      <c r="C3" t="s">
        <v>1045</v>
      </c>
      <c r="D3" t="s">
        <v>1046</v>
      </c>
      <c r="K3" s="44" t="s">
        <v>1337</v>
      </c>
      <c r="O3" s="17"/>
    </row>
    <row r="4" spans="1:15" x14ac:dyDescent="0.25">
      <c r="A4" t="s">
        <v>1043</v>
      </c>
      <c r="B4" t="s">
        <v>315</v>
      </c>
      <c r="C4" s="3">
        <v>2</v>
      </c>
      <c r="D4" s="48">
        <v>989173.2</v>
      </c>
      <c r="K4" s="45" t="s">
        <v>1339</v>
      </c>
      <c r="L4" s="15"/>
      <c r="M4" s="15"/>
      <c r="N4" s="15"/>
      <c r="O4" s="16"/>
    </row>
    <row r="5" spans="1:15" x14ac:dyDescent="0.25">
      <c r="B5" t="s">
        <v>313</v>
      </c>
      <c r="C5" s="3">
        <v>6</v>
      </c>
      <c r="D5" s="59">
        <v>691664.7</v>
      </c>
      <c r="G5" t="s">
        <v>1385</v>
      </c>
      <c r="O5">
        <v>53</v>
      </c>
    </row>
    <row r="6" spans="1:15" x14ac:dyDescent="0.25">
      <c r="B6" t="s">
        <v>314</v>
      </c>
      <c r="C6" s="3">
        <v>2</v>
      </c>
      <c r="D6" s="59">
        <v>213808.1</v>
      </c>
      <c r="G6" s="8">
        <v>94500</v>
      </c>
    </row>
    <row r="7" spans="1:15" x14ac:dyDescent="0.25">
      <c r="B7" t="s">
        <v>1363</v>
      </c>
      <c r="C7" s="3">
        <v>2</v>
      </c>
      <c r="D7" s="59">
        <v>509586.6</v>
      </c>
      <c r="E7" s="8"/>
      <c r="F7" s="8"/>
      <c r="G7" s="8">
        <v>87683</v>
      </c>
    </row>
    <row r="8" spans="1:15" x14ac:dyDescent="0.25">
      <c r="A8" t="s">
        <v>1044</v>
      </c>
      <c r="B8" t="s">
        <v>315</v>
      </c>
      <c r="C8" s="3">
        <v>20</v>
      </c>
      <c r="D8" s="48">
        <v>1229422.1200000003</v>
      </c>
      <c r="E8" s="58">
        <v>1229422.1200000001</v>
      </c>
      <c r="F8" s="58"/>
      <c r="G8" s="8">
        <v>398547</v>
      </c>
    </row>
    <row r="9" spans="1:15" x14ac:dyDescent="0.25">
      <c r="B9" t="s">
        <v>1364</v>
      </c>
      <c r="C9" s="3">
        <v>20</v>
      </c>
      <c r="D9" s="59">
        <v>1320983.7400000005</v>
      </c>
      <c r="G9" s="40">
        <f>SUM(G6:G8)</f>
        <v>580730</v>
      </c>
    </row>
    <row r="10" spans="1:15" x14ac:dyDescent="0.25">
      <c r="B10" t="s">
        <v>1363</v>
      </c>
      <c r="C10" s="3">
        <v>1</v>
      </c>
      <c r="D10" s="59">
        <v>15000</v>
      </c>
    </row>
    <row r="11" spans="1:15" x14ac:dyDescent="0.25">
      <c r="A11" t="s">
        <v>738</v>
      </c>
      <c r="C11">
        <v>53</v>
      </c>
      <c r="D11" s="10">
        <v>4969638.46</v>
      </c>
    </row>
    <row r="13" spans="1:15" x14ac:dyDescent="0.25">
      <c r="C13" t="s">
        <v>1401</v>
      </c>
      <c r="D13" s="48">
        <v>310372.40000000002</v>
      </c>
      <c r="H13" s="8">
        <v>946651.72</v>
      </c>
      <c r="I13">
        <v>8481</v>
      </c>
    </row>
    <row r="14" spans="1:15" x14ac:dyDescent="0.25">
      <c r="H14" s="8">
        <v>959988.26</v>
      </c>
      <c r="I14">
        <v>8495</v>
      </c>
    </row>
    <row r="15" spans="1:15" x14ac:dyDescent="0.25">
      <c r="H15" s="10">
        <f>SUM(H13:H14)</f>
        <v>1906639.98</v>
      </c>
    </row>
    <row r="16" spans="1:15" x14ac:dyDescent="0.25">
      <c r="B16">
        <v>8481</v>
      </c>
      <c r="D16" s="3">
        <v>45</v>
      </c>
      <c r="E16" s="3" t="s">
        <v>1337</v>
      </c>
      <c r="F16" s="3"/>
      <c r="G16" s="46">
        <v>2465983.7200000002</v>
      </c>
    </row>
    <row r="17" spans="2:7" x14ac:dyDescent="0.25">
      <c r="B17">
        <v>8495</v>
      </c>
      <c r="E17" s="3" t="s">
        <v>1339</v>
      </c>
      <c r="F17" s="3"/>
      <c r="G17" s="46">
        <v>1597242.4</v>
      </c>
    </row>
    <row r="18" spans="2:7" x14ac:dyDescent="0.25">
      <c r="C18" s="9">
        <f>1605000*1.0001745</f>
        <v>1605280.0725</v>
      </c>
      <c r="D18" s="3">
        <v>143</v>
      </c>
      <c r="E18" s="3" t="s">
        <v>1401</v>
      </c>
      <c r="F18" s="3"/>
      <c r="G18" s="62">
        <v>315372.40000000002</v>
      </c>
    </row>
    <row r="19" spans="2:7" x14ac:dyDescent="0.25">
      <c r="B19" t="s">
        <v>1391</v>
      </c>
      <c r="C19" s="8">
        <v>6100000</v>
      </c>
      <c r="G19" s="46">
        <f>SUM(G16:G18)</f>
        <v>4378598.5200000005</v>
      </c>
    </row>
    <row r="20" spans="2:7" x14ac:dyDescent="0.25">
      <c r="C20" s="46">
        <v>5983226.1200000001</v>
      </c>
    </row>
    <row r="21" spans="2:7" x14ac:dyDescent="0.25">
      <c r="C21" s="10">
        <f>C19-C20</f>
        <v>116773.87999999989</v>
      </c>
      <c r="D21" s="10">
        <v>839786.21712765004</v>
      </c>
      <c r="E21" s="10">
        <f>C18-D21</f>
        <v>765493.85537234996</v>
      </c>
      <c r="F21" s="10"/>
    </row>
    <row r="22" spans="2:7" x14ac:dyDescent="0.25">
      <c r="E22">
        <v>765493.85537234996</v>
      </c>
    </row>
    <row r="23" spans="2:7" x14ac:dyDescent="0.25">
      <c r="C23" t="s">
        <v>1392</v>
      </c>
      <c r="D23" s="46">
        <v>524586.6</v>
      </c>
    </row>
    <row r="24" spans="2:7" x14ac:dyDescent="0.25">
      <c r="C24" t="s">
        <v>1393</v>
      </c>
      <c r="D24" s="10">
        <v>691664.7</v>
      </c>
    </row>
    <row r="25" spans="2:7" x14ac:dyDescent="0.25">
      <c r="E25">
        <v>1605280.0725</v>
      </c>
    </row>
    <row r="27" spans="2:7" x14ac:dyDescent="0.25">
      <c r="D27" s="8">
        <v>6062323.8399999999</v>
      </c>
    </row>
    <row r="28" spans="2:7" x14ac:dyDescent="0.25">
      <c r="D28" s="8">
        <v>6083299.3200000003</v>
      </c>
    </row>
    <row r="29" spans="2:7" x14ac:dyDescent="0.25">
      <c r="D29" s="10">
        <f>D27-D28</f>
        <v>-20975.480000000447</v>
      </c>
    </row>
    <row r="30" spans="2:7" x14ac:dyDescent="0.25">
      <c r="C30" s="8">
        <v>315372.40000000002</v>
      </c>
    </row>
    <row r="36" spans="1:13" x14ac:dyDescent="0.25">
      <c r="D36" s="48">
        <v>310372.40000000002</v>
      </c>
      <c r="E36">
        <v>23</v>
      </c>
    </row>
    <row r="37" spans="1:13" x14ac:dyDescent="0.25">
      <c r="E37">
        <f>10/E36</f>
        <v>0.43478260869565216</v>
      </c>
      <c r="F37" s="10">
        <v>134944.52173913</v>
      </c>
      <c r="M37" s="10">
        <f>SUM(J46:J51)</f>
        <v>3980465.2600000007</v>
      </c>
    </row>
    <row r="39" spans="1:13" x14ac:dyDescent="0.25">
      <c r="A39" t="s">
        <v>1416</v>
      </c>
      <c r="B39" t="s">
        <v>1417</v>
      </c>
      <c r="F39" s="10">
        <v>175427.87826087</v>
      </c>
    </row>
    <row r="40" spans="1:13" x14ac:dyDescent="0.25">
      <c r="A40">
        <v>10</v>
      </c>
      <c r="B40">
        <v>13</v>
      </c>
      <c r="J40" s="10">
        <f>SUM(D58:G58)</f>
        <v>4473019.24</v>
      </c>
    </row>
    <row r="45" spans="1:13" x14ac:dyDescent="0.25">
      <c r="E45" s="51" t="s">
        <v>1043</v>
      </c>
      <c r="F45" s="56" t="s">
        <v>1399</v>
      </c>
      <c r="G45" s="56"/>
      <c r="H45" t="s">
        <v>315</v>
      </c>
      <c r="I45" s="3">
        <v>2</v>
      </c>
      <c r="J45" s="48">
        <v>989173.2</v>
      </c>
    </row>
    <row r="46" spans="1:13" x14ac:dyDescent="0.25">
      <c r="E46" s="51" t="s">
        <v>1043</v>
      </c>
      <c r="F46" t="s">
        <v>1398</v>
      </c>
      <c r="H46" t="s">
        <v>313</v>
      </c>
      <c r="I46" s="3">
        <v>6</v>
      </c>
      <c r="J46" s="48">
        <v>691664.7</v>
      </c>
    </row>
    <row r="47" spans="1:13" x14ac:dyDescent="0.25">
      <c r="E47" s="51" t="s">
        <v>1043</v>
      </c>
      <c r="F47" t="s">
        <v>1395</v>
      </c>
      <c r="H47" t="s">
        <v>314</v>
      </c>
      <c r="I47" s="3">
        <v>2</v>
      </c>
      <c r="J47" s="48">
        <v>213808.1</v>
      </c>
    </row>
    <row r="48" spans="1:13" x14ac:dyDescent="0.25">
      <c r="A48" t="s">
        <v>1404</v>
      </c>
      <c r="E48" s="51" t="s">
        <v>1043</v>
      </c>
      <c r="F48" t="s">
        <v>1397</v>
      </c>
      <c r="H48" t="s">
        <v>1363</v>
      </c>
      <c r="I48" s="3">
        <v>2</v>
      </c>
      <c r="J48" s="48">
        <v>509586.6</v>
      </c>
    </row>
    <row r="49" spans="1:11" x14ac:dyDescent="0.25">
      <c r="A49" t="s">
        <v>1405</v>
      </c>
      <c r="E49" s="51" t="s">
        <v>1044</v>
      </c>
      <c r="F49" t="s">
        <v>1395</v>
      </c>
      <c r="H49" t="s">
        <v>315</v>
      </c>
      <c r="I49" s="3">
        <v>20</v>
      </c>
      <c r="J49" s="48">
        <v>1229422.1200000003</v>
      </c>
      <c r="K49" s="10">
        <v>1443230.22</v>
      </c>
    </row>
    <row r="50" spans="1:11" x14ac:dyDescent="0.25">
      <c r="E50" s="51" t="s">
        <v>1044</v>
      </c>
      <c r="F50" t="s">
        <v>1396</v>
      </c>
      <c r="H50" t="s">
        <v>1364</v>
      </c>
      <c r="I50" s="3">
        <v>20</v>
      </c>
      <c r="J50" s="48">
        <v>1320983.7400000005</v>
      </c>
    </row>
    <row r="51" spans="1:11" x14ac:dyDescent="0.25">
      <c r="E51" s="51" t="s">
        <v>1044</v>
      </c>
      <c r="F51" t="s">
        <v>1397</v>
      </c>
      <c r="H51" t="s">
        <v>1363</v>
      </c>
      <c r="I51" s="3">
        <v>1</v>
      </c>
      <c r="J51" s="48">
        <v>15000</v>
      </c>
    </row>
    <row r="56" spans="1:11" ht="18.75" x14ac:dyDescent="0.25">
      <c r="B56" s="61"/>
      <c r="C56" s="64">
        <v>46266</v>
      </c>
      <c r="D56" s="61" t="s">
        <v>1397</v>
      </c>
      <c r="E56" s="61" t="s">
        <v>1398</v>
      </c>
      <c r="F56" s="61" t="s">
        <v>1395</v>
      </c>
      <c r="G56" s="61" t="s">
        <v>1396</v>
      </c>
      <c r="H56" s="61" t="s">
        <v>1410</v>
      </c>
      <c r="I56" s="61">
        <v>2027</v>
      </c>
    </row>
    <row r="57" spans="1:11" x14ac:dyDescent="0.25">
      <c r="B57" s="60" t="s">
        <v>1400</v>
      </c>
      <c r="C57" s="57"/>
      <c r="D57" s="57">
        <v>3</v>
      </c>
      <c r="E57" s="57">
        <f>8+10-2</f>
        <v>16</v>
      </c>
      <c r="F57" s="57">
        <f>20+2+13</f>
        <v>35</v>
      </c>
      <c r="G57" s="57">
        <v>20</v>
      </c>
      <c r="H57" s="57">
        <f>SUM(D57:G57)</f>
        <v>74</v>
      </c>
      <c r="I57" s="57">
        <v>2</v>
      </c>
    </row>
    <row r="58" spans="1:11" x14ac:dyDescent="0.25">
      <c r="B58" s="60" t="s">
        <v>1406</v>
      </c>
      <c r="C58" s="63">
        <v>1605280.0725</v>
      </c>
      <c r="D58" s="63">
        <v>524586.6</v>
      </c>
      <c r="E58" s="63">
        <f>691664.7+134944.52</f>
        <v>826609.22</v>
      </c>
      <c r="F58" s="63">
        <f>1443230.22+82181.59+175427.87</f>
        <v>1700839.6800000002</v>
      </c>
      <c r="G58" s="63">
        <f>1320983.74+100000</f>
        <v>1420983.74</v>
      </c>
      <c r="H58" s="63">
        <f>SUM(C58:G58)</f>
        <v>6078299.3125</v>
      </c>
      <c r="I58" s="63">
        <v>989173.2</v>
      </c>
    </row>
    <row r="59" spans="1:11" x14ac:dyDescent="0.25">
      <c r="B59" s="60" t="s">
        <v>1407</v>
      </c>
      <c r="C59" s="57"/>
      <c r="D59" s="57">
        <v>2</v>
      </c>
      <c r="E59" s="57"/>
      <c r="F59" s="57">
        <v>20</v>
      </c>
      <c r="G59" s="57">
        <v>20</v>
      </c>
      <c r="H59" s="57"/>
      <c r="I59" s="57"/>
    </row>
    <row r="60" spans="1:11" x14ac:dyDescent="0.25">
      <c r="B60" s="60" t="s">
        <v>1408</v>
      </c>
      <c r="C60" s="57"/>
      <c r="D60" s="57">
        <v>1</v>
      </c>
      <c r="E60" s="57">
        <v>6</v>
      </c>
      <c r="F60" s="57">
        <v>2</v>
      </c>
      <c r="G60" s="57"/>
      <c r="H60" s="57"/>
      <c r="I60" s="57"/>
    </row>
    <row r="61" spans="1:11" x14ac:dyDescent="0.25">
      <c r="B61" s="60" t="s">
        <v>1409</v>
      </c>
      <c r="C61" s="57"/>
      <c r="D61" s="57"/>
      <c r="E61" s="57">
        <v>23</v>
      </c>
      <c r="F61" s="57"/>
      <c r="G61" s="57"/>
      <c r="H61" s="57"/>
      <c r="I61" s="57"/>
    </row>
    <row r="62" spans="1:11" x14ac:dyDescent="0.25">
      <c r="A62" s="3" t="s">
        <v>1411</v>
      </c>
      <c r="B62" s="60" t="s">
        <v>1402</v>
      </c>
      <c r="C62" s="57"/>
      <c r="D62" s="57">
        <v>2</v>
      </c>
      <c r="E62" s="57">
        <v>4</v>
      </c>
      <c r="F62" s="57">
        <v>1</v>
      </c>
      <c r="G62" s="57">
        <v>4</v>
      </c>
      <c r="H62" s="57">
        <f>SUM(C62:G62)</f>
        <v>11</v>
      </c>
      <c r="I62" s="57"/>
    </row>
    <row r="63" spans="1:11" x14ac:dyDescent="0.25">
      <c r="A63" s="3" t="s">
        <v>1412</v>
      </c>
      <c r="B63" s="60" t="s">
        <v>1403</v>
      </c>
      <c r="C63" s="57"/>
      <c r="D63" s="57">
        <v>3</v>
      </c>
      <c r="E63" s="57">
        <v>0</v>
      </c>
      <c r="F63" s="57">
        <v>1</v>
      </c>
      <c r="G63" s="57">
        <v>2</v>
      </c>
      <c r="H63" s="57">
        <f>SUM(C63:G63)</f>
        <v>6</v>
      </c>
      <c r="I63" s="57"/>
    </row>
    <row r="65" spans="2:7" ht="15.75" x14ac:dyDescent="0.25">
      <c r="F65" s="65">
        <v>4473019.26</v>
      </c>
    </row>
    <row r="66" spans="2:7" x14ac:dyDescent="0.25">
      <c r="F66" s="10">
        <f>SUM(D58:G58)</f>
        <v>4473019.24</v>
      </c>
    </row>
    <row r="67" spans="2:7" x14ac:dyDescent="0.25">
      <c r="F67" s="46">
        <f>F65-F66</f>
        <v>1.9999999552965164E-2</v>
      </c>
    </row>
    <row r="68" spans="2:7" x14ac:dyDescent="0.25">
      <c r="F68">
        <v>82181.599999999627</v>
      </c>
    </row>
    <row r="70" spans="2:7" x14ac:dyDescent="0.25">
      <c r="C70" s="3" t="s">
        <v>328</v>
      </c>
      <c r="D70" s="3" t="s">
        <v>329</v>
      </c>
      <c r="E70" s="3" t="s">
        <v>330</v>
      </c>
      <c r="F70" s="3" t="s">
        <v>331</v>
      </c>
      <c r="G70" s="3" t="s">
        <v>1415</v>
      </c>
    </row>
    <row r="71" spans="2:7" x14ac:dyDescent="0.25">
      <c r="B71" t="s">
        <v>1414</v>
      </c>
      <c r="C71" s="3">
        <f>D57</f>
        <v>3</v>
      </c>
      <c r="D71" s="3">
        <f t="shared" ref="D71:F71" si="0">E57</f>
        <v>16</v>
      </c>
      <c r="E71" s="3">
        <f t="shared" si="0"/>
        <v>35</v>
      </c>
      <c r="F71" s="3">
        <f t="shared" si="0"/>
        <v>20</v>
      </c>
      <c r="G71" s="3">
        <f>SUM(C71:F71)</f>
        <v>74</v>
      </c>
    </row>
    <row r="72" spans="2:7" x14ac:dyDescent="0.25">
      <c r="B72" t="s">
        <v>1413</v>
      </c>
      <c r="C72" s="48">
        <f>D58</f>
        <v>524586.6</v>
      </c>
      <c r="D72" s="48">
        <f t="shared" ref="D72:F72" si="1">E58</f>
        <v>826609.22</v>
      </c>
      <c r="E72" s="48">
        <f t="shared" si="1"/>
        <v>1700839.6800000002</v>
      </c>
      <c r="F72" s="48">
        <f t="shared" si="1"/>
        <v>1420983.74</v>
      </c>
      <c r="G72" s="48">
        <f>SUM(C72:F72)</f>
        <v>4473019.24</v>
      </c>
    </row>
  </sheetData>
  <mergeCells count="1">
    <mergeCell ref="K1:O1"/>
  </mergeCells>
  <phoneticPr fontId="1" type="noConversion"/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DBE-5956-4A39-B357-A974D92A85D4}">
  <dimension ref="A1:G19"/>
  <sheetViews>
    <sheetView tabSelected="1" workbookViewId="0">
      <selection activeCell="P10" sqref="P9:Q10"/>
    </sheetView>
  </sheetViews>
  <sheetFormatPr defaultColWidth="9.28515625" defaultRowHeight="15" x14ac:dyDescent="0.25"/>
  <cols>
    <col min="1" max="1" width="9" bestFit="1" customWidth="1"/>
    <col min="2" max="3" width="13.85546875" bestFit="1" customWidth="1"/>
    <col min="4" max="4" width="14.42578125" bestFit="1" customWidth="1"/>
    <col min="5" max="7" width="13.85546875" bestFit="1" customWidth="1"/>
  </cols>
  <sheetData>
    <row r="1" spans="1:7" ht="38.25" x14ac:dyDescent="0.25">
      <c r="A1" s="83"/>
      <c r="B1" s="84" t="s">
        <v>312</v>
      </c>
      <c r="C1" s="84" t="s">
        <v>1418</v>
      </c>
      <c r="D1" s="84" t="s">
        <v>313</v>
      </c>
      <c r="E1" s="84" t="s">
        <v>1364</v>
      </c>
      <c r="F1" s="84" t="s">
        <v>314</v>
      </c>
      <c r="G1" s="84" t="s">
        <v>1419</v>
      </c>
    </row>
    <row r="2" spans="1:7" x14ac:dyDescent="0.25">
      <c r="A2" s="85" t="s">
        <v>1337</v>
      </c>
      <c r="B2" s="86">
        <v>839786.21</v>
      </c>
      <c r="C2" s="87">
        <v>15000</v>
      </c>
      <c r="D2" s="88" t="s">
        <v>1420</v>
      </c>
      <c r="E2" s="87">
        <v>1320983.3400000001</v>
      </c>
      <c r="F2" s="88" t="s">
        <v>1420</v>
      </c>
      <c r="G2" s="87">
        <v>1229422.1200000001</v>
      </c>
    </row>
    <row r="3" spans="1:7" x14ac:dyDescent="0.25">
      <c r="A3" s="85" t="s">
        <v>1339</v>
      </c>
      <c r="B3" s="86">
        <v>765493.85</v>
      </c>
      <c r="C3" s="87">
        <v>509585.6</v>
      </c>
      <c r="D3" s="87">
        <v>691664.7</v>
      </c>
      <c r="E3" s="88" t="s">
        <v>1420</v>
      </c>
      <c r="F3" s="87">
        <v>375991.1</v>
      </c>
      <c r="G3" s="88" t="s">
        <v>1420</v>
      </c>
    </row>
    <row r="4" spans="1:7" x14ac:dyDescent="0.25">
      <c r="A4" s="88" t="s">
        <v>1401</v>
      </c>
      <c r="B4" s="88" t="s">
        <v>1420</v>
      </c>
      <c r="C4" s="89" t="s">
        <v>1420</v>
      </c>
      <c r="D4" s="89" t="s">
        <v>1420</v>
      </c>
      <c r="E4" s="90">
        <v>310372.40000000002</v>
      </c>
      <c r="F4" s="91" t="s">
        <v>1420</v>
      </c>
      <c r="G4" s="88" t="s">
        <v>1420</v>
      </c>
    </row>
    <row r="5" spans="1:7" x14ac:dyDescent="0.25">
      <c r="A5" s="88"/>
      <c r="B5" s="92">
        <f>SUM(B2:B4)</f>
        <v>1605280.06</v>
      </c>
      <c r="C5" s="92">
        <f t="shared" ref="C5:G5" si="0">SUM(C2:C4)</f>
        <v>524585.6</v>
      </c>
      <c r="D5" s="92">
        <f t="shared" si="0"/>
        <v>691664.7</v>
      </c>
      <c r="E5" s="92">
        <f t="shared" si="0"/>
        <v>1631355.7400000002</v>
      </c>
      <c r="F5" s="92">
        <f t="shared" si="0"/>
        <v>375991.1</v>
      </c>
      <c r="G5" s="92">
        <f t="shared" si="0"/>
        <v>1229422.1200000001</v>
      </c>
    </row>
    <row r="6" spans="1:7" ht="38.25" x14ac:dyDescent="0.25">
      <c r="A6" s="93" t="s">
        <v>1421</v>
      </c>
      <c r="B6" s="94">
        <f>B5</f>
        <v>1605280.06</v>
      </c>
      <c r="C6" s="94">
        <f>B6+C5</f>
        <v>2129865.66</v>
      </c>
      <c r="D6" s="94">
        <f t="shared" ref="D6:G6" si="1">C6+D5</f>
        <v>2821530.3600000003</v>
      </c>
      <c r="E6" s="94">
        <f t="shared" si="1"/>
        <v>4452886.1000000006</v>
      </c>
      <c r="F6" s="94">
        <f t="shared" si="1"/>
        <v>4828877.2</v>
      </c>
      <c r="G6" s="94">
        <f t="shared" si="1"/>
        <v>6058299.3200000003</v>
      </c>
    </row>
    <row r="7" spans="1:7" x14ac:dyDescent="0.25">
      <c r="G7">
        <v>6062323.8399999999</v>
      </c>
    </row>
    <row r="8" spans="1:7" x14ac:dyDescent="0.25">
      <c r="G8" s="46">
        <f>G7-G6</f>
        <v>4024.519999999553</v>
      </c>
    </row>
    <row r="9" spans="1:7" ht="25.5" x14ac:dyDescent="0.25">
      <c r="A9" s="95" t="s">
        <v>1346</v>
      </c>
      <c r="B9" s="95" t="s">
        <v>1422</v>
      </c>
      <c r="C9" s="96" t="s">
        <v>1423</v>
      </c>
      <c r="D9" s="96" t="s">
        <v>1424</v>
      </c>
    </row>
    <row r="10" spans="1:7" ht="42.75" x14ac:dyDescent="0.25">
      <c r="A10" s="97" t="s">
        <v>1337</v>
      </c>
      <c r="B10" s="98" t="s">
        <v>1363</v>
      </c>
      <c r="C10" s="99">
        <v>1</v>
      </c>
      <c r="D10" s="100">
        <v>15000</v>
      </c>
    </row>
    <row r="11" spans="1:7" ht="28.5" x14ac:dyDescent="0.25">
      <c r="A11" s="101"/>
      <c r="B11" s="98" t="s">
        <v>1364</v>
      </c>
      <c r="C11" s="99">
        <v>20</v>
      </c>
      <c r="D11" s="100">
        <v>1320983.3400000001</v>
      </c>
    </row>
    <row r="12" spans="1:7" ht="28.5" x14ac:dyDescent="0.25">
      <c r="A12" s="101"/>
      <c r="B12" s="98" t="s">
        <v>1425</v>
      </c>
      <c r="C12" s="99">
        <v>20</v>
      </c>
      <c r="D12" s="100">
        <v>1229422.1200000001</v>
      </c>
    </row>
    <row r="13" spans="1:7" ht="23.25" x14ac:dyDescent="0.25">
      <c r="A13" s="102"/>
      <c r="B13" s="103"/>
      <c r="C13" s="104">
        <v>41</v>
      </c>
      <c r="D13" s="105">
        <v>2565405.46</v>
      </c>
    </row>
    <row r="14" spans="1:7" ht="42.75" x14ac:dyDescent="0.25">
      <c r="A14" s="97" t="s">
        <v>1339</v>
      </c>
      <c r="B14" s="98" t="s">
        <v>1363</v>
      </c>
      <c r="C14" s="99">
        <v>2</v>
      </c>
      <c r="D14" s="100">
        <v>509585.6</v>
      </c>
    </row>
    <row r="15" spans="1:7" ht="42.75" x14ac:dyDescent="0.25">
      <c r="A15" s="101"/>
      <c r="B15" s="98" t="s">
        <v>313</v>
      </c>
      <c r="C15" s="99">
        <v>6</v>
      </c>
      <c r="D15" s="100">
        <v>691664.7</v>
      </c>
    </row>
    <row r="16" spans="1:7" ht="28.5" x14ac:dyDescent="0.25">
      <c r="A16" s="101"/>
      <c r="B16" s="106" t="s">
        <v>314</v>
      </c>
      <c r="C16" s="107">
        <v>2</v>
      </c>
      <c r="D16" s="87">
        <v>375991.1</v>
      </c>
    </row>
    <row r="17" spans="1:5" ht="23.25" x14ac:dyDescent="0.25">
      <c r="A17" s="102"/>
      <c r="B17" s="103"/>
      <c r="C17" s="104">
        <v>10</v>
      </c>
      <c r="D17" s="105">
        <v>1597241.4</v>
      </c>
    </row>
    <row r="18" spans="1:5" ht="28.5" x14ac:dyDescent="0.25">
      <c r="A18" s="108" t="s">
        <v>1401</v>
      </c>
      <c r="B18" s="106" t="s">
        <v>1364</v>
      </c>
      <c r="C18" s="109">
        <v>23</v>
      </c>
      <c r="D18" s="90">
        <v>310372.40000000002</v>
      </c>
    </row>
    <row r="19" spans="1:5" ht="28.5" x14ac:dyDescent="0.25">
      <c r="A19" s="110" t="s">
        <v>738</v>
      </c>
      <c r="B19" s="103"/>
      <c r="C19" s="104">
        <v>51</v>
      </c>
      <c r="D19" s="105">
        <f>D13+D17+D18</f>
        <v>4473019.26</v>
      </c>
      <c r="E19">
        <v>4478019.26</v>
      </c>
    </row>
  </sheetData>
  <mergeCells count="2">
    <mergeCell ref="A10:A13"/>
    <mergeCell ref="A14:A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"/>
  <sheetViews>
    <sheetView zoomScaleNormal="100" workbookViewId="0">
      <selection activeCell="I28" sqref="I28:I52"/>
    </sheetView>
  </sheetViews>
  <sheetFormatPr defaultRowHeight="15" x14ac:dyDescent="0.25"/>
  <cols>
    <col min="1" max="1" width="12.85546875" bestFit="1" customWidth="1"/>
    <col min="2" max="2" width="11" customWidth="1"/>
    <col min="3" max="3" width="21.5703125" bestFit="1" customWidth="1"/>
    <col min="4" max="4" width="12.85546875" bestFit="1" customWidth="1"/>
    <col min="5" max="5" width="12.85546875" customWidth="1"/>
    <col min="6" max="6" width="19.5703125" customWidth="1"/>
    <col min="7" max="7" width="21.28515625" style="8" bestFit="1" customWidth="1"/>
    <col min="8" max="8" width="21.28515625" customWidth="1"/>
    <col min="9" max="9" width="21.28515625" style="9" customWidth="1"/>
    <col min="10" max="10" width="9.85546875" bestFit="1" customWidth="1"/>
    <col min="11" max="11" width="23" customWidth="1"/>
    <col min="12" max="12" width="18" customWidth="1"/>
    <col min="13" max="13" width="17.85546875" customWidth="1"/>
    <col min="14" max="14" width="17.42578125" customWidth="1"/>
    <col min="15" max="15" width="21.5703125" customWidth="1"/>
    <col min="16" max="17" width="25.28515625" customWidth="1"/>
    <col min="18" max="18" width="24.28515625" customWidth="1"/>
    <col min="19" max="19" width="19.140625" customWidth="1"/>
    <col min="20" max="20" width="8.7109375" customWidth="1"/>
    <col min="21" max="21" width="11.85546875" customWidth="1"/>
    <col min="22" max="22" width="16.28515625" customWidth="1"/>
    <col min="23" max="23" width="29.7109375" customWidth="1"/>
    <col min="24" max="24" width="14.42578125" customWidth="1"/>
    <col min="25" max="25" width="25" customWidth="1"/>
    <col min="26" max="26" width="21.5703125" customWidth="1"/>
    <col min="27" max="27" width="55.28515625" customWidth="1"/>
    <col min="28" max="28" width="29.140625" customWidth="1"/>
    <col min="29" max="29" width="25.140625" customWidth="1"/>
    <col min="30" max="30" width="11" customWidth="1"/>
    <col min="33" max="33" width="19.42578125" bestFit="1" customWidth="1"/>
  </cols>
  <sheetData>
    <row r="1" spans="1:30" s="3" customFormat="1" x14ac:dyDescent="0.25">
      <c r="A1" s="3" t="s">
        <v>0</v>
      </c>
      <c r="B1" s="3" t="s">
        <v>316</v>
      </c>
      <c r="C1" s="3" t="s">
        <v>8</v>
      </c>
      <c r="D1" s="3" t="s">
        <v>1</v>
      </c>
      <c r="E1" s="3" t="s">
        <v>298</v>
      </c>
      <c r="F1" s="3" t="s">
        <v>297</v>
      </c>
      <c r="G1" s="9" t="s">
        <v>307</v>
      </c>
      <c r="H1" s="3" t="s">
        <v>308</v>
      </c>
      <c r="I1" s="9" t="s">
        <v>309</v>
      </c>
      <c r="J1" s="3" t="s">
        <v>299</v>
      </c>
      <c r="K1" s="3" t="s">
        <v>310</v>
      </c>
      <c r="L1" s="3" t="s">
        <v>300</v>
      </c>
      <c r="M1" s="3" t="s">
        <v>301</v>
      </c>
      <c r="N1" s="3" t="s">
        <v>302</v>
      </c>
      <c r="O1" s="3" t="s">
        <v>303</v>
      </c>
      <c r="P1" s="3" t="s">
        <v>305</v>
      </c>
      <c r="Q1" s="3" t="s">
        <v>311</v>
      </c>
      <c r="R1" s="3" t="s">
        <v>304</v>
      </c>
      <c r="S1" s="3" t="s">
        <v>306</v>
      </c>
      <c r="T1" s="3" t="s">
        <v>2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296</v>
      </c>
      <c r="AA1" s="3" t="s">
        <v>9</v>
      </c>
      <c r="AB1" s="3" t="s">
        <v>10</v>
      </c>
      <c r="AC1" s="3" t="s">
        <v>11</v>
      </c>
      <c r="AD1" s="3" t="s">
        <v>12</v>
      </c>
    </row>
    <row r="2" spans="1:30" hidden="1" x14ac:dyDescent="0.25">
      <c r="A2" t="s">
        <v>13</v>
      </c>
      <c r="B2" t="str">
        <f>LEFT(Table1[[#This Row],[Ativo]],2)</f>
        <v>79</v>
      </c>
      <c r="C2" t="s">
        <v>18</v>
      </c>
      <c r="D2" t="s">
        <v>14</v>
      </c>
      <c r="E2" t="s">
        <v>1364</v>
      </c>
      <c r="F2" t="str">
        <f>_xlfn.XLOOKUP(_xlfn.NUMBERVALUE(Table1[[#This Row],[Ativo]]),'[1]Criticidade por Equipamento'!$A:$A,'[1]Criticidade por Equipamento'!$AS:$AS)</f>
        <v>RL Completo 13,8</v>
      </c>
      <c r="G2" s="8">
        <f>_xlfn.XLOOKUP(_xlfn.NUMBERVALUE(Table1[[#This Row],[Ativo]]),'[1]Criticidade por Equipamento'!$A:$A,'[1]Criticidade por Equipamento'!$AU:$AU)</f>
        <v>11016.94</v>
      </c>
      <c r="H2" s="8">
        <f>_xlfn.XLOOKUP(_xlfn.NUMBERVALUE(Table1[[#This Row],[Ativo]]),'[1]Criticidade por Equipamento'!$A:$A,'[1]Criticidade por Equipamento'!$AT:$AT)</f>
        <v>55602.54</v>
      </c>
      <c r="I2" s="9">
        <f>Table1[[#This Row],[Orçamento MAT]]+Table1[[#This Row],[Orçamento MO]]</f>
        <v>66619.48</v>
      </c>
      <c r="T2" s="1">
        <v>5</v>
      </c>
      <c r="U2" s="1">
        <v>12</v>
      </c>
      <c r="V2" s="1">
        <v>144</v>
      </c>
      <c r="W2" t="s">
        <v>15</v>
      </c>
      <c r="X2" t="s">
        <v>16</v>
      </c>
      <c r="Y2" t="s">
        <v>17</v>
      </c>
      <c r="AA2" t="s">
        <v>19</v>
      </c>
      <c r="AB2" t="s">
        <v>20</v>
      </c>
      <c r="AC2" t="s">
        <v>20</v>
      </c>
      <c r="AD2" t="s">
        <v>21</v>
      </c>
    </row>
    <row r="3" spans="1:30" hidden="1" x14ac:dyDescent="0.25">
      <c r="A3" t="s">
        <v>22</v>
      </c>
      <c r="B3" t="str">
        <f>LEFT(Table1[[#This Row],[Ativo]],2)</f>
        <v>79</v>
      </c>
      <c r="C3" t="s">
        <v>25</v>
      </c>
      <c r="D3" t="s">
        <v>14</v>
      </c>
      <c r="E3" t="s">
        <v>1364</v>
      </c>
      <c r="F3" t="str">
        <f>_xlfn.XLOOKUP(_xlfn.NUMBERVALUE(Table1[[#This Row],[Ativo]]),'[1]Criticidade por Equipamento'!$A:$A,'[1]Criticidade por Equipamento'!$AS:$AS)</f>
        <v>Tanque 13,8</v>
      </c>
      <c r="G3" s="8">
        <f>_xlfn.XLOOKUP(_xlfn.NUMBERVALUE(Table1[[#This Row],[Ativo]]),'[1]Criticidade por Equipamento'!$A:$A,'[1]Criticidade por Equipamento'!$AU:$AU)</f>
        <v>11016.94</v>
      </c>
      <c r="H3" s="10">
        <f>_xlfn.XLOOKUP(_xlfn.NUMBERVALUE(Table1[[#This Row],[Ativo]]),'[1]Criticidade por Equipamento'!$A:$A,'[1]Criticidade por Equipamento'!$AT:$AT)</f>
        <v>21785.72</v>
      </c>
      <c r="I3" s="9">
        <f>Table1[[#This Row],[Orçamento MAT]]+Table1[[#This Row],[Orçamento MO]]</f>
        <v>32802.660000000003</v>
      </c>
      <c r="T3" s="1">
        <v>6</v>
      </c>
      <c r="U3" s="1">
        <v>12</v>
      </c>
      <c r="V3" s="1">
        <v>201</v>
      </c>
      <c r="W3" t="s">
        <v>23</v>
      </c>
      <c r="X3" t="s">
        <v>16</v>
      </c>
      <c r="Y3" t="s">
        <v>24</v>
      </c>
      <c r="AA3" t="s">
        <v>26</v>
      </c>
      <c r="AB3" t="s">
        <v>27</v>
      </c>
      <c r="AC3" t="s">
        <v>28</v>
      </c>
      <c r="AD3" t="s">
        <v>29</v>
      </c>
    </row>
    <row r="4" spans="1:30" hidden="1" x14ac:dyDescent="0.25">
      <c r="A4" t="s">
        <v>30</v>
      </c>
      <c r="B4" t="str">
        <f>LEFT(Table1[[#This Row],[Ativo]],2)</f>
        <v>79</v>
      </c>
      <c r="C4" t="s">
        <v>32</v>
      </c>
      <c r="D4" t="s">
        <v>14</v>
      </c>
      <c r="E4" t="s">
        <v>1364</v>
      </c>
      <c r="F4" t="str">
        <f>_xlfn.XLOOKUP(_xlfn.NUMBERVALUE(Table1[[#This Row],[Ativo]]),'[1]Criticidade por Equipamento'!$A:$A,'[1]Criticidade por Equipamento'!$AS:$AS)</f>
        <v>RL Completo 34,5</v>
      </c>
      <c r="G4" s="8">
        <f>_xlfn.XLOOKUP(_xlfn.NUMBERVALUE(Table1[[#This Row],[Ativo]]),'[1]Criticidade por Equipamento'!$A:$A,'[1]Criticidade por Equipamento'!$AU:$AU)</f>
        <v>13209.34</v>
      </c>
      <c r="H4" s="10">
        <f>_xlfn.XLOOKUP(_xlfn.NUMBERVALUE(Table1[[#This Row],[Ativo]]),'[1]Criticidade por Equipamento'!$A:$A,'[1]Criticidade por Equipamento'!$AT:$AT)</f>
        <v>76246.2</v>
      </c>
      <c r="I4" s="9">
        <f>Table1[[#This Row],[Orçamento MAT]]+Table1[[#This Row],[Orçamento MO]]</f>
        <v>89455.54</v>
      </c>
      <c r="T4" s="1">
        <v>9</v>
      </c>
      <c r="U4" s="1">
        <v>12</v>
      </c>
      <c r="V4" s="1">
        <v>267</v>
      </c>
      <c r="W4" t="s">
        <v>15</v>
      </c>
      <c r="X4" t="s">
        <v>16</v>
      </c>
      <c r="Y4" t="s">
        <v>31</v>
      </c>
      <c r="AA4" t="s">
        <v>33</v>
      </c>
      <c r="AB4" t="s">
        <v>34</v>
      </c>
      <c r="AC4" t="s">
        <v>27</v>
      </c>
      <c r="AD4" t="s">
        <v>29</v>
      </c>
    </row>
    <row r="5" spans="1:30" hidden="1" x14ac:dyDescent="0.25">
      <c r="A5" t="s">
        <v>35</v>
      </c>
      <c r="B5" t="str">
        <f>LEFT(Table1[[#This Row],[Ativo]],2)</f>
        <v>58</v>
      </c>
      <c r="C5" t="s">
        <v>39</v>
      </c>
      <c r="D5" t="s">
        <v>14</v>
      </c>
      <c r="E5" t="s">
        <v>1363</v>
      </c>
      <c r="F5" t="str">
        <f>_xlfn.XLOOKUP(_xlfn.NUMBERVALUE(Table1[[#This Row],[Ativo]]),'[1]Criticidade por Equipamento'!$A:$A,'[1]Criticidade por Equipamento'!$AS:$AS)</f>
        <v>RT Completo 400 34,5</v>
      </c>
      <c r="G5" s="8">
        <f>_xlfn.XLOOKUP(_xlfn.NUMBERVALUE(Table1[[#This Row],[Ativo]]),'[1]Criticidade por Equipamento'!$A:$A,'[1]Criticidade por Equipamento'!$AU:$AU)</f>
        <v>200637</v>
      </c>
      <c r="H5" s="10">
        <f>_xlfn.XLOOKUP(_xlfn.NUMBERVALUE(Table1[[#This Row],[Ativo]]),'[1]Criticidade por Equipamento'!$A:$A,'[1]Criticidade por Equipamento'!$AT:$AT)</f>
        <v>293949.59999999998</v>
      </c>
      <c r="I5" s="9">
        <f>Table1[[#This Row],[Orçamento MAT]]+Table1[[#This Row],[Orçamento MO]]</f>
        <v>494586.6</v>
      </c>
      <c r="T5" s="1">
        <v>10</v>
      </c>
      <c r="U5" s="1">
        <v>12</v>
      </c>
      <c r="V5" s="1">
        <v>395</v>
      </c>
      <c r="W5" t="s">
        <v>36</v>
      </c>
      <c r="X5" t="s">
        <v>37</v>
      </c>
      <c r="Y5" t="s">
        <v>38</v>
      </c>
      <c r="AA5" t="s">
        <v>40</v>
      </c>
      <c r="AB5" t="s">
        <v>41</v>
      </c>
      <c r="AC5" t="s">
        <v>42</v>
      </c>
      <c r="AD5" t="s">
        <v>43</v>
      </c>
    </row>
    <row r="6" spans="1:30" hidden="1" x14ac:dyDescent="0.25">
      <c r="A6" t="s">
        <v>44</v>
      </c>
      <c r="B6" t="str">
        <f>LEFT(Table1[[#This Row],[Ativo]],2)</f>
        <v>79</v>
      </c>
      <c r="C6" t="s">
        <v>47</v>
      </c>
      <c r="D6" t="s">
        <v>14</v>
      </c>
      <c r="E6" t="s">
        <v>1364</v>
      </c>
      <c r="F6" t="str">
        <f>_xlfn.XLOOKUP(_xlfn.NUMBERVALUE(Table1[[#This Row],[Ativo]]),'[1]Criticidade por Equipamento'!$A:$A,'[1]Criticidade por Equipamento'!$AS:$AS)</f>
        <v>RL Completo 13,8</v>
      </c>
      <c r="G6" s="8">
        <f>_xlfn.XLOOKUP(_xlfn.NUMBERVALUE(Table1[[#This Row],[Ativo]]),'[1]Criticidade por Equipamento'!$A:$A,'[1]Criticidade por Equipamento'!$AU:$AU)</f>
        <v>11016.94</v>
      </c>
      <c r="H6" s="10">
        <f>_xlfn.XLOOKUP(_xlfn.NUMBERVALUE(Table1[[#This Row],[Ativo]]),'[1]Criticidade por Equipamento'!$A:$A,'[1]Criticidade por Equipamento'!$AT:$AT)</f>
        <v>55602.54</v>
      </c>
      <c r="I6" s="9">
        <f>Table1[[#This Row],[Orçamento MAT]]+Table1[[#This Row],[Orçamento MO]]</f>
        <v>66619.48</v>
      </c>
      <c r="T6" s="1">
        <v>11</v>
      </c>
      <c r="U6" s="1">
        <v>12</v>
      </c>
      <c r="V6" s="1">
        <v>28</v>
      </c>
      <c r="W6" t="s">
        <v>45</v>
      </c>
      <c r="X6" t="s">
        <v>16</v>
      </c>
      <c r="Y6" t="s">
        <v>46</v>
      </c>
      <c r="AA6" t="s">
        <v>48</v>
      </c>
      <c r="AB6" t="s">
        <v>20</v>
      </c>
      <c r="AC6" t="s">
        <v>20</v>
      </c>
      <c r="AD6" t="s">
        <v>21</v>
      </c>
    </row>
    <row r="7" spans="1:30" hidden="1" x14ac:dyDescent="0.25">
      <c r="A7" t="s">
        <v>49</v>
      </c>
      <c r="B7" t="str">
        <f>LEFT(Table1[[#This Row],[Ativo]],2)</f>
        <v>79</v>
      </c>
      <c r="C7" t="s">
        <v>52</v>
      </c>
      <c r="D7" t="s">
        <v>14</v>
      </c>
      <c r="E7" t="s">
        <v>1364</v>
      </c>
      <c r="F7" t="str">
        <f>_xlfn.XLOOKUP(_xlfn.NUMBERVALUE(Table1[[#This Row],[Ativo]]),'[1]Criticidade por Equipamento'!$A:$A,'[1]Criticidade por Equipamento'!$AS:$AS)</f>
        <v>Tanque 34,5</v>
      </c>
      <c r="G7" s="8">
        <f>_xlfn.XLOOKUP(_xlfn.NUMBERVALUE(Table1[[#This Row],[Ativo]]),'[1]Criticidade por Equipamento'!$A:$A,'[1]Criticidade por Equipamento'!$AU:$AU)</f>
        <v>13209.34</v>
      </c>
      <c r="H7" s="10">
        <f>_xlfn.XLOOKUP(_xlfn.NUMBERVALUE(Table1[[#This Row],[Ativo]]),'[1]Criticidade por Equipamento'!$A:$A,'[1]Criticidade por Equipamento'!$AT:$AT)</f>
        <v>38151.480000000003</v>
      </c>
      <c r="I7" s="9">
        <f>Table1[[#This Row],[Orçamento MAT]]+Table1[[#This Row],[Orçamento MO]]</f>
        <v>51360.820000000007</v>
      </c>
      <c r="T7" s="1">
        <v>12</v>
      </c>
      <c r="U7" s="1">
        <v>12</v>
      </c>
      <c r="V7" s="1">
        <v>189</v>
      </c>
      <c r="W7" t="s">
        <v>50</v>
      </c>
      <c r="X7" t="s">
        <v>16</v>
      </c>
      <c r="Y7" t="s">
        <v>51</v>
      </c>
      <c r="AA7" t="s">
        <v>53</v>
      </c>
      <c r="AB7" t="s">
        <v>54</v>
      </c>
      <c r="AC7" t="s">
        <v>55</v>
      </c>
      <c r="AD7" t="s">
        <v>21</v>
      </c>
    </row>
    <row r="8" spans="1:30" hidden="1" x14ac:dyDescent="0.25">
      <c r="A8" t="s">
        <v>56</v>
      </c>
      <c r="B8" t="str">
        <f>LEFT(Table1[[#This Row],[Ativo]],2)</f>
        <v>79</v>
      </c>
      <c r="C8" t="s">
        <v>59</v>
      </c>
      <c r="D8" t="s">
        <v>14</v>
      </c>
      <c r="E8" t="s">
        <v>1364</v>
      </c>
      <c r="F8" t="str">
        <f>_xlfn.XLOOKUP(_xlfn.NUMBERVALUE(Table1[[#This Row],[Ativo]]),'[1]Criticidade por Equipamento'!$A:$A,'[1]Criticidade por Equipamento'!$AS:$AS)</f>
        <v>RL Completo 13,8</v>
      </c>
      <c r="G8" s="8">
        <f>_xlfn.XLOOKUP(_xlfn.NUMBERVALUE(Table1[[#This Row],[Ativo]]),'[1]Criticidade por Equipamento'!$A:$A,'[1]Criticidade por Equipamento'!$AU:$AU)</f>
        <v>11016.94</v>
      </c>
      <c r="H8" s="10">
        <f>_xlfn.XLOOKUP(_xlfn.NUMBERVALUE(Table1[[#This Row],[Ativo]]),'[1]Criticidade por Equipamento'!$A:$A,'[1]Criticidade por Equipamento'!$AT:$AT)</f>
        <v>55602.54</v>
      </c>
      <c r="I8" s="9">
        <f>Table1[[#This Row],[Orçamento MAT]]+Table1[[#This Row],[Orçamento MO]]</f>
        <v>66619.48</v>
      </c>
      <c r="T8" s="1">
        <v>15</v>
      </c>
      <c r="U8" s="1">
        <v>12</v>
      </c>
      <c r="V8" s="1">
        <v>397</v>
      </c>
      <c r="W8" t="s">
        <v>57</v>
      </c>
      <c r="X8" t="s">
        <v>37</v>
      </c>
      <c r="Y8" t="s">
        <v>58</v>
      </c>
      <c r="AA8" t="s">
        <v>60</v>
      </c>
      <c r="AB8" t="s">
        <v>61</v>
      </c>
      <c r="AC8" t="s">
        <v>42</v>
      </c>
      <c r="AD8" t="s">
        <v>43</v>
      </c>
    </row>
    <row r="9" spans="1:30" hidden="1" x14ac:dyDescent="0.25">
      <c r="A9" t="s">
        <v>62</v>
      </c>
      <c r="B9" t="str">
        <f>LEFT(Table1[[#This Row],[Ativo]],2)</f>
        <v>79</v>
      </c>
      <c r="C9" t="s">
        <v>65</v>
      </c>
      <c r="D9" t="s">
        <v>14</v>
      </c>
      <c r="E9" t="s">
        <v>1364</v>
      </c>
      <c r="F9" t="str">
        <f>_xlfn.XLOOKUP(_xlfn.NUMBERVALUE(Table1[[#This Row],[Ativo]]),'[1]Criticidade por Equipamento'!$A:$A,'[1]Criticidade por Equipamento'!$AS:$AS)</f>
        <v>RL Completo 34,5</v>
      </c>
      <c r="G9" s="8">
        <f>_xlfn.XLOOKUP(_xlfn.NUMBERVALUE(Table1[[#This Row],[Ativo]]),'[1]Criticidade por Equipamento'!$A:$A,'[1]Criticidade por Equipamento'!$AU:$AU)</f>
        <v>13209.34</v>
      </c>
      <c r="H9" s="10">
        <f>_xlfn.XLOOKUP(_xlfn.NUMBERVALUE(Table1[[#This Row],[Ativo]]),'[1]Criticidade por Equipamento'!$A:$A,'[1]Criticidade por Equipamento'!$AT:$AT)</f>
        <v>76246.2</v>
      </c>
      <c r="I9" s="9">
        <f>Table1[[#This Row],[Orçamento MAT]]+Table1[[#This Row],[Orçamento MO]]</f>
        <v>89455.54</v>
      </c>
      <c r="T9" s="1">
        <v>21</v>
      </c>
      <c r="U9" s="1">
        <v>12</v>
      </c>
      <c r="V9" s="1">
        <v>140</v>
      </c>
      <c r="W9" t="s">
        <v>63</v>
      </c>
      <c r="X9" t="s">
        <v>16</v>
      </c>
      <c r="Y9" t="s">
        <v>64</v>
      </c>
      <c r="AA9" t="s">
        <v>66</v>
      </c>
      <c r="AB9" t="s">
        <v>67</v>
      </c>
      <c r="AC9" t="s">
        <v>67</v>
      </c>
      <c r="AD9" t="s">
        <v>29</v>
      </c>
    </row>
    <row r="10" spans="1:30" hidden="1" x14ac:dyDescent="0.25">
      <c r="A10" t="s">
        <v>68</v>
      </c>
      <c r="B10" t="str">
        <f>LEFT(Table1[[#This Row],[Ativo]],2)</f>
        <v>58</v>
      </c>
      <c r="C10" t="s">
        <v>71</v>
      </c>
      <c r="D10" t="s">
        <v>14</v>
      </c>
      <c r="E10" t="s">
        <v>313</v>
      </c>
      <c r="F10" t="str">
        <f>_xlfn.XLOOKUP(_xlfn.NUMBERVALUE(Table1[[#This Row],[Ativo]]),'[1]Criticidade por Equipamento'!$A:$A,'[1]Criticidade por Equipamento'!$AS:$AS)</f>
        <v>Célula 200 34,5</v>
      </c>
      <c r="G10" s="8">
        <f>_xlfn.XLOOKUP(_xlfn.NUMBERVALUE(Table1[[#This Row],[Ativo]]),'[1]Criticidade por Equipamento'!$A:$A,'[1]Criticidade por Equipamento'!$AU:$AU)</f>
        <v>80318.5</v>
      </c>
      <c r="H10" s="10">
        <f>_xlfn.XLOOKUP(_xlfn.NUMBERVALUE(Table1[[#This Row],[Ativo]]),'[1]Criticidade por Equipamento'!$A:$A,'[1]Criticidade por Equipamento'!$AT:$AT)</f>
        <v>51705.75</v>
      </c>
      <c r="I10" s="9">
        <f>Table1[[#This Row],[Orçamento MAT]]+Table1[[#This Row],[Orçamento MO]]</f>
        <v>132024.25</v>
      </c>
      <c r="T10" s="1">
        <v>23</v>
      </c>
      <c r="U10" s="1">
        <v>12</v>
      </c>
      <c r="V10" s="1">
        <v>21</v>
      </c>
      <c r="W10" t="s">
        <v>69</v>
      </c>
      <c r="X10" t="s">
        <v>16</v>
      </c>
      <c r="Y10" t="s">
        <v>70</v>
      </c>
      <c r="AA10" t="s">
        <v>72</v>
      </c>
      <c r="AB10" t="s">
        <v>73</v>
      </c>
      <c r="AC10" t="s">
        <v>74</v>
      </c>
      <c r="AD10" t="s">
        <v>29</v>
      </c>
    </row>
    <row r="11" spans="1:30" hidden="1" x14ac:dyDescent="0.25">
      <c r="A11" t="s">
        <v>75</v>
      </c>
      <c r="B11" t="str">
        <f>LEFT(Table1[[#This Row],[Ativo]],2)</f>
        <v>79</v>
      </c>
      <c r="C11" t="s">
        <v>78</v>
      </c>
      <c r="D11" t="s">
        <v>14</v>
      </c>
      <c r="E11" t="s">
        <v>1364</v>
      </c>
      <c r="F11" t="str">
        <f>_xlfn.XLOOKUP(_xlfn.NUMBERVALUE(Table1[[#This Row],[Ativo]]),'[1]Criticidade por Equipamento'!$A:$A,'[1]Criticidade por Equipamento'!$AS:$AS)</f>
        <v>RL Completo 34,5</v>
      </c>
      <c r="G11" s="8">
        <f>_xlfn.XLOOKUP(_xlfn.NUMBERVALUE(Table1[[#This Row],[Ativo]]),'[1]Criticidade por Equipamento'!$A:$A,'[1]Criticidade por Equipamento'!$AU:$AU)</f>
        <v>13209.34</v>
      </c>
      <c r="H11" s="10">
        <f>_xlfn.XLOOKUP(_xlfn.NUMBERVALUE(Table1[[#This Row],[Ativo]]),'[1]Criticidade por Equipamento'!$A:$A,'[1]Criticidade por Equipamento'!$AT:$AT)</f>
        <v>76246.2</v>
      </c>
      <c r="I11" s="9">
        <f>Table1[[#This Row],[Orçamento MAT]]+Table1[[#This Row],[Orçamento MO]]</f>
        <v>89455.54</v>
      </c>
      <c r="T11" s="1">
        <v>25</v>
      </c>
      <c r="U11" s="1">
        <v>12</v>
      </c>
      <c r="V11" s="1">
        <v>482</v>
      </c>
      <c r="W11" t="s">
        <v>76</v>
      </c>
      <c r="X11" t="s">
        <v>16</v>
      </c>
      <c r="Y11" t="s">
        <v>77</v>
      </c>
      <c r="AA11" t="s">
        <v>79</v>
      </c>
      <c r="AB11" t="s">
        <v>80</v>
      </c>
      <c r="AC11" t="s">
        <v>67</v>
      </c>
      <c r="AD11" t="s">
        <v>29</v>
      </c>
    </row>
    <row r="12" spans="1:30" hidden="1" x14ac:dyDescent="0.25">
      <c r="A12" t="s">
        <v>81</v>
      </c>
      <c r="B12" t="str">
        <f>LEFT(Table1[[#This Row],[Ativo]],2)</f>
        <v>79</v>
      </c>
      <c r="C12" t="s">
        <v>84</v>
      </c>
      <c r="D12" t="s">
        <v>14</v>
      </c>
      <c r="E12" t="s">
        <v>1364</v>
      </c>
      <c r="F12" t="str">
        <f>_xlfn.XLOOKUP(_xlfn.NUMBERVALUE(Table1[[#This Row],[Ativo]]),'[1]Criticidade por Equipamento'!$A:$A,'[1]Criticidade por Equipamento'!$AS:$AS)</f>
        <v>Tanque 34,5</v>
      </c>
      <c r="G12" s="8">
        <f>_xlfn.XLOOKUP(_xlfn.NUMBERVALUE(Table1[[#This Row],[Ativo]]),'[1]Criticidade por Equipamento'!$A:$A,'[1]Criticidade por Equipamento'!$AU:$AU)</f>
        <v>13209.34</v>
      </c>
      <c r="H12" s="10">
        <f>_xlfn.XLOOKUP(_xlfn.NUMBERVALUE(Table1[[#This Row],[Ativo]]),'[1]Criticidade por Equipamento'!$A:$A,'[1]Criticidade por Equipamento'!$AT:$AT)</f>
        <v>38151.480000000003</v>
      </c>
      <c r="I12" s="9">
        <f>Table1[[#This Row],[Orçamento MAT]]+Table1[[#This Row],[Orçamento MO]]</f>
        <v>51360.820000000007</v>
      </c>
      <c r="T12" s="1">
        <v>26</v>
      </c>
      <c r="U12" s="1">
        <v>12</v>
      </c>
      <c r="V12" s="1">
        <v>154</v>
      </c>
      <c r="W12" t="s">
        <v>82</v>
      </c>
      <c r="X12" t="s">
        <v>16</v>
      </c>
      <c r="Y12" t="s">
        <v>83</v>
      </c>
      <c r="AA12" t="s">
        <v>85</v>
      </c>
      <c r="AB12" t="s">
        <v>86</v>
      </c>
      <c r="AC12" t="s">
        <v>87</v>
      </c>
      <c r="AD12" t="s">
        <v>21</v>
      </c>
    </row>
    <row r="13" spans="1:30" hidden="1" x14ac:dyDescent="0.25">
      <c r="A13" t="s">
        <v>88</v>
      </c>
      <c r="B13" t="str">
        <f>LEFT(Table1[[#This Row],[Ativo]],2)</f>
        <v>58</v>
      </c>
      <c r="C13" t="s">
        <v>92</v>
      </c>
      <c r="D13" t="s">
        <v>89</v>
      </c>
      <c r="E13" t="s">
        <v>313</v>
      </c>
      <c r="F13" t="str">
        <f>_xlfn.XLOOKUP(_xlfn.NUMBERVALUE(Table1[[#This Row],[Ativo]]),'[1]Criticidade por Equipamento'!$A:$A,'[1]Criticidade por Equipamento'!$AS:$AS)</f>
        <v>Controle 167 13,8</v>
      </c>
      <c r="G13" s="8">
        <f>_xlfn.XLOOKUP(_xlfn.NUMBERVALUE(Table1[[#This Row],[Ativo]]),'[1]Criticidade por Equipamento'!$A:$A,'[1]Criticidade por Equipamento'!$AU:$AU)</f>
        <v>20000</v>
      </c>
      <c r="H13" s="10">
        <f>_xlfn.XLOOKUP(_xlfn.NUMBERVALUE(Table1[[#This Row],[Ativo]]),'[1]Criticidade por Equipamento'!$A:$A,'[1]Criticidade por Equipamento'!$AT:$AT)</f>
        <v>23259.599999999999</v>
      </c>
      <c r="I13" s="9">
        <f>Table1[[#This Row],[Orçamento MAT]]+Table1[[#This Row],[Orçamento MO]]</f>
        <v>43259.6</v>
      </c>
      <c r="T13" s="1">
        <v>27</v>
      </c>
      <c r="U13" s="1">
        <v>26</v>
      </c>
      <c r="V13" s="1">
        <v>347</v>
      </c>
      <c r="W13" t="s">
        <v>90</v>
      </c>
      <c r="X13" t="s">
        <v>16</v>
      </c>
      <c r="Y13" t="s">
        <v>91</v>
      </c>
      <c r="AA13" t="s">
        <v>93</v>
      </c>
      <c r="AB13" t="s">
        <v>67</v>
      </c>
      <c r="AC13" t="s">
        <v>67</v>
      </c>
      <c r="AD13" t="s">
        <v>29</v>
      </c>
    </row>
    <row r="14" spans="1:30" hidden="1" x14ac:dyDescent="0.25">
      <c r="A14" t="s">
        <v>94</v>
      </c>
      <c r="B14" t="str">
        <f>LEFT(Table1[[#This Row],[Ativo]],2)</f>
        <v>79</v>
      </c>
      <c r="C14" t="s">
        <v>97</v>
      </c>
      <c r="D14" t="s">
        <v>89</v>
      </c>
      <c r="E14" t="s">
        <v>1364</v>
      </c>
      <c r="F14" t="str">
        <f>_xlfn.XLOOKUP(_xlfn.NUMBERVALUE(Table1[[#This Row],[Ativo]]),'[1]Criticidade por Equipamento'!$A:$A,'[1]Criticidade por Equipamento'!$AS:$AS)</f>
        <v>Controle 34,5</v>
      </c>
      <c r="G14" s="8">
        <f>_xlfn.XLOOKUP(_xlfn.NUMBERVALUE(Table1[[#This Row],[Ativo]]),'[1]Criticidade por Equipamento'!$A:$A,'[1]Criticidade por Equipamento'!$AU:$AU)</f>
        <v>13209.34</v>
      </c>
      <c r="H14" s="10">
        <f>_xlfn.XLOOKUP(_xlfn.NUMBERVALUE(Table1[[#This Row],[Ativo]]),'[1]Criticidade por Equipamento'!$A:$A,'[1]Criticidade por Equipamento'!$AT:$AT)</f>
        <v>38094.720000000001</v>
      </c>
      <c r="I14" s="9">
        <f>Table1[[#This Row],[Orçamento MAT]]+Table1[[#This Row],[Orçamento MO]]</f>
        <v>51304.06</v>
      </c>
      <c r="T14" s="1">
        <v>34</v>
      </c>
      <c r="U14" s="1">
        <v>26</v>
      </c>
      <c r="V14" s="1">
        <v>143</v>
      </c>
      <c r="W14" t="s">
        <v>95</v>
      </c>
      <c r="X14" t="s">
        <v>16</v>
      </c>
      <c r="Y14" t="s">
        <v>96</v>
      </c>
      <c r="AA14" t="s">
        <v>98</v>
      </c>
      <c r="AB14" t="s">
        <v>99</v>
      </c>
      <c r="AC14" t="s">
        <v>99</v>
      </c>
      <c r="AD14" t="s">
        <v>29</v>
      </c>
    </row>
    <row r="15" spans="1:30" hidden="1" x14ac:dyDescent="0.25">
      <c r="A15" t="s">
        <v>100</v>
      </c>
      <c r="B15" t="str">
        <f>LEFT(Table1[[#This Row],[Ativo]],2)</f>
        <v>58</v>
      </c>
      <c r="C15" t="s">
        <v>104</v>
      </c>
      <c r="D15" t="s">
        <v>89</v>
      </c>
      <c r="E15" t="s">
        <v>1363</v>
      </c>
      <c r="F15" t="str">
        <f>_xlfn.XLOOKUP(_xlfn.NUMBERVALUE(Table1[[#This Row],[Ativo]]),'[1]Criticidade por Equipamento'!$A:$A,'[1]Criticidade por Equipamento'!$AS:$AS)</f>
        <v>Acessório 400 34,5</v>
      </c>
      <c r="G15" s="8">
        <f>_xlfn.XLOOKUP(_xlfn.NUMBERVALUE(Table1[[#This Row],[Ativo]]),'[1]Criticidade por Equipamento'!$A:$A,'[1]Criticidade por Equipamento'!$AU:$AU)</f>
        <v>0</v>
      </c>
      <c r="H15" s="10">
        <f>_xlfn.XLOOKUP(_xlfn.NUMBERVALUE(Table1[[#This Row],[Ativo]]),'[1]Criticidade por Equipamento'!$A:$A,'[1]Criticidade por Equipamento'!$AT:$AT)</f>
        <v>15000</v>
      </c>
      <c r="I15" s="9">
        <f>Table1[[#This Row],[Orçamento MAT]]+Table1[[#This Row],[Orçamento MO]]</f>
        <v>15000</v>
      </c>
      <c r="T15" s="1">
        <v>38</v>
      </c>
      <c r="U15" s="1">
        <v>26</v>
      </c>
      <c r="V15" s="1">
        <v>475</v>
      </c>
      <c r="W15" t="s">
        <v>101</v>
      </c>
      <c r="X15" t="s">
        <v>102</v>
      </c>
      <c r="Y15" t="s">
        <v>103</v>
      </c>
      <c r="AA15" t="s">
        <v>105</v>
      </c>
      <c r="AB15" t="s">
        <v>106</v>
      </c>
      <c r="AC15" t="s">
        <v>106</v>
      </c>
      <c r="AD15" t="s">
        <v>29</v>
      </c>
    </row>
    <row r="16" spans="1:30" hidden="1" x14ac:dyDescent="0.25">
      <c r="A16" t="s">
        <v>107</v>
      </c>
      <c r="B16" t="str">
        <f>LEFT(Table1[[#This Row],[Ativo]],2)</f>
        <v>58</v>
      </c>
      <c r="C16" t="s">
        <v>110</v>
      </c>
      <c r="D16" t="s">
        <v>108</v>
      </c>
      <c r="E16" t="s">
        <v>313</v>
      </c>
      <c r="F16" t="str">
        <f>_xlfn.XLOOKUP(_xlfn.NUMBERVALUE(Table1[[#This Row],[Ativo]]),'[1]Criticidade por Equipamento'!$A:$A,'[1]Criticidade por Equipamento'!$AS:$AS)</f>
        <v>Célula 400 34,5</v>
      </c>
      <c r="G16" s="8">
        <f>_xlfn.XLOOKUP(_xlfn.NUMBERVALUE(Table1[[#This Row],[Ativo]]),'[1]Criticidade por Equipamento'!$A:$A,'[1]Criticidade por Equipamento'!$AU:$AU)</f>
        <v>80318.5</v>
      </c>
      <c r="H16" s="10">
        <f>_xlfn.XLOOKUP(_xlfn.NUMBERVALUE(Table1[[#This Row],[Ativo]]),'[1]Criticidade por Equipamento'!$A:$A,'[1]Criticidade por Equipamento'!$AT:$AT)</f>
        <v>90230</v>
      </c>
      <c r="I16" s="9">
        <f>Table1[[#This Row],[Orçamento MAT]]+Table1[[#This Row],[Orçamento MO]]</f>
        <v>170548.5</v>
      </c>
      <c r="T16" s="1">
        <v>45</v>
      </c>
      <c r="U16" s="1">
        <v>86</v>
      </c>
      <c r="V16" s="1">
        <v>206</v>
      </c>
      <c r="W16" t="s">
        <v>90</v>
      </c>
      <c r="X16" t="s">
        <v>16</v>
      </c>
      <c r="Y16" t="s">
        <v>109</v>
      </c>
      <c r="AA16" t="s">
        <v>111</v>
      </c>
      <c r="AB16" t="s">
        <v>112</v>
      </c>
      <c r="AC16" t="s">
        <v>87</v>
      </c>
      <c r="AD16" t="s">
        <v>21</v>
      </c>
    </row>
    <row r="17" spans="1:30" hidden="1" x14ac:dyDescent="0.25">
      <c r="A17" t="s">
        <v>113</v>
      </c>
      <c r="B17" t="str">
        <f>LEFT(Table1[[#This Row],[Ativo]],2)</f>
        <v>79</v>
      </c>
      <c r="C17" t="s">
        <v>116</v>
      </c>
      <c r="D17" t="s">
        <v>89</v>
      </c>
      <c r="E17" t="s">
        <v>1364</v>
      </c>
      <c r="F17" t="str">
        <f>_xlfn.XLOOKUP(_xlfn.NUMBERVALUE(Table1[[#This Row],[Ativo]]),'[1]Criticidade por Equipamento'!$A:$A,'[1]Criticidade por Equipamento'!$AS:$AS)</f>
        <v>RL Completo 34,5</v>
      </c>
      <c r="G17" s="8">
        <f>_xlfn.XLOOKUP(_xlfn.NUMBERVALUE(Table1[[#This Row],[Ativo]]),'[1]Criticidade por Equipamento'!$A:$A,'[1]Criticidade por Equipamento'!$AU:$AU)</f>
        <v>13209.34</v>
      </c>
      <c r="H17" s="10">
        <f>_xlfn.XLOOKUP(_xlfn.NUMBERVALUE(Table1[[#This Row],[Ativo]]),'[1]Criticidade por Equipamento'!$A:$A,'[1]Criticidade por Equipamento'!$AT:$AT)</f>
        <v>76246.2</v>
      </c>
      <c r="I17" s="9">
        <f>Table1[[#This Row],[Orçamento MAT]]+Table1[[#This Row],[Orçamento MO]]</f>
        <v>89455.54</v>
      </c>
      <c r="T17" s="1">
        <v>48</v>
      </c>
      <c r="U17" s="1">
        <v>26</v>
      </c>
      <c r="V17" s="1">
        <v>348</v>
      </c>
      <c r="W17" t="s">
        <v>114</v>
      </c>
      <c r="X17" t="s">
        <v>16</v>
      </c>
      <c r="Y17" t="s">
        <v>115</v>
      </c>
      <c r="AA17" t="s">
        <v>117</v>
      </c>
      <c r="AB17" t="s">
        <v>20</v>
      </c>
      <c r="AC17" t="s">
        <v>20</v>
      </c>
      <c r="AD17" t="s">
        <v>21</v>
      </c>
    </row>
    <row r="18" spans="1:30" hidden="1" x14ac:dyDescent="0.25">
      <c r="A18" t="s">
        <v>118</v>
      </c>
      <c r="B18" t="str">
        <f>LEFT(Table1[[#This Row],[Ativo]],2)</f>
        <v>79</v>
      </c>
      <c r="C18" t="s">
        <v>121</v>
      </c>
      <c r="D18" t="s">
        <v>89</v>
      </c>
      <c r="E18" t="s">
        <v>1364</v>
      </c>
      <c r="F18" t="str">
        <f>_xlfn.XLOOKUP(_xlfn.NUMBERVALUE(Table1[[#This Row],[Ativo]]),'[1]Criticidade por Equipamento'!$A:$A,'[1]Criticidade por Equipamento'!$AS:$AS)</f>
        <v>RL Completo 34,5</v>
      </c>
      <c r="G18" s="8">
        <f>_xlfn.XLOOKUP(_xlfn.NUMBERVALUE(Table1[[#This Row],[Ativo]]),'[1]Criticidade por Equipamento'!$A:$A,'[1]Criticidade por Equipamento'!$AU:$AU)</f>
        <v>13209.34</v>
      </c>
      <c r="H18" s="10">
        <f>_xlfn.XLOOKUP(_xlfn.NUMBERVALUE(Table1[[#This Row],[Ativo]]),'[1]Criticidade por Equipamento'!$A:$A,'[1]Criticidade por Equipamento'!$AT:$AT)</f>
        <v>76246.2</v>
      </c>
      <c r="I18" s="9">
        <f>Table1[[#This Row],[Orçamento MAT]]+Table1[[#This Row],[Orçamento MO]]</f>
        <v>89455.54</v>
      </c>
      <c r="T18" s="1">
        <v>49</v>
      </c>
      <c r="U18" s="1">
        <v>26</v>
      </c>
      <c r="V18" s="1">
        <v>441</v>
      </c>
      <c r="W18" t="s">
        <v>119</v>
      </c>
      <c r="X18" t="s">
        <v>16</v>
      </c>
      <c r="Y18" t="s">
        <v>120</v>
      </c>
      <c r="AA18" t="s">
        <v>122</v>
      </c>
      <c r="AB18" t="s">
        <v>123</v>
      </c>
      <c r="AC18" t="s">
        <v>124</v>
      </c>
      <c r="AD18" t="s">
        <v>21</v>
      </c>
    </row>
    <row r="19" spans="1:30" hidden="1" x14ac:dyDescent="0.25">
      <c r="A19" t="s">
        <v>125</v>
      </c>
      <c r="B19" t="str">
        <f>LEFT(Table1[[#This Row],[Ativo]],2)</f>
        <v>79</v>
      </c>
      <c r="C19" t="s">
        <v>128</v>
      </c>
      <c r="D19" t="s">
        <v>89</v>
      </c>
      <c r="E19" t="s">
        <v>1364</v>
      </c>
      <c r="F19" t="str">
        <f>_xlfn.XLOOKUP(_xlfn.NUMBERVALUE(Table1[[#This Row],[Ativo]]),'[1]Criticidade por Equipamento'!$A:$A,'[1]Criticidade por Equipamento'!$AS:$AS)</f>
        <v>Tanque 34,5</v>
      </c>
      <c r="G19" s="8">
        <f>_xlfn.XLOOKUP(_xlfn.NUMBERVALUE(Table1[[#This Row],[Ativo]]),'[1]Criticidade por Equipamento'!$A:$A,'[1]Criticidade por Equipamento'!$AU:$AU)</f>
        <v>13209.34</v>
      </c>
      <c r="H19" s="10">
        <f>_xlfn.XLOOKUP(_xlfn.NUMBERVALUE(Table1[[#This Row],[Ativo]]),'[1]Criticidade por Equipamento'!$A:$A,'[1]Criticidade por Equipamento'!$AT:$AT)</f>
        <v>38151.480000000003</v>
      </c>
      <c r="I19" s="9">
        <f>Table1[[#This Row],[Orçamento MAT]]+Table1[[#This Row],[Orçamento MO]]</f>
        <v>51360.820000000007</v>
      </c>
      <c r="T19" s="1">
        <v>50</v>
      </c>
      <c r="U19" s="1">
        <v>26</v>
      </c>
      <c r="V19" s="1">
        <v>220</v>
      </c>
      <c r="W19" t="s">
        <v>126</v>
      </c>
      <c r="X19" t="s">
        <v>16</v>
      </c>
      <c r="Y19" t="s">
        <v>127</v>
      </c>
      <c r="AA19" t="s">
        <v>72</v>
      </c>
      <c r="AB19" t="s">
        <v>74</v>
      </c>
      <c r="AC19" t="s">
        <v>74</v>
      </c>
      <c r="AD19" t="s">
        <v>29</v>
      </c>
    </row>
    <row r="20" spans="1:30" hidden="1" x14ac:dyDescent="0.25">
      <c r="A20" t="s">
        <v>129</v>
      </c>
      <c r="B20" t="str">
        <f>LEFT(Table1[[#This Row],[Ativo]],2)</f>
        <v>79</v>
      </c>
      <c r="C20" t="s">
        <v>131</v>
      </c>
      <c r="D20" t="s">
        <v>89</v>
      </c>
      <c r="E20" t="s">
        <v>1364</v>
      </c>
      <c r="F20" t="str">
        <f>_xlfn.XLOOKUP(_xlfn.NUMBERVALUE(Table1[[#This Row],[Ativo]]),'[1]Criticidade por Equipamento'!$A:$A,'[1]Criticidade por Equipamento'!$AS:$AS)</f>
        <v>Tanque 34,5</v>
      </c>
      <c r="G20" s="8">
        <f>_xlfn.XLOOKUP(_xlfn.NUMBERVALUE(Table1[[#This Row],[Ativo]]),'[1]Criticidade por Equipamento'!$A:$A,'[1]Criticidade por Equipamento'!$AU:$AU)</f>
        <v>13209.34</v>
      </c>
      <c r="H20" s="10">
        <f>_xlfn.XLOOKUP(_xlfn.NUMBERVALUE(Table1[[#This Row],[Ativo]]),'[1]Criticidade por Equipamento'!$A:$A,'[1]Criticidade por Equipamento'!$AT:$AT)</f>
        <v>38151.480000000003</v>
      </c>
      <c r="I20" s="9">
        <f>Table1[[#This Row],[Orçamento MAT]]+Table1[[#This Row],[Orçamento MO]]</f>
        <v>51360.820000000007</v>
      </c>
      <c r="T20" s="1">
        <v>54</v>
      </c>
      <c r="U20" s="1">
        <v>26</v>
      </c>
      <c r="V20" s="1">
        <v>412</v>
      </c>
      <c r="W20" t="s">
        <v>90</v>
      </c>
      <c r="X20" t="s">
        <v>16</v>
      </c>
      <c r="Y20" t="s">
        <v>130</v>
      </c>
      <c r="AA20" t="s">
        <v>132</v>
      </c>
      <c r="AB20" t="s">
        <v>67</v>
      </c>
      <c r="AC20" t="s">
        <v>67</v>
      </c>
      <c r="AD20" t="s">
        <v>29</v>
      </c>
    </row>
    <row r="21" spans="1:30" hidden="1" x14ac:dyDescent="0.25">
      <c r="A21" t="s">
        <v>133</v>
      </c>
      <c r="B21" t="str">
        <f>LEFT(Table1[[#This Row],[Ativo]],2)</f>
        <v>79</v>
      </c>
      <c r="C21" t="s">
        <v>136</v>
      </c>
      <c r="D21" t="s">
        <v>108</v>
      </c>
      <c r="E21" t="s">
        <v>1364</v>
      </c>
      <c r="F21" t="str">
        <f>_xlfn.XLOOKUP(_xlfn.NUMBERVALUE(Table1[[#This Row],[Ativo]]),'[1]Criticidade por Equipamento'!$A:$A,'[1]Criticidade por Equipamento'!$AS:$AS)</f>
        <v>RL Completo 34,5</v>
      </c>
      <c r="G21" s="8">
        <f>_xlfn.XLOOKUP(_xlfn.NUMBERVALUE(Table1[[#This Row],[Ativo]]),'[1]Criticidade por Equipamento'!$A:$A,'[1]Criticidade por Equipamento'!$AU:$AU)</f>
        <v>13209.34</v>
      </c>
      <c r="H21" s="10">
        <f>_xlfn.XLOOKUP(_xlfn.NUMBERVALUE(Table1[[#This Row],[Ativo]]),'[1]Criticidade por Equipamento'!$A:$A,'[1]Criticidade por Equipamento'!$AT:$AT)</f>
        <v>76246.2</v>
      </c>
      <c r="I21" s="9">
        <f>Table1[[#This Row],[Orçamento MAT]]+Table1[[#This Row],[Orçamento MO]]</f>
        <v>89455.54</v>
      </c>
      <c r="T21" s="1">
        <v>60</v>
      </c>
      <c r="U21" s="1">
        <v>86</v>
      </c>
      <c r="V21" s="1">
        <v>374</v>
      </c>
      <c r="W21" t="s">
        <v>134</v>
      </c>
      <c r="X21" t="s">
        <v>16</v>
      </c>
      <c r="Y21" t="s">
        <v>135</v>
      </c>
      <c r="AA21" t="s">
        <v>137</v>
      </c>
      <c r="AB21" t="s">
        <v>138</v>
      </c>
      <c r="AC21" t="s">
        <v>20</v>
      </c>
      <c r="AD21" t="s">
        <v>21</v>
      </c>
    </row>
    <row r="22" spans="1:30" hidden="1" x14ac:dyDescent="0.25">
      <c r="A22" t="s">
        <v>139</v>
      </c>
      <c r="B22" t="str">
        <f>LEFT(Table1[[#This Row],[Ativo]],2)</f>
        <v>79</v>
      </c>
      <c r="C22" t="s">
        <v>141</v>
      </c>
      <c r="D22" t="s">
        <v>108</v>
      </c>
      <c r="E22" t="s">
        <v>1364</v>
      </c>
      <c r="F22" t="str">
        <f>_xlfn.XLOOKUP(_xlfn.NUMBERVALUE(Table1[[#This Row],[Ativo]]),'[1]Criticidade por Equipamento'!$A:$A,'[1]Criticidade por Equipamento'!$AS:$AS)</f>
        <v>Tanque 34,5</v>
      </c>
      <c r="G22" s="8">
        <f>_xlfn.XLOOKUP(_xlfn.NUMBERVALUE(Table1[[#This Row],[Ativo]]),'[1]Criticidade por Equipamento'!$A:$A,'[1]Criticidade por Equipamento'!$AU:$AU)</f>
        <v>13209.34</v>
      </c>
      <c r="H22" s="10">
        <f>_xlfn.XLOOKUP(_xlfn.NUMBERVALUE(Table1[[#This Row],[Ativo]]),'[1]Criticidade por Equipamento'!$A:$A,'[1]Criticidade por Equipamento'!$AT:$AT)</f>
        <v>38151.480000000003</v>
      </c>
      <c r="I22" s="9">
        <f>Table1[[#This Row],[Orçamento MAT]]+Table1[[#This Row],[Orçamento MO]]</f>
        <v>51360.820000000007</v>
      </c>
      <c r="T22" s="1">
        <v>61</v>
      </c>
      <c r="U22" s="1">
        <v>86</v>
      </c>
      <c r="V22" s="1">
        <v>21</v>
      </c>
      <c r="W22" t="s">
        <v>36</v>
      </c>
      <c r="X22" t="s">
        <v>16</v>
      </c>
      <c r="Y22" t="s">
        <v>140</v>
      </c>
      <c r="AA22" t="s">
        <v>142</v>
      </c>
      <c r="AB22" t="s">
        <v>143</v>
      </c>
      <c r="AC22" t="s">
        <v>144</v>
      </c>
      <c r="AD22" t="s">
        <v>43</v>
      </c>
    </row>
    <row r="23" spans="1:30" hidden="1" x14ac:dyDescent="0.25">
      <c r="A23" t="s">
        <v>145</v>
      </c>
      <c r="B23" t="str">
        <f>LEFT(Table1[[#This Row],[Ativo]],2)</f>
        <v>79</v>
      </c>
      <c r="C23" t="s">
        <v>147</v>
      </c>
      <c r="D23" t="s">
        <v>108</v>
      </c>
      <c r="E23" t="s">
        <v>1364</v>
      </c>
      <c r="F23" t="str">
        <f>_xlfn.XLOOKUP(_xlfn.NUMBERVALUE(Table1[[#This Row],[Ativo]]),'[1]Criticidade por Equipamento'!$A:$A,'[1]Criticidade por Equipamento'!$AS:$AS)</f>
        <v>Tanque 34,5</v>
      </c>
      <c r="G23" s="8">
        <f>_xlfn.XLOOKUP(_xlfn.NUMBERVALUE(Table1[[#This Row],[Ativo]]),'[1]Criticidade por Equipamento'!$A:$A,'[1]Criticidade por Equipamento'!$AU:$AU)</f>
        <v>13209.34</v>
      </c>
      <c r="H23" s="10">
        <f>_xlfn.XLOOKUP(_xlfn.NUMBERVALUE(Table1[[#This Row],[Ativo]]),'[1]Criticidade por Equipamento'!$A:$A,'[1]Criticidade por Equipamento'!$AT:$AT)</f>
        <v>38151.480000000003</v>
      </c>
      <c r="I23" s="9">
        <f>Table1[[#This Row],[Orçamento MAT]]+Table1[[#This Row],[Orçamento MO]]</f>
        <v>51360.820000000007</v>
      </c>
      <c r="T23" s="1">
        <v>62</v>
      </c>
      <c r="U23" s="1">
        <v>86</v>
      </c>
      <c r="V23" s="1">
        <v>242</v>
      </c>
      <c r="W23" t="s">
        <v>15</v>
      </c>
      <c r="X23" t="s">
        <v>16</v>
      </c>
      <c r="Y23" t="s">
        <v>146</v>
      </c>
      <c r="AA23" t="s">
        <v>148</v>
      </c>
      <c r="AB23" t="s">
        <v>149</v>
      </c>
      <c r="AC23" t="s">
        <v>144</v>
      </c>
      <c r="AD23" t="s">
        <v>43</v>
      </c>
    </row>
    <row r="24" spans="1:30" hidden="1" x14ac:dyDescent="0.25">
      <c r="A24" t="s">
        <v>150</v>
      </c>
      <c r="B24" t="str">
        <f>LEFT(Table1[[#This Row],[Ativo]],2)</f>
        <v>79</v>
      </c>
      <c r="C24" t="s">
        <v>153</v>
      </c>
      <c r="D24" t="s">
        <v>108</v>
      </c>
      <c r="E24" t="s">
        <v>1364</v>
      </c>
      <c r="F24" t="str">
        <f>_xlfn.XLOOKUP(_xlfn.NUMBERVALUE(Table1[[#This Row],[Ativo]]),'[1]Criticidade por Equipamento'!$A:$A,'[1]Criticidade por Equipamento'!$AS:$AS)</f>
        <v>Controle 34,5</v>
      </c>
      <c r="G24" s="8">
        <f>_xlfn.XLOOKUP(_xlfn.NUMBERVALUE(Table1[[#This Row],[Ativo]]),'[1]Criticidade por Equipamento'!$A:$A,'[1]Criticidade por Equipamento'!$AU:$AU)</f>
        <v>13209.34</v>
      </c>
      <c r="H24" s="10">
        <f>_xlfn.XLOOKUP(_xlfn.NUMBERVALUE(Table1[[#This Row],[Ativo]]),'[1]Criticidade por Equipamento'!$A:$A,'[1]Criticidade por Equipamento'!$AT:$AT)</f>
        <v>38094.720000000001</v>
      </c>
      <c r="I24" s="9">
        <f>Table1[[#This Row],[Orçamento MAT]]+Table1[[#This Row],[Orçamento MO]]</f>
        <v>51304.06</v>
      </c>
      <c r="T24" s="1">
        <v>63</v>
      </c>
      <c r="U24" s="1">
        <v>86</v>
      </c>
      <c r="V24" s="1">
        <v>153</v>
      </c>
      <c r="W24" t="s">
        <v>151</v>
      </c>
      <c r="X24" t="s">
        <v>16</v>
      </c>
      <c r="Y24" t="s">
        <v>152</v>
      </c>
      <c r="AA24" t="s">
        <v>154</v>
      </c>
      <c r="AB24" t="s">
        <v>155</v>
      </c>
      <c r="AC24" t="s">
        <v>156</v>
      </c>
      <c r="AD24" t="s">
        <v>29</v>
      </c>
    </row>
    <row r="25" spans="1:30" hidden="1" x14ac:dyDescent="0.25">
      <c r="A25" t="s">
        <v>157</v>
      </c>
      <c r="B25" t="str">
        <f>LEFT(Table1[[#This Row],[Ativo]],2)</f>
        <v>58</v>
      </c>
      <c r="C25" t="s">
        <v>160</v>
      </c>
      <c r="D25" t="s">
        <v>108</v>
      </c>
      <c r="E25" t="s">
        <v>313</v>
      </c>
      <c r="F25" t="str">
        <f>_xlfn.XLOOKUP(_xlfn.NUMBERVALUE(Table1[[#This Row],[Ativo]]),'[1]Criticidade por Equipamento'!$A:$A,'[1]Criticidade por Equipamento'!$AS:$AS)</f>
        <v>Célula 200 34,5</v>
      </c>
      <c r="G25" s="8">
        <f>_xlfn.XLOOKUP(_xlfn.NUMBERVALUE(Table1[[#This Row],[Ativo]]),'[1]Criticidade por Equipamento'!$A:$A,'[1]Criticidade por Equipamento'!$AU:$AU)</f>
        <v>80318.5</v>
      </c>
      <c r="H25" s="10">
        <f>_xlfn.XLOOKUP(_xlfn.NUMBERVALUE(Table1[[#This Row],[Ativo]]),'[1]Criticidade por Equipamento'!$A:$A,'[1]Criticidade por Equipamento'!$AT:$AT)</f>
        <v>51705.75</v>
      </c>
      <c r="I25" s="9">
        <f>Table1[[#This Row],[Orçamento MAT]]+Table1[[#This Row],[Orçamento MO]]</f>
        <v>132024.25</v>
      </c>
      <c r="T25" s="1">
        <v>64</v>
      </c>
      <c r="U25" s="1">
        <v>86</v>
      </c>
      <c r="V25" s="1">
        <v>255</v>
      </c>
      <c r="W25" t="s">
        <v>158</v>
      </c>
      <c r="X25" t="s">
        <v>16</v>
      </c>
      <c r="Y25" t="s">
        <v>159</v>
      </c>
      <c r="AA25" t="s">
        <v>161</v>
      </c>
      <c r="AB25" t="s">
        <v>42</v>
      </c>
      <c r="AC25" t="s">
        <v>42</v>
      </c>
      <c r="AD25" t="s">
        <v>43</v>
      </c>
    </row>
    <row r="26" spans="1:30" hidden="1" x14ac:dyDescent="0.25">
      <c r="A26" t="s">
        <v>162</v>
      </c>
      <c r="B26" t="str">
        <f>LEFT(Table1[[#This Row],[Ativo]],2)</f>
        <v>79</v>
      </c>
      <c r="C26" t="s">
        <v>164</v>
      </c>
      <c r="D26" t="s">
        <v>108</v>
      </c>
      <c r="E26" t="s">
        <v>1364</v>
      </c>
      <c r="F26" t="str">
        <f>_xlfn.XLOOKUP(_xlfn.NUMBERVALUE(Table1[[#This Row],[Ativo]]),'[1]Criticidade por Equipamento'!$A:$A,'[1]Criticidade por Equipamento'!$AS:$AS)</f>
        <v>RL Completo 34,5</v>
      </c>
      <c r="G26" s="8">
        <f>_xlfn.XLOOKUP(_xlfn.NUMBERVALUE(Table1[[#This Row],[Ativo]]),'[1]Criticidade por Equipamento'!$A:$A,'[1]Criticidade por Equipamento'!$AU:$AU)</f>
        <v>13209.34</v>
      </c>
      <c r="H26" s="10">
        <f>_xlfn.XLOOKUP(_xlfn.NUMBERVALUE(Table1[[#This Row],[Ativo]]),'[1]Criticidade por Equipamento'!$A:$A,'[1]Criticidade por Equipamento'!$AT:$AT)</f>
        <v>76246.2</v>
      </c>
      <c r="I26" s="9">
        <f>Table1[[#This Row],[Orçamento MAT]]+Table1[[#This Row],[Orçamento MO]]</f>
        <v>89455.54</v>
      </c>
      <c r="T26" s="1">
        <v>65</v>
      </c>
      <c r="U26" s="1">
        <v>86</v>
      </c>
      <c r="V26" s="1">
        <v>207</v>
      </c>
      <c r="W26" t="s">
        <v>23</v>
      </c>
      <c r="X26" t="s">
        <v>16</v>
      </c>
      <c r="Y26" t="s">
        <v>163</v>
      </c>
      <c r="AA26" t="s">
        <v>165</v>
      </c>
      <c r="AB26" t="s">
        <v>166</v>
      </c>
      <c r="AC26" t="s">
        <v>67</v>
      </c>
      <c r="AD26" t="s">
        <v>29</v>
      </c>
    </row>
    <row r="27" spans="1:30" hidden="1" x14ac:dyDescent="0.25">
      <c r="A27" t="s">
        <v>167</v>
      </c>
      <c r="B27" t="str">
        <f>LEFT(Table1[[#This Row],[Ativo]],2)</f>
        <v>79</v>
      </c>
      <c r="C27" t="s">
        <v>169</v>
      </c>
      <c r="D27" t="s">
        <v>108</v>
      </c>
      <c r="E27" t="s">
        <v>1364</v>
      </c>
      <c r="F27" t="str">
        <f>_xlfn.XLOOKUP(_xlfn.NUMBERVALUE(Table1[[#This Row],[Ativo]]),'[1]Criticidade por Equipamento'!$A:$A,'[1]Criticidade por Equipamento'!$AS:$AS)</f>
        <v>Tanque 34,5</v>
      </c>
      <c r="G27" s="8">
        <f>_xlfn.XLOOKUP(_xlfn.NUMBERVALUE(Table1[[#This Row],[Ativo]]),'[1]Criticidade por Equipamento'!$A:$A,'[1]Criticidade por Equipamento'!$AU:$AU)</f>
        <v>13209.34</v>
      </c>
      <c r="H27" s="10">
        <f>_xlfn.XLOOKUP(_xlfn.NUMBERVALUE(Table1[[#This Row],[Ativo]]),'[1]Criticidade por Equipamento'!$A:$A,'[1]Criticidade por Equipamento'!$AT:$AT)</f>
        <v>38151.480000000003</v>
      </c>
      <c r="I27" s="9">
        <f>Table1[[#This Row],[Orçamento MAT]]+Table1[[#This Row],[Orçamento MO]]</f>
        <v>51360.820000000007</v>
      </c>
      <c r="T27" s="1">
        <v>67</v>
      </c>
      <c r="U27" s="1">
        <v>86</v>
      </c>
      <c r="V27" s="1">
        <v>157</v>
      </c>
      <c r="W27" t="s">
        <v>50</v>
      </c>
      <c r="X27" t="s">
        <v>16</v>
      </c>
      <c r="Y27" t="s">
        <v>168</v>
      </c>
      <c r="AA27" t="s">
        <v>33</v>
      </c>
      <c r="AB27" t="s">
        <v>170</v>
      </c>
      <c r="AC27" t="s">
        <v>55</v>
      </c>
      <c r="AD27" t="s">
        <v>21</v>
      </c>
    </row>
    <row r="28" spans="1:30" x14ac:dyDescent="0.25">
      <c r="A28" t="s">
        <v>171</v>
      </c>
      <c r="B28" t="str">
        <f>LEFT(Table1[[#This Row],[Ativo]],2)</f>
        <v>79</v>
      </c>
      <c r="C28" t="s">
        <v>174</v>
      </c>
      <c r="D28" t="s">
        <v>108</v>
      </c>
      <c r="E28" t="s">
        <v>315</v>
      </c>
      <c r="F28" s="51" t="str">
        <f>_xlfn.XLOOKUP(_xlfn.NUMBERVALUE(Table1[[#This Row],[Ativo]]),'[1]Criticidade por Equipamento'!$A:$A,'[1]Criticidade por Equipamento'!$AS:$AS)</f>
        <v>Tanque 34,5</v>
      </c>
      <c r="G28" s="8">
        <f>_xlfn.XLOOKUP(_xlfn.NUMBERVALUE(Table1[[#This Row],[Ativo]]),'[1]Criticidade por Equipamento'!$A:$A,'[1]Criticidade por Equipamento'!$AU:$AU)</f>
        <v>13209.34</v>
      </c>
      <c r="H28" s="10">
        <f>_xlfn.XLOOKUP(_xlfn.NUMBERVALUE(Table1[[#This Row],[Ativo]]),'[1]Criticidade por Equipamento'!$A:$A,'[1]Criticidade por Equipamento'!$AT:$AT)</f>
        <v>38151.480000000003</v>
      </c>
      <c r="I28" s="9">
        <f>Table1[[#This Row],[Orçamento MAT]]+Table1[[#This Row],[Orçamento MO]]</f>
        <v>51360.820000000007</v>
      </c>
      <c r="T28" s="1">
        <v>68</v>
      </c>
      <c r="U28" s="1">
        <v>86</v>
      </c>
      <c r="V28" s="1">
        <v>181</v>
      </c>
      <c r="W28" t="s">
        <v>172</v>
      </c>
      <c r="X28" t="s">
        <v>16</v>
      </c>
      <c r="Y28" t="s">
        <v>173</v>
      </c>
      <c r="AA28" t="s">
        <v>175</v>
      </c>
      <c r="AB28" t="s">
        <v>176</v>
      </c>
      <c r="AC28" t="s">
        <v>177</v>
      </c>
      <c r="AD28" t="s">
        <v>43</v>
      </c>
    </row>
    <row r="29" spans="1:30" x14ac:dyDescent="0.25">
      <c r="A29" t="s">
        <v>178</v>
      </c>
      <c r="B29" t="str">
        <f>LEFT(Table1[[#This Row],[Ativo]],2)</f>
        <v>79</v>
      </c>
      <c r="C29" t="s">
        <v>181</v>
      </c>
      <c r="D29" t="s">
        <v>108</v>
      </c>
      <c r="E29" t="s">
        <v>315</v>
      </c>
      <c r="F29" s="51" t="str">
        <f>_xlfn.XLOOKUP(_xlfn.NUMBERVALUE(Table1[[#This Row],[Ativo]]),'[1]Criticidade por Equipamento'!$A:$A,'[1]Criticidade por Equipamento'!$AS:$AS)</f>
        <v>Tanque 34,5</v>
      </c>
      <c r="G29" s="8">
        <f>_xlfn.XLOOKUP(_xlfn.NUMBERVALUE(Table1[[#This Row],[Ativo]]),'[1]Criticidade por Equipamento'!$A:$A,'[1]Criticidade por Equipamento'!$AU:$AU)</f>
        <v>13209.34</v>
      </c>
      <c r="H29" s="10">
        <f>_xlfn.XLOOKUP(_xlfn.NUMBERVALUE(Table1[[#This Row],[Ativo]]),'[1]Criticidade por Equipamento'!$A:$A,'[1]Criticidade por Equipamento'!$AT:$AT)</f>
        <v>38151.480000000003</v>
      </c>
      <c r="I29" s="9">
        <f>Table1[[#This Row],[Orçamento MAT]]+Table1[[#This Row],[Orçamento MO]]</f>
        <v>51360.820000000007</v>
      </c>
      <c r="T29" s="1">
        <v>69</v>
      </c>
      <c r="U29" s="1">
        <v>86</v>
      </c>
      <c r="V29" s="1">
        <v>202</v>
      </c>
      <c r="W29" t="s">
        <v>179</v>
      </c>
      <c r="X29" t="s">
        <v>16</v>
      </c>
      <c r="Y29" t="s">
        <v>180</v>
      </c>
      <c r="AA29" t="s">
        <v>161</v>
      </c>
      <c r="AB29" t="s">
        <v>42</v>
      </c>
      <c r="AC29" t="s">
        <v>42</v>
      </c>
      <c r="AD29" t="s">
        <v>43</v>
      </c>
    </row>
    <row r="30" spans="1:30" x14ac:dyDescent="0.25">
      <c r="A30" t="s">
        <v>182</v>
      </c>
      <c r="B30" t="str">
        <f>LEFT(Table1[[#This Row],[Ativo]],2)</f>
        <v>79</v>
      </c>
      <c r="C30" t="s">
        <v>184</v>
      </c>
      <c r="D30" t="s">
        <v>108</v>
      </c>
      <c r="E30" t="s">
        <v>315</v>
      </c>
      <c r="F30" s="51" t="str">
        <f>_xlfn.XLOOKUP(_xlfn.NUMBERVALUE(Table1[[#This Row],[Ativo]]),'[1]Criticidade por Equipamento'!$A:$A,'[1]Criticidade por Equipamento'!$AS:$AS)</f>
        <v>Controle 34,5</v>
      </c>
      <c r="G30" s="8">
        <f>_xlfn.XLOOKUP(_xlfn.NUMBERVALUE(Table1[[#This Row],[Ativo]]),'[1]Criticidade por Equipamento'!$A:$A,'[1]Criticidade por Equipamento'!$AU:$AU)</f>
        <v>13209.34</v>
      </c>
      <c r="H30" s="10">
        <f>_xlfn.XLOOKUP(_xlfn.NUMBERVALUE(Table1[[#This Row],[Ativo]]),'[1]Criticidade por Equipamento'!$A:$A,'[1]Criticidade por Equipamento'!$AT:$AT)</f>
        <v>38094.720000000001</v>
      </c>
      <c r="I30" s="9">
        <f>Table1[[#This Row],[Orçamento MAT]]+Table1[[#This Row],[Orçamento MO]]</f>
        <v>51304.06</v>
      </c>
      <c r="T30" s="1">
        <v>72</v>
      </c>
      <c r="U30" s="1">
        <v>86</v>
      </c>
      <c r="V30" s="1">
        <v>40</v>
      </c>
      <c r="W30" t="s">
        <v>15</v>
      </c>
      <c r="X30" t="s">
        <v>16</v>
      </c>
      <c r="Y30" t="s">
        <v>183</v>
      </c>
      <c r="AA30" t="s">
        <v>185</v>
      </c>
      <c r="AB30" t="s">
        <v>156</v>
      </c>
      <c r="AC30" t="s">
        <v>156</v>
      </c>
      <c r="AD30" t="s">
        <v>29</v>
      </c>
    </row>
    <row r="31" spans="1:30" x14ac:dyDescent="0.25">
      <c r="A31" t="s">
        <v>186</v>
      </c>
      <c r="B31" t="str">
        <f>LEFT(Table1[[#This Row],[Ativo]],2)</f>
        <v>79</v>
      </c>
      <c r="C31" t="s">
        <v>188</v>
      </c>
      <c r="D31" t="s">
        <v>108</v>
      </c>
      <c r="E31" t="s">
        <v>315</v>
      </c>
      <c r="F31" s="51" t="str">
        <f>_xlfn.XLOOKUP(_xlfn.NUMBERVALUE(Table1[[#This Row],[Ativo]]),'[1]Criticidade por Equipamento'!$A:$A,'[1]Criticidade por Equipamento'!$AS:$AS)</f>
        <v>RL Completo 34,5</v>
      </c>
      <c r="G31" s="8">
        <f>_xlfn.XLOOKUP(_xlfn.NUMBERVALUE(Table1[[#This Row],[Ativo]]),'[1]Criticidade por Equipamento'!$A:$A,'[1]Criticidade por Equipamento'!$AU:$AU)</f>
        <v>13209.34</v>
      </c>
      <c r="H31" s="10">
        <f>_xlfn.XLOOKUP(_xlfn.NUMBERVALUE(Table1[[#This Row],[Ativo]]),'[1]Criticidade por Equipamento'!$A:$A,'[1]Criticidade por Equipamento'!$AT:$AT)</f>
        <v>76246.2</v>
      </c>
      <c r="I31" s="9">
        <f>Table1[[#This Row],[Orçamento MAT]]+Table1[[#This Row],[Orçamento MO]]</f>
        <v>89455.54</v>
      </c>
      <c r="T31" s="1">
        <v>74</v>
      </c>
      <c r="U31" s="1">
        <v>86</v>
      </c>
      <c r="V31" s="1">
        <v>126</v>
      </c>
      <c r="W31" t="s">
        <v>15</v>
      </c>
      <c r="X31" t="s">
        <v>16</v>
      </c>
      <c r="Y31" t="s">
        <v>187</v>
      </c>
      <c r="AA31" t="s">
        <v>33</v>
      </c>
      <c r="AB31" t="s">
        <v>170</v>
      </c>
      <c r="AC31" t="s">
        <v>55</v>
      </c>
      <c r="AD31" t="s">
        <v>21</v>
      </c>
    </row>
    <row r="32" spans="1:30" x14ac:dyDescent="0.25">
      <c r="A32" t="s">
        <v>189</v>
      </c>
      <c r="B32" t="str">
        <f>LEFT(Table1[[#This Row],[Ativo]],2)</f>
        <v>79</v>
      </c>
      <c r="C32" t="s">
        <v>191</v>
      </c>
      <c r="D32" t="s">
        <v>108</v>
      </c>
      <c r="E32" t="s">
        <v>315</v>
      </c>
      <c r="F32" s="51" t="str">
        <f>_xlfn.XLOOKUP(_xlfn.NUMBERVALUE(Table1[[#This Row],[Ativo]]),'[1]Criticidade por Equipamento'!$A:$A,'[1]Criticidade por Equipamento'!$AS:$AS)</f>
        <v>RL Completo 34,5</v>
      </c>
      <c r="G32" s="8">
        <f>_xlfn.XLOOKUP(_xlfn.NUMBERVALUE(Table1[[#This Row],[Ativo]]),'[1]Criticidade por Equipamento'!$A:$A,'[1]Criticidade por Equipamento'!$AU:$AU)</f>
        <v>13209.34</v>
      </c>
      <c r="H32" s="10">
        <f>_xlfn.XLOOKUP(_xlfn.NUMBERVALUE(Table1[[#This Row],[Ativo]]),'[1]Criticidade por Equipamento'!$A:$A,'[1]Criticidade por Equipamento'!$AT:$AT)</f>
        <v>76246.2</v>
      </c>
      <c r="I32" s="9">
        <f>Table1[[#This Row],[Orçamento MAT]]+Table1[[#This Row],[Orçamento MO]]</f>
        <v>89455.54</v>
      </c>
      <c r="T32" s="1">
        <v>75</v>
      </c>
      <c r="U32" s="1">
        <v>86</v>
      </c>
      <c r="V32" s="1">
        <v>445</v>
      </c>
      <c r="W32" t="s">
        <v>15</v>
      </c>
      <c r="X32" t="s">
        <v>16</v>
      </c>
      <c r="Y32" t="s">
        <v>190</v>
      </c>
      <c r="AA32" t="s">
        <v>192</v>
      </c>
      <c r="AB32" t="s">
        <v>193</v>
      </c>
      <c r="AC32" t="s">
        <v>194</v>
      </c>
      <c r="AD32" t="s">
        <v>21</v>
      </c>
    </row>
    <row r="33" spans="1:30" hidden="1" x14ac:dyDescent="0.25">
      <c r="A33" t="s">
        <v>195</v>
      </c>
      <c r="B33" t="str">
        <f>LEFT(Table1[[#This Row],[Ativo]],2)</f>
        <v>58</v>
      </c>
      <c r="C33" t="s">
        <v>199</v>
      </c>
      <c r="D33" t="s">
        <v>196</v>
      </c>
      <c r="E33" t="s">
        <v>313</v>
      </c>
      <c r="F33" t="str">
        <f>_xlfn.XLOOKUP(_xlfn.NUMBERVALUE(Table1[[#This Row],[Ativo]]),'[1]Criticidade por Equipamento'!$A:$A,'[1]Criticidade por Equipamento'!$AS:$AS)</f>
        <v>Controle 200 13,8</v>
      </c>
      <c r="G33" s="8">
        <f>_xlfn.XLOOKUP(_xlfn.NUMBERVALUE(Table1[[#This Row],[Ativo]]),'[1]Criticidade por Equipamento'!$A:$A,'[1]Criticidade por Equipamento'!$AU:$AU)</f>
        <v>20000</v>
      </c>
      <c r="H33" s="10">
        <f>_xlfn.XLOOKUP(_xlfn.NUMBERVALUE(Table1[[#This Row],[Ativo]]),'[1]Criticidade por Equipamento'!$A:$A,'[1]Criticidade por Equipamento'!$AT:$AT)</f>
        <v>23259.599999999999</v>
      </c>
      <c r="I33" s="9">
        <f>Table1[[#This Row],[Orçamento MAT]]+Table1[[#This Row],[Orçamento MO]]</f>
        <v>43259.6</v>
      </c>
      <c r="K33" s="2"/>
      <c r="T33" s="1">
        <v>79</v>
      </c>
      <c r="U33" s="1">
        <v>134</v>
      </c>
      <c r="V33" s="1">
        <v>348</v>
      </c>
      <c r="W33" t="s">
        <v>197</v>
      </c>
      <c r="X33" t="s">
        <v>16</v>
      </c>
      <c r="Y33" t="s">
        <v>198</v>
      </c>
      <c r="AA33" t="s">
        <v>200</v>
      </c>
      <c r="AB33" t="s">
        <v>201</v>
      </c>
      <c r="AC33" t="s">
        <v>106</v>
      </c>
      <c r="AD33" t="s">
        <v>29</v>
      </c>
    </row>
    <row r="34" spans="1:30" x14ac:dyDescent="0.25">
      <c r="A34" t="s">
        <v>202</v>
      </c>
      <c r="B34" t="str">
        <f>LEFT(Table1[[#This Row],[Ativo]],2)</f>
        <v>79</v>
      </c>
      <c r="C34" t="s">
        <v>205</v>
      </c>
      <c r="D34" t="s">
        <v>196</v>
      </c>
      <c r="E34" t="s">
        <v>315</v>
      </c>
      <c r="F34" s="51" t="str">
        <f>_xlfn.XLOOKUP(_xlfn.NUMBERVALUE(Table1[[#This Row],[Ativo]]),'[1]Criticidade por Equipamento'!$A:$A,'[1]Criticidade por Equipamento'!$AS:$AS)</f>
        <v>RL Completo 13,8</v>
      </c>
      <c r="G34" s="8">
        <f>_xlfn.XLOOKUP(_xlfn.NUMBERVALUE(Table1[[#This Row],[Ativo]]),'[1]Criticidade por Equipamento'!$A:$A,'[1]Criticidade por Equipamento'!$AU:$AU)</f>
        <v>11016.94</v>
      </c>
      <c r="H34" s="10">
        <f>_xlfn.XLOOKUP(_xlfn.NUMBERVALUE(Table1[[#This Row],[Ativo]]),'[1]Criticidade por Equipamento'!$A:$A,'[1]Criticidade por Equipamento'!$AT:$AT)</f>
        <v>55602.54</v>
      </c>
      <c r="I34" s="9">
        <f>Table1[[#This Row],[Orçamento MAT]]+Table1[[#This Row],[Orçamento MO]]</f>
        <v>66619.48</v>
      </c>
      <c r="T34" s="1">
        <v>81</v>
      </c>
      <c r="U34" s="1">
        <v>134</v>
      </c>
      <c r="V34" s="1">
        <v>322</v>
      </c>
      <c r="W34" t="s">
        <v>203</v>
      </c>
      <c r="X34" t="s">
        <v>16</v>
      </c>
      <c r="Y34" t="s">
        <v>204</v>
      </c>
      <c r="AA34" t="s">
        <v>206</v>
      </c>
      <c r="AB34" t="s">
        <v>207</v>
      </c>
      <c r="AC34" t="s">
        <v>177</v>
      </c>
      <c r="AD34" t="s">
        <v>43</v>
      </c>
    </row>
    <row r="35" spans="1:30" x14ac:dyDescent="0.25">
      <c r="A35" t="s">
        <v>208</v>
      </c>
      <c r="B35" t="str">
        <f>LEFT(Table1[[#This Row],[Ativo]],2)</f>
        <v>79</v>
      </c>
      <c r="C35" t="s">
        <v>210</v>
      </c>
      <c r="D35" t="s">
        <v>196</v>
      </c>
      <c r="E35" t="s">
        <v>315</v>
      </c>
      <c r="F35" s="51" t="str">
        <f>_xlfn.XLOOKUP(_xlfn.NUMBERVALUE(Table1[[#This Row],[Ativo]]),'[1]Criticidade por Equipamento'!$A:$A,'[1]Criticidade por Equipamento'!$AS:$AS)</f>
        <v>Tanque 34,5</v>
      </c>
      <c r="G35" s="8">
        <f>_xlfn.XLOOKUP(_xlfn.NUMBERVALUE(Table1[[#This Row],[Ativo]]),'[1]Criticidade por Equipamento'!$A:$A,'[1]Criticidade por Equipamento'!$AU:$AU)</f>
        <v>13209.34</v>
      </c>
      <c r="H35" s="10">
        <f>_xlfn.XLOOKUP(_xlfn.NUMBERVALUE(Table1[[#This Row],[Ativo]]),'[1]Criticidade por Equipamento'!$A:$A,'[1]Criticidade por Equipamento'!$AT:$AT)</f>
        <v>38151.480000000003</v>
      </c>
      <c r="I35" s="9">
        <f>Table1[[#This Row],[Orçamento MAT]]+Table1[[#This Row],[Orçamento MO]]</f>
        <v>51360.820000000007</v>
      </c>
      <c r="T35" s="1">
        <v>82</v>
      </c>
      <c r="U35" s="1">
        <v>134</v>
      </c>
      <c r="V35" s="1">
        <v>183</v>
      </c>
      <c r="W35" t="s">
        <v>15</v>
      </c>
      <c r="X35" t="s">
        <v>16</v>
      </c>
      <c r="Y35" t="s">
        <v>209</v>
      </c>
      <c r="AA35" t="s">
        <v>211</v>
      </c>
      <c r="AB35" t="s">
        <v>212</v>
      </c>
      <c r="AC35" t="s">
        <v>99</v>
      </c>
      <c r="AD35" t="s">
        <v>29</v>
      </c>
    </row>
    <row r="36" spans="1:30" x14ac:dyDescent="0.25">
      <c r="A36" t="s">
        <v>213</v>
      </c>
      <c r="B36" t="str">
        <f>LEFT(Table1[[#This Row],[Ativo]],2)</f>
        <v>79</v>
      </c>
      <c r="C36" t="s">
        <v>216</v>
      </c>
      <c r="D36" t="s">
        <v>196</v>
      </c>
      <c r="E36" t="s">
        <v>315</v>
      </c>
      <c r="F36" s="51" t="str">
        <f>_xlfn.XLOOKUP(_xlfn.NUMBERVALUE(Table1[[#This Row],[Ativo]]),'[1]Criticidade por Equipamento'!$A:$A,'[1]Criticidade por Equipamento'!$AS:$AS)</f>
        <v>Tanque 34,5</v>
      </c>
      <c r="G36" s="8">
        <f>_xlfn.XLOOKUP(_xlfn.NUMBERVALUE(Table1[[#This Row],[Ativo]]),'[1]Criticidade por Equipamento'!$A:$A,'[1]Criticidade por Equipamento'!$AU:$AU)</f>
        <v>13209.34</v>
      </c>
      <c r="H36" s="10">
        <f>_xlfn.XLOOKUP(_xlfn.NUMBERVALUE(Table1[[#This Row],[Ativo]]),'[1]Criticidade por Equipamento'!$A:$A,'[1]Criticidade por Equipamento'!$AT:$AT)</f>
        <v>38151.480000000003</v>
      </c>
      <c r="I36" s="9">
        <f>Table1[[#This Row],[Orçamento MAT]]+Table1[[#This Row],[Orçamento MO]]</f>
        <v>51360.820000000007</v>
      </c>
      <c r="T36" s="1">
        <v>83</v>
      </c>
      <c r="U36" s="1">
        <v>134</v>
      </c>
      <c r="V36" s="1">
        <v>477</v>
      </c>
      <c r="W36" t="s">
        <v>214</v>
      </c>
      <c r="X36" t="s">
        <v>16</v>
      </c>
      <c r="Y36" t="s">
        <v>215</v>
      </c>
      <c r="AA36" t="s">
        <v>217</v>
      </c>
      <c r="AB36" t="s">
        <v>27</v>
      </c>
      <c r="AC36" t="s">
        <v>27</v>
      </c>
      <c r="AD36" t="s">
        <v>29</v>
      </c>
    </row>
    <row r="37" spans="1:30" x14ac:dyDescent="0.25">
      <c r="A37" t="s">
        <v>218</v>
      </c>
      <c r="B37" t="str">
        <f>LEFT(Table1[[#This Row],[Ativo]],2)</f>
        <v>79</v>
      </c>
      <c r="C37" t="s">
        <v>221</v>
      </c>
      <c r="D37" t="s">
        <v>196</v>
      </c>
      <c r="E37" t="s">
        <v>315</v>
      </c>
      <c r="F37" s="51" t="str">
        <f>_xlfn.XLOOKUP(_xlfn.NUMBERVALUE(Table1[[#This Row],[Ativo]]),'[1]Criticidade por Equipamento'!$A:$A,'[1]Criticidade por Equipamento'!$AS:$AS)</f>
        <v>RL Completo 34,5</v>
      </c>
      <c r="G37" s="8">
        <f>_xlfn.XLOOKUP(_xlfn.NUMBERVALUE(Table1[[#This Row],[Ativo]]),'[1]Criticidade por Equipamento'!$A:$A,'[1]Criticidade por Equipamento'!$AU:$AU)</f>
        <v>13209.34</v>
      </c>
      <c r="H37" s="10">
        <f>_xlfn.XLOOKUP(_xlfn.NUMBERVALUE(Table1[[#This Row],[Ativo]]),'[1]Criticidade por Equipamento'!$A:$A,'[1]Criticidade por Equipamento'!$AT:$AT)</f>
        <v>76246.2</v>
      </c>
      <c r="I37" s="9">
        <f>Table1[[#This Row],[Orçamento MAT]]+Table1[[#This Row],[Orçamento MO]]</f>
        <v>89455.54</v>
      </c>
      <c r="T37" s="1">
        <v>84</v>
      </c>
      <c r="U37" s="1">
        <v>134</v>
      </c>
      <c r="V37" s="1">
        <v>417</v>
      </c>
      <c r="W37" t="s">
        <v>219</v>
      </c>
      <c r="X37" t="s">
        <v>16</v>
      </c>
      <c r="Y37" t="s">
        <v>220</v>
      </c>
      <c r="AA37" t="s">
        <v>165</v>
      </c>
      <c r="AB37" t="s">
        <v>67</v>
      </c>
      <c r="AC37" t="s">
        <v>67</v>
      </c>
      <c r="AD37" t="s">
        <v>29</v>
      </c>
    </row>
    <row r="38" spans="1:30" x14ac:dyDescent="0.25">
      <c r="A38" t="s">
        <v>222</v>
      </c>
      <c r="B38" t="str">
        <f>LEFT(Table1[[#This Row],[Ativo]],2)</f>
        <v>79</v>
      </c>
      <c r="C38" t="s">
        <v>224</v>
      </c>
      <c r="D38" t="s">
        <v>196</v>
      </c>
      <c r="E38" t="s">
        <v>315</v>
      </c>
      <c r="F38" t="str">
        <f>_xlfn.XLOOKUP(_xlfn.NUMBERVALUE(Table1[[#This Row],[Ativo]]),'[1]Criticidade por Equipamento'!$A:$A,'[1]Criticidade por Equipamento'!$AS:$AS)</f>
        <v>Tanque 34,5</v>
      </c>
      <c r="G38" s="8">
        <f>_xlfn.XLOOKUP(_xlfn.NUMBERVALUE(Table1[[#This Row],[Ativo]]),'[1]Criticidade por Equipamento'!$A:$A,'[1]Criticidade por Equipamento'!$AU:$AU)</f>
        <v>13209.34</v>
      </c>
      <c r="H38" s="10">
        <f>_xlfn.XLOOKUP(_xlfn.NUMBERVALUE(Table1[[#This Row],[Ativo]]),'[1]Criticidade por Equipamento'!$A:$A,'[1]Criticidade por Equipamento'!$AT:$AT)</f>
        <v>38151.480000000003</v>
      </c>
      <c r="I38" s="9">
        <f>Table1[[#This Row],[Orçamento MAT]]+Table1[[#This Row],[Orçamento MO]]</f>
        <v>51360.820000000007</v>
      </c>
      <c r="T38" s="1">
        <v>85</v>
      </c>
      <c r="U38" s="1">
        <v>134</v>
      </c>
      <c r="V38" s="1">
        <v>409</v>
      </c>
      <c r="W38" t="s">
        <v>15</v>
      </c>
      <c r="X38" t="s">
        <v>16</v>
      </c>
      <c r="Y38" t="s">
        <v>223</v>
      </c>
      <c r="AA38" t="s">
        <v>225</v>
      </c>
      <c r="AB38" t="s">
        <v>143</v>
      </c>
      <c r="AC38" t="s">
        <v>144</v>
      </c>
      <c r="AD38" t="s">
        <v>43</v>
      </c>
    </row>
    <row r="39" spans="1:30" x14ac:dyDescent="0.25">
      <c r="A39" t="s">
        <v>226</v>
      </c>
      <c r="B39" t="str">
        <f>LEFT(Table1[[#This Row],[Ativo]],2)</f>
        <v>79</v>
      </c>
      <c r="C39" t="s">
        <v>229</v>
      </c>
      <c r="D39" t="s">
        <v>196</v>
      </c>
      <c r="E39" t="s">
        <v>315</v>
      </c>
      <c r="F39" t="str">
        <f>_xlfn.XLOOKUP(_xlfn.NUMBERVALUE(Table1[[#This Row],[Ativo]]),'[1]Criticidade por Equipamento'!$A:$A,'[1]Criticidade por Equipamento'!$AS:$AS)</f>
        <v>Tanque 34,5</v>
      </c>
      <c r="G39" s="8">
        <f>_xlfn.XLOOKUP(_xlfn.NUMBERVALUE(Table1[[#This Row],[Ativo]]),'[1]Criticidade por Equipamento'!$A:$A,'[1]Criticidade por Equipamento'!$AU:$AU)</f>
        <v>13209.34</v>
      </c>
      <c r="H39" s="10">
        <f>_xlfn.XLOOKUP(_xlfn.NUMBERVALUE(Table1[[#This Row],[Ativo]]),'[1]Criticidade por Equipamento'!$A:$A,'[1]Criticidade por Equipamento'!$AT:$AT)</f>
        <v>38151.480000000003</v>
      </c>
      <c r="I39" s="9">
        <f>Table1[[#This Row],[Orçamento MAT]]+Table1[[#This Row],[Orçamento MO]]</f>
        <v>51360.820000000007</v>
      </c>
      <c r="T39" s="1">
        <v>86</v>
      </c>
      <c r="U39" s="1">
        <v>134</v>
      </c>
      <c r="V39" s="1">
        <v>521</v>
      </c>
      <c r="W39" t="s">
        <v>227</v>
      </c>
      <c r="X39" t="s">
        <v>16</v>
      </c>
      <c r="Y39" t="s">
        <v>228</v>
      </c>
      <c r="AA39" t="s">
        <v>72</v>
      </c>
      <c r="AB39" t="s">
        <v>230</v>
      </c>
      <c r="AC39" t="s">
        <v>74</v>
      </c>
      <c r="AD39" t="s">
        <v>29</v>
      </c>
    </row>
    <row r="40" spans="1:30" x14ac:dyDescent="0.25">
      <c r="A40" t="s">
        <v>231</v>
      </c>
      <c r="B40" t="str">
        <f>LEFT(Table1[[#This Row],[Ativo]],2)</f>
        <v>79</v>
      </c>
      <c r="C40" t="s">
        <v>233</v>
      </c>
      <c r="D40" t="s">
        <v>196</v>
      </c>
      <c r="E40" t="s">
        <v>315</v>
      </c>
      <c r="F40" s="51" t="str">
        <f>_xlfn.XLOOKUP(_xlfn.NUMBERVALUE(Table1[[#This Row],[Ativo]]),'[1]Criticidade por Equipamento'!$A:$A,'[1]Criticidade por Equipamento'!$AS:$AS)</f>
        <v>Controle 34,5</v>
      </c>
      <c r="G40" s="8">
        <f>_xlfn.XLOOKUP(_xlfn.NUMBERVALUE(Table1[[#This Row],[Ativo]]),'[1]Criticidade por Equipamento'!$A:$A,'[1]Criticidade por Equipamento'!$AU:$AU)</f>
        <v>13209.34</v>
      </c>
      <c r="H40" s="10">
        <f>_xlfn.XLOOKUP(_xlfn.NUMBERVALUE(Table1[[#This Row],[Ativo]]),'[1]Criticidade por Equipamento'!$A:$A,'[1]Criticidade por Equipamento'!$AT:$AT)</f>
        <v>38094.720000000001</v>
      </c>
      <c r="I40" s="9">
        <f>Table1[[#This Row],[Orçamento MAT]]+Table1[[#This Row],[Orçamento MO]]</f>
        <v>51304.06</v>
      </c>
      <c r="T40" s="1">
        <v>89</v>
      </c>
      <c r="U40" s="1">
        <v>134</v>
      </c>
      <c r="V40" s="1">
        <v>40</v>
      </c>
      <c r="W40" t="s">
        <v>15</v>
      </c>
      <c r="X40" t="s">
        <v>16</v>
      </c>
      <c r="Y40" t="s">
        <v>232</v>
      </c>
      <c r="AA40" t="s">
        <v>105</v>
      </c>
      <c r="AB40" t="s">
        <v>106</v>
      </c>
      <c r="AC40" t="s">
        <v>106</v>
      </c>
      <c r="AD40" t="s">
        <v>29</v>
      </c>
    </row>
    <row r="41" spans="1:30" x14ac:dyDescent="0.25">
      <c r="A41" t="s">
        <v>234</v>
      </c>
      <c r="B41" t="str">
        <f>LEFT(Table1[[#This Row],[Ativo]],2)</f>
        <v>79</v>
      </c>
      <c r="C41" t="s">
        <v>236</v>
      </c>
      <c r="D41" t="s">
        <v>196</v>
      </c>
      <c r="E41" t="s">
        <v>315</v>
      </c>
      <c r="F41" t="str">
        <f>_xlfn.XLOOKUP(_xlfn.NUMBERVALUE(Table1[[#This Row],[Ativo]]),'[1]Criticidade por Equipamento'!$A:$A,'[1]Criticidade por Equipamento'!$AS:$AS)</f>
        <v>Tanque 34,5</v>
      </c>
      <c r="G41" s="8">
        <f>_xlfn.XLOOKUP(_xlfn.NUMBERVALUE(Table1[[#This Row],[Ativo]]),'[1]Criticidade por Equipamento'!$A:$A,'[1]Criticidade por Equipamento'!$AU:$AU)</f>
        <v>13209.34</v>
      </c>
      <c r="H41" s="10">
        <f>_xlfn.XLOOKUP(_xlfn.NUMBERVALUE(Table1[[#This Row],[Ativo]]),'[1]Criticidade por Equipamento'!$A:$A,'[1]Criticidade por Equipamento'!$AT:$AT)</f>
        <v>38151.480000000003</v>
      </c>
      <c r="I41" s="9">
        <f>Table1[[#This Row],[Orçamento MAT]]+Table1[[#This Row],[Orçamento MO]]</f>
        <v>51360.820000000007</v>
      </c>
      <c r="T41" s="1">
        <v>90</v>
      </c>
      <c r="U41" s="1">
        <v>134</v>
      </c>
      <c r="V41" s="1">
        <v>243</v>
      </c>
      <c r="W41" t="s">
        <v>151</v>
      </c>
      <c r="X41" t="s">
        <v>16</v>
      </c>
      <c r="Y41" t="s">
        <v>235</v>
      </c>
      <c r="AA41" t="s">
        <v>185</v>
      </c>
      <c r="AB41" t="s">
        <v>156</v>
      </c>
      <c r="AC41" t="s">
        <v>156</v>
      </c>
      <c r="AD41" t="s">
        <v>29</v>
      </c>
    </row>
    <row r="42" spans="1:30" x14ac:dyDescent="0.25">
      <c r="A42" t="s">
        <v>237</v>
      </c>
      <c r="B42" t="str">
        <f>LEFT(Table1[[#This Row],[Ativo]],2)</f>
        <v>79</v>
      </c>
      <c r="C42" t="s">
        <v>239</v>
      </c>
      <c r="D42" t="s">
        <v>196</v>
      </c>
      <c r="E42" t="s">
        <v>315</v>
      </c>
      <c r="F42" s="51" t="str">
        <f>_xlfn.XLOOKUP(_xlfn.NUMBERVALUE(Table1[[#This Row],[Ativo]]),'[1]Criticidade por Equipamento'!$A:$A,'[1]Criticidade por Equipamento'!$AS:$AS)</f>
        <v>RL Completo 34,5</v>
      </c>
      <c r="G42" s="8">
        <f>_xlfn.XLOOKUP(_xlfn.NUMBERVALUE(Table1[[#This Row],[Ativo]]),'[1]Criticidade por Equipamento'!$A:$A,'[1]Criticidade por Equipamento'!$AU:$AU)</f>
        <v>13209.34</v>
      </c>
      <c r="H42" s="10">
        <f>_xlfn.XLOOKUP(_xlfn.NUMBERVALUE(Table1[[#This Row],[Ativo]]),'[1]Criticidade por Equipamento'!$A:$A,'[1]Criticidade por Equipamento'!$AT:$AT)</f>
        <v>76246.2</v>
      </c>
      <c r="I42" s="9">
        <f>Table1[[#This Row],[Orçamento MAT]]+Table1[[#This Row],[Orçamento MO]]</f>
        <v>89455.54</v>
      </c>
      <c r="T42" s="1">
        <v>93</v>
      </c>
      <c r="U42" s="1">
        <v>134</v>
      </c>
      <c r="V42" s="1">
        <v>40</v>
      </c>
      <c r="W42" t="s">
        <v>238</v>
      </c>
      <c r="X42" t="s">
        <v>16</v>
      </c>
      <c r="Y42" t="s">
        <v>232</v>
      </c>
      <c r="AA42" t="s">
        <v>217</v>
      </c>
      <c r="AB42" t="s">
        <v>240</v>
      </c>
      <c r="AC42" t="s">
        <v>28</v>
      </c>
      <c r="AD42" t="s">
        <v>29</v>
      </c>
    </row>
    <row r="43" spans="1:30" x14ac:dyDescent="0.25">
      <c r="A43" t="s">
        <v>241</v>
      </c>
      <c r="B43" t="str">
        <f>LEFT(Table1[[#This Row],[Ativo]],2)</f>
        <v>79</v>
      </c>
      <c r="C43" t="s">
        <v>244</v>
      </c>
      <c r="D43" t="s">
        <v>196</v>
      </c>
      <c r="E43" t="s">
        <v>315</v>
      </c>
      <c r="F43" t="str">
        <f>_xlfn.XLOOKUP(_xlfn.NUMBERVALUE(Table1[[#This Row],[Ativo]]),'[1]Criticidade por Equipamento'!$A:$A,'[1]Criticidade por Equipamento'!$AS:$AS)</f>
        <v>Tanque 13,8</v>
      </c>
      <c r="G43" s="8">
        <f>_xlfn.XLOOKUP(_xlfn.NUMBERVALUE(Table1[[#This Row],[Ativo]]),'[1]Criticidade por Equipamento'!$A:$A,'[1]Criticidade por Equipamento'!$AU:$AU)</f>
        <v>11016.94</v>
      </c>
      <c r="H43" s="10">
        <f>_xlfn.XLOOKUP(_xlfn.NUMBERVALUE(Table1[[#This Row],[Ativo]]),'[1]Criticidade por Equipamento'!$A:$A,'[1]Criticidade por Equipamento'!$AT:$AT)</f>
        <v>21785.72</v>
      </c>
      <c r="I43" s="9">
        <f>Table1[[#This Row],[Orçamento MAT]]+Table1[[#This Row],[Orçamento MO]]</f>
        <v>32802.660000000003</v>
      </c>
      <c r="T43" s="1">
        <v>94</v>
      </c>
      <c r="U43" s="1">
        <v>134</v>
      </c>
      <c r="V43" s="1">
        <v>70</v>
      </c>
      <c r="W43" t="s">
        <v>242</v>
      </c>
      <c r="X43" t="s">
        <v>16</v>
      </c>
      <c r="Y43" t="s">
        <v>243</v>
      </c>
      <c r="AA43" t="s">
        <v>245</v>
      </c>
      <c r="AB43" t="s">
        <v>246</v>
      </c>
      <c r="AC43" t="s">
        <v>247</v>
      </c>
      <c r="AD43" t="s">
        <v>43</v>
      </c>
    </row>
    <row r="44" spans="1:30" hidden="1" x14ac:dyDescent="0.25">
      <c r="A44" t="s">
        <v>248</v>
      </c>
      <c r="B44" t="str">
        <f>LEFT(Table1[[#This Row],[Ativo]],2)</f>
        <v>58</v>
      </c>
      <c r="C44" t="s">
        <v>250</v>
      </c>
      <c r="D44" t="s">
        <v>196</v>
      </c>
      <c r="E44" t="s">
        <v>313</v>
      </c>
      <c r="F44" t="str">
        <f>_xlfn.XLOOKUP(_xlfn.NUMBERVALUE(Table1[[#This Row],[Ativo]]),'[1]Criticidade por Equipamento'!$A:$A,'[1]Criticidade por Equipamento'!$AS:$AS)</f>
        <v>Célula 400 34,5</v>
      </c>
      <c r="G44" s="8">
        <f>_xlfn.XLOOKUP(_xlfn.NUMBERVALUE(Table1[[#This Row],[Ativo]]),'[1]Criticidade por Equipamento'!$A:$A,'[1]Criticidade por Equipamento'!$AU:$AU)</f>
        <v>80318.5</v>
      </c>
      <c r="H44" s="10">
        <f>_xlfn.XLOOKUP(_xlfn.NUMBERVALUE(Table1[[#This Row],[Ativo]]),'[1]Criticidade por Equipamento'!$A:$A,'[1]Criticidade por Equipamento'!$AT:$AT)</f>
        <v>90230</v>
      </c>
      <c r="I44" s="9">
        <f>Table1[[#This Row],[Orçamento MAT]]+Table1[[#This Row],[Orçamento MO]]</f>
        <v>170548.5</v>
      </c>
      <c r="T44" s="1">
        <v>95</v>
      </c>
      <c r="U44" s="1">
        <v>134</v>
      </c>
      <c r="V44" s="1">
        <v>252</v>
      </c>
      <c r="W44" t="s">
        <v>36</v>
      </c>
      <c r="X44" t="s">
        <v>16</v>
      </c>
      <c r="Y44" t="s">
        <v>249</v>
      </c>
      <c r="AA44" t="s">
        <v>251</v>
      </c>
      <c r="AB44" t="s">
        <v>41</v>
      </c>
      <c r="AC44" t="s">
        <v>42</v>
      </c>
      <c r="AD44" t="s">
        <v>43</v>
      </c>
    </row>
    <row r="45" spans="1:30" hidden="1" x14ac:dyDescent="0.25">
      <c r="A45" t="s">
        <v>252</v>
      </c>
      <c r="B45" t="str">
        <f>LEFT(Table1[[#This Row],[Ativo]],2)</f>
        <v>58</v>
      </c>
      <c r="C45" t="s">
        <v>255</v>
      </c>
      <c r="D45" t="s">
        <v>196</v>
      </c>
      <c r="E45" t="s">
        <v>314</v>
      </c>
      <c r="F45" t="str">
        <f>_xlfn.XLOOKUP(_xlfn.NUMBERVALUE(Table1[[#This Row],[Ativo]]),'[1]Criticidade por Equipamento'!$A:$A,'[1]Criticidade por Equipamento'!$AS:$AS)</f>
        <v>Célula 400 34,5</v>
      </c>
      <c r="G45" s="8">
        <f>_xlfn.XLOOKUP(_xlfn.NUMBERVALUE(Table1[[#This Row],[Ativo]]),'[1]Criticidade por Equipamento'!$A:$A,'[1]Criticidade por Equipamento'!$AU:$AU)</f>
        <v>80318.5</v>
      </c>
      <c r="H45" s="10">
        <f>_xlfn.XLOOKUP(_xlfn.NUMBERVALUE(Table1[[#This Row],[Ativo]]),'[1]Criticidade por Equipamento'!$A:$A,'[1]Criticidade por Equipamento'!$AT:$AT)</f>
        <v>90230</v>
      </c>
      <c r="I45" s="9">
        <f>Table1[[#This Row],[Orçamento MAT]]+Table1[[#This Row],[Orçamento MO]]</f>
        <v>170548.5</v>
      </c>
      <c r="T45" s="1">
        <v>96</v>
      </c>
      <c r="U45" s="1">
        <v>134</v>
      </c>
      <c r="V45" s="1">
        <v>123</v>
      </c>
      <c r="W45" t="s">
        <v>253</v>
      </c>
      <c r="X45" t="s">
        <v>16</v>
      </c>
      <c r="Y45" t="s">
        <v>254</v>
      </c>
      <c r="AA45" t="s">
        <v>148</v>
      </c>
      <c r="AB45" t="s">
        <v>144</v>
      </c>
      <c r="AC45" t="s">
        <v>144</v>
      </c>
      <c r="AD45" t="s">
        <v>43</v>
      </c>
    </row>
    <row r="46" spans="1:30" x14ac:dyDescent="0.25">
      <c r="A46" t="s">
        <v>256</v>
      </c>
      <c r="B46" t="str">
        <f>LEFT(Table1[[#This Row],[Ativo]],2)</f>
        <v>79</v>
      </c>
      <c r="C46" t="s">
        <v>258</v>
      </c>
      <c r="D46" t="s">
        <v>196</v>
      </c>
      <c r="E46" t="s">
        <v>315</v>
      </c>
      <c r="F46" s="51" t="str">
        <f>_xlfn.XLOOKUP(_xlfn.NUMBERVALUE(Table1[[#This Row],[Ativo]]),'[1]Criticidade por Equipamento'!$A:$A,'[1]Criticidade por Equipamento'!$AS:$AS)</f>
        <v>Controle 34,5</v>
      </c>
      <c r="G46" s="8">
        <f>_xlfn.XLOOKUP(_xlfn.NUMBERVALUE(Table1[[#This Row],[Ativo]]),'[1]Criticidade por Equipamento'!$A:$A,'[1]Criticidade por Equipamento'!$AU:$AU)</f>
        <v>13209.34</v>
      </c>
      <c r="H46" s="10">
        <f>_xlfn.XLOOKUP(_xlfn.NUMBERVALUE(Table1[[#This Row],[Ativo]]),'[1]Criticidade por Equipamento'!$A:$A,'[1]Criticidade por Equipamento'!$AT:$AT)</f>
        <v>38094.720000000001</v>
      </c>
      <c r="I46" s="9">
        <f>Table1[[#This Row],[Orçamento MAT]]+Table1[[#This Row],[Orçamento MO]]</f>
        <v>51304.06</v>
      </c>
      <c r="T46" s="1">
        <v>97</v>
      </c>
      <c r="U46" s="1">
        <v>134</v>
      </c>
      <c r="V46" s="1">
        <v>173</v>
      </c>
      <c r="W46" t="s">
        <v>36</v>
      </c>
      <c r="X46" t="s">
        <v>16</v>
      </c>
      <c r="Y46" t="s">
        <v>257</v>
      </c>
      <c r="AA46" t="s">
        <v>259</v>
      </c>
      <c r="AB46" t="s">
        <v>212</v>
      </c>
      <c r="AC46" t="s">
        <v>99</v>
      </c>
      <c r="AD46" t="s">
        <v>29</v>
      </c>
    </row>
    <row r="47" spans="1:30" x14ac:dyDescent="0.25">
      <c r="A47" t="s">
        <v>260</v>
      </c>
      <c r="B47" t="str">
        <f>LEFT(Table1[[#This Row],[Ativo]],2)</f>
        <v>79</v>
      </c>
      <c r="C47" t="s">
        <v>263</v>
      </c>
      <c r="D47" t="s">
        <v>196</v>
      </c>
      <c r="E47" t="s">
        <v>315</v>
      </c>
      <c r="F47" t="str">
        <f>_xlfn.XLOOKUP(_xlfn.NUMBERVALUE(Table1[[#This Row],[Ativo]]),'[1]Criticidade por Equipamento'!$A:$A,'[1]Criticidade por Equipamento'!$AS:$AS)</f>
        <v>Tanque 34,5</v>
      </c>
      <c r="G47" s="8">
        <f>_xlfn.XLOOKUP(_xlfn.NUMBERVALUE(Table1[[#This Row],[Ativo]]),'[1]Criticidade por Equipamento'!$A:$A,'[1]Criticidade por Equipamento'!$AU:$AU)</f>
        <v>13209.34</v>
      </c>
      <c r="H47" s="10">
        <f>_xlfn.XLOOKUP(_xlfn.NUMBERVALUE(Table1[[#This Row],[Ativo]]),'[1]Criticidade por Equipamento'!$A:$A,'[1]Criticidade por Equipamento'!$AT:$AT)</f>
        <v>38151.480000000003</v>
      </c>
      <c r="I47" s="9">
        <f>Table1[[#This Row],[Orçamento MAT]]+Table1[[#This Row],[Orçamento MO]]</f>
        <v>51360.820000000007</v>
      </c>
      <c r="T47" s="1">
        <v>98</v>
      </c>
      <c r="U47" s="1">
        <v>134</v>
      </c>
      <c r="V47" s="1">
        <v>180</v>
      </c>
      <c r="W47" t="s">
        <v>261</v>
      </c>
      <c r="X47" t="s">
        <v>16</v>
      </c>
      <c r="Y47" t="s">
        <v>262</v>
      </c>
      <c r="AA47" t="s">
        <v>264</v>
      </c>
      <c r="AB47" t="s">
        <v>265</v>
      </c>
      <c r="AC47" t="s">
        <v>74</v>
      </c>
      <c r="AD47" t="s">
        <v>29</v>
      </c>
    </row>
    <row r="48" spans="1:30" x14ac:dyDescent="0.25">
      <c r="A48" t="s">
        <v>266</v>
      </c>
      <c r="B48" t="str">
        <f>LEFT(Table1[[#This Row],[Ativo]],2)</f>
        <v>79</v>
      </c>
      <c r="C48" t="s">
        <v>269</v>
      </c>
      <c r="D48" t="s">
        <v>196</v>
      </c>
      <c r="E48" t="s">
        <v>315</v>
      </c>
      <c r="F48" t="str">
        <f>_xlfn.XLOOKUP(_xlfn.NUMBERVALUE(Table1[[#This Row],[Ativo]]),'[1]Criticidade por Equipamento'!$A:$A,'[1]Criticidade por Equipamento'!$AS:$AS)</f>
        <v>RL Completo 13,8</v>
      </c>
      <c r="G48" s="8">
        <f>_xlfn.XLOOKUP(_xlfn.NUMBERVALUE(Table1[[#This Row],[Ativo]]),'[1]Criticidade por Equipamento'!$A:$A,'[1]Criticidade por Equipamento'!$AU:$AU)</f>
        <v>11016.94</v>
      </c>
      <c r="H48" s="10">
        <f>_xlfn.XLOOKUP(_xlfn.NUMBERVALUE(Table1[[#This Row],[Ativo]]),'[1]Criticidade por Equipamento'!$A:$A,'[1]Criticidade por Equipamento'!$AT:$AT)</f>
        <v>55602.54</v>
      </c>
      <c r="I48" s="9">
        <f>Table1[[#This Row],[Orçamento MAT]]+Table1[[#This Row],[Orçamento MO]]</f>
        <v>66619.48</v>
      </c>
      <c r="T48" s="1">
        <v>100</v>
      </c>
      <c r="U48" s="1">
        <v>134</v>
      </c>
      <c r="V48" s="1">
        <v>234</v>
      </c>
      <c r="W48" t="s">
        <v>267</v>
      </c>
      <c r="X48" t="s">
        <v>16</v>
      </c>
      <c r="Y48" t="s">
        <v>268</v>
      </c>
      <c r="AA48" t="s">
        <v>200</v>
      </c>
      <c r="AB48" t="s">
        <v>106</v>
      </c>
      <c r="AC48" t="s">
        <v>106</v>
      </c>
      <c r="AD48" t="s">
        <v>29</v>
      </c>
    </row>
    <row r="49" spans="1:30" hidden="1" x14ac:dyDescent="0.25">
      <c r="A49" t="s">
        <v>270</v>
      </c>
      <c r="B49" t="str">
        <f>LEFT(Table1[[#This Row],[Ativo]],2)</f>
        <v>58</v>
      </c>
      <c r="C49" t="s">
        <v>272</v>
      </c>
      <c r="D49" t="s">
        <v>196</v>
      </c>
      <c r="E49" t="s">
        <v>315</v>
      </c>
      <c r="F49" t="str">
        <f>_xlfn.XLOOKUP(_xlfn.NUMBERVALUE(Table1[[#This Row],[Ativo]]),'[1]Criticidade por Equipamento'!$A:$A,'[1]Criticidade por Equipamento'!$AS:$AS)</f>
        <v>RT Completo 400 34,5</v>
      </c>
      <c r="G49" s="8">
        <f>_xlfn.XLOOKUP(_xlfn.NUMBERVALUE(Table1[[#This Row],[Ativo]]),'[1]Criticidade por Equipamento'!$A:$A,'[1]Criticidade por Equipamento'!$AU:$AU)</f>
        <v>200637</v>
      </c>
      <c r="H49" s="10">
        <f>_xlfn.XLOOKUP(_xlfn.NUMBERVALUE(Table1[[#This Row],[Ativo]]),'[1]Criticidade por Equipamento'!$A:$A,'[1]Criticidade por Equipamento'!$AT:$AT)</f>
        <v>293949.59999999998</v>
      </c>
      <c r="I49" s="9">
        <f>Table1[[#This Row],[Orçamento MAT]]+Table1[[#This Row],[Orçamento MO]]</f>
        <v>494586.6</v>
      </c>
      <c r="T49" s="1">
        <v>101</v>
      </c>
      <c r="U49" s="1">
        <v>134</v>
      </c>
      <c r="V49" s="1">
        <v>427</v>
      </c>
      <c r="W49" t="s">
        <v>36</v>
      </c>
      <c r="X49" t="s">
        <v>16</v>
      </c>
      <c r="Y49" t="s">
        <v>271</v>
      </c>
      <c r="AA49" t="s">
        <v>40</v>
      </c>
      <c r="AB49" t="s">
        <v>41</v>
      </c>
      <c r="AC49" t="s">
        <v>42</v>
      </c>
      <c r="AD49" t="s">
        <v>43</v>
      </c>
    </row>
    <row r="50" spans="1:30" hidden="1" x14ac:dyDescent="0.25">
      <c r="A50" t="s">
        <v>273</v>
      </c>
      <c r="B50" t="str">
        <f>LEFT(Table1[[#This Row],[Ativo]],2)</f>
        <v>58</v>
      </c>
      <c r="C50" t="s">
        <v>276</v>
      </c>
      <c r="D50" t="s">
        <v>196</v>
      </c>
      <c r="E50" t="s">
        <v>315</v>
      </c>
      <c r="F50" t="str">
        <f>_xlfn.XLOOKUP(_xlfn.NUMBERVALUE(Table1[[#This Row],[Ativo]]),'[1]Criticidade por Equipamento'!$A:$A,'[1]Criticidade por Equipamento'!$AS:$AS)</f>
        <v>RT Completo 400 34,5</v>
      </c>
      <c r="G50" s="8">
        <f>_xlfn.XLOOKUP(_xlfn.NUMBERVALUE(Table1[[#This Row],[Ativo]]),'[1]Criticidade por Equipamento'!$A:$A,'[1]Criticidade por Equipamento'!$AU:$AU)</f>
        <v>200637</v>
      </c>
      <c r="H50" s="10">
        <f>_xlfn.XLOOKUP(_xlfn.NUMBERVALUE(Table1[[#This Row],[Ativo]]),'[1]Criticidade por Equipamento'!$A:$A,'[1]Criticidade por Equipamento'!$AT:$AT)</f>
        <v>293949.59999999998</v>
      </c>
      <c r="I50" s="9">
        <f>Table1[[#This Row],[Orçamento MAT]]+Table1[[#This Row],[Orçamento MO]]</f>
        <v>494586.6</v>
      </c>
      <c r="T50" s="1">
        <v>102</v>
      </c>
      <c r="U50" s="1">
        <v>134</v>
      </c>
      <c r="V50" s="1">
        <v>511</v>
      </c>
      <c r="W50" t="s">
        <v>274</v>
      </c>
      <c r="X50" t="s">
        <v>16</v>
      </c>
      <c r="Y50" t="s">
        <v>275</v>
      </c>
      <c r="AA50" t="s">
        <v>277</v>
      </c>
      <c r="AB50" t="s">
        <v>278</v>
      </c>
      <c r="AC50" t="s">
        <v>124</v>
      </c>
      <c r="AD50" t="s">
        <v>21</v>
      </c>
    </row>
    <row r="51" spans="1:30" x14ac:dyDescent="0.25">
      <c r="A51" t="s">
        <v>279</v>
      </c>
      <c r="B51" t="str">
        <f>LEFT(Table1[[#This Row],[Ativo]],2)</f>
        <v>79</v>
      </c>
      <c r="C51" t="s">
        <v>282</v>
      </c>
      <c r="D51" t="s">
        <v>280</v>
      </c>
      <c r="E51" t="s">
        <v>315</v>
      </c>
      <c r="F51" s="51" t="str">
        <f>_xlfn.XLOOKUP(_xlfn.NUMBERVALUE(Table1[[#This Row],[Ativo]]),'[1]Criticidade por Equipamento'!$A:$A,'[1]Criticidade por Equipamento'!$AS:$AS)</f>
        <v>RL Completo 34,5</v>
      </c>
      <c r="G51" s="8">
        <f>_xlfn.XLOOKUP(_xlfn.NUMBERVALUE(Table1[[#This Row],[Ativo]]),'[1]Criticidade por Equipamento'!$A:$A,'[1]Criticidade por Equipamento'!$AU:$AU)</f>
        <v>13209.34</v>
      </c>
      <c r="H51" s="10">
        <f>_xlfn.XLOOKUP(_xlfn.NUMBERVALUE(Table1[[#This Row],[Ativo]]),'[1]Criticidade por Equipamento'!$A:$A,'[1]Criticidade por Equipamento'!$AT:$AT)</f>
        <v>76246.2</v>
      </c>
      <c r="I51" s="9">
        <f>Table1[[#This Row],[Orçamento MAT]]+Table1[[#This Row],[Orçamento MO]]</f>
        <v>89455.54</v>
      </c>
      <c r="T51" s="1">
        <v>107</v>
      </c>
      <c r="U51" s="1"/>
      <c r="V51" s="1">
        <v>54</v>
      </c>
      <c r="W51" t="s">
        <v>281</v>
      </c>
      <c r="X51" t="s">
        <v>16</v>
      </c>
      <c r="Y51" t="s">
        <v>33</v>
      </c>
      <c r="AA51" t="s">
        <v>283</v>
      </c>
      <c r="AB51" t="s">
        <v>155</v>
      </c>
      <c r="AC51" t="s">
        <v>156</v>
      </c>
      <c r="AD51" t="s">
        <v>29</v>
      </c>
    </row>
    <row r="52" spans="1:30" x14ac:dyDescent="0.25">
      <c r="A52" t="s">
        <v>284</v>
      </c>
      <c r="B52" t="str">
        <f>LEFT(Table1[[#This Row],[Ativo]],2)</f>
        <v>79</v>
      </c>
      <c r="C52" t="s">
        <v>285</v>
      </c>
      <c r="D52" t="s">
        <v>280</v>
      </c>
      <c r="E52" t="s">
        <v>315</v>
      </c>
      <c r="F52" s="51" t="str">
        <f>_xlfn.XLOOKUP(_xlfn.NUMBERVALUE(Table1[[#This Row],[Ativo]]),'[1]Criticidade por Equipamento'!$A:$A,'[1]Criticidade por Equipamento'!$AS:$AS)</f>
        <v>Controle 34,5</v>
      </c>
      <c r="G52" s="8">
        <f>_xlfn.XLOOKUP(_xlfn.NUMBERVALUE(Table1[[#This Row],[Ativo]]),'[1]Criticidade por Equipamento'!$A:$A,'[1]Criticidade por Equipamento'!$AU:$AU)</f>
        <v>13209.34</v>
      </c>
      <c r="H52" s="10">
        <f>_xlfn.XLOOKUP(_xlfn.NUMBERVALUE(Table1[[#This Row],[Ativo]]),'[1]Criticidade por Equipamento'!$A:$A,'[1]Criticidade por Equipamento'!$AT:$AT)</f>
        <v>38094.720000000001</v>
      </c>
      <c r="I52" s="9">
        <f>Table1[[#This Row],[Orçamento MAT]]+Table1[[#This Row],[Orçamento MO]]</f>
        <v>51304.06</v>
      </c>
      <c r="T52" s="1">
        <v>109</v>
      </c>
      <c r="U52" s="1"/>
      <c r="V52" s="1">
        <v>33</v>
      </c>
      <c r="W52" t="s">
        <v>214</v>
      </c>
      <c r="X52" t="s">
        <v>16</v>
      </c>
      <c r="Y52" t="s">
        <v>33</v>
      </c>
      <c r="AA52" t="s">
        <v>286</v>
      </c>
      <c r="AB52" t="s">
        <v>287</v>
      </c>
      <c r="AC52" t="s">
        <v>55</v>
      </c>
      <c r="AD52" t="s">
        <v>21</v>
      </c>
    </row>
    <row r="53" spans="1:30" hidden="1" x14ac:dyDescent="0.25">
      <c r="A53" t="s">
        <v>288</v>
      </c>
      <c r="B53" t="str">
        <f>LEFT(Table1[[#This Row],[Ativo]],2)</f>
        <v>58</v>
      </c>
      <c r="C53" t="s">
        <v>289</v>
      </c>
      <c r="D53" t="s">
        <v>280</v>
      </c>
      <c r="E53" t="s">
        <v>314</v>
      </c>
      <c r="F53" t="str">
        <f>_xlfn.XLOOKUP(_xlfn.NUMBERVALUE(Table1[[#This Row],[Ativo]]),'[1]Criticidade por Equipamento'!$A:$A,'[1]Criticidade por Equipamento'!$AS:$AS)</f>
        <v>Controle 200 34,5</v>
      </c>
      <c r="G53" s="8">
        <f>_xlfn.XLOOKUP(_xlfn.NUMBERVALUE(Table1[[#This Row],[Ativo]]),'[1]Criticidade por Equipamento'!$A:$A,'[1]Criticidade por Equipamento'!$AU:$AU)</f>
        <v>20000</v>
      </c>
      <c r="H53" s="10">
        <f>_xlfn.XLOOKUP(_xlfn.NUMBERVALUE(Table1[[#This Row],[Ativo]]),'[1]Criticidade por Equipamento'!$A:$A,'[1]Criticidade por Equipamento'!$AT:$AT)</f>
        <v>23259.599999999999</v>
      </c>
      <c r="I53" s="9">
        <f>Table1[[#This Row],[Orçamento MAT]]+Table1[[#This Row],[Orçamento MO]]</f>
        <v>43259.6</v>
      </c>
      <c r="T53" s="1">
        <v>137</v>
      </c>
      <c r="U53" s="1"/>
      <c r="V53" s="1">
        <v>56</v>
      </c>
      <c r="W53" t="s">
        <v>238</v>
      </c>
      <c r="X53" t="s">
        <v>16</v>
      </c>
      <c r="Y53" t="s">
        <v>33</v>
      </c>
      <c r="AA53" t="s">
        <v>290</v>
      </c>
      <c r="AB53" t="s">
        <v>291</v>
      </c>
      <c r="AC53" t="s">
        <v>55</v>
      </c>
      <c r="AD53" t="s">
        <v>21</v>
      </c>
    </row>
    <row r="54" spans="1:30" hidden="1" x14ac:dyDescent="0.25">
      <c r="A54" t="s">
        <v>292</v>
      </c>
      <c r="B54" t="str">
        <f>LEFT(Table1[[#This Row],[Ativo]],2)</f>
        <v>79</v>
      </c>
      <c r="C54" t="s">
        <v>293</v>
      </c>
      <c r="D54" t="s">
        <v>280</v>
      </c>
      <c r="E54" t="s">
        <v>1363</v>
      </c>
      <c r="F54" t="str">
        <f>_xlfn.XLOOKUP(_xlfn.NUMBERVALUE(Table1[[#This Row],[Ativo]]),'[1]Criticidade por Equipamento'!$A:$A,'[1]Criticidade por Equipamento'!$AS:$AS)</f>
        <v>Acessório 34,5</v>
      </c>
      <c r="G54" s="8">
        <f>_xlfn.XLOOKUP(_xlfn.NUMBERVALUE(Table1[[#This Row],[Ativo]]),'[1]Criticidade por Equipamento'!$A:$A,'[1]Criticidade por Equipamento'!$AU:$AU)</f>
        <v>0</v>
      </c>
      <c r="H54" s="10">
        <f>_xlfn.XLOOKUP(_xlfn.NUMBERVALUE(Table1[[#This Row],[Ativo]]),'[1]Criticidade por Equipamento'!$A:$A,'[1]Criticidade por Equipamento'!$AT:$AT)</f>
        <v>15000</v>
      </c>
      <c r="I54" s="9">
        <f>Table1[[#This Row],[Orçamento MAT]]+Table1[[#This Row],[Orçamento MO]]</f>
        <v>15000</v>
      </c>
      <c r="T54" s="1">
        <v>145</v>
      </c>
      <c r="U54" s="1"/>
      <c r="V54" s="1">
        <v>420</v>
      </c>
      <c r="W54" t="s">
        <v>15</v>
      </c>
      <c r="X54" t="s">
        <v>102</v>
      </c>
      <c r="Y54" t="s">
        <v>33</v>
      </c>
      <c r="AA54" t="s">
        <v>294</v>
      </c>
      <c r="AB54" t="s">
        <v>295</v>
      </c>
      <c r="AC54" t="s">
        <v>55</v>
      </c>
      <c r="AD54" t="s">
        <v>21</v>
      </c>
    </row>
  </sheetData>
  <phoneticPr fontId="1" type="noConversion"/>
  <dataValidations count="3">
    <dataValidation type="list" allowBlank="1" showInputMessage="1" showErrorMessage="1" sqref="E13 E10 E16 E25 E28:E53" xr:uid="{575ABE3C-2A8B-4CCC-A702-19B63068E04E}">
      <formula1>"Realizado,A realizar (COCM),Em logistica (N1&gt;N3),Em compra,Reforma,Avaliar compra"</formula1>
    </dataValidation>
    <dataValidation type="list" allowBlank="1" showInputMessage="1" showErrorMessage="1" sqref="E5 E15 E54" xr:uid="{00A26D2E-65C9-4576-BA45-D55432676C70}">
      <formula1>"Realizado,A realizar (COCM),Em execução,Em compra,Reforma,Avaliar compra"</formula1>
    </dataValidation>
    <dataValidation type="list" allowBlank="1" showInputMessage="1" showErrorMessage="1" sqref="E2:E4 E6:E9 E11:E12 E14 E17:E24 E26:E27" xr:uid="{3A468F5C-9429-446D-8C26-C7CB02728921}">
      <formula1>"Realizado,A realizar (COCM),Em logistica (N1&gt;N3),Gerado PMA,Reforma,Avaliar compra"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AE7-EE4C-4783-9871-A66512B0EA5A}">
  <dimension ref="A1:O124"/>
  <sheetViews>
    <sheetView showGridLines="0" zoomScale="55" zoomScaleNormal="55" workbookViewId="0">
      <selection activeCell="D80" sqref="D80"/>
    </sheetView>
  </sheetViews>
  <sheetFormatPr defaultRowHeight="15" x14ac:dyDescent="0.25"/>
  <cols>
    <col min="1" max="1" width="19.5703125" bestFit="1" customWidth="1"/>
    <col min="2" max="11" width="19.7109375" bestFit="1" customWidth="1"/>
    <col min="12" max="13" width="11.28515625" bestFit="1" customWidth="1"/>
    <col min="14" max="14" width="25.5703125" bestFit="1" customWidth="1"/>
    <col min="15" max="15" width="20.28515625" bestFit="1" customWidth="1"/>
    <col min="16" max="16" width="25.5703125" bestFit="1" customWidth="1"/>
    <col min="17" max="17" width="20.28515625" bestFit="1" customWidth="1"/>
    <col min="18" max="18" width="25.5703125" bestFit="1" customWidth="1"/>
    <col min="19" max="19" width="20.28515625" bestFit="1" customWidth="1"/>
    <col min="20" max="20" width="25.5703125" bestFit="1" customWidth="1"/>
    <col min="21" max="21" width="20.28515625" bestFit="1" customWidth="1"/>
    <col min="22" max="22" width="25.5703125" bestFit="1" customWidth="1"/>
    <col min="23" max="23" width="20.28515625" bestFit="1" customWidth="1"/>
    <col min="24" max="24" width="30.5703125" bestFit="1" customWidth="1"/>
    <col min="25" max="25" width="25.28515625" bestFit="1" customWidth="1"/>
    <col min="26" max="26" width="5.42578125" bestFit="1" customWidth="1"/>
    <col min="27" max="27" width="6.140625" bestFit="1" customWidth="1"/>
    <col min="28" max="28" width="5.5703125" bestFit="1" customWidth="1"/>
    <col min="29" max="29" width="6.85546875" bestFit="1" customWidth="1"/>
    <col min="30" max="30" width="9.5703125" bestFit="1" customWidth="1"/>
    <col min="31" max="31" width="8.140625" bestFit="1" customWidth="1"/>
    <col min="32" max="32" width="10.140625" bestFit="1" customWidth="1"/>
    <col min="33" max="33" width="10" bestFit="1" customWidth="1"/>
    <col min="34" max="34" width="10.7109375" bestFit="1" customWidth="1"/>
  </cols>
  <sheetData>
    <row r="1" spans="1:12" x14ac:dyDescent="0.25">
      <c r="A1" s="5" t="s">
        <v>1332</v>
      </c>
      <c r="B1" s="6">
        <v>2025</v>
      </c>
    </row>
    <row r="2" spans="1:12" x14ac:dyDescent="0.25">
      <c r="A2" s="5" t="s">
        <v>1333</v>
      </c>
      <c r="B2" t="s">
        <v>1340</v>
      </c>
    </row>
    <row r="3" spans="1:12" x14ac:dyDescent="0.25">
      <c r="A3" s="5" t="s">
        <v>1334</v>
      </c>
      <c r="B3" t="s">
        <v>1340</v>
      </c>
    </row>
    <row r="5" spans="1:12" x14ac:dyDescent="0.25">
      <c r="A5" s="5" t="s">
        <v>739</v>
      </c>
    </row>
    <row r="6" spans="1:12" x14ac:dyDescent="0.25">
      <c r="A6" t="s">
        <v>741</v>
      </c>
      <c r="B6" t="s">
        <v>742</v>
      </c>
      <c r="C6" t="s">
        <v>743</v>
      </c>
      <c r="D6" t="s">
        <v>744</v>
      </c>
      <c r="E6" t="s">
        <v>745</v>
      </c>
      <c r="F6" t="s">
        <v>746</v>
      </c>
      <c r="G6" t="s">
        <v>747</v>
      </c>
      <c r="H6" t="s">
        <v>748</v>
      </c>
      <c r="I6" t="s">
        <v>749</v>
      </c>
      <c r="J6" t="s">
        <v>750</v>
      </c>
      <c r="K6" t="s">
        <v>751</v>
      </c>
      <c r="L6" t="s">
        <v>738</v>
      </c>
    </row>
    <row r="68" spans="1:15" hidden="1" x14ac:dyDescent="0.25">
      <c r="B68" t="s">
        <v>740</v>
      </c>
      <c r="C68" t="s">
        <v>741</v>
      </c>
      <c r="D68" t="s">
        <v>742</v>
      </c>
      <c r="E68" t="s">
        <v>743</v>
      </c>
      <c r="F68" t="s">
        <v>744</v>
      </c>
      <c r="G68" t="s">
        <v>745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 t="s">
        <v>751</v>
      </c>
    </row>
    <row r="69" spans="1:15" hidden="1" x14ac:dyDescent="0.25">
      <c r="A69" t="s">
        <v>1335</v>
      </c>
    </row>
    <row r="70" spans="1:15" hidden="1" x14ac:dyDescent="0.25">
      <c r="A70" t="s">
        <v>1336</v>
      </c>
    </row>
    <row r="71" spans="1:15" ht="18.75" x14ac:dyDescent="0.3">
      <c r="A71" s="74" t="s">
        <v>332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1:15" ht="18.75" x14ac:dyDescent="0.3">
      <c r="A72" s="22"/>
      <c r="B72" s="22" t="s">
        <v>320</v>
      </c>
      <c r="C72" s="22" t="s">
        <v>321</v>
      </c>
      <c r="D72" s="22" t="s">
        <v>322</v>
      </c>
      <c r="E72" s="22" t="s">
        <v>323</v>
      </c>
      <c r="F72" s="22" t="s">
        <v>324</v>
      </c>
      <c r="G72" s="22" t="s">
        <v>325</v>
      </c>
      <c r="H72" s="22" t="s">
        <v>326</v>
      </c>
      <c r="I72" s="22" t="s">
        <v>327</v>
      </c>
      <c r="J72" s="22" t="s">
        <v>328</v>
      </c>
      <c r="K72" s="22" t="s">
        <v>329</v>
      </c>
      <c r="L72" s="22" t="s">
        <v>330</v>
      </c>
      <c r="M72" s="22" t="s">
        <v>331</v>
      </c>
    </row>
    <row r="73" spans="1:15" ht="18.75" x14ac:dyDescent="0.3">
      <c r="A73" s="22" t="s">
        <v>317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</row>
    <row r="74" spans="1:15" ht="18.75" x14ac:dyDescent="0.3">
      <c r="A74" s="22" t="s">
        <v>318</v>
      </c>
      <c r="B74" s="22">
        <v>1281</v>
      </c>
      <c r="C74" s="22">
        <v>1281</v>
      </c>
      <c r="D74" s="22">
        <v>1281</v>
      </c>
      <c r="E74" s="22">
        <v>1281</v>
      </c>
      <c r="F74" s="22">
        <v>1281</v>
      </c>
      <c r="G74" s="22">
        <v>1281</v>
      </c>
      <c r="H74" s="22">
        <v>1281</v>
      </c>
      <c r="I74" s="22">
        <v>1281</v>
      </c>
      <c r="J74" s="22">
        <v>1281</v>
      </c>
      <c r="K74" s="22">
        <v>1281</v>
      </c>
      <c r="L74" s="22">
        <v>1281</v>
      </c>
      <c r="M74" s="22">
        <v>1281</v>
      </c>
    </row>
    <row r="75" spans="1:15" ht="18.75" x14ac:dyDescent="0.3">
      <c r="A75" s="22" t="s">
        <v>319</v>
      </c>
      <c r="B75" s="22">
        <v>1</v>
      </c>
      <c r="C75" s="22">
        <v>1</v>
      </c>
      <c r="D75" s="22">
        <v>2</v>
      </c>
      <c r="E75" s="22">
        <v>2</v>
      </c>
      <c r="F75" s="22">
        <v>7</v>
      </c>
      <c r="G75" s="22">
        <v>4</v>
      </c>
      <c r="H75" s="22">
        <v>5</v>
      </c>
      <c r="I75" s="22">
        <v>2</v>
      </c>
      <c r="J75" s="22">
        <v>2</v>
      </c>
      <c r="K75" s="22">
        <v>4</v>
      </c>
      <c r="L75" s="22">
        <v>1</v>
      </c>
      <c r="M75" s="22">
        <v>4</v>
      </c>
      <c r="O75" s="22"/>
    </row>
    <row r="76" spans="1:15" ht="18.75" x14ac:dyDescent="0.3">
      <c r="A76" s="22"/>
      <c r="B76" s="23">
        <f>B75/B74</f>
        <v>7.8064012490241998E-4</v>
      </c>
      <c r="C76" s="23">
        <f t="shared" ref="C76:M76" si="0">C75/C74</f>
        <v>7.8064012490241998E-4</v>
      </c>
      <c r="D76" s="23">
        <f t="shared" si="0"/>
        <v>1.56128024980484E-3</v>
      </c>
      <c r="E76" s="23">
        <f t="shared" si="0"/>
        <v>1.56128024980484E-3</v>
      </c>
      <c r="F76" s="23">
        <f t="shared" si="0"/>
        <v>5.4644808743169399E-3</v>
      </c>
      <c r="G76" s="23">
        <f t="shared" si="0"/>
        <v>3.1225604996096799E-3</v>
      </c>
      <c r="H76" s="23">
        <f t="shared" si="0"/>
        <v>3.9032006245120999E-3</v>
      </c>
      <c r="I76" s="23">
        <f t="shared" si="0"/>
        <v>1.56128024980484E-3</v>
      </c>
      <c r="J76" s="23">
        <f t="shared" si="0"/>
        <v>1.56128024980484E-3</v>
      </c>
      <c r="K76" s="23">
        <f t="shared" si="0"/>
        <v>3.1225604996096799E-3</v>
      </c>
      <c r="L76" s="23">
        <f t="shared" si="0"/>
        <v>7.8064012490241998E-4</v>
      </c>
      <c r="M76" s="23">
        <f t="shared" si="0"/>
        <v>3.1225604996096799E-3</v>
      </c>
      <c r="O76" s="22"/>
    </row>
    <row r="77" spans="1:15" ht="18.75" x14ac:dyDescent="0.3">
      <c r="A77" s="74" t="s">
        <v>333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O77" s="22"/>
    </row>
    <row r="78" spans="1:15" ht="18.75" x14ac:dyDescent="0.3">
      <c r="A78" s="22"/>
      <c r="B78" s="22" t="s">
        <v>320</v>
      </c>
      <c r="C78" s="22" t="s">
        <v>321</v>
      </c>
      <c r="D78" s="22" t="s">
        <v>322</v>
      </c>
      <c r="E78" s="22" t="s">
        <v>323</v>
      </c>
      <c r="F78" s="22" t="s">
        <v>324</v>
      </c>
      <c r="G78" s="22" t="s">
        <v>325</v>
      </c>
      <c r="H78" s="22" t="s">
        <v>326</v>
      </c>
      <c r="I78" s="22" t="s">
        <v>327</v>
      </c>
      <c r="J78" s="22" t="s">
        <v>328</v>
      </c>
      <c r="K78" s="22" t="s">
        <v>329</v>
      </c>
      <c r="L78" s="22" t="s">
        <v>330</v>
      </c>
      <c r="M78" s="22" t="s">
        <v>331</v>
      </c>
      <c r="O78" s="22"/>
    </row>
    <row r="79" spans="1:15" ht="18.75" x14ac:dyDescent="0.3">
      <c r="A79" s="22" t="s">
        <v>317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O79" s="22"/>
    </row>
    <row r="80" spans="1:15" ht="18.75" x14ac:dyDescent="0.3">
      <c r="A80" s="22" t="s">
        <v>318</v>
      </c>
      <c r="B80" s="22">
        <v>180</v>
      </c>
      <c r="C80" s="22">
        <v>180</v>
      </c>
      <c r="D80" s="22">
        <v>180</v>
      </c>
      <c r="E80" s="22">
        <v>180</v>
      </c>
      <c r="F80" s="22">
        <v>180</v>
      </c>
      <c r="G80" s="22">
        <v>180</v>
      </c>
      <c r="H80" s="22">
        <v>180</v>
      </c>
      <c r="I80" s="22">
        <v>180</v>
      </c>
      <c r="J80" s="22">
        <v>180</v>
      </c>
      <c r="K80" s="22">
        <v>180</v>
      </c>
      <c r="L80" s="22">
        <v>180</v>
      </c>
      <c r="M80" s="22">
        <v>180</v>
      </c>
      <c r="O80" s="22"/>
    </row>
    <row r="81" spans="1:15" ht="18.75" x14ac:dyDescent="0.3">
      <c r="A81" s="22" t="s">
        <v>319</v>
      </c>
      <c r="B81" s="22">
        <v>0</v>
      </c>
      <c r="C81" s="22">
        <v>1</v>
      </c>
      <c r="D81" s="22">
        <v>2</v>
      </c>
      <c r="E81" s="22">
        <v>0</v>
      </c>
      <c r="F81" s="22">
        <v>0</v>
      </c>
      <c r="G81" s="22">
        <v>1</v>
      </c>
      <c r="H81" s="22">
        <v>3</v>
      </c>
      <c r="I81" s="22">
        <v>5</v>
      </c>
      <c r="J81" s="22">
        <v>3</v>
      </c>
      <c r="K81" s="22"/>
      <c r="L81" s="22">
        <v>1</v>
      </c>
      <c r="M81" s="22">
        <v>2</v>
      </c>
      <c r="O81" s="22"/>
    </row>
    <row r="82" spans="1:15" ht="18.75" x14ac:dyDescent="0.3">
      <c r="A82" s="22"/>
      <c r="B82" s="23">
        <f>B81/B80</f>
        <v>0</v>
      </c>
      <c r="C82" s="23">
        <f t="shared" ref="C82" si="1">C81/C80</f>
        <v>5.5555555555555558E-3</v>
      </c>
      <c r="D82" s="23">
        <f t="shared" ref="D82" si="2">D81/D80</f>
        <v>1.1111111111111112E-2</v>
      </c>
      <c r="E82" s="23">
        <f t="shared" ref="E82" si="3">E81/E80</f>
        <v>0</v>
      </c>
      <c r="F82" s="23">
        <f t="shared" ref="F82" si="4">F81/F80</f>
        <v>0</v>
      </c>
      <c r="G82" s="23">
        <f t="shared" ref="G82" si="5">G81/G80</f>
        <v>5.5555555555555558E-3</v>
      </c>
      <c r="H82" s="23">
        <f t="shared" ref="H82" si="6">H81/H80</f>
        <v>1.6666666666666666E-2</v>
      </c>
      <c r="I82" s="23">
        <f t="shared" ref="I82" si="7">I81/I80</f>
        <v>2.7777777777777776E-2</v>
      </c>
      <c r="J82" s="23">
        <f t="shared" ref="J82" si="8">J81/J80</f>
        <v>1.6666666666666666E-2</v>
      </c>
      <c r="K82" s="23">
        <f t="shared" ref="K82" si="9">K81/K80</f>
        <v>0</v>
      </c>
      <c r="L82" s="23">
        <f t="shared" ref="L82" si="10">L81/L80</f>
        <v>5.5555555555555558E-3</v>
      </c>
      <c r="M82" s="23">
        <f t="shared" ref="M82" si="11">M81/M80</f>
        <v>1.1111111111111112E-2</v>
      </c>
      <c r="O82" s="22"/>
    </row>
    <row r="83" spans="1:15" ht="18.75" x14ac:dyDescent="0.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O83" s="22"/>
    </row>
    <row r="84" spans="1:15" ht="18.75" x14ac:dyDescent="0.3">
      <c r="A84" s="77" t="s">
        <v>731</v>
      </c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9"/>
      <c r="O84" s="22"/>
    </row>
    <row r="85" spans="1:15" ht="18.75" x14ac:dyDescent="0.3">
      <c r="A85" s="22"/>
      <c r="B85" s="22" t="s">
        <v>320</v>
      </c>
      <c r="C85" s="22" t="s">
        <v>321</v>
      </c>
      <c r="D85" s="22" t="s">
        <v>322</v>
      </c>
      <c r="E85" s="22" t="s">
        <v>323</v>
      </c>
      <c r="F85" s="22" t="s">
        <v>324</v>
      </c>
      <c r="G85" s="22" t="s">
        <v>325</v>
      </c>
      <c r="H85" s="22" t="s">
        <v>326</v>
      </c>
      <c r="I85" s="22" t="s">
        <v>327</v>
      </c>
      <c r="J85" s="22" t="s">
        <v>328</v>
      </c>
      <c r="K85" s="22" t="s">
        <v>329</v>
      </c>
      <c r="L85" s="22" t="s">
        <v>330</v>
      </c>
      <c r="M85" s="22" t="s">
        <v>331</v>
      </c>
      <c r="O85" s="22"/>
    </row>
    <row r="86" spans="1:15" ht="18.75" x14ac:dyDescent="0.3">
      <c r="A86" s="22" t="s">
        <v>317</v>
      </c>
      <c r="B86" s="22" cm="1">
        <f t="array" ref="B86:M86">'[2]Expansão EE'!$E$51:$P$51</f>
        <v>2</v>
      </c>
      <c r="C86" s="22">
        <v>0</v>
      </c>
      <c r="D86" s="22">
        <v>2</v>
      </c>
      <c r="E86" s="22">
        <v>2</v>
      </c>
      <c r="F86" s="22">
        <v>3</v>
      </c>
      <c r="G86" s="22">
        <v>1</v>
      </c>
      <c r="H86" s="22">
        <v>3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O86" s="22"/>
    </row>
    <row r="87" spans="1:15" ht="18.75" x14ac:dyDescent="0.3">
      <c r="A87" s="22" t="s">
        <v>318</v>
      </c>
      <c r="B87" s="22">
        <f>$M$74+B86</f>
        <v>1283</v>
      </c>
      <c r="C87" s="22">
        <f>B87+C86</f>
        <v>1283</v>
      </c>
      <c r="D87" s="22">
        <f t="shared" ref="D87:M87" si="12">C87+D86</f>
        <v>1285</v>
      </c>
      <c r="E87" s="22">
        <f t="shared" si="12"/>
        <v>1287</v>
      </c>
      <c r="F87" s="22">
        <f t="shared" si="12"/>
        <v>1290</v>
      </c>
      <c r="G87" s="22">
        <f t="shared" si="12"/>
        <v>1291</v>
      </c>
      <c r="H87" s="22">
        <f t="shared" si="12"/>
        <v>1294</v>
      </c>
      <c r="I87" s="22">
        <f t="shared" si="12"/>
        <v>1294</v>
      </c>
      <c r="J87" s="22">
        <f t="shared" si="12"/>
        <v>1294</v>
      </c>
      <c r="K87" s="22">
        <f t="shared" si="12"/>
        <v>1294</v>
      </c>
      <c r="L87" s="22">
        <f t="shared" si="12"/>
        <v>1294</v>
      </c>
      <c r="M87" s="22">
        <f t="shared" si="12"/>
        <v>1294</v>
      </c>
    </row>
    <row r="88" spans="1:15" ht="18.75" x14ac:dyDescent="0.3">
      <c r="A88" s="22" t="s">
        <v>319</v>
      </c>
      <c r="B88" s="24">
        <v>6</v>
      </c>
      <c r="C88" s="24">
        <v>7</v>
      </c>
      <c r="D88" s="24">
        <v>8</v>
      </c>
      <c r="E88" s="24">
        <v>3</v>
      </c>
      <c r="F88" s="24">
        <v>0</v>
      </c>
      <c r="G88" s="24">
        <v>1</v>
      </c>
      <c r="H88" s="24">
        <v>3</v>
      </c>
      <c r="I88" s="24">
        <v>0</v>
      </c>
      <c r="J88" s="24"/>
      <c r="K88" s="24"/>
      <c r="L88" s="24"/>
      <c r="M88" s="24"/>
    </row>
    <row r="89" spans="1:15" ht="18.75" x14ac:dyDescent="0.3">
      <c r="A89" s="22"/>
      <c r="B89" s="23">
        <f>B88/B87</f>
        <v>4.6765393608729543E-3</v>
      </c>
      <c r="C89" s="23">
        <f t="shared" ref="C89:M89" si="13">C88/C87</f>
        <v>5.4559625876851132E-3</v>
      </c>
      <c r="D89" s="23">
        <f t="shared" si="13"/>
        <v>6.2256809338521405E-3</v>
      </c>
      <c r="E89" s="23">
        <f t="shared" si="13"/>
        <v>2.331002331002331E-3</v>
      </c>
      <c r="F89" s="23">
        <f t="shared" si="13"/>
        <v>0</v>
      </c>
      <c r="G89" s="23">
        <f t="shared" si="13"/>
        <v>7.7459333849728897E-4</v>
      </c>
      <c r="H89" s="23">
        <f t="shared" si="13"/>
        <v>2.3183925811437402E-3</v>
      </c>
      <c r="I89" s="23">
        <f t="shared" si="13"/>
        <v>0</v>
      </c>
      <c r="J89" s="23">
        <f t="shared" si="13"/>
        <v>0</v>
      </c>
      <c r="K89" s="23">
        <f t="shared" si="13"/>
        <v>0</v>
      </c>
      <c r="L89" s="23">
        <f t="shared" si="13"/>
        <v>0</v>
      </c>
      <c r="M89" s="23">
        <f t="shared" si="13"/>
        <v>0</v>
      </c>
    </row>
    <row r="90" spans="1:15" ht="18.75" x14ac:dyDescent="0.3">
      <c r="A90" s="74"/>
      <c r="B90" s="74">
        <f>B88/B87</f>
        <v>4.6765393608729543E-3</v>
      </c>
      <c r="C90" s="74">
        <f t="shared" ref="C90" si="14">C88/C87</f>
        <v>5.4559625876851132E-3</v>
      </c>
      <c r="D90" s="74">
        <f t="shared" ref="D90" si="15">D88/D87</f>
        <v>6.2256809338521405E-3</v>
      </c>
      <c r="E90" s="74">
        <f t="shared" ref="E90" si="16">E88/E87</f>
        <v>2.331002331002331E-3</v>
      </c>
      <c r="F90" s="74">
        <f t="shared" ref="F90" si="17">F88/F87</f>
        <v>0</v>
      </c>
      <c r="G90" s="74">
        <f t="shared" ref="G90" si="18">G88/G87</f>
        <v>7.7459333849728897E-4</v>
      </c>
      <c r="H90" s="74">
        <f t="shared" ref="H90" si="19">H88/H87</f>
        <v>2.3183925811437402E-3</v>
      </c>
      <c r="I90" s="74">
        <f t="shared" ref="I90" si="20">I88/I87</f>
        <v>0</v>
      </c>
      <c r="J90" s="74"/>
      <c r="K90" s="74"/>
      <c r="L90" s="74"/>
      <c r="M90" s="74"/>
    </row>
    <row r="91" spans="1:15" ht="18.75" x14ac:dyDescent="0.3">
      <c r="A91" s="80" t="s">
        <v>732</v>
      </c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2"/>
    </row>
    <row r="92" spans="1:15" ht="18.75" x14ac:dyDescent="0.3">
      <c r="A92" s="22"/>
      <c r="B92" s="22" t="s">
        <v>320</v>
      </c>
      <c r="C92" s="22" t="s">
        <v>321</v>
      </c>
      <c r="D92" s="22" t="s">
        <v>322</v>
      </c>
      <c r="E92" s="22" t="s">
        <v>323</v>
      </c>
      <c r="F92" s="22" t="s">
        <v>324</v>
      </c>
      <c r="G92" s="22" t="s">
        <v>325</v>
      </c>
      <c r="H92" s="22" t="s">
        <v>326</v>
      </c>
      <c r="I92" s="22" t="s">
        <v>327</v>
      </c>
      <c r="J92" s="22" t="s">
        <v>328</v>
      </c>
      <c r="K92" s="22" t="s">
        <v>329</v>
      </c>
      <c r="L92" s="22" t="s">
        <v>330</v>
      </c>
      <c r="M92" s="22" t="s">
        <v>331</v>
      </c>
    </row>
    <row r="93" spans="1:15" ht="18.75" x14ac:dyDescent="0.3">
      <c r="A93" s="22" t="s">
        <v>317</v>
      </c>
      <c r="B93" s="22" cm="1">
        <f t="array" ref="B93:M93">'[2]Expansão EE'!$E$51:$P$51</f>
        <v>2</v>
      </c>
      <c r="C93" s="22">
        <v>0</v>
      </c>
      <c r="D93" s="22">
        <v>2</v>
      </c>
      <c r="E93" s="22">
        <v>2</v>
      </c>
      <c r="F93" s="22">
        <v>3</v>
      </c>
      <c r="G93" s="22">
        <v>1</v>
      </c>
      <c r="H93" s="22">
        <v>3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</row>
    <row r="94" spans="1:15" ht="18.75" x14ac:dyDescent="0.3">
      <c r="A94" s="22" t="s">
        <v>318</v>
      </c>
      <c r="B94" s="22">
        <f>$M$80+B93</f>
        <v>182</v>
      </c>
      <c r="C94" s="22">
        <f>B94+C93</f>
        <v>182</v>
      </c>
      <c r="D94" s="22">
        <f t="shared" ref="D94:M94" si="21">C94+D93</f>
        <v>184</v>
      </c>
      <c r="E94" s="22">
        <f t="shared" si="21"/>
        <v>186</v>
      </c>
      <c r="F94" s="22">
        <f t="shared" si="21"/>
        <v>189</v>
      </c>
      <c r="G94" s="22">
        <f t="shared" si="21"/>
        <v>190</v>
      </c>
      <c r="H94" s="22">
        <f t="shared" si="21"/>
        <v>193</v>
      </c>
      <c r="I94" s="22">
        <f t="shared" si="21"/>
        <v>193</v>
      </c>
      <c r="J94" s="22">
        <f t="shared" si="21"/>
        <v>193</v>
      </c>
      <c r="K94" s="22">
        <f t="shared" si="21"/>
        <v>193</v>
      </c>
      <c r="L94" s="22">
        <f t="shared" si="21"/>
        <v>193</v>
      </c>
      <c r="M94" s="22">
        <f t="shared" si="21"/>
        <v>193</v>
      </c>
    </row>
    <row r="95" spans="1:15" ht="18.75" x14ac:dyDescent="0.3">
      <c r="A95" s="22" t="s">
        <v>319</v>
      </c>
      <c r="B95" s="23">
        <v>1</v>
      </c>
      <c r="C95" s="23">
        <v>1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1</v>
      </c>
      <c r="J95" s="23"/>
      <c r="K95" s="23"/>
      <c r="L95" s="23"/>
      <c r="M95" s="23"/>
    </row>
    <row r="96" spans="1:15" ht="18.75" x14ac:dyDescent="0.3">
      <c r="A96" s="25"/>
      <c r="B96" s="23">
        <f>B95/B94</f>
        <v>5.4945054945054949E-3</v>
      </c>
      <c r="C96" s="23">
        <f t="shared" ref="C96" si="22">C95/C94</f>
        <v>5.4945054945054949E-3</v>
      </c>
      <c r="D96" s="23">
        <f t="shared" ref="D96" si="23">D95/D94</f>
        <v>5.434782608695652E-3</v>
      </c>
      <c r="E96" s="23">
        <f t="shared" ref="E96" si="24">E95/E94</f>
        <v>1.0752688172043012E-2</v>
      </c>
      <c r="F96" s="23">
        <f t="shared" ref="F96" si="25">F95/F94</f>
        <v>5.2910052910052907E-3</v>
      </c>
      <c r="G96" s="23">
        <f t="shared" ref="G96" si="26">G95/G94</f>
        <v>5.263157894736842E-3</v>
      </c>
      <c r="H96" s="23">
        <f t="shared" ref="H96" si="27">H95/H94</f>
        <v>5.1813471502590676E-3</v>
      </c>
      <c r="I96" s="23">
        <f t="shared" ref="I96" si="28">I95/I94</f>
        <v>5.1813471502590676E-3</v>
      </c>
      <c r="J96" s="23">
        <f t="shared" ref="J96" si="29">J95/J94</f>
        <v>0</v>
      </c>
      <c r="K96" s="23">
        <f t="shared" ref="K96" si="30">K95/K94</f>
        <v>0</v>
      </c>
      <c r="L96" s="23">
        <f t="shared" ref="L96" si="31">L95/L94</f>
        <v>0</v>
      </c>
      <c r="M96" s="23">
        <f t="shared" ref="M96" si="32">M95/M94</f>
        <v>0</v>
      </c>
    </row>
    <row r="97" spans="1:13" ht="18.75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8.75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 ht="18.75" x14ac:dyDescent="0.3">
      <c r="A99" s="80" t="s">
        <v>733</v>
      </c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2"/>
    </row>
    <row r="100" spans="1:13" ht="18.75" x14ac:dyDescent="0.3">
      <c r="A100" s="22"/>
      <c r="B100" s="22" t="s">
        <v>320</v>
      </c>
      <c r="C100" s="22" t="s">
        <v>321</v>
      </c>
      <c r="D100" s="22" t="s">
        <v>322</v>
      </c>
      <c r="E100" s="22" t="s">
        <v>323</v>
      </c>
      <c r="F100" s="22" t="s">
        <v>324</v>
      </c>
      <c r="G100" s="22" t="s">
        <v>325</v>
      </c>
      <c r="H100" s="22" t="s">
        <v>326</v>
      </c>
      <c r="I100" s="22" t="s">
        <v>327</v>
      </c>
      <c r="J100" s="22" t="s">
        <v>328</v>
      </c>
      <c r="K100" s="22" t="s">
        <v>329</v>
      </c>
      <c r="L100" s="22" t="s">
        <v>330</v>
      </c>
      <c r="M100" s="22" t="s">
        <v>331</v>
      </c>
    </row>
    <row r="101" spans="1:13" ht="18.75" x14ac:dyDescent="0.3">
      <c r="A101" s="22" t="s">
        <v>317</v>
      </c>
      <c r="B101" s="22">
        <f t="shared" ref="B101:M101" si="33">B73</f>
        <v>0</v>
      </c>
      <c r="C101" s="22">
        <f t="shared" si="33"/>
        <v>0</v>
      </c>
      <c r="D101" s="22">
        <f t="shared" si="33"/>
        <v>0</v>
      </c>
      <c r="E101" s="22">
        <f t="shared" si="33"/>
        <v>0</v>
      </c>
      <c r="F101" s="22">
        <f t="shared" si="33"/>
        <v>0</v>
      </c>
      <c r="G101" s="22">
        <f t="shared" si="33"/>
        <v>0</v>
      </c>
      <c r="H101" s="22">
        <f t="shared" si="33"/>
        <v>0</v>
      </c>
      <c r="I101" s="22">
        <f t="shared" si="33"/>
        <v>0</v>
      </c>
      <c r="J101" s="22">
        <f t="shared" si="33"/>
        <v>0</v>
      </c>
      <c r="K101" s="22">
        <f t="shared" si="33"/>
        <v>0</v>
      </c>
      <c r="L101" s="22">
        <f t="shared" si="33"/>
        <v>0</v>
      </c>
      <c r="M101" s="22">
        <f t="shared" si="33"/>
        <v>0</v>
      </c>
    </row>
    <row r="102" spans="1:13" ht="18.75" x14ac:dyDescent="0.3">
      <c r="A102" s="22" t="s">
        <v>318</v>
      </c>
      <c r="B102" s="22">
        <f t="shared" ref="B102:M102" si="34">B74</f>
        <v>1281</v>
      </c>
      <c r="C102" s="22">
        <f t="shared" si="34"/>
        <v>1281</v>
      </c>
      <c r="D102" s="22">
        <f t="shared" si="34"/>
        <v>1281</v>
      </c>
      <c r="E102" s="22">
        <f t="shared" si="34"/>
        <v>1281</v>
      </c>
      <c r="F102" s="22">
        <f t="shared" si="34"/>
        <v>1281</v>
      </c>
      <c r="G102" s="22">
        <f t="shared" si="34"/>
        <v>1281</v>
      </c>
      <c r="H102" s="22">
        <f t="shared" si="34"/>
        <v>1281</v>
      </c>
      <c r="I102" s="22">
        <f t="shared" si="34"/>
        <v>1281</v>
      </c>
      <c r="J102" s="22">
        <f t="shared" si="34"/>
        <v>1281</v>
      </c>
      <c r="K102" s="22">
        <f t="shared" si="34"/>
        <v>1281</v>
      </c>
      <c r="L102" s="22">
        <f t="shared" si="34"/>
        <v>1281</v>
      </c>
      <c r="M102" s="22">
        <f t="shared" si="34"/>
        <v>1281</v>
      </c>
    </row>
    <row r="103" spans="1:13" ht="18.75" x14ac:dyDescent="0.3">
      <c r="A103" s="22" t="s">
        <v>319</v>
      </c>
      <c r="B103" s="26">
        <f>B75</f>
        <v>1</v>
      </c>
      <c r="C103" s="26">
        <f t="shared" ref="C103:M103" si="35">C75+B103</f>
        <v>2</v>
      </c>
      <c r="D103" s="26">
        <f t="shared" si="35"/>
        <v>4</v>
      </c>
      <c r="E103" s="26">
        <f t="shared" si="35"/>
        <v>6</v>
      </c>
      <c r="F103" s="26">
        <f t="shared" si="35"/>
        <v>13</v>
      </c>
      <c r="G103" s="26">
        <f t="shared" si="35"/>
        <v>17</v>
      </c>
      <c r="H103" s="26">
        <f t="shared" si="35"/>
        <v>22</v>
      </c>
      <c r="I103" s="26">
        <f t="shared" si="35"/>
        <v>24</v>
      </c>
      <c r="J103" s="26">
        <f t="shared" si="35"/>
        <v>26</v>
      </c>
      <c r="K103" s="26">
        <f t="shared" si="35"/>
        <v>30</v>
      </c>
      <c r="L103" s="26">
        <f t="shared" si="35"/>
        <v>31</v>
      </c>
      <c r="M103" s="26">
        <f t="shared" si="35"/>
        <v>35</v>
      </c>
    </row>
    <row r="104" spans="1:13" ht="18.75" x14ac:dyDescent="0.3">
      <c r="A104" s="22"/>
      <c r="B104" s="27">
        <f>B103/B102</f>
        <v>7.8064012490241998E-4</v>
      </c>
      <c r="C104" s="27">
        <f t="shared" ref="C104:M104" si="36">C103/C102</f>
        <v>1.56128024980484E-3</v>
      </c>
      <c r="D104" s="27">
        <f t="shared" si="36"/>
        <v>3.1225604996096799E-3</v>
      </c>
      <c r="E104" s="27">
        <f t="shared" si="36"/>
        <v>4.6838407494145199E-3</v>
      </c>
      <c r="F104" s="27">
        <f t="shared" si="36"/>
        <v>1.0148321623731461E-2</v>
      </c>
      <c r="G104" s="27">
        <f t="shared" si="36"/>
        <v>1.3270882123341141E-2</v>
      </c>
      <c r="H104" s="27">
        <f t="shared" si="36"/>
        <v>1.7174082747853241E-2</v>
      </c>
      <c r="I104" s="27">
        <f t="shared" si="36"/>
        <v>1.873536299765808E-2</v>
      </c>
      <c r="J104" s="27">
        <f t="shared" si="36"/>
        <v>2.0296643247462921E-2</v>
      </c>
      <c r="K104" s="27">
        <f t="shared" si="36"/>
        <v>2.3419203747072601E-2</v>
      </c>
      <c r="L104" s="27">
        <f t="shared" si="36"/>
        <v>2.4199843871975019E-2</v>
      </c>
      <c r="M104" s="27">
        <f t="shared" si="36"/>
        <v>2.7322404371584699E-2</v>
      </c>
    </row>
    <row r="105" spans="1:13" ht="18.75" x14ac:dyDescent="0.3">
      <c r="A105" s="74" t="s">
        <v>734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</row>
    <row r="106" spans="1:13" ht="18.75" x14ac:dyDescent="0.3">
      <c r="A106" s="28"/>
      <c r="B106" s="22" t="s">
        <v>320</v>
      </c>
      <c r="C106" s="22" t="s">
        <v>321</v>
      </c>
      <c r="D106" s="22" t="s">
        <v>322</v>
      </c>
      <c r="E106" s="22" t="s">
        <v>323</v>
      </c>
      <c r="F106" s="22" t="s">
        <v>324</v>
      </c>
      <c r="G106" s="22" t="s">
        <v>325</v>
      </c>
      <c r="H106" s="22" t="s">
        <v>326</v>
      </c>
      <c r="I106" s="22" t="s">
        <v>327</v>
      </c>
      <c r="J106" s="22" t="s">
        <v>328</v>
      </c>
      <c r="K106" s="22" t="s">
        <v>329</v>
      </c>
      <c r="L106" s="22" t="s">
        <v>330</v>
      </c>
      <c r="M106" s="22" t="s">
        <v>331</v>
      </c>
    </row>
    <row r="107" spans="1:13" ht="18.75" x14ac:dyDescent="0.3">
      <c r="A107" s="28" t="s">
        <v>317</v>
      </c>
      <c r="B107" s="29">
        <f t="shared" ref="B107:M107" si="37">B79</f>
        <v>0</v>
      </c>
      <c r="C107" s="29">
        <f t="shared" si="37"/>
        <v>0</v>
      </c>
      <c r="D107" s="29">
        <f t="shared" si="37"/>
        <v>0</v>
      </c>
      <c r="E107" s="29">
        <f t="shared" si="37"/>
        <v>0</v>
      </c>
      <c r="F107" s="29">
        <f t="shared" si="37"/>
        <v>0</v>
      </c>
      <c r="G107" s="29">
        <f t="shared" si="37"/>
        <v>0</v>
      </c>
      <c r="H107" s="29">
        <f t="shared" si="37"/>
        <v>0</v>
      </c>
      <c r="I107" s="29">
        <f t="shared" si="37"/>
        <v>0</v>
      </c>
      <c r="J107" s="29">
        <f t="shared" si="37"/>
        <v>0</v>
      </c>
      <c r="K107" s="29">
        <f t="shared" si="37"/>
        <v>0</v>
      </c>
      <c r="L107" s="29">
        <f t="shared" si="37"/>
        <v>0</v>
      </c>
      <c r="M107" s="29">
        <f t="shared" si="37"/>
        <v>0</v>
      </c>
    </row>
    <row r="108" spans="1:13" ht="18.75" x14ac:dyDescent="0.3">
      <c r="A108" s="28" t="s">
        <v>318</v>
      </c>
      <c r="B108" s="29">
        <f t="shared" ref="B108:M108" si="38">B80</f>
        <v>180</v>
      </c>
      <c r="C108" s="29">
        <f t="shared" si="38"/>
        <v>180</v>
      </c>
      <c r="D108" s="29">
        <f t="shared" si="38"/>
        <v>180</v>
      </c>
      <c r="E108" s="29">
        <f t="shared" si="38"/>
        <v>180</v>
      </c>
      <c r="F108" s="29">
        <f t="shared" si="38"/>
        <v>180</v>
      </c>
      <c r="G108" s="29">
        <f t="shared" si="38"/>
        <v>180</v>
      </c>
      <c r="H108" s="29">
        <f t="shared" si="38"/>
        <v>180</v>
      </c>
      <c r="I108" s="29">
        <f t="shared" si="38"/>
        <v>180</v>
      </c>
      <c r="J108" s="29">
        <f t="shared" si="38"/>
        <v>180</v>
      </c>
      <c r="K108" s="29">
        <f t="shared" si="38"/>
        <v>180</v>
      </c>
      <c r="L108" s="29">
        <f t="shared" si="38"/>
        <v>180</v>
      </c>
      <c r="M108" s="29">
        <f t="shared" si="38"/>
        <v>180</v>
      </c>
    </row>
    <row r="109" spans="1:13" ht="18.75" x14ac:dyDescent="0.3">
      <c r="A109" s="28" t="s">
        <v>319</v>
      </c>
      <c r="B109" s="29">
        <f>B81</f>
        <v>0</v>
      </c>
      <c r="C109" s="29">
        <f t="shared" ref="C109:M109" si="39">C81+B109</f>
        <v>1</v>
      </c>
      <c r="D109" s="29">
        <f t="shared" si="39"/>
        <v>3</v>
      </c>
      <c r="E109" s="29">
        <f t="shared" si="39"/>
        <v>3</v>
      </c>
      <c r="F109" s="29">
        <f t="shared" si="39"/>
        <v>3</v>
      </c>
      <c r="G109" s="29">
        <f t="shared" si="39"/>
        <v>4</v>
      </c>
      <c r="H109" s="29">
        <f t="shared" si="39"/>
        <v>7</v>
      </c>
      <c r="I109" s="29">
        <f t="shared" si="39"/>
        <v>12</v>
      </c>
      <c r="J109" s="29">
        <f t="shared" si="39"/>
        <v>15</v>
      </c>
      <c r="K109" s="29">
        <f t="shared" si="39"/>
        <v>15</v>
      </c>
      <c r="L109" s="29">
        <f t="shared" si="39"/>
        <v>16</v>
      </c>
      <c r="M109" s="29">
        <f t="shared" si="39"/>
        <v>18</v>
      </c>
    </row>
    <row r="110" spans="1:13" ht="18.75" x14ac:dyDescent="0.3">
      <c r="A110" s="28"/>
      <c r="B110" s="30">
        <f>B109/B108</f>
        <v>0</v>
      </c>
      <c r="C110" s="30">
        <f t="shared" ref="C110:M110" si="40">C109/C108</f>
        <v>5.5555555555555558E-3</v>
      </c>
      <c r="D110" s="30">
        <f t="shared" si="40"/>
        <v>1.6666666666666666E-2</v>
      </c>
      <c r="E110" s="30">
        <f t="shared" si="40"/>
        <v>1.6666666666666666E-2</v>
      </c>
      <c r="F110" s="30">
        <f t="shared" si="40"/>
        <v>1.6666666666666666E-2</v>
      </c>
      <c r="G110" s="30">
        <f t="shared" si="40"/>
        <v>2.2222222222222223E-2</v>
      </c>
      <c r="H110" s="30">
        <f t="shared" si="40"/>
        <v>3.888888888888889E-2</v>
      </c>
      <c r="I110" s="30">
        <f t="shared" si="40"/>
        <v>6.6666666666666666E-2</v>
      </c>
      <c r="J110" s="30">
        <f t="shared" si="40"/>
        <v>8.3333333333333329E-2</v>
      </c>
      <c r="K110" s="30">
        <f t="shared" si="40"/>
        <v>8.3333333333333329E-2</v>
      </c>
      <c r="L110" s="30">
        <f t="shared" si="40"/>
        <v>8.8888888888888892E-2</v>
      </c>
      <c r="M110" s="30">
        <f t="shared" si="40"/>
        <v>0.1</v>
      </c>
    </row>
    <row r="111" spans="1:13" ht="18.75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23.25" x14ac:dyDescent="0.35">
      <c r="A112" s="75" t="s">
        <v>735</v>
      </c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</row>
    <row r="113" spans="1:13" ht="23.25" x14ac:dyDescent="0.35">
      <c r="A113" s="66"/>
      <c r="B113" s="66" t="s">
        <v>320</v>
      </c>
      <c r="C113" s="66" t="s">
        <v>321</v>
      </c>
      <c r="D113" s="66" t="s">
        <v>322</v>
      </c>
      <c r="E113" s="66" t="s">
        <v>323</v>
      </c>
      <c r="F113" s="66" t="s">
        <v>324</v>
      </c>
      <c r="G113" s="66" t="s">
        <v>325</v>
      </c>
      <c r="H113" s="66" t="s">
        <v>326</v>
      </c>
      <c r="I113" s="66" t="s">
        <v>327</v>
      </c>
      <c r="J113" s="66" t="s">
        <v>328</v>
      </c>
      <c r="K113" s="66" t="s">
        <v>329</v>
      </c>
      <c r="L113" s="66" t="s">
        <v>330</v>
      </c>
      <c r="M113" s="66" t="s">
        <v>331</v>
      </c>
    </row>
    <row r="114" spans="1:13" ht="23.25" x14ac:dyDescent="0.35">
      <c r="A114" s="67" t="s">
        <v>317</v>
      </c>
      <c r="B114" s="67">
        <f t="shared" ref="B114:M114" si="41">B86</f>
        <v>2</v>
      </c>
      <c r="C114" s="67">
        <f t="shared" si="41"/>
        <v>0</v>
      </c>
      <c r="D114" s="67">
        <f t="shared" si="41"/>
        <v>2</v>
      </c>
      <c r="E114" s="67">
        <f t="shared" si="41"/>
        <v>2</v>
      </c>
      <c r="F114" s="67">
        <f t="shared" si="41"/>
        <v>3</v>
      </c>
      <c r="G114" s="67">
        <f t="shared" si="41"/>
        <v>1</v>
      </c>
      <c r="H114" s="67">
        <f t="shared" si="41"/>
        <v>3</v>
      </c>
      <c r="I114" s="67">
        <f t="shared" si="41"/>
        <v>0</v>
      </c>
      <c r="J114" s="67">
        <f t="shared" si="41"/>
        <v>0</v>
      </c>
      <c r="K114" s="67">
        <f t="shared" si="41"/>
        <v>0</v>
      </c>
      <c r="L114" s="67">
        <f t="shared" si="41"/>
        <v>0</v>
      </c>
      <c r="M114" s="67">
        <f t="shared" si="41"/>
        <v>0</v>
      </c>
    </row>
    <row r="115" spans="1:13" ht="23.25" x14ac:dyDescent="0.35">
      <c r="A115" s="67" t="s">
        <v>318</v>
      </c>
      <c r="B115" s="67">
        <f t="shared" ref="B115:M115" si="42">B87</f>
        <v>1283</v>
      </c>
      <c r="C115" s="67">
        <f t="shared" si="42"/>
        <v>1283</v>
      </c>
      <c r="D115" s="67">
        <f t="shared" si="42"/>
        <v>1285</v>
      </c>
      <c r="E115" s="67">
        <f t="shared" si="42"/>
        <v>1287</v>
      </c>
      <c r="F115" s="67">
        <f t="shared" si="42"/>
        <v>1290</v>
      </c>
      <c r="G115" s="67">
        <f t="shared" si="42"/>
        <v>1291</v>
      </c>
      <c r="H115" s="67">
        <f t="shared" si="42"/>
        <v>1294</v>
      </c>
      <c r="I115" s="67">
        <f t="shared" si="42"/>
        <v>1294</v>
      </c>
      <c r="J115" s="67">
        <f t="shared" si="42"/>
        <v>1294</v>
      </c>
      <c r="K115" s="67">
        <f t="shared" si="42"/>
        <v>1294</v>
      </c>
      <c r="L115" s="67">
        <f t="shared" si="42"/>
        <v>1294</v>
      </c>
      <c r="M115" s="67">
        <f t="shared" si="42"/>
        <v>1294</v>
      </c>
    </row>
    <row r="116" spans="1:13" ht="23.25" x14ac:dyDescent="0.35">
      <c r="A116" s="67" t="s">
        <v>319</v>
      </c>
      <c r="B116" s="67">
        <f>B88</f>
        <v>6</v>
      </c>
      <c r="C116" s="67">
        <f t="shared" ref="C116:I116" si="43">B116+C88</f>
        <v>13</v>
      </c>
      <c r="D116" s="67">
        <f t="shared" si="43"/>
        <v>21</v>
      </c>
      <c r="E116" s="67">
        <f t="shared" si="43"/>
        <v>24</v>
      </c>
      <c r="F116" s="67">
        <f t="shared" si="43"/>
        <v>24</v>
      </c>
      <c r="G116" s="67">
        <f t="shared" si="43"/>
        <v>25</v>
      </c>
      <c r="H116" s="67">
        <f t="shared" si="43"/>
        <v>28</v>
      </c>
      <c r="I116" s="67">
        <f t="shared" si="43"/>
        <v>28</v>
      </c>
      <c r="J116" s="67"/>
      <c r="K116" s="67"/>
      <c r="L116" s="67"/>
      <c r="M116" s="67"/>
    </row>
    <row r="117" spans="1:13" ht="23.25" x14ac:dyDescent="0.35">
      <c r="A117" s="67"/>
      <c r="B117" s="68">
        <f>B116/B115</f>
        <v>4.6765393608729543E-3</v>
      </c>
      <c r="C117" s="68">
        <f t="shared" ref="C117:M117" si="44">C116/C115</f>
        <v>1.0132501948558068E-2</v>
      </c>
      <c r="D117" s="68">
        <f t="shared" si="44"/>
        <v>1.6342412451361869E-2</v>
      </c>
      <c r="E117" s="68">
        <f t="shared" si="44"/>
        <v>1.8648018648018648E-2</v>
      </c>
      <c r="F117" s="68">
        <f t="shared" si="44"/>
        <v>1.8604651162790697E-2</v>
      </c>
      <c r="G117" s="68">
        <f t="shared" si="44"/>
        <v>1.9364833462432222E-2</v>
      </c>
      <c r="H117" s="68">
        <f t="shared" si="44"/>
        <v>2.1638330757341576E-2</v>
      </c>
      <c r="I117" s="68">
        <f t="shared" si="44"/>
        <v>2.1638330757341576E-2</v>
      </c>
      <c r="J117" s="68">
        <f t="shared" si="44"/>
        <v>0</v>
      </c>
      <c r="K117" s="68">
        <f t="shared" si="44"/>
        <v>0</v>
      </c>
      <c r="L117" s="68">
        <f t="shared" si="44"/>
        <v>0</v>
      </c>
      <c r="M117" s="68">
        <f t="shared" si="44"/>
        <v>0</v>
      </c>
    </row>
    <row r="118" spans="1:13" ht="18.75" x14ac:dyDescent="0.3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 spans="1:13" ht="23.25" x14ac:dyDescent="0.35">
      <c r="A119" s="76" t="s">
        <v>736</v>
      </c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</row>
    <row r="120" spans="1:13" ht="23.25" x14ac:dyDescent="0.35">
      <c r="A120" s="69"/>
      <c r="B120" s="69" t="s">
        <v>320</v>
      </c>
      <c r="C120" s="69" t="s">
        <v>321</v>
      </c>
      <c r="D120" s="69" t="s">
        <v>322</v>
      </c>
      <c r="E120" s="69" t="s">
        <v>323</v>
      </c>
      <c r="F120" s="69" t="s">
        <v>324</v>
      </c>
      <c r="G120" s="69" t="s">
        <v>325</v>
      </c>
      <c r="H120" s="69" t="s">
        <v>326</v>
      </c>
      <c r="I120" s="69" t="s">
        <v>327</v>
      </c>
      <c r="J120" s="69" t="s">
        <v>328</v>
      </c>
      <c r="K120" s="69" t="s">
        <v>329</v>
      </c>
      <c r="L120" s="69" t="s">
        <v>330</v>
      </c>
      <c r="M120" s="69" t="s">
        <v>331</v>
      </c>
    </row>
    <row r="121" spans="1:13" ht="23.25" x14ac:dyDescent="0.35">
      <c r="A121" s="69" t="s">
        <v>317</v>
      </c>
      <c r="B121" s="69">
        <f t="shared" ref="B121:M121" si="45">B93</f>
        <v>2</v>
      </c>
      <c r="C121" s="69">
        <f t="shared" si="45"/>
        <v>0</v>
      </c>
      <c r="D121" s="69">
        <f t="shared" si="45"/>
        <v>2</v>
      </c>
      <c r="E121" s="69">
        <f t="shared" si="45"/>
        <v>2</v>
      </c>
      <c r="F121" s="69">
        <f t="shared" si="45"/>
        <v>3</v>
      </c>
      <c r="G121" s="69">
        <f t="shared" si="45"/>
        <v>1</v>
      </c>
      <c r="H121" s="69">
        <f t="shared" si="45"/>
        <v>3</v>
      </c>
      <c r="I121" s="69">
        <f t="shared" si="45"/>
        <v>0</v>
      </c>
      <c r="J121" s="69">
        <f t="shared" si="45"/>
        <v>0</v>
      </c>
      <c r="K121" s="69">
        <f t="shared" si="45"/>
        <v>0</v>
      </c>
      <c r="L121" s="69">
        <f t="shared" si="45"/>
        <v>0</v>
      </c>
      <c r="M121" s="69">
        <f t="shared" si="45"/>
        <v>0</v>
      </c>
    </row>
    <row r="122" spans="1:13" ht="23.25" x14ac:dyDescent="0.35">
      <c r="A122" s="69" t="s">
        <v>318</v>
      </c>
      <c r="B122" s="69">
        <f t="shared" ref="B122:M122" si="46">B94</f>
        <v>182</v>
      </c>
      <c r="C122" s="69">
        <f t="shared" si="46"/>
        <v>182</v>
      </c>
      <c r="D122" s="69">
        <f t="shared" si="46"/>
        <v>184</v>
      </c>
      <c r="E122" s="69">
        <f t="shared" si="46"/>
        <v>186</v>
      </c>
      <c r="F122" s="69">
        <f t="shared" si="46"/>
        <v>189</v>
      </c>
      <c r="G122" s="69">
        <f t="shared" si="46"/>
        <v>190</v>
      </c>
      <c r="H122" s="69">
        <f t="shared" si="46"/>
        <v>193</v>
      </c>
      <c r="I122" s="69">
        <f t="shared" si="46"/>
        <v>193</v>
      </c>
      <c r="J122" s="69">
        <f t="shared" si="46"/>
        <v>193</v>
      </c>
      <c r="K122" s="69">
        <f t="shared" si="46"/>
        <v>193</v>
      </c>
      <c r="L122" s="69">
        <f t="shared" si="46"/>
        <v>193</v>
      </c>
      <c r="M122" s="69">
        <f t="shared" si="46"/>
        <v>193</v>
      </c>
    </row>
    <row r="123" spans="1:13" ht="23.25" x14ac:dyDescent="0.35">
      <c r="A123" s="69" t="s">
        <v>319</v>
      </c>
      <c r="B123" s="70">
        <f>B95</f>
        <v>1</v>
      </c>
      <c r="C123" s="70">
        <f t="shared" ref="C123:I123" si="47">B123+C95</f>
        <v>2</v>
      </c>
      <c r="D123" s="70">
        <f t="shared" si="47"/>
        <v>3</v>
      </c>
      <c r="E123" s="70">
        <f t="shared" si="47"/>
        <v>5</v>
      </c>
      <c r="F123" s="70">
        <f t="shared" si="47"/>
        <v>6</v>
      </c>
      <c r="G123" s="70">
        <f t="shared" si="47"/>
        <v>7</v>
      </c>
      <c r="H123" s="70">
        <f t="shared" si="47"/>
        <v>8</v>
      </c>
      <c r="I123" s="70">
        <f t="shared" si="47"/>
        <v>9</v>
      </c>
      <c r="J123" s="70"/>
      <c r="K123" s="70"/>
      <c r="L123" s="70"/>
      <c r="M123" s="70"/>
    </row>
    <row r="124" spans="1:13" s="7" customFormat="1" ht="23.25" x14ac:dyDescent="0.35">
      <c r="A124" s="70"/>
      <c r="B124" s="70">
        <f>B123/B122</f>
        <v>5.4945054945054949E-3</v>
      </c>
      <c r="C124" s="70">
        <f t="shared" ref="C124:M124" si="48">C123/C122</f>
        <v>1.098901098901099E-2</v>
      </c>
      <c r="D124" s="70">
        <f t="shared" si="48"/>
        <v>1.6304347826086956E-2</v>
      </c>
      <c r="E124" s="70">
        <f t="shared" si="48"/>
        <v>2.6881720430107527E-2</v>
      </c>
      <c r="F124" s="70">
        <f t="shared" si="48"/>
        <v>3.1746031746031744E-2</v>
      </c>
      <c r="G124" s="70">
        <f t="shared" si="48"/>
        <v>3.6842105263157891E-2</v>
      </c>
      <c r="H124" s="70">
        <f t="shared" si="48"/>
        <v>4.145077720207254E-2</v>
      </c>
      <c r="I124" s="70">
        <f t="shared" si="48"/>
        <v>4.6632124352331605E-2</v>
      </c>
      <c r="J124" s="70">
        <f t="shared" si="48"/>
        <v>0</v>
      </c>
      <c r="K124" s="70">
        <f t="shared" si="48"/>
        <v>0</v>
      </c>
      <c r="L124" s="70">
        <f t="shared" si="48"/>
        <v>0</v>
      </c>
      <c r="M124" s="70">
        <f t="shared" si="48"/>
        <v>0</v>
      </c>
    </row>
  </sheetData>
  <mergeCells count="10">
    <mergeCell ref="A105:M105"/>
    <mergeCell ref="A112:M112"/>
    <mergeCell ref="A119:M119"/>
    <mergeCell ref="A71:M71"/>
    <mergeCell ref="A77:M77"/>
    <mergeCell ref="A84:M84"/>
    <mergeCell ref="A91:M91"/>
    <mergeCell ref="A99:M99"/>
    <mergeCell ref="A83:M83"/>
    <mergeCell ref="A90:M90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B6B8-F600-442B-97EE-F20C3D96C7A0}">
  <dimension ref="A1:I44"/>
  <sheetViews>
    <sheetView topLeftCell="A12" workbookViewId="0">
      <selection activeCell="C50" sqref="C50"/>
    </sheetView>
  </sheetViews>
  <sheetFormatPr defaultRowHeight="15" x14ac:dyDescent="0.25"/>
  <cols>
    <col min="1" max="1" width="20" customWidth="1"/>
    <col min="2" max="7" width="12" customWidth="1"/>
    <col min="8" max="8" width="12" style="7" customWidth="1"/>
    <col min="9" max="9" width="12" customWidth="1"/>
  </cols>
  <sheetData>
    <row r="1" spans="1:9" ht="15.75" x14ac:dyDescent="0.25">
      <c r="A1" s="39" t="s">
        <v>1384</v>
      </c>
    </row>
    <row r="2" spans="1:9" x14ac:dyDescent="0.25">
      <c r="A2" t="s">
        <v>1383</v>
      </c>
    </row>
    <row r="4" spans="1:9" x14ac:dyDescent="0.25">
      <c r="A4" s="37" t="s">
        <v>1382</v>
      </c>
    </row>
    <row r="5" spans="1:9" ht="26.25" x14ac:dyDescent="0.25">
      <c r="A5" s="36" t="s">
        <v>1379</v>
      </c>
      <c r="B5" s="36" t="s">
        <v>1378</v>
      </c>
      <c r="C5" s="36" t="s">
        <v>1377</v>
      </c>
      <c r="D5" s="36" t="s">
        <v>1376</v>
      </c>
      <c r="E5" s="36" t="s">
        <v>1375</v>
      </c>
      <c r="F5" s="36" t="s">
        <v>1374</v>
      </c>
      <c r="G5" s="36" t="s">
        <v>1373</v>
      </c>
      <c r="H5" s="55" t="s">
        <v>1372</v>
      </c>
      <c r="I5" s="36" t="s">
        <v>1371</v>
      </c>
    </row>
    <row r="6" spans="1:9" x14ac:dyDescent="0.25">
      <c r="A6" s="33" t="s">
        <v>996</v>
      </c>
      <c r="B6" s="33">
        <v>11</v>
      </c>
      <c r="C6" s="33">
        <v>7</v>
      </c>
      <c r="D6" s="33">
        <v>4</v>
      </c>
      <c r="E6" s="33">
        <v>0</v>
      </c>
      <c r="F6" s="35">
        <v>0.63636363636363635</v>
      </c>
      <c r="G6" s="33">
        <v>7</v>
      </c>
      <c r="H6" s="34">
        <v>1.4513618677042801</v>
      </c>
      <c r="I6" s="33">
        <v>148</v>
      </c>
    </row>
    <row r="7" spans="1:9" x14ac:dyDescent="0.25">
      <c r="A7" s="33" t="s">
        <v>1040</v>
      </c>
      <c r="B7" s="33">
        <v>7</v>
      </c>
      <c r="C7" s="33">
        <v>6</v>
      </c>
      <c r="D7" s="33">
        <v>1</v>
      </c>
      <c r="E7" s="33">
        <v>0</v>
      </c>
      <c r="F7" s="35">
        <v>0.8571428571428571</v>
      </c>
      <c r="G7" s="33">
        <v>0</v>
      </c>
      <c r="H7" s="34">
        <v>0.24725274725274729</v>
      </c>
      <c r="I7" s="33">
        <v>3</v>
      </c>
    </row>
    <row r="8" spans="1:9" x14ac:dyDescent="0.25">
      <c r="A8" s="33" t="s">
        <v>1369</v>
      </c>
      <c r="B8" s="33">
        <v>7</v>
      </c>
      <c r="C8" s="33">
        <v>5</v>
      </c>
      <c r="D8" s="33">
        <v>2</v>
      </c>
      <c r="E8" s="33">
        <v>0</v>
      </c>
      <c r="F8" s="35">
        <v>0.7142857142857143</v>
      </c>
      <c r="G8" s="33">
        <v>4</v>
      </c>
      <c r="H8" s="34">
        <v>0.76923076923076927</v>
      </c>
      <c r="I8" s="33">
        <v>53</v>
      </c>
    </row>
    <row r="9" spans="1:9" x14ac:dyDescent="0.25">
      <c r="A9" s="33" t="s">
        <v>919</v>
      </c>
      <c r="B9" s="33">
        <v>7</v>
      </c>
      <c r="C9" s="33">
        <v>4</v>
      </c>
      <c r="D9" s="33">
        <v>3</v>
      </c>
      <c r="E9" s="33">
        <v>0</v>
      </c>
      <c r="F9" s="35">
        <v>0.5714285714285714</v>
      </c>
      <c r="G9" s="33">
        <v>0</v>
      </c>
      <c r="H9" s="34">
        <v>4.1318681318681323</v>
      </c>
      <c r="I9" s="33">
        <v>232</v>
      </c>
    </row>
    <row r="10" spans="1:9" x14ac:dyDescent="0.25">
      <c r="A10" s="33" t="s">
        <v>1368</v>
      </c>
      <c r="B10" s="33">
        <v>6</v>
      </c>
      <c r="C10" s="33">
        <v>5</v>
      </c>
      <c r="D10" s="33">
        <v>1</v>
      </c>
      <c r="E10" s="33">
        <v>0</v>
      </c>
      <c r="F10" s="35">
        <v>0.83333333333333337</v>
      </c>
      <c r="G10" s="33">
        <v>13</v>
      </c>
      <c r="H10" s="34">
        <v>0.50641025641025639</v>
      </c>
      <c r="I10" s="33">
        <v>12</v>
      </c>
    </row>
    <row r="11" spans="1:9" x14ac:dyDescent="0.25">
      <c r="A11" s="33" t="s">
        <v>936</v>
      </c>
      <c r="B11" s="33">
        <v>6</v>
      </c>
      <c r="C11" s="33">
        <v>5</v>
      </c>
      <c r="D11" s="33">
        <v>1</v>
      </c>
      <c r="E11" s="33">
        <v>1</v>
      </c>
      <c r="F11" s="35">
        <v>0.83333333333333337</v>
      </c>
      <c r="G11" s="33">
        <v>2</v>
      </c>
      <c r="H11" s="34">
        <v>3.275641025641026</v>
      </c>
      <c r="I11" s="33">
        <v>468</v>
      </c>
    </row>
    <row r="12" spans="1:9" x14ac:dyDescent="0.25">
      <c r="A12" s="33" t="s">
        <v>1370</v>
      </c>
      <c r="B12" s="33">
        <v>6</v>
      </c>
      <c r="C12" s="33">
        <v>4</v>
      </c>
      <c r="D12" s="33">
        <v>2</v>
      </c>
      <c r="E12" s="33">
        <v>0</v>
      </c>
      <c r="F12" s="35">
        <v>0.66666666666666663</v>
      </c>
      <c r="G12" s="33">
        <v>23</v>
      </c>
      <c r="H12" s="34">
        <v>1.083333333333333</v>
      </c>
      <c r="I12" s="33">
        <v>59</v>
      </c>
    </row>
    <row r="13" spans="1:9" x14ac:dyDescent="0.25">
      <c r="A13" s="33" t="s">
        <v>890</v>
      </c>
      <c r="B13" s="33">
        <v>6</v>
      </c>
      <c r="C13" s="33">
        <v>3</v>
      </c>
      <c r="D13" s="33">
        <v>3</v>
      </c>
      <c r="E13" s="33">
        <v>0</v>
      </c>
      <c r="F13" s="35">
        <v>0.5</v>
      </c>
      <c r="G13" s="33">
        <v>35</v>
      </c>
      <c r="H13" s="34">
        <v>2.442307692307693</v>
      </c>
      <c r="I13" s="33">
        <v>236</v>
      </c>
    </row>
    <row r="14" spans="1:9" x14ac:dyDescent="0.25">
      <c r="A14" s="33" t="s">
        <v>876</v>
      </c>
      <c r="B14" s="33">
        <v>3</v>
      </c>
      <c r="C14" s="33">
        <v>1</v>
      </c>
      <c r="D14" s="33">
        <v>2</v>
      </c>
      <c r="E14" s="33">
        <v>0</v>
      </c>
      <c r="F14" s="35">
        <v>0.33333333333333331</v>
      </c>
      <c r="G14" s="33">
        <v>74</v>
      </c>
      <c r="H14" s="34">
        <v>6.5166666666666666</v>
      </c>
      <c r="I14" s="33">
        <v>308</v>
      </c>
    </row>
    <row r="15" spans="1:9" x14ac:dyDescent="0.25">
      <c r="A15" s="33" t="s">
        <v>1366</v>
      </c>
      <c r="B15" s="33">
        <v>1</v>
      </c>
      <c r="C15" s="33">
        <v>1</v>
      </c>
      <c r="D15" s="33">
        <v>0</v>
      </c>
      <c r="E15" s="33">
        <v>0</v>
      </c>
      <c r="F15" s="35">
        <v>1</v>
      </c>
      <c r="G15" s="33">
        <v>1</v>
      </c>
      <c r="H15" s="34">
        <v>3.8461538461538457E-2</v>
      </c>
      <c r="I15" s="33">
        <v>0</v>
      </c>
    </row>
    <row r="16" spans="1:9" x14ac:dyDescent="0.25">
      <c r="A16" s="31" t="s">
        <v>1365</v>
      </c>
      <c r="B16" s="31">
        <v>60</v>
      </c>
      <c r="C16" s="31">
        <v>41</v>
      </c>
      <c r="D16" s="31">
        <v>19</v>
      </c>
      <c r="E16" s="31">
        <v>1</v>
      </c>
      <c r="F16" s="32">
        <v>0.68333333333333335</v>
      </c>
      <c r="G16" s="31">
        <v>6</v>
      </c>
      <c r="H16" s="38">
        <v>1.878387309980172</v>
      </c>
      <c r="I16" s="31">
        <v>468</v>
      </c>
    </row>
    <row r="18" spans="1:9" x14ac:dyDescent="0.25">
      <c r="A18" s="37" t="s">
        <v>1381</v>
      </c>
    </row>
    <row r="19" spans="1:9" ht="26.25" x14ac:dyDescent="0.25">
      <c r="A19" s="36" t="s">
        <v>1379</v>
      </c>
      <c r="B19" s="36" t="s">
        <v>1378</v>
      </c>
      <c r="C19" s="36" t="s">
        <v>1377</v>
      </c>
      <c r="D19" s="36" t="s">
        <v>1376</v>
      </c>
      <c r="E19" s="36" t="s">
        <v>1375</v>
      </c>
      <c r="F19" s="36" t="s">
        <v>1374</v>
      </c>
      <c r="G19" s="36" t="s">
        <v>1373</v>
      </c>
      <c r="H19" s="55" t="s">
        <v>1372</v>
      </c>
      <c r="I19" s="36" t="s">
        <v>1371</v>
      </c>
    </row>
    <row r="20" spans="1:9" x14ac:dyDescent="0.25">
      <c r="A20" s="33" t="s">
        <v>936</v>
      </c>
      <c r="B20" s="33">
        <v>13</v>
      </c>
      <c r="C20" s="33">
        <v>11</v>
      </c>
      <c r="D20" s="33">
        <v>2</v>
      </c>
      <c r="E20" s="33">
        <v>0</v>
      </c>
      <c r="F20" s="35">
        <v>0.84615384615384603</v>
      </c>
      <c r="G20" s="33">
        <v>1</v>
      </c>
      <c r="H20" s="34">
        <v>0.43122676579925651</v>
      </c>
      <c r="I20" s="33">
        <v>36</v>
      </c>
    </row>
    <row r="21" spans="1:9" x14ac:dyDescent="0.25">
      <c r="A21" s="33" t="s">
        <v>919</v>
      </c>
      <c r="B21" s="33">
        <v>13</v>
      </c>
      <c r="C21" s="33">
        <v>10</v>
      </c>
      <c r="D21" s="33">
        <v>3</v>
      </c>
      <c r="E21" s="33">
        <v>0</v>
      </c>
      <c r="F21" s="35">
        <v>0.76923076923076927</v>
      </c>
      <c r="G21" s="33">
        <v>1</v>
      </c>
      <c r="H21" s="34">
        <v>1.0132013201320129</v>
      </c>
      <c r="I21" s="33">
        <v>87</v>
      </c>
    </row>
    <row r="22" spans="1:9" x14ac:dyDescent="0.25">
      <c r="A22" s="33" t="s">
        <v>996</v>
      </c>
      <c r="B22" s="33">
        <v>12</v>
      </c>
      <c r="C22" s="33">
        <v>7</v>
      </c>
      <c r="D22" s="33">
        <v>5</v>
      </c>
      <c r="E22" s="33">
        <v>1</v>
      </c>
      <c r="F22" s="35">
        <v>0.58333333333333337</v>
      </c>
      <c r="G22" s="33">
        <v>10</v>
      </c>
      <c r="H22" s="34">
        <v>1.1840796019900499</v>
      </c>
      <c r="I22" s="33">
        <v>59</v>
      </c>
    </row>
    <row r="23" spans="1:9" x14ac:dyDescent="0.25">
      <c r="A23" s="33" t="s">
        <v>890</v>
      </c>
      <c r="B23" s="33">
        <v>11</v>
      </c>
      <c r="C23" s="33">
        <v>7</v>
      </c>
      <c r="D23" s="33">
        <v>4</v>
      </c>
      <c r="E23" s="33">
        <v>1</v>
      </c>
      <c r="F23" s="35">
        <v>0.63636363636363635</v>
      </c>
      <c r="G23" s="33">
        <v>1</v>
      </c>
      <c r="H23" s="34">
        <v>1.75</v>
      </c>
      <c r="I23" s="33">
        <v>100</v>
      </c>
    </row>
    <row r="24" spans="1:9" x14ac:dyDescent="0.25">
      <c r="A24" s="33" t="s">
        <v>876</v>
      </c>
      <c r="B24" s="33">
        <v>8</v>
      </c>
      <c r="C24" s="33">
        <v>2</v>
      </c>
      <c r="D24" s="33">
        <v>6</v>
      </c>
      <c r="E24" s="33">
        <v>2</v>
      </c>
      <c r="F24" s="35">
        <v>0.25</v>
      </c>
      <c r="G24" s="33">
        <v>67</v>
      </c>
      <c r="H24" s="34">
        <v>2.2473684210526321</v>
      </c>
      <c r="I24" s="33">
        <v>84</v>
      </c>
    </row>
    <row r="25" spans="1:9" x14ac:dyDescent="0.25">
      <c r="A25" s="33" t="s">
        <v>1370</v>
      </c>
      <c r="B25" s="33">
        <v>6</v>
      </c>
      <c r="C25" s="33">
        <v>3</v>
      </c>
      <c r="D25" s="33">
        <v>3</v>
      </c>
      <c r="E25" s="33">
        <v>0</v>
      </c>
      <c r="F25" s="35">
        <v>0.5</v>
      </c>
      <c r="G25" s="33">
        <v>38</v>
      </c>
      <c r="H25" s="34">
        <v>1.956521739130435</v>
      </c>
      <c r="I25" s="33">
        <v>32</v>
      </c>
    </row>
    <row r="26" spans="1:9" x14ac:dyDescent="0.25">
      <c r="A26" s="33" t="s">
        <v>1040</v>
      </c>
      <c r="B26" s="33">
        <v>5</v>
      </c>
      <c r="C26" s="33">
        <v>5</v>
      </c>
      <c r="D26" s="33">
        <v>0</v>
      </c>
      <c r="E26" s="33">
        <v>0</v>
      </c>
      <c r="F26" s="35">
        <v>1</v>
      </c>
      <c r="G26" s="33">
        <v>8</v>
      </c>
      <c r="H26" s="34">
        <v>0.25892857142857151</v>
      </c>
      <c r="I26" s="33">
        <v>0</v>
      </c>
    </row>
    <row r="27" spans="1:9" x14ac:dyDescent="0.25">
      <c r="A27" s="33" t="s">
        <v>1369</v>
      </c>
      <c r="B27" s="33">
        <v>2</v>
      </c>
      <c r="C27" s="33">
        <v>1</v>
      </c>
      <c r="D27" s="33">
        <v>1</v>
      </c>
      <c r="E27" s="33">
        <v>0</v>
      </c>
      <c r="F27" s="35">
        <v>0.5</v>
      </c>
      <c r="G27" s="33">
        <v>87</v>
      </c>
      <c r="H27" s="34">
        <v>3.7826086956521738</v>
      </c>
      <c r="I27" s="33">
        <v>72</v>
      </c>
    </row>
    <row r="28" spans="1:9" x14ac:dyDescent="0.25">
      <c r="A28" s="33" t="s">
        <v>1367</v>
      </c>
      <c r="B28" s="33">
        <v>1</v>
      </c>
      <c r="C28" s="33">
        <v>1</v>
      </c>
      <c r="D28" s="33">
        <v>0</v>
      </c>
      <c r="E28" s="33">
        <v>0</v>
      </c>
      <c r="F28" s="35">
        <v>1</v>
      </c>
      <c r="G28" s="33">
        <v>14</v>
      </c>
      <c r="H28" s="34">
        <v>0.53846153846153844</v>
      </c>
      <c r="I28" s="33">
        <v>0</v>
      </c>
    </row>
    <row r="29" spans="1:9" hidden="1" x14ac:dyDescent="0.25">
      <c r="A29" s="31" t="s">
        <v>1365</v>
      </c>
      <c r="B29" s="31">
        <v>71</v>
      </c>
      <c r="C29" s="31">
        <v>47</v>
      </c>
      <c r="D29" s="31">
        <v>24</v>
      </c>
      <c r="E29" s="31">
        <v>4</v>
      </c>
      <c r="F29" s="32">
        <v>0.6619718309859155</v>
      </c>
      <c r="G29" s="31">
        <v>4</v>
      </c>
      <c r="H29" s="38">
        <v>1.2300070771408349</v>
      </c>
      <c r="I29" s="31">
        <v>100</v>
      </c>
    </row>
    <row r="31" spans="1:9" x14ac:dyDescent="0.25">
      <c r="A31" s="37" t="s">
        <v>1380</v>
      </c>
    </row>
    <row r="32" spans="1:9" ht="26.25" x14ac:dyDescent="0.25">
      <c r="A32" s="36" t="s">
        <v>1379</v>
      </c>
      <c r="B32" s="36" t="s">
        <v>1378</v>
      </c>
      <c r="C32" s="36" t="s">
        <v>1377</v>
      </c>
      <c r="D32" s="36" t="s">
        <v>1376</v>
      </c>
      <c r="E32" s="36" t="s">
        <v>1375</v>
      </c>
      <c r="F32" s="36" t="s">
        <v>1374</v>
      </c>
      <c r="G32" s="36" t="s">
        <v>1373</v>
      </c>
      <c r="H32" s="55" t="s">
        <v>1372</v>
      </c>
      <c r="I32" s="36" t="s">
        <v>1371</v>
      </c>
    </row>
    <row r="33" spans="1:9" x14ac:dyDescent="0.25">
      <c r="A33" s="33" t="s">
        <v>996</v>
      </c>
      <c r="B33" s="33">
        <v>23</v>
      </c>
      <c r="C33" s="33">
        <v>14</v>
      </c>
      <c r="D33" s="33">
        <v>9</v>
      </c>
      <c r="E33" s="33">
        <v>1</v>
      </c>
      <c r="F33" s="35">
        <v>0.60869565217391308</v>
      </c>
      <c r="G33" s="33">
        <v>9</v>
      </c>
      <c r="H33" s="34">
        <v>1.3340611353711791</v>
      </c>
      <c r="I33" s="33">
        <v>148</v>
      </c>
    </row>
    <row r="34" spans="1:9" x14ac:dyDescent="0.25">
      <c r="A34" s="33" t="s">
        <v>919</v>
      </c>
      <c r="B34" s="33">
        <v>20</v>
      </c>
      <c r="C34" s="33">
        <v>14</v>
      </c>
      <c r="D34" s="33">
        <v>6</v>
      </c>
      <c r="E34" s="33">
        <v>0</v>
      </c>
      <c r="F34" s="35">
        <v>0.7</v>
      </c>
      <c r="G34" s="33">
        <v>1</v>
      </c>
      <c r="H34" s="34">
        <v>2.183505154639175</v>
      </c>
      <c r="I34" s="33">
        <v>232</v>
      </c>
    </row>
    <row r="35" spans="1:9" x14ac:dyDescent="0.25">
      <c r="A35" s="33" t="s">
        <v>936</v>
      </c>
      <c r="B35" s="33">
        <v>19</v>
      </c>
      <c r="C35" s="33">
        <v>16</v>
      </c>
      <c r="D35" s="33">
        <v>3</v>
      </c>
      <c r="E35" s="33">
        <v>1</v>
      </c>
      <c r="F35" s="35">
        <v>0.84210526315789469</v>
      </c>
      <c r="G35" s="33">
        <v>1</v>
      </c>
      <c r="H35" s="34">
        <v>1.4752941176470591</v>
      </c>
      <c r="I35" s="33">
        <v>468</v>
      </c>
    </row>
    <row r="36" spans="1:9" x14ac:dyDescent="0.25">
      <c r="A36" s="33" t="s">
        <v>890</v>
      </c>
      <c r="B36" s="33">
        <v>17</v>
      </c>
      <c r="C36" s="33">
        <v>10</v>
      </c>
      <c r="D36" s="33">
        <v>7</v>
      </c>
      <c r="E36" s="33">
        <v>1</v>
      </c>
      <c r="F36" s="35">
        <v>0.58823529411764708</v>
      </c>
      <c r="G36" s="33">
        <v>1</v>
      </c>
      <c r="H36" s="34">
        <v>2.037234042553191</v>
      </c>
      <c r="I36" s="33">
        <v>236</v>
      </c>
    </row>
    <row r="37" spans="1:9" x14ac:dyDescent="0.25">
      <c r="A37" s="33" t="s">
        <v>1040</v>
      </c>
      <c r="B37" s="33">
        <v>12</v>
      </c>
      <c r="C37" s="33">
        <v>11</v>
      </c>
      <c r="D37" s="33">
        <v>1</v>
      </c>
      <c r="E37" s="33">
        <v>0</v>
      </c>
      <c r="F37" s="35">
        <v>0.91666666666666663</v>
      </c>
      <c r="G37" s="33">
        <v>1</v>
      </c>
      <c r="H37" s="34">
        <v>0.25170068027210879</v>
      </c>
      <c r="I37" s="33">
        <v>3</v>
      </c>
    </row>
    <row r="38" spans="1:9" x14ac:dyDescent="0.25">
      <c r="A38" s="33" t="s">
        <v>1370</v>
      </c>
      <c r="B38" s="33">
        <v>12</v>
      </c>
      <c r="C38" s="33">
        <v>7</v>
      </c>
      <c r="D38" s="33">
        <v>5</v>
      </c>
      <c r="E38" s="33">
        <v>0</v>
      </c>
      <c r="F38" s="35">
        <v>0.58333333333333337</v>
      </c>
      <c r="G38" s="33">
        <v>23</v>
      </c>
      <c r="H38" s="34">
        <v>1.3511111111111109</v>
      </c>
      <c r="I38" s="33">
        <v>59</v>
      </c>
    </row>
    <row r="39" spans="1:9" x14ac:dyDescent="0.25">
      <c r="A39" s="33" t="s">
        <v>876</v>
      </c>
      <c r="B39" s="33">
        <v>11</v>
      </c>
      <c r="C39" s="33">
        <v>3</v>
      </c>
      <c r="D39" s="33">
        <v>8</v>
      </c>
      <c r="E39" s="33">
        <v>2</v>
      </c>
      <c r="F39" s="35">
        <v>0.27272727272727271</v>
      </c>
      <c r="G39" s="33">
        <v>67</v>
      </c>
      <c r="H39" s="34">
        <v>3.2719999999999998</v>
      </c>
      <c r="I39" s="33">
        <v>308</v>
      </c>
    </row>
    <row r="40" spans="1:9" x14ac:dyDescent="0.25">
      <c r="A40" s="33" t="s">
        <v>1369</v>
      </c>
      <c r="B40" s="33">
        <v>9</v>
      </c>
      <c r="C40" s="33">
        <v>6</v>
      </c>
      <c r="D40" s="33">
        <v>3</v>
      </c>
      <c r="E40" s="33">
        <v>0</v>
      </c>
      <c r="F40" s="35">
        <v>0.66666666666666663</v>
      </c>
      <c r="G40" s="33">
        <v>4</v>
      </c>
      <c r="H40" s="34">
        <v>1.107317073170732</v>
      </c>
      <c r="I40" s="33">
        <v>72</v>
      </c>
    </row>
    <row r="41" spans="1:9" x14ac:dyDescent="0.25">
      <c r="A41" s="33" t="s">
        <v>1368</v>
      </c>
      <c r="B41" s="33">
        <v>6</v>
      </c>
      <c r="C41" s="33">
        <v>5</v>
      </c>
      <c r="D41" s="33">
        <v>1</v>
      </c>
      <c r="E41" s="33">
        <v>0</v>
      </c>
      <c r="F41" s="35">
        <v>0.83333333333333337</v>
      </c>
      <c r="G41" s="33">
        <v>13</v>
      </c>
      <c r="H41" s="34">
        <v>0.50641025641025639</v>
      </c>
      <c r="I41" s="33">
        <v>12</v>
      </c>
    </row>
    <row r="42" spans="1:9" x14ac:dyDescent="0.25">
      <c r="A42" s="33" t="s">
        <v>1367</v>
      </c>
      <c r="B42" s="33">
        <v>1</v>
      </c>
      <c r="C42" s="33">
        <v>1</v>
      </c>
      <c r="D42" s="33">
        <v>0</v>
      </c>
      <c r="E42" s="33">
        <v>0</v>
      </c>
      <c r="F42" s="35">
        <v>1</v>
      </c>
      <c r="G42" s="33">
        <v>14</v>
      </c>
      <c r="H42" s="34">
        <v>0.53846153846153844</v>
      </c>
      <c r="I42" s="33">
        <v>0</v>
      </c>
    </row>
    <row r="43" spans="1:9" x14ac:dyDescent="0.25">
      <c r="A43" s="33" t="s">
        <v>1366</v>
      </c>
      <c r="B43" s="33">
        <v>1</v>
      </c>
      <c r="C43" s="33">
        <v>1</v>
      </c>
      <c r="D43" s="33">
        <v>0</v>
      </c>
      <c r="E43" s="33">
        <v>0</v>
      </c>
      <c r="F43" s="35">
        <v>1</v>
      </c>
      <c r="G43" s="33">
        <v>1</v>
      </c>
      <c r="H43" s="34">
        <v>3.8461538461538457E-2</v>
      </c>
      <c r="I43" s="33">
        <v>0</v>
      </c>
    </row>
    <row r="44" spans="1:9" hidden="1" x14ac:dyDescent="0.25">
      <c r="A44" s="31" t="s">
        <v>1365</v>
      </c>
      <c r="B44" s="31">
        <v>131</v>
      </c>
      <c r="C44" s="31">
        <v>88</v>
      </c>
      <c r="D44" s="31">
        <v>43</v>
      </c>
      <c r="E44" s="31">
        <v>5</v>
      </c>
      <c r="F44" s="32">
        <v>0.6717557251908397</v>
      </c>
      <c r="G44" s="31">
        <v>5</v>
      </c>
      <c r="H44" s="38">
        <v>1.5652768284347229</v>
      </c>
      <c r="I44" s="31">
        <v>468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3A4-BB45-48AA-9F87-95D4DA7EC633}">
  <dimension ref="A1:Z110"/>
  <sheetViews>
    <sheetView zoomScaleNormal="100" workbookViewId="0">
      <selection activeCell="H82" sqref="H82"/>
    </sheetView>
  </sheetViews>
  <sheetFormatPr defaultRowHeight="15" x14ac:dyDescent="0.25"/>
  <cols>
    <col min="1" max="2" width="13.7109375" customWidth="1"/>
    <col min="3" max="3" width="13.7109375" style="7" customWidth="1"/>
    <col min="4" max="4" width="13.7109375" customWidth="1"/>
    <col min="5" max="5" width="11" bestFit="1" customWidth="1"/>
    <col min="6" max="6" width="22.5703125" bestFit="1" customWidth="1"/>
    <col min="7" max="7" width="8" customWidth="1"/>
    <col min="11" max="11" width="14.28515625" bestFit="1" customWidth="1"/>
    <col min="12" max="12" width="17" customWidth="1"/>
    <col min="13" max="13" width="15" customWidth="1"/>
    <col min="14" max="14" width="46" bestFit="1" customWidth="1"/>
    <col min="15" max="15" width="27.42578125" customWidth="1"/>
    <col min="16" max="16" width="255.7109375" bestFit="1" customWidth="1"/>
    <col min="17" max="17" width="12" customWidth="1"/>
    <col min="18" max="18" width="10.5703125" customWidth="1"/>
    <col min="25" max="25" width="18" bestFit="1" customWidth="1"/>
    <col min="26" max="26" width="17.42578125" bestFit="1" customWidth="1"/>
    <col min="27" max="27" width="9.28515625" bestFit="1" customWidth="1"/>
    <col min="28" max="28" width="6.42578125" bestFit="1" customWidth="1"/>
    <col min="29" max="29" width="5" bestFit="1" customWidth="1"/>
    <col min="30" max="30" width="5.42578125" bestFit="1" customWidth="1"/>
    <col min="31" max="31" width="6.140625" bestFit="1" customWidth="1"/>
    <col min="32" max="32" width="5.5703125" bestFit="1" customWidth="1"/>
    <col min="33" max="33" width="6.85546875" bestFit="1" customWidth="1"/>
    <col min="34" max="34" width="9.5703125" bestFit="1" customWidth="1"/>
    <col min="35" max="35" width="8.140625" bestFit="1" customWidth="1"/>
    <col min="36" max="36" width="10.140625" bestFit="1" customWidth="1"/>
    <col min="37" max="37" width="10" bestFit="1" customWidth="1"/>
    <col min="38" max="38" width="10.7109375" bestFit="1" customWidth="1"/>
  </cols>
  <sheetData>
    <row r="1" spans="1:26" x14ac:dyDescent="0.25">
      <c r="A1" s="13" t="s">
        <v>500</v>
      </c>
      <c r="B1" s="14" t="s">
        <v>1333</v>
      </c>
      <c r="C1" s="21" t="s">
        <v>1343</v>
      </c>
      <c r="D1" s="14" t="s">
        <v>318</v>
      </c>
      <c r="E1" s="13" t="s">
        <v>0</v>
      </c>
      <c r="F1" s="13" t="s">
        <v>334</v>
      </c>
      <c r="G1" s="14" t="s">
        <v>1334</v>
      </c>
      <c r="H1" s="13" t="s">
        <v>335</v>
      </c>
      <c r="I1" s="14" t="s">
        <v>1341</v>
      </c>
      <c r="J1" s="14" t="s">
        <v>1332</v>
      </c>
      <c r="K1" s="14" t="s">
        <v>1342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t="s">
        <v>296</v>
      </c>
    </row>
    <row r="2" spans="1:26" x14ac:dyDescent="0.25">
      <c r="A2" t="s">
        <v>499</v>
      </c>
      <c r="B2" t="str">
        <f>LEFT(Tabela3[[#This Row],[Ano/TIPO]],2)</f>
        <v>RL</v>
      </c>
      <c r="D2" t="e">
        <f>_xlfn.XLOOKUP(K2,Base!G:G,Base!I:I)</f>
        <v>#N/A</v>
      </c>
      <c r="E2" s="4" t="s">
        <v>342</v>
      </c>
      <c r="F2" s="4" t="s">
        <v>343</v>
      </c>
      <c r="G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" s="4" t="s">
        <v>344</v>
      </c>
      <c r="I2" s="4" t="str">
        <f>TEXT(Tabela3[[#This Row],[Data]],"mmmm")</f>
        <v>março</v>
      </c>
      <c r="J2" s="4">
        <f>YEAR(Tabela3[[#This Row],[Data]])</f>
        <v>2025</v>
      </c>
      <c r="K2" s="4" t="str">
        <f>_xlfn.CONCAT(Tabela3[[#This Row],[Ano]],Tabela3[[#This Row],[Mês]])</f>
        <v>2025março</v>
      </c>
      <c r="L2" s="4" t="s">
        <v>345</v>
      </c>
      <c r="M2" s="4" t="s">
        <v>346</v>
      </c>
      <c r="N2" s="4" t="s">
        <v>347</v>
      </c>
      <c r="O2" s="4" t="s">
        <v>348</v>
      </c>
      <c r="P2" s="4" t="s">
        <v>349</v>
      </c>
      <c r="Q2" s="4"/>
    </row>
    <row r="3" spans="1:26" hidden="1" x14ac:dyDescent="0.25">
      <c r="A3" t="s">
        <v>499</v>
      </c>
      <c r="B3" t="str">
        <f>LEFT(Tabela3[[#This Row],[Ano/TIPO]],2)</f>
        <v>RL</v>
      </c>
      <c r="D3" t="e">
        <f>_xlfn.XLOOKUP(K3,Base!G:G,Base!I:I)</f>
        <v>#N/A</v>
      </c>
      <c r="E3" s="4" t="s">
        <v>350</v>
      </c>
      <c r="F3" s="4" t="s">
        <v>351</v>
      </c>
      <c r="G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" s="4" t="s">
        <v>352</v>
      </c>
      <c r="I3" s="4" t="str">
        <f>TEXT(Tabela3[[#This Row],[Data]],"mmmm")</f>
        <v>outubro</v>
      </c>
      <c r="J3" s="4">
        <f>YEAR(Tabela3[[#This Row],[Data]])</f>
        <v>2025</v>
      </c>
      <c r="K3" s="4" t="str">
        <f>_xlfn.CONCAT(Tabela3[[#This Row],[Ano]],Tabela3[[#This Row],[Mês]])</f>
        <v>2025outubro</v>
      </c>
      <c r="L3" s="4" t="s">
        <v>345</v>
      </c>
      <c r="M3" s="4" t="s">
        <v>353</v>
      </c>
      <c r="N3" s="4" t="s">
        <v>347</v>
      </c>
      <c r="O3" s="4" t="s">
        <v>354</v>
      </c>
      <c r="P3" s="4" t="s">
        <v>355</v>
      </c>
      <c r="Q3" s="4"/>
      <c r="Y3" s="5" t="s">
        <v>737</v>
      </c>
      <c r="Z3" t="s">
        <v>752</v>
      </c>
    </row>
    <row r="4" spans="1:26" hidden="1" x14ac:dyDescent="0.25">
      <c r="A4" t="s">
        <v>499</v>
      </c>
      <c r="B4" t="str">
        <f>LEFT(Tabela3[[#This Row],[Ano/TIPO]],2)</f>
        <v>RL</v>
      </c>
      <c r="D4" t="e">
        <f>_xlfn.XLOOKUP(K4,Base!G:G,Base!I:I)</f>
        <v>#N/A</v>
      </c>
      <c r="E4" s="4" t="s">
        <v>202</v>
      </c>
      <c r="F4" s="4" t="s">
        <v>356</v>
      </c>
      <c r="G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4" s="4" t="s">
        <v>357</v>
      </c>
      <c r="I4" s="4" t="str">
        <f>TEXT(Tabela3[[#This Row],[Data]],"mmmm")</f>
        <v>setembro</v>
      </c>
      <c r="J4" s="4">
        <f>YEAR(Tabela3[[#This Row],[Data]])</f>
        <v>2025</v>
      </c>
      <c r="K4" s="4" t="str">
        <f>_xlfn.CONCAT(Tabela3[[#This Row],[Ano]],Tabela3[[#This Row],[Mês]])</f>
        <v>2025setembro</v>
      </c>
      <c r="L4" s="4" t="s">
        <v>345</v>
      </c>
      <c r="M4" s="4" t="s">
        <v>353</v>
      </c>
      <c r="N4" s="4" t="s">
        <v>347</v>
      </c>
      <c r="O4" s="4" t="s">
        <v>358</v>
      </c>
      <c r="P4" s="4" t="s">
        <v>359</v>
      </c>
      <c r="Q4" s="4"/>
      <c r="Y4" s="6" t="s">
        <v>499</v>
      </c>
      <c r="Z4">
        <v>35</v>
      </c>
    </row>
    <row r="5" spans="1:26" hidden="1" x14ac:dyDescent="0.25">
      <c r="A5" t="s">
        <v>499</v>
      </c>
      <c r="B5" t="str">
        <f>LEFT(Tabela3[[#This Row],[Ano/TIPO]],2)</f>
        <v>RL</v>
      </c>
      <c r="D5" t="e">
        <f>_xlfn.XLOOKUP(K5,Base!G:G,Base!I:I)</f>
        <v>#N/A</v>
      </c>
      <c r="E5" s="4" t="s">
        <v>213</v>
      </c>
      <c r="F5" s="4" t="s">
        <v>360</v>
      </c>
      <c r="G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" s="4" t="s">
        <v>361</v>
      </c>
      <c r="I5" s="4" t="str">
        <f>TEXT(Tabela3[[#This Row],[Data]],"mmmm")</f>
        <v>abril</v>
      </c>
      <c r="J5" s="4">
        <f>YEAR(Tabela3[[#This Row],[Data]])</f>
        <v>2025</v>
      </c>
      <c r="K5" s="4" t="str">
        <f>_xlfn.CONCAT(Tabela3[[#This Row],[Ano]],Tabela3[[#This Row],[Mês]])</f>
        <v>2025abril</v>
      </c>
      <c r="L5" s="4" t="s">
        <v>362</v>
      </c>
      <c r="M5" s="4" t="s">
        <v>353</v>
      </c>
      <c r="N5" s="4" t="s">
        <v>347</v>
      </c>
      <c r="O5" s="4" t="s">
        <v>363</v>
      </c>
      <c r="P5" s="4" t="s">
        <v>364</v>
      </c>
      <c r="Q5" s="4"/>
      <c r="Y5" s="6" t="s">
        <v>730</v>
      </c>
      <c r="Z5">
        <v>28</v>
      </c>
    </row>
    <row r="6" spans="1:26" hidden="1" x14ac:dyDescent="0.25">
      <c r="A6" t="s">
        <v>499</v>
      </c>
      <c r="B6" t="str">
        <f>LEFT(Tabela3[[#This Row],[Ano/TIPO]],2)</f>
        <v>RL</v>
      </c>
      <c r="D6" t="e">
        <f>_xlfn.XLOOKUP(K6,Base!G:G,Base!I:I)</f>
        <v>#N/A</v>
      </c>
      <c r="E6" s="4" t="s">
        <v>222</v>
      </c>
      <c r="F6" s="4" t="s">
        <v>365</v>
      </c>
      <c r="G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" s="4" t="s">
        <v>366</v>
      </c>
      <c r="I6" s="4" t="str">
        <f>TEXT(Tabela3[[#This Row],[Data]],"mmmm")</f>
        <v>julho</v>
      </c>
      <c r="J6" s="4">
        <f>YEAR(Tabela3[[#This Row],[Data]])</f>
        <v>2025</v>
      </c>
      <c r="K6" s="4" t="str">
        <f>_xlfn.CONCAT(Tabela3[[#This Row],[Ano]],Tabela3[[#This Row],[Mês]])</f>
        <v>2025julho</v>
      </c>
      <c r="L6" s="4" t="s">
        <v>362</v>
      </c>
      <c r="M6" s="4" t="s">
        <v>353</v>
      </c>
      <c r="N6" s="4" t="s">
        <v>347</v>
      </c>
      <c r="O6" s="4" t="s">
        <v>367</v>
      </c>
      <c r="P6" s="4" t="s">
        <v>368</v>
      </c>
      <c r="Q6" s="4"/>
      <c r="Y6" s="6" t="s">
        <v>584</v>
      </c>
      <c r="Z6">
        <v>18</v>
      </c>
    </row>
    <row r="7" spans="1:26" x14ac:dyDescent="0.25">
      <c r="A7" t="s">
        <v>499</v>
      </c>
      <c r="B7" t="str">
        <f>LEFT(Tabela3[[#This Row],[Ano/TIPO]],2)</f>
        <v>RL</v>
      </c>
      <c r="D7" t="e">
        <f>_xlfn.XLOOKUP(K7,Base!G:G,Base!I:I)</f>
        <v>#N/A</v>
      </c>
      <c r="E7" s="4" t="s">
        <v>369</v>
      </c>
      <c r="F7" s="4" t="s">
        <v>370</v>
      </c>
      <c r="G7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" s="4" t="s">
        <v>371</v>
      </c>
      <c r="I7" s="4" t="str">
        <f>TEXT(Tabela3[[#This Row],[Data]],"mmmm")</f>
        <v>outubro</v>
      </c>
      <c r="J7" s="4">
        <f>YEAR(Tabela3[[#This Row],[Data]])</f>
        <v>2025</v>
      </c>
      <c r="K7" s="4" t="str">
        <f>_xlfn.CONCAT(Tabela3[[#This Row],[Ano]],Tabela3[[#This Row],[Mês]])</f>
        <v>2025outubro</v>
      </c>
      <c r="L7" s="4" t="s">
        <v>362</v>
      </c>
      <c r="M7" s="4" t="s">
        <v>346</v>
      </c>
      <c r="N7" s="4" t="s">
        <v>347</v>
      </c>
      <c r="O7" s="4" t="s">
        <v>372</v>
      </c>
      <c r="P7" s="4" t="s">
        <v>373</v>
      </c>
      <c r="Q7" s="4"/>
      <c r="Y7" s="6" t="s">
        <v>625</v>
      </c>
      <c r="Z7">
        <v>9</v>
      </c>
    </row>
    <row r="8" spans="1:26" x14ac:dyDescent="0.25">
      <c r="A8" t="s">
        <v>499</v>
      </c>
      <c r="B8" t="str">
        <f>LEFT(Tabela3[[#This Row],[Ano/TIPO]],2)</f>
        <v>RL</v>
      </c>
      <c r="D8" t="e">
        <f>_xlfn.XLOOKUP(K8,Base!G:G,Base!I:I)</f>
        <v>#N/A</v>
      </c>
      <c r="E8" s="4" t="s">
        <v>374</v>
      </c>
      <c r="F8" s="4" t="s">
        <v>375</v>
      </c>
      <c r="G8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8" s="4" t="s">
        <v>376</v>
      </c>
      <c r="I8" s="4" t="str">
        <f>TEXT(Tabela3[[#This Row],[Data]],"mmmm")</f>
        <v>outubro</v>
      </c>
      <c r="J8" s="4">
        <f>YEAR(Tabela3[[#This Row],[Data]])</f>
        <v>2025</v>
      </c>
      <c r="K8" s="4" t="str">
        <f>_xlfn.CONCAT(Tabela3[[#This Row],[Ano]],Tabela3[[#This Row],[Mês]])</f>
        <v>2025outubro</v>
      </c>
      <c r="L8" s="4" t="s">
        <v>362</v>
      </c>
      <c r="M8" s="4" t="s">
        <v>346</v>
      </c>
      <c r="N8" s="4" t="s">
        <v>347</v>
      </c>
      <c r="O8" s="4" t="s">
        <v>377</v>
      </c>
      <c r="P8" s="4" t="s">
        <v>378</v>
      </c>
      <c r="Q8" s="4" t="s">
        <v>379</v>
      </c>
      <c r="Y8" s="6" t="s">
        <v>738</v>
      </c>
      <c r="Z8">
        <v>90</v>
      </c>
    </row>
    <row r="9" spans="1:26" x14ac:dyDescent="0.25">
      <c r="A9" t="s">
        <v>499</v>
      </c>
      <c r="B9" t="str">
        <f>LEFT(Tabela3[[#This Row],[Ano/TIPO]],2)</f>
        <v>RL</v>
      </c>
      <c r="D9" t="e">
        <f>_xlfn.XLOOKUP(K9,Base!G:G,Base!I:I)</f>
        <v>#N/A</v>
      </c>
      <c r="E9" s="4" t="s">
        <v>380</v>
      </c>
      <c r="F9" s="4" t="s">
        <v>381</v>
      </c>
      <c r="G9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9" s="4" t="s">
        <v>382</v>
      </c>
      <c r="I9" s="4" t="str">
        <f>TEXT(Tabela3[[#This Row],[Data]],"mmmm")</f>
        <v>outubro</v>
      </c>
      <c r="J9" s="4">
        <f>YEAR(Tabela3[[#This Row],[Data]])</f>
        <v>2025</v>
      </c>
      <c r="K9" s="4" t="str">
        <f>_xlfn.CONCAT(Tabela3[[#This Row],[Ano]],Tabela3[[#This Row],[Mês]])</f>
        <v>2025outubro</v>
      </c>
      <c r="L9" s="4" t="s">
        <v>383</v>
      </c>
      <c r="M9" s="4" t="s">
        <v>346</v>
      </c>
      <c r="N9" s="4" t="s">
        <v>384</v>
      </c>
      <c r="O9" s="4" t="s">
        <v>385</v>
      </c>
      <c r="P9" s="4" t="s">
        <v>386</v>
      </c>
      <c r="Q9" s="4"/>
    </row>
    <row r="10" spans="1:26" x14ac:dyDescent="0.25">
      <c r="A10" t="s">
        <v>499</v>
      </c>
      <c r="B10" t="str">
        <f>LEFT(Tabela3[[#This Row],[Ano/TIPO]],2)</f>
        <v>RL</v>
      </c>
      <c r="D10" t="e">
        <f>_xlfn.XLOOKUP(K10,Base!G:G,Base!I:I)</f>
        <v>#N/A</v>
      </c>
      <c r="E10" s="4" t="s">
        <v>387</v>
      </c>
      <c r="F10" s="4" t="s">
        <v>388</v>
      </c>
      <c r="G10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0" s="4" t="s">
        <v>389</v>
      </c>
      <c r="I10" s="4" t="str">
        <f>TEXT(Tabela3[[#This Row],[Data]],"mmmm")</f>
        <v>fevereiro</v>
      </c>
      <c r="J10" s="4">
        <f>YEAR(Tabela3[[#This Row],[Data]])</f>
        <v>2025</v>
      </c>
      <c r="K10" s="4" t="str">
        <f>_xlfn.CONCAT(Tabela3[[#This Row],[Ano]],Tabela3[[#This Row],[Mês]])</f>
        <v>2025fevereiro</v>
      </c>
      <c r="L10" s="4" t="s">
        <v>383</v>
      </c>
      <c r="M10" s="4" t="s">
        <v>346</v>
      </c>
      <c r="N10" s="4" t="s">
        <v>384</v>
      </c>
      <c r="O10" s="4" t="s">
        <v>390</v>
      </c>
      <c r="P10" s="4" t="s">
        <v>391</v>
      </c>
      <c r="Q10" s="4"/>
    </row>
    <row r="11" spans="1:26" hidden="1" x14ac:dyDescent="0.25">
      <c r="A11" t="s">
        <v>499</v>
      </c>
      <c r="B11" t="str">
        <f>LEFT(Tabela3[[#This Row],[Ano/TIPO]],2)</f>
        <v>RL</v>
      </c>
      <c r="D11" t="e">
        <f>_xlfn.XLOOKUP(K11,Base!G:G,Base!I:I)</f>
        <v>#N/A</v>
      </c>
      <c r="E11" s="4" t="s">
        <v>392</v>
      </c>
      <c r="F11" s="4" t="s">
        <v>393</v>
      </c>
      <c r="G11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1" s="4" t="s">
        <v>394</v>
      </c>
      <c r="I11" s="4" t="str">
        <f>TEXT(Tabela3[[#This Row],[Data]],"mmmm")</f>
        <v>junho</v>
      </c>
      <c r="J11" s="4">
        <f>YEAR(Tabela3[[#This Row],[Data]])</f>
        <v>2025</v>
      </c>
      <c r="K11" s="4" t="str">
        <f>_xlfn.CONCAT(Tabela3[[#This Row],[Ano]],Tabela3[[#This Row],[Mês]])</f>
        <v>2025junho</v>
      </c>
      <c r="L11" s="4" t="s">
        <v>383</v>
      </c>
      <c r="M11" s="4" t="s">
        <v>353</v>
      </c>
      <c r="N11" s="4" t="s">
        <v>395</v>
      </c>
      <c r="O11" s="4" t="s">
        <v>396</v>
      </c>
      <c r="P11" s="4" t="s">
        <v>397</v>
      </c>
      <c r="Q11" s="4"/>
    </row>
    <row r="12" spans="1:26" x14ac:dyDescent="0.25">
      <c r="A12" t="s">
        <v>499</v>
      </c>
      <c r="B12" t="str">
        <f>LEFT(Tabela3[[#This Row],[Ano/TIPO]],2)</f>
        <v>RL</v>
      </c>
      <c r="D12" t="e">
        <f>_xlfn.XLOOKUP(K12,Base!G:G,Base!I:I)</f>
        <v>#N/A</v>
      </c>
      <c r="E12" s="4" t="s">
        <v>398</v>
      </c>
      <c r="F12" s="4" t="s">
        <v>399</v>
      </c>
      <c r="G1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12" s="4" t="s">
        <v>400</v>
      </c>
      <c r="I12" s="4" t="str">
        <f>TEXT(Tabela3[[#This Row],[Data]],"mmmm")</f>
        <v>maio</v>
      </c>
      <c r="J12" s="4">
        <f>YEAR(Tabela3[[#This Row],[Data]])</f>
        <v>2025</v>
      </c>
      <c r="K12" s="4" t="str">
        <f>_xlfn.CONCAT(Tabela3[[#This Row],[Ano]],Tabela3[[#This Row],[Mês]])</f>
        <v>2025maio</v>
      </c>
      <c r="L12" s="4" t="s">
        <v>383</v>
      </c>
      <c r="M12" s="4" t="s">
        <v>346</v>
      </c>
      <c r="N12" s="4" t="s">
        <v>395</v>
      </c>
      <c r="O12" s="4" t="s">
        <v>401</v>
      </c>
      <c r="P12" s="4" t="s">
        <v>402</v>
      </c>
      <c r="Q12" s="4"/>
    </row>
    <row r="13" spans="1:26" x14ac:dyDescent="0.25">
      <c r="A13" t="s">
        <v>499</v>
      </c>
      <c r="B13" t="str">
        <f>LEFT(Tabela3[[#This Row],[Ano/TIPO]],2)</f>
        <v>RL</v>
      </c>
      <c r="D13" t="e">
        <f>_xlfn.XLOOKUP(K13,Base!G:G,Base!I:I)</f>
        <v>#N/A</v>
      </c>
      <c r="E13" s="4" t="s">
        <v>403</v>
      </c>
      <c r="F13" s="4" t="s">
        <v>404</v>
      </c>
      <c r="G1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13" s="4" t="s">
        <v>405</v>
      </c>
      <c r="I13" s="4" t="str">
        <f>TEXT(Tabela3[[#This Row],[Data]],"mmmm")</f>
        <v>julho</v>
      </c>
      <c r="J13" s="4">
        <f>YEAR(Tabela3[[#This Row],[Data]])</f>
        <v>2025</v>
      </c>
      <c r="K13" s="4" t="str">
        <f>_xlfn.CONCAT(Tabela3[[#This Row],[Ano]],Tabela3[[#This Row],[Mês]])</f>
        <v>2025julho</v>
      </c>
      <c r="L13" s="4" t="s">
        <v>345</v>
      </c>
      <c r="M13" s="4" t="s">
        <v>346</v>
      </c>
      <c r="N13" s="4" t="s">
        <v>406</v>
      </c>
      <c r="O13" s="4" t="s">
        <v>407</v>
      </c>
      <c r="P13" s="4" t="s">
        <v>408</v>
      </c>
      <c r="Q13" s="4"/>
    </row>
    <row r="14" spans="1:26" hidden="1" x14ac:dyDescent="0.25">
      <c r="A14" t="s">
        <v>499</v>
      </c>
      <c r="B14" t="str">
        <f>LEFT(Tabela3[[#This Row],[Ano/TIPO]],2)</f>
        <v>RL</v>
      </c>
      <c r="D14" t="e">
        <f>_xlfn.XLOOKUP(K14,Base!G:G,Base!I:I)</f>
        <v>#N/A</v>
      </c>
      <c r="E14" s="4" t="s">
        <v>133</v>
      </c>
      <c r="F14" s="4" t="s">
        <v>136</v>
      </c>
      <c r="G1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4" s="4" t="s">
        <v>409</v>
      </c>
      <c r="I14" s="4" t="str">
        <f>TEXT(Tabela3[[#This Row],[Data]],"mmmm")</f>
        <v>agosto</v>
      </c>
      <c r="J14" s="4">
        <f>YEAR(Tabela3[[#This Row],[Data]])</f>
        <v>2025</v>
      </c>
      <c r="K14" s="4" t="str">
        <f>_xlfn.CONCAT(Tabela3[[#This Row],[Ano]],Tabela3[[#This Row],[Mês]])</f>
        <v>2025agosto</v>
      </c>
      <c r="L14" s="4" t="s">
        <v>345</v>
      </c>
      <c r="M14" s="4" t="s">
        <v>353</v>
      </c>
      <c r="N14" s="4" t="s">
        <v>406</v>
      </c>
      <c r="O14" s="4" t="s">
        <v>410</v>
      </c>
      <c r="P14" s="4" t="s">
        <v>411</v>
      </c>
      <c r="Q14" s="4"/>
    </row>
    <row r="15" spans="1:26" x14ac:dyDescent="0.25">
      <c r="A15" t="s">
        <v>499</v>
      </c>
      <c r="B15" t="str">
        <f>LEFT(Tabela3[[#This Row],[Ano/TIPO]],2)</f>
        <v>RL</v>
      </c>
      <c r="D15" t="e">
        <f>_xlfn.XLOOKUP(K15,Base!G:G,Base!I:I)</f>
        <v>#N/A</v>
      </c>
      <c r="E15" s="4" t="s">
        <v>412</v>
      </c>
      <c r="F15" s="4" t="s">
        <v>413</v>
      </c>
      <c r="G1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5" s="4" t="s">
        <v>414</v>
      </c>
      <c r="I15" s="4" t="str">
        <f>TEXT(Tabela3[[#This Row],[Data]],"mmmm")</f>
        <v>agosto</v>
      </c>
      <c r="J15" s="4">
        <f>YEAR(Tabela3[[#This Row],[Data]])</f>
        <v>2025</v>
      </c>
      <c r="K15" s="4" t="str">
        <f>_xlfn.CONCAT(Tabela3[[#This Row],[Ano]],Tabela3[[#This Row],[Mês]])</f>
        <v>2025agosto</v>
      </c>
      <c r="L15" s="4" t="s">
        <v>345</v>
      </c>
      <c r="M15" s="4" t="s">
        <v>346</v>
      </c>
      <c r="N15" s="4" t="s">
        <v>415</v>
      </c>
      <c r="O15" s="4" t="s">
        <v>416</v>
      </c>
      <c r="P15" s="4" t="s">
        <v>417</v>
      </c>
      <c r="Q15" s="4"/>
    </row>
    <row r="16" spans="1:26" hidden="1" x14ac:dyDescent="0.25">
      <c r="A16" t="s">
        <v>499</v>
      </c>
      <c r="B16" t="str">
        <f>LEFT(Tabela3[[#This Row],[Ano/TIPO]],2)</f>
        <v>RL</v>
      </c>
      <c r="D16" t="e">
        <f>_xlfn.XLOOKUP(K16,Base!G:G,Base!I:I)</f>
        <v>#N/A</v>
      </c>
      <c r="E16" s="4" t="s">
        <v>113</v>
      </c>
      <c r="F16" s="4" t="s">
        <v>116</v>
      </c>
      <c r="G1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6" s="4" t="s">
        <v>418</v>
      </c>
      <c r="I16" s="4" t="str">
        <f>TEXT(Tabela3[[#This Row],[Data]],"mmmm")</f>
        <v>setembro</v>
      </c>
      <c r="J16" s="4">
        <f>YEAR(Tabela3[[#This Row],[Data]])</f>
        <v>2025</v>
      </c>
      <c r="K16" s="4" t="str">
        <f>_xlfn.CONCAT(Tabela3[[#This Row],[Ano]],Tabela3[[#This Row],[Mês]])</f>
        <v>2025setembro</v>
      </c>
      <c r="L16" s="4" t="s">
        <v>345</v>
      </c>
      <c r="M16" s="4" t="s">
        <v>353</v>
      </c>
      <c r="N16" s="4" t="s">
        <v>415</v>
      </c>
      <c r="O16" s="4" t="s">
        <v>419</v>
      </c>
      <c r="P16" s="4" t="s">
        <v>420</v>
      </c>
      <c r="Q16" s="4"/>
    </row>
    <row r="17" spans="1:17" hidden="1" x14ac:dyDescent="0.25">
      <c r="A17" t="s">
        <v>499</v>
      </c>
      <c r="B17" t="str">
        <f>LEFT(Tabela3[[#This Row],[Ano/TIPO]],2)</f>
        <v>RL</v>
      </c>
      <c r="D17" t="e">
        <f>_xlfn.XLOOKUP(K17,Base!G:G,Base!I:I)</f>
        <v>#N/A</v>
      </c>
      <c r="E17" s="4" t="s">
        <v>75</v>
      </c>
      <c r="F17" s="4" t="s">
        <v>78</v>
      </c>
      <c r="G17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7" s="4" t="s">
        <v>421</v>
      </c>
      <c r="I17" s="4" t="str">
        <f>TEXT(Tabela3[[#This Row],[Data]],"mmmm")</f>
        <v>abril</v>
      </c>
      <c r="J17" s="4">
        <f>YEAR(Tabela3[[#This Row],[Data]])</f>
        <v>2025</v>
      </c>
      <c r="K17" s="4" t="str">
        <f>_xlfn.CONCAT(Tabela3[[#This Row],[Ano]],Tabela3[[#This Row],[Mês]])</f>
        <v>2025abril</v>
      </c>
      <c r="L17" s="4" t="s">
        <v>345</v>
      </c>
      <c r="M17" s="4" t="s">
        <v>353</v>
      </c>
      <c r="N17" s="4" t="s">
        <v>422</v>
      </c>
      <c r="O17" s="4" t="s">
        <v>423</v>
      </c>
      <c r="P17" s="4" t="s">
        <v>424</v>
      </c>
      <c r="Q17" s="4"/>
    </row>
    <row r="18" spans="1:17" hidden="1" x14ac:dyDescent="0.25">
      <c r="A18" t="s">
        <v>499</v>
      </c>
      <c r="B18" t="str">
        <f>LEFT(Tabela3[[#This Row],[Ano/TIPO]],2)</f>
        <v>RL</v>
      </c>
      <c r="D18" t="e">
        <f>_xlfn.XLOOKUP(K18,Base!G:G,Base!I:I)</f>
        <v>#N/A</v>
      </c>
      <c r="E18" s="4" t="s">
        <v>234</v>
      </c>
      <c r="F18" s="4" t="s">
        <v>236</v>
      </c>
      <c r="G18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8" s="4" t="s">
        <v>425</v>
      </c>
      <c r="I18" s="4" t="str">
        <f>TEXT(Tabela3[[#This Row],[Data]],"mmmm")</f>
        <v>dezembro</v>
      </c>
      <c r="J18" s="4">
        <f>YEAR(Tabela3[[#This Row],[Data]])</f>
        <v>2025</v>
      </c>
      <c r="K18" s="4" t="str">
        <f>_xlfn.CONCAT(Tabela3[[#This Row],[Ano]],Tabela3[[#This Row],[Mês]])</f>
        <v>2025dezembro</v>
      </c>
      <c r="L18" s="4" t="s">
        <v>362</v>
      </c>
      <c r="M18" s="4" t="s">
        <v>353</v>
      </c>
      <c r="N18" s="4" t="s">
        <v>422</v>
      </c>
      <c r="O18" s="4" t="s">
        <v>426</v>
      </c>
      <c r="P18" s="4" t="s">
        <v>427</v>
      </c>
      <c r="Q18" s="4"/>
    </row>
    <row r="19" spans="1:17" hidden="1" x14ac:dyDescent="0.25">
      <c r="A19" t="s">
        <v>499</v>
      </c>
      <c r="B19" t="str">
        <f>LEFT(Tabela3[[#This Row],[Ano/TIPO]],2)</f>
        <v>RL</v>
      </c>
      <c r="D19" t="e">
        <f>_xlfn.XLOOKUP(K19,Base!G:G,Base!I:I)</f>
        <v>#N/A</v>
      </c>
      <c r="E19" s="4" t="s">
        <v>56</v>
      </c>
      <c r="F19" s="4" t="s">
        <v>428</v>
      </c>
      <c r="G19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19" s="4" t="s">
        <v>429</v>
      </c>
      <c r="I19" s="4" t="str">
        <f>TEXT(Tabela3[[#This Row],[Data]],"mmmm")</f>
        <v>julho</v>
      </c>
      <c r="J19" s="4">
        <f>YEAR(Tabela3[[#This Row],[Data]])</f>
        <v>2025</v>
      </c>
      <c r="K19" s="4" t="str">
        <f>_xlfn.CONCAT(Tabela3[[#This Row],[Ano]],Tabela3[[#This Row],[Mês]])</f>
        <v>2025julho</v>
      </c>
      <c r="L19" s="4" t="s">
        <v>345</v>
      </c>
      <c r="M19" s="4" t="s">
        <v>353</v>
      </c>
      <c r="N19" s="4" t="s">
        <v>422</v>
      </c>
      <c r="O19" s="4" t="s">
        <v>430</v>
      </c>
      <c r="P19" s="4" t="s">
        <v>431</v>
      </c>
      <c r="Q19" s="4"/>
    </row>
    <row r="20" spans="1:17" hidden="1" x14ac:dyDescent="0.25">
      <c r="A20" t="s">
        <v>499</v>
      </c>
      <c r="B20" t="str">
        <f>LEFT(Tabela3[[#This Row],[Ano/TIPO]],2)</f>
        <v>RL</v>
      </c>
      <c r="D20" t="e">
        <f>_xlfn.XLOOKUP(K20,Base!G:G,Base!I:I)</f>
        <v>#N/A</v>
      </c>
      <c r="E20" s="4" t="s">
        <v>237</v>
      </c>
      <c r="F20" s="4" t="s">
        <v>239</v>
      </c>
      <c r="G20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0" s="4" t="s">
        <v>400</v>
      </c>
      <c r="I20" s="4" t="str">
        <f>TEXT(Tabela3[[#This Row],[Data]],"mmmm")</f>
        <v>maio</v>
      </c>
      <c r="J20" s="4">
        <f>YEAR(Tabela3[[#This Row],[Data]])</f>
        <v>2025</v>
      </c>
      <c r="K20" s="4" t="str">
        <f>_xlfn.CONCAT(Tabela3[[#This Row],[Ano]],Tabela3[[#This Row],[Mês]])</f>
        <v>2025maio</v>
      </c>
      <c r="L20" s="4" t="s">
        <v>345</v>
      </c>
      <c r="M20" s="4" t="s">
        <v>353</v>
      </c>
      <c r="N20" s="4" t="s">
        <v>422</v>
      </c>
      <c r="O20" s="4" t="s">
        <v>432</v>
      </c>
      <c r="P20" s="4" t="s">
        <v>433</v>
      </c>
      <c r="Q20" s="4"/>
    </row>
    <row r="21" spans="1:17" hidden="1" x14ac:dyDescent="0.25">
      <c r="A21" t="s">
        <v>499</v>
      </c>
      <c r="B21" t="str">
        <f>LEFT(Tabela3[[#This Row],[Ano/TIPO]],2)</f>
        <v>RL</v>
      </c>
      <c r="D21" t="e">
        <f>_xlfn.XLOOKUP(K21,Base!G:G,Base!I:I)</f>
        <v>#N/A</v>
      </c>
      <c r="E21" s="4" t="s">
        <v>118</v>
      </c>
      <c r="F21" s="4" t="s">
        <v>121</v>
      </c>
      <c r="G21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1" s="4" t="s">
        <v>434</v>
      </c>
      <c r="I21" s="4" t="str">
        <f>TEXT(Tabela3[[#This Row],[Data]],"mmmm")</f>
        <v>junho</v>
      </c>
      <c r="J21" s="4">
        <f>YEAR(Tabela3[[#This Row],[Data]])</f>
        <v>2025</v>
      </c>
      <c r="K21" s="4" t="str">
        <f>_xlfn.CONCAT(Tabela3[[#This Row],[Ano]],Tabela3[[#This Row],[Mês]])</f>
        <v>2025junho</v>
      </c>
      <c r="L21" s="4" t="s">
        <v>345</v>
      </c>
      <c r="M21" s="4" t="s">
        <v>353</v>
      </c>
      <c r="N21" s="4" t="s">
        <v>422</v>
      </c>
      <c r="O21" s="4" t="s">
        <v>435</v>
      </c>
      <c r="P21" s="4" t="s">
        <v>436</v>
      </c>
      <c r="Q21" s="4"/>
    </row>
    <row r="22" spans="1:17" x14ac:dyDescent="0.25">
      <c r="A22" t="s">
        <v>499</v>
      </c>
      <c r="B22" t="str">
        <f>LEFT(Tabela3[[#This Row],[Ano/TIPO]],2)</f>
        <v>RL</v>
      </c>
      <c r="D22" t="e">
        <f>_xlfn.XLOOKUP(K22,Base!G:G,Base!I:I)</f>
        <v>#N/A</v>
      </c>
      <c r="E22" s="4" t="s">
        <v>437</v>
      </c>
      <c r="F22" s="4" t="s">
        <v>438</v>
      </c>
      <c r="G2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22" s="4" t="s">
        <v>439</v>
      </c>
      <c r="I22" s="4" t="str">
        <f>TEXT(Tabela3[[#This Row],[Data]],"mmmm")</f>
        <v>maio</v>
      </c>
      <c r="J22" s="4">
        <f>YEAR(Tabela3[[#This Row],[Data]])</f>
        <v>2025</v>
      </c>
      <c r="K22" s="4" t="str">
        <f>_xlfn.CONCAT(Tabela3[[#This Row],[Ano]],Tabela3[[#This Row],[Mês]])</f>
        <v>2025maio</v>
      </c>
      <c r="L22" s="4" t="s">
        <v>345</v>
      </c>
      <c r="M22" s="4" t="s">
        <v>346</v>
      </c>
      <c r="N22" s="4" t="s">
        <v>422</v>
      </c>
      <c r="O22" s="4" t="s">
        <v>440</v>
      </c>
      <c r="P22" s="4" t="s">
        <v>441</v>
      </c>
      <c r="Q22" s="4"/>
    </row>
    <row r="23" spans="1:17" hidden="1" x14ac:dyDescent="0.25">
      <c r="A23" t="s">
        <v>499</v>
      </c>
      <c r="B23" t="str">
        <f>LEFT(Tabela3[[#This Row],[Ano/TIPO]],2)</f>
        <v>RL</v>
      </c>
      <c r="D23" t="e">
        <f>_xlfn.XLOOKUP(K23,Base!G:G,Base!I:I)</f>
        <v>#N/A</v>
      </c>
      <c r="E23" s="4" t="s">
        <v>442</v>
      </c>
      <c r="F23" s="4" t="s">
        <v>443</v>
      </c>
      <c r="G2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3" s="4" t="s">
        <v>444</v>
      </c>
      <c r="I23" s="4" t="str">
        <f>TEXT(Tabela3[[#This Row],[Data]],"mmmm")</f>
        <v>dezembro</v>
      </c>
      <c r="J23" s="4">
        <f>YEAR(Tabela3[[#This Row],[Data]])</f>
        <v>2025</v>
      </c>
      <c r="K23" s="4" t="str">
        <f>_xlfn.CONCAT(Tabela3[[#This Row],[Ano]],Tabela3[[#This Row],[Mês]])</f>
        <v>2025dezembro</v>
      </c>
      <c r="L23" s="4" t="s">
        <v>362</v>
      </c>
      <c r="M23" s="4" t="s">
        <v>353</v>
      </c>
      <c r="N23" s="4" t="s">
        <v>422</v>
      </c>
      <c r="O23" s="4" t="s">
        <v>445</v>
      </c>
      <c r="P23" s="4" t="s">
        <v>446</v>
      </c>
      <c r="Q23" s="4"/>
    </row>
    <row r="24" spans="1:17" x14ac:dyDescent="0.25">
      <c r="A24" t="s">
        <v>499</v>
      </c>
      <c r="B24" t="str">
        <f>LEFT(Tabela3[[#This Row],[Ano/TIPO]],2)</f>
        <v>RL</v>
      </c>
      <c r="D24" t="e">
        <f>_xlfn.XLOOKUP(K24,Base!G:G,Base!I:I)</f>
        <v>#N/A</v>
      </c>
      <c r="E24" s="4" t="s">
        <v>81</v>
      </c>
      <c r="F24" s="4" t="s">
        <v>447</v>
      </c>
      <c r="G2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4" s="4" t="s">
        <v>448</v>
      </c>
      <c r="I24" s="4" t="str">
        <f>TEXT(Tabela3[[#This Row],[Data]],"mmmm")</f>
        <v>julho</v>
      </c>
      <c r="J24" s="4">
        <f>YEAR(Tabela3[[#This Row],[Data]])</f>
        <v>2025</v>
      </c>
      <c r="K24" s="4" t="str">
        <f>_xlfn.CONCAT(Tabela3[[#This Row],[Ano]],Tabela3[[#This Row],[Mês]])</f>
        <v>2025julho</v>
      </c>
      <c r="L24" s="4" t="s">
        <v>383</v>
      </c>
      <c r="M24" s="4" t="s">
        <v>346</v>
      </c>
      <c r="N24" s="4" t="s">
        <v>422</v>
      </c>
      <c r="O24" s="4" t="s">
        <v>449</v>
      </c>
      <c r="P24" s="4" t="s">
        <v>450</v>
      </c>
      <c r="Q24" s="4"/>
    </row>
    <row r="25" spans="1:17" hidden="1" x14ac:dyDescent="0.25">
      <c r="A25" t="s">
        <v>499</v>
      </c>
      <c r="B25" t="str">
        <f>LEFT(Tabela3[[#This Row],[Ano/TIPO]],2)</f>
        <v>RL</v>
      </c>
      <c r="D25" t="e">
        <f>_xlfn.XLOOKUP(K25,Base!G:G,Base!I:I)</f>
        <v>#N/A</v>
      </c>
      <c r="E25" s="4" t="s">
        <v>218</v>
      </c>
      <c r="F25" s="4" t="s">
        <v>221</v>
      </c>
      <c r="G2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5" s="4" t="s">
        <v>451</v>
      </c>
      <c r="I25" s="4" t="str">
        <f>TEXT(Tabela3[[#This Row],[Data]],"mmmm")</f>
        <v>junho</v>
      </c>
      <c r="J25" s="4">
        <f>YEAR(Tabela3[[#This Row],[Data]])</f>
        <v>2025</v>
      </c>
      <c r="K25" s="4" t="str">
        <f>_xlfn.CONCAT(Tabela3[[#This Row],[Ano]],Tabela3[[#This Row],[Mês]])</f>
        <v>2025junho</v>
      </c>
      <c r="L25" s="4" t="s">
        <v>345</v>
      </c>
      <c r="M25" s="4" t="s">
        <v>353</v>
      </c>
      <c r="N25" s="4" t="s">
        <v>422</v>
      </c>
      <c r="O25" s="4" t="s">
        <v>452</v>
      </c>
      <c r="P25" s="4" t="s">
        <v>453</v>
      </c>
      <c r="Q25" s="4" t="s">
        <v>454</v>
      </c>
    </row>
    <row r="26" spans="1:17" hidden="1" x14ac:dyDescent="0.25">
      <c r="A26" t="s">
        <v>499</v>
      </c>
      <c r="B26" t="str">
        <f>LEFT(Tabela3[[#This Row],[Ano/TIPO]],2)</f>
        <v>RL</v>
      </c>
      <c r="D26" t="e">
        <f>_xlfn.XLOOKUP(K26,Base!G:G,Base!I:I)</f>
        <v>#N/A</v>
      </c>
      <c r="E26" s="4" t="s">
        <v>189</v>
      </c>
      <c r="F26" s="4" t="s">
        <v>455</v>
      </c>
      <c r="G2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6" s="4" t="s">
        <v>439</v>
      </c>
      <c r="I26" s="4" t="str">
        <f>TEXT(Tabela3[[#This Row],[Data]],"mmmm")</f>
        <v>maio</v>
      </c>
      <c r="J26" s="4">
        <f>YEAR(Tabela3[[#This Row],[Data]])</f>
        <v>2025</v>
      </c>
      <c r="K26" s="4" t="str">
        <f>_xlfn.CONCAT(Tabela3[[#This Row],[Ano]],Tabela3[[#This Row],[Mês]])</f>
        <v>2025maio</v>
      </c>
      <c r="L26" s="4" t="s">
        <v>345</v>
      </c>
      <c r="M26" s="4" t="s">
        <v>353</v>
      </c>
      <c r="N26" s="4" t="s">
        <v>422</v>
      </c>
      <c r="O26" s="4" t="s">
        <v>456</v>
      </c>
      <c r="P26" s="4" t="s">
        <v>457</v>
      </c>
      <c r="Q26" s="4"/>
    </row>
    <row r="27" spans="1:17" hidden="1" x14ac:dyDescent="0.25">
      <c r="A27" t="s">
        <v>499</v>
      </c>
      <c r="B27" t="str">
        <f>LEFT(Tabela3[[#This Row],[Ano/TIPO]],2)</f>
        <v>RL</v>
      </c>
      <c r="D27" t="e">
        <f>_xlfn.XLOOKUP(K27,Base!G:G,Base!I:I)</f>
        <v>#N/A</v>
      </c>
      <c r="E27" s="4" t="s">
        <v>129</v>
      </c>
      <c r="F27" s="4" t="s">
        <v>458</v>
      </c>
      <c r="G27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7" s="4" t="s">
        <v>459</v>
      </c>
      <c r="I27" s="4" t="str">
        <f>TEXT(Tabela3[[#This Row],[Data]],"mmmm")</f>
        <v>julho</v>
      </c>
      <c r="J27" s="4">
        <f>YEAR(Tabela3[[#This Row],[Data]])</f>
        <v>2025</v>
      </c>
      <c r="K27" s="4" t="str">
        <f>_xlfn.CONCAT(Tabela3[[#This Row],[Ano]],Tabela3[[#This Row],[Mês]])</f>
        <v>2025julho</v>
      </c>
      <c r="L27" s="4" t="s">
        <v>362</v>
      </c>
      <c r="M27" s="4" t="s">
        <v>353</v>
      </c>
      <c r="N27" s="4" t="s">
        <v>422</v>
      </c>
      <c r="O27" s="4" t="s">
        <v>460</v>
      </c>
      <c r="P27" s="4" t="s">
        <v>461</v>
      </c>
      <c r="Q27" s="4"/>
    </row>
    <row r="28" spans="1:17" x14ac:dyDescent="0.25">
      <c r="A28" t="s">
        <v>499</v>
      </c>
      <c r="B28" t="str">
        <f>LEFT(Tabela3[[#This Row],[Ano/TIPO]],2)</f>
        <v>RL</v>
      </c>
      <c r="D28" t="e">
        <f>_xlfn.XLOOKUP(K28,Base!G:G,Base!I:I)</f>
        <v>#N/A</v>
      </c>
      <c r="E28" s="4" t="s">
        <v>462</v>
      </c>
      <c r="F28" s="4" t="s">
        <v>463</v>
      </c>
      <c r="G28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8" s="4" t="s">
        <v>464</v>
      </c>
      <c r="I28" s="4" t="str">
        <f>TEXT(Tabela3[[#This Row],[Data]],"mmmm")</f>
        <v>maio</v>
      </c>
      <c r="J28" s="4">
        <f>YEAR(Tabela3[[#This Row],[Data]])</f>
        <v>2025</v>
      </c>
      <c r="K28" s="4" t="str">
        <f>_xlfn.CONCAT(Tabela3[[#This Row],[Ano]],Tabela3[[#This Row],[Mês]])</f>
        <v>2025maio</v>
      </c>
      <c r="L28" s="4" t="s">
        <v>362</v>
      </c>
      <c r="M28" s="4" t="s">
        <v>346</v>
      </c>
      <c r="N28" s="4" t="s">
        <v>422</v>
      </c>
      <c r="O28" s="4" t="s">
        <v>465</v>
      </c>
      <c r="P28" s="4" t="s">
        <v>466</v>
      </c>
      <c r="Q28" s="4"/>
    </row>
    <row r="29" spans="1:17" hidden="1" x14ac:dyDescent="0.25">
      <c r="A29" t="s">
        <v>499</v>
      </c>
      <c r="B29" t="str">
        <f>LEFT(Tabela3[[#This Row],[Ano/TIPO]],2)</f>
        <v>RL</v>
      </c>
      <c r="D29" t="e">
        <f>_xlfn.XLOOKUP(K29,Base!G:G,Base!I:I)</f>
        <v>#N/A</v>
      </c>
      <c r="E29" s="4" t="s">
        <v>178</v>
      </c>
      <c r="F29" s="4" t="s">
        <v>181</v>
      </c>
      <c r="G29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9" s="4" t="s">
        <v>467</v>
      </c>
      <c r="I29" s="4" t="str">
        <f>TEXT(Tabela3[[#This Row],[Data]],"mmmm")</f>
        <v>janeiro</v>
      </c>
      <c r="J29" s="4">
        <f>YEAR(Tabela3[[#This Row],[Data]])</f>
        <v>2026</v>
      </c>
      <c r="K29" s="4" t="str">
        <f>_xlfn.CONCAT(Tabela3[[#This Row],[Ano]],Tabela3[[#This Row],[Mês]])</f>
        <v>2026janeiro</v>
      </c>
      <c r="L29" s="4" t="s">
        <v>362</v>
      </c>
      <c r="M29" s="4" t="s">
        <v>353</v>
      </c>
      <c r="N29" s="4" t="s">
        <v>422</v>
      </c>
      <c r="O29" s="4" t="s">
        <v>468</v>
      </c>
      <c r="P29" s="4" t="s">
        <v>469</v>
      </c>
      <c r="Q29" s="4"/>
    </row>
    <row r="30" spans="1:17" x14ac:dyDescent="0.25">
      <c r="A30" t="s">
        <v>499</v>
      </c>
      <c r="B30" t="str">
        <f>LEFT(Tabela3[[#This Row],[Ano/TIPO]],2)</f>
        <v>RL</v>
      </c>
      <c r="D30" t="e">
        <f>_xlfn.XLOOKUP(K30,Base!G:G,Base!I:I)</f>
        <v>#N/A</v>
      </c>
      <c r="E30" s="4" t="s">
        <v>470</v>
      </c>
      <c r="F30" s="4" t="s">
        <v>471</v>
      </c>
      <c r="G30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0" s="4" t="s">
        <v>472</v>
      </c>
      <c r="I30" s="4" t="str">
        <f>TEXT(Tabela3[[#This Row],[Data]],"mmmm")</f>
        <v>maio</v>
      </c>
      <c r="J30" s="4">
        <f>YEAR(Tabela3[[#This Row],[Data]])</f>
        <v>2025</v>
      </c>
      <c r="K30" s="4" t="str">
        <f>_xlfn.CONCAT(Tabela3[[#This Row],[Ano]],Tabela3[[#This Row],[Mês]])</f>
        <v>2025maio</v>
      </c>
      <c r="L30" s="4" t="s">
        <v>383</v>
      </c>
      <c r="M30" s="4" t="s">
        <v>346</v>
      </c>
      <c r="N30" s="4" t="s">
        <v>1358</v>
      </c>
      <c r="O30" s="4" t="s">
        <v>473</v>
      </c>
      <c r="P30" s="4" t="s">
        <v>474</v>
      </c>
      <c r="Q30" s="4"/>
    </row>
    <row r="31" spans="1:17" hidden="1" x14ac:dyDescent="0.25">
      <c r="A31" t="s">
        <v>499</v>
      </c>
      <c r="B31" t="str">
        <f>LEFT(Tabela3[[#This Row],[Ano/TIPO]],2)</f>
        <v>RL</v>
      </c>
      <c r="D31" t="e">
        <f>_xlfn.XLOOKUP(K31,Base!G:G,Base!I:I)</f>
        <v>#N/A</v>
      </c>
      <c r="E31" s="4" t="s">
        <v>145</v>
      </c>
      <c r="F31" s="4" t="s">
        <v>475</v>
      </c>
      <c r="G31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1" s="4" t="s">
        <v>476</v>
      </c>
      <c r="I31" s="4" t="str">
        <f>TEXT(Tabela3[[#This Row],[Data]],"mmmm")</f>
        <v>dezembro</v>
      </c>
      <c r="J31" s="4">
        <f>YEAR(Tabela3[[#This Row],[Data]])</f>
        <v>2025</v>
      </c>
      <c r="K31" s="4" t="str">
        <f>_xlfn.CONCAT(Tabela3[[#This Row],[Ano]],Tabela3[[#This Row],[Mês]])</f>
        <v>2025dezembro</v>
      </c>
      <c r="L31" s="4" t="s">
        <v>362</v>
      </c>
      <c r="M31" s="4" t="s">
        <v>353</v>
      </c>
      <c r="N31" s="4" t="s">
        <v>422</v>
      </c>
      <c r="O31" s="4" t="s">
        <v>477</v>
      </c>
      <c r="P31" s="4" t="s">
        <v>478</v>
      </c>
      <c r="Q31" s="4"/>
    </row>
    <row r="32" spans="1:17" hidden="1" x14ac:dyDescent="0.25">
      <c r="A32" t="s">
        <v>499</v>
      </c>
      <c r="B32" t="str">
        <f>LEFT(Tabela3[[#This Row],[Ano/TIPO]],2)</f>
        <v>RL</v>
      </c>
      <c r="D32" t="e">
        <f>_xlfn.XLOOKUP(K32,Base!G:G,Base!I:I)</f>
        <v>#N/A</v>
      </c>
      <c r="E32" s="4" t="s">
        <v>266</v>
      </c>
      <c r="F32" s="4" t="s">
        <v>479</v>
      </c>
      <c r="G3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2" s="4" t="s">
        <v>480</v>
      </c>
      <c r="I32" s="4" t="str">
        <f>TEXT(Tabela3[[#This Row],[Data]],"mmmm")</f>
        <v>dezembro</v>
      </c>
      <c r="J32" s="4">
        <f>YEAR(Tabela3[[#This Row],[Data]])</f>
        <v>2025</v>
      </c>
      <c r="K32" s="4" t="str">
        <f>_xlfn.CONCAT(Tabela3[[#This Row],[Ano]],Tabela3[[#This Row],[Mês]])</f>
        <v>2025dezembro</v>
      </c>
      <c r="L32" s="4" t="s">
        <v>345</v>
      </c>
      <c r="M32" s="4" t="s">
        <v>353</v>
      </c>
      <c r="N32" s="4" t="s">
        <v>422</v>
      </c>
      <c r="O32" s="4" t="s">
        <v>481</v>
      </c>
      <c r="P32" s="4" t="s">
        <v>482</v>
      </c>
      <c r="Q32" s="4"/>
    </row>
    <row r="33" spans="1:17" hidden="1" x14ac:dyDescent="0.25">
      <c r="A33" t="s">
        <v>499</v>
      </c>
      <c r="B33" t="str">
        <f>LEFT(Tabela3[[#This Row],[Ano/TIPO]],2)</f>
        <v>RL</v>
      </c>
      <c r="D33" t="e">
        <f>_xlfn.XLOOKUP(K33,Base!G:G,Base!I:I)</f>
        <v>#N/A</v>
      </c>
      <c r="E33" s="4" t="s">
        <v>226</v>
      </c>
      <c r="F33" s="4" t="s">
        <v>229</v>
      </c>
      <c r="G3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3" s="4" t="s">
        <v>483</v>
      </c>
      <c r="I33" s="4" t="str">
        <f>TEXT(Tabela3[[#This Row],[Data]],"mmmm")</f>
        <v>março</v>
      </c>
      <c r="J33" s="4">
        <f>YEAR(Tabela3[[#This Row],[Data]])</f>
        <v>2025</v>
      </c>
      <c r="K33" s="4" t="str">
        <f>_xlfn.CONCAT(Tabela3[[#This Row],[Ano]],Tabela3[[#This Row],[Mês]])</f>
        <v>2025março</v>
      </c>
      <c r="L33" s="4" t="s">
        <v>362</v>
      </c>
      <c r="M33" s="4" t="s">
        <v>353</v>
      </c>
      <c r="N33" s="4" t="s">
        <v>422</v>
      </c>
      <c r="O33" s="4" t="s">
        <v>484</v>
      </c>
      <c r="P33" s="4" t="s">
        <v>485</v>
      </c>
      <c r="Q33" s="4"/>
    </row>
    <row r="34" spans="1:17" x14ac:dyDescent="0.25">
      <c r="A34" t="s">
        <v>499</v>
      </c>
      <c r="B34" t="str">
        <f>LEFT(Tabela3[[#This Row],[Ano/TIPO]],2)</f>
        <v>RL</v>
      </c>
      <c r="D34" t="e">
        <f>_xlfn.XLOOKUP(K34,Base!G:G,Base!I:I)</f>
        <v>#N/A</v>
      </c>
      <c r="E34" s="4" t="s">
        <v>486</v>
      </c>
      <c r="F34" s="4" t="s">
        <v>487</v>
      </c>
      <c r="G3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4" s="4" t="s">
        <v>439</v>
      </c>
      <c r="I34" s="4" t="str">
        <f>TEXT(Tabela3[[#This Row],[Data]],"mmmm")</f>
        <v>maio</v>
      </c>
      <c r="J34" s="4">
        <f>YEAR(Tabela3[[#This Row],[Data]])</f>
        <v>2025</v>
      </c>
      <c r="K34" s="4" t="str">
        <f>_xlfn.CONCAT(Tabela3[[#This Row],[Ano]],Tabela3[[#This Row],[Mês]])</f>
        <v>2025maio</v>
      </c>
      <c r="L34" s="4" t="s">
        <v>362</v>
      </c>
      <c r="M34" s="4" t="s">
        <v>346</v>
      </c>
      <c r="N34" s="4" t="s">
        <v>422</v>
      </c>
      <c r="O34" s="4" t="s">
        <v>488</v>
      </c>
      <c r="P34" s="4" t="s">
        <v>489</v>
      </c>
      <c r="Q34" s="4"/>
    </row>
    <row r="35" spans="1:17" hidden="1" x14ac:dyDescent="0.25">
      <c r="A35" t="s">
        <v>499</v>
      </c>
      <c r="B35" t="str">
        <f>LEFT(Tabela3[[#This Row],[Ano/TIPO]],2)</f>
        <v>RL</v>
      </c>
      <c r="D35" t="e">
        <f>_xlfn.XLOOKUP(K35,Base!G:G,Base!I:I)</f>
        <v>#N/A</v>
      </c>
      <c r="E35" s="4" t="s">
        <v>30</v>
      </c>
      <c r="F35" s="4" t="s">
        <v>32</v>
      </c>
      <c r="G3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5" s="4" t="s">
        <v>490</v>
      </c>
      <c r="I35" s="4" t="str">
        <f>TEXT(Tabela3[[#This Row],[Data]],"mmmm")</f>
        <v>novembro</v>
      </c>
      <c r="J35" s="4">
        <f>YEAR(Tabela3[[#This Row],[Data]])</f>
        <v>2025</v>
      </c>
      <c r="K35" s="4" t="str">
        <f>_xlfn.CONCAT(Tabela3[[#This Row],[Ano]],Tabela3[[#This Row],[Mês]])</f>
        <v>2025novembro</v>
      </c>
      <c r="L35" s="4" t="s">
        <v>383</v>
      </c>
      <c r="M35" s="4" t="s">
        <v>353</v>
      </c>
      <c r="N35" s="4" t="s">
        <v>422</v>
      </c>
      <c r="O35" s="4" t="s">
        <v>491</v>
      </c>
      <c r="P35" s="4" t="s">
        <v>492</v>
      </c>
      <c r="Q35" s="4" t="s">
        <v>493</v>
      </c>
    </row>
    <row r="36" spans="1:17" x14ac:dyDescent="0.25">
      <c r="A36" t="s">
        <v>499</v>
      </c>
      <c r="B36" t="str">
        <f>LEFT(Tabela3[[#This Row],[Ano/TIPO]],2)</f>
        <v>RL</v>
      </c>
      <c r="D36" t="e">
        <f>_xlfn.XLOOKUP(K36,Base!G:G,Base!I:I)</f>
        <v>#N/A</v>
      </c>
      <c r="E36" s="4" t="s">
        <v>494</v>
      </c>
      <c r="F36" s="4" t="s">
        <v>495</v>
      </c>
      <c r="G3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6" s="4" t="s">
        <v>496</v>
      </c>
      <c r="I36" s="4" t="str">
        <f>TEXT(Tabela3[[#This Row],[Data]],"mmmm")</f>
        <v>junho</v>
      </c>
      <c r="J36" s="4">
        <f>YEAR(Tabela3[[#This Row],[Data]])</f>
        <v>2025</v>
      </c>
      <c r="K36" s="4" t="str">
        <f>_xlfn.CONCAT(Tabela3[[#This Row],[Ano]],Tabela3[[#This Row],[Mês]])</f>
        <v>2025junho</v>
      </c>
      <c r="L36" s="4" t="s">
        <v>345</v>
      </c>
      <c r="M36" s="4" t="s">
        <v>346</v>
      </c>
      <c r="N36" s="4" t="s">
        <v>422</v>
      </c>
      <c r="O36" s="4" t="s">
        <v>497</v>
      </c>
      <c r="P36" s="4" t="s">
        <v>498</v>
      </c>
      <c r="Q36" s="4"/>
    </row>
    <row r="37" spans="1:17" x14ac:dyDescent="0.25">
      <c r="A37" t="s">
        <v>584</v>
      </c>
      <c r="B37" t="str">
        <f>LEFT(Tabela3[[#This Row],[Ano/TIPO]],2)</f>
        <v>RT</v>
      </c>
      <c r="D37" t="e">
        <f>_xlfn.XLOOKUP(K37,Base!G:G,Base!I:I)</f>
        <v>#N/A</v>
      </c>
      <c r="E37" t="s">
        <v>501</v>
      </c>
      <c r="F37" t="s">
        <v>502</v>
      </c>
      <c r="G3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7" t="s">
        <v>503</v>
      </c>
      <c r="I37" t="str">
        <f>TEXT(Tabela3[[#This Row],[Data]],"mmmm")</f>
        <v>agosto</v>
      </c>
      <c r="J37">
        <f>YEAR(Tabela3[[#This Row],[Data]])</f>
        <v>2025</v>
      </c>
      <c r="K37" t="str">
        <f>_xlfn.CONCAT(Tabela3[[#This Row],[Ano]],Tabela3[[#This Row],[Mês]])</f>
        <v>2025agosto</v>
      </c>
      <c r="L37" t="s">
        <v>504</v>
      </c>
      <c r="M37" t="s">
        <v>346</v>
      </c>
      <c r="N37" t="s">
        <v>384</v>
      </c>
      <c r="O37" t="s">
        <v>505</v>
      </c>
      <c r="P37" t="s">
        <v>506</v>
      </c>
    </row>
    <row r="38" spans="1:17" x14ac:dyDescent="0.25">
      <c r="A38" t="s">
        <v>584</v>
      </c>
      <c r="B38" t="str">
        <f>LEFT(Tabela3[[#This Row],[Ano/TIPO]],2)</f>
        <v>RT</v>
      </c>
      <c r="D38" t="e">
        <f>_xlfn.XLOOKUP(K38,Base!G:G,Base!I:I)</f>
        <v>#N/A</v>
      </c>
      <c r="E38" t="s">
        <v>507</v>
      </c>
      <c r="F38" t="s">
        <v>508</v>
      </c>
      <c r="G3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8" t="s">
        <v>509</v>
      </c>
      <c r="I38" t="str">
        <f>TEXT(Tabela3[[#This Row],[Data]],"mmmm")</f>
        <v>julho</v>
      </c>
      <c r="J38">
        <f>YEAR(Tabela3[[#This Row],[Data]])</f>
        <v>2025</v>
      </c>
      <c r="K38" t="str">
        <f>_xlfn.CONCAT(Tabela3[[#This Row],[Ano]],Tabela3[[#This Row],[Mês]])</f>
        <v>2025julho</v>
      </c>
      <c r="L38" t="s">
        <v>510</v>
      </c>
      <c r="M38" t="s">
        <v>346</v>
      </c>
      <c r="N38" t="s">
        <v>511</v>
      </c>
      <c r="O38" t="s">
        <v>512</v>
      </c>
      <c r="P38" t="s">
        <v>513</v>
      </c>
    </row>
    <row r="39" spans="1:17" x14ac:dyDescent="0.25">
      <c r="A39" t="s">
        <v>584</v>
      </c>
      <c r="B39" t="str">
        <f>LEFT(Tabela3[[#This Row],[Ano/TIPO]],2)</f>
        <v>RT</v>
      </c>
      <c r="D39" t="e">
        <f>_xlfn.XLOOKUP(K39,Base!G:G,Base!I:I)</f>
        <v>#N/A</v>
      </c>
      <c r="E39" t="s">
        <v>514</v>
      </c>
      <c r="F39" t="s">
        <v>515</v>
      </c>
      <c r="G3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9" t="s">
        <v>516</v>
      </c>
      <c r="I39" t="str">
        <f>TEXT(Tabela3[[#This Row],[Data]],"mmmm")</f>
        <v>março</v>
      </c>
      <c r="J39">
        <f>YEAR(Tabela3[[#This Row],[Data]])</f>
        <v>2025</v>
      </c>
      <c r="K39" t="str">
        <f>_xlfn.CONCAT(Tabela3[[#This Row],[Ano]],Tabela3[[#This Row],[Mês]])</f>
        <v>2025março</v>
      </c>
      <c r="L39" t="s">
        <v>510</v>
      </c>
      <c r="M39" t="s">
        <v>346</v>
      </c>
      <c r="N39" t="s">
        <v>517</v>
      </c>
      <c r="O39" t="s">
        <v>518</v>
      </c>
      <c r="P39" t="s">
        <v>519</v>
      </c>
    </row>
    <row r="40" spans="1:17" x14ac:dyDescent="0.25">
      <c r="A40" t="s">
        <v>584</v>
      </c>
      <c r="B40" t="str">
        <f>LEFT(Tabela3[[#This Row],[Ano/TIPO]],2)</f>
        <v>RT</v>
      </c>
      <c r="D40" t="e">
        <f>_xlfn.XLOOKUP(K40,Base!G:G,Base!I:I)</f>
        <v>#N/A</v>
      </c>
      <c r="E40" t="s">
        <v>520</v>
      </c>
      <c r="F40" t="s">
        <v>521</v>
      </c>
      <c r="G4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0" t="s">
        <v>414</v>
      </c>
      <c r="I40" t="str">
        <f>TEXT(Tabela3[[#This Row],[Data]],"mmmm")</f>
        <v>agosto</v>
      </c>
      <c r="J40">
        <f>YEAR(Tabela3[[#This Row],[Data]])</f>
        <v>2025</v>
      </c>
      <c r="K40" t="str">
        <f>_xlfn.CONCAT(Tabela3[[#This Row],[Ano]],Tabela3[[#This Row],[Mês]])</f>
        <v>2025agosto</v>
      </c>
      <c r="L40" t="s">
        <v>522</v>
      </c>
      <c r="M40" t="s">
        <v>346</v>
      </c>
      <c r="N40" t="s">
        <v>523</v>
      </c>
      <c r="O40" t="s">
        <v>524</v>
      </c>
      <c r="P40" t="s">
        <v>525</v>
      </c>
    </row>
    <row r="41" spans="1:17" hidden="1" x14ac:dyDescent="0.25">
      <c r="A41" t="s">
        <v>584</v>
      </c>
      <c r="B41" t="str">
        <f>LEFT(Tabela3[[#This Row],[Ano/TIPO]],2)</f>
        <v>RT</v>
      </c>
      <c r="D41" t="e">
        <f>_xlfn.XLOOKUP(K41,Base!G:G,Base!I:I)</f>
        <v>#N/A</v>
      </c>
      <c r="E41" t="s">
        <v>520</v>
      </c>
      <c r="F41" t="s">
        <v>526</v>
      </c>
      <c r="G4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1" t="s">
        <v>357</v>
      </c>
      <c r="I41" t="str">
        <f>TEXT(Tabela3[[#This Row],[Data]],"mmmm")</f>
        <v>setembro</v>
      </c>
      <c r="J41">
        <f>YEAR(Tabela3[[#This Row],[Data]])</f>
        <v>2025</v>
      </c>
      <c r="K41" t="str">
        <f>_xlfn.CONCAT(Tabela3[[#This Row],[Ano]],Tabela3[[#This Row],[Mês]])</f>
        <v>2025setembro</v>
      </c>
      <c r="L41" t="s">
        <v>522</v>
      </c>
      <c r="M41" t="s">
        <v>353</v>
      </c>
      <c r="N41" t="s">
        <v>523</v>
      </c>
      <c r="O41" t="s">
        <v>527</v>
      </c>
      <c r="P41" t="s">
        <v>528</v>
      </c>
    </row>
    <row r="42" spans="1:17" x14ac:dyDescent="0.25">
      <c r="A42" t="s">
        <v>584</v>
      </c>
      <c r="B42" t="str">
        <f>LEFT(Tabela3[[#This Row],[Ano/TIPO]],2)</f>
        <v>RT</v>
      </c>
      <c r="D42" t="e">
        <f>_xlfn.XLOOKUP(K42,Base!G:G,Base!I:I)</f>
        <v>#N/A</v>
      </c>
      <c r="E42" t="s">
        <v>35</v>
      </c>
      <c r="F42" t="s">
        <v>529</v>
      </c>
      <c r="G4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2" t="s">
        <v>509</v>
      </c>
      <c r="I42" t="str">
        <f>TEXT(Tabela3[[#This Row],[Data]],"mmmm")</f>
        <v>julho</v>
      </c>
      <c r="J42">
        <f>YEAR(Tabela3[[#This Row],[Data]])</f>
        <v>2025</v>
      </c>
      <c r="K42" t="str">
        <f>_xlfn.CONCAT(Tabela3[[#This Row],[Ano]],Tabela3[[#This Row],[Mês]])</f>
        <v>2025julho</v>
      </c>
      <c r="L42" t="s">
        <v>522</v>
      </c>
      <c r="M42" t="s">
        <v>346</v>
      </c>
      <c r="N42" t="s">
        <v>523</v>
      </c>
      <c r="O42" t="s">
        <v>524</v>
      </c>
      <c r="P42" t="s">
        <v>530</v>
      </c>
    </row>
    <row r="43" spans="1:17" hidden="1" x14ac:dyDescent="0.25">
      <c r="A43" t="s">
        <v>584</v>
      </c>
      <c r="B43" t="str">
        <f>LEFT(Tabela3[[#This Row],[Ano/TIPO]],2)</f>
        <v>RT</v>
      </c>
      <c r="D43" t="e">
        <f>_xlfn.XLOOKUP(K43,Base!G:G,Base!I:I)</f>
        <v>#N/A</v>
      </c>
      <c r="E43" t="s">
        <v>270</v>
      </c>
      <c r="F43" t="s">
        <v>531</v>
      </c>
      <c r="G4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3" t="s">
        <v>532</v>
      </c>
      <c r="I43" t="str">
        <f>TEXT(Tabela3[[#This Row],[Data]],"mmmm")</f>
        <v>junho</v>
      </c>
      <c r="J43">
        <f>YEAR(Tabela3[[#This Row],[Data]])</f>
        <v>2025</v>
      </c>
      <c r="K43" t="str">
        <f>_xlfn.CONCAT(Tabela3[[#This Row],[Ano]],Tabela3[[#This Row],[Mês]])</f>
        <v>2025junho</v>
      </c>
      <c r="L43" t="s">
        <v>522</v>
      </c>
      <c r="M43" t="s">
        <v>353</v>
      </c>
      <c r="N43" t="s">
        <v>523</v>
      </c>
      <c r="O43" t="s">
        <v>533</v>
      </c>
      <c r="P43" t="s">
        <v>534</v>
      </c>
    </row>
    <row r="44" spans="1:17" hidden="1" x14ac:dyDescent="0.25">
      <c r="A44" t="s">
        <v>584</v>
      </c>
      <c r="B44" t="str">
        <f>LEFT(Tabela3[[#This Row],[Ano/TIPO]],2)</f>
        <v>RT</v>
      </c>
      <c r="D44" t="e">
        <f>_xlfn.XLOOKUP(K44,Base!G:G,Base!I:I)</f>
        <v>#N/A</v>
      </c>
      <c r="E44" t="s">
        <v>273</v>
      </c>
      <c r="F44" t="s">
        <v>535</v>
      </c>
      <c r="G4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4" t="s">
        <v>536</v>
      </c>
      <c r="I44" t="str">
        <f>TEXT(Tabela3[[#This Row],[Data]],"mmmm")</f>
        <v>março</v>
      </c>
      <c r="J44">
        <f>YEAR(Tabela3[[#This Row],[Data]])</f>
        <v>2025</v>
      </c>
      <c r="K44" t="str">
        <f>_xlfn.CONCAT(Tabela3[[#This Row],[Ano]],Tabela3[[#This Row],[Mês]])</f>
        <v>2025março</v>
      </c>
      <c r="L44" t="s">
        <v>522</v>
      </c>
      <c r="M44" t="s">
        <v>353</v>
      </c>
      <c r="N44" t="s">
        <v>523</v>
      </c>
      <c r="O44" t="s">
        <v>537</v>
      </c>
      <c r="P44" t="s">
        <v>538</v>
      </c>
    </row>
    <row r="45" spans="1:17" hidden="1" x14ac:dyDescent="0.25">
      <c r="A45" t="s">
        <v>584</v>
      </c>
      <c r="B45" t="str">
        <f>LEFT(Tabela3[[#This Row],[Ano/TIPO]],2)</f>
        <v>RT</v>
      </c>
      <c r="D45" t="e">
        <f>_xlfn.XLOOKUP(K45,Base!G:G,Base!I:I)</f>
        <v>#N/A</v>
      </c>
      <c r="E45" t="s">
        <v>88</v>
      </c>
      <c r="F45" t="s">
        <v>539</v>
      </c>
      <c r="G4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45" t="s">
        <v>540</v>
      </c>
      <c r="I45" t="str">
        <f>TEXT(Tabela3[[#This Row],[Data]],"mmmm")</f>
        <v>setembro</v>
      </c>
      <c r="J45">
        <f>YEAR(Tabela3[[#This Row],[Data]])</f>
        <v>2025</v>
      </c>
      <c r="K45" t="str">
        <f>_xlfn.CONCAT(Tabela3[[#This Row],[Ano]],Tabela3[[#This Row],[Mês]])</f>
        <v>2025setembro</v>
      </c>
      <c r="L45" t="s">
        <v>383</v>
      </c>
      <c r="M45" t="s">
        <v>353</v>
      </c>
      <c r="N45" t="s">
        <v>541</v>
      </c>
      <c r="O45" t="s">
        <v>542</v>
      </c>
      <c r="P45" t="s">
        <v>543</v>
      </c>
    </row>
    <row r="46" spans="1:17" hidden="1" x14ac:dyDescent="0.25">
      <c r="A46" t="s">
        <v>584</v>
      </c>
      <c r="B46" t="str">
        <f>LEFT(Tabela3[[#This Row],[Ano/TIPO]],2)</f>
        <v>RT</v>
      </c>
      <c r="D46" t="e">
        <f>_xlfn.XLOOKUP(K46,Base!G:G,Base!I:I)</f>
        <v>#N/A</v>
      </c>
      <c r="E46" t="s">
        <v>157</v>
      </c>
      <c r="F46" t="s">
        <v>160</v>
      </c>
      <c r="G4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6" t="s">
        <v>544</v>
      </c>
      <c r="I46" t="str">
        <f>TEXT(Tabela3[[#This Row],[Data]],"mmmm")</f>
        <v>dezembro</v>
      </c>
      <c r="J46">
        <f>YEAR(Tabela3[[#This Row],[Data]])</f>
        <v>2025</v>
      </c>
      <c r="K46" t="str">
        <f>_xlfn.CONCAT(Tabela3[[#This Row],[Ano]],Tabela3[[#This Row],[Mês]])</f>
        <v>2025dezembro</v>
      </c>
      <c r="L46" t="s">
        <v>510</v>
      </c>
      <c r="M46" t="s">
        <v>353</v>
      </c>
      <c r="N46" t="s">
        <v>422</v>
      </c>
      <c r="O46" t="s">
        <v>545</v>
      </c>
      <c r="P46" t="s">
        <v>546</v>
      </c>
    </row>
    <row r="47" spans="1:17" x14ac:dyDescent="0.25">
      <c r="A47" t="s">
        <v>584</v>
      </c>
      <c r="B47" t="str">
        <f>LEFT(Tabela3[[#This Row],[Ano/TIPO]],2)</f>
        <v>RT</v>
      </c>
      <c r="D47" t="e">
        <f>_xlfn.XLOOKUP(K47,Base!G:G,Base!I:I)</f>
        <v>#N/A</v>
      </c>
      <c r="E47" t="s">
        <v>547</v>
      </c>
      <c r="F47" t="s">
        <v>548</v>
      </c>
      <c r="G4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7" t="s">
        <v>549</v>
      </c>
      <c r="I47" t="str">
        <f>TEXT(Tabela3[[#This Row],[Data]],"mmmm")</f>
        <v>fevereiro</v>
      </c>
      <c r="J47">
        <f>YEAR(Tabela3[[#This Row],[Data]])</f>
        <v>2025</v>
      </c>
      <c r="K47" t="str">
        <f>_xlfn.CONCAT(Tabela3[[#This Row],[Ano]],Tabela3[[#This Row],[Mês]])</f>
        <v>2025fevereiro</v>
      </c>
      <c r="L47" t="s">
        <v>383</v>
      </c>
      <c r="M47" t="s">
        <v>346</v>
      </c>
      <c r="N47" t="s">
        <v>422</v>
      </c>
      <c r="O47" t="s">
        <v>550</v>
      </c>
      <c r="P47" t="s">
        <v>551</v>
      </c>
    </row>
    <row r="48" spans="1:17" x14ac:dyDescent="0.25">
      <c r="A48" t="s">
        <v>584</v>
      </c>
      <c r="B48" t="str">
        <f>LEFT(Tabela3[[#This Row],[Ano/TIPO]],2)</f>
        <v>RT</v>
      </c>
      <c r="D48" t="e">
        <f>_xlfn.XLOOKUP(K48,Base!G:G,Base!I:I)</f>
        <v>#N/A</v>
      </c>
      <c r="E48" t="s">
        <v>552</v>
      </c>
      <c r="F48" t="s">
        <v>553</v>
      </c>
      <c r="G4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48" t="s">
        <v>554</v>
      </c>
      <c r="I48" t="str">
        <f>TEXT(Tabela3[[#This Row],[Data]],"mmmm")</f>
        <v>agosto</v>
      </c>
      <c r="J48">
        <f>YEAR(Tabela3[[#This Row],[Data]])</f>
        <v>2025</v>
      </c>
      <c r="K48" t="str">
        <f>_xlfn.CONCAT(Tabela3[[#This Row],[Ano]],Tabela3[[#This Row],[Mês]])</f>
        <v>2025agosto</v>
      </c>
      <c r="L48" t="s">
        <v>383</v>
      </c>
      <c r="M48" t="s">
        <v>346</v>
      </c>
      <c r="N48" t="s">
        <v>422</v>
      </c>
      <c r="O48" t="s">
        <v>555</v>
      </c>
      <c r="P48" t="s">
        <v>556</v>
      </c>
    </row>
    <row r="49" spans="1:18" x14ac:dyDescent="0.25">
      <c r="A49" t="s">
        <v>584</v>
      </c>
      <c r="B49" t="str">
        <f>LEFT(Tabela3[[#This Row],[Ano/TIPO]],2)</f>
        <v>RT</v>
      </c>
      <c r="D49" t="e">
        <f>_xlfn.XLOOKUP(K49,Base!G:G,Base!I:I)</f>
        <v>#N/A</v>
      </c>
      <c r="E49" t="s">
        <v>514</v>
      </c>
      <c r="F49" t="s">
        <v>557</v>
      </c>
      <c r="G4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9" t="s">
        <v>558</v>
      </c>
      <c r="I49" t="str">
        <f>TEXT(Tabela3[[#This Row],[Data]],"mmmm")</f>
        <v>julho</v>
      </c>
      <c r="J49">
        <f>YEAR(Tabela3[[#This Row],[Data]])</f>
        <v>2025</v>
      </c>
      <c r="K49" t="str">
        <f>_xlfn.CONCAT(Tabela3[[#This Row],[Ano]],Tabela3[[#This Row],[Mês]])</f>
        <v>2025julho</v>
      </c>
      <c r="L49" t="s">
        <v>510</v>
      </c>
      <c r="M49" t="s">
        <v>346</v>
      </c>
      <c r="N49" t="s">
        <v>422</v>
      </c>
      <c r="O49" t="s">
        <v>559</v>
      </c>
      <c r="P49" t="s">
        <v>560</v>
      </c>
    </row>
    <row r="50" spans="1:18" hidden="1" x14ac:dyDescent="0.25">
      <c r="A50" t="s">
        <v>584</v>
      </c>
      <c r="B50" t="str">
        <f>LEFT(Tabela3[[#This Row],[Ano/TIPO]],2)</f>
        <v>RT</v>
      </c>
      <c r="D50" t="e">
        <f>_xlfn.XLOOKUP(K50,Base!G:G,Base!I:I)</f>
        <v>#N/A</v>
      </c>
      <c r="E50" t="s">
        <v>195</v>
      </c>
      <c r="F50" t="s">
        <v>561</v>
      </c>
      <c r="G5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50" t="s">
        <v>418</v>
      </c>
      <c r="I50" t="str">
        <f>TEXT(Tabela3[[#This Row],[Data]],"mmmm")</f>
        <v>setembro</v>
      </c>
      <c r="J50">
        <f>YEAR(Tabela3[[#This Row],[Data]])</f>
        <v>2025</v>
      </c>
      <c r="K50" t="str">
        <f>_xlfn.CONCAT(Tabela3[[#This Row],[Ano]],Tabela3[[#This Row],[Mês]])</f>
        <v>2025setembro</v>
      </c>
      <c r="L50" t="s">
        <v>383</v>
      </c>
      <c r="M50" t="s">
        <v>353</v>
      </c>
      <c r="N50" t="s">
        <v>422</v>
      </c>
      <c r="O50" t="s">
        <v>562</v>
      </c>
      <c r="P50" t="s">
        <v>563</v>
      </c>
      <c r="R50" t="s">
        <v>564</v>
      </c>
    </row>
    <row r="51" spans="1:18" x14ac:dyDescent="0.25">
      <c r="A51" t="s">
        <v>584</v>
      </c>
      <c r="B51" t="str">
        <f>LEFT(Tabela3[[#This Row],[Ano/TIPO]],2)</f>
        <v>RT</v>
      </c>
      <c r="D51" t="e">
        <f>_xlfn.XLOOKUP(K51,Base!G:G,Base!I:I)</f>
        <v>#N/A</v>
      </c>
      <c r="E51" t="s">
        <v>565</v>
      </c>
      <c r="F51" t="s">
        <v>566</v>
      </c>
      <c r="G5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1" t="s">
        <v>567</v>
      </c>
      <c r="I51" t="str">
        <f>TEXT(Tabela3[[#This Row],[Data]],"mmmm")</f>
        <v>agosto</v>
      </c>
      <c r="J51">
        <f>YEAR(Tabela3[[#This Row],[Data]])</f>
        <v>2025</v>
      </c>
      <c r="K51" t="str">
        <f>_xlfn.CONCAT(Tabela3[[#This Row],[Ano]],Tabela3[[#This Row],[Mês]])</f>
        <v>2025agosto</v>
      </c>
      <c r="L51" t="s">
        <v>504</v>
      </c>
      <c r="M51" t="s">
        <v>346</v>
      </c>
      <c r="N51" t="s">
        <v>568</v>
      </c>
      <c r="O51" t="s">
        <v>569</v>
      </c>
      <c r="P51" t="s">
        <v>570</v>
      </c>
    </row>
    <row r="52" spans="1:18" hidden="1" x14ac:dyDescent="0.25">
      <c r="A52" t="s">
        <v>584</v>
      </c>
      <c r="B52" t="str">
        <f>LEFT(Tabela3[[#This Row],[Ano/TIPO]],2)</f>
        <v>RT</v>
      </c>
      <c r="D52" t="e">
        <f>_xlfn.XLOOKUP(K52,Base!G:G,Base!I:I)</f>
        <v>#N/A</v>
      </c>
      <c r="E52" t="s">
        <v>248</v>
      </c>
      <c r="F52" t="s">
        <v>571</v>
      </c>
      <c r="G5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2" t="s">
        <v>444</v>
      </c>
      <c r="I52" t="str">
        <f>TEXT(Tabela3[[#This Row],[Data]],"mmmm")</f>
        <v>dezembro</v>
      </c>
      <c r="J52">
        <f>YEAR(Tabela3[[#This Row],[Data]])</f>
        <v>2025</v>
      </c>
      <c r="K52" t="str">
        <f>_xlfn.CONCAT(Tabela3[[#This Row],[Ano]],Tabela3[[#This Row],[Mês]])</f>
        <v>2025dezembro</v>
      </c>
      <c r="L52" t="s">
        <v>510</v>
      </c>
      <c r="M52" t="s">
        <v>353</v>
      </c>
      <c r="N52" t="s">
        <v>568</v>
      </c>
      <c r="O52" t="s">
        <v>572</v>
      </c>
      <c r="P52" t="s">
        <v>573</v>
      </c>
    </row>
    <row r="53" spans="1:18" x14ac:dyDescent="0.25">
      <c r="A53" t="s">
        <v>584</v>
      </c>
      <c r="B53" t="str">
        <f>LEFT(Tabela3[[#This Row],[Ano/TIPO]],2)</f>
        <v>RT</v>
      </c>
      <c r="D53" t="e">
        <f>_xlfn.XLOOKUP(K53,Base!G:G,Base!I:I)</f>
        <v>#N/A</v>
      </c>
      <c r="E53" t="s">
        <v>68</v>
      </c>
      <c r="F53" t="s">
        <v>574</v>
      </c>
      <c r="G5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3" t="s">
        <v>575</v>
      </c>
      <c r="I53" t="str">
        <f>TEXT(Tabela3[[#This Row],[Data]],"mmmm")</f>
        <v>novembro</v>
      </c>
      <c r="J53">
        <f>YEAR(Tabela3[[#This Row],[Data]])</f>
        <v>2025</v>
      </c>
      <c r="K53" t="str">
        <f>_xlfn.CONCAT(Tabela3[[#This Row],[Ano]],Tabela3[[#This Row],[Mês]])</f>
        <v>2025novembro</v>
      </c>
      <c r="L53" t="s">
        <v>510</v>
      </c>
      <c r="M53" t="s">
        <v>346</v>
      </c>
      <c r="N53" t="s">
        <v>576</v>
      </c>
      <c r="O53" t="s">
        <v>577</v>
      </c>
      <c r="P53" t="s">
        <v>578</v>
      </c>
    </row>
    <row r="54" spans="1:18" x14ac:dyDescent="0.25">
      <c r="A54" t="s">
        <v>584</v>
      </c>
      <c r="B54" t="str">
        <f>LEFT(Tabela3[[#This Row],[Ano/TIPO]],2)</f>
        <v>RT</v>
      </c>
      <c r="D54" t="e">
        <f>_xlfn.XLOOKUP(K54,Base!G:G,Base!I:I)</f>
        <v>#N/A</v>
      </c>
      <c r="E54" t="s">
        <v>579</v>
      </c>
      <c r="F54" t="s">
        <v>580</v>
      </c>
      <c r="G5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54" t="s">
        <v>581</v>
      </c>
      <c r="I54" t="str">
        <f>TEXT(Tabela3[[#This Row],[Data]],"mmmm")</f>
        <v>agosto</v>
      </c>
      <c r="J54">
        <f>YEAR(Tabela3[[#This Row],[Data]])</f>
        <v>2025</v>
      </c>
      <c r="K54" t="str">
        <f>_xlfn.CONCAT(Tabela3[[#This Row],[Ano]],Tabela3[[#This Row],[Mês]])</f>
        <v>2025agosto</v>
      </c>
      <c r="L54" t="s">
        <v>510</v>
      </c>
      <c r="M54" t="s">
        <v>346</v>
      </c>
      <c r="N54" t="s">
        <v>576</v>
      </c>
      <c r="O54" t="s">
        <v>582</v>
      </c>
      <c r="P54" t="s">
        <v>583</v>
      </c>
    </row>
    <row r="55" spans="1:18" hidden="1" x14ac:dyDescent="0.25">
      <c r="A55" t="s">
        <v>625</v>
      </c>
      <c r="B55" t="str">
        <f>LEFT(Tabela3[[#This Row],[Ano/TIPO]],2)</f>
        <v>RT</v>
      </c>
      <c r="D55" t="e">
        <f>_xlfn.XLOOKUP(K55,Base!G:G,Base!I:I)</f>
        <v>#N/A</v>
      </c>
      <c r="E55" t="s">
        <v>107</v>
      </c>
      <c r="F55" t="s">
        <v>110</v>
      </c>
      <c r="G5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5" t="s">
        <v>585</v>
      </c>
      <c r="I55" t="str">
        <f>TEXT(Tabela3[[#This Row],[Data]],"mmmm")</f>
        <v>julho</v>
      </c>
      <c r="J55">
        <f>YEAR(Tabela3[[#This Row],[Data]])</f>
        <v>2026</v>
      </c>
      <c r="K55" t="str">
        <f>_xlfn.CONCAT(Tabela3[[#This Row],[Ano]],Tabela3[[#This Row],[Mês]])</f>
        <v>2026julho</v>
      </c>
      <c r="L55" t="s">
        <v>510</v>
      </c>
      <c r="M55" t="s">
        <v>353</v>
      </c>
      <c r="N55" t="s">
        <v>347</v>
      </c>
      <c r="O55" t="s">
        <v>586</v>
      </c>
      <c r="P55" t="s">
        <v>587</v>
      </c>
    </row>
    <row r="56" spans="1:18" x14ac:dyDescent="0.25">
      <c r="A56" t="s">
        <v>625</v>
      </c>
      <c r="B56" t="str">
        <f>LEFT(Tabela3[[#This Row],[Ano/TIPO]],2)</f>
        <v>RT</v>
      </c>
      <c r="D56" t="e">
        <f>_xlfn.XLOOKUP(K56,Base!G:G,Base!I:I)</f>
        <v>#N/A</v>
      </c>
      <c r="E56" t="s">
        <v>588</v>
      </c>
      <c r="F56" t="s">
        <v>589</v>
      </c>
      <c r="G5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56" t="s">
        <v>590</v>
      </c>
      <c r="I56" t="str">
        <f>TEXT(Tabela3[[#This Row],[Data]],"mmmm")</f>
        <v>maio</v>
      </c>
      <c r="J56">
        <f>YEAR(Tabela3[[#This Row],[Data]])</f>
        <v>2026</v>
      </c>
      <c r="K56" t="str">
        <f>_xlfn.CONCAT(Tabela3[[#This Row],[Ano]],Tabela3[[#This Row],[Mês]])</f>
        <v>2026maio</v>
      </c>
      <c r="L56" t="s">
        <v>383</v>
      </c>
      <c r="M56" t="s">
        <v>346</v>
      </c>
      <c r="N56" t="s">
        <v>384</v>
      </c>
      <c r="O56" t="s">
        <v>591</v>
      </c>
      <c r="P56" t="s">
        <v>592</v>
      </c>
    </row>
    <row r="57" spans="1:18" x14ac:dyDescent="0.25">
      <c r="A57" t="s">
        <v>625</v>
      </c>
      <c r="B57" t="str">
        <f>LEFT(Tabela3[[#This Row],[Ano/TIPO]],2)</f>
        <v>RT</v>
      </c>
      <c r="D57" t="e">
        <f>_xlfn.XLOOKUP(K57,Base!G:G,Base!I:I)</f>
        <v>#N/A</v>
      </c>
      <c r="E57" t="s">
        <v>593</v>
      </c>
      <c r="F57" t="s">
        <v>594</v>
      </c>
      <c r="G5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7" t="s">
        <v>595</v>
      </c>
      <c r="I57" t="str">
        <f>TEXT(Tabela3[[#This Row],[Data]],"mmmm")</f>
        <v>junho</v>
      </c>
      <c r="J57">
        <f>YEAR(Tabela3[[#This Row],[Data]])</f>
        <v>2026</v>
      </c>
      <c r="K57" t="str">
        <f>_xlfn.CONCAT(Tabela3[[#This Row],[Ano]],Tabela3[[#This Row],[Mês]])</f>
        <v>2026junho</v>
      </c>
      <c r="L57" t="s">
        <v>383</v>
      </c>
      <c r="M57" t="s">
        <v>346</v>
      </c>
      <c r="N57" t="s">
        <v>384</v>
      </c>
      <c r="O57" t="s">
        <v>596</v>
      </c>
      <c r="P57" t="s">
        <v>597</v>
      </c>
    </row>
    <row r="58" spans="1:18" hidden="1" x14ac:dyDescent="0.25">
      <c r="A58" t="s">
        <v>625</v>
      </c>
      <c r="B58" t="str">
        <f>LEFT(Tabela3[[#This Row],[Ano/TIPO]],2)</f>
        <v>RT</v>
      </c>
      <c r="D58" t="e">
        <f>_xlfn.XLOOKUP(K58,Base!G:G,Base!I:I)</f>
        <v>#N/A</v>
      </c>
      <c r="E58" t="s">
        <v>598</v>
      </c>
      <c r="F58" t="s">
        <v>599</v>
      </c>
      <c r="G5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8" t="s">
        <v>600</v>
      </c>
      <c r="I58" t="str">
        <f>TEXT(Tabela3[[#This Row],[Data]],"mmmm")</f>
        <v>abril</v>
      </c>
      <c r="J58">
        <f>YEAR(Tabela3[[#This Row],[Data]])</f>
        <v>2026</v>
      </c>
      <c r="K58" t="str">
        <f>_xlfn.CONCAT(Tabela3[[#This Row],[Ano]],Tabela3[[#This Row],[Mês]])</f>
        <v>2026abril</v>
      </c>
      <c r="L58" t="s">
        <v>510</v>
      </c>
      <c r="M58" t="s">
        <v>353</v>
      </c>
      <c r="N58" t="s">
        <v>601</v>
      </c>
      <c r="O58" t="s">
        <v>602</v>
      </c>
      <c r="P58" t="s">
        <v>603</v>
      </c>
    </row>
    <row r="59" spans="1:18" hidden="1" x14ac:dyDescent="0.25">
      <c r="A59" t="s">
        <v>625</v>
      </c>
      <c r="B59" t="str">
        <f>LEFT(Tabela3[[#This Row],[Ano/TIPO]],2)</f>
        <v>RT</v>
      </c>
      <c r="D59" t="e">
        <f>_xlfn.XLOOKUP(K59,Base!G:G,Base!I:I)</f>
        <v>#N/A</v>
      </c>
      <c r="E59" t="s">
        <v>252</v>
      </c>
      <c r="F59" t="s">
        <v>255</v>
      </c>
      <c r="G5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9" t="s">
        <v>604</v>
      </c>
      <c r="I59" t="str">
        <f>TEXT(Tabela3[[#This Row],[Data]],"mmmm")</f>
        <v>abril</v>
      </c>
      <c r="J59">
        <f>YEAR(Tabela3[[#This Row],[Data]])</f>
        <v>2026</v>
      </c>
      <c r="K59" t="str">
        <f>_xlfn.CONCAT(Tabela3[[#This Row],[Ano]],Tabela3[[#This Row],[Mês]])</f>
        <v>2026abril</v>
      </c>
      <c r="L59" t="s">
        <v>522</v>
      </c>
      <c r="M59" t="s">
        <v>353</v>
      </c>
      <c r="N59" t="s">
        <v>523</v>
      </c>
      <c r="O59" t="s">
        <v>605</v>
      </c>
      <c r="P59" t="s">
        <v>606</v>
      </c>
    </row>
    <row r="60" spans="1:18" hidden="1" x14ac:dyDescent="0.25">
      <c r="A60" t="s">
        <v>625</v>
      </c>
      <c r="B60" t="str">
        <f>LEFT(Tabela3[[#This Row],[Ano/TIPO]],2)</f>
        <v>RT</v>
      </c>
      <c r="D60" t="e">
        <f>_xlfn.XLOOKUP(K60,Base!G:G,Base!I:I)</f>
        <v>#N/A</v>
      </c>
      <c r="E60" t="s">
        <v>35</v>
      </c>
      <c r="F60" t="s">
        <v>607</v>
      </c>
      <c r="G6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0" t="s">
        <v>608</v>
      </c>
      <c r="I60" t="str">
        <f>TEXT(Tabela3[[#This Row],[Data]],"mmmm")</f>
        <v>janeiro</v>
      </c>
      <c r="J60">
        <f>YEAR(Tabela3[[#This Row],[Data]])</f>
        <v>2026</v>
      </c>
      <c r="K60" t="str">
        <f>_xlfn.CONCAT(Tabela3[[#This Row],[Ano]],Tabela3[[#This Row],[Mês]])</f>
        <v>2026janeiro</v>
      </c>
      <c r="L60" t="s">
        <v>522</v>
      </c>
      <c r="M60" t="s">
        <v>353</v>
      </c>
      <c r="N60" t="s">
        <v>523</v>
      </c>
      <c r="O60" t="s">
        <v>609</v>
      </c>
      <c r="P60" t="s">
        <v>610</v>
      </c>
    </row>
    <row r="61" spans="1:18" x14ac:dyDescent="0.25">
      <c r="A61" t="s">
        <v>625</v>
      </c>
      <c r="B61" t="str">
        <f>LEFT(Tabela3[[#This Row],[Ano/TIPO]],2)</f>
        <v>RT</v>
      </c>
      <c r="D61" t="e">
        <f>_xlfn.XLOOKUP(K61,Base!G:G,Base!I:I)</f>
        <v>#N/A</v>
      </c>
      <c r="E61" t="s">
        <v>611</v>
      </c>
      <c r="F61" t="s">
        <v>612</v>
      </c>
      <c r="G6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1" t="s">
        <v>613</v>
      </c>
      <c r="I61" t="str">
        <f>TEXT(Tabela3[[#This Row],[Data]],"mmmm")</f>
        <v>fevereiro</v>
      </c>
      <c r="J61">
        <f>YEAR(Tabela3[[#This Row],[Data]])</f>
        <v>2026</v>
      </c>
      <c r="K61" t="str">
        <f>_xlfn.CONCAT(Tabela3[[#This Row],[Ano]],Tabela3[[#This Row],[Mês]])</f>
        <v>2026fevereiro</v>
      </c>
      <c r="L61" t="s">
        <v>510</v>
      </c>
      <c r="M61" t="s">
        <v>346</v>
      </c>
      <c r="N61" t="s">
        <v>422</v>
      </c>
      <c r="O61" t="s">
        <v>614</v>
      </c>
      <c r="P61" t="s">
        <v>615</v>
      </c>
    </row>
    <row r="62" spans="1:18" hidden="1" x14ac:dyDescent="0.25">
      <c r="A62" t="s">
        <v>625</v>
      </c>
      <c r="B62" t="str">
        <f>LEFT(Tabela3[[#This Row],[Ano/TIPO]],2)</f>
        <v>RT</v>
      </c>
      <c r="D62" t="e">
        <f>_xlfn.XLOOKUP(K62,Base!G:G,Base!I:I)</f>
        <v>#N/A</v>
      </c>
      <c r="E62" t="s">
        <v>68</v>
      </c>
      <c r="F62" t="s">
        <v>616</v>
      </c>
      <c r="G6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2" t="s">
        <v>617</v>
      </c>
      <c r="I62" t="str">
        <f>TEXT(Tabela3[[#This Row],[Data]],"mmmm")</f>
        <v>agosto</v>
      </c>
      <c r="J62">
        <f>YEAR(Tabela3[[#This Row],[Data]])</f>
        <v>2026</v>
      </c>
      <c r="K62" t="str">
        <f>_xlfn.CONCAT(Tabela3[[#This Row],[Ano]],Tabela3[[#This Row],[Mês]])</f>
        <v>2026agosto</v>
      </c>
      <c r="L62" t="s">
        <v>510</v>
      </c>
      <c r="M62" t="s">
        <v>353</v>
      </c>
      <c r="N62" t="s">
        <v>422</v>
      </c>
      <c r="O62" t="s">
        <v>618</v>
      </c>
      <c r="P62" t="s">
        <v>619</v>
      </c>
    </row>
    <row r="63" spans="1:18" x14ac:dyDescent="0.25">
      <c r="A63" t="s">
        <v>625</v>
      </c>
      <c r="B63" t="str">
        <f>LEFT(Tabela3[[#This Row],[Ano/TIPO]],2)</f>
        <v>RT</v>
      </c>
      <c r="D63" t="e">
        <f>_xlfn.XLOOKUP(K63,Base!G:G,Base!I:I)</f>
        <v>#N/A</v>
      </c>
      <c r="E63" t="s">
        <v>620</v>
      </c>
      <c r="F63" t="s">
        <v>621</v>
      </c>
      <c r="G6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63" t="s">
        <v>622</v>
      </c>
      <c r="I63" t="str">
        <f>TEXT(Tabela3[[#This Row],[Data]],"mmmm")</f>
        <v>março</v>
      </c>
      <c r="J63">
        <f>YEAR(Tabela3[[#This Row],[Data]])</f>
        <v>2026</v>
      </c>
      <c r="K63" t="str">
        <f>_xlfn.CONCAT(Tabela3[[#This Row],[Ano]],Tabela3[[#This Row],[Mês]])</f>
        <v>2026março</v>
      </c>
      <c r="L63" t="s">
        <v>510</v>
      </c>
      <c r="M63" t="s">
        <v>346</v>
      </c>
      <c r="N63" t="s">
        <v>568</v>
      </c>
      <c r="O63" t="s">
        <v>623</v>
      </c>
      <c r="P63" t="s">
        <v>624</v>
      </c>
    </row>
    <row r="64" spans="1:18" hidden="1" x14ac:dyDescent="0.25">
      <c r="A64" t="s">
        <v>730</v>
      </c>
      <c r="B64" t="str">
        <f>LEFT(Tabela3[[#This Row],[Ano/TIPO]],2)</f>
        <v>RL</v>
      </c>
      <c r="D64" t="e">
        <f>_xlfn.XLOOKUP(K64,Base!G:G,Base!I:I)</f>
        <v>#N/A</v>
      </c>
      <c r="E64" t="s">
        <v>162</v>
      </c>
      <c r="F64" t="s">
        <v>164</v>
      </c>
      <c r="G6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4" t="s">
        <v>626</v>
      </c>
      <c r="I64" t="str">
        <f>TEXT(Tabela3[[#This Row],[Data]],"mmmm")</f>
        <v>janeiro</v>
      </c>
      <c r="J64">
        <f>YEAR(Tabela3[[#This Row],[Data]])</f>
        <v>2026</v>
      </c>
      <c r="K64" t="str">
        <f>_xlfn.CONCAT(Tabela3[[#This Row],[Ano]],Tabela3[[#This Row],[Mês]])</f>
        <v>2026janeiro</v>
      </c>
      <c r="L64" t="s">
        <v>345</v>
      </c>
      <c r="M64" t="s">
        <v>353</v>
      </c>
      <c r="N64" t="s">
        <v>347</v>
      </c>
      <c r="O64" t="s">
        <v>627</v>
      </c>
      <c r="P64" t="s">
        <v>628</v>
      </c>
      <c r="Q64" t="s">
        <v>629</v>
      </c>
    </row>
    <row r="65" spans="1:17" hidden="1" x14ac:dyDescent="0.25">
      <c r="A65" t="s">
        <v>730</v>
      </c>
      <c r="B65" t="str">
        <f>LEFT(Tabela3[[#This Row],[Ano/TIPO]],2)</f>
        <v>RL</v>
      </c>
      <c r="D65" t="e">
        <f>_xlfn.XLOOKUP(K65,Base!G:G,Base!I:I)</f>
        <v>#N/A</v>
      </c>
      <c r="E65" t="s">
        <v>167</v>
      </c>
      <c r="F65" t="s">
        <v>169</v>
      </c>
      <c r="G6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5" t="s">
        <v>630</v>
      </c>
      <c r="I65" t="str">
        <f>TEXT(Tabela3[[#This Row],[Data]],"mmmm")</f>
        <v>março</v>
      </c>
      <c r="J65">
        <f>YEAR(Tabela3[[#This Row],[Data]])</f>
        <v>2026</v>
      </c>
      <c r="K65" t="str">
        <f>_xlfn.CONCAT(Tabela3[[#This Row],[Ano]],Tabela3[[#This Row],[Mês]])</f>
        <v>2026março</v>
      </c>
      <c r="L65" t="s">
        <v>362</v>
      </c>
      <c r="M65" t="s">
        <v>353</v>
      </c>
      <c r="N65" t="s">
        <v>347</v>
      </c>
      <c r="O65" t="s">
        <v>631</v>
      </c>
      <c r="P65" t="s">
        <v>632</v>
      </c>
    </row>
    <row r="66" spans="1:17" hidden="1" x14ac:dyDescent="0.25">
      <c r="A66" t="s">
        <v>730</v>
      </c>
      <c r="B66" t="str">
        <f>LEFT(Tabela3[[#This Row],[Ano/TIPO]],2)</f>
        <v>RL</v>
      </c>
      <c r="D66" t="e">
        <f>_xlfn.XLOOKUP(K66,Base!G:G,Base!I:I)</f>
        <v>#N/A</v>
      </c>
      <c r="E66" t="s">
        <v>94</v>
      </c>
      <c r="F66" t="s">
        <v>633</v>
      </c>
      <c r="G6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6" t="s">
        <v>634</v>
      </c>
      <c r="I66" t="str">
        <f>TEXT(Tabela3[[#This Row],[Data]],"mmmm")</f>
        <v>fevereiro</v>
      </c>
      <c r="J66">
        <f>YEAR(Tabela3[[#This Row],[Data]])</f>
        <v>2026</v>
      </c>
      <c r="K66" t="str">
        <f>_xlfn.CONCAT(Tabela3[[#This Row],[Ano]],Tabela3[[#This Row],[Mês]])</f>
        <v>2026fevereiro</v>
      </c>
      <c r="L66" t="s">
        <v>362</v>
      </c>
      <c r="M66" t="s">
        <v>353</v>
      </c>
      <c r="N66" t="s">
        <v>347</v>
      </c>
      <c r="O66" t="s">
        <v>635</v>
      </c>
      <c r="P66" t="s">
        <v>636</v>
      </c>
    </row>
    <row r="67" spans="1:17" x14ac:dyDescent="0.25">
      <c r="A67" t="s">
        <v>730</v>
      </c>
      <c r="B67" t="str">
        <f>LEFT(Tabela3[[#This Row],[Ano/TIPO]],2)</f>
        <v>RL</v>
      </c>
      <c r="D67" t="e">
        <f>_xlfn.XLOOKUP(K67,Base!G:G,Base!I:I)</f>
        <v>#N/A</v>
      </c>
      <c r="E67" t="s">
        <v>637</v>
      </c>
      <c r="F67" t="s">
        <v>638</v>
      </c>
      <c r="G6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7" t="s">
        <v>639</v>
      </c>
      <c r="I67" t="str">
        <f>TEXT(Tabela3[[#This Row],[Data]],"mmmm")</f>
        <v>julho</v>
      </c>
      <c r="J67">
        <f>YEAR(Tabela3[[#This Row],[Data]])</f>
        <v>2026</v>
      </c>
      <c r="K67" t="str">
        <f>_xlfn.CONCAT(Tabela3[[#This Row],[Ano]],Tabela3[[#This Row],[Mês]])</f>
        <v>2026julho</v>
      </c>
      <c r="L67" t="s">
        <v>383</v>
      </c>
      <c r="M67" t="s">
        <v>346</v>
      </c>
      <c r="N67" t="s">
        <v>347</v>
      </c>
      <c r="O67" t="s">
        <v>640</v>
      </c>
      <c r="P67" t="s">
        <v>641</v>
      </c>
    </row>
    <row r="68" spans="1:17" hidden="1" x14ac:dyDescent="0.25">
      <c r="A68" t="s">
        <v>730</v>
      </c>
      <c r="B68" t="str">
        <f>LEFT(Tabela3[[#This Row],[Ano/TIPO]],2)</f>
        <v>RL</v>
      </c>
      <c r="D68" t="e">
        <f>_xlfn.XLOOKUP(K68,Base!G:G,Base!I:I)</f>
        <v>#N/A</v>
      </c>
      <c r="E68" t="s">
        <v>642</v>
      </c>
      <c r="F68" t="s">
        <v>643</v>
      </c>
      <c r="G6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8" t="s">
        <v>644</v>
      </c>
      <c r="I68" t="str">
        <f>TEXT(Tabela3[[#This Row],[Data]],"mmmm")</f>
        <v>março</v>
      </c>
      <c r="J68">
        <f>YEAR(Tabela3[[#This Row],[Data]])</f>
        <v>2026</v>
      </c>
      <c r="K68" t="str">
        <f>_xlfn.CONCAT(Tabela3[[#This Row],[Ano]],Tabela3[[#This Row],[Mês]])</f>
        <v>2026março</v>
      </c>
      <c r="L68" t="s">
        <v>383</v>
      </c>
      <c r="M68" t="s">
        <v>353</v>
      </c>
      <c r="N68" t="s">
        <v>384</v>
      </c>
      <c r="O68" t="s">
        <v>645</v>
      </c>
      <c r="P68" t="s">
        <v>646</v>
      </c>
    </row>
    <row r="69" spans="1:17" hidden="1" x14ac:dyDescent="0.25">
      <c r="A69" t="s">
        <v>730</v>
      </c>
      <c r="B69" t="str">
        <f>LEFT(Tabela3[[#This Row],[Ano/TIPO]],2)</f>
        <v>RL</v>
      </c>
      <c r="D69" t="e">
        <f>_xlfn.XLOOKUP(K69,Base!G:G,Base!I:I)</f>
        <v>#N/A</v>
      </c>
      <c r="E69" t="s">
        <v>279</v>
      </c>
      <c r="F69" t="s">
        <v>282</v>
      </c>
      <c r="G69" t="e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#N/A</v>
      </c>
      <c r="H69" t="s">
        <v>647</v>
      </c>
      <c r="I69" t="str">
        <f>TEXT(Tabela3[[#This Row],[Data]],"mmmm")</f>
        <v>julho</v>
      </c>
      <c r="J69">
        <f>YEAR(Tabela3[[#This Row],[Data]])</f>
        <v>2026</v>
      </c>
      <c r="K69" t="str">
        <f>_xlfn.CONCAT(Tabela3[[#This Row],[Ano]],Tabela3[[#This Row],[Mês]])</f>
        <v>2026julho</v>
      </c>
      <c r="L69" t="s">
        <v>345</v>
      </c>
      <c r="M69" t="s">
        <v>353</v>
      </c>
      <c r="N69" t="s">
        <v>384</v>
      </c>
      <c r="O69" t="s">
        <v>648</v>
      </c>
      <c r="P69" t="s">
        <v>649</v>
      </c>
      <c r="Q69" t="s">
        <v>650</v>
      </c>
    </row>
    <row r="70" spans="1:17" hidden="1" x14ac:dyDescent="0.25">
      <c r="A70" t="s">
        <v>730</v>
      </c>
      <c r="B70" t="str">
        <f>LEFT(Tabela3[[#This Row],[Ano/TIPO]],2)</f>
        <v>RL</v>
      </c>
      <c r="D70" t="e">
        <f>_xlfn.XLOOKUP(K70,Base!G:G,Base!I:I)</f>
        <v>#N/A</v>
      </c>
      <c r="E70" t="s">
        <v>150</v>
      </c>
      <c r="F70" t="s">
        <v>153</v>
      </c>
      <c r="G7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0" t="s">
        <v>651</v>
      </c>
      <c r="I70" t="str">
        <f>TEXT(Tabela3[[#This Row],[Data]],"mmmm")</f>
        <v>março</v>
      </c>
      <c r="J70">
        <f>YEAR(Tabela3[[#This Row],[Data]])</f>
        <v>2026</v>
      </c>
      <c r="K70" t="str">
        <f>_xlfn.CONCAT(Tabela3[[#This Row],[Ano]],Tabela3[[#This Row],[Mês]])</f>
        <v>2026março</v>
      </c>
      <c r="L70" t="s">
        <v>383</v>
      </c>
      <c r="M70" t="s">
        <v>353</v>
      </c>
      <c r="N70" t="s">
        <v>384</v>
      </c>
      <c r="O70" t="s">
        <v>652</v>
      </c>
      <c r="P70" t="s">
        <v>653</v>
      </c>
    </row>
    <row r="71" spans="1:17" hidden="1" x14ac:dyDescent="0.25">
      <c r="A71" t="s">
        <v>730</v>
      </c>
      <c r="B71" t="str">
        <f>LEFT(Tabela3[[#This Row],[Ano/TIPO]],2)</f>
        <v>RL</v>
      </c>
      <c r="D71" t="e">
        <f>_xlfn.XLOOKUP(K71,Base!G:G,Base!I:I)</f>
        <v>#N/A</v>
      </c>
      <c r="E71" t="s">
        <v>231</v>
      </c>
      <c r="F71" t="s">
        <v>654</v>
      </c>
      <c r="G7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1" t="s">
        <v>622</v>
      </c>
      <c r="I71" t="str">
        <f>TEXT(Tabela3[[#This Row],[Data]],"mmmm")</f>
        <v>março</v>
      </c>
      <c r="J71">
        <f>YEAR(Tabela3[[#This Row],[Data]])</f>
        <v>2026</v>
      </c>
      <c r="K71" t="str">
        <f>_xlfn.CONCAT(Tabela3[[#This Row],[Ano]],Tabela3[[#This Row],[Mês]])</f>
        <v>2026março</v>
      </c>
      <c r="L71" t="s">
        <v>383</v>
      </c>
      <c r="M71" t="s">
        <v>353</v>
      </c>
      <c r="N71" t="s">
        <v>384</v>
      </c>
      <c r="O71" t="s">
        <v>655</v>
      </c>
      <c r="P71" t="s">
        <v>656</v>
      </c>
    </row>
    <row r="72" spans="1:17" hidden="1" x14ac:dyDescent="0.25">
      <c r="A72" t="s">
        <v>730</v>
      </c>
      <c r="B72" t="str">
        <f>LEFT(Tabela3[[#This Row],[Ano/TIPO]],2)</f>
        <v>RL</v>
      </c>
      <c r="D72" t="e">
        <f>_xlfn.XLOOKUP(K72,Base!G:G,Base!I:I)</f>
        <v>#N/A</v>
      </c>
      <c r="E72" t="s">
        <v>44</v>
      </c>
      <c r="F72" t="s">
        <v>657</v>
      </c>
      <c r="G7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2" t="s">
        <v>658</v>
      </c>
      <c r="I72" t="str">
        <f>TEXT(Tabela3[[#This Row],[Data]],"mmmm")</f>
        <v>março</v>
      </c>
      <c r="J72">
        <f>YEAR(Tabela3[[#This Row],[Data]])</f>
        <v>2026</v>
      </c>
      <c r="K72" t="str">
        <f>_xlfn.CONCAT(Tabela3[[#This Row],[Ano]],Tabela3[[#This Row],[Mês]])</f>
        <v>2026março</v>
      </c>
      <c r="L72" t="s">
        <v>345</v>
      </c>
      <c r="M72" t="s">
        <v>353</v>
      </c>
      <c r="N72" t="s">
        <v>422</v>
      </c>
      <c r="O72" t="s">
        <v>659</v>
      </c>
      <c r="P72" t="s">
        <v>660</v>
      </c>
    </row>
    <row r="73" spans="1:17" hidden="1" x14ac:dyDescent="0.25">
      <c r="A73" t="s">
        <v>730</v>
      </c>
      <c r="B73" t="str">
        <f>LEFT(Tabela3[[#This Row],[Ano/TIPO]],2)</f>
        <v>RL</v>
      </c>
      <c r="D73" t="e">
        <f>_xlfn.XLOOKUP(K73,Base!G:G,Base!I:I)</f>
        <v>#N/A</v>
      </c>
      <c r="E73" t="s">
        <v>661</v>
      </c>
      <c r="F73" t="s">
        <v>662</v>
      </c>
      <c r="G7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3" t="s">
        <v>663</v>
      </c>
      <c r="I73" t="str">
        <f>TEXT(Tabela3[[#This Row],[Data]],"mmmm")</f>
        <v>abril</v>
      </c>
      <c r="J73">
        <f>YEAR(Tabela3[[#This Row],[Data]])</f>
        <v>2026</v>
      </c>
      <c r="K73" t="str">
        <f>_xlfn.CONCAT(Tabela3[[#This Row],[Ano]],Tabela3[[#This Row],[Mês]])</f>
        <v>2026abril</v>
      </c>
      <c r="L73" t="s">
        <v>362</v>
      </c>
      <c r="M73" t="s">
        <v>353</v>
      </c>
      <c r="N73" t="s">
        <v>422</v>
      </c>
      <c r="O73" t="s">
        <v>664</v>
      </c>
      <c r="P73" t="s">
        <v>665</v>
      </c>
    </row>
    <row r="74" spans="1:17" x14ac:dyDescent="0.25">
      <c r="A74" t="s">
        <v>730</v>
      </c>
      <c r="B74" t="str">
        <f>LEFT(Tabela3[[#This Row],[Ano/TIPO]],2)</f>
        <v>RL</v>
      </c>
      <c r="D74" t="e">
        <f>_xlfn.XLOOKUP(K74,Base!G:G,Base!I:I)</f>
        <v>#N/A</v>
      </c>
      <c r="E74" t="s">
        <v>666</v>
      </c>
      <c r="F74" t="s">
        <v>667</v>
      </c>
      <c r="G7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4" t="s">
        <v>626</v>
      </c>
      <c r="I74" t="str">
        <f>TEXT(Tabela3[[#This Row],[Data]],"mmmm")</f>
        <v>janeiro</v>
      </c>
      <c r="J74">
        <f>YEAR(Tabela3[[#This Row],[Data]])</f>
        <v>2026</v>
      </c>
      <c r="K74" t="str">
        <f>_xlfn.CONCAT(Tabela3[[#This Row],[Ano]],Tabela3[[#This Row],[Mês]])</f>
        <v>2026janeiro</v>
      </c>
      <c r="L74" t="s">
        <v>362</v>
      </c>
      <c r="M74" t="s">
        <v>346</v>
      </c>
      <c r="N74" t="s">
        <v>422</v>
      </c>
      <c r="O74" t="s">
        <v>668</v>
      </c>
      <c r="P74" t="s">
        <v>669</v>
      </c>
    </row>
    <row r="75" spans="1:17" hidden="1" x14ac:dyDescent="0.25">
      <c r="A75" t="s">
        <v>730</v>
      </c>
      <c r="B75" t="str">
        <f>LEFT(Tabela3[[#This Row],[Ano/TIPO]],2)</f>
        <v>RL</v>
      </c>
      <c r="D75" t="e">
        <f>_xlfn.XLOOKUP(K75,Base!G:G,Base!I:I)</f>
        <v>#N/A</v>
      </c>
      <c r="E75" t="s">
        <v>666</v>
      </c>
      <c r="F75" t="s">
        <v>667</v>
      </c>
      <c r="G7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5" t="s">
        <v>626</v>
      </c>
      <c r="I75" t="str">
        <f>TEXT(Tabela3[[#This Row],[Data]],"mmmm")</f>
        <v>janeiro</v>
      </c>
      <c r="J75">
        <f>YEAR(Tabela3[[#This Row],[Data]])</f>
        <v>2026</v>
      </c>
      <c r="K75" t="str">
        <f>_xlfn.CONCAT(Tabela3[[#This Row],[Ano]],Tabela3[[#This Row],[Mês]])</f>
        <v>2026janeiro</v>
      </c>
      <c r="L75" t="s">
        <v>383</v>
      </c>
      <c r="M75" t="s">
        <v>353</v>
      </c>
      <c r="N75" t="s">
        <v>422</v>
      </c>
      <c r="O75" t="s">
        <v>668</v>
      </c>
      <c r="P75" t="s">
        <v>670</v>
      </c>
    </row>
    <row r="76" spans="1:17" hidden="1" x14ac:dyDescent="0.25">
      <c r="A76" t="s">
        <v>730</v>
      </c>
      <c r="B76" t="str">
        <f>LEFT(Tabela3[[#This Row],[Ano/TIPO]],2)</f>
        <v>RL</v>
      </c>
      <c r="D76" t="e">
        <f>_xlfn.XLOOKUP(K76,Base!G:G,Base!I:I)</f>
        <v>#N/A</v>
      </c>
      <c r="E76" t="s">
        <v>241</v>
      </c>
      <c r="F76" t="s">
        <v>244</v>
      </c>
      <c r="G7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6" t="s">
        <v>671</v>
      </c>
      <c r="I76" t="str">
        <f>TEXT(Tabela3[[#This Row],[Data]],"mmmm")</f>
        <v>junho</v>
      </c>
      <c r="J76">
        <f>YEAR(Tabela3[[#This Row],[Data]])</f>
        <v>2026</v>
      </c>
      <c r="K76" t="str">
        <f>_xlfn.CONCAT(Tabela3[[#This Row],[Ano]],Tabela3[[#This Row],[Mês]])</f>
        <v>2026junho</v>
      </c>
      <c r="L76" t="s">
        <v>362</v>
      </c>
      <c r="M76" t="s">
        <v>353</v>
      </c>
      <c r="N76" t="s">
        <v>422</v>
      </c>
      <c r="O76" t="s">
        <v>672</v>
      </c>
      <c r="P76" t="s">
        <v>673</v>
      </c>
    </row>
    <row r="77" spans="1:17" hidden="1" x14ac:dyDescent="0.25">
      <c r="A77" t="s">
        <v>730</v>
      </c>
      <c r="B77" t="str">
        <f>LEFT(Tabela3[[#This Row],[Ano/TIPO]],2)</f>
        <v>RL</v>
      </c>
      <c r="D77" t="e">
        <f>_xlfn.XLOOKUP(K77,Base!G:G,Base!I:I)</f>
        <v>#N/A</v>
      </c>
      <c r="E77" t="s">
        <v>256</v>
      </c>
      <c r="F77" t="s">
        <v>674</v>
      </c>
      <c r="G7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7" t="s">
        <v>675</v>
      </c>
      <c r="I77" t="str">
        <f>TEXT(Tabela3[[#This Row],[Data]],"mmmm")</f>
        <v>fevereiro</v>
      </c>
      <c r="J77">
        <f>YEAR(Tabela3[[#This Row],[Data]])</f>
        <v>2026</v>
      </c>
      <c r="K77" t="str">
        <f>_xlfn.CONCAT(Tabela3[[#This Row],[Ano]],Tabela3[[#This Row],[Mês]])</f>
        <v>2026fevereiro</v>
      </c>
      <c r="L77" t="s">
        <v>345</v>
      </c>
      <c r="M77" t="s">
        <v>353</v>
      </c>
      <c r="N77" t="s">
        <v>422</v>
      </c>
      <c r="O77" t="s">
        <v>676</v>
      </c>
      <c r="P77" t="s">
        <v>677</v>
      </c>
    </row>
    <row r="78" spans="1:17" hidden="1" x14ac:dyDescent="0.25">
      <c r="A78" t="s">
        <v>730</v>
      </c>
      <c r="B78" t="str">
        <f>LEFT(Tabela3[[#This Row],[Ano/TIPO]],2)</f>
        <v>RL</v>
      </c>
      <c r="D78" t="e">
        <f>_xlfn.XLOOKUP(K78,Base!G:G,Base!I:I)</f>
        <v>#N/A</v>
      </c>
      <c r="E78" t="s">
        <v>208</v>
      </c>
      <c r="F78" t="s">
        <v>678</v>
      </c>
      <c r="G7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8" t="s">
        <v>679</v>
      </c>
      <c r="I78" t="str">
        <f>TEXT(Tabela3[[#This Row],[Data]],"mmmm")</f>
        <v>fevereiro</v>
      </c>
      <c r="J78">
        <f>YEAR(Tabela3[[#This Row],[Data]])</f>
        <v>2026</v>
      </c>
      <c r="K78" t="str">
        <f>_xlfn.CONCAT(Tabela3[[#This Row],[Ano]],Tabela3[[#This Row],[Mês]])</f>
        <v>2026fevereiro</v>
      </c>
      <c r="L78" t="s">
        <v>362</v>
      </c>
      <c r="M78" t="s">
        <v>353</v>
      </c>
      <c r="N78" t="s">
        <v>422</v>
      </c>
      <c r="O78" t="s">
        <v>680</v>
      </c>
      <c r="P78" t="s">
        <v>681</v>
      </c>
    </row>
    <row r="79" spans="1:17" hidden="1" x14ac:dyDescent="0.25">
      <c r="A79" t="s">
        <v>730</v>
      </c>
      <c r="B79" t="str">
        <f>LEFT(Tabela3[[#This Row],[Ano/TIPO]],2)</f>
        <v>RL</v>
      </c>
      <c r="D79" t="e">
        <f>_xlfn.XLOOKUP(K79,Base!G:G,Base!I:I)</f>
        <v>#N/A</v>
      </c>
      <c r="E79" t="s">
        <v>13</v>
      </c>
      <c r="F79" t="s">
        <v>682</v>
      </c>
      <c r="G7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9" t="s">
        <v>683</v>
      </c>
      <c r="I79" t="str">
        <f>TEXT(Tabela3[[#This Row],[Data]],"mmmm")</f>
        <v>março</v>
      </c>
      <c r="J79">
        <f>YEAR(Tabela3[[#This Row],[Data]])</f>
        <v>2026</v>
      </c>
      <c r="K79" t="str">
        <f>_xlfn.CONCAT(Tabela3[[#This Row],[Ano]],Tabela3[[#This Row],[Mês]])</f>
        <v>2026março</v>
      </c>
      <c r="L79" t="s">
        <v>383</v>
      </c>
      <c r="M79" t="s">
        <v>353</v>
      </c>
      <c r="N79" t="s">
        <v>422</v>
      </c>
      <c r="O79" t="s">
        <v>684</v>
      </c>
      <c r="P79" t="s">
        <v>685</v>
      </c>
    </row>
    <row r="80" spans="1:17" hidden="1" x14ac:dyDescent="0.25">
      <c r="A80" t="s">
        <v>730</v>
      </c>
      <c r="B80" t="str">
        <f>LEFT(Tabela3[[#This Row],[Ano/TIPO]],2)</f>
        <v>RL</v>
      </c>
      <c r="D80" t="e">
        <f>_xlfn.XLOOKUP(K80,Base!G:G,Base!I:I)</f>
        <v>#N/A</v>
      </c>
      <c r="E80" t="s">
        <v>81</v>
      </c>
      <c r="F80" t="s">
        <v>84</v>
      </c>
      <c r="G8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0" t="s">
        <v>686</v>
      </c>
      <c r="I80" t="str">
        <f>TEXT(Tabela3[[#This Row],[Data]],"mmmm")</f>
        <v>março</v>
      </c>
      <c r="J80">
        <f>YEAR(Tabela3[[#This Row],[Data]])</f>
        <v>2026</v>
      </c>
      <c r="K80" t="str">
        <f>_xlfn.CONCAT(Tabela3[[#This Row],[Ano]],Tabela3[[#This Row],[Mês]])</f>
        <v>2026março</v>
      </c>
      <c r="L80" t="s">
        <v>362</v>
      </c>
      <c r="M80" t="s">
        <v>353</v>
      </c>
      <c r="N80" t="s">
        <v>422</v>
      </c>
      <c r="O80" t="s">
        <v>687</v>
      </c>
      <c r="P80" t="s">
        <v>688</v>
      </c>
    </row>
    <row r="81" spans="1:17" hidden="1" x14ac:dyDescent="0.25">
      <c r="A81" t="s">
        <v>730</v>
      </c>
      <c r="B81" t="str">
        <f>LEFT(Tabela3[[#This Row],[Ano/TIPO]],2)</f>
        <v>RL</v>
      </c>
      <c r="D81" t="e">
        <f>_xlfn.XLOOKUP(K81,Base!G:G,Base!I:I)</f>
        <v>#N/A</v>
      </c>
      <c r="E81" t="s">
        <v>260</v>
      </c>
      <c r="F81" t="s">
        <v>689</v>
      </c>
      <c r="G8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1" t="s">
        <v>690</v>
      </c>
      <c r="I81" t="str">
        <f>TEXT(Tabela3[[#This Row],[Data]],"mmmm")</f>
        <v>fevereiro</v>
      </c>
      <c r="J81">
        <f>YEAR(Tabela3[[#This Row],[Data]])</f>
        <v>2026</v>
      </c>
      <c r="K81" t="str">
        <f>_xlfn.CONCAT(Tabela3[[#This Row],[Ano]],Tabela3[[#This Row],[Mês]])</f>
        <v>2026fevereiro</v>
      </c>
      <c r="L81" t="s">
        <v>362</v>
      </c>
      <c r="M81" t="s">
        <v>353</v>
      </c>
      <c r="N81" t="s">
        <v>422</v>
      </c>
      <c r="O81" t="s">
        <v>691</v>
      </c>
      <c r="P81" t="s">
        <v>692</v>
      </c>
    </row>
    <row r="82" spans="1:17" x14ac:dyDescent="0.25">
      <c r="A82" t="s">
        <v>730</v>
      </c>
      <c r="B82" t="str">
        <f>LEFT(Tabela3[[#This Row],[Ano/TIPO]],2)</f>
        <v>RL</v>
      </c>
      <c r="D82" t="e">
        <f>_xlfn.XLOOKUP(K82,Base!G:G,Base!I:I)</f>
        <v>#N/A</v>
      </c>
      <c r="E82" t="s">
        <v>693</v>
      </c>
      <c r="F82" t="s">
        <v>694</v>
      </c>
      <c r="G8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82" t="s">
        <v>695</v>
      </c>
      <c r="I82" t="str">
        <f>TEXT(Tabela3[[#This Row],[Data]],"mmmm")</f>
        <v>janeiro</v>
      </c>
      <c r="J82">
        <f>YEAR(Tabela3[[#This Row],[Data]])</f>
        <v>2026</v>
      </c>
      <c r="K82" t="str">
        <f>_xlfn.CONCAT(Tabela3[[#This Row],[Ano]],Tabela3[[#This Row],[Mês]])</f>
        <v>2026janeiro</v>
      </c>
      <c r="L82" t="s">
        <v>362</v>
      </c>
      <c r="M82" t="s">
        <v>346</v>
      </c>
      <c r="N82" t="s">
        <v>422</v>
      </c>
      <c r="O82" t="s">
        <v>696</v>
      </c>
      <c r="P82" t="s">
        <v>697</v>
      </c>
    </row>
    <row r="83" spans="1:17" hidden="1" x14ac:dyDescent="0.25">
      <c r="A83" t="s">
        <v>730</v>
      </c>
      <c r="B83" t="str">
        <f>LEFT(Tabela3[[#This Row],[Ano/TIPO]],2)</f>
        <v>RL</v>
      </c>
      <c r="D83" t="e">
        <f>_xlfn.XLOOKUP(K83,Base!G:G,Base!I:I)</f>
        <v>#N/A</v>
      </c>
      <c r="E83" t="s">
        <v>171</v>
      </c>
      <c r="F83" t="s">
        <v>174</v>
      </c>
      <c r="G8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3" t="s">
        <v>698</v>
      </c>
      <c r="I83" t="str">
        <f>TEXT(Tabela3[[#This Row],[Data]],"mmmm")</f>
        <v>fevereiro</v>
      </c>
      <c r="J83">
        <f>YEAR(Tabela3[[#This Row],[Data]])</f>
        <v>2026</v>
      </c>
      <c r="K83" t="str">
        <f>_xlfn.CONCAT(Tabela3[[#This Row],[Ano]],Tabela3[[#This Row],[Mês]])</f>
        <v>2026fevereiro</v>
      </c>
      <c r="L83" t="s">
        <v>362</v>
      </c>
      <c r="M83" t="s">
        <v>353</v>
      </c>
      <c r="N83" t="s">
        <v>422</v>
      </c>
      <c r="O83" t="s">
        <v>699</v>
      </c>
      <c r="P83" t="s">
        <v>700</v>
      </c>
    </row>
    <row r="84" spans="1:17" hidden="1" x14ac:dyDescent="0.25">
      <c r="A84" t="s">
        <v>730</v>
      </c>
      <c r="B84" t="str">
        <f>LEFT(Tabela3[[#This Row],[Ano/TIPO]],2)</f>
        <v>RL</v>
      </c>
      <c r="D84" t="e">
        <f>_xlfn.XLOOKUP(K84,Base!G:G,Base!I:I)</f>
        <v>#N/A</v>
      </c>
      <c r="E84" t="s">
        <v>62</v>
      </c>
      <c r="F84" t="s">
        <v>65</v>
      </c>
      <c r="G8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4" t="s">
        <v>604</v>
      </c>
      <c r="I84" t="str">
        <f>TEXT(Tabela3[[#This Row],[Data]],"mmmm")</f>
        <v>abril</v>
      </c>
      <c r="J84">
        <f>YEAR(Tabela3[[#This Row],[Data]])</f>
        <v>2026</v>
      </c>
      <c r="K84" t="str">
        <f>_xlfn.CONCAT(Tabela3[[#This Row],[Ano]],Tabela3[[#This Row],[Mês]])</f>
        <v>2026abril</v>
      </c>
      <c r="L84" t="s">
        <v>345</v>
      </c>
      <c r="M84" t="s">
        <v>353</v>
      </c>
      <c r="N84" t="s">
        <v>422</v>
      </c>
      <c r="O84" t="s">
        <v>701</v>
      </c>
      <c r="P84" t="s">
        <v>702</v>
      </c>
      <c r="Q84" t="s">
        <v>703</v>
      </c>
    </row>
    <row r="85" spans="1:17" hidden="1" x14ac:dyDescent="0.25">
      <c r="A85" t="s">
        <v>730</v>
      </c>
      <c r="B85" t="str">
        <f>LEFT(Tabela3[[#This Row],[Ano/TIPO]],2)</f>
        <v>RL</v>
      </c>
      <c r="D85" t="e">
        <f>_xlfn.XLOOKUP(K85,Base!G:G,Base!I:I)</f>
        <v>#N/A</v>
      </c>
      <c r="E85" t="s">
        <v>125</v>
      </c>
      <c r="F85" t="s">
        <v>128</v>
      </c>
      <c r="G8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5" t="s">
        <v>704</v>
      </c>
      <c r="I85" t="str">
        <f>TEXT(Tabela3[[#This Row],[Data]],"mmmm")</f>
        <v>janeiro</v>
      </c>
      <c r="J85">
        <f>YEAR(Tabela3[[#This Row],[Data]])</f>
        <v>2026</v>
      </c>
      <c r="K85" t="str">
        <f>_xlfn.CONCAT(Tabela3[[#This Row],[Ano]],Tabela3[[#This Row],[Mês]])</f>
        <v>2026janeiro</v>
      </c>
      <c r="L85" t="s">
        <v>362</v>
      </c>
      <c r="M85" t="s">
        <v>353</v>
      </c>
      <c r="N85" t="s">
        <v>422</v>
      </c>
      <c r="O85" t="s">
        <v>705</v>
      </c>
      <c r="P85" t="s">
        <v>706</v>
      </c>
      <c r="Q85" t="s">
        <v>707</v>
      </c>
    </row>
    <row r="86" spans="1:17" hidden="1" x14ac:dyDescent="0.25">
      <c r="A86" t="s">
        <v>730</v>
      </c>
      <c r="B86" t="str">
        <f>LEFT(Tabela3[[#This Row],[Ano/TIPO]],2)</f>
        <v>RL</v>
      </c>
      <c r="D86" t="e">
        <f>_xlfn.XLOOKUP(K86,Base!G:G,Base!I:I)</f>
        <v>#N/A</v>
      </c>
      <c r="E86" t="s">
        <v>22</v>
      </c>
      <c r="F86" t="s">
        <v>25</v>
      </c>
      <c r="G8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86" t="s">
        <v>708</v>
      </c>
      <c r="I86" t="str">
        <f>TEXT(Tabela3[[#This Row],[Data]],"mmmm")</f>
        <v>janeiro</v>
      </c>
      <c r="J86">
        <f>YEAR(Tabela3[[#This Row],[Data]])</f>
        <v>2026</v>
      </c>
      <c r="K86" t="str">
        <f>_xlfn.CONCAT(Tabela3[[#This Row],[Ano]],Tabela3[[#This Row],[Mês]])</f>
        <v>2026janeiro</v>
      </c>
      <c r="L86" t="s">
        <v>362</v>
      </c>
      <c r="M86" t="s">
        <v>353</v>
      </c>
      <c r="N86" t="s">
        <v>422</v>
      </c>
      <c r="O86" t="s">
        <v>709</v>
      </c>
      <c r="P86" t="s">
        <v>710</v>
      </c>
    </row>
    <row r="87" spans="1:17" x14ac:dyDescent="0.25">
      <c r="A87" t="s">
        <v>730</v>
      </c>
      <c r="B87" t="str">
        <f>LEFT(Tabela3[[#This Row],[Ano/TIPO]],2)</f>
        <v>RL</v>
      </c>
      <c r="D87" t="e">
        <f>_xlfn.XLOOKUP(K87,Base!G:G,Base!I:I)</f>
        <v>#N/A</v>
      </c>
      <c r="E87" t="s">
        <v>711</v>
      </c>
      <c r="F87" t="s">
        <v>712</v>
      </c>
      <c r="G8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7" t="s">
        <v>713</v>
      </c>
      <c r="I87" t="str">
        <f>TEXT(Tabela3[[#This Row],[Data]],"mmmm")</f>
        <v>abril</v>
      </c>
      <c r="J87">
        <f>YEAR(Tabela3[[#This Row],[Data]])</f>
        <v>2026</v>
      </c>
      <c r="K87" t="str">
        <f>_xlfn.CONCAT(Tabela3[[#This Row],[Ano]],Tabela3[[#This Row],[Mês]])</f>
        <v>2026abril</v>
      </c>
      <c r="L87" t="s">
        <v>362</v>
      </c>
      <c r="M87" t="s">
        <v>346</v>
      </c>
      <c r="N87" t="s">
        <v>422</v>
      </c>
      <c r="O87" t="s">
        <v>714</v>
      </c>
      <c r="P87" t="s">
        <v>715</v>
      </c>
    </row>
    <row r="88" spans="1:17" hidden="1" x14ac:dyDescent="0.25">
      <c r="A88" t="s">
        <v>730</v>
      </c>
      <c r="B88" t="str">
        <f>LEFT(Tabela3[[#This Row],[Ano/TIPO]],2)</f>
        <v>RL</v>
      </c>
      <c r="D88" t="e">
        <f>_xlfn.XLOOKUP(K88,Base!G:G,Base!I:I)</f>
        <v>#N/A</v>
      </c>
      <c r="E88" t="s">
        <v>284</v>
      </c>
      <c r="F88" t="s">
        <v>285</v>
      </c>
      <c r="G8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8" t="s">
        <v>716</v>
      </c>
      <c r="I88" t="str">
        <f>TEXT(Tabela3[[#This Row],[Data]],"mmmm")</f>
        <v>julho</v>
      </c>
      <c r="J88">
        <f>YEAR(Tabela3[[#This Row],[Data]])</f>
        <v>2026</v>
      </c>
      <c r="K88" t="str">
        <f>_xlfn.CONCAT(Tabela3[[#This Row],[Ano]],Tabela3[[#This Row],[Mês]])</f>
        <v>2026julho</v>
      </c>
      <c r="L88" t="s">
        <v>383</v>
      </c>
      <c r="M88" t="s">
        <v>353</v>
      </c>
      <c r="N88" t="s">
        <v>422</v>
      </c>
      <c r="O88" t="s">
        <v>717</v>
      </c>
      <c r="P88" t="s">
        <v>718</v>
      </c>
    </row>
    <row r="89" spans="1:17" x14ac:dyDescent="0.25">
      <c r="A89" t="s">
        <v>730</v>
      </c>
      <c r="B89" t="str">
        <f>LEFT(Tabela3[[#This Row],[Ano/TIPO]],2)</f>
        <v>RL</v>
      </c>
      <c r="D89" t="e">
        <f>_xlfn.XLOOKUP(K89,Base!G:G,Base!I:I)</f>
        <v>#N/A</v>
      </c>
      <c r="E89" t="s">
        <v>719</v>
      </c>
      <c r="F89" t="s">
        <v>720</v>
      </c>
      <c r="G8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9" t="s">
        <v>721</v>
      </c>
      <c r="I89" t="str">
        <f>TEXT(Tabela3[[#This Row],[Data]],"mmmm")</f>
        <v>fevereiro</v>
      </c>
      <c r="J89">
        <f>YEAR(Tabela3[[#This Row],[Data]])</f>
        <v>2026</v>
      </c>
      <c r="K89" t="str">
        <f>_xlfn.CONCAT(Tabela3[[#This Row],[Ano]],Tabela3[[#This Row],[Mês]])</f>
        <v>2026fevereiro</v>
      </c>
      <c r="L89" t="s">
        <v>345</v>
      </c>
      <c r="M89" t="s">
        <v>346</v>
      </c>
      <c r="N89" t="s">
        <v>422</v>
      </c>
      <c r="O89" t="s">
        <v>722</v>
      </c>
      <c r="P89" t="s">
        <v>723</v>
      </c>
    </row>
    <row r="90" spans="1:17" x14ac:dyDescent="0.25">
      <c r="A90" t="s">
        <v>730</v>
      </c>
      <c r="B90" t="str">
        <f>LEFT(Tabela3[[#This Row],[Ano/TIPO]],2)</f>
        <v>RL</v>
      </c>
      <c r="D90" t="e">
        <f>_xlfn.XLOOKUP(K90,Base!G:G,Base!I:I)</f>
        <v>#N/A</v>
      </c>
      <c r="E90" t="s">
        <v>182</v>
      </c>
      <c r="F90" t="s">
        <v>724</v>
      </c>
      <c r="G9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90" t="s">
        <v>725</v>
      </c>
      <c r="I90" t="str">
        <f>TEXT(Tabela3[[#This Row],[Data]],"mmmm")</f>
        <v>março</v>
      </c>
      <c r="J90">
        <f>YEAR(Tabela3[[#This Row],[Data]])</f>
        <v>2026</v>
      </c>
      <c r="K90" t="str">
        <f>_xlfn.CONCAT(Tabela3[[#This Row],[Ano]],Tabela3[[#This Row],[Mês]])</f>
        <v>2026março</v>
      </c>
      <c r="L90" t="s">
        <v>383</v>
      </c>
      <c r="M90" t="s">
        <v>346</v>
      </c>
      <c r="N90" t="s">
        <v>422</v>
      </c>
      <c r="O90" t="s">
        <v>726</v>
      </c>
      <c r="P90" t="s">
        <v>727</v>
      </c>
    </row>
    <row r="91" spans="1:17" hidden="1" x14ac:dyDescent="0.25">
      <c r="A91" t="s">
        <v>730</v>
      </c>
      <c r="B91" t="str">
        <f>LEFT(Tabela3[[#This Row],[Ano/TIPO]],2)</f>
        <v>RL</v>
      </c>
      <c r="D91" t="e">
        <f>_xlfn.XLOOKUP(K91,Base!G:G,Base!I:I)</f>
        <v>#N/A</v>
      </c>
      <c r="E91" t="s">
        <v>49</v>
      </c>
      <c r="F91" t="s">
        <v>52</v>
      </c>
      <c r="G9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91" t="s">
        <v>613</v>
      </c>
      <c r="I91" t="str">
        <f>TEXT(Tabela3[[#This Row],[Data]],"mmmm")</f>
        <v>fevereiro</v>
      </c>
      <c r="J91">
        <f>YEAR(Tabela3[[#This Row],[Data]])</f>
        <v>2026</v>
      </c>
      <c r="K91" t="str">
        <f>_xlfn.CONCAT(Tabela3[[#This Row],[Ano]],Tabela3[[#This Row],[Mês]])</f>
        <v>2026fevereiro</v>
      </c>
      <c r="L91" t="s">
        <v>362</v>
      </c>
      <c r="M91" t="s">
        <v>353</v>
      </c>
      <c r="N91" t="s">
        <v>568</v>
      </c>
      <c r="O91" t="s">
        <v>728</v>
      </c>
      <c r="P91" t="s">
        <v>729</v>
      </c>
    </row>
    <row r="99" spans="2:2" ht="18.75" x14ac:dyDescent="0.3">
      <c r="B99" s="22"/>
    </row>
    <row r="100" spans="2:2" ht="18.75" x14ac:dyDescent="0.3">
      <c r="B100" s="22"/>
    </row>
    <row r="101" spans="2:2" ht="18.75" x14ac:dyDescent="0.3">
      <c r="B101" s="22"/>
    </row>
    <row r="102" spans="2:2" ht="18.75" x14ac:dyDescent="0.3">
      <c r="B102" s="22"/>
    </row>
    <row r="103" spans="2:2" ht="18.75" x14ac:dyDescent="0.3">
      <c r="B103" s="22"/>
    </row>
    <row r="104" spans="2:2" ht="18.75" x14ac:dyDescent="0.3">
      <c r="B104" s="22"/>
    </row>
    <row r="105" spans="2:2" ht="18.75" x14ac:dyDescent="0.3">
      <c r="B105" s="22"/>
    </row>
    <row r="106" spans="2:2" ht="18.75" x14ac:dyDescent="0.3">
      <c r="B106" s="22"/>
    </row>
    <row r="107" spans="2:2" ht="18.75" x14ac:dyDescent="0.3">
      <c r="B107" s="22"/>
    </row>
    <row r="108" spans="2:2" ht="18.75" x14ac:dyDescent="0.3">
      <c r="B108" s="22"/>
    </row>
    <row r="109" spans="2:2" ht="18.75" x14ac:dyDescent="0.3">
      <c r="B109" s="22"/>
    </row>
    <row r="110" spans="2:2" ht="18.75" x14ac:dyDescent="0.3">
      <c r="B110" s="2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034-7696-44C7-8DC2-9919A1AF53A4}">
  <dimension ref="A1:T97"/>
  <sheetViews>
    <sheetView showGridLines="0" topLeftCell="A13" workbookViewId="0">
      <selection activeCell="A7" sqref="A7"/>
    </sheetView>
  </sheetViews>
  <sheetFormatPr defaultRowHeight="15" x14ac:dyDescent="0.25"/>
  <cols>
    <col min="1" max="1" width="19.42578125" bestFit="1" customWidth="1"/>
    <col min="3" max="5" width="9.140625" style="3"/>
    <col min="6" max="6" width="10.140625" style="3" bestFit="1" customWidth="1"/>
    <col min="7" max="7" width="22.28515625" style="3" bestFit="1" customWidth="1"/>
    <col min="8" max="8" width="15.5703125" style="3" bestFit="1" customWidth="1"/>
    <col min="9" max="9" width="14" style="3" customWidth="1"/>
    <col min="15" max="15" width="11" bestFit="1" customWidth="1"/>
  </cols>
  <sheetData>
    <row r="1" spans="1:20" x14ac:dyDescent="0.25">
      <c r="A1" s="3" t="s">
        <v>298</v>
      </c>
      <c r="C1" s="3" t="s">
        <v>1347</v>
      </c>
      <c r="D1" s="3" t="s">
        <v>1346</v>
      </c>
      <c r="E1" s="3" t="s">
        <v>1348</v>
      </c>
      <c r="F1" s="3" t="s">
        <v>1341</v>
      </c>
      <c r="G1" s="3" t="s">
        <v>1342</v>
      </c>
      <c r="H1" s="3" t="s">
        <v>1359</v>
      </c>
      <c r="I1" s="3" t="s">
        <v>1360</v>
      </c>
      <c r="J1" s="3" t="s">
        <v>1353</v>
      </c>
      <c r="K1" s="3" t="s">
        <v>1354</v>
      </c>
      <c r="L1" s="3" t="s">
        <v>1355</v>
      </c>
      <c r="M1" s="3" t="s">
        <v>1356</v>
      </c>
      <c r="N1" s="3" t="s">
        <v>1357</v>
      </c>
      <c r="O1" s="3" t="s">
        <v>1338</v>
      </c>
      <c r="Q1" t="s">
        <v>1349</v>
      </c>
      <c r="R1" t="s">
        <v>1350</v>
      </c>
    </row>
    <row r="2" spans="1:20" x14ac:dyDescent="0.25">
      <c r="A2" s="3" t="s">
        <v>312</v>
      </c>
      <c r="C2" s="3" t="s">
        <v>1344</v>
      </c>
      <c r="D2" s="3" t="s">
        <v>1337</v>
      </c>
      <c r="E2" s="3">
        <v>2025</v>
      </c>
      <c r="F2" s="3" t="s">
        <v>740</v>
      </c>
      <c r="G2" s="3" t="str">
        <f>_xlfn.CONCAT(Tabela17[[#This Row],[FAIXA DE TENSÃO]],Tabela17[[#This Row],[TIPO]],Tabela17[[#This Row],[Ano2]],Tabela17[[#This Row],[Mês]])</f>
        <v>34.500RL2025janeiro</v>
      </c>
      <c r="H2" s="3">
        <v>1</v>
      </c>
      <c r="I2" s="3">
        <v>1281</v>
      </c>
      <c r="J2" s="3">
        <v>200</v>
      </c>
      <c r="K2">
        <v>1081</v>
      </c>
      <c r="L2" s="3">
        <v>180</v>
      </c>
      <c r="M2" s="3"/>
      <c r="N2" s="18"/>
      <c r="O2" s="20"/>
      <c r="Q2">
        <v>1081</v>
      </c>
      <c r="R2">
        <v>200</v>
      </c>
      <c r="S2" s="7">
        <f>Q2/1291</f>
        <v>0.8373353989155693</v>
      </c>
      <c r="T2" s="19">
        <f>1-S2</f>
        <v>0.1626646010844307</v>
      </c>
    </row>
    <row r="3" spans="1:20" x14ac:dyDescent="0.25">
      <c r="A3" s="3" t="s">
        <v>1363</v>
      </c>
      <c r="C3" s="3" t="s">
        <v>1344</v>
      </c>
      <c r="D3" s="3" t="s">
        <v>1337</v>
      </c>
      <c r="E3" s="3">
        <v>2025</v>
      </c>
      <c r="F3" s="3" t="s">
        <v>741</v>
      </c>
      <c r="G3" s="3" t="str">
        <f>_xlfn.CONCAT(Tabela17[[#This Row],[FAIXA DE TENSÃO]],Tabela17[[#This Row],[TIPO]],Tabela17[[#This Row],[Ano2]],Tabela17[[#This Row],[Mês]])</f>
        <v>34.500RL2025fevereiro</v>
      </c>
      <c r="H3" s="3">
        <v>1</v>
      </c>
      <c r="I3" s="3">
        <v>1281</v>
      </c>
      <c r="J3" s="3">
        <v>200</v>
      </c>
      <c r="K3">
        <v>1081</v>
      </c>
      <c r="L3" s="3">
        <v>180</v>
      </c>
      <c r="M3" s="3"/>
      <c r="N3" s="18"/>
      <c r="O3" s="20"/>
      <c r="Q3" t="s">
        <v>1351</v>
      </c>
      <c r="R3" t="s">
        <v>1352</v>
      </c>
    </row>
    <row r="4" spans="1:20" x14ac:dyDescent="0.25">
      <c r="A4" s="3" t="s">
        <v>313</v>
      </c>
      <c r="C4" s="3" t="s">
        <v>1344</v>
      </c>
      <c r="D4" s="3" t="s">
        <v>1337</v>
      </c>
      <c r="E4" s="3">
        <v>2025</v>
      </c>
      <c r="F4" s="3" t="s">
        <v>742</v>
      </c>
      <c r="G4" s="3" t="str">
        <f>_xlfn.CONCAT(Tabela17[[#This Row],[FAIXA DE TENSÃO]],Tabela17[[#This Row],[TIPO]],Tabela17[[#This Row],[Ano2]],Tabela17[[#This Row],[Mês]])</f>
        <v>34.500RL2025março</v>
      </c>
      <c r="H4" s="3">
        <v>2</v>
      </c>
      <c r="I4" s="3">
        <v>1281</v>
      </c>
      <c r="J4" s="3">
        <v>200</v>
      </c>
      <c r="K4">
        <v>1081</v>
      </c>
      <c r="L4" s="3">
        <v>180</v>
      </c>
      <c r="M4" s="3"/>
      <c r="N4" s="18"/>
      <c r="O4" s="20"/>
      <c r="Q4">
        <v>137</v>
      </c>
      <c r="R4">
        <f>291-137</f>
        <v>154</v>
      </c>
    </row>
    <row r="5" spans="1:20" x14ac:dyDescent="0.25">
      <c r="A5" s="3" t="s">
        <v>1364</v>
      </c>
      <c r="C5" s="3" t="s">
        <v>1344</v>
      </c>
      <c r="D5" s="3" t="s">
        <v>1337</v>
      </c>
      <c r="E5" s="3">
        <v>2025</v>
      </c>
      <c r="F5" s="3" t="s">
        <v>743</v>
      </c>
      <c r="G5" s="3" t="str">
        <f>_xlfn.CONCAT(Tabela17[[#This Row],[FAIXA DE TENSÃO]],Tabela17[[#This Row],[TIPO]],Tabela17[[#This Row],[Ano2]],Tabela17[[#This Row],[Mês]])</f>
        <v>34.500RL2025abril</v>
      </c>
      <c r="H5" s="3">
        <v>2</v>
      </c>
      <c r="I5" s="3">
        <v>1281</v>
      </c>
      <c r="J5" s="3">
        <v>200</v>
      </c>
      <c r="K5">
        <v>1081</v>
      </c>
      <c r="L5" s="3">
        <v>180</v>
      </c>
      <c r="M5" s="3"/>
      <c r="N5" s="18"/>
      <c r="O5" s="20"/>
    </row>
    <row r="6" spans="1:20" x14ac:dyDescent="0.25">
      <c r="A6" s="3" t="s">
        <v>314</v>
      </c>
      <c r="C6" s="3" t="s">
        <v>1344</v>
      </c>
      <c r="D6" s="3" t="s">
        <v>1337</v>
      </c>
      <c r="E6" s="3">
        <v>2025</v>
      </c>
      <c r="F6" s="3" t="s">
        <v>744</v>
      </c>
      <c r="G6" s="3" t="str">
        <f>_xlfn.CONCAT(Tabela17[[#This Row],[FAIXA DE TENSÃO]],Tabela17[[#This Row],[TIPO]],Tabela17[[#This Row],[Ano2]],Tabela17[[#This Row],[Mês]])</f>
        <v>34.500RL2025maio</v>
      </c>
      <c r="H6" s="3">
        <v>7</v>
      </c>
      <c r="I6" s="3">
        <v>1281</v>
      </c>
      <c r="J6" s="3">
        <v>200</v>
      </c>
      <c r="K6">
        <v>1081</v>
      </c>
      <c r="L6" s="3">
        <v>180</v>
      </c>
      <c r="M6" s="3"/>
      <c r="N6" s="18"/>
      <c r="O6" s="20"/>
    </row>
    <row r="7" spans="1:20" x14ac:dyDescent="0.25">
      <c r="A7" s="3" t="s">
        <v>315</v>
      </c>
      <c r="C7" s="3" t="s">
        <v>1344</v>
      </c>
      <c r="D7" s="3" t="s">
        <v>1337</v>
      </c>
      <c r="E7" s="3">
        <v>2025</v>
      </c>
      <c r="F7" s="3" t="s">
        <v>745</v>
      </c>
      <c r="G7" s="3" t="str">
        <f>_xlfn.CONCAT(Tabela17[[#This Row],[FAIXA DE TENSÃO]],Tabela17[[#This Row],[TIPO]],Tabela17[[#This Row],[Ano2]],Tabela17[[#This Row],[Mês]])</f>
        <v>34.500RL2025junho</v>
      </c>
      <c r="H7" s="3">
        <v>4</v>
      </c>
      <c r="I7" s="3">
        <v>1281</v>
      </c>
      <c r="J7" s="3">
        <v>200</v>
      </c>
      <c r="K7">
        <v>1081</v>
      </c>
      <c r="L7" s="3">
        <v>180</v>
      </c>
      <c r="M7" s="3"/>
      <c r="N7" s="18"/>
      <c r="O7" s="20"/>
    </row>
    <row r="8" spans="1:20" x14ac:dyDescent="0.25">
      <c r="A8" s="3"/>
      <c r="C8" s="3" t="s">
        <v>1344</v>
      </c>
      <c r="D8" s="3" t="s">
        <v>1337</v>
      </c>
      <c r="E8" s="3">
        <v>2025</v>
      </c>
      <c r="F8" s="3" t="s">
        <v>746</v>
      </c>
      <c r="G8" s="3" t="str">
        <f>_xlfn.CONCAT(Tabela17[[#This Row],[FAIXA DE TENSÃO]],Tabela17[[#This Row],[TIPO]],Tabela17[[#This Row],[Ano2]],Tabela17[[#This Row],[Mês]])</f>
        <v>34.500RL2025julho</v>
      </c>
      <c r="H8" s="3">
        <v>5</v>
      </c>
      <c r="I8" s="3">
        <v>1281</v>
      </c>
      <c r="J8" s="3">
        <v>200</v>
      </c>
      <c r="K8">
        <v>1081</v>
      </c>
      <c r="L8" s="3">
        <v>180</v>
      </c>
      <c r="M8" s="3"/>
      <c r="N8" s="18"/>
      <c r="O8" s="20"/>
    </row>
    <row r="9" spans="1:20" x14ac:dyDescent="0.25">
      <c r="C9" s="3" t="s">
        <v>1344</v>
      </c>
      <c r="D9" s="3" t="s">
        <v>1337</v>
      </c>
      <c r="E9" s="3">
        <v>2025</v>
      </c>
      <c r="F9" s="3" t="s">
        <v>747</v>
      </c>
      <c r="G9" s="3" t="str">
        <f>_xlfn.CONCAT(Tabela17[[#This Row],[FAIXA DE TENSÃO]],Tabela17[[#This Row],[TIPO]],Tabela17[[#This Row],[Ano2]],Tabela17[[#This Row],[Mês]])</f>
        <v>34.500RL2025agosto</v>
      </c>
      <c r="H9" s="3">
        <v>2</v>
      </c>
      <c r="I9" s="3">
        <v>1281</v>
      </c>
      <c r="J9" s="3">
        <v>200</v>
      </c>
      <c r="K9">
        <v>1081</v>
      </c>
      <c r="L9" s="3">
        <v>180</v>
      </c>
      <c r="M9" s="3"/>
      <c r="N9" s="18"/>
      <c r="O9" s="20"/>
    </row>
    <row r="10" spans="1:20" x14ac:dyDescent="0.25">
      <c r="C10" s="3" t="s">
        <v>1344</v>
      </c>
      <c r="D10" s="3" t="s">
        <v>1337</v>
      </c>
      <c r="E10" s="3">
        <v>2025</v>
      </c>
      <c r="F10" s="3" t="s">
        <v>748</v>
      </c>
      <c r="G10" s="3" t="str">
        <f>_xlfn.CONCAT(Tabela17[[#This Row],[FAIXA DE TENSÃO]],Tabela17[[#This Row],[TIPO]],Tabela17[[#This Row],[Ano2]],Tabela17[[#This Row],[Mês]])</f>
        <v>34.500RL2025setembro</v>
      </c>
      <c r="H10" s="3">
        <v>2</v>
      </c>
      <c r="I10" s="3">
        <v>1281</v>
      </c>
      <c r="J10" s="3">
        <v>200</v>
      </c>
      <c r="K10">
        <v>1081</v>
      </c>
      <c r="L10" s="3">
        <v>180</v>
      </c>
      <c r="M10" s="3"/>
      <c r="N10" s="18"/>
      <c r="O10" s="20"/>
    </row>
    <row r="11" spans="1:20" x14ac:dyDescent="0.25">
      <c r="C11" s="3" t="s">
        <v>1344</v>
      </c>
      <c r="D11" s="3" t="s">
        <v>1337</v>
      </c>
      <c r="E11" s="3">
        <v>2025</v>
      </c>
      <c r="F11" s="3" t="s">
        <v>749</v>
      </c>
      <c r="G11" s="3" t="str">
        <f>_xlfn.CONCAT(Tabela17[[#This Row],[FAIXA DE TENSÃO]],Tabela17[[#This Row],[TIPO]],Tabela17[[#This Row],[Ano2]],Tabela17[[#This Row],[Mês]])</f>
        <v>34.500RL2025outubro</v>
      </c>
      <c r="H11" s="3">
        <v>4</v>
      </c>
      <c r="I11" s="3">
        <v>1281</v>
      </c>
      <c r="J11" s="3">
        <v>200</v>
      </c>
      <c r="K11">
        <v>1081</v>
      </c>
      <c r="L11" s="3">
        <v>180</v>
      </c>
      <c r="M11" s="3"/>
      <c r="N11" s="18"/>
      <c r="O11" s="20"/>
    </row>
    <row r="12" spans="1:20" x14ac:dyDescent="0.25">
      <c r="C12" s="3" t="s">
        <v>1344</v>
      </c>
      <c r="D12" s="3" t="s">
        <v>1337</v>
      </c>
      <c r="E12" s="3">
        <v>2025</v>
      </c>
      <c r="F12" s="3" t="s">
        <v>750</v>
      </c>
      <c r="G12" s="3" t="str">
        <f>_xlfn.CONCAT(Tabela17[[#This Row],[FAIXA DE TENSÃO]],Tabela17[[#This Row],[TIPO]],Tabela17[[#This Row],[Ano2]],Tabela17[[#This Row],[Mês]])</f>
        <v>34.500RL2025novembro</v>
      </c>
      <c r="H12" s="3">
        <v>1</v>
      </c>
      <c r="I12" s="3">
        <v>1281</v>
      </c>
      <c r="J12" s="3">
        <v>200</v>
      </c>
      <c r="K12">
        <v>1081</v>
      </c>
      <c r="L12" s="3">
        <v>180</v>
      </c>
      <c r="M12" s="3"/>
      <c r="N12" s="18"/>
      <c r="O12" s="20"/>
    </row>
    <row r="13" spans="1:20" x14ac:dyDescent="0.25">
      <c r="C13" s="3" t="s">
        <v>1344</v>
      </c>
      <c r="D13" s="3" t="s">
        <v>1337</v>
      </c>
      <c r="E13" s="3">
        <v>2025</v>
      </c>
      <c r="F13" s="3" t="s">
        <v>751</v>
      </c>
      <c r="G13" s="3" t="str">
        <f>_xlfn.CONCAT(Tabela17[[#This Row],[FAIXA DE TENSÃO]],Tabela17[[#This Row],[TIPO]],Tabela17[[#This Row],[Ano2]],Tabela17[[#This Row],[Mês]])</f>
        <v>34.500RL2025dezembro</v>
      </c>
      <c r="H13" s="3">
        <v>4</v>
      </c>
      <c r="I13" s="3">
        <v>1281</v>
      </c>
      <c r="J13" s="3">
        <v>200</v>
      </c>
      <c r="K13">
        <v>1081</v>
      </c>
      <c r="L13" s="3">
        <v>180</v>
      </c>
      <c r="M13" s="3"/>
      <c r="N13" s="18"/>
      <c r="O13" s="20"/>
    </row>
    <row r="14" spans="1:20" x14ac:dyDescent="0.25">
      <c r="C14" s="3" t="s">
        <v>1344</v>
      </c>
      <c r="D14" s="3" t="s">
        <v>1337</v>
      </c>
      <c r="E14" s="3">
        <v>2026</v>
      </c>
      <c r="F14" s="3" t="s">
        <v>740</v>
      </c>
      <c r="G14" s="3" t="str">
        <f>_xlfn.CONCAT(Tabela17[[#This Row],[FAIXA DE TENSÃO]],Tabela17[[#This Row],[TIPO]],Tabela17[[#This Row],[Ano2]],Tabela17[[#This Row],[Mês]])</f>
        <v>34.500RL2026janeiro</v>
      </c>
      <c r="H14" s="3">
        <v>6</v>
      </c>
      <c r="I14" s="3">
        <v>1283</v>
      </c>
      <c r="J14" s="3">
        <v>200</v>
      </c>
      <c r="K14">
        <v>1081</v>
      </c>
      <c r="L14" s="3">
        <v>180</v>
      </c>
      <c r="M14" s="3"/>
      <c r="N14" s="18"/>
      <c r="O14" s="20"/>
    </row>
    <row r="15" spans="1:20" x14ac:dyDescent="0.25">
      <c r="C15" s="3" t="s">
        <v>1344</v>
      </c>
      <c r="D15" s="3" t="s">
        <v>1337</v>
      </c>
      <c r="E15" s="3">
        <v>2026</v>
      </c>
      <c r="F15" s="3" t="s">
        <v>741</v>
      </c>
      <c r="G15" s="3" t="str">
        <f>_xlfn.CONCAT(Tabela17[[#This Row],[FAIXA DE TENSÃO]],Tabela17[[#This Row],[TIPO]],Tabela17[[#This Row],[Ano2]],Tabela17[[#This Row],[Mês]])</f>
        <v>34.500RL2026fevereiro</v>
      </c>
      <c r="H15" s="3">
        <v>7</v>
      </c>
      <c r="I15" s="3">
        <v>1283</v>
      </c>
      <c r="J15" s="3">
        <v>200</v>
      </c>
      <c r="K15">
        <v>1081</v>
      </c>
      <c r="L15" s="3">
        <v>180</v>
      </c>
      <c r="M15" s="3"/>
      <c r="N15" s="18"/>
      <c r="O15" s="20"/>
    </row>
    <row r="16" spans="1:20" x14ac:dyDescent="0.25">
      <c r="C16" s="3" t="s">
        <v>1344</v>
      </c>
      <c r="D16" s="3" t="s">
        <v>1337</v>
      </c>
      <c r="E16" s="3">
        <v>2026</v>
      </c>
      <c r="F16" s="3" t="s">
        <v>742</v>
      </c>
      <c r="G16" s="3" t="str">
        <f>_xlfn.CONCAT(Tabela17[[#This Row],[FAIXA DE TENSÃO]],Tabela17[[#This Row],[TIPO]],Tabela17[[#This Row],[Ano2]],Tabela17[[#This Row],[Mês]])</f>
        <v>34.500RL2026março</v>
      </c>
      <c r="H16" s="3">
        <v>8</v>
      </c>
      <c r="I16" s="3">
        <v>1285</v>
      </c>
      <c r="J16" s="3">
        <v>200</v>
      </c>
      <c r="K16">
        <v>1081</v>
      </c>
      <c r="L16" s="3">
        <v>180</v>
      </c>
      <c r="M16" s="3"/>
      <c r="N16" s="18"/>
      <c r="O16" s="20"/>
    </row>
    <row r="17" spans="3:15" x14ac:dyDescent="0.25">
      <c r="C17" s="3" t="s">
        <v>1344</v>
      </c>
      <c r="D17" s="3" t="s">
        <v>1337</v>
      </c>
      <c r="E17" s="3">
        <v>2026</v>
      </c>
      <c r="F17" s="3" t="s">
        <v>743</v>
      </c>
      <c r="G17" s="3" t="str">
        <f>_xlfn.CONCAT(Tabela17[[#This Row],[FAIXA DE TENSÃO]],Tabela17[[#This Row],[TIPO]],Tabela17[[#This Row],[Ano2]],Tabela17[[#This Row],[Mês]])</f>
        <v>34.500RL2026abril</v>
      </c>
      <c r="H17" s="3">
        <v>3</v>
      </c>
      <c r="I17" s="3">
        <v>1287</v>
      </c>
      <c r="J17" s="3">
        <v>200</v>
      </c>
      <c r="K17">
        <v>1081</v>
      </c>
      <c r="L17" s="3">
        <v>180</v>
      </c>
      <c r="M17" s="3"/>
      <c r="N17" s="18"/>
      <c r="O17" s="20"/>
    </row>
    <row r="18" spans="3:15" x14ac:dyDescent="0.25">
      <c r="C18" s="3" t="s">
        <v>1344</v>
      </c>
      <c r="D18" s="3" t="s">
        <v>1337</v>
      </c>
      <c r="E18" s="3">
        <v>2026</v>
      </c>
      <c r="F18" s="3" t="s">
        <v>744</v>
      </c>
      <c r="G18" s="3" t="str">
        <f>_xlfn.CONCAT(Tabela17[[#This Row],[FAIXA DE TENSÃO]],Tabela17[[#This Row],[TIPO]],Tabela17[[#This Row],[Ano2]],Tabela17[[#This Row],[Mês]])</f>
        <v>34.500RL2026maio</v>
      </c>
      <c r="H18" s="3">
        <v>0</v>
      </c>
      <c r="I18" s="3">
        <v>1290</v>
      </c>
      <c r="J18" s="3">
        <v>200</v>
      </c>
      <c r="K18">
        <v>1081</v>
      </c>
      <c r="L18" s="3">
        <v>180</v>
      </c>
      <c r="M18" s="3"/>
      <c r="N18" s="18"/>
      <c r="O18" s="20"/>
    </row>
    <row r="19" spans="3:15" x14ac:dyDescent="0.25">
      <c r="C19" s="3" t="s">
        <v>1344</v>
      </c>
      <c r="D19" s="3" t="s">
        <v>1337</v>
      </c>
      <c r="E19" s="3">
        <v>2026</v>
      </c>
      <c r="F19" s="3" t="s">
        <v>745</v>
      </c>
      <c r="G19" s="3" t="str">
        <f>_xlfn.CONCAT(Tabela17[[#This Row],[FAIXA DE TENSÃO]],Tabela17[[#This Row],[TIPO]],Tabela17[[#This Row],[Ano2]],Tabela17[[#This Row],[Mês]])</f>
        <v>34.500RL2026junho</v>
      </c>
      <c r="H19" s="3">
        <v>1</v>
      </c>
      <c r="I19" s="3">
        <v>1291</v>
      </c>
      <c r="J19" s="3">
        <v>200</v>
      </c>
      <c r="K19">
        <v>1081</v>
      </c>
      <c r="L19" s="3">
        <v>180</v>
      </c>
      <c r="M19" s="3"/>
      <c r="N19" s="18"/>
      <c r="O19" s="20"/>
    </row>
    <row r="20" spans="3:15" x14ac:dyDescent="0.25">
      <c r="C20" s="3" t="s">
        <v>1344</v>
      </c>
      <c r="D20" s="3" t="s">
        <v>1337</v>
      </c>
      <c r="E20" s="3">
        <v>2026</v>
      </c>
      <c r="F20" s="3" t="s">
        <v>746</v>
      </c>
      <c r="G20" s="3" t="str">
        <f>_xlfn.CONCAT(Tabela17[[#This Row],[FAIXA DE TENSÃO]],Tabela17[[#This Row],[TIPO]],Tabela17[[#This Row],[Ano2]],Tabela17[[#This Row],[Mês]])</f>
        <v>34.500RL2026julho</v>
      </c>
      <c r="H20" s="3">
        <v>3</v>
      </c>
      <c r="I20" s="3">
        <v>1294</v>
      </c>
      <c r="J20" s="3">
        <v>200</v>
      </c>
      <c r="K20">
        <v>1081</v>
      </c>
      <c r="L20" s="3">
        <v>180</v>
      </c>
      <c r="M20" s="3"/>
      <c r="N20" s="18"/>
      <c r="O20" s="20"/>
    </row>
    <row r="21" spans="3:15" x14ac:dyDescent="0.25">
      <c r="C21" s="3" t="s">
        <v>1344</v>
      </c>
      <c r="D21" s="3" t="s">
        <v>1337</v>
      </c>
      <c r="E21" s="3">
        <v>2026</v>
      </c>
      <c r="F21" s="3" t="s">
        <v>747</v>
      </c>
      <c r="G21" s="3" t="str">
        <f>_xlfn.CONCAT(Tabela17[[#This Row],[FAIXA DE TENSÃO]],Tabela17[[#This Row],[TIPO]],Tabela17[[#This Row],[Ano2]],Tabela17[[#This Row],[Mês]])</f>
        <v>34.500RL2026agosto</v>
      </c>
      <c r="H21" s="3">
        <v>0</v>
      </c>
      <c r="I21" s="3">
        <v>1294</v>
      </c>
      <c r="J21" s="3">
        <v>200</v>
      </c>
      <c r="K21">
        <v>1081</v>
      </c>
      <c r="L21" s="3">
        <v>180</v>
      </c>
      <c r="M21" s="3"/>
      <c r="N21" s="18"/>
      <c r="O21" s="20"/>
    </row>
    <row r="22" spans="3:15" x14ac:dyDescent="0.25">
      <c r="C22" s="3" t="s">
        <v>1344</v>
      </c>
      <c r="D22" s="3" t="s">
        <v>1337</v>
      </c>
      <c r="E22" s="3">
        <v>2026</v>
      </c>
      <c r="F22" s="3" t="s">
        <v>748</v>
      </c>
      <c r="G22" s="3" t="str">
        <f>_xlfn.CONCAT(Tabela17[[#This Row],[FAIXA DE TENSÃO]],Tabela17[[#This Row],[TIPO]],Tabela17[[#This Row],[Ano2]],Tabela17[[#This Row],[Mês]])</f>
        <v>34.500RL2026setembro</v>
      </c>
      <c r="I22" s="3">
        <v>1294</v>
      </c>
      <c r="J22" s="3">
        <v>200</v>
      </c>
      <c r="K22">
        <v>1081</v>
      </c>
      <c r="L22" s="3">
        <v>180</v>
      </c>
      <c r="M22" s="3"/>
      <c r="N22" s="18"/>
      <c r="O22" s="20"/>
    </row>
    <row r="23" spans="3:15" x14ac:dyDescent="0.25">
      <c r="C23" s="3" t="s">
        <v>1344</v>
      </c>
      <c r="D23" s="3" t="s">
        <v>1337</v>
      </c>
      <c r="E23" s="3">
        <v>2026</v>
      </c>
      <c r="F23" s="3" t="s">
        <v>749</v>
      </c>
      <c r="G23" s="3" t="str">
        <f>_xlfn.CONCAT(Tabela17[[#This Row],[FAIXA DE TENSÃO]],Tabela17[[#This Row],[TIPO]],Tabela17[[#This Row],[Ano2]],Tabela17[[#This Row],[Mês]])</f>
        <v>34.500RL2026outubro</v>
      </c>
      <c r="I23" s="3">
        <v>1294</v>
      </c>
      <c r="J23" s="3">
        <v>200</v>
      </c>
      <c r="K23">
        <v>1081</v>
      </c>
      <c r="L23" s="3">
        <v>180</v>
      </c>
      <c r="M23" s="3"/>
      <c r="N23" s="18"/>
      <c r="O23" s="20"/>
    </row>
    <row r="24" spans="3:15" x14ac:dyDescent="0.25">
      <c r="C24" s="3" t="s">
        <v>1344</v>
      </c>
      <c r="D24" s="3" t="s">
        <v>1337</v>
      </c>
      <c r="E24" s="3">
        <v>2026</v>
      </c>
      <c r="F24" s="3" t="s">
        <v>750</v>
      </c>
      <c r="G24" s="3" t="str">
        <f>_xlfn.CONCAT(Tabela17[[#This Row],[FAIXA DE TENSÃO]],Tabela17[[#This Row],[TIPO]],Tabela17[[#This Row],[Ano2]],Tabela17[[#This Row],[Mês]])</f>
        <v>34.500RL2026novembro</v>
      </c>
      <c r="I24" s="3">
        <v>1294</v>
      </c>
      <c r="J24" s="3">
        <v>200</v>
      </c>
      <c r="K24">
        <v>1081</v>
      </c>
      <c r="L24" s="3">
        <v>180</v>
      </c>
      <c r="M24" s="3"/>
      <c r="N24" s="18"/>
      <c r="O24" s="20"/>
    </row>
    <row r="25" spans="3:15" x14ac:dyDescent="0.25">
      <c r="C25" s="3" t="s">
        <v>1344</v>
      </c>
      <c r="D25" s="3" t="s">
        <v>1337</v>
      </c>
      <c r="E25" s="3">
        <v>2026</v>
      </c>
      <c r="F25" s="3" t="s">
        <v>751</v>
      </c>
      <c r="G25" s="3" t="str">
        <f>_xlfn.CONCAT(Tabela17[[#This Row],[FAIXA DE TENSÃO]],Tabela17[[#This Row],[TIPO]],Tabela17[[#This Row],[Ano2]],Tabela17[[#This Row],[Mês]])</f>
        <v>34.500RL2026dezembro</v>
      </c>
      <c r="I25" s="3">
        <v>1294</v>
      </c>
      <c r="J25" s="3">
        <v>200</v>
      </c>
      <c r="K25">
        <v>1081</v>
      </c>
      <c r="L25" s="3">
        <v>180</v>
      </c>
      <c r="M25" s="3"/>
      <c r="N25" s="18"/>
      <c r="O25" s="20"/>
    </row>
    <row r="26" spans="3:15" x14ac:dyDescent="0.25">
      <c r="C26" s="3" t="s">
        <v>1344</v>
      </c>
      <c r="D26" s="3" t="s">
        <v>1339</v>
      </c>
      <c r="E26" s="3">
        <v>2025</v>
      </c>
      <c r="F26" s="3" t="s">
        <v>740</v>
      </c>
      <c r="G26" s="3" t="str">
        <f>_xlfn.CONCAT(Tabela17[[#This Row],[FAIXA DE TENSÃO]],Tabela17[[#This Row],[TIPO]],Tabela17[[#This Row],[Ano2]],Tabela17[[#This Row],[Mês]])</f>
        <v>34.500RT2025janeiro</v>
      </c>
      <c r="J26" s="3">
        <v>200</v>
      </c>
      <c r="K26">
        <v>1081</v>
      </c>
      <c r="L26" s="3">
        <v>180</v>
      </c>
      <c r="M26" s="3"/>
      <c r="N26" s="18"/>
      <c r="O26" s="20"/>
    </row>
    <row r="27" spans="3:15" x14ac:dyDescent="0.25">
      <c r="C27" s="3" t="s">
        <v>1344</v>
      </c>
      <c r="D27" s="3" t="s">
        <v>1339</v>
      </c>
      <c r="E27" s="3">
        <v>2025</v>
      </c>
      <c r="F27" s="3" t="s">
        <v>741</v>
      </c>
      <c r="G27" s="3" t="str">
        <f>_xlfn.CONCAT(Tabela17[[#This Row],[FAIXA DE TENSÃO]],Tabela17[[#This Row],[TIPO]],Tabela17[[#This Row],[Ano2]],Tabela17[[#This Row],[Mês]])</f>
        <v>34.500RT2025fevereiro</v>
      </c>
      <c r="J27" s="3">
        <v>200</v>
      </c>
      <c r="K27">
        <v>1081</v>
      </c>
      <c r="L27" s="3">
        <v>180</v>
      </c>
      <c r="M27" s="3"/>
      <c r="N27" s="18"/>
      <c r="O27" s="20"/>
    </row>
    <row r="28" spans="3:15" x14ac:dyDescent="0.25">
      <c r="C28" s="3" t="s">
        <v>1344</v>
      </c>
      <c r="D28" s="3" t="s">
        <v>1339</v>
      </c>
      <c r="E28" s="3">
        <v>2025</v>
      </c>
      <c r="F28" s="3" t="s">
        <v>742</v>
      </c>
      <c r="G28" s="3" t="str">
        <f>_xlfn.CONCAT(Tabela17[[#This Row],[FAIXA DE TENSÃO]],Tabela17[[#This Row],[TIPO]],Tabela17[[#This Row],[Ano2]],Tabela17[[#This Row],[Mês]])</f>
        <v>34.500RT2025março</v>
      </c>
      <c r="J28" s="3">
        <v>200</v>
      </c>
      <c r="K28">
        <v>1081</v>
      </c>
      <c r="L28" s="3">
        <v>180</v>
      </c>
      <c r="M28" s="3"/>
      <c r="N28" s="18"/>
      <c r="O28" s="20"/>
    </row>
    <row r="29" spans="3:15" x14ac:dyDescent="0.25">
      <c r="C29" s="3" t="s">
        <v>1344</v>
      </c>
      <c r="D29" s="3" t="s">
        <v>1339</v>
      </c>
      <c r="E29" s="3">
        <v>2025</v>
      </c>
      <c r="F29" s="3" t="s">
        <v>743</v>
      </c>
      <c r="G29" s="3" t="str">
        <f>_xlfn.CONCAT(Tabela17[[#This Row],[FAIXA DE TENSÃO]],Tabela17[[#This Row],[TIPO]],Tabela17[[#This Row],[Ano2]],Tabela17[[#This Row],[Mês]])</f>
        <v>34.500RT2025abril</v>
      </c>
      <c r="J29" s="3">
        <v>200</v>
      </c>
      <c r="K29">
        <v>1081</v>
      </c>
      <c r="L29" s="3">
        <v>180</v>
      </c>
      <c r="M29" s="3"/>
      <c r="N29" s="18"/>
      <c r="O29" s="20"/>
    </row>
    <row r="30" spans="3:15" x14ac:dyDescent="0.25">
      <c r="C30" s="3" t="s">
        <v>1344</v>
      </c>
      <c r="D30" s="3" t="s">
        <v>1339</v>
      </c>
      <c r="E30" s="3">
        <v>2025</v>
      </c>
      <c r="F30" s="3" t="s">
        <v>744</v>
      </c>
      <c r="G30" s="3" t="str">
        <f>_xlfn.CONCAT(Tabela17[[#This Row],[FAIXA DE TENSÃO]],Tabela17[[#This Row],[TIPO]],Tabela17[[#This Row],[Ano2]],Tabela17[[#This Row],[Mês]])</f>
        <v>34.500RT2025maio</v>
      </c>
      <c r="J30" s="3">
        <v>200</v>
      </c>
      <c r="K30">
        <v>1081</v>
      </c>
      <c r="L30" s="3">
        <v>180</v>
      </c>
      <c r="M30" s="3"/>
      <c r="N30" s="18"/>
      <c r="O30" s="20"/>
    </row>
    <row r="31" spans="3:15" x14ac:dyDescent="0.25">
      <c r="C31" s="3" t="s">
        <v>1344</v>
      </c>
      <c r="D31" s="3" t="s">
        <v>1339</v>
      </c>
      <c r="E31" s="3">
        <v>2025</v>
      </c>
      <c r="F31" s="3" t="s">
        <v>745</v>
      </c>
      <c r="G31" s="3" t="str">
        <f>_xlfn.CONCAT(Tabela17[[#This Row],[FAIXA DE TENSÃO]],Tabela17[[#This Row],[TIPO]],Tabela17[[#This Row],[Ano2]],Tabela17[[#This Row],[Mês]])</f>
        <v>34.500RT2025junho</v>
      </c>
      <c r="J31" s="3">
        <v>200</v>
      </c>
      <c r="K31">
        <v>1081</v>
      </c>
      <c r="L31" s="3">
        <v>180</v>
      </c>
      <c r="M31" s="3"/>
      <c r="N31" s="18"/>
      <c r="O31" s="20"/>
    </row>
    <row r="32" spans="3:15" x14ac:dyDescent="0.25">
      <c r="C32" s="3" t="s">
        <v>1344</v>
      </c>
      <c r="D32" s="3" t="s">
        <v>1339</v>
      </c>
      <c r="E32" s="3">
        <v>2025</v>
      </c>
      <c r="F32" s="3" t="s">
        <v>746</v>
      </c>
      <c r="G32" s="3" t="str">
        <f>_xlfn.CONCAT(Tabela17[[#This Row],[FAIXA DE TENSÃO]],Tabela17[[#This Row],[TIPO]],Tabela17[[#This Row],[Ano2]],Tabela17[[#This Row],[Mês]])</f>
        <v>34.500RT2025julho</v>
      </c>
      <c r="J32" s="3">
        <v>200</v>
      </c>
      <c r="K32">
        <v>1081</v>
      </c>
      <c r="L32" s="3">
        <v>180</v>
      </c>
      <c r="M32" s="3"/>
      <c r="N32" s="18"/>
      <c r="O32" s="20"/>
    </row>
    <row r="33" spans="3:15" x14ac:dyDescent="0.25">
      <c r="C33" s="3" t="s">
        <v>1344</v>
      </c>
      <c r="D33" s="3" t="s">
        <v>1339</v>
      </c>
      <c r="E33" s="3">
        <v>2025</v>
      </c>
      <c r="F33" s="3" t="s">
        <v>747</v>
      </c>
      <c r="G33" s="3" t="str">
        <f>_xlfn.CONCAT(Tabela17[[#This Row],[FAIXA DE TENSÃO]],Tabela17[[#This Row],[TIPO]],Tabela17[[#This Row],[Ano2]],Tabela17[[#This Row],[Mês]])</f>
        <v>34.500RT2025agosto</v>
      </c>
      <c r="J33" s="3">
        <v>200</v>
      </c>
      <c r="K33">
        <v>1081</v>
      </c>
      <c r="L33" s="3">
        <v>180</v>
      </c>
      <c r="M33" s="3"/>
      <c r="N33" s="18"/>
      <c r="O33" s="20"/>
    </row>
    <row r="34" spans="3:15" x14ac:dyDescent="0.25">
      <c r="C34" s="3" t="s">
        <v>1344</v>
      </c>
      <c r="D34" s="3" t="s">
        <v>1339</v>
      </c>
      <c r="E34" s="3">
        <v>2025</v>
      </c>
      <c r="F34" s="3" t="s">
        <v>748</v>
      </c>
      <c r="G34" s="3" t="str">
        <f>_xlfn.CONCAT(Tabela17[[#This Row],[FAIXA DE TENSÃO]],Tabela17[[#This Row],[TIPO]],Tabela17[[#This Row],[Ano2]],Tabela17[[#This Row],[Mês]])</f>
        <v>34.500RT2025setembro</v>
      </c>
      <c r="J34" s="3">
        <v>200</v>
      </c>
      <c r="K34">
        <v>1081</v>
      </c>
      <c r="L34" s="3">
        <v>180</v>
      </c>
      <c r="M34" s="3"/>
      <c r="N34" s="18"/>
      <c r="O34" s="20"/>
    </row>
    <row r="35" spans="3:15" x14ac:dyDescent="0.25">
      <c r="C35" s="3" t="s">
        <v>1344</v>
      </c>
      <c r="D35" s="3" t="s">
        <v>1339</v>
      </c>
      <c r="E35" s="3">
        <v>2025</v>
      </c>
      <c r="F35" s="3" t="s">
        <v>749</v>
      </c>
      <c r="G35" s="3" t="str">
        <f>_xlfn.CONCAT(Tabela17[[#This Row],[FAIXA DE TENSÃO]],Tabela17[[#This Row],[TIPO]],Tabela17[[#This Row],[Ano2]],Tabela17[[#This Row],[Mês]])</f>
        <v>34.500RT2025outubro</v>
      </c>
      <c r="J35" s="3">
        <v>200</v>
      </c>
      <c r="K35">
        <v>1081</v>
      </c>
      <c r="L35" s="3">
        <v>180</v>
      </c>
      <c r="M35" s="3"/>
      <c r="N35" s="18"/>
      <c r="O35" s="20"/>
    </row>
    <row r="36" spans="3:15" x14ac:dyDescent="0.25">
      <c r="C36" s="3" t="s">
        <v>1344</v>
      </c>
      <c r="D36" s="3" t="s">
        <v>1339</v>
      </c>
      <c r="E36" s="3">
        <v>2025</v>
      </c>
      <c r="F36" s="3" t="s">
        <v>750</v>
      </c>
      <c r="G36" s="3" t="str">
        <f>_xlfn.CONCAT(Tabela17[[#This Row],[FAIXA DE TENSÃO]],Tabela17[[#This Row],[TIPO]],Tabela17[[#This Row],[Ano2]],Tabela17[[#This Row],[Mês]])</f>
        <v>34.500RT2025novembro</v>
      </c>
      <c r="J36" s="3">
        <v>200</v>
      </c>
      <c r="K36">
        <v>1081</v>
      </c>
      <c r="L36" s="3">
        <v>180</v>
      </c>
      <c r="M36" s="3"/>
      <c r="N36" s="18"/>
      <c r="O36" s="20"/>
    </row>
    <row r="37" spans="3:15" x14ac:dyDescent="0.25">
      <c r="C37" s="3" t="s">
        <v>1344</v>
      </c>
      <c r="D37" s="3" t="s">
        <v>1339</v>
      </c>
      <c r="E37" s="3">
        <v>2025</v>
      </c>
      <c r="F37" s="3" t="s">
        <v>751</v>
      </c>
      <c r="G37" s="3" t="str">
        <f>_xlfn.CONCAT(Tabela17[[#This Row],[FAIXA DE TENSÃO]],Tabela17[[#This Row],[TIPO]],Tabela17[[#This Row],[Ano2]],Tabela17[[#This Row],[Mês]])</f>
        <v>34.500RT2025dezembro</v>
      </c>
      <c r="J37" s="3">
        <v>200</v>
      </c>
      <c r="K37">
        <v>1081</v>
      </c>
      <c r="L37" s="3">
        <v>180</v>
      </c>
      <c r="M37" s="3"/>
      <c r="N37" s="18"/>
      <c r="O37" s="20"/>
    </row>
    <row r="38" spans="3:15" x14ac:dyDescent="0.25">
      <c r="C38" s="3" t="s">
        <v>1344</v>
      </c>
      <c r="D38" s="3" t="s">
        <v>1339</v>
      </c>
      <c r="E38" s="3">
        <v>2026</v>
      </c>
      <c r="F38" s="3" t="s">
        <v>740</v>
      </c>
      <c r="G38" s="3" t="str">
        <f>_xlfn.CONCAT(Tabela17[[#This Row],[FAIXA DE TENSÃO]],Tabela17[[#This Row],[TIPO]],Tabela17[[#This Row],[Ano2]],Tabela17[[#This Row],[Mês]])</f>
        <v>34.500RT2026janeiro</v>
      </c>
      <c r="J38" s="3">
        <v>200</v>
      </c>
      <c r="K38">
        <v>1081</v>
      </c>
      <c r="L38" s="3"/>
      <c r="M38" s="3"/>
      <c r="N38" s="18"/>
      <c r="O38" s="20"/>
    </row>
    <row r="39" spans="3:15" x14ac:dyDescent="0.25">
      <c r="C39" s="3" t="s">
        <v>1344</v>
      </c>
      <c r="D39" s="3" t="s">
        <v>1339</v>
      </c>
      <c r="E39" s="3">
        <v>2026</v>
      </c>
      <c r="F39" s="3" t="s">
        <v>741</v>
      </c>
      <c r="G39" s="3" t="str">
        <f>_xlfn.CONCAT(Tabela17[[#This Row],[FAIXA DE TENSÃO]],Tabela17[[#This Row],[TIPO]],Tabela17[[#This Row],[Ano2]],Tabela17[[#This Row],[Mês]])</f>
        <v>34.500RT2026fevereiro</v>
      </c>
      <c r="J39" s="3">
        <v>200</v>
      </c>
      <c r="K39">
        <v>1081</v>
      </c>
      <c r="L39" s="3"/>
      <c r="M39" s="3"/>
      <c r="N39" s="18"/>
      <c r="O39" s="20"/>
    </row>
    <row r="40" spans="3:15" x14ac:dyDescent="0.25">
      <c r="C40" s="3" t="s">
        <v>1344</v>
      </c>
      <c r="D40" s="3" t="s">
        <v>1339</v>
      </c>
      <c r="E40" s="3">
        <v>2026</v>
      </c>
      <c r="F40" s="3" t="s">
        <v>742</v>
      </c>
      <c r="G40" s="3" t="str">
        <f>_xlfn.CONCAT(Tabela17[[#This Row],[FAIXA DE TENSÃO]],Tabela17[[#This Row],[TIPO]],Tabela17[[#This Row],[Ano2]],Tabela17[[#This Row],[Mês]])</f>
        <v>34.500RT2026março</v>
      </c>
      <c r="J40" s="3">
        <v>200</v>
      </c>
      <c r="K40">
        <v>1081</v>
      </c>
      <c r="L40" s="3"/>
      <c r="M40" s="3"/>
      <c r="N40" s="18"/>
      <c r="O40" s="20"/>
    </row>
    <row r="41" spans="3:15" x14ac:dyDescent="0.25">
      <c r="C41" s="3" t="s">
        <v>1344</v>
      </c>
      <c r="D41" s="3" t="s">
        <v>1339</v>
      </c>
      <c r="E41" s="3">
        <v>2026</v>
      </c>
      <c r="F41" s="3" t="s">
        <v>743</v>
      </c>
      <c r="G41" s="3" t="str">
        <f>_xlfn.CONCAT(Tabela17[[#This Row],[FAIXA DE TENSÃO]],Tabela17[[#This Row],[TIPO]],Tabela17[[#This Row],[Ano2]],Tabela17[[#This Row],[Mês]])</f>
        <v>34.500RT2026abril</v>
      </c>
      <c r="J41" s="3">
        <v>200</v>
      </c>
      <c r="K41">
        <v>1081</v>
      </c>
      <c r="L41" s="3"/>
      <c r="M41" s="3"/>
      <c r="N41" s="18"/>
      <c r="O41" s="20"/>
    </row>
    <row r="42" spans="3:15" x14ac:dyDescent="0.25">
      <c r="C42" s="3" t="s">
        <v>1344</v>
      </c>
      <c r="D42" s="3" t="s">
        <v>1339</v>
      </c>
      <c r="E42" s="3">
        <v>2026</v>
      </c>
      <c r="F42" s="3" t="s">
        <v>744</v>
      </c>
      <c r="G42" s="3" t="str">
        <f>_xlfn.CONCAT(Tabela17[[#This Row],[FAIXA DE TENSÃO]],Tabela17[[#This Row],[TIPO]],Tabela17[[#This Row],[Ano2]],Tabela17[[#This Row],[Mês]])</f>
        <v>34.500RT2026maio</v>
      </c>
      <c r="J42" s="3">
        <v>200</v>
      </c>
      <c r="K42">
        <v>1081</v>
      </c>
      <c r="L42" s="3"/>
      <c r="M42" s="3"/>
      <c r="N42" s="18"/>
      <c r="O42" s="20"/>
    </row>
    <row r="43" spans="3:15" x14ac:dyDescent="0.25">
      <c r="C43" s="3" t="s">
        <v>1344</v>
      </c>
      <c r="D43" s="3" t="s">
        <v>1339</v>
      </c>
      <c r="E43" s="3">
        <v>2026</v>
      </c>
      <c r="F43" s="3" t="s">
        <v>745</v>
      </c>
      <c r="G43" s="3" t="str">
        <f>_xlfn.CONCAT(Tabela17[[#This Row],[FAIXA DE TENSÃO]],Tabela17[[#This Row],[TIPO]],Tabela17[[#This Row],[Ano2]],Tabela17[[#This Row],[Mês]])</f>
        <v>34.500RT2026junho</v>
      </c>
      <c r="J43" s="3">
        <v>200</v>
      </c>
      <c r="K43">
        <v>1081</v>
      </c>
      <c r="L43" s="3"/>
      <c r="M43" s="3"/>
      <c r="N43" s="18"/>
      <c r="O43" s="20"/>
    </row>
    <row r="44" spans="3:15" x14ac:dyDescent="0.25">
      <c r="C44" s="3" t="s">
        <v>1344</v>
      </c>
      <c r="D44" s="3" t="s">
        <v>1339</v>
      </c>
      <c r="E44" s="3">
        <v>2026</v>
      </c>
      <c r="F44" s="3" t="s">
        <v>746</v>
      </c>
      <c r="G44" s="3" t="str">
        <f>_xlfn.CONCAT(Tabela17[[#This Row],[FAIXA DE TENSÃO]],Tabela17[[#This Row],[TIPO]],Tabela17[[#This Row],[Ano2]],Tabela17[[#This Row],[Mês]])</f>
        <v>34.500RT2026julho</v>
      </c>
      <c r="J44" s="3">
        <v>200</v>
      </c>
      <c r="K44">
        <v>1081</v>
      </c>
      <c r="L44" s="3"/>
      <c r="M44" s="3"/>
      <c r="N44" s="18"/>
      <c r="O44" s="20"/>
    </row>
    <row r="45" spans="3:15" x14ac:dyDescent="0.25">
      <c r="C45" s="3" t="s">
        <v>1344</v>
      </c>
      <c r="D45" s="3" t="s">
        <v>1339</v>
      </c>
      <c r="E45" s="3">
        <v>2026</v>
      </c>
      <c r="F45" s="3" t="s">
        <v>747</v>
      </c>
      <c r="G45" s="3" t="str">
        <f>_xlfn.CONCAT(Tabela17[[#This Row],[FAIXA DE TENSÃO]],Tabela17[[#This Row],[TIPO]],Tabela17[[#This Row],[Ano2]],Tabela17[[#This Row],[Mês]])</f>
        <v>34.500RT2026agosto</v>
      </c>
      <c r="J45" s="3">
        <v>200</v>
      </c>
      <c r="K45">
        <v>1081</v>
      </c>
      <c r="L45" s="3"/>
      <c r="M45" s="3"/>
      <c r="N45" s="18"/>
      <c r="O45" s="20"/>
    </row>
    <row r="46" spans="3:15" x14ac:dyDescent="0.25">
      <c r="C46" s="3" t="s">
        <v>1344</v>
      </c>
      <c r="D46" s="3" t="s">
        <v>1339</v>
      </c>
      <c r="E46" s="3">
        <v>2026</v>
      </c>
      <c r="F46" s="3" t="s">
        <v>748</v>
      </c>
      <c r="G46" s="3" t="str">
        <f>_xlfn.CONCAT(Tabela17[[#This Row],[FAIXA DE TENSÃO]],Tabela17[[#This Row],[TIPO]],Tabela17[[#This Row],[Ano2]],Tabela17[[#This Row],[Mês]])</f>
        <v>34.500RT2026setembro</v>
      </c>
      <c r="J46" s="3">
        <v>200</v>
      </c>
      <c r="K46">
        <v>1081</v>
      </c>
      <c r="L46" s="3"/>
      <c r="M46" s="3"/>
      <c r="N46" s="18"/>
      <c r="O46" s="20"/>
    </row>
    <row r="47" spans="3:15" x14ac:dyDescent="0.25">
      <c r="C47" s="3" t="s">
        <v>1344</v>
      </c>
      <c r="D47" s="3" t="s">
        <v>1339</v>
      </c>
      <c r="E47" s="3">
        <v>2026</v>
      </c>
      <c r="F47" s="3" t="s">
        <v>749</v>
      </c>
      <c r="G47" s="3" t="str">
        <f>_xlfn.CONCAT(Tabela17[[#This Row],[FAIXA DE TENSÃO]],Tabela17[[#This Row],[TIPO]],Tabela17[[#This Row],[Ano2]],Tabela17[[#This Row],[Mês]])</f>
        <v>34.500RT2026outubro</v>
      </c>
      <c r="J47" s="3">
        <v>200</v>
      </c>
      <c r="K47">
        <v>1081</v>
      </c>
      <c r="L47" s="3"/>
      <c r="M47" s="3"/>
      <c r="N47" s="18"/>
      <c r="O47" s="20"/>
    </row>
    <row r="48" spans="3:15" x14ac:dyDescent="0.25">
      <c r="C48" s="3" t="s">
        <v>1344</v>
      </c>
      <c r="D48" s="3" t="s">
        <v>1339</v>
      </c>
      <c r="E48" s="3">
        <v>2026</v>
      </c>
      <c r="F48" s="3" t="s">
        <v>750</v>
      </c>
      <c r="G48" s="3" t="str">
        <f>_xlfn.CONCAT(Tabela17[[#This Row],[FAIXA DE TENSÃO]],Tabela17[[#This Row],[TIPO]],Tabela17[[#This Row],[Ano2]],Tabela17[[#This Row],[Mês]])</f>
        <v>34.500RT2026novembro</v>
      </c>
      <c r="J48" s="3">
        <v>200</v>
      </c>
      <c r="K48">
        <v>1081</v>
      </c>
      <c r="L48" s="3"/>
      <c r="M48" s="3"/>
      <c r="N48" s="18"/>
      <c r="O48" s="20"/>
    </row>
    <row r="49" spans="3:15" x14ac:dyDescent="0.25">
      <c r="C49" s="3" t="s">
        <v>1344</v>
      </c>
      <c r="D49" s="3" t="s">
        <v>1339</v>
      </c>
      <c r="E49" s="3">
        <v>2026</v>
      </c>
      <c r="F49" s="3" t="s">
        <v>751</v>
      </c>
      <c r="G49" s="3" t="str">
        <f>_xlfn.CONCAT(Tabela17[[#This Row],[FAIXA DE TENSÃO]],Tabela17[[#This Row],[TIPO]],Tabela17[[#This Row],[Ano2]],Tabela17[[#This Row],[Mês]])</f>
        <v>34.500RT2026dezembro</v>
      </c>
      <c r="J49" s="3">
        <v>200</v>
      </c>
      <c r="K49">
        <v>1081</v>
      </c>
      <c r="L49" s="3"/>
      <c r="M49" s="3"/>
      <c r="N49" s="18"/>
      <c r="O49" s="20"/>
    </row>
    <row r="50" spans="3:15" x14ac:dyDescent="0.25">
      <c r="C50" s="3" t="s">
        <v>1345</v>
      </c>
      <c r="D50" s="3" t="s">
        <v>1337</v>
      </c>
      <c r="E50" s="3">
        <v>2025</v>
      </c>
      <c r="F50" s="3" t="s">
        <v>740</v>
      </c>
      <c r="G50" s="3" t="str">
        <f>_xlfn.CONCAT(Tabela17[[#This Row],[FAIXA DE TENSÃO]],Tabela17[[#This Row],[TIPO]],Tabela17[[#This Row],[Ano2]],Tabela17[[#This Row],[Mês]])</f>
        <v>13.800RL2025janeiro</v>
      </c>
      <c r="J50" s="3">
        <v>200</v>
      </c>
      <c r="K50">
        <v>1081</v>
      </c>
      <c r="L50" s="3"/>
      <c r="M50" s="3"/>
      <c r="N50" s="18"/>
      <c r="O50" s="20"/>
    </row>
    <row r="51" spans="3:15" x14ac:dyDescent="0.25">
      <c r="C51" s="3" t="s">
        <v>1345</v>
      </c>
      <c r="D51" s="3" t="s">
        <v>1337</v>
      </c>
      <c r="E51" s="3">
        <v>2025</v>
      </c>
      <c r="F51" s="3" t="s">
        <v>741</v>
      </c>
      <c r="G51" s="3" t="str">
        <f>_xlfn.CONCAT(Tabela17[[#This Row],[FAIXA DE TENSÃO]],Tabela17[[#This Row],[TIPO]],Tabela17[[#This Row],[Ano2]],Tabela17[[#This Row],[Mês]])</f>
        <v>13.800RL2025fevereiro</v>
      </c>
      <c r="J51" s="3">
        <v>200</v>
      </c>
      <c r="K51">
        <v>1081</v>
      </c>
      <c r="L51" s="3"/>
      <c r="M51" s="3"/>
      <c r="N51" s="18"/>
      <c r="O51" s="20"/>
    </row>
    <row r="52" spans="3:15" x14ac:dyDescent="0.25">
      <c r="C52" s="3" t="s">
        <v>1345</v>
      </c>
      <c r="D52" s="3" t="s">
        <v>1337</v>
      </c>
      <c r="E52" s="3">
        <v>2025</v>
      </c>
      <c r="F52" s="3" t="s">
        <v>742</v>
      </c>
      <c r="G52" s="3" t="str">
        <f>_xlfn.CONCAT(Tabela17[[#This Row],[FAIXA DE TENSÃO]],Tabela17[[#This Row],[TIPO]],Tabela17[[#This Row],[Ano2]],Tabela17[[#This Row],[Mês]])</f>
        <v>13.800RL2025março</v>
      </c>
      <c r="J52" s="3">
        <v>200</v>
      </c>
      <c r="K52">
        <v>1081</v>
      </c>
      <c r="L52" s="3"/>
      <c r="M52" s="3"/>
      <c r="N52" s="18"/>
      <c r="O52" s="20"/>
    </row>
    <row r="53" spans="3:15" x14ac:dyDescent="0.25">
      <c r="C53" s="3" t="s">
        <v>1345</v>
      </c>
      <c r="D53" s="3" t="s">
        <v>1337</v>
      </c>
      <c r="E53" s="3">
        <v>2025</v>
      </c>
      <c r="F53" s="3" t="s">
        <v>743</v>
      </c>
      <c r="G53" s="3" t="str">
        <f>_xlfn.CONCAT(Tabela17[[#This Row],[FAIXA DE TENSÃO]],Tabela17[[#This Row],[TIPO]],Tabela17[[#This Row],[Ano2]],Tabela17[[#This Row],[Mês]])</f>
        <v>13.800RL2025abril</v>
      </c>
      <c r="J53" s="3">
        <v>200</v>
      </c>
      <c r="K53">
        <v>1081</v>
      </c>
      <c r="L53" s="3"/>
      <c r="M53" s="3"/>
      <c r="N53" s="18"/>
      <c r="O53" s="20"/>
    </row>
    <row r="54" spans="3:15" x14ac:dyDescent="0.25">
      <c r="C54" s="3" t="s">
        <v>1345</v>
      </c>
      <c r="D54" s="3" t="s">
        <v>1337</v>
      </c>
      <c r="E54" s="3">
        <v>2025</v>
      </c>
      <c r="F54" s="3" t="s">
        <v>744</v>
      </c>
      <c r="G54" s="3" t="str">
        <f>_xlfn.CONCAT(Tabela17[[#This Row],[FAIXA DE TENSÃO]],Tabela17[[#This Row],[TIPO]],Tabela17[[#This Row],[Ano2]],Tabela17[[#This Row],[Mês]])</f>
        <v>13.800RL2025maio</v>
      </c>
      <c r="J54" s="3">
        <v>200</v>
      </c>
      <c r="K54">
        <v>1081</v>
      </c>
      <c r="L54" s="3"/>
      <c r="M54" s="3"/>
      <c r="N54" s="18"/>
      <c r="O54" s="20"/>
    </row>
    <row r="55" spans="3:15" x14ac:dyDescent="0.25">
      <c r="C55" s="3" t="s">
        <v>1345</v>
      </c>
      <c r="D55" s="3" t="s">
        <v>1337</v>
      </c>
      <c r="E55" s="3">
        <v>2025</v>
      </c>
      <c r="F55" s="3" t="s">
        <v>745</v>
      </c>
      <c r="G55" s="3" t="str">
        <f>_xlfn.CONCAT(Tabela17[[#This Row],[FAIXA DE TENSÃO]],Tabela17[[#This Row],[TIPO]],Tabela17[[#This Row],[Ano2]],Tabela17[[#This Row],[Mês]])</f>
        <v>13.800RL2025junho</v>
      </c>
      <c r="J55" s="3">
        <v>200</v>
      </c>
      <c r="K55">
        <v>1081</v>
      </c>
      <c r="L55" s="3"/>
      <c r="M55" s="3"/>
      <c r="N55" s="18"/>
      <c r="O55" s="20"/>
    </row>
    <row r="56" spans="3:15" x14ac:dyDescent="0.25">
      <c r="C56" s="3" t="s">
        <v>1345</v>
      </c>
      <c r="D56" s="3" t="s">
        <v>1337</v>
      </c>
      <c r="E56" s="3">
        <v>2025</v>
      </c>
      <c r="F56" s="3" t="s">
        <v>746</v>
      </c>
      <c r="G56" s="3" t="str">
        <f>_xlfn.CONCAT(Tabela17[[#This Row],[FAIXA DE TENSÃO]],Tabela17[[#This Row],[TIPO]],Tabela17[[#This Row],[Ano2]],Tabela17[[#This Row],[Mês]])</f>
        <v>13.800RL2025julho</v>
      </c>
      <c r="J56" s="3">
        <v>200</v>
      </c>
      <c r="K56">
        <v>1081</v>
      </c>
      <c r="L56" s="3"/>
      <c r="M56" s="3"/>
      <c r="N56" s="18"/>
      <c r="O56" s="20"/>
    </row>
    <row r="57" spans="3:15" x14ac:dyDescent="0.25">
      <c r="C57" s="3" t="s">
        <v>1345</v>
      </c>
      <c r="D57" s="3" t="s">
        <v>1337</v>
      </c>
      <c r="E57" s="3">
        <v>2025</v>
      </c>
      <c r="F57" s="3" t="s">
        <v>747</v>
      </c>
      <c r="G57" s="3" t="str">
        <f>_xlfn.CONCAT(Tabela17[[#This Row],[FAIXA DE TENSÃO]],Tabela17[[#This Row],[TIPO]],Tabela17[[#This Row],[Ano2]],Tabela17[[#This Row],[Mês]])</f>
        <v>13.800RL2025agosto</v>
      </c>
      <c r="J57" s="3">
        <v>200</v>
      </c>
      <c r="K57">
        <v>1081</v>
      </c>
      <c r="L57" s="3"/>
      <c r="M57" s="3"/>
      <c r="N57" s="18"/>
      <c r="O57" s="20"/>
    </row>
    <row r="58" spans="3:15" x14ac:dyDescent="0.25">
      <c r="C58" s="3" t="s">
        <v>1345</v>
      </c>
      <c r="D58" s="3" t="s">
        <v>1337</v>
      </c>
      <c r="E58" s="3">
        <v>2025</v>
      </c>
      <c r="F58" s="3" t="s">
        <v>748</v>
      </c>
      <c r="G58" s="3" t="str">
        <f>_xlfn.CONCAT(Tabela17[[#This Row],[FAIXA DE TENSÃO]],Tabela17[[#This Row],[TIPO]],Tabela17[[#This Row],[Ano2]],Tabela17[[#This Row],[Mês]])</f>
        <v>13.800RL2025setembro</v>
      </c>
      <c r="J58" s="3">
        <v>200</v>
      </c>
      <c r="K58">
        <v>1081</v>
      </c>
      <c r="L58" s="3"/>
      <c r="M58" s="3"/>
      <c r="N58" s="18"/>
      <c r="O58" s="20"/>
    </row>
    <row r="59" spans="3:15" x14ac:dyDescent="0.25">
      <c r="C59" s="3" t="s">
        <v>1345</v>
      </c>
      <c r="D59" s="3" t="s">
        <v>1337</v>
      </c>
      <c r="E59" s="3">
        <v>2025</v>
      </c>
      <c r="F59" s="3" t="s">
        <v>749</v>
      </c>
      <c r="G59" s="3" t="str">
        <f>_xlfn.CONCAT(Tabela17[[#This Row],[FAIXA DE TENSÃO]],Tabela17[[#This Row],[TIPO]],Tabela17[[#This Row],[Ano2]],Tabela17[[#This Row],[Mês]])</f>
        <v>13.800RL2025outubro</v>
      </c>
      <c r="J59" s="3">
        <v>200</v>
      </c>
      <c r="K59">
        <v>1081</v>
      </c>
      <c r="L59" s="3"/>
      <c r="M59" s="3"/>
      <c r="N59" s="18"/>
      <c r="O59" s="20"/>
    </row>
    <row r="60" spans="3:15" x14ac:dyDescent="0.25">
      <c r="C60" s="3" t="s">
        <v>1345</v>
      </c>
      <c r="D60" s="3" t="s">
        <v>1337</v>
      </c>
      <c r="E60" s="3">
        <v>2025</v>
      </c>
      <c r="F60" s="3" t="s">
        <v>750</v>
      </c>
      <c r="G60" s="3" t="str">
        <f>_xlfn.CONCAT(Tabela17[[#This Row],[FAIXA DE TENSÃO]],Tabela17[[#This Row],[TIPO]],Tabela17[[#This Row],[Ano2]],Tabela17[[#This Row],[Mês]])</f>
        <v>13.800RL2025novembro</v>
      </c>
      <c r="J60" s="3">
        <v>200</v>
      </c>
      <c r="K60">
        <v>1081</v>
      </c>
      <c r="L60" s="3"/>
      <c r="M60" s="3"/>
      <c r="N60" s="18"/>
      <c r="O60" s="20"/>
    </row>
    <row r="61" spans="3:15" x14ac:dyDescent="0.25">
      <c r="C61" s="3" t="s">
        <v>1345</v>
      </c>
      <c r="D61" s="3" t="s">
        <v>1337</v>
      </c>
      <c r="E61" s="3">
        <v>2025</v>
      </c>
      <c r="F61" s="3" t="s">
        <v>751</v>
      </c>
      <c r="G61" s="3" t="str">
        <f>_xlfn.CONCAT(Tabela17[[#This Row],[FAIXA DE TENSÃO]],Tabela17[[#This Row],[TIPO]],Tabela17[[#This Row],[Ano2]],Tabela17[[#This Row],[Mês]])</f>
        <v>13.800RL2025dezembro</v>
      </c>
      <c r="J61" s="3">
        <v>200</v>
      </c>
      <c r="K61">
        <v>1081</v>
      </c>
      <c r="L61" s="3"/>
      <c r="M61" s="3"/>
      <c r="N61" s="18"/>
      <c r="O61" s="20"/>
    </row>
    <row r="62" spans="3:15" x14ac:dyDescent="0.25">
      <c r="C62" s="3" t="s">
        <v>1345</v>
      </c>
      <c r="D62" s="3" t="s">
        <v>1337</v>
      </c>
      <c r="E62" s="3">
        <v>2026</v>
      </c>
      <c r="F62" s="3" t="s">
        <v>740</v>
      </c>
      <c r="G62" s="3" t="str">
        <f>_xlfn.CONCAT(Tabela17[[#This Row],[FAIXA DE TENSÃO]],Tabela17[[#This Row],[TIPO]],Tabela17[[#This Row],[Ano2]],Tabela17[[#This Row],[Mês]])</f>
        <v>13.800RL2026janeiro</v>
      </c>
      <c r="J62" s="3">
        <v>200</v>
      </c>
      <c r="K62">
        <v>1081</v>
      </c>
      <c r="L62" s="3"/>
      <c r="M62" s="3"/>
      <c r="N62" s="18"/>
      <c r="O62" s="20"/>
    </row>
    <row r="63" spans="3:15" x14ac:dyDescent="0.25">
      <c r="C63" s="3" t="s">
        <v>1345</v>
      </c>
      <c r="D63" s="3" t="s">
        <v>1337</v>
      </c>
      <c r="E63" s="3">
        <v>2026</v>
      </c>
      <c r="F63" s="3" t="s">
        <v>741</v>
      </c>
      <c r="G63" s="3" t="str">
        <f>_xlfn.CONCAT(Tabela17[[#This Row],[FAIXA DE TENSÃO]],Tabela17[[#This Row],[TIPO]],Tabela17[[#This Row],[Ano2]],Tabela17[[#This Row],[Mês]])</f>
        <v>13.800RL2026fevereiro</v>
      </c>
      <c r="J63" s="3">
        <v>200</v>
      </c>
      <c r="K63">
        <v>1081</v>
      </c>
      <c r="L63" s="3"/>
      <c r="M63" s="3"/>
      <c r="N63" s="18"/>
      <c r="O63" s="20"/>
    </row>
    <row r="64" spans="3:15" x14ac:dyDescent="0.25">
      <c r="C64" s="3" t="s">
        <v>1345</v>
      </c>
      <c r="D64" s="3" t="s">
        <v>1337</v>
      </c>
      <c r="E64" s="3">
        <v>2026</v>
      </c>
      <c r="F64" s="3" t="s">
        <v>742</v>
      </c>
      <c r="G64" s="3" t="str">
        <f>_xlfn.CONCAT(Tabela17[[#This Row],[FAIXA DE TENSÃO]],Tabela17[[#This Row],[TIPO]],Tabela17[[#This Row],[Ano2]],Tabela17[[#This Row],[Mês]])</f>
        <v>13.800RL2026março</v>
      </c>
      <c r="J64" s="3">
        <v>200</v>
      </c>
      <c r="K64">
        <v>1081</v>
      </c>
      <c r="L64" s="3"/>
      <c r="M64" s="3"/>
      <c r="N64" s="18"/>
      <c r="O64" s="20"/>
    </row>
    <row r="65" spans="3:15" x14ac:dyDescent="0.25">
      <c r="C65" s="3" t="s">
        <v>1345</v>
      </c>
      <c r="D65" s="3" t="s">
        <v>1337</v>
      </c>
      <c r="E65" s="3">
        <v>2026</v>
      </c>
      <c r="F65" s="3" t="s">
        <v>743</v>
      </c>
      <c r="G65" s="3" t="str">
        <f>_xlfn.CONCAT(Tabela17[[#This Row],[FAIXA DE TENSÃO]],Tabela17[[#This Row],[TIPO]],Tabela17[[#This Row],[Ano2]],Tabela17[[#This Row],[Mês]])</f>
        <v>13.800RL2026abril</v>
      </c>
      <c r="J65" s="3">
        <v>200</v>
      </c>
      <c r="K65">
        <v>1081</v>
      </c>
      <c r="L65" s="3"/>
      <c r="M65" s="3"/>
      <c r="N65" s="18"/>
      <c r="O65" s="20"/>
    </row>
    <row r="66" spans="3:15" x14ac:dyDescent="0.25">
      <c r="C66" s="3" t="s">
        <v>1345</v>
      </c>
      <c r="D66" s="3" t="s">
        <v>1337</v>
      </c>
      <c r="E66" s="3">
        <v>2026</v>
      </c>
      <c r="F66" s="3" t="s">
        <v>744</v>
      </c>
      <c r="G66" s="3" t="str">
        <f>_xlfn.CONCAT(Tabela17[[#This Row],[FAIXA DE TENSÃO]],Tabela17[[#This Row],[TIPO]],Tabela17[[#This Row],[Ano2]],Tabela17[[#This Row],[Mês]])</f>
        <v>13.800RL2026maio</v>
      </c>
      <c r="J66" s="3">
        <v>200</v>
      </c>
      <c r="K66">
        <v>1081</v>
      </c>
      <c r="L66" s="3"/>
      <c r="M66" s="3"/>
      <c r="N66" s="18"/>
      <c r="O66" s="20"/>
    </row>
    <row r="67" spans="3:15" x14ac:dyDescent="0.25">
      <c r="C67" s="3" t="s">
        <v>1345</v>
      </c>
      <c r="D67" s="3" t="s">
        <v>1337</v>
      </c>
      <c r="E67" s="3">
        <v>2026</v>
      </c>
      <c r="F67" s="3" t="s">
        <v>745</v>
      </c>
      <c r="G67" s="3" t="str">
        <f>_xlfn.CONCAT(Tabela17[[#This Row],[FAIXA DE TENSÃO]],Tabela17[[#This Row],[TIPO]],Tabela17[[#This Row],[Ano2]],Tabela17[[#This Row],[Mês]])</f>
        <v>13.800RL2026junho</v>
      </c>
      <c r="J67" s="3">
        <v>200</v>
      </c>
      <c r="K67">
        <v>1081</v>
      </c>
      <c r="L67" s="3"/>
      <c r="M67" s="3"/>
      <c r="N67" s="18"/>
      <c r="O67" s="20"/>
    </row>
    <row r="68" spans="3:15" x14ac:dyDescent="0.25">
      <c r="C68" s="3" t="s">
        <v>1345</v>
      </c>
      <c r="D68" s="3" t="s">
        <v>1337</v>
      </c>
      <c r="E68" s="3">
        <v>2026</v>
      </c>
      <c r="F68" s="3" t="s">
        <v>746</v>
      </c>
      <c r="G68" s="3" t="str">
        <f>_xlfn.CONCAT(Tabela17[[#This Row],[FAIXA DE TENSÃO]],Tabela17[[#This Row],[TIPO]],Tabela17[[#This Row],[Ano2]],Tabela17[[#This Row],[Mês]])</f>
        <v>13.800RL2026julho</v>
      </c>
      <c r="J68" s="3">
        <v>200</v>
      </c>
      <c r="K68">
        <v>1081</v>
      </c>
      <c r="L68" s="3"/>
      <c r="M68" s="3"/>
      <c r="N68" s="18"/>
      <c r="O68" s="20"/>
    </row>
    <row r="69" spans="3:15" x14ac:dyDescent="0.25">
      <c r="C69" s="3" t="s">
        <v>1345</v>
      </c>
      <c r="D69" s="3" t="s">
        <v>1337</v>
      </c>
      <c r="E69" s="3">
        <v>2026</v>
      </c>
      <c r="F69" s="3" t="s">
        <v>747</v>
      </c>
      <c r="G69" s="3" t="str">
        <f>_xlfn.CONCAT(Tabela17[[#This Row],[FAIXA DE TENSÃO]],Tabela17[[#This Row],[TIPO]],Tabela17[[#This Row],[Ano2]],Tabela17[[#This Row],[Mês]])</f>
        <v>13.800RL2026agosto</v>
      </c>
      <c r="J69" s="3">
        <v>200</v>
      </c>
      <c r="K69">
        <v>1081</v>
      </c>
      <c r="L69" s="3"/>
      <c r="M69" s="3"/>
      <c r="N69" s="18"/>
      <c r="O69" s="20"/>
    </row>
    <row r="70" spans="3:15" x14ac:dyDescent="0.25">
      <c r="C70" s="3" t="s">
        <v>1345</v>
      </c>
      <c r="D70" s="3" t="s">
        <v>1337</v>
      </c>
      <c r="E70" s="3">
        <v>2026</v>
      </c>
      <c r="F70" s="3" t="s">
        <v>748</v>
      </c>
      <c r="G70" s="3" t="str">
        <f>_xlfn.CONCAT(Tabela17[[#This Row],[FAIXA DE TENSÃO]],Tabela17[[#This Row],[TIPO]],Tabela17[[#This Row],[Ano2]],Tabela17[[#This Row],[Mês]])</f>
        <v>13.800RL2026setembro</v>
      </c>
      <c r="J70" s="3">
        <v>200</v>
      </c>
      <c r="K70">
        <v>1081</v>
      </c>
      <c r="L70" s="3"/>
      <c r="M70" s="3"/>
      <c r="N70" s="18"/>
      <c r="O70" s="20"/>
    </row>
    <row r="71" spans="3:15" x14ac:dyDescent="0.25">
      <c r="C71" s="3" t="s">
        <v>1345</v>
      </c>
      <c r="D71" s="3" t="s">
        <v>1337</v>
      </c>
      <c r="E71" s="3">
        <v>2026</v>
      </c>
      <c r="F71" s="3" t="s">
        <v>749</v>
      </c>
      <c r="G71" s="3" t="str">
        <f>_xlfn.CONCAT(Tabela17[[#This Row],[FAIXA DE TENSÃO]],Tabela17[[#This Row],[TIPO]],Tabela17[[#This Row],[Ano2]],Tabela17[[#This Row],[Mês]])</f>
        <v>13.800RL2026outubro</v>
      </c>
      <c r="J71" s="3">
        <v>200</v>
      </c>
      <c r="K71">
        <v>1081</v>
      </c>
      <c r="L71" s="3"/>
      <c r="M71" s="3"/>
      <c r="N71" s="18"/>
      <c r="O71" s="20"/>
    </row>
    <row r="72" spans="3:15" x14ac:dyDescent="0.25">
      <c r="C72" s="3" t="s">
        <v>1345</v>
      </c>
      <c r="D72" s="3" t="s">
        <v>1337</v>
      </c>
      <c r="E72" s="3">
        <v>2026</v>
      </c>
      <c r="F72" s="3" t="s">
        <v>750</v>
      </c>
      <c r="G72" s="3" t="str">
        <f>_xlfn.CONCAT(Tabela17[[#This Row],[FAIXA DE TENSÃO]],Tabela17[[#This Row],[TIPO]],Tabela17[[#This Row],[Ano2]],Tabela17[[#This Row],[Mês]])</f>
        <v>13.800RL2026novembro</v>
      </c>
      <c r="J72" s="3">
        <v>200</v>
      </c>
      <c r="K72">
        <v>1081</v>
      </c>
      <c r="L72" s="3"/>
      <c r="M72" s="3"/>
      <c r="N72" s="18"/>
      <c r="O72" s="20"/>
    </row>
    <row r="73" spans="3:15" x14ac:dyDescent="0.25">
      <c r="C73" s="3" t="s">
        <v>1345</v>
      </c>
      <c r="D73" s="3" t="s">
        <v>1337</v>
      </c>
      <c r="E73" s="3">
        <v>2026</v>
      </c>
      <c r="F73" s="3" t="s">
        <v>751</v>
      </c>
      <c r="G73" s="3" t="str">
        <f>_xlfn.CONCAT(Tabela17[[#This Row],[FAIXA DE TENSÃO]],Tabela17[[#This Row],[TIPO]],Tabela17[[#This Row],[Ano2]],Tabela17[[#This Row],[Mês]])</f>
        <v>13.800RL2026dezembro</v>
      </c>
      <c r="J73" s="3">
        <v>200</v>
      </c>
      <c r="K73">
        <v>1081</v>
      </c>
      <c r="L73" s="3"/>
      <c r="M73" s="3"/>
      <c r="N73" s="18"/>
      <c r="O73" s="20"/>
    </row>
    <row r="74" spans="3:15" x14ac:dyDescent="0.25">
      <c r="C74" s="3" t="s">
        <v>1345</v>
      </c>
      <c r="D74" s="3" t="s">
        <v>1339</v>
      </c>
      <c r="E74" s="3">
        <v>2025</v>
      </c>
      <c r="F74" s="3" t="s">
        <v>740</v>
      </c>
      <c r="G74" s="3" t="str">
        <f>_xlfn.CONCAT(Tabela17[[#This Row],[FAIXA DE TENSÃO]],Tabela17[[#This Row],[TIPO]],Tabela17[[#This Row],[Ano2]],Tabela17[[#This Row],[Mês]])</f>
        <v>13.800RT2025janeiro</v>
      </c>
      <c r="J74" s="3">
        <v>200</v>
      </c>
      <c r="K74">
        <v>1081</v>
      </c>
      <c r="L74" s="3"/>
      <c r="M74" s="3"/>
      <c r="N74" s="18"/>
      <c r="O74" s="20"/>
    </row>
    <row r="75" spans="3:15" x14ac:dyDescent="0.25">
      <c r="C75" s="3" t="s">
        <v>1345</v>
      </c>
      <c r="D75" s="3" t="s">
        <v>1339</v>
      </c>
      <c r="E75" s="3">
        <v>2025</v>
      </c>
      <c r="F75" s="3" t="s">
        <v>741</v>
      </c>
      <c r="G75" s="3" t="str">
        <f>_xlfn.CONCAT(Tabela17[[#This Row],[FAIXA DE TENSÃO]],Tabela17[[#This Row],[TIPO]],Tabela17[[#This Row],[Ano2]],Tabela17[[#This Row],[Mês]])</f>
        <v>13.800RT2025fevereiro</v>
      </c>
      <c r="J75" s="3">
        <v>200</v>
      </c>
      <c r="K75">
        <v>1081</v>
      </c>
      <c r="L75" s="3"/>
      <c r="M75" s="3"/>
      <c r="N75" s="18"/>
      <c r="O75" s="20"/>
    </row>
    <row r="76" spans="3:15" x14ac:dyDescent="0.25">
      <c r="C76" s="3" t="s">
        <v>1345</v>
      </c>
      <c r="D76" s="3" t="s">
        <v>1339</v>
      </c>
      <c r="E76" s="3">
        <v>2025</v>
      </c>
      <c r="F76" s="3" t="s">
        <v>742</v>
      </c>
      <c r="G76" s="3" t="str">
        <f>_xlfn.CONCAT(Tabela17[[#This Row],[FAIXA DE TENSÃO]],Tabela17[[#This Row],[TIPO]],Tabela17[[#This Row],[Ano2]],Tabela17[[#This Row],[Mês]])</f>
        <v>13.800RT2025março</v>
      </c>
      <c r="J76" s="3">
        <v>200</v>
      </c>
      <c r="K76">
        <v>1081</v>
      </c>
      <c r="L76" s="3"/>
      <c r="M76" s="3"/>
      <c r="N76" s="18"/>
      <c r="O76" s="20"/>
    </row>
    <row r="77" spans="3:15" x14ac:dyDescent="0.25">
      <c r="C77" s="3" t="s">
        <v>1345</v>
      </c>
      <c r="D77" s="3" t="s">
        <v>1339</v>
      </c>
      <c r="E77" s="3">
        <v>2025</v>
      </c>
      <c r="F77" s="3" t="s">
        <v>743</v>
      </c>
      <c r="G77" s="3" t="str">
        <f>_xlfn.CONCAT(Tabela17[[#This Row],[FAIXA DE TENSÃO]],Tabela17[[#This Row],[TIPO]],Tabela17[[#This Row],[Ano2]],Tabela17[[#This Row],[Mês]])</f>
        <v>13.800RT2025abril</v>
      </c>
      <c r="J77" s="3">
        <v>200</v>
      </c>
      <c r="K77">
        <v>1081</v>
      </c>
      <c r="L77" s="3"/>
      <c r="M77" s="3"/>
      <c r="N77" s="18"/>
      <c r="O77" s="20"/>
    </row>
    <row r="78" spans="3:15" x14ac:dyDescent="0.25">
      <c r="C78" s="3" t="s">
        <v>1345</v>
      </c>
      <c r="D78" s="3" t="s">
        <v>1339</v>
      </c>
      <c r="E78" s="3">
        <v>2025</v>
      </c>
      <c r="F78" s="3" t="s">
        <v>744</v>
      </c>
      <c r="G78" s="3" t="str">
        <f>_xlfn.CONCAT(Tabela17[[#This Row],[FAIXA DE TENSÃO]],Tabela17[[#This Row],[TIPO]],Tabela17[[#This Row],[Ano2]],Tabela17[[#This Row],[Mês]])</f>
        <v>13.800RT2025maio</v>
      </c>
      <c r="J78" s="3">
        <v>200</v>
      </c>
      <c r="K78">
        <v>1081</v>
      </c>
      <c r="L78" s="3"/>
      <c r="M78" s="3"/>
      <c r="N78" s="18"/>
      <c r="O78" s="20"/>
    </row>
    <row r="79" spans="3:15" x14ac:dyDescent="0.25">
      <c r="C79" s="3" t="s">
        <v>1345</v>
      </c>
      <c r="D79" s="3" t="s">
        <v>1339</v>
      </c>
      <c r="E79" s="3">
        <v>2025</v>
      </c>
      <c r="F79" s="3" t="s">
        <v>745</v>
      </c>
      <c r="G79" s="3" t="str">
        <f>_xlfn.CONCAT(Tabela17[[#This Row],[FAIXA DE TENSÃO]],Tabela17[[#This Row],[TIPO]],Tabela17[[#This Row],[Ano2]],Tabela17[[#This Row],[Mês]])</f>
        <v>13.800RT2025junho</v>
      </c>
      <c r="J79" s="3">
        <v>200</v>
      </c>
      <c r="K79">
        <v>1081</v>
      </c>
      <c r="L79" s="3"/>
      <c r="M79" s="3"/>
      <c r="N79" s="18"/>
      <c r="O79" s="20"/>
    </row>
    <row r="80" spans="3:15" x14ac:dyDescent="0.25">
      <c r="C80" s="3" t="s">
        <v>1345</v>
      </c>
      <c r="D80" s="3" t="s">
        <v>1339</v>
      </c>
      <c r="E80" s="3">
        <v>2025</v>
      </c>
      <c r="F80" s="3" t="s">
        <v>746</v>
      </c>
      <c r="G80" s="3" t="str">
        <f>_xlfn.CONCAT(Tabela17[[#This Row],[FAIXA DE TENSÃO]],Tabela17[[#This Row],[TIPO]],Tabela17[[#This Row],[Ano2]],Tabela17[[#This Row],[Mês]])</f>
        <v>13.800RT2025julho</v>
      </c>
      <c r="J80" s="3">
        <v>200</v>
      </c>
      <c r="K80">
        <v>1081</v>
      </c>
      <c r="L80" s="3"/>
      <c r="M80" s="3"/>
      <c r="N80" s="18"/>
      <c r="O80" s="20"/>
    </row>
    <row r="81" spans="3:15" x14ac:dyDescent="0.25">
      <c r="C81" s="3" t="s">
        <v>1345</v>
      </c>
      <c r="D81" s="3" t="s">
        <v>1339</v>
      </c>
      <c r="E81" s="3">
        <v>2025</v>
      </c>
      <c r="F81" s="3" t="s">
        <v>747</v>
      </c>
      <c r="G81" s="3" t="str">
        <f>_xlfn.CONCAT(Tabela17[[#This Row],[FAIXA DE TENSÃO]],Tabela17[[#This Row],[TIPO]],Tabela17[[#This Row],[Ano2]],Tabela17[[#This Row],[Mês]])</f>
        <v>13.800RT2025agosto</v>
      </c>
      <c r="J81" s="3">
        <v>200</v>
      </c>
      <c r="K81">
        <v>1081</v>
      </c>
      <c r="L81" s="3"/>
      <c r="M81" s="3"/>
      <c r="N81" s="18"/>
      <c r="O81" s="20"/>
    </row>
    <row r="82" spans="3:15" x14ac:dyDescent="0.25">
      <c r="C82" s="3" t="s">
        <v>1345</v>
      </c>
      <c r="D82" s="3" t="s">
        <v>1339</v>
      </c>
      <c r="E82" s="3">
        <v>2025</v>
      </c>
      <c r="F82" s="3" t="s">
        <v>748</v>
      </c>
      <c r="G82" s="3" t="str">
        <f>_xlfn.CONCAT(Tabela17[[#This Row],[FAIXA DE TENSÃO]],Tabela17[[#This Row],[TIPO]],Tabela17[[#This Row],[Ano2]],Tabela17[[#This Row],[Mês]])</f>
        <v>13.800RT2025setembro</v>
      </c>
      <c r="J82" s="3">
        <v>200</v>
      </c>
      <c r="K82">
        <v>1081</v>
      </c>
      <c r="L82" s="3"/>
      <c r="M82" s="3"/>
      <c r="N82" s="18"/>
      <c r="O82" s="20"/>
    </row>
    <row r="83" spans="3:15" x14ac:dyDescent="0.25">
      <c r="C83" s="3" t="s">
        <v>1345</v>
      </c>
      <c r="D83" s="3" t="s">
        <v>1339</v>
      </c>
      <c r="E83" s="3">
        <v>2025</v>
      </c>
      <c r="F83" s="3" t="s">
        <v>749</v>
      </c>
      <c r="G83" s="3" t="str">
        <f>_xlfn.CONCAT(Tabela17[[#This Row],[FAIXA DE TENSÃO]],Tabela17[[#This Row],[TIPO]],Tabela17[[#This Row],[Ano2]],Tabela17[[#This Row],[Mês]])</f>
        <v>13.800RT2025outubro</v>
      </c>
      <c r="J83" s="3">
        <v>200</v>
      </c>
      <c r="K83">
        <v>1081</v>
      </c>
      <c r="L83" s="3"/>
      <c r="M83" s="3"/>
      <c r="N83" s="18"/>
      <c r="O83" s="20"/>
    </row>
    <row r="84" spans="3:15" x14ac:dyDescent="0.25">
      <c r="C84" s="3" t="s">
        <v>1345</v>
      </c>
      <c r="D84" s="3" t="s">
        <v>1339</v>
      </c>
      <c r="E84" s="3">
        <v>2025</v>
      </c>
      <c r="F84" s="3" t="s">
        <v>750</v>
      </c>
      <c r="G84" s="3" t="str">
        <f>_xlfn.CONCAT(Tabela17[[#This Row],[FAIXA DE TENSÃO]],Tabela17[[#This Row],[TIPO]],Tabela17[[#This Row],[Ano2]],Tabela17[[#This Row],[Mês]])</f>
        <v>13.800RT2025novembro</v>
      </c>
      <c r="J84" s="3">
        <v>200</v>
      </c>
      <c r="K84">
        <v>1081</v>
      </c>
      <c r="L84" s="3"/>
      <c r="M84" s="3"/>
      <c r="N84" s="18"/>
      <c r="O84" s="20"/>
    </row>
    <row r="85" spans="3:15" x14ac:dyDescent="0.25">
      <c r="C85" s="3" t="s">
        <v>1345</v>
      </c>
      <c r="D85" s="3" t="s">
        <v>1339</v>
      </c>
      <c r="E85" s="3">
        <v>2025</v>
      </c>
      <c r="F85" s="3" t="s">
        <v>751</v>
      </c>
      <c r="G85" s="3" t="str">
        <f>_xlfn.CONCAT(Tabela17[[#This Row],[FAIXA DE TENSÃO]],Tabela17[[#This Row],[TIPO]],Tabela17[[#This Row],[Ano2]],Tabela17[[#This Row],[Mês]])</f>
        <v>13.800RT2025dezembro</v>
      </c>
      <c r="J85" s="3">
        <v>200</v>
      </c>
      <c r="K85">
        <v>1081</v>
      </c>
      <c r="L85" s="3"/>
      <c r="M85" s="3"/>
      <c r="N85" s="18"/>
      <c r="O85" s="20"/>
    </row>
    <row r="86" spans="3:15" x14ac:dyDescent="0.25">
      <c r="C86" s="3" t="s">
        <v>1345</v>
      </c>
      <c r="D86" s="3" t="s">
        <v>1339</v>
      </c>
      <c r="E86" s="3">
        <v>2026</v>
      </c>
      <c r="F86" s="3" t="s">
        <v>740</v>
      </c>
      <c r="G86" s="3" t="str">
        <f>_xlfn.CONCAT(Tabela17[[#This Row],[FAIXA DE TENSÃO]],Tabela17[[#This Row],[TIPO]],Tabela17[[#This Row],[Ano2]],Tabela17[[#This Row],[Mês]])</f>
        <v>13.800RT2026janeiro</v>
      </c>
      <c r="J86" s="3">
        <v>200</v>
      </c>
      <c r="K86">
        <v>1081</v>
      </c>
      <c r="L86" s="3"/>
      <c r="M86" s="3"/>
      <c r="N86" s="18"/>
      <c r="O86" s="20"/>
    </row>
    <row r="87" spans="3:15" x14ac:dyDescent="0.25">
      <c r="C87" s="3" t="s">
        <v>1345</v>
      </c>
      <c r="D87" s="3" t="s">
        <v>1339</v>
      </c>
      <c r="E87" s="3">
        <v>2026</v>
      </c>
      <c r="F87" s="3" t="s">
        <v>741</v>
      </c>
      <c r="G87" s="3" t="str">
        <f>_xlfn.CONCAT(Tabela17[[#This Row],[FAIXA DE TENSÃO]],Tabela17[[#This Row],[TIPO]],Tabela17[[#This Row],[Ano2]],Tabela17[[#This Row],[Mês]])</f>
        <v>13.800RT2026fevereiro</v>
      </c>
      <c r="J87" s="3">
        <v>200</v>
      </c>
      <c r="K87">
        <v>1081</v>
      </c>
      <c r="L87" s="3"/>
      <c r="M87" s="3"/>
      <c r="N87" s="18"/>
      <c r="O87" s="20"/>
    </row>
    <row r="88" spans="3:15" x14ac:dyDescent="0.25">
      <c r="C88" s="3" t="s">
        <v>1345</v>
      </c>
      <c r="D88" s="3" t="s">
        <v>1339</v>
      </c>
      <c r="E88" s="3">
        <v>2026</v>
      </c>
      <c r="F88" s="3" t="s">
        <v>742</v>
      </c>
      <c r="G88" s="3" t="str">
        <f>_xlfn.CONCAT(Tabela17[[#This Row],[FAIXA DE TENSÃO]],Tabela17[[#This Row],[TIPO]],Tabela17[[#This Row],[Ano2]],Tabela17[[#This Row],[Mês]])</f>
        <v>13.800RT2026março</v>
      </c>
      <c r="J88" s="3">
        <v>200</v>
      </c>
      <c r="K88">
        <v>1081</v>
      </c>
      <c r="L88" s="3"/>
      <c r="M88" s="3"/>
      <c r="N88" s="18"/>
      <c r="O88" s="20"/>
    </row>
    <row r="89" spans="3:15" x14ac:dyDescent="0.25">
      <c r="C89" s="3" t="s">
        <v>1345</v>
      </c>
      <c r="D89" s="3" t="s">
        <v>1339</v>
      </c>
      <c r="E89" s="3">
        <v>2026</v>
      </c>
      <c r="F89" s="3" t="s">
        <v>743</v>
      </c>
      <c r="G89" s="3" t="str">
        <f>_xlfn.CONCAT(Tabela17[[#This Row],[FAIXA DE TENSÃO]],Tabela17[[#This Row],[TIPO]],Tabela17[[#This Row],[Ano2]],Tabela17[[#This Row],[Mês]])</f>
        <v>13.800RT2026abril</v>
      </c>
      <c r="J89" s="3">
        <v>200</v>
      </c>
      <c r="K89">
        <v>1081</v>
      </c>
      <c r="L89" s="3"/>
      <c r="M89" s="3"/>
      <c r="N89" s="18"/>
      <c r="O89" s="20"/>
    </row>
    <row r="90" spans="3:15" x14ac:dyDescent="0.25">
      <c r="C90" s="3" t="s">
        <v>1345</v>
      </c>
      <c r="D90" s="3" t="s">
        <v>1339</v>
      </c>
      <c r="E90" s="3">
        <v>2026</v>
      </c>
      <c r="F90" s="3" t="s">
        <v>744</v>
      </c>
      <c r="G90" s="3" t="str">
        <f>_xlfn.CONCAT(Tabela17[[#This Row],[FAIXA DE TENSÃO]],Tabela17[[#This Row],[TIPO]],Tabela17[[#This Row],[Ano2]],Tabela17[[#This Row],[Mês]])</f>
        <v>13.800RT2026maio</v>
      </c>
      <c r="J90" s="3">
        <v>200</v>
      </c>
      <c r="K90">
        <v>1081</v>
      </c>
      <c r="L90" s="3"/>
      <c r="M90" s="3"/>
      <c r="N90" s="18"/>
      <c r="O90" s="20"/>
    </row>
    <row r="91" spans="3:15" x14ac:dyDescent="0.25">
      <c r="C91" s="3" t="s">
        <v>1345</v>
      </c>
      <c r="D91" s="3" t="s">
        <v>1339</v>
      </c>
      <c r="E91" s="3">
        <v>2026</v>
      </c>
      <c r="F91" s="3" t="s">
        <v>745</v>
      </c>
      <c r="G91" s="3" t="str">
        <f>_xlfn.CONCAT(Tabela17[[#This Row],[FAIXA DE TENSÃO]],Tabela17[[#This Row],[TIPO]],Tabela17[[#This Row],[Ano2]],Tabela17[[#This Row],[Mês]])</f>
        <v>13.800RT2026junho</v>
      </c>
      <c r="J91" s="3">
        <v>200</v>
      </c>
      <c r="K91">
        <v>1081</v>
      </c>
      <c r="L91" s="3"/>
      <c r="M91" s="3"/>
      <c r="N91" s="18"/>
      <c r="O91" s="20"/>
    </row>
    <row r="92" spans="3:15" x14ac:dyDescent="0.25">
      <c r="C92" s="3" t="s">
        <v>1345</v>
      </c>
      <c r="D92" s="3" t="s">
        <v>1339</v>
      </c>
      <c r="E92" s="3">
        <v>2026</v>
      </c>
      <c r="F92" s="3" t="s">
        <v>746</v>
      </c>
      <c r="G92" s="3" t="str">
        <f>_xlfn.CONCAT(Tabela17[[#This Row],[FAIXA DE TENSÃO]],Tabela17[[#This Row],[TIPO]],Tabela17[[#This Row],[Ano2]],Tabela17[[#This Row],[Mês]])</f>
        <v>13.800RT2026julho</v>
      </c>
      <c r="J92" s="3">
        <v>200</v>
      </c>
      <c r="K92">
        <v>1081</v>
      </c>
      <c r="L92" s="3"/>
      <c r="M92" s="3"/>
      <c r="N92" s="18"/>
      <c r="O92" s="20"/>
    </row>
    <row r="93" spans="3:15" x14ac:dyDescent="0.25">
      <c r="C93" s="3" t="s">
        <v>1345</v>
      </c>
      <c r="D93" s="3" t="s">
        <v>1339</v>
      </c>
      <c r="E93" s="3">
        <v>2026</v>
      </c>
      <c r="F93" s="3" t="s">
        <v>747</v>
      </c>
      <c r="G93" s="3" t="str">
        <f>_xlfn.CONCAT(Tabela17[[#This Row],[FAIXA DE TENSÃO]],Tabela17[[#This Row],[TIPO]],Tabela17[[#This Row],[Ano2]],Tabela17[[#This Row],[Mês]])</f>
        <v>13.800RT2026agosto</v>
      </c>
      <c r="J93" s="3">
        <v>200</v>
      </c>
      <c r="K93">
        <v>1081</v>
      </c>
      <c r="L93" s="3"/>
      <c r="M93" s="3"/>
      <c r="N93" s="18"/>
      <c r="O93" s="20"/>
    </row>
    <row r="94" spans="3:15" x14ac:dyDescent="0.25">
      <c r="C94" s="3" t="s">
        <v>1345</v>
      </c>
      <c r="D94" s="3" t="s">
        <v>1339</v>
      </c>
      <c r="E94" s="3">
        <v>2026</v>
      </c>
      <c r="F94" s="3" t="s">
        <v>748</v>
      </c>
      <c r="G94" s="3" t="str">
        <f>_xlfn.CONCAT(Tabela17[[#This Row],[FAIXA DE TENSÃO]],Tabela17[[#This Row],[TIPO]],Tabela17[[#This Row],[Ano2]],Tabela17[[#This Row],[Mês]])</f>
        <v>13.800RT2026setembro</v>
      </c>
      <c r="J94" s="3">
        <v>200</v>
      </c>
      <c r="K94">
        <v>1081</v>
      </c>
      <c r="L94" s="3"/>
      <c r="M94" s="3"/>
      <c r="N94" s="18"/>
      <c r="O94" s="20"/>
    </row>
    <row r="95" spans="3:15" x14ac:dyDescent="0.25">
      <c r="C95" s="3" t="s">
        <v>1345</v>
      </c>
      <c r="D95" s="3" t="s">
        <v>1339</v>
      </c>
      <c r="E95" s="3">
        <v>2026</v>
      </c>
      <c r="F95" s="3" t="s">
        <v>749</v>
      </c>
      <c r="G95" s="3" t="str">
        <f>_xlfn.CONCAT(Tabela17[[#This Row],[FAIXA DE TENSÃO]],Tabela17[[#This Row],[TIPO]],Tabela17[[#This Row],[Ano2]],Tabela17[[#This Row],[Mês]])</f>
        <v>13.800RT2026outubro</v>
      </c>
      <c r="J95" s="3">
        <v>200</v>
      </c>
      <c r="K95">
        <v>1081</v>
      </c>
      <c r="L95" s="3"/>
      <c r="M95" s="3"/>
      <c r="N95" s="18"/>
      <c r="O95" s="20"/>
    </row>
    <row r="96" spans="3:15" x14ac:dyDescent="0.25">
      <c r="C96" s="3" t="s">
        <v>1345</v>
      </c>
      <c r="D96" s="3" t="s">
        <v>1339</v>
      </c>
      <c r="E96" s="3">
        <v>2026</v>
      </c>
      <c r="F96" s="3" t="s">
        <v>750</v>
      </c>
      <c r="G96" s="3" t="str">
        <f>_xlfn.CONCAT(Tabela17[[#This Row],[FAIXA DE TENSÃO]],Tabela17[[#This Row],[TIPO]],Tabela17[[#This Row],[Ano2]],Tabela17[[#This Row],[Mês]])</f>
        <v>13.800RT2026novembro</v>
      </c>
      <c r="J96" s="3">
        <v>200</v>
      </c>
      <c r="K96">
        <v>1081</v>
      </c>
      <c r="L96" s="3"/>
      <c r="M96" s="3"/>
      <c r="N96" s="18"/>
      <c r="O96" s="20"/>
    </row>
    <row r="97" spans="3:15" x14ac:dyDescent="0.25">
      <c r="C97" s="3" t="s">
        <v>1345</v>
      </c>
      <c r="D97" s="3" t="s">
        <v>1339</v>
      </c>
      <c r="E97" s="3">
        <v>2026</v>
      </c>
      <c r="F97" s="3" t="s">
        <v>751</v>
      </c>
      <c r="G97" s="3" t="str">
        <f>_xlfn.CONCAT(Tabela17[[#This Row],[FAIXA DE TENSÃO]],Tabela17[[#This Row],[TIPO]],Tabela17[[#This Row],[Ano2]],Tabela17[[#This Row],[Mês]])</f>
        <v>13.800RT2026dezembro</v>
      </c>
      <c r="J97" s="3">
        <v>200</v>
      </c>
      <c r="K97">
        <v>1081</v>
      </c>
      <c r="L97" s="3"/>
      <c r="M97" s="3"/>
      <c r="N97" s="18"/>
      <c r="O97" s="20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972-8FDD-42E2-B762-5D8F2F845599}">
  <dimension ref="A1:E10"/>
  <sheetViews>
    <sheetView zoomScaleNormal="100" workbookViewId="0">
      <selection activeCell="K23" sqref="K23"/>
    </sheetView>
  </sheetViews>
  <sheetFormatPr defaultRowHeight="15" x14ac:dyDescent="0.25"/>
  <cols>
    <col min="1" max="1" width="18.140625" bestFit="1" customWidth="1"/>
    <col min="2" max="2" width="19.5703125" bestFit="1" customWidth="1"/>
    <col min="3" max="3" width="14.28515625" bestFit="1" customWidth="1"/>
    <col min="4" max="4" width="7" bestFit="1" customWidth="1"/>
    <col min="5" max="5" width="10.7109375" bestFit="1" customWidth="1"/>
    <col min="6" max="6" width="12.5703125" bestFit="1" customWidth="1"/>
    <col min="7" max="7" width="14.28515625" bestFit="1" customWidth="1"/>
    <col min="8" max="8" width="7" bestFit="1" customWidth="1"/>
    <col min="9" max="9" width="9.85546875" bestFit="1" customWidth="1"/>
    <col min="10" max="10" width="10.7109375" bestFit="1" customWidth="1"/>
  </cols>
  <sheetData>
    <row r="1" spans="1:5" x14ac:dyDescent="0.25">
      <c r="A1" s="5" t="s">
        <v>1332</v>
      </c>
      <c r="B1" t="s">
        <v>1340</v>
      </c>
    </row>
    <row r="2" spans="1:5" x14ac:dyDescent="0.25">
      <c r="A2" s="5" t="s">
        <v>334</v>
      </c>
      <c r="B2" t="s">
        <v>1340</v>
      </c>
    </row>
    <row r="3" spans="1:5" x14ac:dyDescent="0.25">
      <c r="A3" s="5" t="s">
        <v>819</v>
      </c>
      <c r="B3" t="s">
        <v>1340</v>
      </c>
    </row>
    <row r="4" spans="1:5" x14ac:dyDescent="0.25">
      <c r="A4" s="5" t="s">
        <v>818</v>
      </c>
      <c r="B4" t="s">
        <v>1340</v>
      </c>
    </row>
    <row r="6" spans="1:5" x14ac:dyDescent="0.25">
      <c r="A6" s="5" t="s">
        <v>1045</v>
      </c>
      <c r="B6" s="5" t="s">
        <v>739</v>
      </c>
    </row>
    <row r="7" spans="1:5" x14ac:dyDescent="0.25">
      <c r="A7" s="5" t="s">
        <v>737</v>
      </c>
      <c r="B7" t="s">
        <v>908</v>
      </c>
      <c r="C7" t="s">
        <v>904</v>
      </c>
      <c r="D7" t="s">
        <v>1394</v>
      </c>
      <c r="E7" t="s">
        <v>738</v>
      </c>
    </row>
    <row r="8" spans="1:5" x14ac:dyDescent="0.25">
      <c r="A8" s="49" t="s">
        <v>824</v>
      </c>
      <c r="B8">
        <v>10</v>
      </c>
      <c r="C8">
        <v>16</v>
      </c>
      <c r="D8">
        <v>16</v>
      </c>
      <c r="E8">
        <v>42</v>
      </c>
    </row>
    <row r="9" spans="1:5" x14ac:dyDescent="0.25">
      <c r="A9" s="49" t="s">
        <v>836</v>
      </c>
      <c r="B9">
        <v>20</v>
      </c>
      <c r="C9">
        <v>25</v>
      </c>
      <c r="D9">
        <v>56</v>
      </c>
      <c r="E9">
        <v>101</v>
      </c>
    </row>
    <row r="10" spans="1:5" x14ac:dyDescent="0.25">
      <c r="A10" s="6" t="s">
        <v>738</v>
      </c>
      <c r="B10">
        <v>30</v>
      </c>
      <c r="C10">
        <v>41</v>
      </c>
      <c r="D10">
        <v>72</v>
      </c>
      <c r="E10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8E2-0CE1-4D51-9140-E1951A343A66}">
  <dimension ref="A1:R169"/>
  <sheetViews>
    <sheetView topLeftCell="A10" zoomScale="85" zoomScaleNormal="85" workbookViewId="0">
      <selection activeCell="A5" sqref="A5:R148"/>
    </sheetView>
  </sheetViews>
  <sheetFormatPr defaultRowHeight="15" x14ac:dyDescent="0.25"/>
  <cols>
    <col min="1" max="1" width="23" bestFit="1" customWidth="1"/>
    <col min="2" max="2" width="11" bestFit="1" customWidth="1"/>
    <col min="4" max="4" width="29.140625" bestFit="1" customWidth="1"/>
    <col min="5" max="5" width="12.7109375" customWidth="1"/>
    <col min="6" max="8" width="23.140625" customWidth="1"/>
    <col min="9" max="9" width="10.7109375" bestFit="1" customWidth="1"/>
    <col min="10" max="10" width="10.7109375" customWidth="1"/>
    <col min="12" max="12" width="19" customWidth="1"/>
    <col min="13" max="13" width="17" customWidth="1"/>
    <col min="14" max="14" width="18.5703125" customWidth="1"/>
    <col min="15" max="15" width="17.7109375" customWidth="1"/>
    <col min="16" max="16" width="12.140625" customWidth="1"/>
  </cols>
  <sheetData>
    <row r="1" spans="1:18" x14ac:dyDescent="0.25">
      <c r="A1" t="s">
        <v>1042</v>
      </c>
      <c r="B1">
        <v>71</v>
      </c>
    </row>
    <row r="2" spans="1:18" x14ac:dyDescent="0.25">
      <c r="A2" t="s">
        <v>823</v>
      </c>
      <c r="B2">
        <v>54</v>
      </c>
    </row>
    <row r="3" spans="1:18" x14ac:dyDescent="0.25">
      <c r="A3" t="s">
        <v>863</v>
      </c>
      <c r="B3">
        <v>18</v>
      </c>
    </row>
    <row r="5" spans="1:18" x14ac:dyDescent="0.25">
      <c r="A5" t="s">
        <v>812</v>
      </c>
      <c r="B5" t="s">
        <v>0</v>
      </c>
      <c r="C5" t="s">
        <v>316</v>
      </c>
      <c r="D5" t="s">
        <v>813</v>
      </c>
      <c r="E5" t="s">
        <v>1</v>
      </c>
      <c r="F5" t="s">
        <v>334</v>
      </c>
      <c r="G5" t="s">
        <v>1361</v>
      </c>
      <c r="H5" t="s">
        <v>1362</v>
      </c>
      <c r="I5" t="s">
        <v>814</v>
      </c>
      <c r="J5" t="s">
        <v>1332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  <c r="Q5" t="s">
        <v>821</v>
      </c>
      <c r="R5" t="s">
        <v>822</v>
      </c>
    </row>
    <row r="6" spans="1:18" x14ac:dyDescent="0.25">
      <c r="A6" t="s">
        <v>823</v>
      </c>
      <c r="B6">
        <v>5800291035</v>
      </c>
      <c r="C6" t="s">
        <v>824</v>
      </c>
      <c r="D6" t="s">
        <v>265</v>
      </c>
      <c r="E6" t="s">
        <v>108</v>
      </c>
      <c r="F6" t="s">
        <v>825</v>
      </c>
      <c r="I6" s="47" t="s">
        <v>826</v>
      </c>
      <c r="J6" s="47" t="str">
        <f>RIGHT(Tabela4[[#This Row],[Desde]],4)</f>
        <v>2026</v>
      </c>
      <c r="K6">
        <v>7</v>
      </c>
      <c r="L6" t="s">
        <v>827</v>
      </c>
      <c r="O6" t="s">
        <v>353</v>
      </c>
      <c r="R6" t="s">
        <v>828</v>
      </c>
    </row>
    <row r="7" spans="1:18" x14ac:dyDescent="0.25">
      <c r="A7" t="s">
        <v>823</v>
      </c>
      <c r="B7" t="s">
        <v>68</v>
      </c>
      <c r="C7" t="s">
        <v>824</v>
      </c>
      <c r="D7" t="s">
        <v>73</v>
      </c>
      <c r="E7" t="s">
        <v>14</v>
      </c>
      <c r="F7" t="s">
        <v>71</v>
      </c>
      <c r="I7" s="47" t="s">
        <v>617</v>
      </c>
      <c r="J7" s="47" t="str">
        <f>RIGHT(Tabela4[[#This Row],[Desde]],4)</f>
        <v>2026</v>
      </c>
      <c r="K7">
        <v>12</v>
      </c>
      <c r="O7" t="s">
        <v>353</v>
      </c>
    </row>
    <row r="8" spans="1:18" x14ac:dyDescent="0.25">
      <c r="A8" t="s">
        <v>823</v>
      </c>
      <c r="B8" t="s">
        <v>157</v>
      </c>
      <c r="C8" t="s">
        <v>824</v>
      </c>
      <c r="D8" t="s">
        <v>42</v>
      </c>
      <c r="E8" t="s">
        <v>108</v>
      </c>
      <c r="F8" t="s">
        <v>160</v>
      </c>
      <c r="I8" s="47" t="s">
        <v>544</v>
      </c>
      <c r="J8" s="47" t="str">
        <f>RIGHT(Tabela4[[#This Row],[Desde]],4)</f>
        <v>2025</v>
      </c>
      <c r="K8">
        <v>256</v>
      </c>
      <c r="O8" t="s">
        <v>353</v>
      </c>
    </row>
    <row r="9" spans="1:18" x14ac:dyDescent="0.25">
      <c r="A9" t="s">
        <v>823</v>
      </c>
      <c r="B9" t="s">
        <v>88</v>
      </c>
      <c r="C9" t="s">
        <v>824</v>
      </c>
      <c r="D9" t="s">
        <v>67</v>
      </c>
      <c r="E9" t="s">
        <v>89</v>
      </c>
      <c r="F9" t="s">
        <v>92</v>
      </c>
      <c r="I9" s="47" t="s">
        <v>829</v>
      </c>
      <c r="J9" s="47" t="str">
        <f>RIGHT(Tabela4[[#This Row],[Desde]],4)</f>
        <v>2026</v>
      </c>
      <c r="K9">
        <v>29</v>
      </c>
      <c r="O9" t="s">
        <v>353</v>
      </c>
    </row>
    <row r="10" spans="1:18" x14ac:dyDescent="0.25">
      <c r="A10" t="s">
        <v>823</v>
      </c>
      <c r="B10" t="s">
        <v>288</v>
      </c>
      <c r="C10" t="s">
        <v>824</v>
      </c>
      <c r="D10" t="s">
        <v>291</v>
      </c>
      <c r="E10" t="s">
        <v>830</v>
      </c>
      <c r="F10" t="s">
        <v>289</v>
      </c>
      <c r="I10" s="47" t="s">
        <v>831</v>
      </c>
      <c r="J10" s="47" t="str">
        <f>RIGHT(Tabela4[[#This Row],[Desde]],4)</f>
        <v>2026</v>
      </c>
      <c r="K10">
        <v>28</v>
      </c>
      <c r="O10" t="s">
        <v>353</v>
      </c>
    </row>
    <row r="11" spans="1:18" x14ac:dyDescent="0.25">
      <c r="A11" t="s">
        <v>823</v>
      </c>
      <c r="B11" t="s">
        <v>252</v>
      </c>
      <c r="C11" t="s">
        <v>824</v>
      </c>
      <c r="D11" t="s">
        <v>144</v>
      </c>
      <c r="E11" t="s">
        <v>196</v>
      </c>
      <c r="F11" t="s">
        <v>255</v>
      </c>
      <c r="I11" s="47" t="s">
        <v>832</v>
      </c>
      <c r="J11" s="47" t="str">
        <f>RIGHT(Tabela4[[#This Row],[Desde]],4)</f>
        <v>2026</v>
      </c>
      <c r="K11">
        <v>92</v>
      </c>
      <c r="O11" t="s">
        <v>353</v>
      </c>
    </row>
    <row r="12" spans="1:18" x14ac:dyDescent="0.25">
      <c r="A12" t="s">
        <v>823</v>
      </c>
      <c r="B12" t="s">
        <v>107</v>
      </c>
      <c r="C12" t="s">
        <v>824</v>
      </c>
      <c r="D12" t="s">
        <v>112</v>
      </c>
      <c r="E12" t="s">
        <v>108</v>
      </c>
      <c r="F12" t="s">
        <v>110</v>
      </c>
      <c r="I12" s="47" t="s">
        <v>829</v>
      </c>
      <c r="J12" s="47" t="str">
        <f>RIGHT(Tabela4[[#This Row],[Desde]],4)</f>
        <v>2026</v>
      </c>
      <c r="K12">
        <v>29</v>
      </c>
      <c r="O12" t="s">
        <v>353</v>
      </c>
    </row>
    <row r="13" spans="1:18" x14ac:dyDescent="0.25">
      <c r="A13" t="s">
        <v>823</v>
      </c>
      <c r="B13" t="s">
        <v>195</v>
      </c>
      <c r="C13" t="s">
        <v>824</v>
      </c>
      <c r="D13" t="s">
        <v>201</v>
      </c>
      <c r="E13" t="s">
        <v>196</v>
      </c>
      <c r="F13" t="s">
        <v>199</v>
      </c>
      <c r="I13" s="47" t="s">
        <v>833</v>
      </c>
      <c r="J13" s="47" t="str">
        <f>RIGHT(Tabela4[[#This Row],[Desde]],4)</f>
        <v>2026</v>
      </c>
      <c r="K13">
        <v>25</v>
      </c>
      <c r="O13" t="s">
        <v>353</v>
      </c>
    </row>
    <row r="14" spans="1:18" x14ac:dyDescent="0.25">
      <c r="A14" t="s">
        <v>823</v>
      </c>
      <c r="B14" t="s">
        <v>270</v>
      </c>
      <c r="C14" t="s">
        <v>824</v>
      </c>
      <c r="D14" t="s">
        <v>41</v>
      </c>
      <c r="E14" t="s">
        <v>196</v>
      </c>
      <c r="F14" t="s">
        <v>272</v>
      </c>
      <c r="I14" s="47" t="s">
        <v>834</v>
      </c>
      <c r="J14" s="47" t="str">
        <f>RIGHT(Tabela4[[#This Row],[Desde]],4)</f>
        <v>2026</v>
      </c>
      <c r="K14">
        <v>22</v>
      </c>
      <c r="O14" t="s">
        <v>353</v>
      </c>
    </row>
    <row r="15" spans="1:18" x14ac:dyDescent="0.25">
      <c r="A15" t="s">
        <v>823</v>
      </c>
      <c r="B15" t="s">
        <v>273</v>
      </c>
      <c r="C15" t="s">
        <v>824</v>
      </c>
      <c r="D15" t="s">
        <v>278</v>
      </c>
      <c r="E15" t="s">
        <v>196</v>
      </c>
      <c r="F15" t="s">
        <v>276</v>
      </c>
      <c r="I15" s="47" t="s">
        <v>835</v>
      </c>
      <c r="J15" s="47" t="str">
        <f>RIGHT(Tabela4[[#This Row],[Desde]],4)</f>
        <v>2026</v>
      </c>
      <c r="K15">
        <v>18</v>
      </c>
      <c r="O15" t="s">
        <v>353</v>
      </c>
    </row>
    <row r="16" spans="1:18" x14ac:dyDescent="0.25">
      <c r="A16" t="s">
        <v>823</v>
      </c>
      <c r="B16" t="s">
        <v>248</v>
      </c>
      <c r="C16" t="s">
        <v>824</v>
      </c>
      <c r="D16" t="s">
        <v>41</v>
      </c>
      <c r="E16" t="s">
        <v>196</v>
      </c>
      <c r="F16" t="s">
        <v>250</v>
      </c>
      <c r="I16" s="47" t="s">
        <v>834</v>
      </c>
      <c r="J16" s="47" t="str">
        <f>RIGHT(Tabela4[[#This Row],[Desde]],4)</f>
        <v>2026</v>
      </c>
      <c r="K16">
        <v>22</v>
      </c>
      <c r="O16" t="s">
        <v>353</v>
      </c>
    </row>
    <row r="17" spans="1:18" x14ac:dyDescent="0.25">
      <c r="A17" t="s">
        <v>823</v>
      </c>
      <c r="B17" t="s">
        <v>75</v>
      </c>
      <c r="C17" t="s">
        <v>836</v>
      </c>
      <c r="D17" t="s">
        <v>80</v>
      </c>
      <c r="E17" t="s">
        <v>14</v>
      </c>
      <c r="F17" t="s">
        <v>78</v>
      </c>
      <c r="I17" s="47" t="s">
        <v>837</v>
      </c>
      <c r="J17" s="47" t="str">
        <f>RIGHT(Tabela4[[#This Row],[Desde]],4)</f>
        <v>2026</v>
      </c>
      <c r="K17">
        <v>113</v>
      </c>
      <c r="L17" t="s">
        <v>827</v>
      </c>
      <c r="O17" t="s">
        <v>353</v>
      </c>
      <c r="R17" t="s">
        <v>838</v>
      </c>
    </row>
    <row r="18" spans="1:18" x14ac:dyDescent="0.25">
      <c r="A18" t="s">
        <v>823</v>
      </c>
      <c r="B18" t="s">
        <v>186</v>
      </c>
      <c r="C18" t="s">
        <v>836</v>
      </c>
      <c r="D18" t="s">
        <v>170</v>
      </c>
      <c r="E18" t="s">
        <v>108</v>
      </c>
      <c r="F18" t="s">
        <v>188</v>
      </c>
      <c r="I18" s="47" t="s">
        <v>647</v>
      </c>
      <c r="J18" s="47" t="str">
        <f>RIGHT(Tabela4[[#This Row],[Desde]],4)</f>
        <v>2026</v>
      </c>
      <c r="K18">
        <v>42</v>
      </c>
      <c r="O18" t="s">
        <v>353</v>
      </c>
    </row>
    <row r="19" spans="1:18" x14ac:dyDescent="0.25">
      <c r="A19" t="s">
        <v>823</v>
      </c>
      <c r="B19" t="s">
        <v>133</v>
      </c>
      <c r="C19" t="s">
        <v>836</v>
      </c>
      <c r="D19" t="s">
        <v>138</v>
      </c>
      <c r="E19" t="s">
        <v>108</v>
      </c>
      <c r="F19" t="s">
        <v>136</v>
      </c>
      <c r="I19" s="47" t="s">
        <v>839</v>
      </c>
      <c r="J19" s="47" t="str">
        <f>RIGHT(Tabela4[[#This Row],[Desde]],4)</f>
        <v>2025</v>
      </c>
      <c r="K19">
        <v>358</v>
      </c>
      <c r="O19" t="s">
        <v>353</v>
      </c>
    </row>
    <row r="20" spans="1:18" x14ac:dyDescent="0.25">
      <c r="A20" t="s">
        <v>823</v>
      </c>
      <c r="B20" t="s">
        <v>234</v>
      </c>
      <c r="C20" t="s">
        <v>836</v>
      </c>
      <c r="D20" t="s">
        <v>156</v>
      </c>
      <c r="E20" t="s">
        <v>196</v>
      </c>
      <c r="F20" t="s">
        <v>236</v>
      </c>
      <c r="I20" s="47" t="s">
        <v>725</v>
      </c>
      <c r="J20" s="47" t="str">
        <f>RIGHT(Tabela4[[#This Row],[Desde]],4)</f>
        <v>2026</v>
      </c>
      <c r="K20">
        <v>140</v>
      </c>
      <c r="O20" t="s">
        <v>353</v>
      </c>
    </row>
    <row r="21" spans="1:18" x14ac:dyDescent="0.25">
      <c r="A21" t="s">
        <v>823</v>
      </c>
      <c r="B21" t="s">
        <v>113</v>
      </c>
      <c r="C21" t="s">
        <v>836</v>
      </c>
      <c r="D21" t="s">
        <v>20</v>
      </c>
      <c r="E21" t="s">
        <v>89</v>
      </c>
      <c r="F21" t="s">
        <v>116</v>
      </c>
      <c r="I21" s="47" t="s">
        <v>418</v>
      </c>
      <c r="J21" s="47" t="str">
        <f>RIGHT(Tabela4[[#This Row],[Desde]],4)</f>
        <v>2025</v>
      </c>
      <c r="K21">
        <v>349</v>
      </c>
      <c r="O21" t="s">
        <v>353</v>
      </c>
    </row>
    <row r="22" spans="1:18" x14ac:dyDescent="0.25">
      <c r="A22" t="s">
        <v>823</v>
      </c>
      <c r="B22" t="s">
        <v>44</v>
      </c>
      <c r="C22" t="s">
        <v>836</v>
      </c>
      <c r="D22" t="s">
        <v>20</v>
      </c>
      <c r="E22" t="s">
        <v>14</v>
      </c>
      <c r="F22" t="s">
        <v>47</v>
      </c>
      <c r="I22" s="47" t="s">
        <v>829</v>
      </c>
      <c r="J22" s="47" t="str">
        <f>RIGHT(Tabela4[[#This Row],[Desde]],4)</f>
        <v>2026</v>
      </c>
      <c r="K22">
        <v>29</v>
      </c>
      <c r="L22" t="s">
        <v>827</v>
      </c>
      <c r="O22" t="s">
        <v>353</v>
      </c>
      <c r="R22" t="s">
        <v>840</v>
      </c>
    </row>
    <row r="23" spans="1:18" x14ac:dyDescent="0.25">
      <c r="A23" t="s">
        <v>823</v>
      </c>
      <c r="B23" t="s">
        <v>202</v>
      </c>
      <c r="C23" t="s">
        <v>836</v>
      </c>
      <c r="D23" t="s">
        <v>207</v>
      </c>
      <c r="E23" t="s">
        <v>196</v>
      </c>
      <c r="F23" t="s">
        <v>205</v>
      </c>
      <c r="I23" s="47" t="s">
        <v>841</v>
      </c>
      <c r="J23" s="47" t="str">
        <f>RIGHT(Tabela4[[#This Row],[Desde]],4)</f>
        <v>2026</v>
      </c>
      <c r="K23">
        <v>15</v>
      </c>
      <c r="O23" t="s">
        <v>353</v>
      </c>
    </row>
    <row r="24" spans="1:18" x14ac:dyDescent="0.25">
      <c r="A24" t="s">
        <v>823</v>
      </c>
      <c r="B24" t="s">
        <v>162</v>
      </c>
      <c r="C24" t="s">
        <v>836</v>
      </c>
      <c r="D24" t="s">
        <v>166</v>
      </c>
      <c r="E24" t="s">
        <v>108</v>
      </c>
      <c r="F24" t="s">
        <v>164</v>
      </c>
      <c r="I24" s="47" t="s">
        <v>634</v>
      </c>
      <c r="J24" s="47" t="str">
        <f>RIGHT(Tabela4[[#This Row],[Desde]],4)</f>
        <v>2026</v>
      </c>
      <c r="K24">
        <v>175</v>
      </c>
      <c r="O24" t="s">
        <v>353</v>
      </c>
    </row>
    <row r="25" spans="1:18" x14ac:dyDescent="0.25">
      <c r="A25" t="s">
        <v>823</v>
      </c>
      <c r="B25" t="s">
        <v>661</v>
      </c>
      <c r="C25" t="s">
        <v>836</v>
      </c>
      <c r="D25" t="s">
        <v>73</v>
      </c>
      <c r="E25" t="s">
        <v>89</v>
      </c>
      <c r="F25" t="s">
        <v>842</v>
      </c>
      <c r="I25" s="47" t="s">
        <v>826</v>
      </c>
      <c r="J25" s="47" t="str">
        <f>RIGHT(Tabela4[[#This Row],[Desde]],4)</f>
        <v>2026</v>
      </c>
      <c r="K25">
        <v>7</v>
      </c>
      <c r="O25" t="s">
        <v>353</v>
      </c>
    </row>
    <row r="26" spans="1:18" x14ac:dyDescent="0.25">
      <c r="A26" t="s">
        <v>823</v>
      </c>
      <c r="B26" t="s">
        <v>237</v>
      </c>
      <c r="C26" t="s">
        <v>836</v>
      </c>
      <c r="D26" t="s">
        <v>240</v>
      </c>
      <c r="E26" t="s">
        <v>196</v>
      </c>
      <c r="F26" t="s">
        <v>239</v>
      </c>
      <c r="I26" s="47" t="s">
        <v>843</v>
      </c>
      <c r="J26" s="47" t="str">
        <f>RIGHT(Tabela4[[#This Row],[Desde]],4)</f>
        <v>2026</v>
      </c>
      <c r="K26">
        <v>27</v>
      </c>
      <c r="L26" t="s">
        <v>827</v>
      </c>
      <c r="O26" t="s">
        <v>353</v>
      </c>
      <c r="R26" t="s">
        <v>844</v>
      </c>
    </row>
    <row r="27" spans="1:18" x14ac:dyDescent="0.25">
      <c r="A27" t="s">
        <v>823</v>
      </c>
      <c r="B27" t="s">
        <v>241</v>
      </c>
      <c r="C27" t="s">
        <v>836</v>
      </c>
      <c r="D27" t="s">
        <v>246</v>
      </c>
      <c r="E27" t="s">
        <v>196</v>
      </c>
      <c r="F27" t="s">
        <v>244</v>
      </c>
      <c r="I27" s="47" t="s">
        <v>845</v>
      </c>
      <c r="J27" s="47" t="str">
        <f>RIGHT(Tabela4[[#This Row],[Desde]],4)</f>
        <v>2026</v>
      </c>
      <c r="K27">
        <v>69</v>
      </c>
      <c r="O27" t="s">
        <v>353</v>
      </c>
    </row>
    <row r="28" spans="1:18" x14ac:dyDescent="0.25">
      <c r="A28" t="s">
        <v>823</v>
      </c>
      <c r="B28" t="s">
        <v>754</v>
      </c>
      <c r="C28" t="s">
        <v>836</v>
      </c>
      <c r="D28" t="s">
        <v>247</v>
      </c>
      <c r="E28" t="s">
        <v>830</v>
      </c>
      <c r="F28" t="s">
        <v>846</v>
      </c>
      <c r="I28" s="47" t="s">
        <v>847</v>
      </c>
      <c r="J28" s="47" t="str">
        <f>RIGHT(Tabela4[[#This Row],[Desde]],4)</f>
        <v>2023</v>
      </c>
      <c r="K28">
        <v>1299</v>
      </c>
      <c r="O28" t="s">
        <v>353</v>
      </c>
    </row>
    <row r="29" spans="1:18" x14ac:dyDescent="0.25">
      <c r="A29" t="s">
        <v>823</v>
      </c>
      <c r="B29" t="s">
        <v>256</v>
      </c>
      <c r="C29" t="s">
        <v>836</v>
      </c>
      <c r="D29" t="s">
        <v>212</v>
      </c>
      <c r="E29" t="s">
        <v>196</v>
      </c>
      <c r="F29" t="s">
        <v>258</v>
      </c>
      <c r="I29" s="47" t="s">
        <v>834</v>
      </c>
      <c r="J29" s="47" t="str">
        <f>RIGHT(Tabela4[[#This Row],[Desde]],4)</f>
        <v>2026</v>
      </c>
      <c r="K29">
        <v>22</v>
      </c>
      <c r="O29" t="s">
        <v>353</v>
      </c>
    </row>
    <row r="30" spans="1:18" x14ac:dyDescent="0.25">
      <c r="A30" t="s">
        <v>823</v>
      </c>
      <c r="B30" t="s">
        <v>118</v>
      </c>
      <c r="C30" t="s">
        <v>836</v>
      </c>
      <c r="D30" t="s">
        <v>123</v>
      </c>
      <c r="E30" t="s">
        <v>89</v>
      </c>
      <c r="F30" t="s">
        <v>121</v>
      </c>
      <c r="I30" s="47" t="s">
        <v>459</v>
      </c>
      <c r="J30" s="47" t="str">
        <f>RIGHT(Tabela4[[#This Row],[Desde]],4)</f>
        <v>2025</v>
      </c>
      <c r="K30">
        <v>413</v>
      </c>
      <c r="O30" t="s">
        <v>353</v>
      </c>
    </row>
    <row r="31" spans="1:18" x14ac:dyDescent="0.25">
      <c r="A31" t="s">
        <v>823</v>
      </c>
      <c r="B31" t="s">
        <v>208</v>
      </c>
      <c r="C31" t="s">
        <v>836</v>
      </c>
      <c r="D31" t="s">
        <v>212</v>
      </c>
      <c r="E31" t="s">
        <v>196</v>
      </c>
      <c r="F31" t="s">
        <v>210</v>
      </c>
      <c r="I31" s="47" t="s">
        <v>848</v>
      </c>
      <c r="J31" s="47" t="str">
        <f>RIGHT(Tabela4[[#This Row],[Desde]],4)</f>
        <v>2026</v>
      </c>
      <c r="K31">
        <v>41</v>
      </c>
      <c r="O31" t="s">
        <v>353</v>
      </c>
    </row>
    <row r="32" spans="1:18" x14ac:dyDescent="0.25">
      <c r="A32" t="s">
        <v>823</v>
      </c>
      <c r="B32" t="s">
        <v>13</v>
      </c>
      <c r="C32" t="s">
        <v>836</v>
      </c>
      <c r="D32" t="s">
        <v>20</v>
      </c>
      <c r="E32" t="s">
        <v>14</v>
      </c>
      <c r="F32" t="s">
        <v>18</v>
      </c>
      <c r="I32" s="47" t="s">
        <v>647</v>
      </c>
      <c r="J32" s="47" t="str">
        <f>RIGHT(Tabela4[[#This Row],[Desde]],4)</f>
        <v>2026</v>
      </c>
      <c r="K32">
        <v>42</v>
      </c>
      <c r="O32" t="s">
        <v>353</v>
      </c>
    </row>
    <row r="33" spans="1:18" x14ac:dyDescent="0.25">
      <c r="A33" t="s">
        <v>823</v>
      </c>
      <c r="B33" t="s">
        <v>755</v>
      </c>
      <c r="C33" t="s">
        <v>836</v>
      </c>
      <c r="D33" t="s">
        <v>20</v>
      </c>
      <c r="E33" t="s">
        <v>830</v>
      </c>
      <c r="F33" t="s">
        <v>849</v>
      </c>
      <c r="I33" s="47" t="s">
        <v>850</v>
      </c>
      <c r="J33" s="47" t="str">
        <f>RIGHT(Tabela4[[#This Row],[Desde]],4)</f>
        <v>2023</v>
      </c>
      <c r="K33">
        <v>1301</v>
      </c>
      <c r="O33" t="s">
        <v>353</v>
      </c>
    </row>
    <row r="34" spans="1:18" x14ac:dyDescent="0.25">
      <c r="A34" t="s">
        <v>823</v>
      </c>
      <c r="B34" t="s">
        <v>213</v>
      </c>
      <c r="C34" t="s">
        <v>836</v>
      </c>
      <c r="D34" t="s">
        <v>27</v>
      </c>
      <c r="E34" t="s">
        <v>196</v>
      </c>
      <c r="F34" t="s">
        <v>216</v>
      </c>
      <c r="I34" s="47" t="s">
        <v>716</v>
      </c>
      <c r="J34" s="47" t="str">
        <f>RIGHT(Tabela4[[#This Row],[Desde]],4)</f>
        <v>2026</v>
      </c>
      <c r="K34">
        <v>33</v>
      </c>
      <c r="O34" t="s">
        <v>353</v>
      </c>
    </row>
    <row r="35" spans="1:18" x14ac:dyDescent="0.25">
      <c r="A35" t="s">
        <v>823</v>
      </c>
      <c r="B35" t="s">
        <v>167</v>
      </c>
      <c r="C35" t="s">
        <v>836</v>
      </c>
      <c r="D35" t="s">
        <v>170</v>
      </c>
      <c r="E35" t="s">
        <v>108</v>
      </c>
      <c r="F35" t="s">
        <v>169</v>
      </c>
      <c r="I35" s="47" t="s">
        <v>851</v>
      </c>
      <c r="J35" s="47" t="str">
        <f>RIGHT(Tabela4[[#This Row],[Desde]],4)</f>
        <v>2026</v>
      </c>
      <c r="K35">
        <v>141</v>
      </c>
      <c r="L35" t="s">
        <v>827</v>
      </c>
      <c r="O35" t="s">
        <v>353</v>
      </c>
      <c r="R35" t="s">
        <v>852</v>
      </c>
    </row>
    <row r="36" spans="1:18" x14ac:dyDescent="0.25">
      <c r="A36" t="s">
        <v>823</v>
      </c>
      <c r="B36" t="s">
        <v>49</v>
      </c>
      <c r="C36" t="s">
        <v>836</v>
      </c>
      <c r="D36" t="s">
        <v>54</v>
      </c>
      <c r="E36" t="s">
        <v>14</v>
      </c>
      <c r="F36" t="s">
        <v>52</v>
      </c>
      <c r="I36" s="47" t="s">
        <v>851</v>
      </c>
      <c r="J36" s="47" t="str">
        <f>RIGHT(Tabela4[[#This Row],[Desde]],4)</f>
        <v>2026</v>
      </c>
      <c r="K36">
        <v>141</v>
      </c>
      <c r="O36" t="s">
        <v>353</v>
      </c>
    </row>
    <row r="37" spans="1:18" x14ac:dyDescent="0.25">
      <c r="A37" t="s">
        <v>823</v>
      </c>
      <c r="B37" t="s">
        <v>81</v>
      </c>
      <c r="C37" t="s">
        <v>836</v>
      </c>
      <c r="D37" t="s">
        <v>86</v>
      </c>
      <c r="E37" t="s">
        <v>14</v>
      </c>
      <c r="F37" t="s">
        <v>84</v>
      </c>
      <c r="I37" s="47" t="s">
        <v>686</v>
      </c>
      <c r="J37" s="47" t="str">
        <f>RIGHT(Tabela4[[#This Row],[Desde]],4)</f>
        <v>2026</v>
      </c>
      <c r="K37">
        <v>155</v>
      </c>
      <c r="O37" t="s">
        <v>353</v>
      </c>
    </row>
    <row r="38" spans="1:18" x14ac:dyDescent="0.25">
      <c r="A38" t="s">
        <v>823</v>
      </c>
      <c r="B38" t="s">
        <v>94</v>
      </c>
      <c r="C38" t="s">
        <v>836</v>
      </c>
      <c r="D38" t="s">
        <v>99</v>
      </c>
      <c r="E38" t="s">
        <v>89</v>
      </c>
      <c r="F38" t="s">
        <v>97</v>
      </c>
      <c r="I38" s="47" t="s">
        <v>853</v>
      </c>
      <c r="J38" s="47" t="str">
        <f>RIGHT(Tabela4[[#This Row],[Desde]],4)</f>
        <v>2026</v>
      </c>
      <c r="K38">
        <v>117</v>
      </c>
      <c r="L38" t="s">
        <v>827</v>
      </c>
      <c r="O38" t="s">
        <v>353</v>
      </c>
      <c r="R38" t="s">
        <v>854</v>
      </c>
    </row>
    <row r="39" spans="1:18" x14ac:dyDescent="0.25">
      <c r="A39" t="s">
        <v>823</v>
      </c>
      <c r="B39" t="s">
        <v>260</v>
      </c>
      <c r="C39" t="s">
        <v>836</v>
      </c>
      <c r="D39" t="s">
        <v>265</v>
      </c>
      <c r="E39" t="s">
        <v>196</v>
      </c>
      <c r="F39" t="s">
        <v>263</v>
      </c>
      <c r="I39" s="47" t="s">
        <v>855</v>
      </c>
      <c r="J39" s="47" t="str">
        <f>RIGHT(Tabela4[[#This Row],[Desde]],4)</f>
        <v>2026</v>
      </c>
      <c r="K39">
        <v>153</v>
      </c>
      <c r="O39" t="s">
        <v>353</v>
      </c>
    </row>
    <row r="40" spans="1:18" x14ac:dyDescent="0.25">
      <c r="A40" t="s">
        <v>823</v>
      </c>
      <c r="B40" t="s">
        <v>171</v>
      </c>
      <c r="C40" t="s">
        <v>836</v>
      </c>
      <c r="D40" t="s">
        <v>176</v>
      </c>
      <c r="E40" t="s">
        <v>108</v>
      </c>
      <c r="F40" t="s">
        <v>174</v>
      </c>
      <c r="I40" s="47" t="s">
        <v>622</v>
      </c>
      <c r="J40" s="47" t="str">
        <f>RIGHT(Tabela4[[#This Row],[Desde]],4)</f>
        <v>2026</v>
      </c>
      <c r="K40">
        <v>169</v>
      </c>
      <c r="O40" t="s">
        <v>353</v>
      </c>
    </row>
    <row r="41" spans="1:18" x14ac:dyDescent="0.25">
      <c r="A41" t="s">
        <v>823</v>
      </c>
      <c r="B41" t="s">
        <v>62</v>
      </c>
      <c r="C41" t="s">
        <v>836</v>
      </c>
      <c r="D41" t="s">
        <v>67</v>
      </c>
      <c r="E41" t="s">
        <v>14</v>
      </c>
      <c r="F41" t="s">
        <v>65</v>
      </c>
      <c r="I41" s="47" t="s">
        <v>585</v>
      </c>
      <c r="J41" s="47" t="str">
        <f>RIGHT(Tabela4[[#This Row],[Desde]],4)</f>
        <v>2026</v>
      </c>
      <c r="K41">
        <v>36</v>
      </c>
      <c r="O41" t="s">
        <v>353</v>
      </c>
    </row>
    <row r="42" spans="1:18" x14ac:dyDescent="0.25">
      <c r="A42" t="s">
        <v>823</v>
      </c>
      <c r="B42" t="s">
        <v>218</v>
      </c>
      <c r="C42" t="s">
        <v>836</v>
      </c>
      <c r="D42" t="s">
        <v>67</v>
      </c>
      <c r="E42" t="s">
        <v>196</v>
      </c>
      <c r="F42" t="s">
        <v>221</v>
      </c>
      <c r="I42" s="47" t="s">
        <v>856</v>
      </c>
      <c r="J42" s="47" t="str">
        <f>RIGHT(Tabela4[[#This Row],[Desde]],4)</f>
        <v>2025</v>
      </c>
      <c r="K42">
        <v>406</v>
      </c>
      <c r="O42" t="s">
        <v>353</v>
      </c>
    </row>
    <row r="43" spans="1:18" x14ac:dyDescent="0.25">
      <c r="A43" t="s">
        <v>823</v>
      </c>
      <c r="B43" t="s">
        <v>125</v>
      </c>
      <c r="C43" t="s">
        <v>836</v>
      </c>
      <c r="D43" t="s">
        <v>74</v>
      </c>
      <c r="E43" t="s">
        <v>89</v>
      </c>
      <c r="F43" t="s">
        <v>128</v>
      </c>
      <c r="I43" s="47" t="s">
        <v>857</v>
      </c>
      <c r="J43" s="47" t="str">
        <f>RIGHT(Tabela4[[#This Row],[Desde]],4)</f>
        <v>2026</v>
      </c>
      <c r="K43">
        <v>195</v>
      </c>
      <c r="O43" t="s">
        <v>353</v>
      </c>
    </row>
    <row r="44" spans="1:18" x14ac:dyDescent="0.25">
      <c r="A44" t="s">
        <v>823</v>
      </c>
      <c r="B44" t="s">
        <v>139</v>
      </c>
      <c r="C44" t="s">
        <v>836</v>
      </c>
      <c r="D44" t="s">
        <v>143</v>
      </c>
      <c r="E44" t="s">
        <v>108</v>
      </c>
      <c r="F44" t="s">
        <v>141</v>
      </c>
      <c r="I44" s="47" t="s">
        <v>834</v>
      </c>
      <c r="J44" s="47" t="str">
        <f>RIGHT(Tabela4[[#This Row],[Desde]],4)</f>
        <v>2026</v>
      </c>
      <c r="K44">
        <v>22</v>
      </c>
      <c r="L44" t="s">
        <v>827</v>
      </c>
      <c r="O44" t="s">
        <v>353</v>
      </c>
      <c r="R44" t="s">
        <v>858</v>
      </c>
    </row>
    <row r="45" spans="1:18" x14ac:dyDescent="0.25">
      <c r="A45" t="s">
        <v>823</v>
      </c>
      <c r="B45" t="s">
        <v>222</v>
      </c>
      <c r="C45" t="s">
        <v>836</v>
      </c>
      <c r="D45" t="s">
        <v>143</v>
      </c>
      <c r="E45" t="s">
        <v>196</v>
      </c>
      <c r="F45" t="s">
        <v>224</v>
      </c>
      <c r="I45" s="47" t="s">
        <v>647</v>
      </c>
      <c r="J45" s="47" t="str">
        <f>RIGHT(Tabela4[[#This Row],[Desde]],4)</f>
        <v>2026</v>
      </c>
      <c r="K45">
        <v>42</v>
      </c>
      <c r="O45" t="s">
        <v>353</v>
      </c>
    </row>
    <row r="46" spans="1:18" x14ac:dyDescent="0.25">
      <c r="A46" t="s">
        <v>823</v>
      </c>
      <c r="B46" t="s">
        <v>189</v>
      </c>
      <c r="C46" t="s">
        <v>836</v>
      </c>
      <c r="D46" t="s">
        <v>193</v>
      </c>
      <c r="E46" t="s">
        <v>108</v>
      </c>
      <c r="F46" t="s">
        <v>191</v>
      </c>
      <c r="I46" s="47" t="s">
        <v>647</v>
      </c>
      <c r="J46" s="47" t="str">
        <f>RIGHT(Tabela4[[#This Row],[Desde]],4)</f>
        <v>2026</v>
      </c>
      <c r="K46">
        <v>42</v>
      </c>
      <c r="O46" t="s">
        <v>353</v>
      </c>
    </row>
    <row r="47" spans="1:18" x14ac:dyDescent="0.25">
      <c r="A47" t="s">
        <v>823</v>
      </c>
      <c r="B47" t="s">
        <v>279</v>
      </c>
      <c r="C47" t="s">
        <v>836</v>
      </c>
      <c r="D47" t="s">
        <v>155</v>
      </c>
      <c r="E47" t="s">
        <v>830</v>
      </c>
      <c r="F47" t="s">
        <v>282</v>
      </c>
      <c r="I47" s="47" t="s">
        <v>585</v>
      </c>
      <c r="J47" s="47" t="str">
        <f>RIGHT(Tabela4[[#This Row],[Desde]],4)</f>
        <v>2026</v>
      </c>
      <c r="K47">
        <v>36</v>
      </c>
      <c r="O47" t="s">
        <v>353</v>
      </c>
    </row>
    <row r="48" spans="1:18" x14ac:dyDescent="0.25">
      <c r="A48" t="s">
        <v>823</v>
      </c>
      <c r="B48" t="s">
        <v>129</v>
      </c>
      <c r="C48" t="s">
        <v>836</v>
      </c>
      <c r="D48" t="s">
        <v>67</v>
      </c>
      <c r="E48" t="s">
        <v>89</v>
      </c>
      <c r="F48" t="s">
        <v>131</v>
      </c>
      <c r="I48" s="47" t="s">
        <v>829</v>
      </c>
      <c r="J48" s="47" t="str">
        <f>RIGHT(Tabela4[[#This Row],[Desde]],4)</f>
        <v>2026</v>
      </c>
      <c r="K48">
        <v>29</v>
      </c>
      <c r="O48" t="s">
        <v>353</v>
      </c>
    </row>
    <row r="49" spans="1:18" x14ac:dyDescent="0.25">
      <c r="A49" t="s">
        <v>823</v>
      </c>
      <c r="B49" t="s">
        <v>22</v>
      </c>
      <c r="C49" t="s">
        <v>836</v>
      </c>
      <c r="D49" t="s">
        <v>28</v>
      </c>
      <c r="E49" t="s">
        <v>14</v>
      </c>
      <c r="F49" t="s">
        <v>25</v>
      </c>
      <c r="I49" s="47" t="s">
        <v>634</v>
      </c>
      <c r="J49" s="47" t="str">
        <f>RIGHT(Tabela4[[#This Row],[Desde]],4)</f>
        <v>2026</v>
      </c>
      <c r="K49">
        <v>175</v>
      </c>
      <c r="L49" t="s">
        <v>827</v>
      </c>
      <c r="O49" t="s">
        <v>353</v>
      </c>
      <c r="R49" t="s">
        <v>852</v>
      </c>
    </row>
    <row r="50" spans="1:18" x14ac:dyDescent="0.25">
      <c r="A50" t="s">
        <v>823</v>
      </c>
      <c r="B50" t="s">
        <v>178</v>
      </c>
      <c r="C50" t="s">
        <v>836</v>
      </c>
      <c r="D50" t="s">
        <v>42</v>
      </c>
      <c r="E50" t="s">
        <v>108</v>
      </c>
      <c r="F50" t="s">
        <v>181</v>
      </c>
      <c r="I50" s="47" t="s">
        <v>467</v>
      </c>
      <c r="J50" s="47" t="str">
        <f>RIGHT(Tabela4[[#This Row],[Desde]],4)</f>
        <v>2026</v>
      </c>
      <c r="K50">
        <v>203</v>
      </c>
      <c r="O50" t="s">
        <v>353</v>
      </c>
    </row>
    <row r="51" spans="1:18" x14ac:dyDescent="0.25">
      <c r="A51" t="s">
        <v>823</v>
      </c>
      <c r="B51" t="s">
        <v>145</v>
      </c>
      <c r="C51" t="s">
        <v>836</v>
      </c>
      <c r="D51" t="s">
        <v>149</v>
      </c>
      <c r="E51" t="s">
        <v>108</v>
      </c>
      <c r="F51" t="s">
        <v>147</v>
      </c>
      <c r="I51" s="47" t="s">
        <v>647</v>
      </c>
      <c r="J51" s="47" t="str">
        <f>RIGHT(Tabela4[[#This Row],[Desde]],4)</f>
        <v>2026</v>
      </c>
      <c r="K51">
        <v>42</v>
      </c>
      <c r="O51" t="s">
        <v>353</v>
      </c>
    </row>
    <row r="52" spans="1:18" x14ac:dyDescent="0.25">
      <c r="A52" t="s">
        <v>823</v>
      </c>
      <c r="B52" t="s">
        <v>266</v>
      </c>
      <c r="C52" t="s">
        <v>836</v>
      </c>
      <c r="D52" t="s">
        <v>106</v>
      </c>
      <c r="E52" t="s">
        <v>196</v>
      </c>
      <c r="F52" t="s">
        <v>269</v>
      </c>
      <c r="I52" s="47" t="s">
        <v>859</v>
      </c>
      <c r="J52" s="47" t="str">
        <f>RIGHT(Tabela4[[#This Row],[Desde]],4)</f>
        <v>2026</v>
      </c>
      <c r="K52">
        <v>34</v>
      </c>
      <c r="O52" t="s">
        <v>353</v>
      </c>
    </row>
    <row r="53" spans="1:18" x14ac:dyDescent="0.25">
      <c r="A53" t="s">
        <v>823</v>
      </c>
      <c r="B53" t="s">
        <v>226</v>
      </c>
      <c r="C53" t="s">
        <v>836</v>
      </c>
      <c r="D53" t="s">
        <v>230</v>
      </c>
      <c r="E53" t="s">
        <v>196</v>
      </c>
      <c r="F53" t="s">
        <v>229</v>
      </c>
      <c r="I53" s="47" t="s">
        <v>558</v>
      </c>
      <c r="J53" s="47" t="str">
        <f>RIGHT(Tabela4[[#This Row],[Desde]],4)</f>
        <v>2025</v>
      </c>
      <c r="K53">
        <v>391</v>
      </c>
      <c r="O53" t="s">
        <v>353</v>
      </c>
    </row>
    <row r="54" spans="1:18" x14ac:dyDescent="0.25">
      <c r="A54" t="s">
        <v>823</v>
      </c>
      <c r="B54" t="s">
        <v>150</v>
      </c>
      <c r="C54" t="s">
        <v>836</v>
      </c>
      <c r="D54" t="s">
        <v>155</v>
      </c>
      <c r="E54" t="s">
        <v>108</v>
      </c>
      <c r="F54" t="s">
        <v>153</v>
      </c>
      <c r="I54" s="47" t="s">
        <v>725</v>
      </c>
      <c r="J54" s="47" t="str">
        <f>RIGHT(Tabela4[[#This Row],[Desde]],4)</f>
        <v>2026</v>
      </c>
      <c r="K54">
        <v>140</v>
      </c>
      <c r="O54" t="s">
        <v>353</v>
      </c>
    </row>
    <row r="55" spans="1:18" x14ac:dyDescent="0.25">
      <c r="A55" t="s">
        <v>823</v>
      </c>
      <c r="B55" t="s">
        <v>30</v>
      </c>
      <c r="C55" t="s">
        <v>836</v>
      </c>
      <c r="D55" t="s">
        <v>34</v>
      </c>
      <c r="E55" t="s">
        <v>14</v>
      </c>
      <c r="F55" t="s">
        <v>32</v>
      </c>
      <c r="I55" s="47" t="s">
        <v>848</v>
      </c>
      <c r="J55" s="47" t="str">
        <f>RIGHT(Tabela4[[#This Row],[Desde]],4)</f>
        <v>2026</v>
      </c>
      <c r="K55">
        <v>41</v>
      </c>
      <c r="O55" t="s">
        <v>353</v>
      </c>
    </row>
    <row r="56" spans="1:18" x14ac:dyDescent="0.25">
      <c r="A56" t="s">
        <v>823</v>
      </c>
      <c r="B56" t="s">
        <v>284</v>
      </c>
      <c r="C56" t="s">
        <v>836</v>
      </c>
      <c r="D56" t="s">
        <v>287</v>
      </c>
      <c r="E56" t="s">
        <v>830</v>
      </c>
      <c r="F56" t="s">
        <v>285</v>
      </c>
      <c r="I56" s="47" t="s">
        <v>716</v>
      </c>
      <c r="J56" s="47" t="str">
        <f>RIGHT(Tabela4[[#This Row],[Desde]],4)</f>
        <v>2026</v>
      </c>
      <c r="K56">
        <v>33</v>
      </c>
      <c r="O56" t="s">
        <v>353</v>
      </c>
    </row>
    <row r="57" spans="1:18" x14ac:dyDescent="0.25">
      <c r="A57" t="s">
        <v>823</v>
      </c>
      <c r="B57" t="s">
        <v>756</v>
      </c>
      <c r="C57" t="s">
        <v>836</v>
      </c>
      <c r="D57" t="s">
        <v>156</v>
      </c>
      <c r="E57" t="s">
        <v>196</v>
      </c>
      <c r="F57" t="s">
        <v>860</v>
      </c>
      <c r="I57" s="47" t="s">
        <v>826</v>
      </c>
      <c r="J57" s="47" t="str">
        <f>RIGHT(Tabela4[[#This Row],[Desde]],4)</f>
        <v>2026</v>
      </c>
      <c r="K57">
        <v>7</v>
      </c>
      <c r="L57" t="s">
        <v>827</v>
      </c>
      <c r="O57" t="s">
        <v>353</v>
      </c>
      <c r="R57" t="s">
        <v>840</v>
      </c>
    </row>
    <row r="58" spans="1:18" x14ac:dyDescent="0.25">
      <c r="A58" t="s">
        <v>823</v>
      </c>
      <c r="B58" t="s">
        <v>231</v>
      </c>
      <c r="C58" t="s">
        <v>836</v>
      </c>
      <c r="D58" t="s">
        <v>106</v>
      </c>
      <c r="E58" t="s">
        <v>196</v>
      </c>
      <c r="F58" t="s">
        <v>233</v>
      </c>
      <c r="I58" s="47" t="s">
        <v>848</v>
      </c>
      <c r="J58" s="47" t="str">
        <f>RIGHT(Tabela4[[#This Row],[Desde]],4)</f>
        <v>2026</v>
      </c>
      <c r="K58">
        <v>41</v>
      </c>
      <c r="L58" t="s">
        <v>827</v>
      </c>
      <c r="O58" t="s">
        <v>353</v>
      </c>
      <c r="R58" t="s">
        <v>861</v>
      </c>
    </row>
    <row r="59" spans="1:18" x14ac:dyDescent="0.25">
      <c r="A59" t="s">
        <v>823</v>
      </c>
      <c r="B59" t="s">
        <v>182</v>
      </c>
      <c r="C59" t="s">
        <v>836</v>
      </c>
      <c r="D59" t="s">
        <v>156</v>
      </c>
      <c r="E59" t="s">
        <v>108</v>
      </c>
      <c r="F59" t="s">
        <v>184</v>
      </c>
      <c r="I59" s="47" t="s">
        <v>848</v>
      </c>
      <c r="J59" s="47" t="str">
        <f>RIGHT(Tabela4[[#This Row],[Desde]],4)</f>
        <v>2026</v>
      </c>
      <c r="K59">
        <v>41</v>
      </c>
      <c r="L59" t="s">
        <v>827</v>
      </c>
      <c r="O59" t="s">
        <v>353</v>
      </c>
      <c r="R59" t="s">
        <v>862</v>
      </c>
    </row>
    <row r="60" spans="1:18" x14ac:dyDescent="0.25">
      <c r="A60" t="s">
        <v>863</v>
      </c>
      <c r="B60" t="s">
        <v>501</v>
      </c>
      <c r="C60" t="s">
        <v>824</v>
      </c>
      <c r="D60" t="s">
        <v>864</v>
      </c>
      <c r="E60" t="s">
        <v>89</v>
      </c>
      <c r="F60" t="s">
        <v>865</v>
      </c>
      <c r="I60" s="47" t="s">
        <v>866</v>
      </c>
      <c r="J60" s="47" t="str">
        <f>RIGHT(Tabela4[[#This Row],[Desde]],4)</f>
        <v>2026</v>
      </c>
      <c r="K60">
        <v>19</v>
      </c>
      <c r="O60" t="s">
        <v>346</v>
      </c>
      <c r="P60" t="s">
        <v>867</v>
      </c>
      <c r="Q60" t="s">
        <v>868</v>
      </c>
      <c r="R60" t="s">
        <v>869</v>
      </c>
    </row>
    <row r="61" spans="1:18" x14ac:dyDescent="0.25">
      <c r="A61" t="s">
        <v>863</v>
      </c>
      <c r="B61" t="s">
        <v>757</v>
      </c>
      <c r="C61" t="s">
        <v>824</v>
      </c>
      <c r="D61" t="s">
        <v>144</v>
      </c>
      <c r="E61" t="s">
        <v>108</v>
      </c>
      <c r="F61" t="s">
        <v>870</v>
      </c>
      <c r="I61" s="47" t="s">
        <v>848</v>
      </c>
      <c r="J61" s="47" t="str">
        <f>RIGHT(Tabela4[[#This Row],[Desde]],4)</f>
        <v>2026</v>
      </c>
      <c r="K61">
        <v>41</v>
      </c>
      <c r="O61" t="s">
        <v>346</v>
      </c>
      <c r="P61" t="s">
        <v>867</v>
      </c>
      <c r="Q61" t="s">
        <v>868</v>
      </c>
      <c r="R61" t="s">
        <v>869</v>
      </c>
    </row>
    <row r="62" spans="1:18" x14ac:dyDescent="0.25">
      <c r="A62" t="s">
        <v>863</v>
      </c>
      <c r="B62" t="s">
        <v>514</v>
      </c>
      <c r="C62" t="s">
        <v>824</v>
      </c>
      <c r="D62" t="s">
        <v>871</v>
      </c>
      <c r="E62" t="s">
        <v>14</v>
      </c>
      <c r="F62" t="s">
        <v>872</v>
      </c>
      <c r="I62" s="47" t="s">
        <v>873</v>
      </c>
      <c r="J62" s="47" t="str">
        <f>RIGHT(Tabela4[[#This Row],[Desde]],4)</f>
        <v>2026</v>
      </c>
      <c r="K62">
        <v>21</v>
      </c>
      <c r="O62" t="s">
        <v>346</v>
      </c>
      <c r="P62" t="s">
        <v>874</v>
      </c>
      <c r="Q62" t="s">
        <v>875</v>
      </c>
      <c r="R62" t="s">
        <v>869</v>
      </c>
    </row>
    <row r="63" spans="1:18" x14ac:dyDescent="0.25">
      <c r="A63" t="s">
        <v>863</v>
      </c>
      <c r="B63" t="s">
        <v>35</v>
      </c>
      <c r="C63" t="s">
        <v>824</v>
      </c>
      <c r="D63" t="s">
        <v>41</v>
      </c>
      <c r="E63" t="s">
        <v>14</v>
      </c>
      <c r="F63" t="s">
        <v>39</v>
      </c>
      <c r="I63" s="47" t="s">
        <v>834</v>
      </c>
      <c r="J63" s="47" t="str">
        <f>RIGHT(Tabela4[[#This Row],[Desde]],4)</f>
        <v>2026</v>
      </c>
      <c r="K63">
        <v>22</v>
      </c>
      <c r="O63" t="s">
        <v>346</v>
      </c>
      <c r="P63" t="s">
        <v>876</v>
      </c>
      <c r="Q63" t="s">
        <v>877</v>
      </c>
      <c r="R63" t="s">
        <v>869</v>
      </c>
    </row>
    <row r="64" spans="1:18" x14ac:dyDescent="0.25">
      <c r="A64" t="s">
        <v>863</v>
      </c>
      <c r="B64" t="s">
        <v>758</v>
      </c>
      <c r="C64" t="s">
        <v>824</v>
      </c>
      <c r="D64" t="s">
        <v>878</v>
      </c>
      <c r="E64" t="s">
        <v>89</v>
      </c>
      <c r="F64" t="s">
        <v>879</v>
      </c>
      <c r="I64" s="47" t="s">
        <v>880</v>
      </c>
      <c r="J64" s="47" t="str">
        <f>RIGHT(Tabela4[[#This Row],[Desde]],4)</f>
        <v>2026</v>
      </c>
      <c r="K64">
        <v>1</v>
      </c>
      <c r="O64" t="s">
        <v>346</v>
      </c>
      <c r="P64" t="s">
        <v>881</v>
      </c>
      <c r="Q64" t="s">
        <v>868</v>
      </c>
      <c r="R64" t="s">
        <v>869</v>
      </c>
    </row>
    <row r="65" spans="1:18" x14ac:dyDescent="0.25">
      <c r="A65" t="s">
        <v>863</v>
      </c>
      <c r="B65" t="s">
        <v>403</v>
      </c>
      <c r="C65" t="s">
        <v>836</v>
      </c>
      <c r="D65" t="s">
        <v>99</v>
      </c>
      <c r="E65" t="s">
        <v>14</v>
      </c>
      <c r="F65" t="s">
        <v>882</v>
      </c>
      <c r="I65" s="47" t="s">
        <v>831</v>
      </c>
      <c r="J65" s="47" t="str">
        <f>RIGHT(Tabela4[[#This Row],[Desde]],4)</f>
        <v>2026</v>
      </c>
      <c r="K65">
        <v>28</v>
      </c>
      <c r="O65" t="s">
        <v>346</v>
      </c>
      <c r="P65" t="s">
        <v>874</v>
      </c>
      <c r="Q65" t="s">
        <v>875</v>
      </c>
      <c r="R65" t="s">
        <v>869</v>
      </c>
    </row>
    <row r="66" spans="1:18" x14ac:dyDescent="0.25">
      <c r="A66" t="s">
        <v>863</v>
      </c>
      <c r="B66" t="s">
        <v>342</v>
      </c>
      <c r="C66" t="s">
        <v>836</v>
      </c>
      <c r="D66" t="s">
        <v>883</v>
      </c>
      <c r="E66" t="s">
        <v>14</v>
      </c>
      <c r="F66" t="s">
        <v>884</v>
      </c>
      <c r="I66" s="47" t="s">
        <v>880</v>
      </c>
      <c r="J66" s="47" t="str">
        <f>RIGHT(Tabela4[[#This Row],[Desde]],4)</f>
        <v>2026</v>
      </c>
      <c r="K66">
        <v>1</v>
      </c>
      <c r="O66" t="s">
        <v>346</v>
      </c>
      <c r="P66" t="s">
        <v>881</v>
      </c>
      <c r="Q66" t="s">
        <v>868</v>
      </c>
      <c r="R66" t="s">
        <v>869</v>
      </c>
    </row>
    <row r="67" spans="1:18" x14ac:dyDescent="0.25">
      <c r="A67" t="s">
        <v>863</v>
      </c>
      <c r="B67" t="s">
        <v>350</v>
      </c>
      <c r="C67" t="s">
        <v>836</v>
      </c>
      <c r="D67" t="s">
        <v>207</v>
      </c>
      <c r="E67" t="s">
        <v>89</v>
      </c>
      <c r="F67" t="s">
        <v>885</v>
      </c>
      <c r="I67" s="47" t="s">
        <v>829</v>
      </c>
      <c r="J67" s="47" t="str">
        <f>RIGHT(Tabela4[[#This Row],[Desde]],4)</f>
        <v>2026</v>
      </c>
      <c r="K67">
        <v>29</v>
      </c>
      <c r="O67" t="s">
        <v>346</v>
      </c>
      <c r="P67" t="s">
        <v>874</v>
      </c>
      <c r="Q67" t="s">
        <v>875</v>
      </c>
      <c r="R67" t="s">
        <v>869</v>
      </c>
    </row>
    <row r="68" spans="1:18" x14ac:dyDescent="0.25">
      <c r="A68" t="s">
        <v>863</v>
      </c>
      <c r="B68" t="s">
        <v>380</v>
      </c>
      <c r="C68" t="s">
        <v>836</v>
      </c>
      <c r="D68" t="s">
        <v>74</v>
      </c>
      <c r="E68" t="s">
        <v>14</v>
      </c>
      <c r="F68" t="s">
        <v>886</v>
      </c>
      <c r="I68" s="47" t="s">
        <v>716</v>
      </c>
      <c r="J68" s="47" t="str">
        <f>RIGHT(Tabela4[[#This Row],[Desde]],4)</f>
        <v>2026</v>
      </c>
      <c r="K68">
        <v>33</v>
      </c>
      <c r="O68" t="s">
        <v>346</v>
      </c>
      <c r="P68" t="s">
        <v>887</v>
      </c>
      <c r="Q68" t="s">
        <v>868</v>
      </c>
      <c r="R68" t="s">
        <v>869</v>
      </c>
    </row>
    <row r="69" spans="1:18" x14ac:dyDescent="0.25">
      <c r="A69" t="s">
        <v>863</v>
      </c>
      <c r="B69" t="s">
        <v>759</v>
      </c>
      <c r="C69" t="s">
        <v>836</v>
      </c>
      <c r="D69" t="s">
        <v>27</v>
      </c>
      <c r="E69" t="s">
        <v>830</v>
      </c>
      <c r="F69" t="s">
        <v>888</v>
      </c>
      <c r="I69" s="47" t="s">
        <v>889</v>
      </c>
      <c r="J69" s="47" t="str">
        <f>RIGHT(Tabela4[[#This Row],[Desde]],4)</f>
        <v>2026</v>
      </c>
      <c r="K69">
        <v>88</v>
      </c>
      <c r="O69" t="s">
        <v>346</v>
      </c>
      <c r="P69" t="s">
        <v>890</v>
      </c>
      <c r="Q69" t="s">
        <v>877</v>
      </c>
      <c r="R69" t="s">
        <v>869</v>
      </c>
    </row>
    <row r="70" spans="1:18" x14ac:dyDescent="0.25">
      <c r="A70" t="s">
        <v>863</v>
      </c>
      <c r="B70" t="s">
        <v>760</v>
      </c>
      <c r="C70" t="s">
        <v>836</v>
      </c>
      <c r="D70" t="s">
        <v>212</v>
      </c>
      <c r="E70" t="s">
        <v>14</v>
      </c>
      <c r="F70" t="s">
        <v>891</v>
      </c>
      <c r="I70" s="47" t="s">
        <v>873</v>
      </c>
      <c r="J70" s="47" t="str">
        <f>RIGHT(Tabela4[[#This Row],[Desde]],4)</f>
        <v>2026</v>
      </c>
      <c r="K70">
        <v>21</v>
      </c>
      <c r="O70" t="s">
        <v>346</v>
      </c>
      <c r="P70" t="s">
        <v>874</v>
      </c>
      <c r="Q70" t="s">
        <v>875</v>
      </c>
      <c r="R70" t="s">
        <v>869</v>
      </c>
    </row>
    <row r="71" spans="1:18" x14ac:dyDescent="0.25">
      <c r="A71" t="s">
        <v>863</v>
      </c>
      <c r="B71" t="s">
        <v>56</v>
      </c>
      <c r="C71" t="s">
        <v>836</v>
      </c>
      <c r="D71" t="s">
        <v>61</v>
      </c>
      <c r="E71" t="s">
        <v>14</v>
      </c>
      <c r="F71" t="s">
        <v>59</v>
      </c>
      <c r="I71" s="47" t="s">
        <v>892</v>
      </c>
      <c r="J71" s="47" t="str">
        <f>RIGHT(Tabela4[[#This Row],[Desde]],4)</f>
        <v>2026</v>
      </c>
      <c r="K71">
        <v>43</v>
      </c>
      <c r="O71" t="s">
        <v>346</v>
      </c>
      <c r="P71" t="s">
        <v>876</v>
      </c>
      <c r="Q71" t="s">
        <v>877</v>
      </c>
      <c r="R71" t="s">
        <v>869</v>
      </c>
    </row>
    <row r="72" spans="1:18" x14ac:dyDescent="0.25">
      <c r="A72" t="s">
        <v>863</v>
      </c>
      <c r="B72" t="s">
        <v>442</v>
      </c>
      <c r="C72" t="s">
        <v>836</v>
      </c>
      <c r="D72" t="s">
        <v>893</v>
      </c>
      <c r="E72" t="s">
        <v>89</v>
      </c>
      <c r="F72" t="s">
        <v>894</v>
      </c>
      <c r="I72" s="47" t="s">
        <v>829</v>
      </c>
      <c r="J72" s="47" t="str">
        <f>RIGHT(Tabela4[[#This Row],[Desde]],4)</f>
        <v>2026</v>
      </c>
      <c r="K72">
        <v>29</v>
      </c>
      <c r="O72" t="s">
        <v>346</v>
      </c>
      <c r="P72" t="s">
        <v>874</v>
      </c>
      <c r="Q72" t="s">
        <v>875</v>
      </c>
      <c r="R72" t="s">
        <v>869</v>
      </c>
    </row>
    <row r="73" spans="1:18" x14ac:dyDescent="0.25">
      <c r="A73" t="s">
        <v>863</v>
      </c>
      <c r="B73" t="s">
        <v>693</v>
      </c>
      <c r="C73" t="s">
        <v>836</v>
      </c>
      <c r="D73" t="s">
        <v>67</v>
      </c>
      <c r="E73" t="s">
        <v>89</v>
      </c>
      <c r="F73" t="s">
        <v>895</v>
      </c>
      <c r="I73" s="47" t="s">
        <v>831</v>
      </c>
      <c r="J73" s="47" t="str">
        <f>RIGHT(Tabela4[[#This Row],[Desde]],4)</f>
        <v>2026</v>
      </c>
      <c r="K73">
        <v>28</v>
      </c>
      <c r="O73" t="s">
        <v>346</v>
      </c>
      <c r="P73" t="s">
        <v>874</v>
      </c>
      <c r="Q73" t="s">
        <v>875</v>
      </c>
      <c r="R73" t="s">
        <v>869</v>
      </c>
    </row>
    <row r="74" spans="1:18" x14ac:dyDescent="0.25">
      <c r="A74" t="s">
        <v>863</v>
      </c>
      <c r="B74" t="s">
        <v>642</v>
      </c>
      <c r="C74" t="s">
        <v>836</v>
      </c>
      <c r="D74" t="s">
        <v>896</v>
      </c>
      <c r="E74" t="s">
        <v>14</v>
      </c>
      <c r="F74" t="s">
        <v>897</v>
      </c>
      <c r="I74" s="47" t="s">
        <v>898</v>
      </c>
      <c r="J74" s="47" t="str">
        <f>RIGHT(Tabela4[[#This Row],[Desde]],4)</f>
        <v>2026</v>
      </c>
      <c r="K74">
        <v>5</v>
      </c>
      <c r="O74" t="s">
        <v>346</v>
      </c>
      <c r="P74" t="s">
        <v>867</v>
      </c>
      <c r="Q74" t="s">
        <v>868</v>
      </c>
      <c r="R74" t="s">
        <v>869</v>
      </c>
    </row>
    <row r="75" spans="1:18" x14ac:dyDescent="0.25">
      <c r="A75" t="s">
        <v>863</v>
      </c>
      <c r="B75" t="s">
        <v>711</v>
      </c>
      <c r="C75" t="s">
        <v>836</v>
      </c>
      <c r="D75" t="s">
        <v>73</v>
      </c>
      <c r="E75" t="s">
        <v>14</v>
      </c>
      <c r="F75" t="s">
        <v>899</v>
      </c>
      <c r="I75" s="47" t="s">
        <v>880</v>
      </c>
      <c r="J75" s="47" t="str">
        <f>RIGHT(Tabela4[[#This Row],[Desde]],4)</f>
        <v>2026</v>
      </c>
      <c r="K75">
        <v>1</v>
      </c>
      <c r="O75" t="s">
        <v>346</v>
      </c>
      <c r="P75" t="s">
        <v>881</v>
      </c>
      <c r="Q75" t="s">
        <v>868</v>
      </c>
      <c r="R75" t="s">
        <v>869</v>
      </c>
    </row>
    <row r="76" spans="1:18" x14ac:dyDescent="0.25">
      <c r="A76" t="s">
        <v>863</v>
      </c>
      <c r="B76" t="s">
        <v>761</v>
      </c>
      <c r="C76" t="s">
        <v>836</v>
      </c>
      <c r="D76" t="s">
        <v>28</v>
      </c>
      <c r="E76" t="s">
        <v>108</v>
      </c>
      <c r="F76" t="s">
        <v>900</v>
      </c>
      <c r="I76" s="47" t="s">
        <v>831</v>
      </c>
      <c r="J76" s="47" t="str">
        <f>RIGHT(Tabela4[[#This Row],[Desde]],4)</f>
        <v>2026</v>
      </c>
      <c r="K76">
        <v>28</v>
      </c>
      <c r="O76" t="s">
        <v>346</v>
      </c>
      <c r="P76" t="s">
        <v>874</v>
      </c>
      <c r="Q76" t="s">
        <v>875</v>
      </c>
      <c r="R76" t="s">
        <v>869</v>
      </c>
    </row>
    <row r="77" spans="1:18" x14ac:dyDescent="0.25">
      <c r="A77" t="s">
        <v>863</v>
      </c>
      <c r="B77" t="s">
        <v>719</v>
      </c>
      <c r="C77" t="s">
        <v>836</v>
      </c>
      <c r="D77" t="s">
        <v>73</v>
      </c>
      <c r="E77" t="s">
        <v>89</v>
      </c>
      <c r="F77" t="s">
        <v>901</v>
      </c>
      <c r="I77" s="47" t="s">
        <v>873</v>
      </c>
      <c r="J77" s="47" t="str">
        <f>RIGHT(Tabela4[[#This Row],[Desde]],4)</f>
        <v>2026</v>
      </c>
      <c r="K77">
        <v>21</v>
      </c>
      <c r="O77" t="s">
        <v>346</v>
      </c>
      <c r="P77" t="s">
        <v>874</v>
      </c>
      <c r="Q77" t="s">
        <v>875</v>
      </c>
      <c r="R77" t="s">
        <v>869</v>
      </c>
    </row>
    <row r="78" spans="1:18" x14ac:dyDescent="0.25">
      <c r="A78" t="s">
        <v>902</v>
      </c>
      <c r="B78" t="s">
        <v>598</v>
      </c>
      <c r="C78" t="s">
        <v>824</v>
      </c>
      <c r="D78" t="s">
        <v>903</v>
      </c>
      <c r="E78" t="s">
        <v>108</v>
      </c>
      <c r="F78" t="s">
        <v>599</v>
      </c>
      <c r="I78" s="47" t="s">
        <v>585</v>
      </c>
      <c r="J78" s="47" t="str">
        <f>RIGHT(Tabela4[[#This Row],[Desde]],4)</f>
        <v>2026</v>
      </c>
      <c r="K78">
        <v>102</v>
      </c>
      <c r="M78" t="s">
        <v>904</v>
      </c>
      <c r="N78" t="s">
        <v>905</v>
      </c>
      <c r="O78" t="s">
        <v>346</v>
      </c>
      <c r="R78" t="s">
        <v>906</v>
      </c>
    </row>
    <row r="79" spans="1:18" x14ac:dyDescent="0.25">
      <c r="A79" t="s">
        <v>902</v>
      </c>
      <c r="B79" t="s">
        <v>762</v>
      </c>
      <c r="C79" t="s">
        <v>824</v>
      </c>
      <c r="D79" t="s">
        <v>86</v>
      </c>
      <c r="E79" t="s">
        <v>14</v>
      </c>
      <c r="F79" t="s">
        <v>907</v>
      </c>
      <c r="I79" s="47" t="s">
        <v>725</v>
      </c>
      <c r="J79" s="47" t="str">
        <f>RIGHT(Tabela4[[#This Row],[Desde]],4)</f>
        <v>2026</v>
      </c>
      <c r="K79">
        <v>49</v>
      </c>
      <c r="M79" t="s">
        <v>908</v>
      </c>
      <c r="N79" t="s">
        <v>867</v>
      </c>
      <c r="O79" t="s">
        <v>353</v>
      </c>
      <c r="R79" t="s">
        <v>909</v>
      </c>
    </row>
    <row r="80" spans="1:18" x14ac:dyDescent="0.25">
      <c r="A80" t="s">
        <v>902</v>
      </c>
      <c r="B80" t="s">
        <v>611</v>
      </c>
      <c r="C80" t="s">
        <v>824</v>
      </c>
      <c r="D80" t="s">
        <v>910</v>
      </c>
      <c r="E80" t="s">
        <v>89</v>
      </c>
      <c r="F80" t="s">
        <v>911</v>
      </c>
      <c r="I80" s="47" t="s">
        <v>912</v>
      </c>
      <c r="J80" s="47" t="str">
        <f>RIGHT(Tabela4[[#This Row],[Desde]],4)</f>
        <v>2026</v>
      </c>
      <c r="K80">
        <v>235</v>
      </c>
      <c r="M80" t="s">
        <v>908</v>
      </c>
      <c r="N80" t="s">
        <v>867</v>
      </c>
      <c r="O80" t="s">
        <v>353</v>
      </c>
      <c r="R80" t="s">
        <v>913</v>
      </c>
    </row>
    <row r="81" spans="1:18" x14ac:dyDescent="0.25">
      <c r="A81" t="s">
        <v>902</v>
      </c>
      <c r="B81" t="s">
        <v>507</v>
      </c>
      <c r="C81" t="s">
        <v>824</v>
      </c>
      <c r="D81" t="s">
        <v>914</v>
      </c>
      <c r="E81" t="s">
        <v>108</v>
      </c>
      <c r="F81" t="s">
        <v>915</v>
      </c>
      <c r="I81" s="47" t="s">
        <v>898</v>
      </c>
      <c r="J81" s="47" t="str">
        <f>RIGHT(Tabela4[[#This Row],[Desde]],4)</f>
        <v>2026</v>
      </c>
      <c r="K81">
        <v>390</v>
      </c>
      <c r="M81" t="s">
        <v>908</v>
      </c>
      <c r="N81" t="s">
        <v>867</v>
      </c>
      <c r="O81" t="s">
        <v>346</v>
      </c>
      <c r="R81" t="s">
        <v>913</v>
      </c>
    </row>
    <row r="82" spans="1:18" x14ac:dyDescent="0.25">
      <c r="A82" t="s">
        <v>902</v>
      </c>
      <c r="B82" t="s">
        <v>588</v>
      </c>
      <c r="C82" t="s">
        <v>824</v>
      </c>
      <c r="D82" t="s">
        <v>916</v>
      </c>
      <c r="E82" t="s">
        <v>14</v>
      </c>
      <c r="F82" t="s">
        <v>917</v>
      </c>
      <c r="I82" s="47" t="s">
        <v>898</v>
      </c>
      <c r="J82" s="47" t="str">
        <f>RIGHT(Tabela4[[#This Row],[Desde]],4)</f>
        <v>2026</v>
      </c>
      <c r="K82">
        <v>77</v>
      </c>
      <c r="M82" t="s">
        <v>908</v>
      </c>
      <c r="N82" t="s">
        <v>867</v>
      </c>
      <c r="O82" t="s">
        <v>346</v>
      </c>
      <c r="R82" t="s">
        <v>913</v>
      </c>
    </row>
    <row r="83" spans="1:18" x14ac:dyDescent="0.25">
      <c r="A83" t="s">
        <v>902</v>
      </c>
      <c r="B83" t="s">
        <v>620</v>
      </c>
      <c r="C83" t="s">
        <v>824</v>
      </c>
      <c r="D83" t="s">
        <v>99</v>
      </c>
      <c r="E83" t="s">
        <v>89</v>
      </c>
      <c r="F83" t="s">
        <v>621</v>
      </c>
      <c r="I83" s="47" t="s">
        <v>918</v>
      </c>
      <c r="J83" s="47" t="str">
        <f>RIGHT(Tabela4[[#This Row],[Desde]],4)</f>
        <v>2026</v>
      </c>
      <c r="K83">
        <v>133</v>
      </c>
      <c r="M83" t="s">
        <v>908</v>
      </c>
      <c r="N83" t="s">
        <v>919</v>
      </c>
      <c r="O83" t="s">
        <v>346</v>
      </c>
      <c r="R83" t="s">
        <v>920</v>
      </c>
    </row>
    <row r="84" spans="1:18" x14ac:dyDescent="0.25">
      <c r="A84" t="s">
        <v>902</v>
      </c>
      <c r="B84" t="s">
        <v>763</v>
      </c>
      <c r="C84" t="s">
        <v>824</v>
      </c>
      <c r="D84" t="s">
        <v>921</v>
      </c>
      <c r="E84" t="s">
        <v>830</v>
      </c>
      <c r="F84" t="s">
        <v>922</v>
      </c>
      <c r="I84" s="47" t="s">
        <v>923</v>
      </c>
      <c r="J84" s="47" t="str">
        <f>RIGHT(Tabela4[[#This Row],[Desde]],4)</f>
        <v>2026</v>
      </c>
      <c r="K84">
        <v>270</v>
      </c>
      <c r="M84" t="s">
        <v>904</v>
      </c>
      <c r="N84" t="s">
        <v>905</v>
      </c>
      <c r="O84" t="s">
        <v>346</v>
      </c>
      <c r="R84" t="s">
        <v>924</v>
      </c>
    </row>
    <row r="85" spans="1:18" x14ac:dyDescent="0.25">
      <c r="A85" t="s">
        <v>902</v>
      </c>
      <c r="B85" t="s">
        <v>565</v>
      </c>
      <c r="C85" t="s">
        <v>824</v>
      </c>
      <c r="D85" t="s">
        <v>925</v>
      </c>
      <c r="E85" t="s">
        <v>108</v>
      </c>
      <c r="F85" t="s">
        <v>926</v>
      </c>
      <c r="I85" s="47" t="s">
        <v>873</v>
      </c>
      <c r="J85" s="47" t="str">
        <f>RIGHT(Tabela4[[#This Row],[Desde]],4)</f>
        <v>2026</v>
      </c>
      <c r="K85">
        <v>334</v>
      </c>
      <c r="M85" t="s">
        <v>908</v>
      </c>
      <c r="N85" t="s">
        <v>919</v>
      </c>
      <c r="O85" t="s">
        <v>346</v>
      </c>
      <c r="R85" t="s">
        <v>927</v>
      </c>
    </row>
    <row r="86" spans="1:18" x14ac:dyDescent="0.25">
      <c r="A86" t="s">
        <v>902</v>
      </c>
      <c r="B86" t="s">
        <v>764</v>
      </c>
      <c r="C86" t="s">
        <v>824</v>
      </c>
      <c r="D86" t="s">
        <v>928</v>
      </c>
      <c r="E86" t="s">
        <v>830</v>
      </c>
      <c r="F86" t="s">
        <v>929</v>
      </c>
      <c r="I86" s="47" t="s">
        <v>889</v>
      </c>
      <c r="J86" s="47" t="str">
        <f>RIGHT(Tabela4[[#This Row],[Desde]],4)</f>
        <v>2026</v>
      </c>
      <c r="K86">
        <v>617</v>
      </c>
      <c r="M86" t="s">
        <v>904</v>
      </c>
      <c r="N86" t="s">
        <v>905</v>
      </c>
      <c r="O86" t="s">
        <v>346</v>
      </c>
      <c r="R86" t="s">
        <v>924</v>
      </c>
    </row>
    <row r="87" spans="1:18" x14ac:dyDescent="0.25">
      <c r="A87" t="s">
        <v>902</v>
      </c>
      <c r="B87" t="s">
        <v>765</v>
      </c>
      <c r="C87" t="s">
        <v>824</v>
      </c>
      <c r="D87" t="s">
        <v>67</v>
      </c>
      <c r="E87" t="s">
        <v>830</v>
      </c>
      <c r="F87" t="s">
        <v>930</v>
      </c>
      <c r="I87" s="47" t="s">
        <v>923</v>
      </c>
      <c r="J87" s="47" t="str">
        <f>RIGHT(Tabela4[[#This Row],[Desde]],4)</f>
        <v>2026</v>
      </c>
      <c r="K87">
        <v>293</v>
      </c>
      <c r="M87" t="s">
        <v>904</v>
      </c>
      <c r="N87" t="s">
        <v>905</v>
      </c>
      <c r="O87" t="s">
        <v>346</v>
      </c>
      <c r="R87" t="s">
        <v>924</v>
      </c>
    </row>
    <row r="88" spans="1:18" x14ac:dyDescent="0.25">
      <c r="A88" t="s">
        <v>902</v>
      </c>
      <c r="B88" t="s">
        <v>766</v>
      </c>
      <c r="C88" t="s">
        <v>824</v>
      </c>
      <c r="D88" t="s">
        <v>931</v>
      </c>
      <c r="E88" t="s">
        <v>14</v>
      </c>
      <c r="F88" t="s">
        <v>932</v>
      </c>
      <c r="I88" s="47" t="s">
        <v>933</v>
      </c>
      <c r="J88" s="47" t="str">
        <f>RIGHT(Tabela4[[#This Row],[Desde]],4)</f>
        <v>2026</v>
      </c>
      <c r="K88">
        <v>302</v>
      </c>
      <c r="M88" t="s">
        <v>908</v>
      </c>
      <c r="N88" t="s">
        <v>867</v>
      </c>
      <c r="O88" t="s">
        <v>346</v>
      </c>
      <c r="R88" t="s">
        <v>913</v>
      </c>
    </row>
    <row r="89" spans="1:18" x14ac:dyDescent="0.25">
      <c r="A89" t="s">
        <v>902</v>
      </c>
      <c r="B89" t="s">
        <v>520</v>
      </c>
      <c r="C89" t="s">
        <v>824</v>
      </c>
      <c r="D89" t="s">
        <v>934</v>
      </c>
      <c r="E89" t="s">
        <v>196</v>
      </c>
      <c r="F89" t="s">
        <v>526</v>
      </c>
      <c r="I89" s="47" t="s">
        <v>855</v>
      </c>
      <c r="J89" s="47" t="str">
        <f>RIGHT(Tabela4[[#This Row],[Desde]],4)</f>
        <v>2026</v>
      </c>
      <c r="K89">
        <v>242</v>
      </c>
      <c r="M89" t="s">
        <v>908</v>
      </c>
      <c r="N89" t="s">
        <v>905</v>
      </c>
      <c r="O89" t="s">
        <v>353</v>
      </c>
      <c r="R89" t="s">
        <v>913</v>
      </c>
    </row>
    <row r="90" spans="1:18" x14ac:dyDescent="0.25">
      <c r="A90" t="s">
        <v>902</v>
      </c>
      <c r="B90" t="s">
        <v>579</v>
      </c>
      <c r="C90" t="s">
        <v>824</v>
      </c>
      <c r="D90" t="s">
        <v>935</v>
      </c>
      <c r="E90" t="s">
        <v>196</v>
      </c>
      <c r="F90" t="s">
        <v>580</v>
      </c>
      <c r="I90" s="47" t="s">
        <v>833</v>
      </c>
      <c r="J90" s="47" t="str">
        <f>RIGHT(Tabela4[[#This Row],[Desde]],4)</f>
        <v>2026</v>
      </c>
      <c r="K90">
        <v>351</v>
      </c>
      <c r="M90" t="s">
        <v>908</v>
      </c>
      <c r="N90" t="s">
        <v>936</v>
      </c>
      <c r="O90" t="s">
        <v>346</v>
      </c>
      <c r="R90" t="s">
        <v>937</v>
      </c>
    </row>
    <row r="91" spans="1:18" x14ac:dyDescent="0.25">
      <c r="A91" t="s">
        <v>902</v>
      </c>
      <c r="B91" t="s">
        <v>552</v>
      </c>
      <c r="C91" t="s">
        <v>824</v>
      </c>
      <c r="D91" t="s">
        <v>55</v>
      </c>
      <c r="E91" t="s">
        <v>108</v>
      </c>
      <c r="F91" t="s">
        <v>938</v>
      </c>
      <c r="I91" s="47" t="s">
        <v>585</v>
      </c>
      <c r="J91" s="47" t="str">
        <f>RIGHT(Tabela4[[#This Row],[Desde]],4)</f>
        <v>2026</v>
      </c>
      <c r="K91">
        <v>332</v>
      </c>
      <c r="M91" t="s">
        <v>904</v>
      </c>
      <c r="N91" t="s">
        <v>905</v>
      </c>
      <c r="O91" t="s">
        <v>346</v>
      </c>
      <c r="R91" t="s">
        <v>906</v>
      </c>
    </row>
    <row r="92" spans="1:18" x14ac:dyDescent="0.25">
      <c r="A92" t="s">
        <v>902</v>
      </c>
      <c r="B92" t="s">
        <v>767</v>
      </c>
      <c r="C92" t="s">
        <v>824</v>
      </c>
      <c r="D92" t="s">
        <v>939</v>
      </c>
      <c r="E92" t="s">
        <v>108</v>
      </c>
      <c r="F92" t="s">
        <v>940</v>
      </c>
      <c r="I92" s="47" t="s">
        <v>941</v>
      </c>
      <c r="J92" s="47" t="str">
        <f>RIGHT(Tabela4[[#This Row],[Desde]],4)</f>
        <v>2026</v>
      </c>
      <c r="K92">
        <v>56</v>
      </c>
      <c r="M92" t="s">
        <v>904</v>
      </c>
      <c r="N92" t="s">
        <v>919</v>
      </c>
      <c r="O92" t="s">
        <v>346</v>
      </c>
      <c r="R92" t="s">
        <v>924</v>
      </c>
    </row>
    <row r="93" spans="1:18" x14ac:dyDescent="0.25">
      <c r="A93" t="s">
        <v>902</v>
      </c>
      <c r="B93" t="s">
        <v>768</v>
      </c>
      <c r="C93" t="s">
        <v>824</v>
      </c>
      <c r="D93" t="s">
        <v>942</v>
      </c>
      <c r="E93" t="s">
        <v>830</v>
      </c>
      <c r="F93" t="s">
        <v>943</v>
      </c>
      <c r="I93" s="47" t="s">
        <v>923</v>
      </c>
      <c r="J93" s="47" t="str">
        <f>RIGHT(Tabela4[[#This Row],[Desde]],4)</f>
        <v>2026</v>
      </c>
      <c r="K93">
        <v>756</v>
      </c>
      <c r="M93" t="s">
        <v>904</v>
      </c>
      <c r="N93" t="s">
        <v>905</v>
      </c>
      <c r="O93" t="s">
        <v>346</v>
      </c>
      <c r="R93" t="s">
        <v>924</v>
      </c>
    </row>
    <row r="94" spans="1:18" x14ac:dyDescent="0.25">
      <c r="A94" t="s">
        <v>902</v>
      </c>
      <c r="B94" t="s">
        <v>769</v>
      </c>
      <c r="C94" t="s">
        <v>824</v>
      </c>
      <c r="D94" t="s">
        <v>944</v>
      </c>
      <c r="E94" t="s">
        <v>830</v>
      </c>
      <c r="F94" t="s">
        <v>945</v>
      </c>
      <c r="I94" s="47" t="s">
        <v>946</v>
      </c>
      <c r="J94" s="47" t="str">
        <f>RIGHT(Tabela4[[#This Row],[Desde]],4)</f>
        <v>2026</v>
      </c>
      <c r="K94">
        <v>585</v>
      </c>
      <c r="M94" t="s">
        <v>904</v>
      </c>
      <c r="N94" t="s">
        <v>905</v>
      </c>
      <c r="O94" t="s">
        <v>346</v>
      </c>
      <c r="R94" t="s">
        <v>924</v>
      </c>
    </row>
    <row r="95" spans="1:18" x14ac:dyDescent="0.25">
      <c r="A95" t="s">
        <v>902</v>
      </c>
      <c r="B95" t="s">
        <v>770</v>
      </c>
      <c r="C95" t="s">
        <v>824</v>
      </c>
      <c r="D95" t="s">
        <v>947</v>
      </c>
      <c r="E95" t="s">
        <v>830</v>
      </c>
      <c r="F95" t="s">
        <v>948</v>
      </c>
      <c r="I95" s="47" t="s">
        <v>923</v>
      </c>
      <c r="J95" s="47" t="str">
        <f>RIGHT(Tabela4[[#This Row],[Desde]],4)</f>
        <v>2026</v>
      </c>
      <c r="K95">
        <v>455</v>
      </c>
      <c r="M95" t="s">
        <v>904</v>
      </c>
      <c r="N95" t="s">
        <v>905</v>
      </c>
      <c r="O95" t="s">
        <v>346</v>
      </c>
      <c r="R95" t="s">
        <v>924</v>
      </c>
    </row>
    <row r="96" spans="1:18" x14ac:dyDescent="0.25">
      <c r="A96" t="s">
        <v>902</v>
      </c>
      <c r="B96" t="s">
        <v>771</v>
      </c>
      <c r="C96" t="s">
        <v>824</v>
      </c>
      <c r="D96" t="s">
        <v>176</v>
      </c>
      <c r="E96" t="s">
        <v>830</v>
      </c>
      <c r="F96" t="s">
        <v>949</v>
      </c>
      <c r="I96" s="47" t="s">
        <v>923</v>
      </c>
      <c r="J96" s="47" t="str">
        <f>RIGHT(Tabela4[[#This Row],[Desde]],4)</f>
        <v>2026</v>
      </c>
      <c r="K96">
        <v>315</v>
      </c>
      <c r="M96" t="s">
        <v>904</v>
      </c>
      <c r="N96" t="s">
        <v>905</v>
      </c>
      <c r="O96" t="s">
        <v>346</v>
      </c>
      <c r="R96" t="s">
        <v>924</v>
      </c>
    </row>
    <row r="97" spans="1:18" x14ac:dyDescent="0.25">
      <c r="A97" t="s">
        <v>902</v>
      </c>
      <c r="B97" t="s">
        <v>772</v>
      </c>
      <c r="C97" t="s">
        <v>824</v>
      </c>
      <c r="D97" t="s">
        <v>144</v>
      </c>
      <c r="E97" t="s">
        <v>830</v>
      </c>
      <c r="F97" t="s">
        <v>950</v>
      </c>
      <c r="I97" s="47" t="s">
        <v>946</v>
      </c>
      <c r="J97" s="47" t="str">
        <f>RIGHT(Tabela4[[#This Row],[Desde]],4)</f>
        <v>2026</v>
      </c>
      <c r="K97">
        <v>399</v>
      </c>
      <c r="M97" t="s">
        <v>904</v>
      </c>
      <c r="N97" t="s">
        <v>905</v>
      </c>
      <c r="O97" t="s">
        <v>346</v>
      </c>
      <c r="R97" t="s">
        <v>924</v>
      </c>
    </row>
    <row r="98" spans="1:18" x14ac:dyDescent="0.25">
      <c r="A98" t="s">
        <v>902</v>
      </c>
      <c r="B98" t="s">
        <v>773</v>
      </c>
      <c r="C98" t="s">
        <v>824</v>
      </c>
      <c r="D98" t="s">
        <v>864</v>
      </c>
      <c r="E98" t="s">
        <v>830</v>
      </c>
      <c r="F98" t="s">
        <v>951</v>
      </c>
      <c r="I98" s="47" t="s">
        <v>923</v>
      </c>
      <c r="J98" s="47" t="str">
        <f>RIGHT(Tabela4[[#This Row],[Desde]],4)</f>
        <v>2026</v>
      </c>
      <c r="K98">
        <v>462</v>
      </c>
      <c r="M98" t="s">
        <v>904</v>
      </c>
      <c r="N98" t="s">
        <v>905</v>
      </c>
      <c r="O98" t="s">
        <v>346</v>
      </c>
      <c r="R98" t="s">
        <v>924</v>
      </c>
    </row>
    <row r="99" spans="1:18" x14ac:dyDescent="0.25">
      <c r="A99" t="s">
        <v>902</v>
      </c>
      <c r="B99" t="s">
        <v>774</v>
      </c>
      <c r="C99" t="s">
        <v>824</v>
      </c>
      <c r="D99" t="s">
        <v>55</v>
      </c>
      <c r="E99" t="s">
        <v>830</v>
      </c>
      <c r="F99" t="s">
        <v>952</v>
      </c>
      <c r="I99" s="47" t="s">
        <v>923</v>
      </c>
      <c r="J99" s="47" t="str">
        <f>RIGHT(Tabela4[[#This Row],[Desde]],4)</f>
        <v>2026</v>
      </c>
      <c r="K99">
        <v>348</v>
      </c>
      <c r="M99" t="s">
        <v>904</v>
      </c>
      <c r="N99" t="s">
        <v>905</v>
      </c>
      <c r="O99" t="s">
        <v>346</v>
      </c>
      <c r="R99" t="s">
        <v>924</v>
      </c>
    </row>
    <row r="100" spans="1:18" x14ac:dyDescent="0.25">
      <c r="A100" t="s">
        <v>902</v>
      </c>
      <c r="B100" t="s">
        <v>775</v>
      </c>
      <c r="C100" t="s">
        <v>824</v>
      </c>
      <c r="D100" t="s">
        <v>67</v>
      </c>
      <c r="E100" t="s">
        <v>830</v>
      </c>
      <c r="F100" t="s">
        <v>953</v>
      </c>
      <c r="I100" s="47" t="s">
        <v>954</v>
      </c>
      <c r="J100" s="47" t="str">
        <f>RIGHT(Tabela4[[#This Row],[Desde]],4)</f>
        <v>2026</v>
      </c>
      <c r="K100">
        <v>207</v>
      </c>
      <c r="M100" t="s">
        <v>908</v>
      </c>
      <c r="N100" t="s">
        <v>874</v>
      </c>
      <c r="O100" t="s">
        <v>353</v>
      </c>
      <c r="R100" t="s">
        <v>913</v>
      </c>
    </row>
    <row r="101" spans="1:18" x14ac:dyDescent="0.25">
      <c r="A101" t="s">
        <v>902</v>
      </c>
      <c r="B101" t="s">
        <v>776</v>
      </c>
      <c r="C101" t="s">
        <v>824</v>
      </c>
      <c r="D101" t="s">
        <v>87</v>
      </c>
      <c r="E101" t="s">
        <v>830</v>
      </c>
      <c r="F101" t="s">
        <v>955</v>
      </c>
      <c r="I101" s="47" t="s">
        <v>923</v>
      </c>
      <c r="J101" s="47" t="str">
        <f>RIGHT(Tabela4[[#This Row],[Desde]],4)</f>
        <v>2026</v>
      </c>
      <c r="K101">
        <v>238</v>
      </c>
      <c r="M101" t="s">
        <v>904</v>
      </c>
      <c r="N101" t="s">
        <v>905</v>
      </c>
      <c r="O101" t="s">
        <v>346</v>
      </c>
      <c r="R101" t="s">
        <v>924</v>
      </c>
    </row>
    <row r="102" spans="1:18" x14ac:dyDescent="0.25">
      <c r="A102" t="s">
        <v>902</v>
      </c>
      <c r="B102" t="s">
        <v>777</v>
      </c>
      <c r="C102" t="s">
        <v>824</v>
      </c>
      <c r="D102" t="s">
        <v>883</v>
      </c>
      <c r="E102" t="s">
        <v>830</v>
      </c>
      <c r="F102" t="s">
        <v>956</v>
      </c>
      <c r="I102" s="47" t="s">
        <v>923</v>
      </c>
      <c r="J102" s="47" t="str">
        <f>RIGHT(Tabela4[[#This Row],[Desde]],4)</f>
        <v>2026</v>
      </c>
      <c r="K102">
        <v>362</v>
      </c>
      <c r="M102" t="s">
        <v>904</v>
      </c>
      <c r="N102" t="s">
        <v>905</v>
      </c>
      <c r="O102" t="s">
        <v>346</v>
      </c>
      <c r="R102" t="s">
        <v>924</v>
      </c>
    </row>
    <row r="103" spans="1:18" x14ac:dyDescent="0.25">
      <c r="A103" t="s">
        <v>902</v>
      </c>
      <c r="B103" t="s">
        <v>778</v>
      </c>
      <c r="C103" t="s">
        <v>824</v>
      </c>
      <c r="D103" t="s">
        <v>67</v>
      </c>
      <c r="E103" t="s">
        <v>830</v>
      </c>
      <c r="F103" t="s">
        <v>957</v>
      </c>
      <c r="I103" s="47" t="s">
        <v>658</v>
      </c>
      <c r="J103" s="47" t="str">
        <f>RIGHT(Tabela4[[#This Row],[Desde]],4)</f>
        <v>2026</v>
      </c>
      <c r="K103">
        <v>112</v>
      </c>
      <c r="M103" t="s">
        <v>904</v>
      </c>
      <c r="N103" t="s">
        <v>867</v>
      </c>
      <c r="O103" t="s">
        <v>346</v>
      </c>
      <c r="R103" t="s">
        <v>924</v>
      </c>
    </row>
    <row r="104" spans="1:18" x14ac:dyDescent="0.25">
      <c r="A104" t="s">
        <v>902</v>
      </c>
      <c r="B104" t="s">
        <v>779</v>
      </c>
      <c r="C104" t="s">
        <v>836</v>
      </c>
      <c r="D104" t="s">
        <v>958</v>
      </c>
      <c r="E104" t="s">
        <v>830</v>
      </c>
      <c r="F104" t="s">
        <v>959</v>
      </c>
      <c r="I104" s="47" t="s">
        <v>923</v>
      </c>
      <c r="J104" s="47" t="str">
        <f>RIGHT(Tabela4[[#This Row],[Desde]],4)</f>
        <v>2026</v>
      </c>
      <c r="K104">
        <v>498</v>
      </c>
      <c r="M104" t="s">
        <v>904</v>
      </c>
      <c r="N104" t="s">
        <v>905</v>
      </c>
      <c r="O104" t="s">
        <v>346</v>
      </c>
      <c r="R104" t="s">
        <v>924</v>
      </c>
    </row>
    <row r="105" spans="1:18" x14ac:dyDescent="0.25">
      <c r="A105" t="s">
        <v>902</v>
      </c>
      <c r="B105" t="s">
        <v>412</v>
      </c>
      <c r="C105" t="s">
        <v>836</v>
      </c>
      <c r="D105" t="s">
        <v>20</v>
      </c>
      <c r="E105" t="s">
        <v>89</v>
      </c>
      <c r="F105" t="s">
        <v>960</v>
      </c>
      <c r="I105" s="47" t="s">
        <v>961</v>
      </c>
      <c r="J105" s="47" t="str">
        <f>RIGHT(Tabela4[[#This Row],[Desde]],4)</f>
        <v>2026</v>
      </c>
      <c r="K105">
        <v>305</v>
      </c>
      <c r="M105" t="s">
        <v>908</v>
      </c>
      <c r="N105" t="s">
        <v>867</v>
      </c>
      <c r="O105" t="s">
        <v>346</v>
      </c>
      <c r="R105" t="s">
        <v>913</v>
      </c>
    </row>
    <row r="106" spans="1:18" x14ac:dyDescent="0.25">
      <c r="A106" t="s">
        <v>902</v>
      </c>
      <c r="B106" t="s">
        <v>780</v>
      </c>
      <c r="C106" t="s">
        <v>836</v>
      </c>
      <c r="D106" t="s">
        <v>925</v>
      </c>
      <c r="E106" t="s">
        <v>830</v>
      </c>
      <c r="F106" t="s">
        <v>962</v>
      </c>
      <c r="I106" s="47" t="s">
        <v>963</v>
      </c>
      <c r="J106" s="47" t="str">
        <f>RIGHT(Tabela4[[#This Row],[Desde]],4)</f>
        <v>2026</v>
      </c>
      <c r="K106">
        <v>1096</v>
      </c>
      <c r="M106" t="s">
        <v>904</v>
      </c>
      <c r="N106" t="s">
        <v>919</v>
      </c>
      <c r="O106" t="s">
        <v>346</v>
      </c>
      <c r="R106" t="s">
        <v>924</v>
      </c>
    </row>
    <row r="107" spans="1:18" x14ac:dyDescent="0.25">
      <c r="A107" t="s">
        <v>902</v>
      </c>
      <c r="B107" t="s">
        <v>781</v>
      </c>
      <c r="C107" t="s">
        <v>836</v>
      </c>
      <c r="D107" t="s">
        <v>964</v>
      </c>
      <c r="E107" t="s">
        <v>830</v>
      </c>
      <c r="F107" t="s">
        <v>965</v>
      </c>
      <c r="I107" s="47" t="s">
        <v>923</v>
      </c>
      <c r="J107" s="47" t="str">
        <f>RIGHT(Tabela4[[#This Row],[Desde]],4)</f>
        <v>2026</v>
      </c>
      <c r="K107">
        <v>372</v>
      </c>
      <c r="M107" t="s">
        <v>904</v>
      </c>
      <c r="N107" t="s">
        <v>905</v>
      </c>
      <c r="O107" t="s">
        <v>346</v>
      </c>
      <c r="R107" t="s">
        <v>966</v>
      </c>
    </row>
    <row r="108" spans="1:18" x14ac:dyDescent="0.25">
      <c r="A108" t="s">
        <v>902</v>
      </c>
      <c r="B108" t="s">
        <v>782</v>
      </c>
      <c r="C108" t="s">
        <v>836</v>
      </c>
      <c r="D108" t="s">
        <v>74</v>
      </c>
      <c r="E108" t="s">
        <v>196</v>
      </c>
      <c r="F108" t="s">
        <v>967</v>
      </c>
      <c r="I108" s="47" t="s">
        <v>918</v>
      </c>
      <c r="J108" s="47" t="str">
        <f>RIGHT(Tabela4[[#This Row],[Desde]],4)</f>
        <v>2026</v>
      </c>
      <c r="K108">
        <v>138</v>
      </c>
      <c r="M108" t="s">
        <v>904</v>
      </c>
      <c r="N108" t="s">
        <v>874</v>
      </c>
      <c r="O108" t="s">
        <v>346</v>
      </c>
      <c r="R108" t="s">
        <v>906</v>
      </c>
    </row>
    <row r="109" spans="1:18" x14ac:dyDescent="0.25">
      <c r="A109" t="s">
        <v>902</v>
      </c>
      <c r="B109" t="s">
        <v>783</v>
      </c>
      <c r="C109" t="s">
        <v>836</v>
      </c>
      <c r="D109" t="s">
        <v>968</v>
      </c>
      <c r="E109" t="s">
        <v>196</v>
      </c>
      <c r="F109" t="s">
        <v>969</v>
      </c>
      <c r="I109" s="47" t="s">
        <v>585</v>
      </c>
      <c r="J109" s="47" t="str">
        <f>RIGHT(Tabela4[[#This Row],[Desde]],4)</f>
        <v>2026</v>
      </c>
      <c r="K109">
        <v>413</v>
      </c>
      <c r="M109" t="s">
        <v>904</v>
      </c>
      <c r="N109" t="s">
        <v>905</v>
      </c>
      <c r="O109" t="s">
        <v>346</v>
      </c>
      <c r="R109" t="s">
        <v>906</v>
      </c>
    </row>
    <row r="110" spans="1:18" x14ac:dyDescent="0.25">
      <c r="A110" t="s">
        <v>902</v>
      </c>
      <c r="B110" t="s">
        <v>784</v>
      </c>
      <c r="C110" t="s">
        <v>836</v>
      </c>
      <c r="D110" t="s">
        <v>970</v>
      </c>
      <c r="E110" t="s">
        <v>830</v>
      </c>
      <c r="F110" t="s">
        <v>971</v>
      </c>
      <c r="I110" s="47" t="s">
        <v>963</v>
      </c>
      <c r="J110" s="47" t="str">
        <f>RIGHT(Tabela4[[#This Row],[Desde]],4)</f>
        <v>2026</v>
      </c>
      <c r="K110">
        <v>315</v>
      </c>
      <c r="M110" t="s">
        <v>904</v>
      </c>
      <c r="N110" t="s">
        <v>919</v>
      </c>
      <c r="O110" t="s">
        <v>346</v>
      </c>
      <c r="R110" t="s">
        <v>906</v>
      </c>
    </row>
    <row r="111" spans="1:18" x14ac:dyDescent="0.25">
      <c r="A111" t="s">
        <v>902</v>
      </c>
      <c r="B111" t="s">
        <v>785</v>
      </c>
      <c r="C111" t="s">
        <v>836</v>
      </c>
      <c r="D111" t="s">
        <v>972</v>
      </c>
      <c r="E111" t="s">
        <v>14</v>
      </c>
      <c r="F111" t="s">
        <v>973</v>
      </c>
      <c r="I111" s="47" t="s">
        <v>974</v>
      </c>
      <c r="J111" s="47" t="str">
        <f>RIGHT(Tabela4[[#This Row],[Desde]],4)</f>
        <v>2026</v>
      </c>
      <c r="K111">
        <v>253</v>
      </c>
      <c r="M111" t="s">
        <v>904</v>
      </c>
      <c r="N111" t="s">
        <v>936</v>
      </c>
      <c r="O111" t="s">
        <v>346</v>
      </c>
      <c r="R111" t="s">
        <v>906</v>
      </c>
    </row>
    <row r="112" spans="1:18" x14ac:dyDescent="0.25">
      <c r="A112" t="s">
        <v>902</v>
      </c>
      <c r="B112" t="s">
        <v>786</v>
      </c>
      <c r="C112" t="s">
        <v>836</v>
      </c>
      <c r="D112" t="s">
        <v>896</v>
      </c>
      <c r="E112" t="s">
        <v>830</v>
      </c>
      <c r="F112" t="s">
        <v>975</v>
      </c>
      <c r="I112" s="47" t="s">
        <v>976</v>
      </c>
      <c r="J112" s="47" t="str">
        <f>RIGHT(Tabela4[[#This Row],[Desde]],4)</f>
        <v>2026</v>
      </c>
      <c r="K112">
        <v>11</v>
      </c>
      <c r="M112" t="s">
        <v>908</v>
      </c>
      <c r="N112" t="s">
        <v>936</v>
      </c>
      <c r="O112" t="s">
        <v>346</v>
      </c>
      <c r="R112" t="s">
        <v>913</v>
      </c>
    </row>
    <row r="113" spans="1:18" x14ac:dyDescent="0.25">
      <c r="A113" t="s">
        <v>902</v>
      </c>
      <c r="B113" t="s">
        <v>787</v>
      </c>
      <c r="C113" t="s">
        <v>836</v>
      </c>
      <c r="D113" t="s">
        <v>931</v>
      </c>
      <c r="E113" t="s">
        <v>830</v>
      </c>
      <c r="F113" t="s">
        <v>977</v>
      </c>
      <c r="I113" s="47" t="s">
        <v>923</v>
      </c>
      <c r="J113" s="47" t="str">
        <f>RIGHT(Tabela4[[#This Row],[Desde]],4)</f>
        <v>2026</v>
      </c>
      <c r="K113">
        <v>372</v>
      </c>
      <c r="M113" t="s">
        <v>904</v>
      </c>
      <c r="N113" t="s">
        <v>905</v>
      </c>
      <c r="O113" t="s">
        <v>346</v>
      </c>
      <c r="R113" t="s">
        <v>924</v>
      </c>
    </row>
    <row r="114" spans="1:18" x14ac:dyDescent="0.25">
      <c r="A114" t="s">
        <v>902</v>
      </c>
      <c r="B114" t="s">
        <v>788</v>
      </c>
      <c r="C114" t="s">
        <v>836</v>
      </c>
      <c r="D114" t="s">
        <v>99</v>
      </c>
      <c r="E114" t="s">
        <v>830</v>
      </c>
      <c r="F114" t="s">
        <v>978</v>
      </c>
      <c r="I114" s="47" t="s">
        <v>979</v>
      </c>
      <c r="J114" s="47" t="str">
        <f>RIGHT(Tabela4[[#This Row],[Desde]],4)</f>
        <v>2026</v>
      </c>
      <c r="K114">
        <v>483</v>
      </c>
      <c r="M114" t="s">
        <v>904</v>
      </c>
      <c r="N114" t="s">
        <v>905</v>
      </c>
      <c r="O114" t="s">
        <v>346</v>
      </c>
      <c r="R114" t="s">
        <v>924</v>
      </c>
    </row>
    <row r="115" spans="1:18" x14ac:dyDescent="0.25">
      <c r="A115" t="s">
        <v>902</v>
      </c>
      <c r="B115" t="s">
        <v>789</v>
      </c>
      <c r="C115" t="s">
        <v>836</v>
      </c>
      <c r="D115" t="s">
        <v>42</v>
      </c>
      <c r="E115" t="s">
        <v>196</v>
      </c>
      <c r="F115" t="s">
        <v>980</v>
      </c>
      <c r="I115" s="47" t="s">
        <v>946</v>
      </c>
      <c r="J115" s="47" t="str">
        <f>RIGHT(Tabela4[[#This Row],[Desde]],4)</f>
        <v>2026</v>
      </c>
      <c r="K115">
        <v>439</v>
      </c>
      <c r="M115" t="s">
        <v>904</v>
      </c>
      <c r="N115" t="s">
        <v>905</v>
      </c>
      <c r="O115" t="s">
        <v>346</v>
      </c>
      <c r="R115" t="s">
        <v>924</v>
      </c>
    </row>
    <row r="116" spans="1:18" x14ac:dyDescent="0.25">
      <c r="A116" t="s">
        <v>902</v>
      </c>
      <c r="B116" t="s">
        <v>666</v>
      </c>
      <c r="C116" t="s">
        <v>836</v>
      </c>
      <c r="D116" t="s">
        <v>914</v>
      </c>
      <c r="E116" t="s">
        <v>196</v>
      </c>
      <c r="F116" t="s">
        <v>981</v>
      </c>
      <c r="I116" s="47" t="s">
        <v>848</v>
      </c>
      <c r="J116" s="47" t="str">
        <f>RIGHT(Tabela4[[#This Row],[Desde]],4)</f>
        <v>2026</v>
      </c>
      <c r="K116">
        <v>166</v>
      </c>
      <c r="M116" t="s">
        <v>908</v>
      </c>
      <c r="N116" t="s">
        <v>867</v>
      </c>
      <c r="O116" t="s">
        <v>353</v>
      </c>
      <c r="R116" t="s">
        <v>982</v>
      </c>
    </row>
    <row r="117" spans="1:18" x14ac:dyDescent="0.25">
      <c r="A117" t="s">
        <v>902</v>
      </c>
      <c r="B117" t="s">
        <v>790</v>
      </c>
      <c r="C117" t="s">
        <v>836</v>
      </c>
      <c r="D117" t="s">
        <v>983</v>
      </c>
      <c r="E117" t="s">
        <v>830</v>
      </c>
      <c r="F117" t="s">
        <v>984</v>
      </c>
      <c r="I117" s="47" t="s">
        <v>626</v>
      </c>
      <c r="J117" s="47" t="str">
        <f>RIGHT(Tabela4[[#This Row],[Desde]],4)</f>
        <v>2026</v>
      </c>
      <c r="K117">
        <v>741</v>
      </c>
      <c r="M117" t="s">
        <v>904</v>
      </c>
      <c r="N117" t="s">
        <v>890</v>
      </c>
      <c r="O117" t="s">
        <v>346</v>
      </c>
      <c r="R117" t="s">
        <v>924</v>
      </c>
    </row>
    <row r="118" spans="1:18" x14ac:dyDescent="0.25">
      <c r="A118" t="s">
        <v>902</v>
      </c>
      <c r="B118" t="s">
        <v>791</v>
      </c>
      <c r="C118" t="s">
        <v>836</v>
      </c>
      <c r="D118" t="s">
        <v>985</v>
      </c>
      <c r="E118" t="s">
        <v>14</v>
      </c>
      <c r="F118" t="s">
        <v>986</v>
      </c>
      <c r="I118" s="47" t="s">
        <v>987</v>
      </c>
      <c r="J118" s="47" t="str">
        <f>RIGHT(Tabela4[[#This Row],[Desde]],4)</f>
        <v>2026</v>
      </c>
      <c r="K118">
        <v>49</v>
      </c>
      <c r="M118" t="s">
        <v>908</v>
      </c>
      <c r="N118" t="s">
        <v>867</v>
      </c>
      <c r="O118" t="s">
        <v>353</v>
      </c>
      <c r="R118" t="s">
        <v>988</v>
      </c>
    </row>
    <row r="119" spans="1:18" x14ac:dyDescent="0.25">
      <c r="A119" t="s">
        <v>902</v>
      </c>
      <c r="B119" t="s">
        <v>437</v>
      </c>
      <c r="C119" t="s">
        <v>836</v>
      </c>
      <c r="D119" t="s">
        <v>193</v>
      </c>
      <c r="E119" t="s">
        <v>108</v>
      </c>
      <c r="F119" t="s">
        <v>989</v>
      </c>
      <c r="I119" s="47" t="s">
        <v>880</v>
      </c>
      <c r="J119" s="47" t="str">
        <f>RIGHT(Tabela4[[#This Row],[Desde]],4)</f>
        <v>2026</v>
      </c>
      <c r="K119">
        <v>444</v>
      </c>
      <c r="M119" t="s">
        <v>908</v>
      </c>
      <c r="N119" t="s">
        <v>874</v>
      </c>
      <c r="O119" t="s">
        <v>353</v>
      </c>
      <c r="R119" t="s">
        <v>913</v>
      </c>
    </row>
    <row r="120" spans="1:18" x14ac:dyDescent="0.25">
      <c r="A120" t="s">
        <v>902</v>
      </c>
      <c r="B120" t="s">
        <v>792</v>
      </c>
      <c r="C120" t="s">
        <v>836</v>
      </c>
      <c r="D120" t="s">
        <v>106</v>
      </c>
      <c r="E120" t="s">
        <v>830</v>
      </c>
      <c r="F120" t="s">
        <v>990</v>
      </c>
      <c r="I120" s="47" t="s">
        <v>923</v>
      </c>
      <c r="J120" s="47" t="str">
        <f>RIGHT(Tabela4[[#This Row],[Desde]],4)</f>
        <v>2026</v>
      </c>
      <c r="K120">
        <v>608</v>
      </c>
      <c r="M120" t="s">
        <v>904</v>
      </c>
      <c r="N120" t="s">
        <v>905</v>
      </c>
      <c r="O120" t="s">
        <v>346</v>
      </c>
      <c r="R120" t="s">
        <v>906</v>
      </c>
    </row>
    <row r="121" spans="1:18" x14ac:dyDescent="0.25">
      <c r="A121" t="s">
        <v>902</v>
      </c>
      <c r="B121" t="s">
        <v>793</v>
      </c>
      <c r="C121" t="s">
        <v>836</v>
      </c>
      <c r="D121" t="s">
        <v>287</v>
      </c>
      <c r="E121" t="s">
        <v>830</v>
      </c>
      <c r="F121" t="s">
        <v>991</v>
      </c>
      <c r="I121" s="47" t="s">
        <v>923</v>
      </c>
      <c r="J121" s="47" t="str">
        <f>RIGHT(Tabela4[[#This Row],[Desde]],4)</f>
        <v>2026</v>
      </c>
      <c r="K121">
        <v>340</v>
      </c>
      <c r="M121" t="s">
        <v>904</v>
      </c>
      <c r="N121" t="s">
        <v>905</v>
      </c>
      <c r="O121" t="s">
        <v>346</v>
      </c>
      <c r="R121" t="s">
        <v>924</v>
      </c>
    </row>
    <row r="122" spans="1:18" x14ac:dyDescent="0.25">
      <c r="A122" t="s">
        <v>902</v>
      </c>
      <c r="B122" t="s">
        <v>794</v>
      </c>
      <c r="C122" t="s">
        <v>836</v>
      </c>
      <c r="D122" t="s">
        <v>992</v>
      </c>
      <c r="E122" t="s">
        <v>830</v>
      </c>
      <c r="F122" t="s">
        <v>993</v>
      </c>
      <c r="I122" s="47" t="s">
        <v>994</v>
      </c>
      <c r="J122" s="47" t="str">
        <f>RIGHT(Tabela4[[#This Row],[Desde]],4)</f>
        <v>2026</v>
      </c>
      <c r="K122">
        <v>49</v>
      </c>
      <c r="M122" t="s">
        <v>908</v>
      </c>
      <c r="N122" t="s">
        <v>936</v>
      </c>
      <c r="O122" t="s">
        <v>346</v>
      </c>
      <c r="R122" t="s">
        <v>913</v>
      </c>
    </row>
    <row r="123" spans="1:18" x14ac:dyDescent="0.25">
      <c r="A123" t="s">
        <v>902</v>
      </c>
      <c r="B123" t="s">
        <v>292</v>
      </c>
      <c r="C123" t="s">
        <v>836</v>
      </c>
      <c r="D123" t="s">
        <v>295</v>
      </c>
      <c r="E123" t="s">
        <v>830</v>
      </c>
      <c r="F123" t="s">
        <v>995</v>
      </c>
      <c r="I123" s="47" t="s">
        <v>848</v>
      </c>
      <c r="J123" s="47" t="str">
        <f>RIGHT(Tabela4[[#This Row],[Desde]],4)</f>
        <v>2026</v>
      </c>
      <c r="K123">
        <v>380</v>
      </c>
      <c r="M123" t="s">
        <v>904</v>
      </c>
      <c r="N123" t="s">
        <v>996</v>
      </c>
      <c r="O123" t="s">
        <v>346</v>
      </c>
      <c r="R123" t="s">
        <v>906</v>
      </c>
    </row>
    <row r="124" spans="1:18" x14ac:dyDescent="0.25">
      <c r="A124" t="s">
        <v>902</v>
      </c>
      <c r="B124" t="s">
        <v>462</v>
      </c>
      <c r="C124" t="s">
        <v>836</v>
      </c>
      <c r="D124" t="s">
        <v>939</v>
      </c>
      <c r="E124" t="s">
        <v>14</v>
      </c>
      <c r="F124" t="s">
        <v>997</v>
      </c>
      <c r="I124" s="47" t="s">
        <v>998</v>
      </c>
      <c r="J124" s="47" t="str">
        <f>RIGHT(Tabela4[[#This Row],[Desde]],4)</f>
        <v>2026</v>
      </c>
      <c r="K124">
        <v>337</v>
      </c>
      <c r="M124" t="s">
        <v>908</v>
      </c>
      <c r="N124" t="s">
        <v>874</v>
      </c>
      <c r="O124" t="s">
        <v>346</v>
      </c>
      <c r="R124" t="s">
        <v>913</v>
      </c>
    </row>
    <row r="125" spans="1:18" x14ac:dyDescent="0.25">
      <c r="A125" t="s">
        <v>902</v>
      </c>
      <c r="B125" t="s">
        <v>369</v>
      </c>
      <c r="C125" t="s">
        <v>836</v>
      </c>
      <c r="D125" t="s">
        <v>27</v>
      </c>
      <c r="E125" t="s">
        <v>14</v>
      </c>
      <c r="F125" t="s">
        <v>999</v>
      </c>
      <c r="I125" s="47" t="s">
        <v>1000</v>
      </c>
      <c r="J125" s="47" t="str">
        <f>RIGHT(Tabela4[[#This Row],[Desde]],4)</f>
        <v>2026</v>
      </c>
      <c r="K125">
        <v>298</v>
      </c>
      <c r="M125" t="s">
        <v>908</v>
      </c>
      <c r="N125" t="s">
        <v>867</v>
      </c>
      <c r="O125" t="s">
        <v>346</v>
      </c>
      <c r="R125" t="s">
        <v>913</v>
      </c>
    </row>
    <row r="126" spans="1:18" x14ac:dyDescent="0.25">
      <c r="A126" t="s">
        <v>902</v>
      </c>
      <c r="B126" t="s">
        <v>374</v>
      </c>
      <c r="C126" t="s">
        <v>836</v>
      </c>
      <c r="D126" t="s">
        <v>28</v>
      </c>
      <c r="E126" t="s">
        <v>14</v>
      </c>
      <c r="F126" t="s">
        <v>1001</v>
      </c>
      <c r="I126" s="47" t="s">
        <v>841</v>
      </c>
      <c r="J126" s="47" t="str">
        <f>RIGHT(Tabela4[[#This Row],[Desde]],4)</f>
        <v>2026</v>
      </c>
      <c r="K126">
        <v>298</v>
      </c>
      <c r="M126" t="s">
        <v>908</v>
      </c>
      <c r="N126" t="s">
        <v>867</v>
      </c>
      <c r="O126" t="s">
        <v>346</v>
      </c>
      <c r="R126" t="s">
        <v>913</v>
      </c>
    </row>
    <row r="127" spans="1:18" x14ac:dyDescent="0.25">
      <c r="A127" t="s">
        <v>902</v>
      </c>
      <c r="B127" t="s">
        <v>470</v>
      </c>
      <c r="C127" t="s">
        <v>836</v>
      </c>
      <c r="D127" t="s">
        <v>124</v>
      </c>
      <c r="E127" t="s">
        <v>89</v>
      </c>
      <c r="F127" t="s">
        <v>471</v>
      </c>
      <c r="I127" s="47" t="s">
        <v>1002</v>
      </c>
      <c r="J127" s="47" t="str">
        <f>RIGHT(Tabela4[[#This Row],[Desde]],4)</f>
        <v>2026</v>
      </c>
      <c r="K127">
        <v>389</v>
      </c>
      <c r="M127" t="s">
        <v>908</v>
      </c>
      <c r="N127" t="s">
        <v>905</v>
      </c>
      <c r="O127" t="s">
        <v>353</v>
      </c>
      <c r="R127" t="s">
        <v>913</v>
      </c>
    </row>
    <row r="128" spans="1:18" x14ac:dyDescent="0.25">
      <c r="A128" t="s">
        <v>902</v>
      </c>
      <c r="B128" t="s">
        <v>387</v>
      </c>
      <c r="C128" t="s">
        <v>836</v>
      </c>
      <c r="D128" t="s">
        <v>246</v>
      </c>
      <c r="E128" t="s">
        <v>89</v>
      </c>
      <c r="F128" t="s">
        <v>1003</v>
      </c>
      <c r="I128" s="47" t="s">
        <v>848</v>
      </c>
      <c r="J128" s="47" t="str">
        <f>RIGHT(Tabela4[[#This Row],[Desde]],4)</f>
        <v>2026</v>
      </c>
      <c r="K128">
        <v>127</v>
      </c>
      <c r="M128" t="s">
        <v>908</v>
      </c>
      <c r="N128" t="s">
        <v>867</v>
      </c>
      <c r="O128" t="s">
        <v>353</v>
      </c>
      <c r="R128" t="s">
        <v>913</v>
      </c>
    </row>
    <row r="129" spans="1:18" x14ac:dyDescent="0.25">
      <c r="A129" t="s">
        <v>902</v>
      </c>
      <c r="B129" t="s">
        <v>795</v>
      </c>
      <c r="C129" t="s">
        <v>836</v>
      </c>
      <c r="D129" t="s">
        <v>1004</v>
      </c>
      <c r="E129" t="s">
        <v>830</v>
      </c>
      <c r="F129" t="s">
        <v>1005</v>
      </c>
      <c r="I129" s="47" t="s">
        <v>923</v>
      </c>
      <c r="J129" s="47" t="str">
        <f>RIGHT(Tabela4[[#This Row],[Desde]],4)</f>
        <v>2026</v>
      </c>
      <c r="K129">
        <v>575</v>
      </c>
      <c r="M129" t="s">
        <v>904</v>
      </c>
      <c r="N129" t="s">
        <v>905</v>
      </c>
      <c r="O129" t="s">
        <v>346</v>
      </c>
      <c r="R129" t="s">
        <v>924</v>
      </c>
    </row>
    <row r="130" spans="1:18" x14ac:dyDescent="0.25">
      <c r="A130" t="s">
        <v>902</v>
      </c>
      <c r="B130" t="s">
        <v>486</v>
      </c>
      <c r="C130" t="s">
        <v>836</v>
      </c>
      <c r="D130" t="s">
        <v>1006</v>
      </c>
      <c r="E130" t="s">
        <v>14</v>
      </c>
      <c r="F130" t="s">
        <v>487</v>
      </c>
      <c r="I130" s="47" t="s">
        <v>1007</v>
      </c>
      <c r="J130" s="47" t="str">
        <f>RIGHT(Tabela4[[#This Row],[Desde]],4)</f>
        <v>2026</v>
      </c>
      <c r="K130">
        <v>373</v>
      </c>
      <c r="M130" t="s">
        <v>908</v>
      </c>
      <c r="N130" t="s">
        <v>905</v>
      </c>
      <c r="O130" t="s">
        <v>353</v>
      </c>
      <c r="R130" t="s">
        <v>1008</v>
      </c>
    </row>
    <row r="131" spans="1:18" x14ac:dyDescent="0.25">
      <c r="A131" t="s">
        <v>902</v>
      </c>
      <c r="B131" t="s">
        <v>796</v>
      </c>
      <c r="C131" t="s">
        <v>836</v>
      </c>
      <c r="D131" t="s">
        <v>155</v>
      </c>
      <c r="E131" t="s">
        <v>108</v>
      </c>
      <c r="F131" t="s">
        <v>1009</v>
      </c>
      <c r="I131" s="47" t="s">
        <v>1010</v>
      </c>
      <c r="J131" s="47" t="str">
        <f>RIGHT(Tabela4[[#This Row],[Desde]],4)</f>
        <v>2026</v>
      </c>
      <c r="K131">
        <v>325</v>
      </c>
      <c r="M131" t="s">
        <v>904</v>
      </c>
      <c r="N131" t="s">
        <v>905</v>
      </c>
      <c r="O131" t="s">
        <v>346</v>
      </c>
      <c r="R131" t="s">
        <v>924</v>
      </c>
    </row>
    <row r="132" spans="1:18" x14ac:dyDescent="0.25">
      <c r="A132" t="s">
        <v>902</v>
      </c>
      <c r="B132" t="s">
        <v>797</v>
      </c>
      <c r="C132" t="s">
        <v>836</v>
      </c>
      <c r="D132" t="s">
        <v>1011</v>
      </c>
      <c r="E132" t="s">
        <v>830</v>
      </c>
      <c r="F132" t="s">
        <v>1012</v>
      </c>
      <c r="I132" s="47" t="s">
        <v>923</v>
      </c>
      <c r="J132" s="47" t="str">
        <f>RIGHT(Tabela4[[#This Row],[Desde]],4)</f>
        <v>2026</v>
      </c>
      <c r="K132">
        <v>454</v>
      </c>
      <c r="M132" t="s">
        <v>904</v>
      </c>
      <c r="N132" t="s">
        <v>905</v>
      </c>
      <c r="O132" t="s">
        <v>346</v>
      </c>
      <c r="R132" t="s">
        <v>906</v>
      </c>
    </row>
    <row r="133" spans="1:18" x14ac:dyDescent="0.25">
      <c r="A133" t="s">
        <v>902</v>
      </c>
      <c r="B133" t="s">
        <v>798</v>
      </c>
      <c r="C133" t="s">
        <v>836</v>
      </c>
      <c r="D133" t="s">
        <v>27</v>
      </c>
      <c r="E133" t="s">
        <v>830</v>
      </c>
      <c r="F133" t="s">
        <v>1013</v>
      </c>
      <c r="I133" s="47" t="s">
        <v>918</v>
      </c>
      <c r="J133" s="47" t="str">
        <f>RIGHT(Tabela4[[#This Row],[Desde]],4)</f>
        <v>2026</v>
      </c>
      <c r="K133">
        <v>1</v>
      </c>
      <c r="M133" t="s">
        <v>904</v>
      </c>
      <c r="N133" t="s">
        <v>905</v>
      </c>
      <c r="O133" t="s">
        <v>346</v>
      </c>
      <c r="R133" t="s">
        <v>924</v>
      </c>
    </row>
    <row r="134" spans="1:18" x14ac:dyDescent="0.25">
      <c r="A134" t="s">
        <v>902</v>
      </c>
      <c r="B134" t="s">
        <v>799</v>
      </c>
      <c r="C134" t="s">
        <v>836</v>
      </c>
      <c r="D134" t="s">
        <v>20</v>
      </c>
      <c r="E134" t="s">
        <v>830</v>
      </c>
      <c r="F134" t="s">
        <v>1014</v>
      </c>
      <c r="I134" s="47" t="s">
        <v>1015</v>
      </c>
      <c r="J134" s="47" t="str">
        <f>RIGHT(Tabela4[[#This Row],[Desde]],4)</f>
        <v>2026</v>
      </c>
      <c r="K134">
        <v>617</v>
      </c>
      <c r="M134" t="s">
        <v>904</v>
      </c>
      <c r="N134" t="s">
        <v>905</v>
      </c>
      <c r="O134" t="s">
        <v>346</v>
      </c>
      <c r="R134" t="s">
        <v>924</v>
      </c>
    </row>
    <row r="135" spans="1:18" x14ac:dyDescent="0.25">
      <c r="A135" t="s">
        <v>902</v>
      </c>
      <c r="B135" t="s">
        <v>800</v>
      </c>
      <c r="C135" t="s">
        <v>836</v>
      </c>
      <c r="D135" t="s">
        <v>970</v>
      </c>
      <c r="E135" t="s">
        <v>196</v>
      </c>
      <c r="F135" t="s">
        <v>1016</v>
      </c>
      <c r="I135" s="47" t="s">
        <v>725</v>
      </c>
      <c r="J135" s="47" t="str">
        <f>RIGHT(Tabela4[[#This Row],[Desde]],4)</f>
        <v>2026</v>
      </c>
      <c r="K135">
        <v>223</v>
      </c>
      <c r="M135" t="s">
        <v>908</v>
      </c>
      <c r="N135" t="s">
        <v>867</v>
      </c>
      <c r="O135" t="s">
        <v>353</v>
      </c>
      <c r="R135" t="s">
        <v>988</v>
      </c>
    </row>
    <row r="136" spans="1:18" x14ac:dyDescent="0.25">
      <c r="A136" t="s">
        <v>902</v>
      </c>
      <c r="B136" t="s">
        <v>801</v>
      </c>
      <c r="C136" t="s">
        <v>836</v>
      </c>
      <c r="D136" t="s">
        <v>914</v>
      </c>
      <c r="E136" t="s">
        <v>89</v>
      </c>
      <c r="F136" t="s">
        <v>1017</v>
      </c>
      <c r="I136" s="47" t="s">
        <v>848</v>
      </c>
      <c r="J136" s="47" t="str">
        <f>RIGHT(Tabela4[[#This Row],[Desde]],4)</f>
        <v>2026</v>
      </c>
      <c r="K136">
        <v>361</v>
      </c>
      <c r="M136" t="s">
        <v>908</v>
      </c>
      <c r="N136" t="s">
        <v>867</v>
      </c>
      <c r="O136" t="s">
        <v>353</v>
      </c>
      <c r="R136" t="s">
        <v>913</v>
      </c>
    </row>
    <row r="137" spans="1:18" x14ac:dyDescent="0.25">
      <c r="A137" t="s">
        <v>902</v>
      </c>
      <c r="B137" t="s">
        <v>802</v>
      </c>
      <c r="C137" t="s">
        <v>836</v>
      </c>
      <c r="D137" t="s">
        <v>1018</v>
      </c>
      <c r="E137" t="s">
        <v>830</v>
      </c>
      <c r="F137" t="s">
        <v>1019</v>
      </c>
      <c r="I137" s="47" t="s">
        <v>1020</v>
      </c>
      <c r="J137" s="47" t="str">
        <f>RIGHT(Tabela4[[#This Row],[Desde]],4)</f>
        <v>2026</v>
      </c>
      <c r="K137">
        <v>552</v>
      </c>
      <c r="M137" t="s">
        <v>904</v>
      </c>
      <c r="N137" t="s">
        <v>905</v>
      </c>
      <c r="O137" t="s">
        <v>346</v>
      </c>
      <c r="R137" t="s">
        <v>924</v>
      </c>
    </row>
    <row r="138" spans="1:18" x14ac:dyDescent="0.25">
      <c r="A138" t="s">
        <v>902</v>
      </c>
      <c r="B138" t="s">
        <v>803</v>
      </c>
      <c r="C138" t="s">
        <v>836</v>
      </c>
      <c r="D138" t="s">
        <v>166</v>
      </c>
      <c r="E138" t="s">
        <v>830</v>
      </c>
      <c r="F138" t="s">
        <v>1021</v>
      </c>
      <c r="I138" s="47" t="s">
        <v>954</v>
      </c>
      <c r="J138" s="47" t="str">
        <f>RIGHT(Tabela4[[#This Row],[Desde]],4)</f>
        <v>2026</v>
      </c>
      <c r="K138">
        <v>617</v>
      </c>
      <c r="M138" t="s">
        <v>904</v>
      </c>
      <c r="N138" t="s">
        <v>905</v>
      </c>
      <c r="O138" t="s">
        <v>346</v>
      </c>
      <c r="R138" t="s">
        <v>924</v>
      </c>
    </row>
    <row r="139" spans="1:18" x14ac:dyDescent="0.25">
      <c r="A139" t="s">
        <v>902</v>
      </c>
      <c r="B139" t="s">
        <v>804</v>
      </c>
      <c r="C139" t="s">
        <v>836</v>
      </c>
      <c r="D139" t="s">
        <v>1022</v>
      </c>
      <c r="E139" t="s">
        <v>830</v>
      </c>
      <c r="F139" t="s">
        <v>1023</v>
      </c>
      <c r="I139" s="47" t="s">
        <v>889</v>
      </c>
      <c r="J139" s="47" t="str">
        <f>RIGHT(Tabela4[[#This Row],[Desde]],4)</f>
        <v>2026</v>
      </c>
      <c r="K139">
        <v>557</v>
      </c>
      <c r="M139" t="s">
        <v>904</v>
      </c>
      <c r="N139" t="s">
        <v>905</v>
      </c>
      <c r="O139" t="s">
        <v>346</v>
      </c>
      <c r="R139" t="s">
        <v>924</v>
      </c>
    </row>
    <row r="140" spans="1:18" x14ac:dyDescent="0.25">
      <c r="A140" t="s">
        <v>902</v>
      </c>
      <c r="B140" t="s">
        <v>392</v>
      </c>
      <c r="C140" t="s">
        <v>836</v>
      </c>
      <c r="D140" t="s">
        <v>1024</v>
      </c>
      <c r="E140" t="s">
        <v>108</v>
      </c>
      <c r="F140" t="s">
        <v>1025</v>
      </c>
      <c r="I140" s="47" t="s">
        <v>829</v>
      </c>
      <c r="J140" s="47" t="str">
        <f>RIGHT(Tabela4[[#This Row],[Desde]],4)</f>
        <v>2026</v>
      </c>
      <c r="K140">
        <v>409</v>
      </c>
      <c r="M140" t="s">
        <v>904</v>
      </c>
      <c r="N140" t="s">
        <v>905</v>
      </c>
      <c r="O140" t="s">
        <v>346</v>
      </c>
      <c r="R140" t="s">
        <v>924</v>
      </c>
    </row>
    <row r="141" spans="1:18" x14ac:dyDescent="0.25">
      <c r="A141" t="s">
        <v>902</v>
      </c>
      <c r="B141" t="s">
        <v>805</v>
      </c>
      <c r="C141" t="s">
        <v>836</v>
      </c>
      <c r="D141" t="s">
        <v>27</v>
      </c>
      <c r="E141" t="s">
        <v>830</v>
      </c>
      <c r="F141" t="s">
        <v>1026</v>
      </c>
      <c r="I141" s="47" t="s">
        <v>1010</v>
      </c>
      <c r="J141" s="47" t="str">
        <f>RIGHT(Tabela4[[#This Row],[Desde]],4)</f>
        <v>2026</v>
      </c>
      <c r="K141">
        <v>648</v>
      </c>
      <c r="M141" t="s">
        <v>908</v>
      </c>
      <c r="N141" t="s">
        <v>867</v>
      </c>
      <c r="O141" t="s">
        <v>346</v>
      </c>
      <c r="R141" t="s">
        <v>913</v>
      </c>
    </row>
    <row r="142" spans="1:18" x14ac:dyDescent="0.25">
      <c r="A142" t="s">
        <v>902</v>
      </c>
      <c r="B142" t="s">
        <v>398</v>
      </c>
      <c r="C142" t="s">
        <v>836</v>
      </c>
      <c r="D142" t="s">
        <v>170</v>
      </c>
      <c r="E142" t="s">
        <v>14</v>
      </c>
      <c r="F142" t="s">
        <v>1027</v>
      </c>
      <c r="I142" s="47" t="s">
        <v>1028</v>
      </c>
      <c r="J142" s="47" t="str">
        <f>RIGHT(Tabela4[[#This Row],[Desde]],4)</f>
        <v>2026</v>
      </c>
      <c r="K142">
        <v>399</v>
      </c>
      <c r="M142" t="s">
        <v>908</v>
      </c>
      <c r="N142" t="s">
        <v>867</v>
      </c>
      <c r="O142" t="s">
        <v>346</v>
      </c>
      <c r="R142" t="s">
        <v>913</v>
      </c>
    </row>
    <row r="143" spans="1:18" x14ac:dyDescent="0.25">
      <c r="A143" t="s">
        <v>902</v>
      </c>
      <c r="B143" t="s">
        <v>806</v>
      </c>
      <c r="C143" t="s">
        <v>836</v>
      </c>
      <c r="D143" t="s">
        <v>34</v>
      </c>
      <c r="E143" t="s">
        <v>830</v>
      </c>
      <c r="F143" t="s">
        <v>1029</v>
      </c>
      <c r="I143" s="47" t="s">
        <v>889</v>
      </c>
      <c r="J143" s="47" t="str">
        <f>RIGHT(Tabela4[[#This Row],[Desde]],4)</f>
        <v>2026</v>
      </c>
      <c r="K143">
        <v>598</v>
      </c>
      <c r="M143" t="s">
        <v>904</v>
      </c>
      <c r="N143" t="s">
        <v>905</v>
      </c>
      <c r="O143" t="s">
        <v>346</v>
      </c>
      <c r="R143" t="s">
        <v>924</v>
      </c>
    </row>
    <row r="144" spans="1:18" x14ac:dyDescent="0.25">
      <c r="A144" t="s">
        <v>902</v>
      </c>
      <c r="B144" t="s">
        <v>807</v>
      </c>
      <c r="C144" t="s">
        <v>836</v>
      </c>
      <c r="D144" t="s">
        <v>20</v>
      </c>
      <c r="E144" t="s">
        <v>830</v>
      </c>
      <c r="F144" t="s">
        <v>1030</v>
      </c>
      <c r="I144" s="47" t="s">
        <v>946</v>
      </c>
      <c r="J144" s="47" t="str">
        <f>RIGHT(Tabela4[[#This Row],[Desde]],4)</f>
        <v>2026</v>
      </c>
      <c r="K144">
        <v>189</v>
      </c>
      <c r="M144" t="s">
        <v>908</v>
      </c>
      <c r="N144" t="s">
        <v>867</v>
      </c>
      <c r="O144" t="s">
        <v>346</v>
      </c>
      <c r="R144" t="s">
        <v>913</v>
      </c>
    </row>
    <row r="145" spans="1:18" x14ac:dyDescent="0.25">
      <c r="A145" t="s">
        <v>902</v>
      </c>
      <c r="B145" t="s">
        <v>808</v>
      </c>
      <c r="C145" t="s">
        <v>836</v>
      </c>
      <c r="D145" t="s">
        <v>1031</v>
      </c>
      <c r="E145" t="s">
        <v>830</v>
      </c>
      <c r="F145" t="s">
        <v>1032</v>
      </c>
      <c r="I145" s="47" t="s">
        <v>923</v>
      </c>
      <c r="J145" s="47" t="str">
        <f>RIGHT(Tabela4[[#This Row],[Desde]],4)</f>
        <v>2026</v>
      </c>
      <c r="K145">
        <v>151</v>
      </c>
      <c r="M145" t="s">
        <v>904</v>
      </c>
      <c r="N145" t="s">
        <v>905</v>
      </c>
      <c r="O145" t="s">
        <v>346</v>
      </c>
      <c r="R145" t="s">
        <v>924</v>
      </c>
    </row>
    <row r="146" spans="1:18" x14ac:dyDescent="0.25">
      <c r="A146" t="s">
        <v>902</v>
      </c>
      <c r="B146" t="s">
        <v>809</v>
      </c>
      <c r="C146" t="s">
        <v>836</v>
      </c>
      <c r="D146" t="s">
        <v>20</v>
      </c>
      <c r="E146" t="s">
        <v>830</v>
      </c>
      <c r="F146" t="s">
        <v>1033</v>
      </c>
      <c r="I146" s="47" t="s">
        <v>1034</v>
      </c>
      <c r="J146" s="47" t="str">
        <f>RIGHT(Tabela4[[#This Row],[Desde]],4)</f>
        <v>2026</v>
      </c>
      <c r="K146">
        <v>61</v>
      </c>
      <c r="M146" t="s">
        <v>908</v>
      </c>
      <c r="N146" t="s">
        <v>936</v>
      </c>
      <c r="O146" t="s">
        <v>346</v>
      </c>
      <c r="R146" t="s">
        <v>913</v>
      </c>
    </row>
    <row r="147" spans="1:18" x14ac:dyDescent="0.25">
      <c r="A147" t="s">
        <v>902</v>
      </c>
      <c r="B147" t="s">
        <v>810</v>
      </c>
      <c r="C147" t="s">
        <v>836</v>
      </c>
      <c r="D147" t="s">
        <v>1035</v>
      </c>
      <c r="E147" t="s">
        <v>830</v>
      </c>
      <c r="F147" t="s">
        <v>1036</v>
      </c>
      <c r="I147" s="47" t="s">
        <v>1037</v>
      </c>
      <c r="J147" s="47" t="str">
        <f>RIGHT(Tabela4[[#This Row],[Desde]],4)</f>
        <v>2026</v>
      </c>
      <c r="K147">
        <v>75</v>
      </c>
      <c r="M147" t="s">
        <v>908</v>
      </c>
      <c r="N147" t="s">
        <v>867</v>
      </c>
      <c r="O147" t="s">
        <v>346</v>
      </c>
      <c r="R147" t="s">
        <v>913</v>
      </c>
    </row>
    <row r="148" spans="1:18" x14ac:dyDescent="0.25">
      <c r="A148" t="s">
        <v>902</v>
      </c>
      <c r="B148" t="s">
        <v>811</v>
      </c>
      <c r="C148" t="s">
        <v>836</v>
      </c>
      <c r="D148" t="s">
        <v>123</v>
      </c>
      <c r="E148" t="s">
        <v>108</v>
      </c>
      <c r="F148" t="s">
        <v>1038</v>
      </c>
      <c r="I148" s="47" t="s">
        <v>1039</v>
      </c>
      <c r="J148" s="47" t="str">
        <f>RIGHT(Tabela4[[#This Row],[Desde]],4)</f>
        <v>2026</v>
      </c>
      <c r="K148">
        <v>159</v>
      </c>
      <c r="M148" t="s">
        <v>908</v>
      </c>
      <c r="N148" t="s">
        <v>1040</v>
      </c>
      <c r="O148" t="s">
        <v>346</v>
      </c>
      <c r="R148" t="s">
        <v>1041</v>
      </c>
    </row>
    <row r="158" spans="1:18" ht="18.75" x14ac:dyDescent="0.3">
      <c r="K158" s="24">
        <v>6</v>
      </c>
    </row>
    <row r="159" spans="1:18" ht="18.75" x14ac:dyDescent="0.3">
      <c r="K159" s="24">
        <v>7</v>
      </c>
    </row>
    <row r="160" spans="1:18" ht="18.75" x14ac:dyDescent="0.3">
      <c r="K160" s="24">
        <v>8</v>
      </c>
    </row>
    <row r="161" spans="11:11" ht="18.75" x14ac:dyDescent="0.3">
      <c r="K161" s="24">
        <v>3</v>
      </c>
    </row>
    <row r="162" spans="11:11" ht="18.75" x14ac:dyDescent="0.3">
      <c r="K162" s="24">
        <v>0</v>
      </c>
    </row>
    <row r="163" spans="11:11" ht="18.75" x14ac:dyDescent="0.3">
      <c r="K163" s="24">
        <v>1</v>
      </c>
    </row>
    <row r="164" spans="11:11" ht="18.75" x14ac:dyDescent="0.3">
      <c r="K164" s="24">
        <v>3</v>
      </c>
    </row>
    <row r="165" spans="11:11" ht="18.75" x14ac:dyDescent="0.3">
      <c r="K165" s="24">
        <v>0</v>
      </c>
    </row>
    <row r="166" spans="11:11" ht="18.75" x14ac:dyDescent="0.3">
      <c r="K166" s="24"/>
    </row>
    <row r="167" spans="11:11" ht="18.75" x14ac:dyDescent="0.3">
      <c r="K167" s="24"/>
    </row>
    <row r="168" spans="11:11" ht="18.75" x14ac:dyDescent="0.3">
      <c r="K168" s="24"/>
    </row>
    <row r="169" spans="11:11" ht="18.75" x14ac:dyDescent="0.3">
      <c r="K169" s="2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298-D887-4C92-91B6-68DC3B2C9179}">
  <dimension ref="A1:BL55"/>
  <sheetViews>
    <sheetView topLeftCell="M43" workbookViewId="0">
      <selection activeCell="N1" sqref="N1:N55"/>
    </sheetView>
  </sheetViews>
  <sheetFormatPr defaultRowHeight="15" x14ac:dyDescent="0.25"/>
  <cols>
    <col min="1" max="1" width="21.5703125" bestFit="1" customWidth="1"/>
    <col min="2" max="2" width="15" bestFit="1" customWidth="1"/>
    <col min="3" max="3" width="14" bestFit="1" customWidth="1"/>
    <col min="4" max="4" width="22.42578125" bestFit="1" customWidth="1"/>
    <col min="5" max="5" width="27" bestFit="1" customWidth="1"/>
    <col min="6" max="6" width="10.7109375" bestFit="1" customWidth="1"/>
    <col min="7" max="7" width="10.5703125" bestFit="1" customWidth="1"/>
    <col min="8" max="8" width="12.28515625" bestFit="1" customWidth="1"/>
    <col min="9" max="9" width="7.7109375" bestFit="1" customWidth="1"/>
    <col min="10" max="10" width="7.42578125" bestFit="1" customWidth="1"/>
    <col min="11" max="11" width="13.28515625" bestFit="1" customWidth="1"/>
    <col min="12" max="12" width="14.7109375" bestFit="1" customWidth="1"/>
    <col min="13" max="13" width="16.5703125" bestFit="1" customWidth="1"/>
    <col min="14" max="14" width="14.85546875" bestFit="1" customWidth="1"/>
    <col min="15" max="16" width="11.85546875" bestFit="1" customWidth="1"/>
    <col min="17" max="17" width="15.42578125" bestFit="1" customWidth="1"/>
    <col min="18" max="18" width="17.42578125" bestFit="1" customWidth="1"/>
    <col min="19" max="19" width="15.5703125" bestFit="1" customWidth="1"/>
    <col min="20" max="20" width="21.85546875" bestFit="1" customWidth="1"/>
    <col min="21" max="21" width="20.85546875" bestFit="1" customWidth="1"/>
    <col min="22" max="22" width="18.140625" bestFit="1" customWidth="1"/>
    <col min="23" max="23" width="35.5703125" bestFit="1" customWidth="1"/>
    <col min="24" max="24" width="29.140625" bestFit="1" customWidth="1"/>
    <col min="25" max="25" width="33" bestFit="1" customWidth="1"/>
    <col min="26" max="26" width="17.28515625" bestFit="1" customWidth="1"/>
    <col min="27" max="27" width="34.85546875" bestFit="1" customWidth="1"/>
    <col min="28" max="28" width="15.85546875" style="50" bestFit="1" customWidth="1"/>
    <col min="29" max="29" width="16.85546875" bestFit="1" customWidth="1"/>
    <col min="30" max="30" width="15.7109375" bestFit="1" customWidth="1"/>
    <col min="31" max="31" width="27" bestFit="1" customWidth="1"/>
    <col min="32" max="32" width="25.85546875" bestFit="1" customWidth="1"/>
    <col min="33" max="33" width="24.5703125" bestFit="1" customWidth="1"/>
    <col min="34" max="34" width="32.42578125" bestFit="1" customWidth="1"/>
    <col min="35" max="35" width="31" bestFit="1" customWidth="1"/>
    <col min="36" max="36" width="17" bestFit="1" customWidth="1"/>
    <col min="37" max="37" width="28.42578125" bestFit="1" customWidth="1"/>
    <col min="38" max="38" width="12" bestFit="1" customWidth="1"/>
    <col min="39" max="39" width="24.28515625" bestFit="1" customWidth="1"/>
    <col min="40" max="40" width="26.28515625" bestFit="1" customWidth="1"/>
    <col min="41" max="41" width="23.28515625" bestFit="1" customWidth="1"/>
    <col min="42" max="42" width="22.42578125" bestFit="1" customWidth="1"/>
    <col min="43" max="43" width="17.42578125" bestFit="1" customWidth="1"/>
    <col min="44" max="44" width="16.5703125" bestFit="1" customWidth="1"/>
    <col min="45" max="45" width="21.140625" bestFit="1" customWidth="1"/>
    <col min="46" max="46" width="16.140625" bestFit="1" customWidth="1"/>
    <col min="47" max="47" width="58.7109375" bestFit="1" customWidth="1"/>
    <col min="48" max="48" width="51" bestFit="1" customWidth="1"/>
    <col min="49" max="49" width="50.7109375" bestFit="1" customWidth="1"/>
    <col min="50" max="50" width="35.28515625" bestFit="1" customWidth="1"/>
    <col min="51" max="51" width="32.5703125" bestFit="1" customWidth="1"/>
    <col min="52" max="52" width="39.42578125" bestFit="1" customWidth="1"/>
    <col min="53" max="53" width="34" bestFit="1" customWidth="1"/>
    <col min="54" max="54" width="34.85546875" bestFit="1" customWidth="1"/>
    <col min="55" max="55" width="24.85546875" bestFit="1" customWidth="1"/>
    <col min="56" max="58" width="40.5703125" bestFit="1" customWidth="1"/>
    <col min="59" max="61" width="33.5703125" bestFit="1" customWidth="1"/>
    <col min="62" max="62" width="35.5703125" bestFit="1" customWidth="1"/>
    <col min="63" max="63" width="29" bestFit="1" customWidth="1"/>
    <col min="64" max="64" width="45.28515625" bestFit="1" customWidth="1"/>
  </cols>
  <sheetData>
    <row r="1" spans="1:64" x14ac:dyDescent="0.25">
      <c r="A1" t="s">
        <v>1047</v>
      </c>
      <c r="B1" t="s">
        <v>1048</v>
      </c>
      <c r="C1" t="s">
        <v>1049</v>
      </c>
      <c r="D1" t="s">
        <v>1050</v>
      </c>
      <c r="E1" t="s">
        <v>1051</v>
      </c>
      <c r="F1" t="s">
        <v>1052</v>
      </c>
      <c r="G1" t="s">
        <v>1053</v>
      </c>
      <c r="H1" t="s">
        <v>1054</v>
      </c>
      <c r="I1" t="s">
        <v>1055</v>
      </c>
      <c r="J1" t="s">
        <v>1056</v>
      </c>
      <c r="K1" t="s">
        <v>1057</v>
      </c>
      <c r="L1" t="s">
        <v>1058</v>
      </c>
      <c r="M1" t="s">
        <v>1059</v>
      </c>
      <c r="N1" t="s">
        <v>1060</v>
      </c>
      <c r="O1" t="s">
        <v>1061</v>
      </c>
      <c r="P1" t="s">
        <v>1062</v>
      </c>
      <c r="Q1" t="s">
        <v>1063</v>
      </c>
      <c r="R1" t="s">
        <v>1064</v>
      </c>
      <c r="S1" t="s">
        <v>1065</v>
      </c>
      <c r="T1" t="s">
        <v>1066</v>
      </c>
      <c r="U1" t="s">
        <v>1067</v>
      </c>
      <c r="V1" t="s">
        <v>1068</v>
      </c>
      <c r="W1" t="s">
        <v>1069</v>
      </c>
      <c r="X1" t="s">
        <v>1070</v>
      </c>
      <c r="Y1" t="s">
        <v>1071</v>
      </c>
      <c r="Z1" t="s">
        <v>1072</v>
      </c>
      <c r="AA1" t="s">
        <v>1073</v>
      </c>
      <c r="AB1" s="50" t="s">
        <v>1074</v>
      </c>
      <c r="AC1" t="s">
        <v>1075</v>
      </c>
      <c r="AD1" t="s">
        <v>1076</v>
      </c>
      <c r="AE1" t="s">
        <v>1077</v>
      </c>
      <c r="AF1" t="s">
        <v>1078</v>
      </c>
      <c r="AG1" t="s">
        <v>1079</v>
      </c>
      <c r="AH1" t="s">
        <v>1080</v>
      </c>
      <c r="AI1" t="s">
        <v>1081</v>
      </c>
      <c r="AJ1" t="s">
        <v>1082</v>
      </c>
      <c r="AK1" t="s">
        <v>1083</v>
      </c>
      <c r="AL1" t="s">
        <v>1084</v>
      </c>
      <c r="AM1" t="s">
        <v>1085</v>
      </c>
      <c r="AN1" t="s">
        <v>1086</v>
      </c>
      <c r="AO1" t="s">
        <v>1087</v>
      </c>
      <c r="AP1" t="s">
        <v>1088</v>
      </c>
      <c r="AQ1" t="s">
        <v>1089</v>
      </c>
      <c r="AR1" t="s">
        <v>1090</v>
      </c>
      <c r="AS1" t="s">
        <v>1091</v>
      </c>
      <c r="AT1" t="s">
        <v>1092</v>
      </c>
      <c r="AU1" t="s">
        <v>1093</v>
      </c>
      <c r="AV1" t="s">
        <v>1094</v>
      </c>
      <c r="AW1" t="s">
        <v>1095</v>
      </c>
      <c r="AX1" t="s">
        <v>1096</v>
      </c>
      <c r="AY1" t="s">
        <v>1097</v>
      </c>
      <c r="AZ1" t="s">
        <v>1098</v>
      </c>
      <c r="BA1" t="s">
        <v>1099</v>
      </c>
      <c r="BB1" t="s">
        <v>1100</v>
      </c>
      <c r="BC1" t="s">
        <v>1101</v>
      </c>
      <c r="BD1" t="s">
        <v>1102</v>
      </c>
      <c r="BE1" t="s">
        <v>1103</v>
      </c>
      <c r="BF1" t="s">
        <v>1104</v>
      </c>
      <c r="BG1" t="s">
        <v>1105</v>
      </c>
      <c r="BH1" t="s">
        <v>1106</v>
      </c>
      <c r="BI1" t="s">
        <v>1107</v>
      </c>
      <c r="BJ1" t="s">
        <v>1108</v>
      </c>
      <c r="BK1" t="s">
        <v>1109</v>
      </c>
      <c r="BL1" t="s">
        <v>1110</v>
      </c>
    </row>
    <row r="2" spans="1:64" ht="409.5" x14ac:dyDescent="0.25">
      <c r="A2" t="s">
        <v>121</v>
      </c>
      <c r="B2" t="s">
        <v>33</v>
      </c>
      <c r="D2" t="s">
        <v>1111</v>
      </c>
      <c r="E2" t="s">
        <v>1112</v>
      </c>
      <c r="F2" t="s">
        <v>33</v>
      </c>
      <c r="G2" t="s">
        <v>33</v>
      </c>
      <c r="H2" t="s">
        <v>33</v>
      </c>
      <c r="J2">
        <v>2025</v>
      </c>
      <c r="K2" t="s">
        <v>1113</v>
      </c>
      <c r="L2" t="s">
        <v>905</v>
      </c>
      <c r="M2" t="s">
        <v>1114</v>
      </c>
      <c r="N2" t="s">
        <v>118</v>
      </c>
      <c r="O2">
        <v>881575</v>
      </c>
      <c r="P2">
        <v>9268477</v>
      </c>
      <c r="Q2" t="s">
        <v>1115</v>
      </c>
      <c r="R2" t="s">
        <v>1116</v>
      </c>
      <c r="S2" t="s">
        <v>869</v>
      </c>
      <c r="T2" s="11">
        <v>45839.596631944441</v>
      </c>
      <c r="U2" s="11"/>
      <c r="V2" s="11">
        <v>45842.596631944441</v>
      </c>
      <c r="W2" t="s">
        <v>1117</v>
      </c>
      <c r="X2" t="s">
        <v>123</v>
      </c>
      <c r="Y2" t="s">
        <v>1118</v>
      </c>
      <c r="Z2" t="s">
        <v>1119</v>
      </c>
      <c r="AA2" t="s">
        <v>1120</v>
      </c>
      <c r="AB2" s="49" t="s">
        <v>1121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K2" t="s">
        <v>33</v>
      </c>
      <c r="AL2" t="s">
        <v>33</v>
      </c>
      <c r="AM2" t="s">
        <v>33</v>
      </c>
      <c r="AN2" t="s">
        <v>33</v>
      </c>
      <c r="AO2" s="12"/>
      <c r="AP2" s="12"/>
      <c r="AQ2" t="s">
        <v>33</v>
      </c>
      <c r="AR2" t="s">
        <v>33</v>
      </c>
      <c r="AS2" t="s">
        <v>33</v>
      </c>
      <c r="AU2" t="s">
        <v>33</v>
      </c>
      <c r="AV2" t="s">
        <v>33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J2" t="s">
        <v>33</v>
      </c>
      <c r="BK2" t="s">
        <v>33</v>
      </c>
      <c r="BL2" t="s">
        <v>33</v>
      </c>
    </row>
    <row r="3" spans="1:64" ht="409.5" x14ac:dyDescent="0.25">
      <c r="A3" t="s">
        <v>221</v>
      </c>
      <c r="B3" t="s">
        <v>33</v>
      </c>
      <c r="D3" t="s">
        <v>1111</v>
      </c>
      <c r="E3" t="s">
        <v>1122</v>
      </c>
      <c r="F3" t="s">
        <v>33</v>
      </c>
      <c r="G3" t="s">
        <v>33</v>
      </c>
      <c r="H3" t="s">
        <v>33</v>
      </c>
      <c r="J3">
        <v>2025</v>
      </c>
      <c r="K3" t="s">
        <v>1113</v>
      </c>
      <c r="L3" t="s">
        <v>905</v>
      </c>
      <c r="M3" t="s">
        <v>1123</v>
      </c>
      <c r="N3" t="s">
        <v>218</v>
      </c>
      <c r="O3">
        <v>792922</v>
      </c>
      <c r="P3">
        <v>8790506</v>
      </c>
      <c r="Q3" t="s">
        <v>1124</v>
      </c>
      <c r="R3" t="s">
        <v>1116</v>
      </c>
      <c r="S3" t="s">
        <v>869</v>
      </c>
      <c r="T3" s="11">
        <v>45846.727106481485</v>
      </c>
      <c r="U3" s="11"/>
      <c r="V3" s="11">
        <v>45849.727106481485</v>
      </c>
      <c r="W3" t="s">
        <v>1117</v>
      </c>
      <c r="X3" t="s">
        <v>67</v>
      </c>
      <c r="Y3" t="s">
        <v>1125</v>
      </c>
      <c r="Z3" t="s">
        <v>1126</v>
      </c>
      <c r="AA3" t="s">
        <v>1120</v>
      </c>
      <c r="AB3" s="49" t="s">
        <v>1127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K3" t="s">
        <v>33</v>
      </c>
      <c r="AL3" t="s">
        <v>33</v>
      </c>
      <c r="AM3" t="s">
        <v>33</v>
      </c>
      <c r="AN3" t="s">
        <v>33</v>
      </c>
      <c r="AO3" s="12"/>
      <c r="AP3" s="12"/>
      <c r="AQ3" t="s">
        <v>33</v>
      </c>
      <c r="AR3" t="s">
        <v>33</v>
      </c>
      <c r="AS3" t="s">
        <v>33</v>
      </c>
      <c r="AU3" t="s">
        <v>33</v>
      </c>
      <c r="AV3" t="s">
        <v>33</v>
      </c>
      <c r="AW3" t="s">
        <v>33</v>
      </c>
      <c r="AX3" t="s">
        <v>33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J3" t="s">
        <v>33</v>
      </c>
      <c r="BK3" t="s">
        <v>33</v>
      </c>
      <c r="BL3" t="s">
        <v>33</v>
      </c>
    </row>
    <row r="4" spans="1:64" ht="409.5" x14ac:dyDescent="0.25">
      <c r="A4" s="52" t="s">
        <v>229</v>
      </c>
      <c r="B4" s="52" t="s">
        <v>33</v>
      </c>
      <c r="C4" s="52"/>
      <c r="D4" s="52" t="s">
        <v>1111</v>
      </c>
      <c r="E4" s="52" t="s">
        <v>1128</v>
      </c>
      <c r="F4" s="52" t="s">
        <v>33</v>
      </c>
      <c r="G4" s="52" t="s">
        <v>33</v>
      </c>
      <c r="H4" s="52" t="s">
        <v>33</v>
      </c>
      <c r="I4" s="52"/>
      <c r="J4" s="52">
        <v>2025</v>
      </c>
      <c r="K4" s="52" t="s">
        <v>1113</v>
      </c>
      <c r="L4" s="52" t="s">
        <v>905</v>
      </c>
      <c r="M4" s="52" t="s">
        <v>1129</v>
      </c>
      <c r="N4" s="52" t="s">
        <v>226</v>
      </c>
      <c r="O4" s="52">
        <v>870890</v>
      </c>
      <c r="P4" s="52">
        <v>8743808</v>
      </c>
      <c r="Q4" s="52" t="s">
        <v>1130</v>
      </c>
      <c r="R4" s="52" t="s">
        <v>1116</v>
      </c>
      <c r="S4" s="52" t="s">
        <v>869</v>
      </c>
      <c r="T4" s="53">
        <v>45861.443530092591</v>
      </c>
      <c r="U4" s="53"/>
      <c r="V4" s="53">
        <v>45864.443530092591</v>
      </c>
      <c r="W4" s="52" t="s">
        <v>1117</v>
      </c>
      <c r="X4" s="52" t="s">
        <v>230</v>
      </c>
      <c r="Y4" s="52" t="s">
        <v>1131</v>
      </c>
      <c r="Z4" s="52" t="s">
        <v>1126</v>
      </c>
      <c r="AA4" s="52" t="s">
        <v>1120</v>
      </c>
      <c r="AB4" s="54" t="s">
        <v>1132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K4" t="s">
        <v>33</v>
      </c>
      <c r="AL4" t="s">
        <v>33</v>
      </c>
      <c r="AM4" t="s">
        <v>33</v>
      </c>
      <c r="AN4" t="s">
        <v>33</v>
      </c>
      <c r="AO4" s="12"/>
      <c r="AP4" s="12"/>
      <c r="AQ4" t="s">
        <v>33</v>
      </c>
      <c r="AR4" t="s">
        <v>33</v>
      </c>
      <c r="AS4" t="s">
        <v>33</v>
      </c>
      <c r="AU4" t="s">
        <v>33</v>
      </c>
      <c r="AV4" t="s">
        <v>33</v>
      </c>
      <c r="AW4" t="s">
        <v>33</v>
      </c>
      <c r="AX4" t="s">
        <v>33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J4" t="s">
        <v>33</v>
      </c>
      <c r="BK4" t="s">
        <v>33</v>
      </c>
      <c r="BL4" t="s">
        <v>33</v>
      </c>
    </row>
    <row r="5" spans="1:64" ht="409.5" x14ac:dyDescent="0.25">
      <c r="A5" t="s">
        <v>136</v>
      </c>
      <c r="B5" t="s">
        <v>33</v>
      </c>
      <c r="D5" t="s">
        <v>1111</v>
      </c>
      <c r="E5" t="s">
        <v>1133</v>
      </c>
      <c r="F5" t="s">
        <v>33</v>
      </c>
      <c r="G5" t="s">
        <v>33</v>
      </c>
      <c r="H5" t="s">
        <v>33</v>
      </c>
      <c r="J5">
        <v>2025</v>
      </c>
      <c r="K5" t="s">
        <v>1113</v>
      </c>
      <c r="L5" t="s">
        <v>905</v>
      </c>
      <c r="M5" t="s">
        <v>1134</v>
      </c>
      <c r="N5" t="s">
        <v>133</v>
      </c>
      <c r="O5">
        <v>750473</v>
      </c>
      <c r="P5">
        <v>9212030</v>
      </c>
      <c r="Q5" t="s">
        <v>1135</v>
      </c>
      <c r="R5" t="s">
        <v>1116</v>
      </c>
      <c r="S5" t="s">
        <v>869</v>
      </c>
      <c r="T5" s="11">
        <v>45894.367789351854</v>
      </c>
      <c r="U5" s="11"/>
      <c r="V5" s="11">
        <v>45897.367789351854</v>
      </c>
      <c r="W5" t="s">
        <v>1136</v>
      </c>
      <c r="X5" t="s">
        <v>138</v>
      </c>
      <c r="Y5" t="s">
        <v>1137</v>
      </c>
      <c r="Z5" t="s">
        <v>1126</v>
      </c>
      <c r="AA5" t="s">
        <v>1120</v>
      </c>
      <c r="AB5" s="49" t="s">
        <v>1138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K5" t="s">
        <v>33</v>
      </c>
      <c r="AL5" t="s">
        <v>33</v>
      </c>
      <c r="AM5" t="s">
        <v>33</v>
      </c>
      <c r="AN5" t="s">
        <v>33</v>
      </c>
      <c r="AO5" s="12"/>
      <c r="AP5" s="12"/>
      <c r="AQ5" t="s">
        <v>33</v>
      </c>
      <c r="AR5" t="s">
        <v>33</v>
      </c>
      <c r="AS5" t="s">
        <v>33</v>
      </c>
      <c r="AU5" t="s">
        <v>33</v>
      </c>
      <c r="AV5" t="s">
        <v>33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J5" t="s">
        <v>33</v>
      </c>
      <c r="BK5" t="s">
        <v>33</v>
      </c>
      <c r="BL5" t="s">
        <v>33</v>
      </c>
    </row>
    <row r="6" spans="1:64" ht="345" x14ac:dyDescent="0.25">
      <c r="A6" t="s">
        <v>116</v>
      </c>
      <c r="B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J6">
        <v>2025</v>
      </c>
      <c r="K6" t="s">
        <v>1139</v>
      </c>
      <c r="L6" t="s">
        <v>905</v>
      </c>
      <c r="M6" t="s">
        <v>1140</v>
      </c>
      <c r="N6" t="s">
        <v>113</v>
      </c>
      <c r="O6">
        <v>823110</v>
      </c>
      <c r="P6">
        <v>9189383</v>
      </c>
      <c r="Q6" t="s">
        <v>1141</v>
      </c>
      <c r="R6" t="s">
        <v>1142</v>
      </c>
      <c r="S6" t="s">
        <v>869</v>
      </c>
      <c r="T6" s="11">
        <v>45903.724606481483</v>
      </c>
      <c r="U6" s="11"/>
      <c r="V6" s="11">
        <v>46303.724606481483</v>
      </c>
      <c r="W6" t="s">
        <v>1136</v>
      </c>
      <c r="X6" t="s">
        <v>20</v>
      </c>
      <c r="Y6" t="s">
        <v>1143</v>
      </c>
      <c r="Z6" t="s">
        <v>1126</v>
      </c>
      <c r="AA6" t="s">
        <v>1120</v>
      </c>
      <c r="AB6" s="49" t="s">
        <v>1144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K6" t="s">
        <v>33</v>
      </c>
      <c r="AL6" t="s">
        <v>33</v>
      </c>
      <c r="AM6" t="s">
        <v>33</v>
      </c>
      <c r="AN6" t="s">
        <v>33</v>
      </c>
      <c r="AO6" s="12"/>
      <c r="AP6" s="12"/>
      <c r="AQ6" t="s">
        <v>33</v>
      </c>
      <c r="AR6" t="s">
        <v>33</v>
      </c>
      <c r="AS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J6" t="s">
        <v>33</v>
      </c>
      <c r="BK6" t="s">
        <v>33</v>
      </c>
      <c r="BL6" t="s">
        <v>33</v>
      </c>
    </row>
    <row r="7" spans="1:64" ht="409.5" x14ac:dyDescent="0.25">
      <c r="A7" t="s">
        <v>104</v>
      </c>
      <c r="B7" t="s">
        <v>33</v>
      </c>
      <c r="D7" t="s">
        <v>1145</v>
      </c>
      <c r="E7" t="s">
        <v>1146</v>
      </c>
      <c r="F7" t="s">
        <v>33</v>
      </c>
      <c r="G7" t="s">
        <v>33</v>
      </c>
      <c r="H7" t="s">
        <v>33</v>
      </c>
      <c r="J7">
        <v>2025</v>
      </c>
      <c r="K7" t="s">
        <v>1113</v>
      </c>
      <c r="L7" t="s">
        <v>919</v>
      </c>
      <c r="M7" t="s">
        <v>1147</v>
      </c>
      <c r="N7" t="s">
        <v>100</v>
      </c>
      <c r="O7">
        <v>782525</v>
      </c>
      <c r="P7">
        <v>8944001</v>
      </c>
      <c r="Q7" t="s">
        <v>1148</v>
      </c>
      <c r="R7" t="s">
        <v>1142</v>
      </c>
      <c r="S7" t="s">
        <v>869</v>
      </c>
      <c r="T7" s="11">
        <v>45946.701273148145</v>
      </c>
      <c r="U7" s="11"/>
      <c r="V7" s="11">
        <v>46346.701273148145</v>
      </c>
      <c r="W7" t="s">
        <v>1149</v>
      </c>
      <c r="X7" t="s">
        <v>106</v>
      </c>
      <c r="Y7" t="s">
        <v>1150</v>
      </c>
      <c r="Z7" t="s">
        <v>1126</v>
      </c>
      <c r="AA7" t="s">
        <v>1120</v>
      </c>
      <c r="AB7" s="49" t="s">
        <v>1151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K7" t="s">
        <v>33</v>
      </c>
      <c r="AL7" t="s">
        <v>33</v>
      </c>
      <c r="AM7" t="s">
        <v>33</v>
      </c>
      <c r="AN7" t="s">
        <v>33</v>
      </c>
      <c r="AO7" s="12"/>
      <c r="AP7" s="12"/>
      <c r="AQ7" t="s">
        <v>33</v>
      </c>
      <c r="AR7" t="s">
        <v>33</v>
      </c>
      <c r="AS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J7" t="s">
        <v>33</v>
      </c>
      <c r="BK7" t="s">
        <v>33</v>
      </c>
      <c r="BL7" t="s">
        <v>33</v>
      </c>
    </row>
    <row r="8" spans="1:64" ht="270" x14ac:dyDescent="0.25">
      <c r="A8" t="s">
        <v>160</v>
      </c>
      <c r="B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J8">
        <v>2025</v>
      </c>
      <c r="K8" t="s">
        <v>1152</v>
      </c>
      <c r="L8" t="s">
        <v>905</v>
      </c>
      <c r="M8" t="s">
        <v>1153</v>
      </c>
      <c r="N8" t="s">
        <v>157</v>
      </c>
      <c r="O8">
        <v>971526</v>
      </c>
      <c r="P8">
        <v>8714400</v>
      </c>
      <c r="Q8" t="s">
        <v>1154</v>
      </c>
      <c r="R8" t="s">
        <v>1142</v>
      </c>
      <c r="S8" t="s">
        <v>869</v>
      </c>
      <c r="T8" s="11">
        <v>45996.663460648146</v>
      </c>
      <c r="U8" s="11"/>
      <c r="V8" s="11">
        <v>46396.663460648146</v>
      </c>
      <c r="W8" t="s">
        <v>1149</v>
      </c>
      <c r="X8" t="s">
        <v>42</v>
      </c>
      <c r="Y8" t="s">
        <v>1155</v>
      </c>
      <c r="Z8" t="s">
        <v>1126</v>
      </c>
      <c r="AA8" t="s">
        <v>1120</v>
      </c>
      <c r="AB8" s="49" t="s">
        <v>1156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K8" t="s">
        <v>33</v>
      </c>
      <c r="AL8" t="s">
        <v>33</v>
      </c>
      <c r="AM8" t="s">
        <v>33</v>
      </c>
      <c r="AN8" t="s">
        <v>33</v>
      </c>
      <c r="AO8" s="12"/>
      <c r="AP8" s="12"/>
      <c r="AQ8" t="s">
        <v>33</v>
      </c>
      <c r="AR8" t="s">
        <v>33</v>
      </c>
      <c r="AS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 t="s">
        <v>33</v>
      </c>
      <c r="BA8" t="s">
        <v>33</v>
      </c>
      <c r="BB8" t="s">
        <v>33</v>
      </c>
      <c r="BC8" t="s">
        <v>33</v>
      </c>
      <c r="BJ8" t="s">
        <v>33</v>
      </c>
      <c r="BK8" t="s">
        <v>33</v>
      </c>
      <c r="BL8" t="s">
        <v>33</v>
      </c>
    </row>
    <row r="9" spans="1:64" ht="165" x14ac:dyDescent="0.25">
      <c r="A9" t="s">
        <v>181</v>
      </c>
      <c r="B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J9">
        <v>2026</v>
      </c>
      <c r="K9" t="s">
        <v>1152</v>
      </c>
      <c r="L9" t="s">
        <v>905</v>
      </c>
      <c r="M9" t="s">
        <v>1153</v>
      </c>
      <c r="N9" t="s">
        <v>178</v>
      </c>
      <c r="O9">
        <v>986342</v>
      </c>
      <c r="P9">
        <v>8726425</v>
      </c>
      <c r="Q9" t="s">
        <v>1157</v>
      </c>
      <c r="R9" t="s">
        <v>1116</v>
      </c>
      <c r="S9" t="s">
        <v>869</v>
      </c>
      <c r="T9" s="11">
        <v>46049.689664351848</v>
      </c>
      <c r="U9" s="11"/>
      <c r="V9" s="11">
        <v>46052.689664351848</v>
      </c>
      <c r="W9" t="s">
        <v>1136</v>
      </c>
      <c r="X9" t="s">
        <v>42</v>
      </c>
      <c r="Y9" t="s">
        <v>1155</v>
      </c>
      <c r="Z9" t="s">
        <v>1126</v>
      </c>
      <c r="AA9" t="s">
        <v>1120</v>
      </c>
      <c r="AB9" s="49" t="s">
        <v>1158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K9" t="s">
        <v>33</v>
      </c>
      <c r="AL9" t="s">
        <v>33</v>
      </c>
      <c r="AM9" t="s">
        <v>33</v>
      </c>
      <c r="AN9" t="s">
        <v>33</v>
      </c>
      <c r="AO9" s="12"/>
      <c r="AP9" s="12"/>
      <c r="AQ9" t="s">
        <v>33</v>
      </c>
      <c r="AR9" t="s">
        <v>33</v>
      </c>
      <c r="AS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 t="s">
        <v>33</v>
      </c>
      <c r="BA9" t="s">
        <v>33</v>
      </c>
      <c r="BB9" t="s">
        <v>33</v>
      </c>
      <c r="BC9" t="s">
        <v>33</v>
      </c>
      <c r="BJ9" t="s">
        <v>33</v>
      </c>
      <c r="BK9" t="s">
        <v>33</v>
      </c>
      <c r="BL9" t="s">
        <v>33</v>
      </c>
    </row>
    <row r="10" spans="1:64" ht="409.5" x14ac:dyDescent="0.25">
      <c r="A10" t="s">
        <v>128</v>
      </c>
      <c r="B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J10">
        <v>2026</v>
      </c>
      <c r="K10" t="s">
        <v>1113</v>
      </c>
      <c r="L10" t="s">
        <v>905</v>
      </c>
      <c r="M10" t="s">
        <v>1129</v>
      </c>
      <c r="N10" t="s">
        <v>125</v>
      </c>
      <c r="O10">
        <v>918776</v>
      </c>
      <c r="P10">
        <v>8841819</v>
      </c>
      <c r="Q10" t="s">
        <v>1159</v>
      </c>
      <c r="R10" t="s">
        <v>1116</v>
      </c>
      <c r="S10" t="s">
        <v>869</v>
      </c>
      <c r="T10" s="11">
        <v>46057.369456018518</v>
      </c>
      <c r="U10" s="11"/>
      <c r="V10" s="11">
        <v>46060.369456018518</v>
      </c>
      <c r="W10" t="s">
        <v>1136</v>
      </c>
      <c r="X10" t="s">
        <v>928</v>
      </c>
      <c r="Y10" t="s">
        <v>1150</v>
      </c>
      <c r="Z10" t="s">
        <v>1126</v>
      </c>
      <c r="AA10" t="s">
        <v>1120</v>
      </c>
      <c r="AB10" s="49" t="s">
        <v>1160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K10" t="s">
        <v>33</v>
      </c>
      <c r="AL10" t="s">
        <v>33</v>
      </c>
      <c r="AM10" t="s">
        <v>33</v>
      </c>
      <c r="AN10" t="s">
        <v>33</v>
      </c>
      <c r="AO10" s="12"/>
      <c r="AP10" s="12"/>
      <c r="AQ10" t="s">
        <v>33</v>
      </c>
      <c r="AR10" t="s">
        <v>33</v>
      </c>
      <c r="AS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 t="s">
        <v>33</v>
      </c>
      <c r="BA10" t="s">
        <v>33</v>
      </c>
      <c r="BB10" t="s">
        <v>33</v>
      </c>
      <c r="BC10" t="s">
        <v>33</v>
      </c>
      <c r="BJ10" t="s">
        <v>33</v>
      </c>
      <c r="BK10" t="s">
        <v>33</v>
      </c>
      <c r="BL10" t="s">
        <v>33</v>
      </c>
    </row>
    <row r="11" spans="1:64" ht="409.5" x14ac:dyDescent="0.25">
      <c r="A11" t="s">
        <v>164</v>
      </c>
      <c r="B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J11">
        <v>2026</v>
      </c>
      <c r="K11" t="s">
        <v>1139</v>
      </c>
      <c r="L11" t="s">
        <v>905</v>
      </c>
      <c r="M11" t="s">
        <v>1123</v>
      </c>
      <c r="N11" t="s">
        <v>162</v>
      </c>
      <c r="O11">
        <v>805385</v>
      </c>
      <c r="P11">
        <v>8737798</v>
      </c>
      <c r="Q11" t="s">
        <v>1161</v>
      </c>
      <c r="R11" t="s">
        <v>1162</v>
      </c>
      <c r="S11" t="s">
        <v>869</v>
      </c>
      <c r="T11" s="11">
        <v>46077.477881944447</v>
      </c>
      <c r="U11" s="11"/>
      <c r="V11" s="11">
        <v>46137.477881944447</v>
      </c>
      <c r="W11" t="s">
        <v>1136</v>
      </c>
      <c r="X11" t="s">
        <v>166</v>
      </c>
      <c r="Y11" t="s">
        <v>1163</v>
      </c>
      <c r="Z11" t="s">
        <v>1126</v>
      </c>
      <c r="AA11" t="s">
        <v>1120</v>
      </c>
      <c r="AB11" s="49" t="s">
        <v>1164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K11" t="s">
        <v>33</v>
      </c>
      <c r="AL11" t="s">
        <v>33</v>
      </c>
      <c r="AM11" t="s">
        <v>33</v>
      </c>
      <c r="AN11" t="s">
        <v>33</v>
      </c>
      <c r="AO11" s="12"/>
      <c r="AP11" s="12"/>
      <c r="AQ11" t="s">
        <v>33</v>
      </c>
      <c r="AR11" t="s">
        <v>33</v>
      </c>
      <c r="AS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J11" t="s">
        <v>33</v>
      </c>
      <c r="BK11" t="s">
        <v>33</v>
      </c>
      <c r="BL11" t="s">
        <v>33</v>
      </c>
    </row>
    <row r="12" spans="1:64" ht="409.5" x14ac:dyDescent="0.25">
      <c r="A12" t="s">
        <v>25</v>
      </c>
      <c r="B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J12">
        <v>2026</v>
      </c>
      <c r="K12" t="s">
        <v>1139</v>
      </c>
      <c r="L12" t="s">
        <v>905</v>
      </c>
      <c r="M12" t="s">
        <v>1165</v>
      </c>
      <c r="N12" t="s">
        <v>22</v>
      </c>
      <c r="O12">
        <v>796501</v>
      </c>
      <c r="P12">
        <v>8854562</v>
      </c>
      <c r="Q12" t="s">
        <v>1166</v>
      </c>
      <c r="R12" t="s">
        <v>1116</v>
      </c>
      <c r="S12" t="s">
        <v>869</v>
      </c>
      <c r="T12" s="11">
        <v>46077.48709490741</v>
      </c>
      <c r="U12" s="11"/>
      <c r="V12" s="11">
        <v>46080.48709490741</v>
      </c>
      <c r="W12" t="s">
        <v>1167</v>
      </c>
      <c r="X12" t="s">
        <v>27</v>
      </c>
      <c r="Y12" t="s">
        <v>1163</v>
      </c>
      <c r="Z12" t="s">
        <v>1119</v>
      </c>
      <c r="AA12" t="s">
        <v>1120</v>
      </c>
      <c r="AB12" s="49" t="s">
        <v>1168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K12" t="s">
        <v>33</v>
      </c>
      <c r="AL12" t="s">
        <v>33</v>
      </c>
      <c r="AM12" t="s">
        <v>33</v>
      </c>
      <c r="AN12" t="s">
        <v>33</v>
      </c>
      <c r="AO12" s="12"/>
      <c r="AP12" s="12"/>
      <c r="AQ12" t="s">
        <v>33</v>
      </c>
      <c r="AR12" t="s">
        <v>33</v>
      </c>
      <c r="AS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J12" t="s">
        <v>33</v>
      </c>
      <c r="BK12" t="s">
        <v>33</v>
      </c>
      <c r="BL12" t="s">
        <v>33</v>
      </c>
    </row>
    <row r="13" spans="1:64" ht="390" x14ac:dyDescent="0.25">
      <c r="A13" t="s">
        <v>174</v>
      </c>
      <c r="B13" t="s">
        <v>33</v>
      </c>
      <c r="D13" t="s">
        <v>1169</v>
      </c>
      <c r="E13" t="s">
        <v>1112</v>
      </c>
      <c r="F13" t="s">
        <v>33</v>
      </c>
      <c r="G13" t="s">
        <v>33</v>
      </c>
      <c r="H13" t="s">
        <v>33</v>
      </c>
      <c r="J13">
        <v>2026</v>
      </c>
      <c r="K13" t="s">
        <v>1113</v>
      </c>
      <c r="L13" t="s">
        <v>905</v>
      </c>
      <c r="M13" t="s">
        <v>1170</v>
      </c>
      <c r="N13" t="s">
        <v>171</v>
      </c>
      <c r="O13">
        <v>645739</v>
      </c>
      <c r="P13">
        <v>8723116</v>
      </c>
      <c r="Q13" t="s">
        <v>1171</v>
      </c>
      <c r="R13" t="s">
        <v>1116</v>
      </c>
      <c r="S13" t="s">
        <v>869</v>
      </c>
      <c r="T13" s="11">
        <v>46083.89261574074</v>
      </c>
      <c r="U13" s="11"/>
      <c r="V13" s="11">
        <v>46086.89261574074</v>
      </c>
      <c r="W13" t="s">
        <v>1117</v>
      </c>
      <c r="X13" t="s">
        <v>176</v>
      </c>
      <c r="Y13" t="s">
        <v>1172</v>
      </c>
      <c r="Z13" t="s">
        <v>1126</v>
      </c>
      <c r="AA13" t="s">
        <v>1120</v>
      </c>
      <c r="AB13" s="49" t="s">
        <v>1173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K13" t="s">
        <v>33</v>
      </c>
      <c r="AL13" t="s">
        <v>33</v>
      </c>
      <c r="AM13" t="s">
        <v>33</v>
      </c>
      <c r="AN13" t="s">
        <v>33</v>
      </c>
      <c r="AO13" s="12"/>
      <c r="AP13" s="12"/>
      <c r="AQ13" t="s">
        <v>33</v>
      </c>
      <c r="AR13" t="s">
        <v>33</v>
      </c>
      <c r="AS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 t="s">
        <v>33</v>
      </c>
      <c r="BA13" t="s">
        <v>33</v>
      </c>
      <c r="BB13" t="s">
        <v>33</v>
      </c>
      <c r="BC13" t="s">
        <v>33</v>
      </c>
      <c r="BJ13" t="s">
        <v>33</v>
      </c>
      <c r="BK13" t="s">
        <v>33</v>
      </c>
      <c r="BL13" t="s">
        <v>33</v>
      </c>
    </row>
    <row r="14" spans="1:64" ht="409.5" x14ac:dyDescent="0.25">
      <c r="A14" t="s">
        <v>84</v>
      </c>
      <c r="B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J14">
        <v>2026</v>
      </c>
      <c r="K14" t="s">
        <v>1139</v>
      </c>
      <c r="L14" t="s">
        <v>905</v>
      </c>
      <c r="M14" t="s">
        <v>1174</v>
      </c>
      <c r="N14" t="s">
        <v>81</v>
      </c>
      <c r="O14">
        <v>905716</v>
      </c>
      <c r="P14">
        <v>9145475</v>
      </c>
      <c r="Q14" t="s">
        <v>1175</v>
      </c>
      <c r="R14" t="s">
        <v>1142</v>
      </c>
      <c r="S14" t="s">
        <v>869</v>
      </c>
      <c r="T14" s="11">
        <v>46097.58016203704</v>
      </c>
      <c r="U14" s="11"/>
      <c r="V14" s="11">
        <v>46497.58016203704</v>
      </c>
      <c r="W14" t="s">
        <v>1136</v>
      </c>
      <c r="X14" t="s">
        <v>86</v>
      </c>
      <c r="Y14" t="s">
        <v>1163</v>
      </c>
      <c r="Z14" t="s">
        <v>1119</v>
      </c>
      <c r="AA14" t="s">
        <v>1120</v>
      </c>
      <c r="AB14" s="49" t="s">
        <v>1176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K14" t="s">
        <v>33</v>
      </c>
      <c r="AL14" t="s">
        <v>33</v>
      </c>
      <c r="AM14" t="s">
        <v>33</v>
      </c>
      <c r="AN14" t="s">
        <v>33</v>
      </c>
      <c r="AO14" s="12"/>
      <c r="AP14" s="12"/>
      <c r="AQ14" t="s">
        <v>33</v>
      </c>
      <c r="AR14" t="s">
        <v>33</v>
      </c>
      <c r="AS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 t="s">
        <v>33</v>
      </c>
      <c r="BA14" t="s">
        <v>33</v>
      </c>
      <c r="BB14" t="s">
        <v>33</v>
      </c>
      <c r="BC14" t="s">
        <v>33</v>
      </c>
      <c r="BJ14" t="s">
        <v>33</v>
      </c>
      <c r="BK14" t="s">
        <v>33</v>
      </c>
      <c r="BL14" t="s">
        <v>33</v>
      </c>
    </row>
    <row r="15" spans="1:64" ht="409.5" x14ac:dyDescent="0.25">
      <c r="A15" t="s">
        <v>263</v>
      </c>
      <c r="B15" t="s">
        <v>33</v>
      </c>
      <c r="D15" t="s">
        <v>1169</v>
      </c>
      <c r="E15" t="s">
        <v>1177</v>
      </c>
      <c r="F15" t="s">
        <v>33</v>
      </c>
      <c r="G15" t="s">
        <v>33</v>
      </c>
      <c r="H15" t="s">
        <v>33</v>
      </c>
      <c r="J15">
        <v>2026</v>
      </c>
      <c r="K15" t="s">
        <v>1113</v>
      </c>
      <c r="L15" t="s">
        <v>905</v>
      </c>
      <c r="M15" t="s">
        <v>1178</v>
      </c>
      <c r="N15" t="s">
        <v>260</v>
      </c>
      <c r="O15">
        <v>819553</v>
      </c>
      <c r="P15">
        <v>8782076</v>
      </c>
      <c r="Q15" t="s">
        <v>1179</v>
      </c>
      <c r="R15" t="s">
        <v>1116</v>
      </c>
      <c r="S15" t="s">
        <v>869</v>
      </c>
      <c r="T15" s="11">
        <v>46099.677141203705</v>
      </c>
      <c r="U15" s="11"/>
      <c r="V15" s="11">
        <v>46102.677141203705</v>
      </c>
      <c r="W15" t="s">
        <v>1180</v>
      </c>
      <c r="X15" t="s">
        <v>265</v>
      </c>
      <c r="Y15" t="s">
        <v>1181</v>
      </c>
      <c r="Z15" t="s">
        <v>1126</v>
      </c>
      <c r="AA15" t="s">
        <v>1120</v>
      </c>
      <c r="AB15" s="49" t="s">
        <v>1182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K15" t="s">
        <v>33</v>
      </c>
      <c r="AL15" t="s">
        <v>33</v>
      </c>
      <c r="AM15" t="s">
        <v>33</v>
      </c>
      <c r="AN15" t="s">
        <v>33</v>
      </c>
      <c r="AO15" s="12"/>
      <c r="AP15" s="12"/>
      <c r="AQ15" t="s">
        <v>33</v>
      </c>
      <c r="AR15" t="s">
        <v>33</v>
      </c>
      <c r="AS15" t="s">
        <v>33</v>
      </c>
      <c r="AU15" t="s">
        <v>33</v>
      </c>
      <c r="AV15" t="s">
        <v>33</v>
      </c>
      <c r="AW15" t="s">
        <v>33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J15" t="s">
        <v>33</v>
      </c>
      <c r="BK15" t="s">
        <v>33</v>
      </c>
      <c r="BL15" t="s">
        <v>33</v>
      </c>
    </row>
    <row r="16" spans="1:64" ht="409.5" x14ac:dyDescent="0.25">
      <c r="A16" t="s">
        <v>169</v>
      </c>
      <c r="B16" t="s">
        <v>33</v>
      </c>
      <c r="D16" t="s">
        <v>1169</v>
      </c>
      <c r="E16" t="s">
        <v>1128</v>
      </c>
      <c r="F16" t="s">
        <v>33</v>
      </c>
      <c r="G16" t="s">
        <v>33</v>
      </c>
      <c r="H16" t="s">
        <v>33</v>
      </c>
      <c r="J16">
        <v>2026</v>
      </c>
      <c r="K16" t="s">
        <v>1113</v>
      </c>
      <c r="L16" t="s">
        <v>905</v>
      </c>
      <c r="M16" t="s">
        <v>1183</v>
      </c>
      <c r="N16" t="s">
        <v>167</v>
      </c>
      <c r="O16">
        <v>813445</v>
      </c>
      <c r="P16">
        <v>8984037</v>
      </c>
      <c r="Q16" t="s">
        <v>1184</v>
      </c>
      <c r="R16" t="s">
        <v>1116</v>
      </c>
      <c r="S16" t="s">
        <v>869</v>
      </c>
      <c r="T16" s="11">
        <v>46111.41306712963</v>
      </c>
      <c r="U16" s="11"/>
      <c r="V16" s="11">
        <v>46114.41306712963</v>
      </c>
      <c r="W16" t="s">
        <v>1117</v>
      </c>
      <c r="X16" t="s">
        <v>170</v>
      </c>
      <c r="Y16" t="s">
        <v>1137</v>
      </c>
      <c r="Z16" t="s">
        <v>1126</v>
      </c>
      <c r="AA16" t="s">
        <v>1120</v>
      </c>
      <c r="AB16" s="49" t="s">
        <v>1185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K16" t="s">
        <v>33</v>
      </c>
      <c r="AL16" t="s">
        <v>33</v>
      </c>
      <c r="AM16" t="s">
        <v>33</v>
      </c>
      <c r="AN16" t="s">
        <v>33</v>
      </c>
      <c r="AO16" s="12"/>
      <c r="AP16" s="12"/>
      <c r="AQ16" t="s">
        <v>33</v>
      </c>
      <c r="AR16" t="s">
        <v>33</v>
      </c>
      <c r="AS16" t="s">
        <v>33</v>
      </c>
      <c r="AU16" t="s">
        <v>33</v>
      </c>
      <c r="AV16" t="s">
        <v>33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J16" t="s">
        <v>33</v>
      </c>
      <c r="BK16" t="s">
        <v>33</v>
      </c>
      <c r="BL16" t="s">
        <v>33</v>
      </c>
    </row>
    <row r="17" spans="1:64" ht="409.5" x14ac:dyDescent="0.25">
      <c r="A17" t="s">
        <v>52</v>
      </c>
      <c r="B17" t="s">
        <v>33</v>
      </c>
      <c r="D17" t="s">
        <v>1111</v>
      </c>
      <c r="E17" t="s">
        <v>1186</v>
      </c>
      <c r="F17" t="s">
        <v>33</v>
      </c>
      <c r="G17" t="s">
        <v>33</v>
      </c>
      <c r="H17" t="s">
        <v>33</v>
      </c>
      <c r="J17">
        <v>2026</v>
      </c>
      <c r="K17" t="s">
        <v>1113</v>
      </c>
      <c r="L17" t="s">
        <v>905</v>
      </c>
      <c r="M17" t="s">
        <v>1187</v>
      </c>
      <c r="N17" t="s">
        <v>49</v>
      </c>
      <c r="O17">
        <v>727489</v>
      </c>
      <c r="P17">
        <v>9029671</v>
      </c>
      <c r="Q17" t="s">
        <v>1188</v>
      </c>
      <c r="R17" t="s">
        <v>1116</v>
      </c>
      <c r="S17" t="s">
        <v>869</v>
      </c>
      <c r="T17" s="11">
        <v>46111.432384259257</v>
      </c>
      <c r="U17" s="11"/>
      <c r="V17" s="11">
        <v>46114.432384259257</v>
      </c>
      <c r="W17" t="s">
        <v>1117</v>
      </c>
      <c r="X17" t="s">
        <v>54</v>
      </c>
      <c r="Y17" t="s">
        <v>1189</v>
      </c>
      <c r="Z17" t="s">
        <v>1119</v>
      </c>
      <c r="AA17" t="s">
        <v>1120</v>
      </c>
      <c r="AB17" s="49" t="s">
        <v>1190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K17" t="s">
        <v>33</v>
      </c>
      <c r="AL17" t="s">
        <v>33</v>
      </c>
      <c r="AM17" t="s">
        <v>33</v>
      </c>
      <c r="AN17" t="s">
        <v>33</v>
      </c>
      <c r="AO17" s="12"/>
      <c r="AP17" s="12"/>
      <c r="AQ17" t="s">
        <v>33</v>
      </c>
      <c r="AR17" t="s">
        <v>33</v>
      </c>
      <c r="AS17" t="s">
        <v>33</v>
      </c>
      <c r="AU17" t="s">
        <v>33</v>
      </c>
      <c r="AV17" t="s">
        <v>33</v>
      </c>
      <c r="AW17" t="s">
        <v>33</v>
      </c>
      <c r="AX17" t="s">
        <v>33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J17" t="s">
        <v>33</v>
      </c>
      <c r="BK17" t="s">
        <v>33</v>
      </c>
      <c r="BL17" t="s">
        <v>33</v>
      </c>
    </row>
    <row r="18" spans="1:64" ht="409.5" x14ac:dyDescent="0.25">
      <c r="A18" t="s">
        <v>236</v>
      </c>
      <c r="B18" t="s">
        <v>33</v>
      </c>
      <c r="D18" t="s">
        <v>1191</v>
      </c>
      <c r="E18" t="s">
        <v>1192</v>
      </c>
      <c r="F18" t="s">
        <v>33</v>
      </c>
      <c r="G18" t="s">
        <v>33</v>
      </c>
      <c r="H18" t="s">
        <v>33</v>
      </c>
      <c r="J18">
        <v>2026</v>
      </c>
      <c r="K18" t="s">
        <v>1113</v>
      </c>
      <c r="L18" t="s">
        <v>905</v>
      </c>
      <c r="M18" t="s">
        <v>1193</v>
      </c>
      <c r="N18" t="s">
        <v>234</v>
      </c>
      <c r="O18">
        <v>695579</v>
      </c>
      <c r="P18">
        <v>8916959</v>
      </c>
      <c r="Q18" t="s">
        <v>1194</v>
      </c>
      <c r="R18" t="s">
        <v>1116</v>
      </c>
      <c r="S18" t="s">
        <v>869</v>
      </c>
      <c r="T18" s="11">
        <v>46112.401701388888</v>
      </c>
      <c r="U18" s="11"/>
      <c r="V18" s="11">
        <v>46115.401701388888</v>
      </c>
      <c r="W18" t="s">
        <v>1117</v>
      </c>
      <c r="X18" t="s">
        <v>1195</v>
      </c>
      <c r="Y18" t="s">
        <v>1125</v>
      </c>
      <c r="Z18" t="s">
        <v>1126</v>
      </c>
      <c r="AA18" t="s">
        <v>1120</v>
      </c>
      <c r="AB18" s="49" t="s">
        <v>1196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K18" t="s">
        <v>33</v>
      </c>
      <c r="AL18" t="s">
        <v>33</v>
      </c>
      <c r="AM18" t="s">
        <v>33</v>
      </c>
      <c r="AN18" t="s">
        <v>33</v>
      </c>
      <c r="AO18" s="12"/>
      <c r="AP18" s="12"/>
      <c r="AQ18" t="s">
        <v>33</v>
      </c>
      <c r="AR18" t="s">
        <v>33</v>
      </c>
      <c r="AS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 t="s">
        <v>33</v>
      </c>
      <c r="BA18" t="s">
        <v>33</v>
      </c>
      <c r="BB18" t="s">
        <v>33</v>
      </c>
      <c r="BC18" t="s">
        <v>33</v>
      </c>
      <c r="BJ18" t="s">
        <v>33</v>
      </c>
      <c r="BK18" t="s">
        <v>33</v>
      </c>
      <c r="BL18" t="s">
        <v>33</v>
      </c>
    </row>
    <row r="19" spans="1:64" ht="360" x14ac:dyDescent="0.25">
      <c r="A19" t="s">
        <v>153</v>
      </c>
      <c r="B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J19">
        <v>2026</v>
      </c>
      <c r="K19" t="s">
        <v>1139</v>
      </c>
      <c r="L19" t="s">
        <v>905</v>
      </c>
      <c r="M19" t="s">
        <v>1197</v>
      </c>
      <c r="N19" t="s">
        <v>150</v>
      </c>
      <c r="O19">
        <v>630275</v>
      </c>
      <c r="P19">
        <v>8986227</v>
      </c>
      <c r="Q19" t="s">
        <v>1198</v>
      </c>
      <c r="R19" t="s">
        <v>1142</v>
      </c>
      <c r="S19" t="s">
        <v>869</v>
      </c>
      <c r="T19" s="11">
        <v>46112.456828703704</v>
      </c>
      <c r="U19" s="11"/>
      <c r="V19" s="11">
        <v>46512.456828703704</v>
      </c>
      <c r="W19" t="s">
        <v>1136</v>
      </c>
      <c r="X19" t="s">
        <v>155</v>
      </c>
      <c r="Y19" t="s">
        <v>1163</v>
      </c>
      <c r="Z19" t="s">
        <v>1126</v>
      </c>
      <c r="AA19" t="s">
        <v>1120</v>
      </c>
      <c r="AB19" s="49" t="s">
        <v>1199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K19" t="s">
        <v>33</v>
      </c>
      <c r="AL19" t="s">
        <v>33</v>
      </c>
      <c r="AM19" t="s">
        <v>33</v>
      </c>
      <c r="AN19" t="s">
        <v>33</v>
      </c>
      <c r="AO19" s="12"/>
      <c r="AP19" s="12"/>
      <c r="AQ19" t="s">
        <v>33</v>
      </c>
      <c r="AR19" t="s">
        <v>33</v>
      </c>
      <c r="AS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J19" t="s">
        <v>33</v>
      </c>
      <c r="BK19" t="s">
        <v>33</v>
      </c>
      <c r="BL19" t="s">
        <v>33</v>
      </c>
    </row>
    <row r="20" spans="1:64" ht="409.5" x14ac:dyDescent="0.25">
      <c r="A20" t="s">
        <v>97</v>
      </c>
      <c r="B20" t="s">
        <v>33</v>
      </c>
      <c r="D20" t="s">
        <v>1169</v>
      </c>
      <c r="E20" t="s">
        <v>1200</v>
      </c>
      <c r="F20" t="s">
        <v>33</v>
      </c>
      <c r="G20" t="s">
        <v>33</v>
      </c>
      <c r="H20" t="s">
        <v>33</v>
      </c>
      <c r="J20">
        <v>2026</v>
      </c>
      <c r="K20" t="s">
        <v>1201</v>
      </c>
      <c r="L20" t="s">
        <v>905</v>
      </c>
      <c r="M20" t="s">
        <v>1202</v>
      </c>
      <c r="N20" t="s">
        <v>94</v>
      </c>
      <c r="O20">
        <v>718799</v>
      </c>
      <c r="P20">
        <v>8867765</v>
      </c>
      <c r="Q20" t="s">
        <v>1203</v>
      </c>
      <c r="R20" t="s">
        <v>1162</v>
      </c>
      <c r="S20" t="s">
        <v>869</v>
      </c>
      <c r="T20" s="11">
        <v>46135.332002314812</v>
      </c>
      <c r="U20" s="11"/>
      <c r="V20" s="11">
        <v>46195.332002314812</v>
      </c>
      <c r="W20" t="s">
        <v>1136</v>
      </c>
      <c r="X20" t="s">
        <v>99</v>
      </c>
      <c r="Y20" t="s">
        <v>1204</v>
      </c>
      <c r="Z20" t="s">
        <v>1126</v>
      </c>
      <c r="AA20" t="s">
        <v>1120</v>
      </c>
      <c r="AB20" s="49" t="s">
        <v>1205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K20" t="s">
        <v>33</v>
      </c>
      <c r="AL20" t="s">
        <v>33</v>
      </c>
      <c r="AM20" t="s">
        <v>33</v>
      </c>
      <c r="AN20" t="s">
        <v>33</v>
      </c>
      <c r="AO20" s="12"/>
      <c r="AP20" s="12"/>
      <c r="AQ20" t="s">
        <v>33</v>
      </c>
      <c r="AR20" t="s">
        <v>33</v>
      </c>
      <c r="AS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 t="s">
        <v>33</v>
      </c>
      <c r="BA20" t="s">
        <v>33</v>
      </c>
      <c r="BB20" t="s">
        <v>33</v>
      </c>
      <c r="BC20" t="s">
        <v>33</v>
      </c>
      <c r="BJ20" t="s">
        <v>33</v>
      </c>
      <c r="BK20" t="s">
        <v>33</v>
      </c>
      <c r="BL20" t="s">
        <v>33</v>
      </c>
    </row>
    <row r="21" spans="1:64" ht="409.5" x14ac:dyDescent="0.25">
      <c r="A21" t="s">
        <v>78</v>
      </c>
      <c r="B21" t="s">
        <v>33</v>
      </c>
      <c r="D21" t="s">
        <v>1111</v>
      </c>
      <c r="E21" t="s">
        <v>1112</v>
      </c>
      <c r="F21" t="s">
        <v>33</v>
      </c>
      <c r="G21" t="s">
        <v>33</v>
      </c>
      <c r="H21" t="s">
        <v>33</v>
      </c>
      <c r="J21">
        <v>2026</v>
      </c>
      <c r="K21" t="s">
        <v>1113</v>
      </c>
      <c r="L21" t="s">
        <v>905</v>
      </c>
      <c r="M21" t="s">
        <v>1206</v>
      </c>
      <c r="N21" t="s">
        <v>75</v>
      </c>
      <c r="O21">
        <v>727212</v>
      </c>
      <c r="P21">
        <v>8773164</v>
      </c>
      <c r="Q21" t="s">
        <v>1207</v>
      </c>
      <c r="R21" t="s">
        <v>1116</v>
      </c>
      <c r="S21" t="s">
        <v>869</v>
      </c>
      <c r="T21" s="11">
        <v>46139.616099537037</v>
      </c>
      <c r="U21" s="11"/>
      <c r="V21" s="11">
        <v>46142.616099537037</v>
      </c>
      <c r="W21" t="s">
        <v>1117</v>
      </c>
      <c r="X21" t="s">
        <v>80</v>
      </c>
      <c r="Y21" t="s">
        <v>1118</v>
      </c>
      <c r="Z21" t="s">
        <v>1126</v>
      </c>
      <c r="AA21" t="s">
        <v>1120</v>
      </c>
      <c r="AB21" s="49" t="s">
        <v>1208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K21" t="s">
        <v>33</v>
      </c>
      <c r="AL21" t="s">
        <v>33</v>
      </c>
      <c r="AM21" t="s">
        <v>33</v>
      </c>
      <c r="AN21" t="s">
        <v>33</v>
      </c>
      <c r="AO21" s="12"/>
      <c r="AP21" s="12"/>
      <c r="AQ21" t="s">
        <v>33</v>
      </c>
      <c r="AR21" t="s">
        <v>33</v>
      </c>
      <c r="AS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 t="s">
        <v>33</v>
      </c>
      <c r="BC21" t="s">
        <v>33</v>
      </c>
      <c r="BJ21" t="s">
        <v>33</v>
      </c>
      <c r="BK21" t="s">
        <v>33</v>
      </c>
      <c r="BL21" t="s">
        <v>33</v>
      </c>
    </row>
    <row r="22" spans="1:64" ht="165" x14ac:dyDescent="0.25">
      <c r="A22" t="s">
        <v>255</v>
      </c>
      <c r="B22" t="s">
        <v>33</v>
      </c>
      <c r="D22" t="s">
        <v>1145</v>
      </c>
      <c r="E22" t="s">
        <v>1122</v>
      </c>
      <c r="F22" t="s">
        <v>33</v>
      </c>
      <c r="G22" t="s">
        <v>33</v>
      </c>
      <c r="H22" t="s">
        <v>33</v>
      </c>
      <c r="J22">
        <v>2026</v>
      </c>
      <c r="K22" t="s">
        <v>1113</v>
      </c>
      <c r="L22" t="s">
        <v>905</v>
      </c>
      <c r="M22" t="s">
        <v>1209</v>
      </c>
      <c r="N22" t="s">
        <v>252</v>
      </c>
      <c r="O22">
        <v>782353</v>
      </c>
      <c r="P22">
        <v>8664418</v>
      </c>
      <c r="Q22" t="s">
        <v>1210</v>
      </c>
      <c r="R22" t="s">
        <v>1116</v>
      </c>
      <c r="S22" t="s">
        <v>869</v>
      </c>
      <c r="T22" s="11">
        <v>46160.578229166669</v>
      </c>
      <c r="U22" s="11"/>
      <c r="V22" s="11">
        <v>46163.578229166669</v>
      </c>
      <c r="W22" t="s">
        <v>1149</v>
      </c>
      <c r="X22" t="s">
        <v>144</v>
      </c>
      <c r="Y22" t="s">
        <v>1211</v>
      </c>
      <c r="Z22" t="s">
        <v>1126</v>
      </c>
      <c r="AA22" t="s">
        <v>1120</v>
      </c>
      <c r="AB22" s="49" t="s">
        <v>1212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K22" t="s">
        <v>33</v>
      </c>
      <c r="AL22" t="s">
        <v>33</v>
      </c>
      <c r="AM22" t="s">
        <v>33</v>
      </c>
      <c r="AN22" t="s">
        <v>33</v>
      </c>
      <c r="AO22" s="12"/>
      <c r="AP22" s="12"/>
      <c r="AQ22" t="s">
        <v>33</v>
      </c>
      <c r="AR22" t="s">
        <v>33</v>
      </c>
      <c r="AS22" t="s">
        <v>33</v>
      </c>
      <c r="AU22" t="s">
        <v>33</v>
      </c>
      <c r="AV22" t="s">
        <v>33</v>
      </c>
      <c r="AW22" t="s">
        <v>33</v>
      </c>
      <c r="AX22" t="s">
        <v>33</v>
      </c>
      <c r="AY22" t="s">
        <v>33</v>
      </c>
      <c r="AZ22" t="s">
        <v>33</v>
      </c>
      <c r="BA22" t="s">
        <v>33</v>
      </c>
      <c r="BB22" t="s">
        <v>33</v>
      </c>
      <c r="BC22" t="s">
        <v>33</v>
      </c>
      <c r="BJ22" t="s">
        <v>33</v>
      </c>
      <c r="BK22" t="s">
        <v>33</v>
      </c>
      <c r="BL22" t="s">
        <v>33</v>
      </c>
    </row>
    <row r="23" spans="1:64" ht="315" x14ac:dyDescent="0.25">
      <c r="A23" t="s">
        <v>244</v>
      </c>
      <c r="B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J23">
        <v>2026</v>
      </c>
      <c r="K23" t="s">
        <v>1113</v>
      </c>
      <c r="L23" t="s">
        <v>905</v>
      </c>
      <c r="M23" t="s">
        <v>1213</v>
      </c>
      <c r="N23" t="s">
        <v>241</v>
      </c>
      <c r="O23">
        <v>689369</v>
      </c>
      <c r="P23">
        <v>8746092</v>
      </c>
      <c r="Q23" t="s">
        <v>1214</v>
      </c>
      <c r="R23" t="s">
        <v>1116</v>
      </c>
      <c r="S23" t="s">
        <v>869</v>
      </c>
      <c r="T23" s="11">
        <v>46183.659733796296</v>
      </c>
      <c r="U23" s="11"/>
      <c r="V23" s="11">
        <v>46186.659733796296</v>
      </c>
      <c r="W23" t="s">
        <v>1215</v>
      </c>
      <c r="X23" t="s">
        <v>246</v>
      </c>
      <c r="Y23" t="s">
        <v>1216</v>
      </c>
      <c r="Z23" t="s">
        <v>1119</v>
      </c>
      <c r="AA23" t="s">
        <v>1120</v>
      </c>
      <c r="AB23" s="49" t="s">
        <v>1217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K23" t="s">
        <v>33</v>
      </c>
      <c r="AL23" t="s">
        <v>33</v>
      </c>
      <c r="AM23" t="s">
        <v>33</v>
      </c>
      <c r="AN23" t="s">
        <v>33</v>
      </c>
      <c r="AO23" s="12"/>
      <c r="AP23" s="12"/>
      <c r="AQ23" t="s">
        <v>33</v>
      </c>
      <c r="AR23" t="s">
        <v>33</v>
      </c>
      <c r="AS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 t="s">
        <v>33</v>
      </c>
      <c r="BC23" t="s">
        <v>33</v>
      </c>
      <c r="BJ23" t="s">
        <v>33</v>
      </c>
      <c r="BK23" t="s">
        <v>33</v>
      </c>
      <c r="BL23" t="s">
        <v>33</v>
      </c>
    </row>
    <row r="24" spans="1:64" ht="409.5" x14ac:dyDescent="0.25">
      <c r="A24" t="s">
        <v>59</v>
      </c>
      <c r="B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J24">
        <v>2026</v>
      </c>
      <c r="K24" t="s">
        <v>1139</v>
      </c>
      <c r="L24" t="s">
        <v>876</v>
      </c>
      <c r="M24" t="s">
        <v>1218</v>
      </c>
      <c r="N24" t="s">
        <v>56</v>
      </c>
      <c r="O24">
        <v>998978</v>
      </c>
      <c r="P24">
        <v>8589651</v>
      </c>
      <c r="Q24" t="s">
        <v>1219</v>
      </c>
      <c r="R24" t="s">
        <v>1142</v>
      </c>
      <c r="S24" t="s">
        <v>869</v>
      </c>
      <c r="T24" s="11">
        <v>46209.725902777776</v>
      </c>
      <c r="U24" s="11"/>
      <c r="V24" s="11">
        <v>46609.725902777776</v>
      </c>
      <c r="W24" t="s">
        <v>1117</v>
      </c>
      <c r="X24" t="s">
        <v>61</v>
      </c>
      <c r="Y24" t="s">
        <v>1220</v>
      </c>
      <c r="Z24" t="s">
        <v>1126</v>
      </c>
      <c r="AA24" t="s">
        <v>1120</v>
      </c>
      <c r="AB24" s="49" t="s">
        <v>1221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K24" t="s">
        <v>33</v>
      </c>
      <c r="AL24" t="s">
        <v>33</v>
      </c>
      <c r="AM24" t="s">
        <v>33</v>
      </c>
      <c r="AN24" t="s">
        <v>33</v>
      </c>
      <c r="AO24" s="12"/>
      <c r="AP24" s="12"/>
      <c r="AQ24" t="s">
        <v>33</v>
      </c>
      <c r="AR24" t="s">
        <v>33</v>
      </c>
      <c r="AS24" t="s">
        <v>33</v>
      </c>
      <c r="AU24" t="s">
        <v>33</v>
      </c>
      <c r="AV24" t="s">
        <v>33</v>
      </c>
      <c r="AW24" t="s">
        <v>33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J24" t="s">
        <v>33</v>
      </c>
      <c r="BK24" t="s">
        <v>33</v>
      </c>
      <c r="BL24" t="s">
        <v>33</v>
      </c>
    </row>
    <row r="25" spans="1:64" ht="270" x14ac:dyDescent="0.25">
      <c r="A25" t="s">
        <v>191</v>
      </c>
      <c r="B25" t="s">
        <v>33</v>
      </c>
      <c r="D25" t="s">
        <v>1169</v>
      </c>
      <c r="E25" t="s">
        <v>33</v>
      </c>
      <c r="F25" t="s">
        <v>33</v>
      </c>
      <c r="G25" t="s">
        <v>33</v>
      </c>
      <c r="H25" t="s">
        <v>33</v>
      </c>
      <c r="J25">
        <v>2026</v>
      </c>
      <c r="K25" t="s">
        <v>1139</v>
      </c>
      <c r="L25" t="s">
        <v>905</v>
      </c>
      <c r="M25" t="s">
        <v>1222</v>
      </c>
      <c r="N25" t="s">
        <v>189</v>
      </c>
      <c r="O25">
        <v>825557</v>
      </c>
      <c r="P25">
        <v>9381653</v>
      </c>
      <c r="Q25" t="s">
        <v>1223</v>
      </c>
      <c r="R25" t="s">
        <v>1162</v>
      </c>
      <c r="S25" t="s">
        <v>869</v>
      </c>
      <c r="T25" s="11">
        <v>46210.641493055555</v>
      </c>
      <c r="U25" s="11"/>
      <c r="V25" s="11">
        <v>46270.641493055555</v>
      </c>
      <c r="W25" t="s">
        <v>1136</v>
      </c>
      <c r="X25" t="s">
        <v>193</v>
      </c>
      <c r="Y25" t="s">
        <v>1143</v>
      </c>
      <c r="Z25" t="s">
        <v>1126</v>
      </c>
      <c r="AA25" t="s">
        <v>1120</v>
      </c>
      <c r="AB25" s="49" t="s">
        <v>1224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K25" t="s">
        <v>33</v>
      </c>
      <c r="AL25" t="s">
        <v>33</v>
      </c>
      <c r="AM25" t="s">
        <v>33</v>
      </c>
      <c r="AN25" t="s">
        <v>33</v>
      </c>
      <c r="AO25" s="12"/>
      <c r="AP25" s="12"/>
      <c r="AQ25" t="s">
        <v>33</v>
      </c>
      <c r="AR25" t="s">
        <v>33</v>
      </c>
      <c r="AS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J25" t="s">
        <v>33</v>
      </c>
      <c r="BK25" t="s">
        <v>33</v>
      </c>
      <c r="BL25" t="s">
        <v>33</v>
      </c>
    </row>
    <row r="26" spans="1:64" ht="180" x14ac:dyDescent="0.25">
      <c r="A26" t="s">
        <v>18</v>
      </c>
      <c r="B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J26">
        <v>2026</v>
      </c>
      <c r="K26" t="s">
        <v>1152</v>
      </c>
      <c r="L26" t="s">
        <v>905</v>
      </c>
      <c r="M26" t="s">
        <v>1225</v>
      </c>
      <c r="N26" t="s">
        <v>13</v>
      </c>
      <c r="O26">
        <v>808350</v>
      </c>
      <c r="P26">
        <v>9204335</v>
      </c>
      <c r="Q26" t="s">
        <v>1226</v>
      </c>
      <c r="R26" t="s">
        <v>1142</v>
      </c>
      <c r="S26" t="s">
        <v>869</v>
      </c>
      <c r="T26" s="11">
        <v>46210.64199074074</v>
      </c>
      <c r="U26" s="11"/>
      <c r="V26" s="11">
        <v>46610.64199074074</v>
      </c>
      <c r="W26" t="s">
        <v>1227</v>
      </c>
      <c r="X26" t="s">
        <v>20</v>
      </c>
      <c r="Y26" t="s">
        <v>1155</v>
      </c>
      <c r="Z26" t="s">
        <v>1119</v>
      </c>
      <c r="AA26" t="s">
        <v>1120</v>
      </c>
      <c r="AB26" s="49" t="s">
        <v>1228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K26" t="s">
        <v>33</v>
      </c>
      <c r="AL26" t="s">
        <v>33</v>
      </c>
      <c r="AM26" t="s">
        <v>33</v>
      </c>
      <c r="AN26" t="s">
        <v>33</v>
      </c>
      <c r="AO26" s="12"/>
      <c r="AP26" s="12"/>
      <c r="AQ26" t="s">
        <v>33</v>
      </c>
      <c r="AR26" t="s">
        <v>33</v>
      </c>
      <c r="AS26" t="s">
        <v>33</v>
      </c>
      <c r="AU26" t="s">
        <v>33</v>
      </c>
      <c r="AV26" t="s">
        <v>33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J26" t="s">
        <v>33</v>
      </c>
      <c r="BK26" t="s">
        <v>33</v>
      </c>
      <c r="BL26" t="s">
        <v>33</v>
      </c>
    </row>
    <row r="27" spans="1:64" ht="409.5" x14ac:dyDescent="0.25">
      <c r="A27" t="s">
        <v>188</v>
      </c>
      <c r="B27" t="s">
        <v>33</v>
      </c>
      <c r="D27" t="s">
        <v>1229</v>
      </c>
      <c r="E27" t="s">
        <v>1128</v>
      </c>
      <c r="F27" t="s">
        <v>33</v>
      </c>
      <c r="G27" t="s">
        <v>33</v>
      </c>
      <c r="H27" t="s">
        <v>33</v>
      </c>
      <c r="J27">
        <v>2026</v>
      </c>
      <c r="K27" t="s">
        <v>1113</v>
      </c>
      <c r="L27" t="s">
        <v>905</v>
      </c>
      <c r="M27" t="s">
        <v>1230</v>
      </c>
      <c r="N27" t="s">
        <v>186</v>
      </c>
      <c r="O27">
        <v>835984</v>
      </c>
      <c r="P27">
        <v>8971402</v>
      </c>
      <c r="Q27" t="s">
        <v>1231</v>
      </c>
      <c r="R27" t="s">
        <v>1116</v>
      </c>
      <c r="S27" t="s">
        <v>869</v>
      </c>
      <c r="T27" s="11">
        <v>46210.644050925926</v>
      </c>
      <c r="U27" s="11"/>
      <c r="V27" s="11">
        <v>46213.644050925926</v>
      </c>
      <c r="W27" t="s">
        <v>1117</v>
      </c>
      <c r="X27" t="s">
        <v>170</v>
      </c>
      <c r="Y27" t="s">
        <v>1232</v>
      </c>
      <c r="Z27" t="s">
        <v>1126</v>
      </c>
      <c r="AA27" t="s">
        <v>1120</v>
      </c>
      <c r="AB27" s="49" t="s">
        <v>1233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K27" t="s">
        <v>33</v>
      </c>
      <c r="AL27" t="s">
        <v>33</v>
      </c>
      <c r="AM27" t="s">
        <v>33</v>
      </c>
      <c r="AN27" t="s">
        <v>33</v>
      </c>
      <c r="AO27" s="12"/>
      <c r="AP27" s="12"/>
      <c r="AQ27" t="s">
        <v>33</v>
      </c>
      <c r="AR27" t="s">
        <v>33</v>
      </c>
      <c r="AS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 t="s">
        <v>33</v>
      </c>
      <c r="BA27" t="s">
        <v>33</v>
      </c>
      <c r="BB27" t="s">
        <v>33</v>
      </c>
      <c r="BC27" t="s">
        <v>33</v>
      </c>
      <c r="BJ27" t="s">
        <v>33</v>
      </c>
      <c r="BK27" t="s">
        <v>33</v>
      </c>
      <c r="BL27" t="s">
        <v>33</v>
      </c>
    </row>
    <row r="28" spans="1:64" ht="409.5" x14ac:dyDescent="0.25">
      <c r="A28" t="s">
        <v>224</v>
      </c>
      <c r="B28" t="s">
        <v>33</v>
      </c>
      <c r="D28" t="s">
        <v>1169</v>
      </c>
      <c r="E28" t="s">
        <v>1122</v>
      </c>
      <c r="F28" t="s">
        <v>33</v>
      </c>
      <c r="G28" t="s">
        <v>33</v>
      </c>
      <c r="H28" t="s">
        <v>33</v>
      </c>
      <c r="J28">
        <v>2026</v>
      </c>
      <c r="K28" t="s">
        <v>1139</v>
      </c>
      <c r="L28" t="s">
        <v>905</v>
      </c>
      <c r="M28" t="s">
        <v>1234</v>
      </c>
      <c r="N28" t="s">
        <v>222</v>
      </c>
      <c r="O28">
        <v>794701</v>
      </c>
      <c r="P28">
        <v>8603487</v>
      </c>
      <c r="Q28" t="s">
        <v>1235</v>
      </c>
      <c r="R28" t="s">
        <v>1162</v>
      </c>
      <c r="S28" t="s">
        <v>869</v>
      </c>
      <c r="T28" s="11">
        <v>46210.655405092592</v>
      </c>
      <c r="U28" s="11"/>
      <c r="V28" s="11">
        <v>46270.655405092592</v>
      </c>
      <c r="W28" t="s">
        <v>1117</v>
      </c>
      <c r="X28" t="s">
        <v>143</v>
      </c>
      <c r="Y28" t="s">
        <v>1220</v>
      </c>
      <c r="Z28" t="s">
        <v>1126</v>
      </c>
      <c r="AA28" t="s">
        <v>1120</v>
      </c>
      <c r="AB28" s="49" t="s">
        <v>1236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K28" t="s">
        <v>33</v>
      </c>
      <c r="AL28" t="s">
        <v>33</v>
      </c>
      <c r="AM28" t="s">
        <v>33</v>
      </c>
      <c r="AN28" t="s">
        <v>33</v>
      </c>
      <c r="AO28" s="12"/>
      <c r="AP28" s="12"/>
      <c r="AQ28" t="s">
        <v>33</v>
      </c>
      <c r="AR28" t="s">
        <v>33</v>
      </c>
      <c r="AS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J28" t="s">
        <v>33</v>
      </c>
      <c r="BK28" t="s">
        <v>33</v>
      </c>
      <c r="BL28" t="s">
        <v>33</v>
      </c>
    </row>
    <row r="29" spans="1:64" ht="270" x14ac:dyDescent="0.25">
      <c r="A29" t="s">
        <v>147</v>
      </c>
      <c r="B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J29">
        <v>2026</v>
      </c>
      <c r="K29" t="s">
        <v>1152</v>
      </c>
      <c r="L29" t="s">
        <v>905</v>
      </c>
      <c r="M29" t="s">
        <v>1209</v>
      </c>
      <c r="N29" t="s">
        <v>145</v>
      </c>
      <c r="O29">
        <v>823519</v>
      </c>
      <c r="P29">
        <v>8668465</v>
      </c>
      <c r="Q29" t="s">
        <v>1237</v>
      </c>
      <c r="R29" t="s">
        <v>1142</v>
      </c>
      <c r="S29" t="s">
        <v>869</v>
      </c>
      <c r="T29" s="11">
        <v>46210.660277777781</v>
      </c>
      <c r="U29" s="11"/>
      <c r="V29" s="11">
        <v>46610.660277777781</v>
      </c>
      <c r="W29" t="s">
        <v>1136</v>
      </c>
      <c r="X29" t="s">
        <v>1238</v>
      </c>
      <c r="Y29" t="s">
        <v>1155</v>
      </c>
      <c r="Z29" t="s">
        <v>1126</v>
      </c>
      <c r="AA29" t="s">
        <v>1120</v>
      </c>
      <c r="AB29" s="49" t="s">
        <v>1239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K29" t="s">
        <v>33</v>
      </c>
      <c r="AL29" t="s">
        <v>33</v>
      </c>
      <c r="AM29" t="s">
        <v>33</v>
      </c>
      <c r="AN29" t="s">
        <v>33</v>
      </c>
      <c r="AO29" s="12"/>
      <c r="AP29" s="12"/>
      <c r="AQ29" t="s">
        <v>33</v>
      </c>
      <c r="AR29" t="s">
        <v>33</v>
      </c>
      <c r="AS29" t="s">
        <v>33</v>
      </c>
      <c r="AU29" t="s">
        <v>33</v>
      </c>
      <c r="AV29" t="s">
        <v>33</v>
      </c>
      <c r="AW29" t="s">
        <v>33</v>
      </c>
      <c r="AX29" t="s">
        <v>33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J29" t="s">
        <v>33</v>
      </c>
      <c r="BK29" t="s">
        <v>33</v>
      </c>
      <c r="BL29" t="s">
        <v>33</v>
      </c>
    </row>
    <row r="30" spans="1:64" ht="405" x14ac:dyDescent="0.25">
      <c r="A30" t="s">
        <v>32</v>
      </c>
      <c r="B30" t="s">
        <v>33</v>
      </c>
      <c r="D30" t="s">
        <v>1169</v>
      </c>
      <c r="E30" t="s">
        <v>1112</v>
      </c>
      <c r="F30" t="s">
        <v>33</v>
      </c>
      <c r="G30" t="s">
        <v>33</v>
      </c>
      <c r="H30" t="s">
        <v>33</v>
      </c>
      <c r="J30">
        <v>2026</v>
      </c>
      <c r="K30" t="s">
        <v>1113</v>
      </c>
      <c r="L30" t="s">
        <v>905</v>
      </c>
      <c r="M30" t="s">
        <v>1230</v>
      </c>
      <c r="N30" t="s">
        <v>30</v>
      </c>
      <c r="O30">
        <v>851948</v>
      </c>
      <c r="P30">
        <v>8950905</v>
      </c>
      <c r="Q30" t="s">
        <v>1240</v>
      </c>
      <c r="R30" t="s">
        <v>1116</v>
      </c>
      <c r="S30" t="s">
        <v>869</v>
      </c>
      <c r="T30" s="11">
        <v>46211.425625000003</v>
      </c>
      <c r="U30" s="11"/>
      <c r="V30" s="11">
        <v>46214.425625000003</v>
      </c>
      <c r="W30" t="s">
        <v>1117</v>
      </c>
      <c r="X30" t="s">
        <v>34</v>
      </c>
      <c r="Y30" t="s">
        <v>1241</v>
      </c>
      <c r="Z30" t="s">
        <v>1126</v>
      </c>
      <c r="AA30" t="s">
        <v>1120</v>
      </c>
      <c r="AB30" s="49" t="s">
        <v>1242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K30" t="s">
        <v>33</v>
      </c>
      <c r="AL30" t="s">
        <v>33</v>
      </c>
      <c r="AM30" t="s">
        <v>33</v>
      </c>
      <c r="AN30" t="s">
        <v>33</v>
      </c>
      <c r="AO30" s="12"/>
      <c r="AP30" s="12"/>
      <c r="AQ30" t="s">
        <v>33</v>
      </c>
      <c r="AR30" t="s">
        <v>33</v>
      </c>
      <c r="AS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J30" t="s">
        <v>33</v>
      </c>
      <c r="BK30" t="s">
        <v>33</v>
      </c>
      <c r="BL30" t="s">
        <v>33</v>
      </c>
    </row>
    <row r="31" spans="1:64" ht="88.5" customHeight="1" x14ac:dyDescent="0.25">
      <c r="A31" t="s">
        <v>210</v>
      </c>
      <c r="B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J31">
        <v>2026</v>
      </c>
      <c r="K31" t="s">
        <v>1113</v>
      </c>
      <c r="L31" t="s">
        <v>905</v>
      </c>
      <c r="M31" t="s">
        <v>1243</v>
      </c>
      <c r="N31" t="s">
        <v>208</v>
      </c>
      <c r="Q31" t="s">
        <v>1244</v>
      </c>
      <c r="R31" t="s">
        <v>1116</v>
      </c>
      <c r="S31" t="s">
        <v>869</v>
      </c>
      <c r="T31" s="11">
        <v>46211.427233796298</v>
      </c>
      <c r="U31" s="11"/>
      <c r="V31" s="11">
        <v>46214.427233796298</v>
      </c>
      <c r="W31" t="s">
        <v>1245</v>
      </c>
      <c r="X31" t="s">
        <v>33</v>
      </c>
      <c r="Y31" t="s">
        <v>1246</v>
      </c>
      <c r="Z31" t="s">
        <v>33</v>
      </c>
      <c r="AA31" t="s">
        <v>1120</v>
      </c>
      <c r="AB31" s="49" t="s">
        <v>1247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K31" t="s">
        <v>33</v>
      </c>
      <c r="AL31" t="s">
        <v>33</v>
      </c>
      <c r="AM31" t="s">
        <v>33</v>
      </c>
      <c r="AN31" t="s">
        <v>33</v>
      </c>
      <c r="AO31" s="12"/>
      <c r="AP31" s="12"/>
      <c r="AQ31" t="s">
        <v>33</v>
      </c>
      <c r="AR31" t="s">
        <v>33</v>
      </c>
      <c r="AS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 t="s">
        <v>33</v>
      </c>
      <c r="BA31" t="s">
        <v>33</v>
      </c>
      <c r="BB31" t="s">
        <v>33</v>
      </c>
      <c r="BC31" t="s">
        <v>33</v>
      </c>
      <c r="BJ31" t="s">
        <v>33</v>
      </c>
      <c r="BK31" t="s">
        <v>33</v>
      </c>
      <c r="BL31" t="s">
        <v>33</v>
      </c>
    </row>
    <row r="32" spans="1:64" ht="315" x14ac:dyDescent="0.25">
      <c r="A32" t="s">
        <v>184</v>
      </c>
      <c r="B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J32">
        <v>2026</v>
      </c>
      <c r="K32" t="s">
        <v>1139</v>
      </c>
      <c r="L32" t="s">
        <v>905</v>
      </c>
      <c r="M32" t="s">
        <v>1193</v>
      </c>
      <c r="N32" t="s">
        <v>182</v>
      </c>
      <c r="O32">
        <v>695371</v>
      </c>
      <c r="P32">
        <v>8916924</v>
      </c>
      <c r="Q32" t="s">
        <v>1248</v>
      </c>
      <c r="R32" t="s">
        <v>1142</v>
      </c>
      <c r="S32" t="s">
        <v>869</v>
      </c>
      <c r="T32" s="11">
        <v>46211.433587962965</v>
      </c>
      <c r="U32" s="11"/>
      <c r="V32" s="11">
        <v>46611.433587962965</v>
      </c>
      <c r="W32" t="s">
        <v>1136</v>
      </c>
      <c r="X32" t="s">
        <v>1195</v>
      </c>
      <c r="Y32" t="s">
        <v>1220</v>
      </c>
      <c r="Z32" t="s">
        <v>1126</v>
      </c>
      <c r="AA32" t="s">
        <v>1120</v>
      </c>
      <c r="AB32" s="49" t="s">
        <v>1249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K32" t="s">
        <v>33</v>
      </c>
      <c r="AL32" t="s">
        <v>33</v>
      </c>
      <c r="AM32" t="s">
        <v>33</v>
      </c>
      <c r="AN32" t="s">
        <v>33</v>
      </c>
      <c r="AO32" s="12"/>
      <c r="AP32" s="12"/>
      <c r="AQ32" t="s">
        <v>33</v>
      </c>
      <c r="AR32" t="s">
        <v>33</v>
      </c>
      <c r="AS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J32" t="s">
        <v>33</v>
      </c>
      <c r="BK32" t="s">
        <v>33</v>
      </c>
      <c r="BL32" t="s">
        <v>33</v>
      </c>
    </row>
    <row r="33" spans="1:64" ht="375" x14ac:dyDescent="0.25">
      <c r="A33" t="s">
        <v>233</v>
      </c>
      <c r="B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J33">
        <v>2026</v>
      </c>
      <c r="K33" t="s">
        <v>1139</v>
      </c>
      <c r="L33" t="s">
        <v>905</v>
      </c>
      <c r="M33" t="s">
        <v>1147</v>
      </c>
      <c r="N33" t="s">
        <v>231</v>
      </c>
      <c r="O33">
        <v>787602</v>
      </c>
      <c r="P33">
        <v>8929207</v>
      </c>
      <c r="Q33" t="s">
        <v>1250</v>
      </c>
      <c r="R33" t="s">
        <v>1142</v>
      </c>
      <c r="S33" t="s">
        <v>869</v>
      </c>
      <c r="T33" s="11">
        <v>46211.436157407406</v>
      </c>
      <c r="U33" s="11"/>
      <c r="V33" s="11">
        <v>46611.436157407406</v>
      </c>
      <c r="W33" t="s">
        <v>1136</v>
      </c>
      <c r="X33" t="s">
        <v>106</v>
      </c>
      <c r="Y33" t="s">
        <v>1220</v>
      </c>
      <c r="Z33" t="s">
        <v>1126</v>
      </c>
      <c r="AA33" t="s">
        <v>1120</v>
      </c>
      <c r="AB33" s="49" t="s">
        <v>1251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K33" t="s">
        <v>33</v>
      </c>
      <c r="AL33" t="s">
        <v>33</v>
      </c>
      <c r="AM33" t="s">
        <v>33</v>
      </c>
      <c r="AN33" t="s">
        <v>33</v>
      </c>
      <c r="AO33" s="12"/>
      <c r="AP33" s="12"/>
      <c r="AQ33" t="s">
        <v>33</v>
      </c>
      <c r="AR33" t="s">
        <v>33</v>
      </c>
      <c r="AS33" t="s">
        <v>33</v>
      </c>
      <c r="AU33" t="s">
        <v>33</v>
      </c>
      <c r="AV33" t="s">
        <v>33</v>
      </c>
      <c r="AW33" t="s">
        <v>33</v>
      </c>
      <c r="AX33" t="s">
        <v>33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J33" t="s">
        <v>33</v>
      </c>
      <c r="BK33" t="s">
        <v>33</v>
      </c>
      <c r="BL33" t="s">
        <v>33</v>
      </c>
    </row>
    <row r="34" spans="1:64" ht="409.5" x14ac:dyDescent="0.25">
      <c r="A34" t="s">
        <v>293</v>
      </c>
      <c r="B34" t="s">
        <v>33</v>
      </c>
      <c r="D34" t="s">
        <v>1169</v>
      </c>
      <c r="E34" t="s">
        <v>1186</v>
      </c>
      <c r="F34" t="s">
        <v>33</v>
      </c>
      <c r="G34" t="s">
        <v>33</v>
      </c>
      <c r="H34" t="s">
        <v>33</v>
      </c>
      <c r="J34">
        <v>2026</v>
      </c>
      <c r="K34" t="s">
        <v>1113</v>
      </c>
      <c r="L34" t="s">
        <v>996</v>
      </c>
      <c r="M34" t="s">
        <v>1252</v>
      </c>
      <c r="N34" t="s">
        <v>292</v>
      </c>
      <c r="O34">
        <v>857972</v>
      </c>
      <c r="P34">
        <v>9047058</v>
      </c>
      <c r="Q34" t="s">
        <v>1253</v>
      </c>
      <c r="R34" t="s">
        <v>1116</v>
      </c>
      <c r="S34" t="s">
        <v>869</v>
      </c>
      <c r="T34" s="11">
        <v>46211.478425925925</v>
      </c>
      <c r="U34" s="11"/>
      <c r="V34" s="11">
        <v>46214.478425925925</v>
      </c>
      <c r="W34" t="s">
        <v>1117</v>
      </c>
      <c r="X34" t="s">
        <v>295</v>
      </c>
      <c r="Y34" t="s">
        <v>1131</v>
      </c>
      <c r="Z34" t="s">
        <v>1126</v>
      </c>
      <c r="AA34" t="s">
        <v>1120</v>
      </c>
      <c r="AB34" s="49" t="s">
        <v>1254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K34" t="s">
        <v>33</v>
      </c>
      <c r="AL34" t="s">
        <v>33</v>
      </c>
      <c r="AM34" t="s">
        <v>33</v>
      </c>
      <c r="AN34" t="s">
        <v>33</v>
      </c>
      <c r="AO34" s="12"/>
      <c r="AP34" s="12"/>
      <c r="AQ34" t="s">
        <v>33</v>
      </c>
      <c r="AR34" t="s">
        <v>33</v>
      </c>
      <c r="AS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J34" t="s">
        <v>33</v>
      </c>
      <c r="BK34" t="s">
        <v>33</v>
      </c>
      <c r="BL34" t="s">
        <v>33</v>
      </c>
    </row>
    <row r="35" spans="1:64" ht="375" x14ac:dyDescent="0.25">
      <c r="A35" t="s">
        <v>282</v>
      </c>
      <c r="B35" t="s">
        <v>33</v>
      </c>
      <c r="D35" t="s">
        <v>1169</v>
      </c>
      <c r="E35" t="s">
        <v>1112</v>
      </c>
      <c r="F35" t="s">
        <v>33</v>
      </c>
      <c r="G35" t="s">
        <v>33</v>
      </c>
      <c r="H35" t="s">
        <v>33</v>
      </c>
      <c r="J35">
        <v>2026</v>
      </c>
      <c r="K35" t="s">
        <v>1113</v>
      </c>
      <c r="L35" t="s">
        <v>905</v>
      </c>
      <c r="M35" t="s">
        <v>1255</v>
      </c>
      <c r="N35" t="s">
        <v>279</v>
      </c>
      <c r="O35">
        <v>623917</v>
      </c>
      <c r="P35">
        <v>8934104</v>
      </c>
      <c r="Q35" t="s">
        <v>1256</v>
      </c>
      <c r="R35" t="s">
        <v>1116</v>
      </c>
      <c r="S35" t="s">
        <v>869</v>
      </c>
      <c r="T35" s="11">
        <v>46216.483842592592</v>
      </c>
      <c r="U35" s="11"/>
      <c r="V35" s="11">
        <v>46219.483842592592</v>
      </c>
      <c r="W35" t="s">
        <v>1117</v>
      </c>
      <c r="X35" t="s">
        <v>155</v>
      </c>
      <c r="Y35" t="s">
        <v>1257</v>
      </c>
      <c r="Z35" t="s">
        <v>1126</v>
      </c>
      <c r="AA35" t="s">
        <v>1120</v>
      </c>
      <c r="AB35" s="49" t="s">
        <v>1258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K35" t="s">
        <v>33</v>
      </c>
      <c r="AL35" t="s">
        <v>33</v>
      </c>
      <c r="AM35" t="s">
        <v>33</v>
      </c>
      <c r="AN35" t="s">
        <v>33</v>
      </c>
      <c r="AO35" s="12"/>
      <c r="AP35" s="12"/>
      <c r="AQ35" t="s">
        <v>33</v>
      </c>
      <c r="AR35" t="s">
        <v>33</v>
      </c>
      <c r="AS35" t="s">
        <v>33</v>
      </c>
      <c r="AU35" t="s">
        <v>33</v>
      </c>
      <c r="AV35" t="s">
        <v>33</v>
      </c>
      <c r="AW35" t="s">
        <v>33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J35" t="s">
        <v>33</v>
      </c>
      <c r="BK35" t="s">
        <v>33</v>
      </c>
      <c r="BL35" t="s">
        <v>33</v>
      </c>
    </row>
    <row r="36" spans="1:64" ht="409.5" x14ac:dyDescent="0.25">
      <c r="A36" t="s">
        <v>65</v>
      </c>
      <c r="B36" t="s">
        <v>33</v>
      </c>
      <c r="D36" t="s">
        <v>1111</v>
      </c>
      <c r="E36" t="s">
        <v>1186</v>
      </c>
      <c r="F36" t="s">
        <v>33</v>
      </c>
      <c r="G36" t="s">
        <v>33</v>
      </c>
      <c r="H36" t="s">
        <v>33</v>
      </c>
      <c r="J36">
        <v>2026</v>
      </c>
      <c r="K36" t="s">
        <v>1113</v>
      </c>
      <c r="L36" t="s">
        <v>905</v>
      </c>
      <c r="M36" t="s">
        <v>1259</v>
      </c>
      <c r="N36" t="s">
        <v>62</v>
      </c>
      <c r="O36">
        <v>787930</v>
      </c>
      <c r="P36">
        <v>8828052</v>
      </c>
      <c r="Q36" t="s">
        <v>1260</v>
      </c>
      <c r="R36" t="s">
        <v>1162</v>
      </c>
      <c r="S36" t="s">
        <v>869</v>
      </c>
      <c r="T36" s="11">
        <v>46216.799375000002</v>
      </c>
      <c r="U36" s="11"/>
      <c r="V36" s="11">
        <v>46276.799375000002</v>
      </c>
      <c r="W36" t="s">
        <v>1117</v>
      </c>
      <c r="X36" t="s">
        <v>67</v>
      </c>
      <c r="Y36" t="s">
        <v>1261</v>
      </c>
      <c r="Z36" t="s">
        <v>1126</v>
      </c>
      <c r="AA36" t="s">
        <v>1120</v>
      </c>
      <c r="AB36" s="49" t="s">
        <v>1262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K36" t="s">
        <v>33</v>
      </c>
      <c r="AL36" t="s">
        <v>33</v>
      </c>
      <c r="AM36" t="s">
        <v>33</v>
      </c>
      <c r="AN36" t="s">
        <v>33</v>
      </c>
      <c r="AO36" s="12"/>
      <c r="AP36" s="12"/>
      <c r="AQ36" t="s">
        <v>33</v>
      </c>
      <c r="AR36" t="s">
        <v>33</v>
      </c>
      <c r="AS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J36" t="s">
        <v>33</v>
      </c>
      <c r="BK36" t="s">
        <v>33</v>
      </c>
      <c r="BL36" t="s">
        <v>33</v>
      </c>
    </row>
    <row r="37" spans="1:64" ht="409.5" x14ac:dyDescent="0.25">
      <c r="A37" t="s">
        <v>269</v>
      </c>
      <c r="B37" t="s">
        <v>33</v>
      </c>
      <c r="D37" t="s">
        <v>1169</v>
      </c>
      <c r="E37" t="s">
        <v>1128</v>
      </c>
      <c r="F37" t="s">
        <v>33</v>
      </c>
      <c r="G37" t="s">
        <v>33</v>
      </c>
      <c r="H37" t="s">
        <v>33</v>
      </c>
      <c r="J37">
        <v>2026</v>
      </c>
      <c r="K37" t="s">
        <v>1139</v>
      </c>
      <c r="L37" t="s">
        <v>905</v>
      </c>
      <c r="M37" t="s">
        <v>1263</v>
      </c>
      <c r="N37" t="s">
        <v>266</v>
      </c>
      <c r="O37">
        <v>765777</v>
      </c>
      <c r="P37">
        <v>8894217</v>
      </c>
      <c r="Q37" t="s">
        <v>1264</v>
      </c>
      <c r="R37" t="s">
        <v>1116</v>
      </c>
      <c r="S37" t="s">
        <v>869</v>
      </c>
      <c r="T37" s="11">
        <v>46218.457800925928</v>
      </c>
      <c r="U37" s="11"/>
      <c r="V37" s="11">
        <v>46221.457800925928</v>
      </c>
      <c r="W37" t="s">
        <v>1117</v>
      </c>
      <c r="X37" t="s">
        <v>106</v>
      </c>
      <c r="Y37" t="s">
        <v>1265</v>
      </c>
      <c r="Z37" t="s">
        <v>1126</v>
      </c>
      <c r="AA37" t="s">
        <v>1120</v>
      </c>
      <c r="AB37" s="49" t="s">
        <v>1266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K37" t="s">
        <v>33</v>
      </c>
      <c r="AL37" t="s">
        <v>33</v>
      </c>
      <c r="AM37" t="s">
        <v>33</v>
      </c>
      <c r="AN37" t="s">
        <v>33</v>
      </c>
      <c r="AO37" s="12"/>
      <c r="AP37" s="12"/>
      <c r="AQ37" t="s">
        <v>33</v>
      </c>
      <c r="AR37" t="s">
        <v>33</v>
      </c>
      <c r="AS37" t="s">
        <v>33</v>
      </c>
      <c r="AU37" t="s">
        <v>33</v>
      </c>
      <c r="AV37" t="s">
        <v>33</v>
      </c>
      <c r="AW37" t="s">
        <v>33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J37" t="s">
        <v>33</v>
      </c>
      <c r="BK37" t="s">
        <v>33</v>
      </c>
      <c r="BL37" t="s">
        <v>33</v>
      </c>
    </row>
    <row r="38" spans="1:64" ht="270" x14ac:dyDescent="0.25">
      <c r="A38" t="s">
        <v>285</v>
      </c>
      <c r="B38" t="s">
        <v>33</v>
      </c>
      <c r="D38" t="s">
        <v>1111</v>
      </c>
      <c r="E38" t="s">
        <v>1122</v>
      </c>
      <c r="F38" t="s">
        <v>33</v>
      </c>
      <c r="G38" t="s">
        <v>33</v>
      </c>
      <c r="H38" t="s">
        <v>33</v>
      </c>
      <c r="J38">
        <v>2026</v>
      </c>
      <c r="K38" t="s">
        <v>1113</v>
      </c>
      <c r="L38" t="s">
        <v>905</v>
      </c>
      <c r="M38" t="s">
        <v>1267</v>
      </c>
      <c r="N38" t="s">
        <v>284</v>
      </c>
      <c r="O38">
        <v>819863</v>
      </c>
      <c r="P38">
        <v>9070549</v>
      </c>
      <c r="Q38" t="s">
        <v>1268</v>
      </c>
      <c r="R38" t="s">
        <v>1116</v>
      </c>
      <c r="S38" t="s">
        <v>869</v>
      </c>
      <c r="T38" s="11">
        <v>46219.382604166669</v>
      </c>
      <c r="U38" s="11"/>
      <c r="V38" s="11">
        <v>46222.382604166669</v>
      </c>
      <c r="W38" t="s">
        <v>1136</v>
      </c>
      <c r="X38" t="s">
        <v>287</v>
      </c>
      <c r="Y38" t="s">
        <v>1269</v>
      </c>
      <c r="Z38" t="s">
        <v>1119</v>
      </c>
      <c r="AA38" t="s">
        <v>1120</v>
      </c>
      <c r="AB38" s="49" t="s">
        <v>1270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K38" t="s">
        <v>33</v>
      </c>
      <c r="AL38" t="s">
        <v>33</v>
      </c>
      <c r="AM38" t="s">
        <v>33</v>
      </c>
      <c r="AN38" t="s">
        <v>33</v>
      </c>
      <c r="AO38" s="12"/>
      <c r="AP38" s="12"/>
      <c r="AQ38" t="s">
        <v>33</v>
      </c>
      <c r="AR38" t="s">
        <v>33</v>
      </c>
      <c r="AS38" t="s">
        <v>33</v>
      </c>
      <c r="AU38" t="s">
        <v>33</v>
      </c>
      <c r="AV38" t="s">
        <v>33</v>
      </c>
      <c r="AW38" t="s">
        <v>33</v>
      </c>
      <c r="AX38" t="s">
        <v>33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J38" t="s">
        <v>33</v>
      </c>
      <c r="BK38" t="s">
        <v>33</v>
      </c>
      <c r="BL38" t="s">
        <v>33</v>
      </c>
    </row>
    <row r="39" spans="1:64" ht="409.5" x14ac:dyDescent="0.25">
      <c r="A39" t="s">
        <v>216</v>
      </c>
      <c r="B39" t="s">
        <v>33</v>
      </c>
      <c r="D39" t="s">
        <v>1169</v>
      </c>
      <c r="E39" t="s">
        <v>1128</v>
      </c>
      <c r="F39" t="s">
        <v>33</v>
      </c>
      <c r="G39" t="s">
        <v>33</v>
      </c>
      <c r="H39" t="s">
        <v>33</v>
      </c>
      <c r="J39">
        <v>2026</v>
      </c>
      <c r="K39" t="s">
        <v>1113</v>
      </c>
      <c r="L39" t="s">
        <v>905</v>
      </c>
      <c r="M39" t="s">
        <v>1271</v>
      </c>
      <c r="N39" t="s">
        <v>213</v>
      </c>
      <c r="O39">
        <v>798247</v>
      </c>
      <c r="P39">
        <v>8867579</v>
      </c>
      <c r="Q39" t="s">
        <v>1272</v>
      </c>
      <c r="R39" t="s">
        <v>1116</v>
      </c>
      <c r="S39" t="s">
        <v>869</v>
      </c>
      <c r="T39" s="11">
        <v>46219.453206018516</v>
      </c>
      <c r="U39" s="11"/>
      <c r="V39" s="11">
        <v>46222.453206018516</v>
      </c>
      <c r="W39" t="s">
        <v>1117</v>
      </c>
      <c r="X39" t="s">
        <v>27</v>
      </c>
      <c r="Y39" t="s">
        <v>1181</v>
      </c>
      <c r="Z39" t="s">
        <v>1126</v>
      </c>
      <c r="AA39" t="s">
        <v>1120</v>
      </c>
      <c r="AB39" s="49" t="s">
        <v>1273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K39" t="s">
        <v>33</v>
      </c>
      <c r="AL39" t="s">
        <v>33</v>
      </c>
      <c r="AM39" t="s">
        <v>33</v>
      </c>
      <c r="AN39" t="s">
        <v>33</v>
      </c>
      <c r="AO39" s="12"/>
      <c r="AP39" s="12"/>
      <c r="AQ39" t="s">
        <v>33</v>
      </c>
      <c r="AR39" t="s">
        <v>33</v>
      </c>
      <c r="AS39" t="s">
        <v>33</v>
      </c>
      <c r="AU39" t="s">
        <v>33</v>
      </c>
      <c r="AV39" t="s">
        <v>33</v>
      </c>
      <c r="AW39" t="s">
        <v>33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J39" t="s">
        <v>33</v>
      </c>
      <c r="BK39" t="s">
        <v>33</v>
      </c>
      <c r="BL39" t="s">
        <v>33</v>
      </c>
    </row>
    <row r="40" spans="1:64" ht="409.5" x14ac:dyDescent="0.25">
      <c r="A40" t="s">
        <v>92</v>
      </c>
      <c r="B40" t="s">
        <v>33</v>
      </c>
      <c r="D40" t="s">
        <v>1274</v>
      </c>
      <c r="E40" t="s">
        <v>1146</v>
      </c>
      <c r="F40" t="s">
        <v>33</v>
      </c>
      <c r="G40" t="s">
        <v>33</v>
      </c>
      <c r="H40" t="s">
        <v>33</v>
      </c>
      <c r="J40">
        <v>2026</v>
      </c>
      <c r="K40" t="s">
        <v>1113</v>
      </c>
      <c r="L40" t="s">
        <v>905</v>
      </c>
      <c r="M40" t="s">
        <v>1275</v>
      </c>
      <c r="N40" t="s">
        <v>88</v>
      </c>
      <c r="O40">
        <v>770823</v>
      </c>
      <c r="P40">
        <v>8872358</v>
      </c>
      <c r="Q40" t="s">
        <v>1276</v>
      </c>
      <c r="R40" t="s">
        <v>1116</v>
      </c>
      <c r="S40" t="s">
        <v>869</v>
      </c>
      <c r="T40" s="11">
        <v>46223.407743055555</v>
      </c>
      <c r="U40" s="11"/>
      <c r="V40" s="11">
        <v>46226.407743055555</v>
      </c>
      <c r="W40" t="s">
        <v>1277</v>
      </c>
      <c r="X40" t="s">
        <v>67</v>
      </c>
      <c r="Y40" t="s">
        <v>1278</v>
      </c>
      <c r="Z40" t="s">
        <v>1126</v>
      </c>
      <c r="AA40" t="s">
        <v>1120</v>
      </c>
      <c r="AB40" s="49" t="s">
        <v>1279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K40" t="s">
        <v>33</v>
      </c>
      <c r="AL40" t="s">
        <v>33</v>
      </c>
      <c r="AM40" t="s">
        <v>33</v>
      </c>
      <c r="AN40" t="s">
        <v>33</v>
      </c>
      <c r="AO40" s="12"/>
      <c r="AP40" s="12"/>
      <c r="AQ40" t="s">
        <v>33</v>
      </c>
      <c r="AR40" t="s">
        <v>33</v>
      </c>
      <c r="AS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J40" t="s">
        <v>33</v>
      </c>
      <c r="BK40" t="s">
        <v>33</v>
      </c>
      <c r="BL40" t="s">
        <v>33</v>
      </c>
    </row>
    <row r="41" spans="1:64" ht="409.5" x14ac:dyDescent="0.25">
      <c r="A41" t="s">
        <v>131</v>
      </c>
      <c r="B41" t="s">
        <v>33</v>
      </c>
      <c r="D41" t="s">
        <v>1169</v>
      </c>
      <c r="E41" t="s">
        <v>1112</v>
      </c>
      <c r="F41" t="s">
        <v>33</v>
      </c>
      <c r="G41" t="s">
        <v>33</v>
      </c>
      <c r="H41" t="s">
        <v>33</v>
      </c>
      <c r="J41">
        <v>2026</v>
      </c>
      <c r="K41" t="s">
        <v>1113</v>
      </c>
      <c r="L41" t="s">
        <v>905</v>
      </c>
      <c r="M41" t="s">
        <v>1280</v>
      </c>
      <c r="N41" t="s">
        <v>129</v>
      </c>
      <c r="O41">
        <v>793770</v>
      </c>
      <c r="P41">
        <v>8842597</v>
      </c>
      <c r="Q41" t="s">
        <v>1281</v>
      </c>
      <c r="R41" t="s">
        <v>1116</v>
      </c>
      <c r="S41" t="s">
        <v>869</v>
      </c>
      <c r="T41" s="11">
        <v>46223.430960648147</v>
      </c>
      <c r="U41" s="11"/>
      <c r="V41" s="11">
        <v>46226.430960648147</v>
      </c>
      <c r="W41" t="s">
        <v>1117</v>
      </c>
      <c r="X41" t="s">
        <v>67</v>
      </c>
      <c r="Y41" t="s">
        <v>1181</v>
      </c>
      <c r="Z41" t="s">
        <v>1126</v>
      </c>
      <c r="AA41" t="s">
        <v>1120</v>
      </c>
      <c r="AB41" s="49" t="s">
        <v>1282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K41" t="s">
        <v>33</v>
      </c>
      <c r="AL41" t="s">
        <v>33</v>
      </c>
      <c r="AM41" t="s">
        <v>33</v>
      </c>
      <c r="AN41" t="s">
        <v>33</v>
      </c>
      <c r="AO41" s="12"/>
      <c r="AP41" s="12"/>
      <c r="AQ41" t="s">
        <v>33</v>
      </c>
      <c r="AR41" t="s">
        <v>33</v>
      </c>
      <c r="AS41" t="s">
        <v>33</v>
      </c>
      <c r="AU41" t="s">
        <v>33</v>
      </c>
      <c r="AV41" t="s">
        <v>33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J41" t="s">
        <v>33</v>
      </c>
      <c r="BK41" t="s">
        <v>33</v>
      </c>
      <c r="BL41" t="s">
        <v>33</v>
      </c>
    </row>
    <row r="42" spans="1:64" ht="409.5" x14ac:dyDescent="0.25">
      <c r="A42" t="s">
        <v>110</v>
      </c>
      <c r="B42" t="s">
        <v>33</v>
      </c>
      <c r="D42" t="s">
        <v>1229</v>
      </c>
      <c r="E42" t="s">
        <v>1192</v>
      </c>
      <c r="F42" t="s">
        <v>33</v>
      </c>
      <c r="G42" t="s">
        <v>33</v>
      </c>
      <c r="H42" t="s">
        <v>33</v>
      </c>
      <c r="J42">
        <v>2026</v>
      </c>
      <c r="K42" t="s">
        <v>1113</v>
      </c>
      <c r="L42" t="s">
        <v>905</v>
      </c>
      <c r="M42" t="s">
        <v>1283</v>
      </c>
      <c r="N42" t="s">
        <v>107</v>
      </c>
      <c r="O42">
        <v>779435</v>
      </c>
      <c r="P42">
        <v>9138624</v>
      </c>
      <c r="Q42" t="s">
        <v>1284</v>
      </c>
      <c r="R42" t="s">
        <v>1116</v>
      </c>
      <c r="S42" t="s">
        <v>869</v>
      </c>
      <c r="T42" s="11">
        <v>46223.584999999999</v>
      </c>
      <c r="U42" s="11"/>
      <c r="V42" s="11">
        <v>46226.584999999999</v>
      </c>
      <c r="W42" t="s">
        <v>1149</v>
      </c>
      <c r="X42" t="s">
        <v>935</v>
      </c>
      <c r="Y42" t="s">
        <v>1125</v>
      </c>
      <c r="Z42" t="s">
        <v>1126</v>
      </c>
      <c r="AA42" t="s">
        <v>1120</v>
      </c>
      <c r="AB42" s="49" t="s">
        <v>1285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K42" t="s">
        <v>33</v>
      </c>
      <c r="AL42" t="s">
        <v>33</v>
      </c>
      <c r="AM42" t="s">
        <v>33</v>
      </c>
      <c r="AN42" t="s">
        <v>33</v>
      </c>
      <c r="AO42" s="12"/>
      <c r="AP42" s="12"/>
      <c r="AQ42" t="s">
        <v>33</v>
      </c>
      <c r="AR42" t="s">
        <v>33</v>
      </c>
      <c r="AS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 t="s">
        <v>33</v>
      </c>
      <c r="BA42" t="s">
        <v>33</v>
      </c>
      <c r="BB42" t="s">
        <v>33</v>
      </c>
      <c r="BC42" t="s">
        <v>33</v>
      </c>
      <c r="BJ42" t="s">
        <v>33</v>
      </c>
      <c r="BK42" t="s">
        <v>33</v>
      </c>
      <c r="BL42" t="s">
        <v>33</v>
      </c>
    </row>
    <row r="43" spans="1:64" ht="225" x14ac:dyDescent="0.25">
      <c r="A43" t="s">
        <v>47</v>
      </c>
      <c r="B43" t="s">
        <v>33</v>
      </c>
      <c r="D43" t="s">
        <v>1169</v>
      </c>
      <c r="E43" t="s">
        <v>1112</v>
      </c>
      <c r="F43" t="s">
        <v>33</v>
      </c>
      <c r="G43" t="s">
        <v>33</v>
      </c>
      <c r="H43" t="s">
        <v>33</v>
      </c>
      <c r="J43">
        <v>2026</v>
      </c>
      <c r="K43" t="s">
        <v>1113</v>
      </c>
      <c r="L43" t="s">
        <v>905</v>
      </c>
      <c r="M43" t="s">
        <v>1286</v>
      </c>
      <c r="N43" t="s">
        <v>44</v>
      </c>
      <c r="O43">
        <v>807531</v>
      </c>
      <c r="P43">
        <v>9202999</v>
      </c>
      <c r="Q43" t="s">
        <v>1287</v>
      </c>
      <c r="R43" t="s">
        <v>1116</v>
      </c>
      <c r="S43" t="s">
        <v>869</v>
      </c>
      <c r="T43" s="11">
        <v>46223.801192129627</v>
      </c>
      <c r="U43" s="11"/>
      <c r="V43" s="11">
        <v>46226.801192129627</v>
      </c>
      <c r="W43" t="s">
        <v>1117</v>
      </c>
      <c r="X43" t="s">
        <v>20</v>
      </c>
      <c r="Y43" t="s">
        <v>1118</v>
      </c>
      <c r="Z43" t="s">
        <v>1119</v>
      </c>
      <c r="AA43" t="s">
        <v>1120</v>
      </c>
      <c r="AB43" s="49" t="s">
        <v>1288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K43" t="s">
        <v>33</v>
      </c>
      <c r="AL43" t="s">
        <v>33</v>
      </c>
      <c r="AM43" t="s">
        <v>33</v>
      </c>
      <c r="AN43" t="s">
        <v>33</v>
      </c>
      <c r="AO43" s="12"/>
      <c r="AP43" s="12"/>
      <c r="AQ43" t="s">
        <v>33</v>
      </c>
      <c r="AR43" t="s">
        <v>33</v>
      </c>
      <c r="AS43" t="s">
        <v>33</v>
      </c>
      <c r="AU43" t="s">
        <v>33</v>
      </c>
      <c r="AV43" t="s">
        <v>33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J43" t="s">
        <v>33</v>
      </c>
      <c r="BK43" t="s">
        <v>33</v>
      </c>
      <c r="BL43" t="s">
        <v>33</v>
      </c>
    </row>
    <row r="44" spans="1:64" ht="345" x14ac:dyDescent="0.25">
      <c r="A44" t="s">
        <v>289</v>
      </c>
      <c r="B44" t="s">
        <v>33</v>
      </c>
      <c r="D44" t="s">
        <v>1289</v>
      </c>
      <c r="E44" t="s">
        <v>1128</v>
      </c>
      <c r="F44" t="s">
        <v>33</v>
      </c>
      <c r="G44" t="s">
        <v>33</v>
      </c>
      <c r="H44" t="s">
        <v>33</v>
      </c>
      <c r="J44">
        <v>2026</v>
      </c>
      <c r="K44" t="s">
        <v>1113</v>
      </c>
      <c r="L44" t="s">
        <v>905</v>
      </c>
      <c r="M44" t="s">
        <v>1290</v>
      </c>
      <c r="N44" t="s">
        <v>288</v>
      </c>
      <c r="O44">
        <v>778551</v>
      </c>
      <c r="P44">
        <v>9084968</v>
      </c>
      <c r="Q44" t="s">
        <v>1291</v>
      </c>
      <c r="R44" t="s">
        <v>1116</v>
      </c>
      <c r="S44" t="s">
        <v>869</v>
      </c>
      <c r="T44" s="11">
        <v>46224.732754629629</v>
      </c>
      <c r="U44" s="11"/>
      <c r="V44" s="11">
        <v>46227.732754629629</v>
      </c>
      <c r="W44" t="s">
        <v>1149</v>
      </c>
      <c r="X44" t="s">
        <v>291</v>
      </c>
      <c r="Y44" t="s">
        <v>1131</v>
      </c>
      <c r="Z44" t="s">
        <v>1126</v>
      </c>
      <c r="AA44" t="s">
        <v>1120</v>
      </c>
      <c r="AB44" s="49" t="s">
        <v>1292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K44" t="s">
        <v>33</v>
      </c>
      <c r="AL44" t="s">
        <v>33</v>
      </c>
      <c r="AM44" t="s">
        <v>33</v>
      </c>
      <c r="AN44" t="s">
        <v>33</v>
      </c>
      <c r="AO44" s="12"/>
      <c r="AP44" s="12"/>
      <c r="AQ44" t="s">
        <v>33</v>
      </c>
      <c r="AR44" t="s">
        <v>33</v>
      </c>
      <c r="AS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J44" t="s">
        <v>33</v>
      </c>
      <c r="BK44" t="s">
        <v>33</v>
      </c>
      <c r="BL44" t="s">
        <v>33</v>
      </c>
    </row>
    <row r="45" spans="1:64" ht="409.5" x14ac:dyDescent="0.25">
      <c r="A45" t="s">
        <v>239</v>
      </c>
      <c r="B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J45">
        <v>2026</v>
      </c>
      <c r="K45" t="s">
        <v>1139</v>
      </c>
      <c r="L45" t="s">
        <v>905</v>
      </c>
      <c r="M45" t="s">
        <v>1271</v>
      </c>
      <c r="N45" t="s">
        <v>237</v>
      </c>
      <c r="O45">
        <v>876869</v>
      </c>
      <c r="P45">
        <v>8859703</v>
      </c>
      <c r="Q45" t="s">
        <v>1293</v>
      </c>
      <c r="R45" t="s">
        <v>1142</v>
      </c>
      <c r="S45" t="s">
        <v>869</v>
      </c>
      <c r="T45" s="11">
        <v>46225.337175925924</v>
      </c>
      <c r="U45" s="11"/>
      <c r="V45" s="11">
        <v>46625.337175925924</v>
      </c>
      <c r="W45" t="s">
        <v>1136</v>
      </c>
      <c r="X45" t="s">
        <v>240</v>
      </c>
      <c r="Y45" t="s">
        <v>1220</v>
      </c>
      <c r="Z45" t="s">
        <v>1119</v>
      </c>
      <c r="AA45" t="s">
        <v>1120</v>
      </c>
      <c r="AB45" s="49" t="s">
        <v>1294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K45" t="s">
        <v>33</v>
      </c>
      <c r="AL45" t="s">
        <v>33</v>
      </c>
      <c r="AM45" t="s">
        <v>33</v>
      </c>
      <c r="AN45" t="s">
        <v>33</v>
      </c>
      <c r="AO45" s="12"/>
      <c r="AP45" s="12"/>
      <c r="AQ45" t="s">
        <v>33</v>
      </c>
      <c r="AR45" t="s">
        <v>33</v>
      </c>
      <c r="AS45" t="s">
        <v>33</v>
      </c>
      <c r="AU45" t="s">
        <v>33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J45" t="s">
        <v>33</v>
      </c>
      <c r="BK45" t="s">
        <v>33</v>
      </c>
      <c r="BL45" t="s">
        <v>33</v>
      </c>
    </row>
    <row r="46" spans="1:64" ht="409.5" x14ac:dyDescent="0.25">
      <c r="A46" t="s">
        <v>199</v>
      </c>
      <c r="B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J46">
        <v>2026</v>
      </c>
      <c r="K46" t="s">
        <v>1113</v>
      </c>
      <c r="L46" t="s">
        <v>905</v>
      </c>
      <c r="M46" t="s">
        <v>1263</v>
      </c>
      <c r="N46" t="s">
        <v>195</v>
      </c>
      <c r="O46">
        <v>754714</v>
      </c>
      <c r="P46">
        <v>8906531</v>
      </c>
      <c r="Q46" t="s">
        <v>1295</v>
      </c>
      <c r="R46" t="s">
        <v>1116</v>
      </c>
      <c r="S46" t="s">
        <v>869</v>
      </c>
      <c r="T46" s="11">
        <v>46227.605300925927</v>
      </c>
      <c r="U46" s="11"/>
      <c r="V46" s="11">
        <v>46230.605300925927</v>
      </c>
      <c r="W46" t="s">
        <v>1277</v>
      </c>
      <c r="X46" t="s">
        <v>201</v>
      </c>
      <c r="Y46" t="s">
        <v>1150</v>
      </c>
      <c r="Z46" t="s">
        <v>1126</v>
      </c>
      <c r="AA46" t="s">
        <v>1120</v>
      </c>
      <c r="AB46" s="49" t="s">
        <v>1296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K46" t="s">
        <v>33</v>
      </c>
      <c r="AL46" t="s">
        <v>33</v>
      </c>
      <c r="AM46" t="s">
        <v>33</v>
      </c>
      <c r="AN46" t="s">
        <v>33</v>
      </c>
      <c r="AO46" s="12"/>
      <c r="AP46" s="12"/>
      <c r="AQ46" t="s">
        <v>33</v>
      </c>
      <c r="AR46" t="s">
        <v>33</v>
      </c>
      <c r="AS46" t="s">
        <v>33</v>
      </c>
      <c r="AU46" t="s">
        <v>33</v>
      </c>
      <c r="AV46" t="s">
        <v>33</v>
      </c>
      <c r="AW46" t="s">
        <v>33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J46" t="s">
        <v>33</v>
      </c>
      <c r="BK46" t="s">
        <v>33</v>
      </c>
      <c r="BL46" t="s">
        <v>33</v>
      </c>
    </row>
    <row r="47" spans="1:64" ht="409.5" x14ac:dyDescent="0.25">
      <c r="A47" t="s">
        <v>39</v>
      </c>
      <c r="B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J47">
        <v>2026</v>
      </c>
      <c r="K47" t="s">
        <v>1113</v>
      </c>
      <c r="L47" t="s">
        <v>876</v>
      </c>
      <c r="M47" t="s">
        <v>1297</v>
      </c>
      <c r="N47" t="s">
        <v>35</v>
      </c>
      <c r="O47">
        <v>905857</v>
      </c>
      <c r="P47">
        <v>8717852</v>
      </c>
      <c r="Q47" t="s">
        <v>1298</v>
      </c>
      <c r="R47" t="s">
        <v>1299</v>
      </c>
      <c r="S47" t="s">
        <v>869</v>
      </c>
      <c r="T47" s="11">
        <v>46230.725289351853</v>
      </c>
      <c r="U47" s="11"/>
      <c r="V47" s="11">
        <v>46410.725289351853</v>
      </c>
      <c r="W47" t="s">
        <v>1149</v>
      </c>
      <c r="X47" t="s">
        <v>41</v>
      </c>
      <c r="Y47" t="s">
        <v>1300</v>
      </c>
      <c r="Z47" t="s">
        <v>1126</v>
      </c>
      <c r="AA47" t="s">
        <v>1120</v>
      </c>
      <c r="AB47" s="49" t="s">
        <v>1301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K47" t="s">
        <v>33</v>
      </c>
      <c r="AL47" t="s">
        <v>33</v>
      </c>
      <c r="AM47" t="s">
        <v>33</v>
      </c>
      <c r="AN47" t="s">
        <v>33</v>
      </c>
      <c r="AO47" s="12"/>
      <c r="AP47" s="12"/>
      <c r="AQ47" t="s">
        <v>33</v>
      </c>
      <c r="AR47" t="s">
        <v>33</v>
      </c>
      <c r="AS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J47" t="s">
        <v>33</v>
      </c>
      <c r="BK47" t="s">
        <v>33</v>
      </c>
      <c r="BL47" t="s">
        <v>33</v>
      </c>
    </row>
    <row r="48" spans="1:64" ht="195" x14ac:dyDescent="0.25">
      <c r="A48" t="s">
        <v>141</v>
      </c>
      <c r="B48" t="s">
        <v>33</v>
      </c>
      <c r="D48" t="s">
        <v>1169</v>
      </c>
      <c r="E48" t="s">
        <v>1112</v>
      </c>
      <c r="F48" t="s">
        <v>33</v>
      </c>
      <c r="G48" t="s">
        <v>33</v>
      </c>
      <c r="H48" t="s">
        <v>33</v>
      </c>
      <c r="J48">
        <v>2026</v>
      </c>
      <c r="K48" t="s">
        <v>1113</v>
      </c>
      <c r="L48" t="s">
        <v>905</v>
      </c>
      <c r="M48" t="s">
        <v>1302</v>
      </c>
      <c r="N48" t="s">
        <v>139</v>
      </c>
      <c r="O48">
        <v>794667</v>
      </c>
      <c r="P48">
        <v>8603359</v>
      </c>
      <c r="Q48" t="s">
        <v>1303</v>
      </c>
      <c r="R48" t="s">
        <v>1116</v>
      </c>
      <c r="S48" t="s">
        <v>869</v>
      </c>
      <c r="T48" s="11">
        <v>46230.822870370372</v>
      </c>
      <c r="U48" s="11"/>
      <c r="V48" s="11">
        <v>46233.822870370372</v>
      </c>
      <c r="W48" t="s">
        <v>1117</v>
      </c>
      <c r="X48" t="s">
        <v>143</v>
      </c>
      <c r="Y48" t="s">
        <v>1304</v>
      </c>
      <c r="Z48" t="s">
        <v>1126</v>
      </c>
      <c r="AA48" t="s">
        <v>1120</v>
      </c>
      <c r="AB48" s="49" t="s">
        <v>1305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K48" t="s">
        <v>33</v>
      </c>
      <c r="AL48" t="s">
        <v>33</v>
      </c>
      <c r="AM48" t="s">
        <v>33</v>
      </c>
      <c r="AN48" t="s">
        <v>33</v>
      </c>
      <c r="AO48" s="12"/>
      <c r="AP48" s="12"/>
      <c r="AQ48" t="s">
        <v>33</v>
      </c>
      <c r="AR48" t="s">
        <v>33</v>
      </c>
      <c r="AS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J48" t="s">
        <v>33</v>
      </c>
      <c r="BK48" t="s">
        <v>33</v>
      </c>
      <c r="BL48" t="s">
        <v>33</v>
      </c>
    </row>
    <row r="49" spans="1:64" ht="405" x14ac:dyDescent="0.25">
      <c r="A49" t="s">
        <v>250</v>
      </c>
      <c r="B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J49">
        <v>2026</v>
      </c>
      <c r="K49" t="s">
        <v>1152</v>
      </c>
      <c r="L49" t="s">
        <v>905</v>
      </c>
      <c r="M49" t="s">
        <v>1306</v>
      </c>
      <c r="N49" t="s">
        <v>248</v>
      </c>
      <c r="O49">
        <v>914121</v>
      </c>
      <c r="P49">
        <v>8704596</v>
      </c>
      <c r="Q49" t="s">
        <v>1307</v>
      </c>
      <c r="R49" t="s">
        <v>1142</v>
      </c>
      <c r="S49" t="s">
        <v>869</v>
      </c>
      <c r="T49" s="11">
        <v>46230.858159722222</v>
      </c>
      <c r="U49" s="11"/>
      <c r="V49" s="11">
        <v>46630.858159722222</v>
      </c>
      <c r="W49" t="s">
        <v>1149</v>
      </c>
      <c r="X49" t="s">
        <v>41</v>
      </c>
      <c r="Y49" t="s">
        <v>1155</v>
      </c>
      <c r="Z49" t="s">
        <v>1126</v>
      </c>
      <c r="AA49" t="s">
        <v>1120</v>
      </c>
      <c r="AB49" s="49" t="s">
        <v>1308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K49" t="s">
        <v>33</v>
      </c>
      <c r="AL49" t="s">
        <v>33</v>
      </c>
      <c r="AM49" t="s">
        <v>33</v>
      </c>
      <c r="AN49" t="s">
        <v>33</v>
      </c>
      <c r="AO49" s="12"/>
      <c r="AP49" s="12"/>
      <c r="AQ49" t="s">
        <v>33</v>
      </c>
      <c r="AR49" t="s">
        <v>33</v>
      </c>
      <c r="AS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 t="s">
        <v>33</v>
      </c>
      <c r="BA49" t="s">
        <v>33</v>
      </c>
      <c r="BB49" t="s">
        <v>33</v>
      </c>
      <c r="BC49" t="s">
        <v>33</v>
      </c>
      <c r="BJ49" t="s">
        <v>33</v>
      </c>
      <c r="BK49" t="s">
        <v>33</v>
      </c>
      <c r="BL49" t="s">
        <v>33</v>
      </c>
    </row>
    <row r="50" spans="1:64" ht="409.5" x14ac:dyDescent="0.25">
      <c r="A50" t="s">
        <v>258</v>
      </c>
      <c r="B50" t="s">
        <v>33</v>
      </c>
      <c r="D50" t="s">
        <v>1169</v>
      </c>
      <c r="E50" t="s">
        <v>33</v>
      </c>
      <c r="F50" t="s">
        <v>33</v>
      </c>
      <c r="G50" t="s">
        <v>33</v>
      </c>
      <c r="H50" t="s">
        <v>33</v>
      </c>
      <c r="J50">
        <v>2026</v>
      </c>
      <c r="K50" t="s">
        <v>1309</v>
      </c>
      <c r="L50" t="s">
        <v>905</v>
      </c>
      <c r="M50" t="s">
        <v>1310</v>
      </c>
      <c r="N50" t="s">
        <v>256</v>
      </c>
      <c r="O50">
        <v>617420</v>
      </c>
      <c r="P50">
        <v>8830790</v>
      </c>
      <c r="Q50" t="s">
        <v>1311</v>
      </c>
      <c r="R50" t="s">
        <v>1162</v>
      </c>
      <c r="S50" t="s">
        <v>869</v>
      </c>
      <c r="T50" s="11">
        <v>46230.863125000003</v>
      </c>
      <c r="U50" s="11"/>
      <c r="V50" s="11">
        <v>46290.863125000003</v>
      </c>
      <c r="W50" t="s">
        <v>1117</v>
      </c>
      <c r="X50" t="s">
        <v>1312</v>
      </c>
      <c r="Y50" t="s">
        <v>1313</v>
      </c>
      <c r="Z50" t="s">
        <v>1126</v>
      </c>
      <c r="AA50" t="s">
        <v>1120</v>
      </c>
      <c r="AB50" s="49" t="s">
        <v>1314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K50" t="s">
        <v>33</v>
      </c>
      <c r="AL50" t="s">
        <v>33</v>
      </c>
      <c r="AM50" t="s">
        <v>33</v>
      </c>
      <c r="AN50" t="s">
        <v>33</v>
      </c>
      <c r="AO50" s="12"/>
      <c r="AP50" s="12"/>
      <c r="AQ50" t="s">
        <v>33</v>
      </c>
      <c r="AR50" t="s">
        <v>33</v>
      </c>
      <c r="AS50" t="s">
        <v>33</v>
      </c>
      <c r="AU50" t="s">
        <v>33</v>
      </c>
      <c r="AV50" t="s">
        <v>33</v>
      </c>
      <c r="AW50" t="s">
        <v>33</v>
      </c>
      <c r="AX50" t="s">
        <v>33</v>
      </c>
      <c r="AY50" t="s">
        <v>33</v>
      </c>
      <c r="AZ50" t="s">
        <v>33</v>
      </c>
      <c r="BA50" t="s">
        <v>33</v>
      </c>
      <c r="BB50" t="s">
        <v>33</v>
      </c>
      <c r="BC50" t="s">
        <v>33</v>
      </c>
      <c r="BJ50" t="s">
        <v>33</v>
      </c>
      <c r="BK50" t="s">
        <v>33</v>
      </c>
      <c r="BL50" t="s">
        <v>33</v>
      </c>
    </row>
    <row r="51" spans="1:64" ht="409.5" x14ac:dyDescent="0.25">
      <c r="A51" t="s">
        <v>272</v>
      </c>
      <c r="B51" t="s">
        <v>33</v>
      </c>
      <c r="D51" t="s">
        <v>1145</v>
      </c>
      <c r="E51" t="s">
        <v>33</v>
      </c>
      <c r="F51" t="s">
        <v>33</v>
      </c>
      <c r="G51" t="s">
        <v>33</v>
      </c>
      <c r="H51" t="s">
        <v>33</v>
      </c>
      <c r="J51">
        <v>2026</v>
      </c>
      <c r="K51" t="s">
        <v>1309</v>
      </c>
      <c r="L51" t="s">
        <v>905</v>
      </c>
      <c r="M51" t="s">
        <v>1297</v>
      </c>
      <c r="N51" t="s">
        <v>270</v>
      </c>
      <c r="O51">
        <v>899501</v>
      </c>
      <c r="P51">
        <v>8714782</v>
      </c>
      <c r="Q51" t="s">
        <v>1315</v>
      </c>
      <c r="R51" t="s">
        <v>1142</v>
      </c>
      <c r="S51" t="s">
        <v>869</v>
      </c>
      <c r="T51" s="11">
        <v>46230.870405092595</v>
      </c>
      <c r="U51" s="11"/>
      <c r="V51" s="11">
        <v>46630.870405092595</v>
      </c>
      <c r="W51" t="s">
        <v>1149</v>
      </c>
      <c r="X51" t="s">
        <v>41</v>
      </c>
      <c r="Y51" t="s">
        <v>1313</v>
      </c>
      <c r="Z51" t="s">
        <v>1126</v>
      </c>
      <c r="AA51" t="s">
        <v>1120</v>
      </c>
      <c r="AB51" s="49" t="s">
        <v>1316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K51" t="s">
        <v>33</v>
      </c>
      <c r="AL51" t="s">
        <v>33</v>
      </c>
      <c r="AM51" t="s">
        <v>33</v>
      </c>
      <c r="AN51" t="s">
        <v>33</v>
      </c>
      <c r="AO51" s="12"/>
      <c r="AP51" s="12"/>
      <c r="AQ51" t="s">
        <v>33</v>
      </c>
      <c r="AR51" t="s">
        <v>33</v>
      </c>
      <c r="AS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J51" t="s">
        <v>33</v>
      </c>
      <c r="BK51" t="s">
        <v>33</v>
      </c>
      <c r="BL51" t="s">
        <v>33</v>
      </c>
    </row>
    <row r="52" spans="1:64" ht="409.5" x14ac:dyDescent="0.25">
      <c r="A52" t="s">
        <v>276</v>
      </c>
      <c r="B52" t="s">
        <v>33</v>
      </c>
      <c r="D52" t="s">
        <v>1145</v>
      </c>
      <c r="E52" t="s">
        <v>33</v>
      </c>
      <c r="F52" t="s">
        <v>33</v>
      </c>
      <c r="G52" t="s">
        <v>33</v>
      </c>
      <c r="H52" t="s">
        <v>33</v>
      </c>
      <c r="J52">
        <v>2026</v>
      </c>
      <c r="K52" t="s">
        <v>1309</v>
      </c>
      <c r="L52" t="s">
        <v>905</v>
      </c>
      <c r="M52" t="s">
        <v>1317</v>
      </c>
      <c r="N52" t="s">
        <v>273</v>
      </c>
      <c r="O52">
        <v>845266</v>
      </c>
      <c r="P52">
        <v>9339297</v>
      </c>
      <c r="Q52" t="s">
        <v>1318</v>
      </c>
      <c r="R52" t="s">
        <v>1162</v>
      </c>
      <c r="S52" t="s">
        <v>869</v>
      </c>
      <c r="T52" s="11">
        <v>46234.698171296295</v>
      </c>
      <c r="U52" s="11"/>
      <c r="V52" s="11">
        <v>46294.698171296295</v>
      </c>
      <c r="W52" t="s">
        <v>1149</v>
      </c>
      <c r="X52" t="s">
        <v>278</v>
      </c>
      <c r="Y52" t="s">
        <v>1319</v>
      </c>
      <c r="Z52" t="s">
        <v>1126</v>
      </c>
      <c r="AA52" t="s">
        <v>1120</v>
      </c>
      <c r="AB52" s="49" t="s">
        <v>1320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K52" t="s">
        <v>33</v>
      </c>
      <c r="AL52" t="s">
        <v>33</v>
      </c>
      <c r="AM52" t="s">
        <v>33</v>
      </c>
      <c r="AN52" t="s">
        <v>33</v>
      </c>
      <c r="AO52" s="12"/>
      <c r="AP52" s="12"/>
      <c r="AQ52" t="s">
        <v>33</v>
      </c>
      <c r="AR52" t="s">
        <v>33</v>
      </c>
      <c r="AS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J52" t="s">
        <v>33</v>
      </c>
      <c r="BK52" t="s">
        <v>33</v>
      </c>
      <c r="BL52" t="s">
        <v>33</v>
      </c>
    </row>
    <row r="53" spans="1:64" ht="409.5" x14ac:dyDescent="0.25">
      <c r="A53" t="s">
        <v>205</v>
      </c>
      <c r="B53" t="s">
        <v>33</v>
      </c>
      <c r="D53" t="s">
        <v>1169</v>
      </c>
      <c r="E53" t="s">
        <v>33</v>
      </c>
      <c r="F53" t="s">
        <v>33</v>
      </c>
      <c r="G53" t="s">
        <v>33</v>
      </c>
      <c r="H53" t="s">
        <v>33</v>
      </c>
      <c r="J53">
        <v>2026</v>
      </c>
      <c r="K53" t="s">
        <v>1309</v>
      </c>
      <c r="L53" t="s">
        <v>905</v>
      </c>
      <c r="M53" t="s">
        <v>1321</v>
      </c>
      <c r="N53" t="s">
        <v>202</v>
      </c>
      <c r="O53">
        <v>698485</v>
      </c>
      <c r="P53">
        <v>8657287</v>
      </c>
      <c r="Q53" t="s">
        <v>1322</v>
      </c>
      <c r="R53" t="s">
        <v>1162</v>
      </c>
      <c r="S53" t="s">
        <v>869</v>
      </c>
      <c r="T53" s="11">
        <v>46237.704039351855</v>
      </c>
      <c r="U53" s="11"/>
      <c r="V53" s="11">
        <v>46297.704039351855</v>
      </c>
      <c r="W53" t="s">
        <v>1117</v>
      </c>
      <c r="X53" t="s">
        <v>207</v>
      </c>
      <c r="Y53" t="s">
        <v>1313</v>
      </c>
      <c r="Z53" t="s">
        <v>1126</v>
      </c>
      <c r="AA53" t="s">
        <v>1120</v>
      </c>
      <c r="AB53" s="49" t="s">
        <v>1323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K53" t="s">
        <v>33</v>
      </c>
      <c r="AL53" t="s">
        <v>33</v>
      </c>
      <c r="AM53" t="s">
        <v>33</v>
      </c>
      <c r="AN53" t="s">
        <v>33</v>
      </c>
      <c r="AO53" s="12"/>
      <c r="AP53" s="12"/>
      <c r="AQ53" t="s">
        <v>33</v>
      </c>
      <c r="AR53" t="s">
        <v>33</v>
      </c>
      <c r="AS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 t="s">
        <v>33</v>
      </c>
      <c r="BA53" t="s">
        <v>33</v>
      </c>
      <c r="BB53" t="s">
        <v>33</v>
      </c>
      <c r="BC53" t="s">
        <v>33</v>
      </c>
      <c r="BJ53" t="s">
        <v>33</v>
      </c>
      <c r="BK53" t="s">
        <v>33</v>
      </c>
      <c r="BL53" t="s">
        <v>33</v>
      </c>
    </row>
    <row r="54" spans="1:64" ht="409.5" x14ac:dyDescent="0.25">
      <c r="A54" t="s">
        <v>71</v>
      </c>
      <c r="B54" t="s">
        <v>33</v>
      </c>
      <c r="D54" t="s">
        <v>1324</v>
      </c>
      <c r="E54" t="s">
        <v>1325</v>
      </c>
      <c r="F54" t="s">
        <v>33</v>
      </c>
      <c r="G54" t="s">
        <v>33</v>
      </c>
      <c r="H54" t="s">
        <v>33</v>
      </c>
      <c r="J54">
        <v>2026</v>
      </c>
      <c r="K54" t="s">
        <v>1113</v>
      </c>
      <c r="L54" t="s">
        <v>905</v>
      </c>
      <c r="M54" t="s">
        <v>1129</v>
      </c>
      <c r="N54" t="s">
        <v>68</v>
      </c>
      <c r="O54">
        <v>999988</v>
      </c>
      <c r="P54">
        <v>8833252</v>
      </c>
      <c r="Q54" t="s">
        <v>1326</v>
      </c>
      <c r="R54" t="s">
        <v>1116</v>
      </c>
      <c r="S54" t="s">
        <v>869</v>
      </c>
      <c r="T54" s="11">
        <v>46240.601006944446</v>
      </c>
      <c r="U54" s="11"/>
      <c r="V54" s="11">
        <v>46243.601006944446</v>
      </c>
      <c r="W54" t="s">
        <v>1149</v>
      </c>
      <c r="X54" t="s">
        <v>73</v>
      </c>
      <c r="Y54" t="s">
        <v>1327</v>
      </c>
      <c r="Z54" t="s">
        <v>1126</v>
      </c>
      <c r="AA54" t="s">
        <v>1120</v>
      </c>
      <c r="AB54" s="49" t="s">
        <v>1328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  <c r="AH54" t="s">
        <v>33</v>
      </c>
      <c r="AI54" t="s">
        <v>33</v>
      </c>
      <c r="AK54" t="s">
        <v>33</v>
      </c>
      <c r="AL54" t="s">
        <v>33</v>
      </c>
      <c r="AM54" t="s">
        <v>33</v>
      </c>
      <c r="AN54" t="s">
        <v>33</v>
      </c>
      <c r="AO54" s="12"/>
      <c r="AP54" s="12"/>
      <c r="AQ54" t="s">
        <v>33</v>
      </c>
      <c r="AR54" t="s">
        <v>33</v>
      </c>
      <c r="AS54" t="s">
        <v>33</v>
      </c>
      <c r="AU54" t="s">
        <v>33</v>
      </c>
      <c r="AV54" t="s">
        <v>33</v>
      </c>
      <c r="AW54" t="s">
        <v>33</v>
      </c>
      <c r="AX54" t="s">
        <v>33</v>
      </c>
      <c r="AY54" t="s">
        <v>33</v>
      </c>
      <c r="AZ54" t="s">
        <v>33</v>
      </c>
      <c r="BA54" t="s">
        <v>33</v>
      </c>
      <c r="BB54" t="s">
        <v>33</v>
      </c>
      <c r="BC54" t="s">
        <v>33</v>
      </c>
      <c r="BJ54" t="s">
        <v>33</v>
      </c>
      <c r="BK54" t="s">
        <v>33</v>
      </c>
      <c r="BL54" t="s">
        <v>33</v>
      </c>
    </row>
    <row r="55" spans="1:64" ht="409.5" x14ac:dyDescent="0.25">
      <c r="A55" t="s">
        <v>825</v>
      </c>
      <c r="B55" t="s">
        <v>33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J55">
        <v>2026</v>
      </c>
      <c r="K55" t="s">
        <v>1152</v>
      </c>
      <c r="L55" t="s">
        <v>905</v>
      </c>
      <c r="M55" t="s">
        <v>1178</v>
      </c>
      <c r="N55" t="s">
        <v>753</v>
      </c>
      <c r="O55">
        <v>819396</v>
      </c>
      <c r="P55">
        <v>8780710</v>
      </c>
      <c r="Q55" t="s">
        <v>1329</v>
      </c>
      <c r="R55" t="s">
        <v>1162</v>
      </c>
      <c r="S55" t="s">
        <v>869</v>
      </c>
      <c r="T55" s="11">
        <v>46245.587858796294</v>
      </c>
      <c r="U55" s="11"/>
      <c r="V55" s="11">
        <v>46305.587858796294</v>
      </c>
      <c r="W55" t="s">
        <v>1149</v>
      </c>
      <c r="X55" t="s">
        <v>265</v>
      </c>
      <c r="Y55" t="s">
        <v>1330</v>
      </c>
      <c r="Z55" t="s">
        <v>1126</v>
      </c>
      <c r="AA55" t="s">
        <v>1120</v>
      </c>
      <c r="AB55" s="49" t="s">
        <v>1331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  <c r="AH55" t="s">
        <v>33</v>
      </c>
      <c r="AI55" t="s">
        <v>33</v>
      </c>
      <c r="AK55" t="s">
        <v>33</v>
      </c>
      <c r="AL55" t="s">
        <v>33</v>
      </c>
      <c r="AM55" t="s">
        <v>33</v>
      </c>
      <c r="AN55" t="s">
        <v>33</v>
      </c>
      <c r="AO55" s="12"/>
      <c r="AP55" s="12"/>
      <c r="AQ55" t="s">
        <v>33</v>
      </c>
      <c r="AR55" t="s">
        <v>33</v>
      </c>
      <c r="AS55" t="s">
        <v>33</v>
      </c>
      <c r="AU55" t="s">
        <v>33</v>
      </c>
      <c r="AV55" t="s">
        <v>33</v>
      </c>
      <c r="AW55" t="s">
        <v>33</v>
      </c>
      <c r="AX55" t="s">
        <v>33</v>
      </c>
      <c r="AY55" t="s">
        <v>33</v>
      </c>
      <c r="AZ55" t="s">
        <v>33</v>
      </c>
      <c r="BA55" t="s">
        <v>33</v>
      </c>
      <c r="BB55" t="s">
        <v>33</v>
      </c>
      <c r="BC55" t="s">
        <v>33</v>
      </c>
      <c r="BJ55" t="s">
        <v>33</v>
      </c>
      <c r="BK55" t="s">
        <v>33</v>
      </c>
      <c r="BL55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BEF3-3C76-4004-9BEB-B13C3C9D847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108be-d15a-485d-8259-50667f8093fa">
      <Terms xmlns="http://schemas.microsoft.com/office/infopath/2007/PartnerControls"/>
    </lcf76f155ced4ddcb4097134ff3c332f>
    <TaxCatchAll xmlns="d4b7c54a-c95c-45b1-a0ec-9f878b3f9d74" xsi:nil="true"/>
    <Observa_x00e7__x00e3_o xmlns="4e1108be-d15a-485d-8259-50667f8093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C69AF333E13E4EB919682D5E252D96" ma:contentTypeVersion="31" ma:contentTypeDescription="Crie um novo documento." ma:contentTypeScope="" ma:versionID="4a26cd6296a4657b54266c08fb602cc3">
  <xsd:schema xmlns:xsd="http://www.w3.org/2001/XMLSchema" xmlns:xs="http://www.w3.org/2001/XMLSchema" xmlns:p="http://schemas.microsoft.com/office/2006/metadata/properties" xmlns:ns2="d4b7c54a-c95c-45b1-a0ec-9f878b3f9d74" xmlns:ns3="4e1108be-d15a-485d-8259-50667f8093fa" targetNamespace="http://schemas.microsoft.com/office/2006/metadata/properties" ma:root="true" ma:fieldsID="682096db914500dae33c0deb3a2a9c7e" ns2:_="" ns3:_="">
    <xsd:import namespace="d4b7c54a-c95c-45b1-a0ec-9f878b3f9d74"/>
    <xsd:import namespace="4e1108be-d15a-485d-8259-50667f8093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bserv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7c54a-c95c-45b1-a0ec-9f878b3f9d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11c5a5-a68c-4142-b688-1663361a0bb4}" ma:internalName="TaxCatchAll" ma:showField="CatchAllData" ma:web="d4b7c54a-c95c-45b1-a0ec-9f878b3f9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108be-d15a-485d-8259-50667f80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_x00e7__x00e3_o" ma:index="27" nillable="true" ma:displayName="Observação" ma:internalName="Observ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B3ED475-CF3F-48D9-8EF2-5C1E719741B7}">
  <ds:schemaRefs>
    <ds:schemaRef ds:uri="http://schemas.microsoft.com/office/2006/metadata/properties"/>
    <ds:schemaRef ds:uri="http://schemas.microsoft.com/office/infopath/2007/PartnerControls"/>
    <ds:schemaRef ds:uri="4e1108be-d15a-485d-8259-50667f8093fa"/>
    <ds:schemaRef ds:uri="d4b7c54a-c95c-45b1-a0ec-9f878b3f9d74"/>
  </ds:schemaRefs>
</ds:datastoreItem>
</file>

<file path=customXml/itemProps2.xml><?xml version="1.0" encoding="utf-8"?>
<ds:datastoreItem xmlns:ds="http://schemas.openxmlformats.org/officeDocument/2006/customXml" ds:itemID="{6305403A-7CDA-4F82-ADA6-8300E3AB3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D377C0-441B-407E-A51D-415E5B20F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7c54a-c95c-45b1-a0ec-9f878b3f9d74"/>
    <ds:schemaRef ds:uri="4e1108be-d15a-485d-8259-50667f809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6171704-F3D5-4675-8B57-D0CAC0C13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Orçamento</vt:lpstr>
      <vt:lpstr>Apresentação</vt:lpstr>
      <vt:lpstr>Gestão</vt:lpstr>
      <vt:lpstr>Taxa de Falha</vt:lpstr>
      <vt:lpstr>SLA por equipe</vt:lpstr>
      <vt:lpstr>Falha Equipamentos</vt:lpstr>
      <vt:lpstr>Base</vt:lpstr>
      <vt:lpstr>Planilha1</vt:lpstr>
      <vt:lpstr>Resolvidos</vt:lpstr>
      <vt:lpstr>BASE SS_OS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Sandro Padilha Dias Junior</cp:lastModifiedBy>
  <dcterms:created xsi:type="dcterms:W3CDTF">2016-07-06T08:22:49Z</dcterms:created>
  <dcterms:modified xsi:type="dcterms:W3CDTF">2026-08-31T17:49:28Z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
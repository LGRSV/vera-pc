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CMDETO/Documentos Compartilhados/COEP/Engenharia da Manutenção/PLANO MANUTENÇÃO 2026/5 - Equipamentos Especiais/1 - Gestão/"/>
    </mc:Choice>
  </mc:AlternateContent>
  <xr:revisionPtr revIDLastSave="3191" documentId="13_ncr:1_{3A440670-0537-48F0-895F-22325A0271D5}" xr6:coauthVersionLast="47" xr6:coauthVersionMax="47" xr10:uidLastSave="{B86B06D9-6EF2-4D77-ADC9-F51383925510}"/>
  <bookViews>
    <workbookView xWindow="-120" yWindow="-120" windowWidth="20730" windowHeight="11040" activeTab="2" xr2:uid="{00000000-000D-0000-FFFF-FFFF00000000}"/>
    <workbookView xWindow="-120" yWindow="-120" windowWidth="20730" windowHeight="11040" xr2:uid="{2435851D-9C2A-4EC7-8E15-E9209CCE28BD}"/>
  </bookViews>
  <sheets>
    <sheet name="Orçamento" sheetId="7" r:id="rId1"/>
    <sheet name="Apresentação" sheetId="12" r:id="rId2"/>
    <sheet name="Gestão" sheetId="1" r:id="rId3"/>
    <sheet name="Base" sheetId="2" r:id="rId4"/>
    <sheet name="Estoque" sheetId="17" r:id="rId5"/>
    <sheet name="Taxa de Falha" sheetId="4" r:id="rId6"/>
    <sheet name="SLA por equipe" sheetId="9" r:id="rId7"/>
    <sheet name="Falha Equipamentos" sheetId="5" r:id="rId8"/>
    <sheet name="Planilha1" sheetId="10" r:id="rId9"/>
    <sheet name="Resolvidos" sheetId="6" r:id="rId10"/>
    <sheet name="BASE SS_OS" sheetId="8" r:id="rId11"/>
    <sheet name="Estoque min." sheetId="14" r:id="rId12"/>
    <sheet name="Planilha2" sheetId="3" state="hidden" r:id="rId13"/>
  </sheets>
  <externalReferences>
    <externalReference r:id="rId14"/>
    <externalReference r:id="rId15"/>
  </externalReferences>
  <definedNames>
    <definedName name="_xlchart.v1.0" hidden="1">Orçamento!$AD$126:$AD$129</definedName>
    <definedName name="_xlchart.v1.1" hidden="1">Orçamento!$AE$126:$AE$129</definedName>
    <definedName name="_xlchart.v1.2" hidden="1">Orçamento!$AF$116</definedName>
    <definedName name="_xlchart.v1.3" hidden="1">Orçamento!$AF$126:$AF$129</definedName>
    <definedName name="DadosExternos_1" localSheetId="10" hidden="1">'BASE SS_OS'!$A$1:$BL$53</definedName>
  </definedNames>
  <calcPr calcId="191029"/>
  <pivotCaches>
    <pivotCache cacheId="0" r:id="rId16"/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1" l="1"/>
  <c r="N60" i="1"/>
  <c r="J61" i="1"/>
  <c r="J62" i="1"/>
  <c r="J63" i="1"/>
  <c r="Q61" i="1" a="1"/>
  <c r="Q61" i="1" s="1"/>
  <c r="K44" i="1"/>
  <c r="U8" i="2"/>
  <c r="U9" i="2"/>
  <c r="U10" i="2"/>
  <c r="U11" i="2"/>
  <c r="U12" i="2"/>
  <c r="U13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N130" i="7" l="1"/>
  <c r="N128" i="7"/>
  <c r="O130" i="7"/>
  <c r="O128" i="7"/>
  <c r="Q81" i="4"/>
  <c r="O81" i="4"/>
  <c r="P81" i="4"/>
  <c r="N81" i="4"/>
  <c r="AL122" i="7"/>
  <c r="AL123" i="7"/>
  <c r="AL125" i="7"/>
  <c r="AJ118" i="7"/>
  <c r="AJ119" i="7" s="1"/>
  <c r="AJ120" i="7" s="1"/>
  <c r="AJ121" i="7" s="1"/>
  <c r="AB130" i="7"/>
  <c r="AB129" i="7"/>
  <c r="AB128" i="7"/>
  <c r="AB127" i="7"/>
  <c r="AB126" i="7"/>
  <c r="AB125" i="7"/>
  <c r="AB124" i="7"/>
  <c r="AB123" i="7"/>
  <c r="AB122" i="7"/>
  <c r="AB121" i="7"/>
  <c r="AB120" i="7"/>
  <c r="AJ122" i="7" l="1"/>
  <c r="AJ123" i="7" s="1"/>
  <c r="AJ124" i="7" s="1"/>
  <c r="AJ125" i="7" s="1"/>
  <c r="AJ126" i="7" s="1"/>
  <c r="AJ127" i="7" s="1"/>
  <c r="AJ128" i="7" s="1"/>
  <c r="AJ129" i="7" s="1"/>
  <c r="N121" i="7" l="1"/>
  <c r="N122" i="7"/>
  <c r="N123" i="7"/>
  <c r="N124" i="7"/>
  <c r="N125" i="7"/>
  <c r="N126" i="7"/>
  <c r="N127" i="7"/>
  <c r="N129" i="7"/>
  <c r="N120" i="7"/>
  <c r="N119" i="7"/>
  <c r="S128" i="7"/>
  <c r="Q119" i="7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R90" i="4"/>
  <c r="P90" i="4"/>
  <c r="Q90" i="4"/>
  <c r="O90" i="4"/>
  <c r="C97" i="4"/>
  <c r="D97" i="4"/>
  <c r="E97" i="4"/>
  <c r="F97" i="4"/>
  <c r="G97" i="4"/>
  <c r="H97" i="4"/>
  <c r="I97" i="4"/>
  <c r="J97" i="4"/>
  <c r="K97" i="4"/>
  <c r="L97" i="4"/>
  <c r="M97" i="4"/>
  <c r="B97" i="4"/>
  <c r="B123" i="4"/>
  <c r="Q63" i="7"/>
  <c r="Q34" i="7"/>
  <c r="O34" i="7"/>
  <c r="P34" i="7"/>
  <c r="I30" i="7"/>
  <c r="O33" i="7"/>
  <c r="P33" i="7"/>
  <c r="Q33" i="7"/>
  <c r="N33" i="7"/>
  <c r="N34" i="7"/>
  <c r="N26" i="7" l="1"/>
  <c r="N25" i="7"/>
  <c r="O25" i="7" s="1"/>
  <c r="P25" i="7" s="1"/>
  <c r="Q25" i="7" s="1"/>
  <c r="N23" i="7"/>
  <c r="O26" i="7"/>
  <c r="P26" i="7" s="1"/>
  <c r="Q26" i="7" s="1"/>
  <c r="R27" i="7"/>
  <c r="R24" i="7"/>
  <c r="O23" i="7"/>
  <c r="N22" i="7"/>
  <c r="O22" i="7" s="1"/>
  <c r="P22" i="7" s="1"/>
  <c r="Q22" i="7" s="1"/>
  <c r="N21" i="7"/>
  <c r="N29" i="7"/>
  <c r="N27" i="7" l="1"/>
  <c r="O21" i="7"/>
  <c r="N24" i="7"/>
  <c r="P23" i="7"/>
  <c r="P21" i="7" l="1"/>
  <c r="O24" i="7"/>
  <c r="O27" i="7"/>
  <c r="Q23" i="7"/>
  <c r="P24" i="7" l="1"/>
  <c r="P27" i="7"/>
  <c r="Q21" i="7"/>
  <c r="Q27" i="7" l="1"/>
  <c r="Q24" i="7"/>
  <c r="O14" i="7"/>
  <c r="P14" i="7"/>
  <c r="Q14" i="7"/>
  <c r="O29" i="7" l="1"/>
  <c r="P29" i="7" s="1"/>
  <c r="Q29" i="7" s="1"/>
  <c r="R14" i="7"/>
  <c r="P2" i="7"/>
  <c r="P3" i="7"/>
  <c r="N32" i="7" l="1"/>
  <c r="L4" i="14"/>
  <c r="P3" i="14"/>
  <c r="P4" i="14"/>
  <c r="P5" i="14"/>
  <c r="P6" i="14"/>
  <c r="P7" i="14"/>
  <c r="P8" i="14"/>
  <c r="P9" i="14"/>
  <c r="M3" i="14"/>
  <c r="N3" i="14" s="1"/>
  <c r="M4" i="14"/>
  <c r="N4" i="14" s="1"/>
  <c r="M5" i="14"/>
  <c r="N5" i="14"/>
  <c r="N6" i="14"/>
  <c r="N7" i="14"/>
  <c r="M8" i="14"/>
  <c r="N8" i="14" s="1"/>
  <c r="N9" i="14"/>
  <c r="L3" i="14"/>
  <c r="L5" i="14"/>
  <c r="L6" i="14"/>
  <c r="L7" i="14"/>
  <c r="L8" i="14"/>
  <c r="L9" i="14"/>
  <c r="J3" i="14"/>
  <c r="J4" i="14"/>
  <c r="J5" i="14"/>
  <c r="J6" i="14"/>
  <c r="J7" i="14"/>
  <c r="J8" i="14"/>
  <c r="J9" i="14"/>
  <c r="I3" i="14"/>
  <c r="I4" i="14"/>
  <c r="I5" i="14"/>
  <c r="H3" i="14"/>
  <c r="H4" i="14"/>
  <c r="H5" i="14"/>
  <c r="H6" i="14"/>
  <c r="H7" i="14"/>
  <c r="H8" i="14"/>
  <c r="H9" i="14"/>
  <c r="G3" i="14"/>
  <c r="G4" i="14"/>
  <c r="G5" i="14"/>
  <c r="G6" i="14"/>
  <c r="G7" i="14"/>
  <c r="G8" i="14"/>
  <c r="G9" i="14"/>
  <c r="P2" i="14"/>
  <c r="O2" i="14"/>
  <c r="N2" i="14"/>
  <c r="L2" i="14"/>
  <c r="J2" i="14"/>
  <c r="K2" i="14"/>
  <c r="M2" i="14"/>
  <c r="I2" i="14"/>
  <c r="H2" i="14"/>
  <c r="G2" i="14"/>
  <c r="E3" i="14"/>
  <c r="E4" i="14"/>
  <c r="E5" i="14"/>
  <c r="E6" i="14"/>
  <c r="E7" i="14"/>
  <c r="E8" i="14"/>
  <c r="E9" i="14"/>
  <c r="E2" i="14"/>
  <c r="C9" i="14"/>
  <c r="D9" i="14" s="1"/>
  <c r="D8" i="14"/>
  <c r="C7" i="14"/>
  <c r="D7" i="14" s="1"/>
  <c r="C6" i="14"/>
  <c r="D6" i="14" s="1"/>
  <c r="D5" i="14"/>
  <c r="D4" i="14"/>
  <c r="D3" i="14"/>
  <c r="D2" i="14"/>
  <c r="G100" i="7"/>
  <c r="D19" i="12"/>
  <c r="B6" i="12"/>
  <c r="C6" i="12" s="1"/>
  <c r="D6" i="12" s="1"/>
  <c r="E6" i="12" s="1"/>
  <c r="F6" i="12" s="1"/>
  <c r="G6" i="12" s="1"/>
  <c r="G8" i="12" s="1"/>
  <c r="G5" i="12"/>
  <c r="F5" i="12"/>
  <c r="E5" i="12"/>
  <c r="D5" i="12"/>
  <c r="C5" i="12"/>
  <c r="B5" i="12"/>
  <c r="E58" i="7"/>
  <c r="F58" i="7"/>
  <c r="E72" i="7" s="1"/>
  <c r="E37" i="7"/>
  <c r="F57" i="7"/>
  <c r="E71" i="7" s="1"/>
  <c r="E57" i="7"/>
  <c r="D71" i="7" s="1"/>
  <c r="H57" i="7"/>
  <c r="C72" i="7"/>
  <c r="F71" i="7"/>
  <c r="C71" i="7"/>
  <c r="G58" i="7"/>
  <c r="F72" i="7" s="1"/>
  <c r="H63" i="7"/>
  <c r="H62" i="7"/>
  <c r="D29" i="7"/>
  <c r="C18" i="7"/>
  <c r="E21" i="7" s="1"/>
  <c r="H15" i="7"/>
  <c r="G19" i="7"/>
  <c r="C21" i="7"/>
  <c r="H10" i="14" l="1"/>
  <c r="J10" i="14"/>
  <c r="J40" i="7"/>
  <c r="D72" i="7"/>
  <c r="G72" i="7" s="1"/>
  <c r="H58" i="7"/>
  <c r="F66" i="7"/>
  <c r="F67" i="7" s="1"/>
  <c r="G7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G9" i="7"/>
  <c r="P10" i="14" l="1"/>
  <c r="L10" i="14"/>
  <c r="S2" i="2"/>
  <c r="T2" i="2" s="1"/>
  <c r="R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N10" i="14" l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D3" i="1" l="1"/>
  <c r="D14" i="1"/>
  <c r="D7" i="1"/>
  <c r="D5" i="1"/>
  <c r="D4" i="1"/>
  <c r="D17" i="1"/>
  <c r="D6" i="1"/>
  <c r="D8" i="1"/>
  <c r="D10" i="1"/>
  <c r="D9" i="1"/>
  <c r="D18" i="1"/>
  <c r="D13" i="1"/>
  <c r="D2" i="1"/>
  <c r="D15" i="1"/>
  <c r="D16" i="1"/>
  <c r="D11" i="1"/>
  <c r="D12" i="1"/>
  <c r="D19" i="1"/>
  <c r="D20" i="1"/>
  <c r="D23" i="1"/>
  <c r="D28" i="1"/>
  <c r="D29" i="1"/>
  <c r="D21" i="1"/>
  <c r="D25" i="1"/>
  <c r="D24" i="1"/>
  <c r="D30" i="1"/>
  <c r="D31" i="1"/>
  <c r="D32" i="1"/>
  <c r="D22" i="1"/>
  <c r="D26" i="1"/>
  <c r="D27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C123" i="4" l="1"/>
  <c r="D123" i="4" s="1"/>
  <c r="E123" i="4" s="1"/>
  <c r="F123" i="4" s="1"/>
  <c r="G123" i="4" s="1"/>
  <c r="H123" i="4" s="1"/>
  <c r="I123" i="4" s="1"/>
  <c r="B116" i="4"/>
  <c r="C116" i="4" s="1"/>
  <c r="D116" i="4" s="1"/>
  <c r="E116" i="4" s="1"/>
  <c r="F116" i="4" s="1"/>
  <c r="G116" i="4" s="1"/>
  <c r="H116" i="4" s="1"/>
  <c r="I116" i="4" s="1"/>
  <c r="C107" i="4"/>
  <c r="D107" i="4"/>
  <c r="E107" i="4"/>
  <c r="F107" i="4"/>
  <c r="G107" i="4"/>
  <c r="H107" i="4"/>
  <c r="I107" i="4"/>
  <c r="J107" i="4"/>
  <c r="K107" i="4"/>
  <c r="L107" i="4"/>
  <c r="M107" i="4"/>
  <c r="C108" i="4"/>
  <c r="D108" i="4"/>
  <c r="E108" i="4"/>
  <c r="F108" i="4"/>
  <c r="G108" i="4"/>
  <c r="H108" i="4"/>
  <c r="I108" i="4"/>
  <c r="J108" i="4"/>
  <c r="K108" i="4"/>
  <c r="L108" i="4"/>
  <c r="M108" i="4"/>
  <c r="B108" i="4"/>
  <c r="B109" i="4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B107" i="4"/>
  <c r="C101" i="4"/>
  <c r="D101" i="4"/>
  <c r="E101" i="4"/>
  <c r="F101" i="4"/>
  <c r="G101" i="4"/>
  <c r="H101" i="4"/>
  <c r="I101" i="4"/>
  <c r="J101" i="4"/>
  <c r="K101" i="4"/>
  <c r="L101" i="4"/>
  <c r="M101" i="4"/>
  <c r="C102" i="4"/>
  <c r="D102" i="4"/>
  <c r="E102" i="4"/>
  <c r="F102" i="4"/>
  <c r="G102" i="4"/>
  <c r="H102" i="4"/>
  <c r="I102" i="4"/>
  <c r="J102" i="4"/>
  <c r="K102" i="4"/>
  <c r="L102" i="4"/>
  <c r="M102" i="4"/>
  <c r="B101" i="4"/>
  <c r="B102" i="4"/>
  <c r="B103" i="4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B93" i="4" a="1"/>
  <c r="B93" i="4" s="1"/>
  <c r="B94" i="4" s="1"/>
  <c r="B96" i="4" s="1"/>
  <c r="B86" i="4" a="1"/>
  <c r="B86" i="4" s="1"/>
  <c r="B87" i="4" s="1"/>
  <c r="B115" i="4" l="1"/>
  <c r="B89" i="4"/>
  <c r="C94" i="4"/>
  <c r="C96" i="4" s="1"/>
  <c r="B122" i="4"/>
  <c r="I114" i="4"/>
  <c r="H121" i="4"/>
  <c r="B114" i="4"/>
  <c r="B121" i="4"/>
  <c r="F121" i="4"/>
  <c r="F114" i="4"/>
  <c r="E121" i="4"/>
  <c r="M114" i="4"/>
  <c r="L121" i="4"/>
  <c r="D121" i="4"/>
  <c r="C121" i="4"/>
  <c r="K114" i="4"/>
  <c r="C114" i="4"/>
  <c r="J121" i="4"/>
  <c r="H114" i="4"/>
  <c r="G121" i="4"/>
  <c r="G114" i="4"/>
  <c r="M121" i="4"/>
  <c r="E114" i="4"/>
  <c r="L114" i="4"/>
  <c r="D114" i="4"/>
  <c r="K121" i="4"/>
  <c r="J114" i="4"/>
  <c r="I121" i="4"/>
  <c r="C87" i="4"/>
  <c r="C89" i="4" s="1"/>
  <c r="C122" i="4" l="1"/>
  <c r="D94" i="4"/>
  <c r="D96" i="4" s="1"/>
  <c r="C115" i="4"/>
  <c r="D87" i="4"/>
  <c r="D89" i="4" s="1"/>
  <c r="E94" i="4" l="1"/>
  <c r="E96" i="4" s="1"/>
  <c r="D122" i="4"/>
  <c r="D115" i="4"/>
  <c r="E87" i="4"/>
  <c r="E89" i="4" s="1"/>
  <c r="E122" i="4" l="1"/>
  <c r="F94" i="4"/>
  <c r="F96" i="4" s="1"/>
  <c r="F87" i="4"/>
  <c r="F89" i="4" s="1"/>
  <c r="E115" i="4"/>
  <c r="F122" i="4" l="1"/>
  <c r="G94" i="4"/>
  <c r="G96" i="4" s="1"/>
  <c r="G87" i="4"/>
  <c r="G89" i="4" s="1"/>
  <c r="F115" i="4"/>
  <c r="G122" i="4" l="1"/>
  <c r="H94" i="4"/>
  <c r="H96" i="4" s="1"/>
  <c r="H87" i="4"/>
  <c r="H89" i="4" s="1"/>
  <c r="G115" i="4"/>
  <c r="H122" i="4" l="1"/>
  <c r="I94" i="4"/>
  <c r="I96" i="4" s="1"/>
  <c r="I87" i="4"/>
  <c r="I89" i="4" s="1"/>
  <c r="H115" i="4"/>
  <c r="I122" i="4" l="1"/>
  <c r="J94" i="4"/>
  <c r="J96" i="4" s="1"/>
  <c r="J87" i="4"/>
  <c r="J89" i="4" s="1"/>
  <c r="I115" i="4"/>
  <c r="K94" i="4" l="1"/>
  <c r="K96" i="4" s="1"/>
  <c r="J122" i="4"/>
  <c r="J115" i="4"/>
  <c r="K87" i="4"/>
  <c r="K89" i="4" s="1"/>
  <c r="K122" i="4" l="1"/>
  <c r="L94" i="4"/>
  <c r="L96" i="4" s="1"/>
  <c r="L87" i="4"/>
  <c r="L89" i="4" s="1"/>
  <c r="K115" i="4"/>
  <c r="L122" i="4" l="1"/>
  <c r="M94" i="4"/>
  <c r="M87" i="4"/>
  <c r="L115" i="4"/>
  <c r="M122" i="4" l="1"/>
  <c r="M124" i="4" s="1"/>
  <c r="M96" i="4"/>
  <c r="M115" i="4"/>
  <c r="M117" i="4" s="1"/>
  <c r="M89" i="4"/>
  <c r="I2" i="5"/>
  <c r="K2" i="5" s="1"/>
  <c r="D2" i="5" s="1"/>
  <c r="I3" i="5"/>
  <c r="K3" i="5" s="1"/>
  <c r="D3" i="5" s="1"/>
  <c r="I4" i="5"/>
  <c r="K4" i="5" s="1"/>
  <c r="D4" i="5" s="1"/>
  <c r="I5" i="5"/>
  <c r="K5" i="5" s="1"/>
  <c r="D5" i="5" s="1"/>
  <c r="I6" i="5"/>
  <c r="K6" i="5" s="1"/>
  <c r="D6" i="5" s="1"/>
  <c r="I7" i="5"/>
  <c r="K7" i="5" s="1"/>
  <c r="D7" i="5" s="1"/>
  <c r="I8" i="5"/>
  <c r="K8" i="5" s="1"/>
  <c r="D8" i="5" s="1"/>
  <c r="I9" i="5"/>
  <c r="K9" i="5" s="1"/>
  <c r="D9" i="5" s="1"/>
  <c r="I10" i="5"/>
  <c r="K10" i="5" s="1"/>
  <c r="D10" i="5" s="1"/>
  <c r="I11" i="5"/>
  <c r="K11" i="5" s="1"/>
  <c r="D11" i="5" s="1"/>
  <c r="I12" i="5"/>
  <c r="K12" i="5" s="1"/>
  <c r="D12" i="5" s="1"/>
  <c r="I13" i="5"/>
  <c r="K13" i="5" s="1"/>
  <c r="D13" i="5" s="1"/>
  <c r="I14" i="5"/>
  <c r="K14" i="5" s="1"/>
  <c r="D14" i="5" s="1"/>
  <c r="I15" i="5"/>
  <c r="K15" i="5" s="1"/>
  <c r="D15" i="5" s="1"/>
  <c r="I16" i="5"/>
  <c r="K16" i="5" s="1"/>
  <c r="D16" i="5" s="1"/>
  <c r="I17" i="5"/>
  <c r="K17" i="5" s="1"/>
  <c r="D17" i="5" s="1"/>
  <c r="I18" i="5"/>
  <c r="K18" i="5" s="1"/>
  <c r="D18" i="5" s="1"/>
  <c r="I19" i="5"/>
  <c r="K19" i="5" s="1"/>
  <c r="D19" i="5" s="1"/>
  <c r="I20" i="5"/>
  <c r="K20" i="5" s="1"/>
  <c r="D20" i="5" s="1"/>
  <c r="I21" i="5"/>
  <c r="K21" i="5" s="1"/>
  <c r="D21" i="5" s="1"/>
  <c r="I22" i="5"/>
  <c r="K22" i="5" s="1"/>
  <c r="D22" i="5" s="1"/>
  <c r="I23" i="5"/>
  <c r="K23" i="5" s="1"/>
  <c r="D23" i="5" s="1"/>
  <c r="I24" i="5"/>
  <c r="K24" i="5" s="1"/>
  <c r="D24" i="5" s="1"/>
  <c r="I25" i="5"/>
  <c r="K25" i="5" s="1"/>
  <c r="D25" i="5" s="1"/>
  <c r="I26" i="5"/>
  <c r="K26" i="5" s="1"/>
  <c r="D26" i="5" s="1"/>
  <c r="I27" i="5"/>
  <c r="K27" i="5" s="1"/>
  <c r="D27" i="5" s="1"/>
  <c r="I28" i="5"/>
  <c r="K28" i="5" s="1"/>
  <c r="D28" i="5" s="1"/>
  <c r="I29" i="5"/>
  <c r="K29" i="5" s="1"/>
  <c r="D29" i="5" s="1"/>
  <c r="I30" i="5"/>
  <c r="K30" i="5" s="1"/>
  <c r="D30" i="5" s="1"/>
  <c r="I31" i="5"/>
  <c r="K31" i="5" s="1"/>
  <c r="D31" i="5" s="1"/>
  <c r="I32" i="5"/>
  <c r="K32" i="5" s="1"/>
  <c r="D32" i="5" s="1"/>
  <c r="I33" i="5"/>
  <c r="K33" i="5" s="1"/>
  <c r="D33" i="5" s="1"/>
  <c r="I34" i="5"/>
  <c r="K34" i="5" s="1"/>
  <c r="D34" i="5" s="1"/>
  <c r="I35" i="5"/>
  <c r="K35" i="5" s="1"/>
  <c r="D35" i="5" s="1"/>
  <c r="I36" i="5"/>
  <c r="K36" i="5" s="1"/>
  <c r="D36" i="5" s="1"/>
  <c r="I37" i="5"/>
  <c r="K37" i="5" s="1"/>
  <c r="D37" i="5" s="1"/>
  <c r="I38" i="5"/>
  <c r="K38" i="5" s="1"/>
  <c r="D38" i="5" s="1"/>
  <c r="I39" i="5"/>
  <c r="K39" i="5" s="1"/>
  <c r="D39" i="5" s="1"/>
  <c r="I40" i="5"/>
  <c r="K40" i="5" s="1"/>
  <c r="D40" i="5" s="1"/>
  <c r="I41" i="5"/>
  <c r="K41" i="5" s="1"/>
  <c r="D41" i="5" s="1"/>
  <c r="I42" i="5"/>
  <c r="K42" i="5" s="1"/>
  <c r="D42" i="5" s="1"/>
  <c r="I43" i="5"/>
  <c r="K43" i="5" s="1"/>
  <c r="D43" i="5" s="1"/>
  <c r="I44" i="5"/>
  <c r="K44" i="5" s="1"/>
  <c r="D44" i="5" s="1"/>
  <c r="I45" i="5"/>
  <c r="K45" i="5" s="1"/>
  <c r="D45" i="5" s="1"/>
  <c r="I46" i="5"/>
  <c r="K46" i="5" s="1"/>
  <c r="D46" i="5" s="1"/>
  <c r="I47" i="5"/>
  <c r="K47" i="5" s="1"/>
  <c r="D47" i="5" s="1"/>
  <c r="I48" i="5"/>
  <c r="K48" i="5" s="1"/>
  <c r="D48" i="5" s="1"/>
  <c r="I49" i="5"/>
  <c r="K49" i="5" s="1"/>
  <c r="D49" i="5" s="1"/>
  <c r="I50" i="5"/>
  <c r="K50" i="5" s="1"/>
  <c r="D50" i="5" s="1"/>
  <c r="I51" i="5"/>
  <c r="K51" i="5" s="1"/>
  <c r="D51" i="5" s="1"/>
  <c r="I52" i="5"/>
  <c r="K52" i="5" s="1"/>
  <c r="D52" i="5" s="1"/>
  <c r="I53" i="5"/>
  <c r="K53" i="5" s="1"/>
  <c r="D53" i="5" s="1"/>
  <c r="I54" i="5"/>
  <c r="K54" i="5" s="1"/>
  <c r="D54" i="5" s="1"/>
  <c r="I55" i="5"/>
  <c r="K55" i="5" s="1"/>
  <c r="D55" i="5" s="1"/>
  <c r="I56" i="5"/>
  <c r="K56" i="5" s="1"/>
  <c r="D56" i="5" s="1"/>
  <c r="I57" i="5"/>
  <c r="K57" i="5" s="1"/>
  <c r="D57" i="5" s="1"/>
  <c r="I58" i="5"/>
  <c r="K58" i="5" s="1"/>
  <c r="D58" i="5" s="1"/>
  <c r="I59" i="5"/>
  <c r="K59" i="5" s="1"/>
  <c r="D59" i="5" s="1"/>
  <c r="I60" i="5"/>
  <c r="K60" i="5" s="1"/>
  <c r="D60" i="5" s="1"/>
  <c r="I61" i="5"/>
  <c r="K61" i="5" s="1"/>
  <c r="D61" i="5" s="1"/>
  <c r="I62" i="5"/>
  <c r="K62" i="5" s="1"/>
  <c r="D62" i="5" s="1"/>
  <c r="I63" i="5"/>
  <c r="K63" i="5" s="1"/>
  <c r="D63" i="5" s="1"/>
  <c r="I64" i="5"/>
  <c r="K64" i="5" s="1"/>
  <c r="D64" i="5" s="1"/>
  <c r="I65" i="5"/>
  <c r="K65" i="5" s="1"/>
  <c r="D65" i="5" s="1"/>
  <c r="I66" i="5"/>
  <c r="K66" i="5" s="1"/>
  <c r="D66" i="5" s="1"/>
  <c r="I67" i="5"/>
  <c r="K67" i="5" s="1"/>
  <c r="D67" i="5" s="1"/>
  <c r="I68" i="5"/>
  <c r="K68" i="5" s="1"/>
  <c r="D68" i="5" s="1"/>
  <c r="I69" i="5"/>
  <c r="K69" i="5" s="1"/>
  <c r="D69" i="5" s="1"/>
  <c r="I70" i="5"/>
  <c r="K70" i="5" s="1"/>
  <c r="D70" i="5" s="1"/>
  <c r="I71" i="5"/>
  <c r="K71" i="5" s="1"/>
  <c r="D71" i="5" s="1"/>
  <c r="I72" i="5"/>
  <c r="K72" i="5" s="1"/>
  <c r="D72" i="5" s="1"/>
  <c r="I73" i="5"/>
  <c r="K73" i="5" s="1"/>
  <c r="D73" i="5" s="1"/>
  <c r="I74" i="5"/>
  <c r="K74" i="5" s="1"/>
  <c r="D74" i="5" s="1"/>
  <c r="I75" i="5"/>
  <c r="K75" i="5" s="1"/>
  <c r="D75" i="5" s="1"/>
  <c r="I76" i="5"/>
  <c r="K76" i="5" s="1"/>
  <c r="D76" i="5" s="1"/>
  <c r="I77" i="5"/>
  <c r="K77" i="5" s="1"/>
  <c r="D77" i="5" s="1"/>
  <c r="I78" i="5"/>
  <c r="K78" i="5" s="1"/>
  <c r="D78" i="5" s="1"/>
  <c r="I79" i="5"/>
  <c r="K79" i="5" s="1"/>
  <c r="D79" i="5" s="1"/>
  <c r="I80" i="5"/>
  <c r="K80" i="5" s="1"/>
  <c r="D80" i="5" s="1"/>
  <c r="I81" i="5"/>
  <c r="K81" i="5" s="1"/>
  <c r="D81" i="5" s="1"/>
  <c r="I82" i="5"/>
  <c r="K82" i="5" s="1"/>
  <c r="D82" i="5" s="1"/>
  <c r="I83" i="5"/>
  <c r="K83" i="5" s="1"/>
  <c r="D83" i="5" s="1"/>
  <c r="I84" i="5"/>
  <c r="K84" i="5" s="1"/>
  <c r="D84" i="5" s="1"/>
  <c r="I85" i="5"/>
  <c r="K85" i="5" s="1"/>
  <c r="D85" i="5" s="1"/>
  <c r="I86" i="5"/>
  <c r="K86" i="5" s="1"/>
  <c r="D86" i="5" s="1"/>
  <c r="I87" i="5"/>
  <c r="K87" i="5" s="1"/>
  <c r="D87" i="5" s="1"/>
  <c r="I88" i="5"/>
  <c r="K88" i="5" s="1"/>
  <c r="D88" i="5" s="1"/>
  <c r="I89" i="5"/>
  <c r="K89" i="5" s="1"/>
  <c r="D89" i="5" s="1"/>
  <c r="I90" i="5"/>
  <c r="K90" i="5" s="1"/>
  <c r="D90" i="5" s="1"/>
  <c r="I91" i="5"/>
  <c r="K91" i="5" s="1"/>
  <c r="D91" i="5" s="1"/>
  <c r="L124" i="4"/>
  <c r="K124" i="4"/>
  <c r="J124" i="4"/>
  <c r="I124" i="4"/>
  <c r="H124" i="4"/>
  <c r="G124" i="4"/>
  <c r="F124" i="4"/>
  <c r="E124" i="4"/>
  <c r="D124" i="4"/>
  <c r="C124" i="4"/>
  <c r="B124" i="4"/>
  <c r="L117" i="4"/>
  <c r="K117" i="4"/>
  <c r="J117" i="4"/>
  <c r="I117" i="4"/>
  <c r="H117" i="4"/>
  <c r="G117" i="4"/>
  <c r="F117" i="4"/>
  <c r="E117" i="4"/>
  <c r="D117" i="4"/>
  <c r="C117" i="4"/>
  <c r="B117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I90" i="4"/>
  <c r="H90" i="4"/>
  <c r="G90" i="4"/>
  <c r="F90" i="4"/>
  <c r="E90" i="4"/>
  <c r="D90" i="4"/>
  <c r="C90" i="4"/>
  <c r="B90" i="4"/>
  <c r="M82" i="4"/>
  <c r="L82" i="4"/>
  <c r="K82" i="4"/>
  <c r="J82" i="4"/>
  <c r="I82" i="4"/>
  <c r="H82" i="4"/>
  <c r="G82" i="4"/>
  <c r="F82" i="4"/>
  <c r="E82" i="4"/>
  <c r="D82" i="4"/>
  <c r="C82" i="4"/>
  <c r="B82" i="4"/>
  <c r="C76" i="4"/>
  <c r="D76" i="4"/>
  <c r="E76" i="4"/>
  <c r="F76" i="4"/>
  <c r="G76" i="4"/>
  <c r="H76" i="4"/>
  <c r="I76" i="4"/>
  <c r="J76" i="4"/>
  <c r="K76" i="4"/>
  <c r="L76" i="4"/>
  <c r="M76" i="4"/>
  <c r="B76" i="4"/>
  <c r="N35" i="7" l="1"/>
  <c r="O32" i="7" s="1"/>
  <c r="O35" i="7" s="1"/>
  <c r="P32" i="7" s="1"/>
  <c r="P35" i="7" s="1"/>
  <c r="Q32" i="7" s="1"/>
  <c r="Q3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tc={7BF46A44-665D-4AD9-8EE3-45672814DAB4}</author>
    <author>tc={FFDDACF7-D451-4A8D-9473-3CDD20CDE35E}</author>
    <author>tc={1AD2C347-A817-4443-850F-86ADE1A90B80}</author>
    <author>tc={33D70EE0-4A9D-4FAA-A050-12D3ACC774C5}</author>
    <author>tc={64A44D70-0FC5-4A04-9733-9136DC4F4646}</author>
    <author>tc={279697A2-13F4-4DBE-B908-D741AC5EE63F}</author>
  </authors>
  <commentList>
    <comment ref="M10" authorId="0" shapeId="0" xr:uid="{7BF46A44-665D-4AD9-8EE3-45672814D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M13" authorId="1" shapeId="0" xr:uid="{FFDDACF7-D451-4A8D-9473-3CDD20CDE3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Q13" authorId="2" shapeId="0" xr:uid="{1AD2C347-A817-4443-850F-86ADE1A90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Inventário</t>
      </text>
    </comment>
    <comment ref="M15" authorId="3" shapeId="0" xr:uid="{33D70EE0-4A9D-4FAA-A050-12D3ACC77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Melhoria de Aterramento
Responder:
    Problema de autorização de Passagem</t>
      </text>
    </comment>
    <comment ref="M44" authorId="4" shapeId="0" xr:uid="{64A44D70-0FC5-4A04-9733-9136DC4F46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Requisitar 3 Células , pois duas foram usadas em obra de construção</t>
      </text>
    </comment>
    <comment ref="R54" authorId="5" shapeId="0" xr:uid="{279697A2-13F4-4DBE-B908-D741AC5EE6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Trafo auxiliar de Religador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8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<sst xmlns="http://schemas.openxmlformats.org/spreadsheetml/2006/main" count="6734" uniqueCount="1628">
  <si>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</si>
  <si>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</si>
  <si>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</si>
  <si>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</si>
  <si>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</si>
  <si>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</si>
  <si>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</si>
  <si>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</si>
  <si>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</si>
  <si>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</si>
  <si>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</si>
  <si>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</si>
  <si>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</si>
  <si>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</si>
  <si>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</si>
  <si>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</si>
  <si>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</si>
  <si>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</si>
  <si>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</si>
  <si>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</si>
  <si>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</si>
  <si>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</si>
  <si>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</si>
  <si>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</si>
  <si>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</si>
  <si>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</si>
  <si>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</si>
  <si>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</si>
  <si>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</si>
  <si>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</si>
  <si>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</si>
  <si>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</si>
  <si>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</si>
  <si>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</si>
  <si>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</si>
  <si>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</si>
  <si>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</si>
  <si>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</si>
  <si>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</si>
  <si>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</si>
  <si>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</si>
  <si>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</si>
  <si>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</si>
  <si>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</si>
  <si>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</si>
  <si>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</si>
  <si>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</si>
  <si>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</si>
  <si>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</si>
  <si>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</si>
  <si>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</si>
  <si>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</si>
  <si>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</si>
  <si>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</si>
  <si>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</si>
  <si>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</si>
  <si>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</si>
  <si>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</si>
  <si>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</si>
  <si>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</si>
  <si>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</si>
  <si>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</si>
  <si>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</si>
  <si>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</si>
  <si>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</si>
  <si>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</si>
  <si>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</si>
  <si>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</si>
  <si>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</si>
  <si>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</si>
  <si>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</si>
  <si>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</si>
  <si>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</si>
  <si>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</si>
  <si>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</si>
  <si>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</si>
  <si>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</si>
  <si>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</si>
  <si>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</si>
  <si>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</si>
  <si>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</si>
  <si>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</si>
  <si>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</si>
  <si>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</si>
  <si>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</si>
  <si>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</si>
  <si>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</si>
  <si>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</si>
  <si>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</si>
  <si>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</si>
  <si>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</si>
  <si>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</si>
  <si>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</si>
  <si>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</si>
  <si>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</si>
  <si>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</si>
  <si>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</si>
  <si>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</si>
  <si>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</si>
  <si>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</si>
  <si>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</si>
  <si>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</si>
  <si>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</si>
  <si>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</si>
  <si>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</si>
  <si>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</si>
  <si>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</si>
  <si>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</si>
  <si>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</si>
  <si>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</si>
  <si>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</si>
  <si>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</si>
  <si>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</si>
  <si>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</si>
  <si>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</si>
  <si>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</si>
  <si>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</si>
  <si>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</si>
  <si>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</si>
  <si>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</si>
  <si>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</si>
  <si>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</si>
  <si>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</si>
  <si>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</si>
  <si>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</si>
  <si>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</si>
  <si>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</si>
  <si>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</si>
  <si>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</si>
  <si>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</si>
  <si>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</si>
  <si>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</si>
  <si>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</si>
  <si>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</si>
  <si>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</si>
  <si>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</si>
  <si>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</si>
  <si>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</si>
  <si>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</si>
  <si>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</si>
  <si>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</si>
  <si>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</si>
  <si>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</si>
  <si>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</si>
  <si>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</si>
  <si>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</si>
  <si>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</si>
  <si>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</si>
  <si>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</si>
  <si>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</si>
  <si>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</si>
  <si>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</si>
  <si>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</si>
  <si>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</si>
  <si>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</si>
  <si>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</si>
  <si>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</si>
  <si>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</si>
  <si>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</si>
  <si>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</si>
  <si>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</si>
  <si>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</si>
  <si>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</si>
  <si>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</si>
  <si>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</si>
  <si>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</si>
  <si>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</si>
  <si>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</si>
  <si>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</si>
  <si>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</si>
  <si>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</si>
  <si>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</si>
  <si>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</si>
  <si>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</si>
  <si>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</si>
  <si>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</si>
  <si>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</si>
  <si>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</si>
  <si>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</si>
  <si>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</si>
  <si>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</si>
  <si>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</si>
  <si>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</si>
  <si>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</si>
  <si>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</si>
  <si>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</si>
  <si>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</si>
  <si>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</si>
  <si>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</si>
  <si>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</si>
  <si>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</si>
  <si>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</si>
  <si>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</si>
  <si>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</si>
  <si>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</si>
  <si>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</si>
  <si>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</si>
  <si>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</si>
  <si>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</si>
  <si>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</si>
  <si>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</si>
  <si>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</si>
  <si>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</si>
  <si>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</si>
  <si>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</si>
  <si>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</si>
  <si>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</si>
  <si>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</si>
  <si>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</si>
  <si>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</si>
  <si>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</si>
  <si>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</si>
  <si>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</si>
  <si>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</si>
  <si>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</si>
  <si>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</si>
  <si>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</si>
  <si>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</si>
  <si>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</si>
  <si>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</si>
  <si>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</si>
  <si>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</si>
  <si>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</si>
  <si>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</si>
  <si>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</si>
  <si>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</si>
  <si>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</si>
  <si>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</si>
  <si>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</si>
  <si>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</si>
  <si>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</si>
  <si>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</si>
  <si>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</si>
  <si>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</si>
  <si>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</si>
  <si>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</si>
  <si>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</si>
  <si>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</si>
  <si>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</si>
  <si>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</si>
  <si>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</si>
  <si>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</si>
  <si>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</si>
  <si>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</si>
  <si>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</si>
  <si>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</si>
  <si>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</si>
  <si>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</si>
  <si>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</si>
  <si>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</si>
  <si>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</si>
  <si>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</si>
  <si>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</si>
  <si>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</si>
  <si>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</si>
  <si>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</si>
  <si>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</si>
  <si>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</si>
  <si>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</si>
  <si>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</si>
  <si>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</si>
  <si>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</si>
  <si>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</si>
  <si>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</si>
  <si>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</si>
  <si>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</si>
  <si>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</si>
  <si>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</si>
  <si>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</si>
  <si>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</si>
  <si>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</si>
  <si>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</si>
  <si>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</si>
  <si>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</si>
  <si>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</si>
  <si>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</si>
  <si>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</si>
  <si>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</si>
  <si>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</si>
  <si>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</si>
  <si>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</si>
  <si>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</si>
  <si>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</si>
  <si>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</si>
  <si>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</si>
  <si>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</si>
  <si>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</si>
  <si>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</si>
  <si>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</si>
  <si>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</si>
  <si>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</si>
  <si>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</si>
  <si>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</si>
  <si>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</si>
  <si>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</si>
  <si>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</si>
  <si>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</si>
  <si>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</si>
  <si>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</si>
  <si>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</si>
  <si>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</si>
  <si>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</si>
  <si>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</si>
  <si>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</si>
  <si>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</si>
  <si>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</si>
  <si>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</si>
  <si>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</si>
  <si>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</si>
  <si>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</si>
  <si>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</si>
  <si>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</si>
  <si>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</si>
  <si>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</si>
  <si>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</si>
  <si>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</si>
  <si>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</si>
  <si>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</si>
  <si>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</si>
  <si>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</si>
  <si>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</si>
  <si>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</si>
  <si>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</si>
  <si>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</si>
  <si>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</si>
  <si>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</si>
  <si>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</si>
  <si>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</si>
  <si>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</si>
  <si>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</si>
  <si>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</si>
  <si>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</si>
  <si>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</si>
  <si>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</si>
  <si>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</si>
  <si>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</si>
  <si>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</si>
  <si>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</si>
  <si>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</si>
  <si>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</si>
  <si>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</si>
  <si>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</si>
  <si>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</si>
  <si>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</si>
  <si>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</si>
  <si>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</si>
  <si>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</si>
  <si>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</si>
  <si>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</si>
  <si>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</si>
  <si>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</si>
  <si>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</si>
  <si>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</si>
  <si>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</si>
  <si>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</si>
  <si>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</si>
  <si>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</si>
  <si>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</si>
  <si>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</si>
  <si>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</si>
  <si>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</si>
  <si>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</si>
  <si>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</si>
  <si>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</si>
  <si>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</si>
  <si>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</si>
  <si>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</si>
  <si>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</si>
  <si>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</si>
  <si>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</si>
  <si>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</si>
  <si>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</si>
  <si>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</si>
  <si>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</si>
  <si>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</si>
  <si>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</si>
  <si>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</si>
  <si>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</si>
  <si>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</si>
  <si>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</si>
  <si>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</si>
  <si>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</si>
  <si>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</si>
  <si>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</si>
  <si>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</si>
  <si>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</si>
  <si>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</si>
  <si>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</si>
  <si>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</si>
  <si>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</si>
  <si>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</si>
  <si>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</si>
  <si>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</si>
  <si>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</si>
  <si>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</si>
  <si>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</si>
  <si>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</si>
  <si>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</si>
  <si>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</si>
  <si>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</si>
  <si>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</si>
  <si>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</si>
  <si>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</si>
  <si>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</si>
  <si>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</si>
  <si>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</si>
  <si>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</si>
  <si>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</si>
  <si>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</si>
  <si>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</si>
  <si>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</si>
  <si>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</si>
  <si>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</si>
  <si>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</si>
  <si>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</si>
  <si>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</si>
  <si>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</si>
  <si>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</si>
  <si>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</si>
  <si>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</si>
  <si>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</si>
  <si>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</si>
  <si>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</si>
  <si>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</si>
  <si>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</si>
  <si>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</si>
  <si>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</si>
  <si>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</si>
  <si>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</si>
  <si>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</si>
  <si>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</si>
  <si>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</si>
  <si>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</si>
  <si>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</si>
  <si>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</si>
  <si>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</si>
  <si>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</si>
  <si>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</si>
  <si>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</si>
  <si>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</si>
  <si>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</si>
  <si>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</si>
  <si>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</si>
  <si>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</si>
  <si>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</si>
  <si>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</si>
  <si>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</si>
  <si>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</si>
  <si>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</si>
  <si>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</si>
  <si>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</si>
  <si>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</si>
  <si>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</si>
  <si>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</si>
  <si>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</si>
  <si>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</si>
  <si>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</si>
  <si>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</si>
  <si>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</si>
  <si>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</si>
  <si>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</si>
  <si>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</si>
  <si>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</si>
  <si>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</si>
  <si>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</si>
  <si>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</si>
  <si>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</si>
  <si>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</si>
  <si>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</si>
  <si>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</si>
  <si>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</si>
  <si>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</si>
  <si>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</si>
  <si>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</si>
  <si>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</si>
  <si>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</si>
  <si>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</si>
  <si>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</si>
  <si>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</si>
  <si>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</si>
  <si>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</si>
  <si>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</si>
  <si>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</si>
  <si>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</si>
  <si>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</si>
  <si>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</si>
  <si>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</si>
  <si>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</si>
  <si>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</si>
  <si>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</si>
  <si>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</si>
  <si>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</si>
  <si>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</si>
  <si>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</si>
  <si>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</si>
  <si>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</si>
  <si>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</si>
  <si>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</si>
  <si>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</si>
  <si>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</si>
  <si>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</si>
  <si>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</si>
  <si>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</si>
  <si>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</si>
  <si>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</si>
  <si>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</si>
  <si>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</si>
  <si>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</si>
  <si>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</si>
  <si>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</si>
  <si>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</si>
  <si>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</si>
  <si>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</si>
  <si>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</si>
  <si>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</si>
  <si>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</si>
  <si>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</si>
  <si>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</si>
  <si>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</si>
  <si>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</si>
  <si>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</si>
  <si>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</si>
  <si>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</si>
  <si>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</si>
  <si>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</si>
  <si>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</si>
  <si>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</si>
  <si>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</si>
  <si>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</si>
  <si>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</si>
  <si>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</si>
  <si>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</si>
  <si>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</si>
  <si>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</si>
  <si>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</si>
  <si>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</si>
  <si>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</si>
  <si>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</si>
  <si>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</si>
  <si>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</si>
  <si>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</si>
  <si>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</si>
  <si>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</si>
  <si>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</si>
  <si>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</si>
  <si>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</si>
  <si>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</si>
  <si>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</si>
  <si>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</si>
  <si>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</si>
  <si>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</si>
  <si>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</si>
  <si>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</si>
  <si>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</si>
  <si>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</si>
  <si>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</si>
  <si>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</si>
  <si>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</si>
  <si>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</si>
  <si>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</si>
  <si>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</si>
  <si>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</si>
  <si>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</si>
  <si>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</si>
  <si>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</si>
  <si>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</si>
  <si>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</si>
  <si>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</si>
  <si>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</si>
  <si>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</si>
  <si>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</si>
  <si>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</si>
  <si>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</si>
  <si>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</si>
  <si>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</si>
  <si>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</si>
  <si>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</si>
  <si>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</si>
  <si>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</si>
  <si>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</si>
  <si>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</si>
  <si>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</si>
  <si>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</si>
  <si>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</si>
  <si>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</si>
  <si>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</si>
  <si>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</si>
  <si>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</si>
  <si>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</si>
  <si>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</si>
  <si>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</si>
  <si>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</si>
  <si>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</si>
  <si>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</si>
  <si>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</si>
  <si>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</si>
  <si>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</si>
  <si>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</si>
  <si>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</si>
  <si>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</si>
  <si>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</si>
  <si>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</si>
  <si>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</si>
  <si>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</si>
  <si>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</si>
  <si>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</si>
  <si>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</si>
  <si>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</si>
  <si>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</si>
  <si>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</si>
  <si>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</si>
  <si>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</si>
  <si>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</si>
  <si>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</si>
  <si>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</si>
  <si>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</si>
  <si>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</si>
  <si>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</si>
  <si>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</si>
  <si>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</si>
  <si>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</si>
  <si>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</si>
  <si>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</si>
  <si>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</si>
  <si>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</si>
  <si>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</si>
  <si>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</si>
  <si>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</si>
  <si>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</si>
  <si>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</si>
  <si>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</si>
  <si>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</si>
  <si>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</si>
  <si>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</si>
  <si>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</si>
  <si>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</si>
  <si>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</si>
  <si>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</si>
  <si>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</si>
  <si>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</si>
  <si>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</si>
  <si>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</si>
  <si>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</si>
  <si>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</si>
  <si>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</si>
  <si>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</si>
  <si>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</si>
  <si>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</si>
  <si>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</si>
  <si>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</si>
  <si>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</si>
  <si>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</si>
  <si>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</si>
  <si>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</si>
  <si>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</si>
  <si>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</si>
  <si>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</si>
  <si>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</si>
  <si>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</si>
  <si>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</si>
  <si>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</si>
  <si>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</si>
  <si>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</si>
  <si>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</si>
  <si>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</si>
  <si>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</si>
  <si>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</si>
  <si>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</si>
  <si>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</si>
  <si>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</si>
  <si>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</si>
  <si>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</si>
  <si>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</si>
  <si>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</si>
  <si>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</si>
  <si>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</si>
  <si>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</si>
  <si>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</si>
  <si>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</si>
  <si>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</si>
  <si>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</si>
  <si>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</si>
  <si>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</si>
  <si>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</si>
  <si>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</si>
  <si>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</si>
  <si>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</si>
  <si>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</si>
  <si>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</si>
  <si>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</si>
  <si>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</si>
  <si>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</si>
  <si>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</si>
  <si>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</si>
  <si>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</si>
  <si>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</si>
  <si>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</si>
  <si>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</si>
  <si>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</si>
  <si>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</si>
  <si>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</si>
  <si>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</si>
  <si>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</si>
  <si>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</si>
  <si>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</si>
  <si>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</si>
  <si>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</si>
  <si>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</si>
  <si>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</si>
  <si>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</si>
  <si>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</si>
  <si>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</si>
  <si>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</si>
  <si>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</si>
  <si>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</si>
  <si>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</si>
  <si>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</si>
  <si>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</si>
  <si>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</si>
  <si>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</si>
  <si>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</si>
  <si>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</si>
  <si>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</si>
  <si>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</si>
  <si>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</si>
  <si>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</si>
  <si>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</si>
  <si>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</si>
  <si>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</si>
  <si>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</si>
  <si>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</si>
  <si>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</si>
  <si>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</si>
  <si>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</si>
  <si>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</si>
  <si>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</si>
  <si>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</si>
  <si>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</si>
  <si>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</si>
  <si>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</si>
  <si>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</si>
  <si>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</si>
  <si>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</si>
  <si>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</si>
  <si>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</si>
  <si>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</si>
  <si>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</si>
  <si>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</si>
  <si>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</si>
  <si>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</si>
  <si>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</si>
  <si>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</si>
  <si>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</si>
  <si>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</si>
  <si>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</si>
  <si>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</si>
  <si>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</si>
  <si>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</si>
  <si>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</si>
  <si>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</si>
  <si>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</si>
  <si>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</si>
  <si>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</si>
  <si>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</si>
  <si>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</si>
  <si>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</si>
  <si>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</si>
  <si>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</si>
  <si>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</si>
  <si>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</si>
  <si>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</si>
  <si>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</si>
  <si>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</si>
  <si>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</si>
  <si>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</si>
  <si>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</si>
  <si>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</si>
  <si>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</si>
  <si>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</si>
  <si>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</si>
  <si>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</si>
  <si>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</si>
  <si>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</si>
  <si>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</si>
  <si>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</si>
  <si>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</si>
  <si>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</si>
  <si>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</si>
  <si>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</si>
  <si>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</si>
  <si>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</si>
  <si>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</si>
  <si>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</si>
  <si>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</si>
  <si>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</si>
  <si>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</si>
  <si>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</si>
  <si>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</si>
  <si>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</si>
  <si>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</si>
  <si>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</si>
  <si>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</si>
  <si>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</si>
  <si>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</si>
  <si>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</si>
  <si>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</si>
  <si>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</si>
  <si>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</si>
  <si>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</si>
  <si>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</si>
  <si>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</si>
  <si>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</si>
  <si>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</si>
  <si>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</si>
  <si>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</si>
  <si>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</si>
  <si>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</si>
  <si>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</si>
  <si>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</si>
  <si>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</si>
  <si>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</si>
  <si>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</si>
  <si>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</si>
  <si>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</si>
  <si>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</si>
  <si>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</si>
  <si>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</si>
  <si>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</si>
  <si>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</si>
  <si>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</si>
  <si>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</si>
  <si>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</si>
  <si>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</si>
  <si>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</si>
  <si>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</si>
  <si>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</si>
  <si>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</si>
  <si>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</si>
  <si>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</si>
  <si>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</si>
  <si>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</si>
  <si>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</si>
  <si>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</si>
  <si>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</si>
  <si>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</si>
  <si>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</si>
  <si>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</si>
  <si>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</si>
  <si>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</si>
  <si>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</si>
  <si>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</si>
  <si>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</si>
  <si>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</si>
  <si>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</si>
  <si>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</si>
  <si>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</si>
  <si>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</si>
  <si>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</si>
  <si>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</si>
  <si>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</si>
  <si>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</si>
  <si>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</si>
  <si>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</si>
  <si>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</si>
  <si>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</si>
  <si>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</si>
  <si>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</si>
  <si>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</si>
  <si>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</si>
  <si>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</si>
  <si>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</si>
  <si>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</si>
  <si>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</si>
  <si>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</si>
  <si>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</si>
  <si>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</si>
  <si>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</si>
  <si>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</si>
  <si>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</si>
  <si>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</si>
  <si>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</si>
  <si>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</si>
  <si>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</si>
  <si>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</si>
  <si>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</si>
  <si>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</si>
  <si>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</si>
  <si>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</si>
  <si>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</si>
  <si>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</si>
  <si>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</si>
  <si>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</si>
  <si>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</si>
  <si>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</si>
  <si>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</si>
  <si>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</si>
  <si>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</si>
  <si>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</si>
  <si>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</si>
  <si>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</si>
  <si>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</si>
  <si>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</si>
  <si>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</si>
  <si>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</si>
  <si>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</si>
  <si>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</si>
  <si>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</si>
  <si>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</si>
  <si>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</si>
  <si>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</si>
  <si>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</si>
  <si>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</si>
  <si>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</si>
  <si>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</si>
  <si>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</si>
  <si>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</si>
  <si>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</si>
  <si>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</si>
  <si>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</si>
  <si>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</si>
  <si>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</si>
  <si>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</si>
  <si>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</si>
  <si>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</si>
  <si>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</si>
  <si>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</si>
  <si>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</si>
  <si>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</si>
  <si>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</si>
  <si>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</si>
  <si>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</si>
  <si>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</si>
  <si>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</si>
  <si>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</si>
  <si>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</si>
  <si>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</si>
  <si>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</si>
  <si>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</si>
  <si>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</si>
  <si>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</si>
  <si>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</si>
  <si>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</si>
  <si>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</si>
  <si>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</si>
  <si>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</si>
  <si>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</si>
  <si>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</si>
  <si>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</si>
  <si>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</si>
  <si>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</si>
  <si>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</si>
  <si>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</si>
  <si>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</si>
  <si>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</si>
  <si>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</si>
  <si>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</si>
  <si>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</si>
  <si>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</si>
  <si>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</si>
  <si>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</si>
  <si>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</si>
  <si>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</si>
  <si>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</si>
  <si>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</si>
  <si>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</si>
  <si>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</si>
  <si>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</si>
  <si>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</si>
  <si>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</si>
  <si>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</si>
  <si>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</si>
  <si>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</si>
  <si>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</si>
  <si>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</si>
  <si>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</si>
  <si>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</si>
  <si>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</si>
  <si>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</si>
  <si>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</si>
  <si>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</si>
  <si>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</si>
  <si>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</si>
  <si>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</si>
  <si>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</si>
  <si>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</si>
  <si>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</si>
  <si>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</si>
  <si>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</si>
  <si>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</si>
  <si>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</si>
  <si>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</si>
  <si>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</si>
  <si>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</si>
  <si>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</si>
  <si>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</si>
  <si>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</si>
  <si>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</si>
  <si>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</si>
  <si>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</si>
  <si>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</si>
  <si>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</si>
  <si>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</si>
  <si>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</si>
  <si>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</si>
  <si>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</si>
  <si>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</si>
  <si>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</si>
  <si>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</si>
  <si>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</si>
  <si>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</si>
  <si>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</si>
  <si>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</si>
  <si>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</si>
  <si>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</si>
  <si>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</si>
  <si>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</si>
  <si>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</si>
  <si>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</si>
  <si>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</si>
  <si>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</si>
  <si>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</si>
  <si>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</si>
  <si>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</si>
  <si>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</si>
  <si>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</si>
  <si>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</si>
  <si>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</si>
  <si>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</si>
  <si>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</si>
  <si>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</si>
  <si>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</si>
  <si>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</si>
  <si>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</si>
  <si>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</si>
  <si>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</si>
  <si>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</si>
  <si>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</si>
  <si>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</si>
  <si>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</si>
  <si>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</si>
  <si>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</si>
  <si>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</si>
  <si>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</si>
  <si>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</si>
  <si>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</si>
  <si>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</si>
  <si>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</si>
  <si>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</si>
  <si>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</si>
  <si>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</si>
  <si>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</si>
  <si>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</si>
  <si>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</si>
  <si>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</si>
  <si>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</si>
  <si>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</si>
  <si>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</si>
  <si>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</si>
  <si>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</si>
  <si>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</si>
  <si>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</si>
  <si>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</si>
  <si>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</si>
  <si>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</si>
  <si>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</si>
  <si>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</si>
  <si>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</si>
  <si>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</si>
  <si>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</si>
  <si>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</si>
  <si>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</si>
  <si>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</si>
  <si>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</si>
  <si>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</si>
  <si>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</si>
  <si>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</si>
  <si>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</si>
  <si>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</si>
  <si>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</si>
  <si>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</si>
  <si>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</si>
  <si>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</si>
  <si>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</si>
  <si>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</si>
  <si>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</si>
  <si>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</si>
  <si>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</si>
  <si>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</si>
  <si>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</si>
  <si>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</si>
  <si>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</si>
  <si>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</si>
  <si>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</si>
  <si>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</si>
  <si>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</si>
  <si>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</si>
  <si>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</si>
  <si>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</si>
  <si>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</si>
  <si>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</si>
  <si>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</si>
  <si>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</si>
  <si>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</si>
  <si>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</si>
  <si>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</si>
  <si>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</si>
  <si>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</si>
  <si>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</si>
  <si>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</si>
  <si>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</si>
  <si>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</si>
  <si>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</si>
  <si>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</si>
  <si>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</si>
  <si>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</si>
  <si>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</si>
  <si>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</si>
  <si>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</si>
  <si>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</si>
  <si>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</si>
  <si>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</si>
  <si>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</si>
  <si>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</si>
  <si>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</si>
  <si>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</si>
  <si>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</si>
  <si>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</si>
  <si>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</si>
  <si>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</si>
  <si>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</si>
  <si>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</si>
  <si>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</si>
  <si>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</si>
  <si>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</si>
  <si>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</si>
  <si>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</si>
  <si>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</si>
  <si>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</si>
  <si>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</si>
  <si>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</si>
  <si>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</si>
  <si>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</si>
  <si>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</si>
  <si>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</si>
  <si>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</si>
  <si>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</si>
  <si>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</si>
  <si>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</si>
  <si>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</si>
  <si>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</si>
  <si>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</si>
  <si>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</si>
  <si>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</si>
  <si>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</si>
  <si>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24/08 PARECER COEP: EQUIPAMENTO SELECIONADO PARA REFORMASubstituir as 3 células- Melhoria na malha de aterramento - Melhoria no circuito de aterramento qua aterra as células.- Substituir conectores paralelos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</si>
  <si>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</si>
  <si>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</si>
  <si>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</si>
  <si>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</si>
  <si>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</si>
  <si>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</si>
  <si>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</si>
  <si>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</si>
  <si>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</si>
  <si>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</si>
  <si>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</si>
  <si>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</si>
  <si>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</si>
  <si>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</si>
  <si>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</si>
  <si>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</si>
  <si>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</si>
  <si>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</si>
  <si>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</si>
  <si>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</si>
  <si>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</si>
  <si>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</si>
  <si>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</si>
  <si>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</si>
  <si>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</si>
  <si>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</si>
  <si>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</si>
  <si>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</si>
  <si>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</si>
  <si>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</si>
  <si>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</si>
  <si>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</si>
  <si>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</si>
  <si>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</si>
  <si>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</si>
  <si>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</si>
  <si>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</si>
  <si>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</si>
  <si>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</si>
  <si>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</si>
  <si>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</si>
  <si>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</si>
  <si>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</si>
  <si>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</si>
  <si>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</si>
  <si>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</si>
  <si>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</si>
  <si>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</si>
  <si>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</si>
  <si>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</si>
  <si>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</si>
  <si>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</si>
  <si>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</si>
  <si>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</si>
  <si>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</si>
  <si>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</si>
  <si>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</si>
  <si>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</si>
  <si>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</si>
  <si>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</si>
  <si>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</si>
  <si>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</si>
  <si>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</si>
  <si>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</si>
  <si>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</si>
  <si>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</si>
  <si>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</si>
  <si>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</si>
  <si>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</si>
  <si>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</si>
  <si>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BUCHA MT - CARGA (C)</t>
  </si>
  <si>
    <t>LD02424015</t>
  </si>
  <si>
    <t>190-17404244</t>
  </si>
  <si>
    <t>CLEIDSON RODRIGUES VIEIRA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</si>
  <si>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</si>
  <si>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</si>
  <si>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</si>
  <si>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</si>
  <si>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</si>
  <si>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</si>
  <si>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</si>
  <si>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</si>
  <si>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</si>
  <si>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</si>
  <si>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</si>
  <si>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</si>
  <si>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</si>
  <si>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</si>
  <si>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</si>
  <si>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</si>
  <si>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</si>
  <si>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</si>
  <si>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</si>
  <si>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</si>
  <si>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</si>
  <si>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</si>
  <si>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</si>
  <si>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</si>
  <si>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</si>
  <si>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</si>
  <si>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</si>
  <si>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</si>
  <si>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</si>
  <si>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</si>
  <si>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REGULADOR DE TENSAO DE DIST. - 13.8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</si>
  <si>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</si>
  <si>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</si>
  <si>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</si>
  <si>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</si>
  <si>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</si>
  <si>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AL05010004</t>
  </si>
  <si>
    <t>190-17337604</t>
  </si>
  <si>
    <t>DEFEITO ELETRICO</t>
  </si>
  <si>
    <t>LD02020023</t>
  </si>
  <si>
    <t>190-15838899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</si>
  <si>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</si>
  <si>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</si>
  <si>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</si>
  <si>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</si>
  <si>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</si>
  <si>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</si>
  <si>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</si>
  <si>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</si>
  <si>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</si>
  <si>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</si>
  <si>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</si>
  <si>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</si>
  <si>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</si>
  <si>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</si>
  <si>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</si>
  <si>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</si>
  <si>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</si>
  <si>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</si>
  <si>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</si>
  <si>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</si>
  <si>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</si>
  <si>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LD03005098</t>
  </si>
  <si>
    <t>190-57123183</t>
  </si>
  <si>
    <t>Thais Jordanna Jesus Silva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</si>
  <si>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</si>
  <si>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</si>
  <si>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</si>
  <si>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</si>
  <si>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</si>
  <si>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</si>
  <si>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</si>
  <si>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</si>
  <si>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</si>
  <si>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</si>
  <si>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</si>
  <si>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</si>
  <si>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</si>
  <si>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</si>
  <si>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</si>
  <si>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</si>
  <si>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</si>
  <si>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</si>
  <si>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</si>
  <si>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</si>
  <si>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</si>
  <si>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</si>
  <si>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</si>
  <si>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</si>
  <si>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</si>
  <si>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</si>
  <si>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</si>
  <si>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</si>
  <si>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</si>
  <si>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</si>
  <si>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</si>
  <si>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</si>
  <si>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</si>
  <si>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</si>
  <si>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</si>
  <si>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</si>
  <si>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TOTAL</t>
  </si>
  <si>
    <t>ENC-RD-PS</t>
  </si>
  <si>
    <t>DG-RD-PO</t>
  </si>
  <si>
    <t>DOLP-RD-PA</t>
  </si>
  <si>
    <t>ETO-RD-GU</t>
  </si>
  <si>
    <t>ETO-RD-GR</t>
  </si>
  <si>
    <t>Pior atraso</t>
  </si>
  <si>
    <t>SLA (dias ÷ prazo)</t>
  </si>
  <si>
    <t>Mediana de dias</t>
  </si>
  <si>
    <t>Cumprimento</t>
  </si>
  <si>
    <t>Em curso</t>
  </si>
  <si>
    <t>Estourou</t>
  </si>
  <si>
    <t>No prazo</t>
  </si>
  <si>
    <t>Entregas</t>
  </si>
  <si>
    <t>Equipe</t>
  </si>
  <si>
    <t>2025 + 2026</t>
  </si>
  <si>
    <t>2026</t>
  </si>
  <si>
    <t>2025</t>
  </si>
  <si>
    <t>Equipe é o posto do COCM que recebeu a demanda. A mediana diz o ritmo normal; o pior atraso diz a cauda.</t>
  </si>
  <si>
    <t>SLA DE MANUTENÇÃO — POR EQUIPE DE CAMPO</t>
  </si>
  <si>
    <t>Compras</t>
  </si>
  <si>
    <t>Orçamento</t>
  </si>
  <si>
    <t>Execução</t>
  </si>
  <si>
    <t>Logistica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</si>
  <si>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</si>
  <si>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</si>
  <si>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</si>
  <si>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</si>
  <si>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</si>
  <si>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</si>
  <si>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</si>
  <si>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</si>
  <si>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</si>
  <si>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</si>
  <si>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</si>
  <si>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</si>
  <si>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</si>
  <si>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</si>
  <si>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</si>
  <si>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</si>
  <si>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</si>
  <si>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</si>
  <si>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</si>
  <si>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</si>
  <si>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</si>
  <si>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</si>
  <si>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</si>
  <si>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</si>
  <si>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</si>
  <si>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</si>
  <si>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</si>
  <si>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</si>
  <si>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</si>
  <si>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</si>
  <si>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</si>
  <si>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</si>
  <si>
    <t> 13</t>
  </si>
  <si>
    <t>Qtd</t>
  </si>
  <si>
    <t>% do parque</t>
  </si>
  <si>
    <t>% acumulado</t>
  </si>
  <si>
    <t>RL - Tanque 34kV</t>
  </si>
  <si>
    <t>RL - Controle 34kV</t>
  </si>
  <si>
    <t>RL - Tanque 13kV</t>
  </si>
  <si>
    <t>RT - Rele</t>
  </si>
  <si>
    <t>RT - Célula 200 34kV</t>
  </si>
  <si>
    <t>RT - Célula 400 34kV</t>
  </si>
  <si>
    <t>RL - Controle 13kV</t>
  </si>
  <si>
    <t>RT - Célula 167 13kV</t>
  </si>
  <si>
    <t xml:space="preserve"> </t>
  </si>
  <si>
    <t>Qtd/Mês</t>
  </si>
  <si>
    <t>R$/peça</t>
  </si>
  <si>
    <t>1 - mês</t>
  </si>
  <si>
    <t>2 - mês</t>
  </si>
  <si>
    <t>3 - mês</t>
  </si>
  <si>
    <t>4 - mês</t>
  </si>
  <si>
    <t>5 - mês</t>
  </si>
  <si>
    <t>Resolvidos</t>
  </si>
  <si>
    <t>Entrantes</t>
  </si>
  <si>
    <t>Forecast</t>
  </si>
  <si>
    <t>Religador</t>
  </si>
  <si>
    <t>Regulador</t>
  </si>
  <si>
    <t>Banco Capacitor</t>
  </si>
  <si>
    <t>Marca</t>
  </si>
  <si>
    <t>Orçado</t>
  </si>
  <si>
    <t>RL Forecast</t>
  </si>
  <si>
    <t>RT Forecast</t>
  </si>
  <si>
    <t>RL Forecast Entrantes</t>
  </si>
  <si>
    <t>RT Forecast Entrantes</t>
  </si>
  <si>
    <t>BC Forecast Entrantes</t>
  </si>
  <si>
    <t>RL Forecast Backlog Resolvidos</t>
  </si>
  <si>
    <t>RT Forecast backlog Resolvidos</t>
  </si>
  <si>
    <t>BC Forecast backog Resolvidos</t>
  </si>
  <si>
    <t>Forecast Desembolso</t>
  </si>
  <si>
    <t xml:space="preserve">Backlog </t>
  </si>
  <si>
    <t>RL Pendetes</t>
  </si>
  <si>
    <t>RT Pendetes</t>
  </si>
  <si>
    <t>BC Forecast</t>
  </si>
  <si>
    <t>Colunas</t>
  </si>
  <si>
    <t xml:space="preserve">Quantidades Total </t>
  </si>
  <si>
    <t>Sem BC</t>
  </si>
  <si>
    <t>Forecast resolvidos</t>
  </si>
  <si>
    <t>Forecast Entrantes Pentes</t>
  </si>
  <si>
    <t>BACKLOG</t>
  </si>
  <si>
    <t>ENTRANTE</t>
  </si>
  <si>
    <t>RESOLVIDOS</t>
  </si>
  <si>
    <t>PENDENTES</t>
  </si>
  <si>
    <t>ORÇADO</t>
  </si>
  <si>
    <t>FORECAST DESEMBOLSO</t>
  </si>
  <si>
    <t>SETEMBRO</t>
  </si>
  <si>
    <t>DEZEMBRO</t>
  </si>
  <si>
    <t>Curva de Equipamentos</t>
  </si>
  <si>
    <t>Entrante</t>
  </si>
  <si>
    <t>Resolver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</si>
  <si>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</si>
  <si>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</si>
  <si>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</si>
  <si>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</si>
  <si>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</si>
  <si>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</si>
  <si>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</si>
  <si>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</si>
  <si>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Orçado Linha</t>
  </si>
  <si>
    <t>Forecast em barra</t>
  </si>
  <si>
    <t>Com BC</t>
  </si>
  <si>
    <t>BACKLOG 2025</t>
  </si>
  <si>
    <t>FORECAST</t>
  </si>
  <si>
    <t>ORÇADO AUMULADO</t>
  </si>
  <si>
    <t>DESEMBOLSO MENSAL</t>
  </si>
  <si>
    <t>DISPÊNDIO + FORECAST</t>
  </si>
  <si>
    <t>04/09/2026 PARECER COEP: EQUIPAMENTO EM LOGISTICA UTILIZAREMOS 1 DE 2 CELULAS QUE ESTÃO COM DIONES 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</si>
  <si>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04/09/2026 PARECER COEP: EQUIPAMENTO EM LOGÍSTICA UTILIZAREMOS O CONTROLE QUE ESTÃO SOBRESSALENTES NO ESTOQUE DA DOLP , CONFIRMADO COM O LEANDRO E O MAURICIO SOUZAPARECER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</si>
  <si>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04/09/2026 PARECER COEP: EQUIPAMENTO EM LOGÍSTICA/ 1 Controle rua de são bento do Tocantins20/07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</si>
  <si>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27/07/2026 PARECER COEP: EQUIPAMENTO SELECIONADO PARA COMPRA,PORÉM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</si>
  <si>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04/09/2026 PARECER COEP: EQUIPAMENTO SELECIONADO PARA REFORMA 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</si>
  <si>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ETO-COEP 00187/2026</t>
  </si>
  <si>
    <t>AL01065015</t>
  </si>
  <si>
    <t>190-15786844</t>
  </si>
  <si>
    <t>04/09/2026 PARECER COEP: EQUIPAMENTO EM LOGISTICA , AGUARDANDO A GERAÇÃO DE OBRA EM ABERTURA CONTÁBIL PELO COCM*FEEDBACK EQUIP. ESPECIAIS**Nº DO EQUIPAMENTO:* 5800859011*TIPO EQUIPAMENTO:* RT ITB RUA 01*TIPO DE COMUNICAÇÃO:* Rádio GE IP*DATA DA MANUTENÇÃO:* 13/08/2026*SID:* 4877/2026*DESCRIÇÃO:* Retrofit, realizado instalação dos cabos compatibilizadores, porém fase A e B apresentaram defeito durante dos testes funcionais, fase A só comuta 14 TAP, fase B com corrente do comutador interna solto, N° série 3634 fase A, N° série 3627*FICOU EM OPERAÇÃO?:* Não*PENDÊNCIA:* Solicitar a substituição ao DCMD das células fase A e B*DADOS DIVERGENTES DA PROGRAMAÇÃO:* *BATERIA SUBSTITUÍDA?:* Não*TIPO DE BATERIA:* Chumbo*EQUIPE:* Edicleber e AdeiltonOBS: Nota ETO-TELE 01037/2026, baixada indevidamente.</t>
  </si>
  <si>
    <t>RL Completo 13,8</t>
  </si>
  <si>
    <t>Tanque 13,8</t>
  </si>
  <si>
    <t>RL Completo 34,5</t>
  </si>
  <si>
    <t>RT Completo 400 34,5</t>
  </si>
  <si>
    <t>Tanque 34,5</t>
  </si>
  <si>
    <t>Célula 200 34,5</t>
  </si>
  <si>
    <t>Controle 167 13,8</t>
  </si>
  <si>
    <t>Controle 34,5</t>
  </si>
  <si>
    <t>Acessório 400 34,5</t>
  </si>
  <si>
    <t>Célula 400 34,5</t>
  </si>
  <si>
    <t>Controle 200 13,8</t>
  </si>
  <si>
    <t>Controle 200 34,5</t>
  </si>
  <si>
    <t>Acessório 34,5</t>
  </si>
  <si>
    <t>Categoria</t>
  </si>
  <si>
    <t>Tensão (kV)</t>
  </si>
  <si>
    <t>Valor Material</t>
  </si>
  <si>
    <t>Mão de obra</t>
  </si>
  <si>
    <t>Composição</t>
  </si>
  <si>
    <t>Códigos</t>
  </si>
  <si>
    <t>13,8</t>
  </si>
  <si>
    <t>Religador + Controle</t>
  </si>
  <si>
    <t>690001 + 690916</t>
  </si>
  <si>
    <t>34,5</t>
  </si>
  <si>
    <t>690005 + 692263</t>
  </si>
  <si>
    <t>Só religador</t>
  </si>
  <si>
    <t>690001</t>
  </si>
  <si>
    <t>690005</t>
  </si>
  <si>
    <t>Controle 13,8</t>
  </si>
  <si>
    <t>Só controle</t>
  </si>
  <si>
    <t>690916</t>
  </si>
  <si>
    <t>692263</t>
  </si>
  <si>
    <t>Tensão / kVA</t>
  </si>
  <si>
    <t>R$ por célula</t>
  </si>
  <si>
    <t>Código</t>
  </si>
  <si>
    <t>Célula 200 13,8</t>
  </si>
  <si>
    <t>13,8 / 239 kVA</t>
  </si>
  <si>
    <t>Celula</t>
  </si>
  <si>
    <t>690236</t>
  </si>
  <si>
    <t>13,8 / 167 kVA</t>
  </si>
  <si>
    <t>690669</t>
  </si>
  <si>
    <t>34,5 / 200 kVA</t>
  </si>
  <si>
    <t>690240</t>
  </si>
  <si>
    <t>34,5 / 400 kVA</t>
  </si>
  <si>
    <t>690241</t>
  </si>
  <si>
    <t>Relé de Sincronismo</t>
  </si>
  <si>
    <t>Controle (relé sincronismo)</t>
  </si>
  <si>
    <t>616033</t>
  </si>
  <si>
    <t>13,8 / 200 kVA</t>
  </si>
  <si>
    <t>Controle 400 34,5</t>
  </si>
  <si>
    <t>Controle+Célula 34,5 400KVA</t>
  </si>
  <si>
    <t>Aterramento</t>
  </si>
  <si>
    <t>Aterramento 34,5</t>
  </si>
  <si>
    <t>Faixa de Tensão</t>
  </si>
  <si>
    <t>ARTECHE P500</t>
  </si>
  <si>
    <t>NOJA RC10</t>
  </si>
  <si>
    <t>TAVRIDA</t>
  </si>
  <si>
    <t>ITB</t>
  </si>
  <si>
    <t>COOPER F6</t>
  </si>
  <si>
    <t>ITB E TOSHIBA</t>
  </si>
  <si>
    <t>TOSHIBA</t>
  </si>
  <si>
    <t>SCHNEIDER ADVC</t>
  </si>
  <si>
    <t>ROMAGNOLE</t>
  </si>
  <si>
    <t>NOJA RC10 (inferido)</t>
  </si>
  <si>
    <t>34,5 kV</t>
  </si>
  <si>
    <t>13,8 kV</t>
  </si>
  <si>
    <t>Potencia</t>
  </si>
  <si>
    <t>400 kVA</t>
  </si>
  <si>
    <t>200 kVA</t>
  </si>
  <si>
    <t>167 kVA</t>
  </si>
  <si>
    <t>398/400 kVA</t>
  </si>
  <si>
    <t>250 kVA</t>
  </si>
  <si>
    <t>398 kVA</t>
  </si>
  <si>
    <t>38294+38296</t>
  </si>
  <si>
    <t>38296+38297</t>
  </si>
  <si>
    <t>690001 · Tanque / Parte ativa — Religador 13,8 kV</t>
  </si>
  <si>
    <t>690916 · Controle — Religador 13,8 kV</t>
  </si>
  <si>
    <t>690005 · Tanque / Parte ativa — Religador 34,5 kV</t>
  </si>
  <si>
    <t>692263 · Controle — Religador 34,5 kV</t>
  </si>
  <si>
    <t>90556 · Chave faca</t>
  </si>
  <si>
    <t>647877+649399 · Bateria + rádio</t>
  </si>
  <si>
    <t>651638 · Controle de regulador c/ nobreak</t>
  </si>
  <si>
    <t>690241 · Célula — Regulador 34,5 kV / 400 kVA</t>
  </si>
  <si>
    <t>Controle +Tanque</t>
  </si>
  <si>
    <t>Completo 34,5</t>
  </si>
  <si>
    <t>Completo 13,5</t>
  </si>
  <si>
    <t>Tanque 13,5</t>
  </si>
  <si>
    <t>Muito Alta e Alta</t>
  </si>
  <si>
    <t>Compra</t>
  </si>
  <si>
    <t>Sobra</t>
  </si>
  <si>
    <t>Descrição</t>
  </si>
  <si>
    <t>Unidade</t>
  </si>
  <si>
    <t>QT.</t>
  </si>
  <si>
    <t>Valor Unitário</t>
  </si>
  <si>
    <t>Valor Total</t>
  </si>
  <si>
    <t>Finalidade</t>
  </si>
  <si>
    <t>Data Requisição</t>
  </si>
  <si>
    <t>Requisição Web Supply</t>
  </si>
  <si>
    <t>UN</t>
  </si>
  <si>
    <t>Material para Manutenção</t>
  </si>
  <si>
    <t>CONTROLE DE REGULADOR DE TENSAO COM NOBREAK</t>
  </si>
  <si>
    <t>REGUL TENS AUTOM SIMET RD 1F 19,919KV 400KVA 201A ESTR CL2</t>
  </si>
  <si>
    <t>RELIGADOR AUTO EXT 3F LIN VAC 15KV 630A 12,5KA 127VCA</t>
  </si>
  <si>
    <t>RELIGADOR AUTO EXT 3F LIN VAC 38KV 630A 12,5KA 127VCA</t>
  </si>
  <si>
    <t>CONTROLE P/ RELIGADOR LINHA DISTR 15,0KV 115VCA</t>
  </si>
  <si>
    <t>CONTROLE P/ RELIGADOR LINHA DISTR 36,2KV 115VCA</t>
  </si>
  <si>
    <t xml:space="preserve">Ex: Em aprovação , Cotação,Aprovação Técnica </t>
  </si>
  <si>
    <t>Previsão de Chegada no N1</t>
  </si>
  <si>
    <t>Saldo</t>
  </si>
  <si>
    <t>Status PMA</t>
  </si>
  <si>
    <t>16/09/2026 PARECER COEP: EQUIPAMENTO EM LOGISTICA NOTA:SUBSTITUIR CONTROLE , CONFORME ALINHADO COM O LEANDRO , CONTROLE CÓDIGO 6900017 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</si>
  <si>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11/09/2026 PARECER COEP: CONFORME ALINHADO COM LEONARDO SANTOS DA SILVA 11/09/2026PEGAREMOS O Controle do 7903569004  e colocar no 7923673004.PARECER COEP: Verificar Disponibilidade de equipamento no Scada e enviar modelo e tensão para a compra.RELIGADOR COM RELÉ DANIFICADO, REALIZAR SUBSTITUIÇÃO</t>
  </si>
  <si>
    <t>16/09/2026 PARECER COPE: EQUIPAMENTO EM PROCESSO DE AQUISIÇÃONOTA COEP: SUBSTITUIR PARTE ATIVANota para manutenção substituir religador 7900525015 que está com as buchas de entrada danificadas fase A estourada e bc danificadas Local LD Pedro Afonso A Chaparral</t>
  </si>
  <si>
    <t>11/09/2026 PARECER COEP : PRECISAREMOS DO RL DA 13 COMPLETO JÁ QUE USAREMOS O CONTROLE DESSE EQUIPAMENTO PARA CONSERTAR O  7923673004 PARECER COEP 28/07/2026 : EQUIPAMENTO SELECIONADO PARA COMPRAEquipamento baypassado PARECER DMSL em 12/03: Realizar substituição do equipamento todo e parte ativa.</t>
  </si>
  <si>
    <t>11/09/2026 PARECER COEP: FOI ALINHADO COM O LEANDRO QUE UTILIZAMOS AS DUAS CELULAS PRA OUTRA OBRA DE CONSTRUÇÃO LOGO NÃO VAMOS CONSEGUIR MANUTENCIONAR ESSE RT ESSE ANO04/09 PARECER COEP: EQUIPAMENTO EM LOGISTICA , UTILIZAREMOS 1/2 CÉLULAS QUE ESTAVAM COM DIONES27/07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</si>
  <si>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ETO-COEP 00195/2026</t>
  </si>
  <si>
    <t>COMANDO DE RELIGAMENTO COM FALHA</t>
  </si>
  <si>
    <t>LD02010153</t>
  </si>
  <si>
    <t>7949808058</t>
  </si>
  <si>
    <t>190-25330474</t>
  </si>
  <si>
    <t>DIONES COSTA SILVA</t>
  </si>
  <si>
    <t>16/09/2026 PARECER COEP: EQUIPAMENTO EM PROCESSO DE AQUISIÇÃOSTATUS : PREVISÃO DE SUBSTITUIÇÃO ATÉ DIA 13/11/2026PARECER DMSL: FEEDBACK EQUIP. ESPECIAISNº DO EQUIPAMENTO: 7949808058TIPO EQUIPAMENTO: Noja  RC 10TIPO DE COMUNICAÇÃO: Terminal Orbicom DATA DA MANUTENÇÃO: 31/08/2026SID: 5446/2026SERVIÇO EXECUTADO: _Foi constatado que o tanque está danificado o mesmo  não está abrindo pelo controle local e nem pelo bloqueio mecânico.FICOU EM OPERAÇÃO?: NãoPENDÊNCIA: Sim. Repassar nota para o DCMD substituir a parte ativa do equipamento.DADOS DIVERGENTES DA PROGRAMAÇÃO: NãoBATERIA SUBSTITUÍDA?: NaoTIPO DE BATERIA: Lítio EQUIPE: Edeglan e Brunno.___________________________________________SEGUE SS PARA VERIFICAR ANOMALIA NO RL 7949808058 NA LD ARAPOEMA / SANTA FÉ ANOMALIA: FOI FEITO PRIMEIRO ATAQUE, COMUNICAÇÃO DO RL NÃO VOLTOU E AO TENTAR EXECUTAR COMANDO LOCAL DE ABERTURA O MESMO NÃO ABRIU, FOI FEITO TENTATIVA DE ABERTURA MECANICA (PELA ARGOLA) E O MESMO NÃO ABROU. POR GENTILEZA VERIFICAR</t>
  </si>
  <si>
    <t>ETO-COEP 00197/2026</t>
  </si>
  <si>
    <t>COCMS 13/09EQUIPAMENTO ENTREGUE VEIO ERRADO. NÃO TEM SUPORTE DE FIXAÇÃO.EQUIPAMENTO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</si>
  <si>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AL01054060</t>
  </si>
  <si>
    <t>190-29126245</t>
  </si>
  <si>
    <t>ETO-RD-PA 00583/2026</t>
  </si>
  <si>
    <t>AL06060122</t>
  </si>
  <si>
    <t>7905320122</t>
  </si>
  <si>
    <t>190-17421383</t>
  </si>
  <si>
    <t>RELIGADOR DE LINHA - 27kV</t>
  </si>
  <si>
    <t>Segue nota para verificar falha sinalização status religador 7905320122 - rdu- Palmas .Pendência: chave de entrada fase b do religador  danificado impossível de fazer manobra. Favor abrir a nota pra trocar a mesma e verificar as outras. Não foi possível fazer os testes funcionais.</t>
  </si>
  <si>
    <t>ETO-COEP 00201/2026</t>
  </si>
  <si>
    <t>LD01065015</t>
  </si>
  <si>
    <t>190-17404165</t>
  </si>
  <si>
    <t xml:space="preserve">ETO- </t>
  </si>
  <si>
    <t>17/09/2026 PARECER COEP: EQUIPAMENTO JÁ ERA PRA TER SIDO RESOLVIDO PELOS COCM´S, NO ENTANTO ,ALINHAMOS DO DIA 11/09 COM KELLITON PARA REALIZAR A SUBSTITUIÇÃO DO TRAFO AUXILIARPARECER DMSL: *FEEDBACK EQUIP. ESPECIAIS**Nº DO EQUIPAMENTO:* 7931219078*TIPO EQUIPAMENTO:* Noja RC10*TIPO DE COMUNICAÇÃO:* Rádio GE IP*DATA DA MANUTENÇÃO:* 17/09/2026*SID:* 5806/2026*DESCRIÇÃO:* _Realizada atualização da base e feito comissionamento com SCADA (Carlos). Porém o equipamento ficou fora de operação e Bay passado devido o transformador está com problema.OBS: nota repassada para substituir o transformador.*FICOU EM OPERAÇÃO?:* Não..*PENDÊNCIA:* Abrir nota para substituir o transformador.*DADOS DIVERGENTES DA PROGRAMAÇÃO:* Não*TIPO DE BATERIA:* Lítio*EQUIPE:*  Edeglan e Brunno._________________________________________Segue nota para envia equipe verificar RL-7931219078 equipamento não está  fechando em campo somente no ADMS, Feito teste com equipe 104op01 local RL fechar normal porém não sinalizar no AMDS, ficou bay passado até regularização.</t>
  </si>
  <si>
    <t>ETO-RD-AR 01440/2026</t>
  </si>
  <si>
    <t>18/09/2026 PARECER COEP: REPASSANDO PARA O POSTO DOS COCM´S PARA DEVIDA TRATATIVA , NECESSITA APENAS CONEXÃO MT  PARECER DMSL: FEEDBACK EQUIP. ESPECIAISNº DO EQUIPAMENTO: 5844630060TIPO EQUIPAMENTO: RT RUATIPO DE COMUNICAÇÃO: Radio  GE IPDATA DA MANUTENÇÃO: 11/09/2026SID: 5815/2026DESCRIÇÃO: Realizado ensaio de isolação da célula C, a mesma está com o isolamento bom. Sendo assim necessário que a Linha Viva faça a reconexão o cabo na chave faca de saída da fase C, pois a mesma se desprendeu.FICOU EM OPERAÇÃO?: Não. Bypassado.PENDÊNCIA: Reconectar cabo na chave faca da fase C. DADOS DIVERGENTES DA PROGRAMAÇÃO: NãoTIPO DE BATERIA: ChumboEQUIPE: Edeglan e Brunno.___________________________________________________Segue nota para verificar falha em comandos via supervisório e constantes travamento no regulador de tensão 5844630060 - rural- Nova Olinda .Foi executado comandos no relé via supervisório, porém sem sucesso , em campo o equipamento está com a fase B travada no -16 .Obs: equipamento ficou fora de operação bay passado , favor agilizar atendimento !</t>
  </si>
  <si>
    <t>Concluído</t>
  </si>
  <si>
    <t>Sem PMA</t>
  </si>
  <si>
    <t>Sim</t>
  </si>
  <si>
    <t>0312600408</t>
  </si>
  <si>
    <t>Não</t>
  </si>
  <si>
    <t>Controle Rua que voltou de dianopólis</t>
  </si>
  <si>
    <t>0712600591</t>
  </si>
  <si>
    <t>Ainda Não</t>
  </si>
  <si>
    <t>Ainda não</t>
  </si>
  <si>
    <t>NA</t>
  </si>
  <si>
    <t>0612600861</t>
  </si>
  <si>
    <t>Em compra</t>
  </si>
  <si>
    <t>Célula 167 13,8</t>
  </si>
  <si>
    <t>0212600671</t>
  </si>
  <si>
    <t>38291</t>
  </si>
  <si>
    <t>38291+38292</t>
  </si>
  <si>
    <t>38292</t>
  </si>
  <si>
    <t>38294</t>
  </si>
  <si>
    <t>38295</t>
  </si>
  <si>
    <t>38295+38297</t>
  </si>
  <si>
    <t>38297</t>
  </si>
  <si>
    <t>LD02065015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</si>
</sst>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4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</font>
    <font>
      <sz val="18"/>
      <name val="Arial"/>
    </font>
    <font>
      <b/>
      <sz val="9.5"/>
      <color rgb="FFFFFFFF"/>
      <name val="Calibri"/>
    </font>
    <font>
      <sz val="9.5"/>
      <color rgb="FF374151"/>
      <name val="Calibri"/>
    </font>
    <font>
      <sz val="10"/>
      <color rgb="FF374151"/>
      <name val="Calibri"/>
    </font>
    <font>
      <sz val="9.5"/>
      <color rgb="FF000000"/>
      <name val="Calibri"/>
    </font>
    <font>
      <sz val="10"/>
      <color rgb="FF000000"/>
      <name val="Calibri"/>
    </font>
    <font>
      <sz val="10.5"/>
      <color rgb="FF374151"/>
      <name val="Calibri"/>
    </font>
    <font>
      <b/>
      <sz val="9.5"/>
      <color rgb="FF1E2761"/>
      <name val="Calibri"/>
    </font>
    <font>
      <b/>
      <sz val="10.5"/>
      <color rgb="FF1E2761"/>
      <name val="Calibri"/>
    </font>
    <font>
      <sz val="10.5"/>
      <color rgb="FF000000"/>
      <name val="Calibri"/>
    </font>
    <font>
      <b/>
      <sz val="12"/>
      <color rgb="FFFFFFFF"/>
      <name val="Calibri"/>
    </font>
    <font>
      <b/>
      <sz val="12"/>
      <color rgb="FF1E2761"/>
      <name val="Calibri"/>
    </font>
    <font>
      <sz val="12"/>
      <color rgb="FF374151"/>
      <name val="Calibri"/>
    </font>
    <font>
      <sz val="12"/>
      <color rgb="FF000000"/>
      <name val="Calibri"/>
    </font>
    <font>
      <b/>
      <sz val="11"/>
      <color rgb="FFFFFFFF"/>
      <name val="Calibri"/>
    </font>
    <font>
      <sz val="11"/>
      <color rgb="FF374151"/>
      <name val="Calibri"/>
    </font>
    <font>
      <sz val="11"/>
      <color rgb="FF000000"/>
      <name val="Calibri"/>
    </font>
    <font>
      <b/>
      <sz val="11"/>
      <color rgb="FF1E2761"/>
      <name val="Calibri"/>
    </font>
    <font>
      <sz val="11"/>
      <color rgb="FF3A3A3A"/>
      <name val="Calibri"/>
    </font>
    <font>
      <sz val="11"/>
      <color rgb="FF000000"/>
      <name val="Aptos"/>
    </font>
    <font>
      <b/>
      <sz val="11"/>
      <color rgb="FF002060"/>
      <name val="Aptos"/>
    </font>
    <font>
      <b/>
      <sz val="10"/>
      <color rgb="FFF2EFE6"/>
      <name val="Calibri"/>
    </font>
    <font>
      <b/>
      <sz val="10"/>
      <color rgb="FFF2EFE6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11D1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6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wrapText="1"/>
    </xf>
    <xf numFmtId="0" fontId="8" fillId="0" borderId="0" xfId="0" applyFont="1"/>
    <xf numFmtId="10" fontId="8" fillId="0" borderId="1" xfId="2" applyNumberFormat="1" applyFont="1" applyBorder="1"/>
    <xf numFmtId="0" fontId="9" fillId="0" borderId="0" xfId="0" applyFont="1"/>
    <xf numFmtId="44" fontId="6" fillId="0" borderId="0" xfId="1" applyFont="1"/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0" fontId="5" fillId="2" borderId="0" xfId="2" applyNumberFormat="1" applyFont="1" applyFill="1" applyAlignment="1">
      <alignment horizontal="center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8" fontId="0" fillId="4" borderId="0" xfId="1" applyNumberFormat="1" applyFont="1" applyFill="1"/>
    <xf numFmtId="44" fontId="0" fillId="4" borderId="0" xfId="0" applyNumberFormat="1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" fontId="11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10" fillId="5" borderId="2" xfId="0" applyNumberFormat="1" applyFont="1" applyFill="1" applyBorder="1" applyAlignment="1">
      <alignment horizontal="center" vertical="center"/>
    </xf>
    <xf numFmtId="8" fontId="12" fillId="0" borderId="0" xfId="0" applyNumberFormat="1" applyFont="1" applyAlignment="1">
      <alignment horizontal="center" vertical="center" readingOrder="1"/>
    </xf>
    <xf numFmtId="0" fontId="13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3" fillId="0" borderId="2" xfId="2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0" fontId="14" fillId="0" borderId="2" xfId="2" applyNumberFormat="1" applyFont="1" applyBorder="1" applyAlignment="1">
      <alignment horizontal="center"/>
    </xf>
    <xf numFmtId="0" fontId="15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8" fontId="17" fillId="0" borderId="6" xfId="0" applyNumberFormat="1" applyFont="1" applyBorder="1" applyAlignment="1">
      <alignment horizontal="center" vertical="center" wrapText="1" readingOrder="1"/>
    </xf>
    <xf numFmtId="8" fontId="18" fillId="0" borderId="6" xfId="0" applyNumberFormat="1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 wrapText="1" readingOrder="1"/>
    </xf>
    <xf numFmtId="8" fontId="21" fillId="8" borderId="6" xfId="0" applyNumberFormat="1" applyFont="1" applyFill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8" fontId="19" fillId="0" borderId="6" xfId="0" applyNumberFormat="1" applyFont="1" applyBorder="1" applyAlignment="1">
      <alignment horizontal="center" vertical="center" wrapText="1" readingOrder="1"/>
    </xf>
    <xf numFmtId="0" fontId="22" fillId="9" borderId="6" xfId="0" applyFont="1" applyFill="1" applyBorder="1" applyAlignment="1">
      <alignment horizontal="center" vertical="center" wrapText="1" readingOrder="1"/>
    </xf>
    <xf numFmtId="8" fontId="22" fillId="9" borderId="6" xfId="0" applyNumberFormat="1" applyFont="1" applyFill="1" applyBorder="1" applyAlignment="1">
      <alignment horizontal="center" vertical="center" wrapText="1" readingOrder="1"/>
    </xf>
    <xf numFmtId="0" fontId="4" fillId="7" borderId="6" xfId="0" applyFont="1" applyFill="1" applyBorder="1" applyAlignment="1">
      <alignment horizontal="left" vertical="center" wrapText="1" indent="1" readingOrder="1"/>
    </xf>
    <xf numFmtId="0" fontId="4" fillId="7" borderId="6" xfId="0" applyFont="1" applyFill="1" applyBorder="1" applyAlignment="1">
      <alignment horizontal="center" vertical="center" wrapText="1" readingOrder="1"/>
    </xf>
    <xf numFmtId="0" fontId="21" fillId="0" borderId="6" xfId="0" applyFont="1" applyBorder="1" applyAlignment="1">
      <alignment horizontal="left" vertical="center" wrapText="1" indent="1" readingOrder="1"/>
    </xf>
    <xf numFmtId="0" fontId="21" fillId="0" borderId="6" xfId="0" applyFont="1" applyBorder="1" applyAlignment="1">
      <alignment horizontal="center" vertical="center" wrapText="1" readingOrder="1"/>
    </xf>
    <xf numFmtId="8" fontId="21" fillId="0" borderId="6" xfId="0" applyNumberFormat="1" applyFont="1" applyBorder="1" applyAlignment="1">
      <alignment horizontal="center" vertical="center" wrapText="1" readingOrder="1"/>
    </xf>
    <xf numFmtId="0" fontId="15" fillId="9" borderId="6" xfId="0" applyFont="1" applyFill="1" applyBorder="1" applyAlignment="1">
      <alignment horizontal="left" vertical="center" wrapText="1" indent="1"/>
    </xf>
    <xf numFmtId="0" fontId="23" fillId="9" borderId="6" xfId="0" applyFont="1" applyFill="1" applyBorder="1" applyAlignment="1">
      <alignment horizontal="center" vertical="center" wrapText="1" readingOrder="1"/>
    </xf>
    <xf numFmtId="8" fontId="23" fillId="9" borderId="6" xfId="0" applyNumberFormat="1" applyFont="1" applyFill="1" applyBorder="1" applyAlignment="1">
      <alignment horizontal="center" vertical="center" wrapText="1" readingOrder="1"/>
    </xf>
    <xf numFmtId="0" fontId="21" fillId="8" borderId="6" xfId="0" applyFont="1" applyFill="1" applyBorder="1" applyAlignment="1">
      <alignment horizontal="left" vertical="center" wrapText="1" indent="1" readingOrder="1"/>
    </xf>
    <xf numFmtId="0" fontId="21" fillId="8" borderId="6" xfId="0" applyFont="1" applyFill="1" applyBorder="1" applyAlignment="1">
      <alignment horizontal="center" vertical="center" wrapText="1" readingOrder="1"/>
    </xf>
    <xf numFmtId="0" fontId="23" fillId="8" borderId="6" xfId="0" applyFont="1" applyFill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center" vertical="center" wrapText="1" readingOrder="1"/>
    </xf>
    <xf numFmtId="0" fontId="23" fillId="9" borderId="6" xfId="0" applyFont="1" applyFill="1" applyBorder="1" applyAlignment="1">
      <alignment horizontal="left" vertical="center" wrapText="1" indent="1" readingOrder="1"/>
    </xf>
    <xf numFmtId="0" fontId="25" fillId="7" borderId="6" xfId="0" applyFont="1" applyFill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left" vertical="center" wrapText="1" indent="1" readingOrder="1"/>
    </xf>
    <xf numFmtId="0" fontId="27" fillId="0" borderId="6" xfId="0" applyFont="1" applyBorder="1" applyAlignment="1">
      <alignment horizontal="center" vertical="center" wrapText="1" readingOrder="1"/>
    </xf>
    <xf numFmtId="8" fontId="27" fillId="0" borderId="6" xfId="0" applyNumberFormat="1" applyFont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center" vertical="center" wrapText="1" readingOrder="1"/>
    </xf>
    <xf numFmtId="8" fontId="26" fillId="9" borderId="6" xfId="0" applyNumberFormat="1" applyFont="1" applyFill="1" applyBorder="1" applyAlignment="1">
      <alignment horizontal="center" vertical="center" wrapText="1" readingOrder="1"/>
    </xf>
    <xf numFmtId="0" fontId="27" fillId="8" borderId="6" xfId="0" applyFont="1" applyFill="1" applyBorder="1" applyAlignment="1">
      <alignment horizontal="left" vertical="center" wrapText="1" indent="1" readingOrder="1"/>
    </xf>
    <xf numFmtId="0" fontId="27" fillId="8" borderId="6" xfId="0" applyFont="1" applyFill="1" applyBorder="1" applyAlignment="1">
      <alignment horizontal="center" vertical="center" wrapText="1" readingOrder="1"/>
    </xf>
    <xf numFmtId="8" fontId="27" fillId="8" borderId="6" xfId="0" applyNumberFormat="1" applyFont="1" applyFill="1" applyBorder="1" applyAlignment="1">
      <alignment horizontal="center" vertical="center" wrapText="1" readingOrder="1"/>
    </xf>
    <xf numFmtId="0" fontId="26" fillId="8" borderId="6" xfId="0" applyFont="1" applyFill="1" applyBorder="1" applyAlignment="1">
      <alignment horizontal="center" vertical="center" wrapText="1" readingOrder="1"/>
    </xf>
    <xf numFmtId="0" fontId="28" fillId="8" borderId="6" xfId="0" applyFont="1" applyFill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left" vertical="center" wrapText="1" indent="1" readingOrder="1"/>
    </xf>
    <xf numFmtId="0" fontId="29" fillId="7" borderId="6" xfId="0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1"/>
    </xf>
    <xf numFmtId="8" fontId="30" fillId="10" borderId="6" xfId="0" applyNumberFormat="1" applyFont="1" applyFill="1" applyBorder="1" applyAlignment="1">
      <alignment horizontal="center" vertical="center" wrapText="1" readingOrder="1"/>
    </xf>
    <xf numFmtId="8" fontId="30" fillId="0" borderId="6" xfId="0" applyNumberFormat="1" applyFont="1" applyBorder="1" applyAlignment="1">
      <alignment horizontal="center" vertical="center" wrapText="1" readingOrder="1"/>
    </xf>
    <xf numFmtId="0" fontId="31" fillId="0" borderId="6" xfId="0" applyFont="1" applyBorder="1" applyAlignment="1">
      <alignment horizontal="center" vertical="center" wrapText="1" readingOrder="1"/>
    </xf>
    <xf numFmtId="0" fontId="31" fillId="10" borderId="6" xfId="0" applyFont="1" applyFill="1" applyBorder="1" applyAlignment="1">
      <alignment horizontal="center" vertical="center" wrapText="1" readingOrder="1"/>
    </xf>
    <xf numFmtId="0" fontId="32" fillId="9" borderId="6" xfId="0" applyFont="1" applyFill="1" applyBorder="1" applyAlignment="1">
      <alignment horizontal="center" vertical="center" wrapText="1" readingOrder="1"/>
    </xf>
    <xf numFmtId="8" fontId="32" fillId="9" borderId="6" xfId="0" applyNumberFormat="1" applyFont="1" applyFill="1" applyBorder="1" applyAlignment="1">
      <alignment horizontal="center" vertical="center" wrapText="1" readingOrder="1"/>
    </xf>
    <xf numFmtId="0" fontId="29" fillId="7" borderId="6" xfId="0" applyFont="1" applyFill="1" applyBorder="1" applyAlignment="1">
      <alignment horizontal="center" wrapText="1" readingOrder="1"/>
    </xf>
    <xf numFmtId="0" fontId="33" fillId="0" borderId="6" xfId="0" applyFont="1" applyBorder="1" applyAlignment="1">
      <alignment horizontal="center" wrapText="1" readingOrder="1"/>
    </xf>
    <xf numFmtId="0" fontId="34" fillId="0" borderId="6" xfId="0" applyFont="1" applyBorder="1" applyAlignment="1">
      <alignment horizontal="center" vertical="center" wrapText="1" readingOrder="1"/>
    </xf>
    <xf numFmtId="0" fontId="35" fillId="9" borderId="6" xfId="0" applyFont="1" applyFill="1" applyBorder="1" applyAlignment="1">
      <alignment horizontal="left" wrapText="1" readingOrder="1"/>
    </xf>
    <xf numFmtId="8" fontId="35" fillId="9" borderId="6" xfId="0" applyNumberFormat="1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6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36" fillId="11" borderId="0" xfId="0" applyFont="1" applyFill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37" fillId="11" borderId="0" xfId="0" applyFont="1" applyFill="1" applyAlignment="1">
      <alignment horizontal="center" wrapText="1"/>
    </xf>
    <xf numFmtId="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14" fillId="0" borderId="2" xfId="2" applyNumberFormat="1" applyFont="1" applyBorder="1" applyAlignment="1">
      <alignment horizontal="center"/>
    </xf>
    <xf numFmtId="1" fontId="7" fillId="0" borderId="0" xfId="0" applyNumberFormat="1" applyFont="1"/>
    <xf numFmtId="1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10" fontId="38" fillId="0" borderId="2" xfId="0" applyNumberFormat="1" applyFont="1" applyBorder="1" applyAlignment="1">
      <alignment horizontal="center"/>
    </xf>
    <xf numFmtId="10" fontId="38" fillId="0" borderId="2" xfId="2" applyNumberFormat="1" applyFont="1" applyBorder="1"/>
    <xf numFmtId="0" fontId="0" fillId="12" borderId="19" xfId="0" applyFill="1" applyBorder="1"/>
    <xf numFmtId="0" fontId="39" fillId="13" borderId="20" xfId="0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center" vertical="center" wrapText="1" readingOrder="1"/>
    </xf>
    <xf numFmtId="0" fontId="26" fillId="0" borderId="8" xfId="0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78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9" formatCode="dd/mm/yyyy"/>
    </dxf>
    <dxf>
      <numFmt numFmtId="12" formatCode="&quot;R$&quot;\ #,##0.00;[Red]\-&quot;R$&quot;\ #,##0.00"/>
    </dxf>
    <dxf>
      <numFmt numFmtId="12" formatCode="&quot;R$&quot;\ #,##0.00;[Red]\-&quot;R$&quot;\ 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Orçado</a:t>
            </a:r>
            <a:r>
              <a:rPr lang="pt-BR" baseline="0"/>
              <a:t> vs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067585301837259E-2"/>
          <c:y val="0.12541666666666668"/>
          <c:w val="0.94659908136482962"/>
          <c:h val="0.735354695246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Orçamento!$AE$126:$AE$129</c:f>
              <c:numCache>
                <c:formatCode>_("R$"* #,##0.00_);_("R$"* \(#,##0.00\);_("R$"* "-"??_);_(@_)</c:formatCode>
                <c:ptCount val="4"/>
                <c:pt idx="0">
                  <c:v>2129866.67</c:v>
                </c:pt>
                <c:pt idx="1">
                  <c:v>2936475.8899999997</c:v>
                </c:pt>
                <c:pt idx="2">
                  <c:v>4637315.57</c:v>
                </c:pt>
                <c:pt idx="3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4-4534-BA90-81BBE04F0E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Orçamento!$AF$126:$AF$129</c:f>
              <c:numCache>
                <c:formatCode>_("R$"* #,##0.00_);_("R$"* \(#,##0.00\);_("R$"* "-"??_);_(@_)</c:formatCode>
                <c:ptCount val="4"/>
                <c:pt idx="0">
                  <c:v>5206065.0199999996</c:v>
                </c:pt>
                <c:pt idx="1">
                  <c:v>5579287.46</c:v>
                </c:pt>
                <c:pt idx="2">
                  <c:v>5821192.96</c:v>
                </c:pt>
                <c:pt idx="3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4-4534-BA90-81BBE04F0E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Orçamento!$AJ$126:$AJ$129</c:f>
              <c:numCache>
                <c:formatCode>General</c:formatCode>
                <c:ptCount val="4"/>
                <c:pt idx="0">
                  <c:v>99</c:v>
                </c:pt>
                <c:pt idx="1">
                  <c:v>75</c:v>
                </c:pt>
                <c:pt idx="2">
                  <c:v>57</c:v>
                </c:pt>
                <c:pt idx="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4-4534-BA90-81BBE04F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810511"/>
        <c:axId val="1477528784"/>
      </c:lineChart>
      <c:catAx>
        <c:axId val="3578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528784"/>
        <c:crosses val="autoZero"/>
        <c:auto val="1"/>
        <c:lblAlgn val="ctr"/>
        <c:lblOffset val="100"/>
        <c:noMultiLvlLbl val="0"/>
      </c:catAx>
      <c:valAx>
        <c:axId val="1477528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7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forecast</a:t>
            </a:r>
            <a:r>
              <a:rPr lang="pt-BR" baseline="0"/>
              <a:t> Qtd</a:t>
            </a:r>
            <a:r>
              <a:rPr lang="pt-BR"/>
              <a:t> </a:t>
            </a:r>
          </a:p>
        </c:rich>
      </c:tx>
      <c:layout>
        <c:manualLayout>
          <c:xMode val="edge"/>
          <c:yMode val="edge"/>
          <c:x val="0.35634247283168263"/>
          <c:y val="3.63364399558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735417038873787E-2"/>
          <c:y val="0.12917261067879332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Orçamento!$U$56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Orçamento!$U$57:$U$60</c:f>
              <c:numCache>
                <c:formatCode>General</c:formatCode>
                <c:ptCount val="4"/>
                <c:pt idx="0">
                  <c:v>102</c:v>
                </c:pt>
                <c:pt idx="1">
                  <c:v>78</c:v>
                </c:pt>
                <c:pt idx="2">
                  <c:v>60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6-4C26-A7BA-80F04D1AA591}"/>
            </c:ext>
          </c:extLst>
        </c:ser>
        <c:ser>
          <c:idx val="1"/>
          <c:order val="1"/>
          <c:tx>
            <c:strRef>
              <c:f>Orçamento!$V$56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Orçamento!$V$57:$V$60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6-4C26-A7BA-80F04D1AA591}"/>
            </c:ext>
          </c:extLst>
        </c:ser>
        <c:ser>
          <c:idx val="2"/>
          <c:order val="2"/>
          <c:tx>
            <c:strRef>
              <c:f>Orçamento!$W$56</c:f>
              <c:strCache>
                <c:ptCount val="1"/>
                <c:pt idx="0">
                  <c:v>Resolver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Orçamento!$W$57:$W$60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6-4C26-A7BA-80F04D1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77263"/>
        <c:axId val="272798127"/>
      </c:lineChart>
      <c:catAx>
        <c:axId val="3033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798127"/>
        <c:crosses val="autoZero"/>
        <c:auto val="1"/>
        <c:lblAlgn val="ctr"/>
        <c:lblOffset val="100"/>
        <c:noMultiLvlLbl val="0"/>
      </c:catAx>
      <c:valAx>
        <c:axId val="272798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33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equipamentos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42911694055943E-3"/>
          <c:y val="0.1669704510025552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Orçamento!$AJ$118:$AJ$129</c:f>
              <c:numCache>
                <c:formatCode>General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88</c:v>
                </c:pt>
                <c:pt idx="3">
                  <c:v>98</c:v>
                </c:pt>
                <c:pt idx="4">
                  <c:v>89</c:v>
                </c:pt>
                <c:pt idx="5">
                  <c:v>86</c:v>
                </c:pt>
                <c:pt idx="6">
                  <c:v>96</c:v>
                </c:pt>
                <c:pt idx="7">
                  <c:v>97</c:v>
                </c:pt>
                <c:pt idx="8">
                  <c:v>99</c:v>
                </c:pt>
                <c:pt idx="9">
                  <c:v>75</c:v>
                </c:pt>
                <c:pt idx="10">
                  <c:v>57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774-9A9C-F045EBC51FBD}"/>
            </c:ext>
          </c:extLst>
        </c:ser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Orçamento!$AK$118:$AK$129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33</c:v>
                </c:pt>
                <c:pt idx="6">
                  <c:v>24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774-9A9C-F045EBC51FBD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Orçamento!$AL$118:$AL$129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  <c:pt idx="5">
                  <c:v>36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29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774-9A9C-F045EBC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565775"/>
        <c:axId val="31789167"/>
      </c:lineChart>
      <c:catAx>
        <c:axId val="80656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89167"/>
        <c:crosses val="autoZero"/>
        <c:auto val="1"/>
        <c:lblAlgn val="ctr"/>
        <c:lblOffset val="100"/>
        <c:noMultiLvlLbl val="0"/>
      </c:catAx>
      <c:valAx>
        <c:axId val="3178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65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  <a:r>
              <a:rPr lang="pt-BR" baseline="0"/>
              <a:t> Orçamento</a:t>
            </a:r>
            <a:endParaRPr lang="pt-BR"/>
          </a:p>
        </c:rich>
      </c:tx>
      <c:layout>
        <c:manualLayout>
          <c:xMode val="edge"/>
          <c:yMode val="edge"/>
          <c:x val="0.44240725955956578"/>
          <c:y val="7.081172639707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2012086817663"/>
          <c:y val="0.14449021083829189"/>
          <c:w val="0.86270884775407641"/>
          <c:h val="0.6760233175482218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0.20464959617719267"/>
                  <c:y val="-0.14413960099802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26-4D4B-8496-342E1122C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Orçamento!$AE$118:$AE$129</c:f>
              <c:numCache>
                <c:formatCode>_("R$"* #,##0.00_);_("R$"* \(#,##0.00\);_("R$"* "-"??_);_(@_)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6-4D4B-8496-342E1122C2F2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Orçamento!$AF$118:$AF$129</c:f>
              <c:numCache>
                <c:formatCode>_("R$"* #,##0.00_);_("R$"* \(#,##0.00\);_("R$"* "-"??_);_(@_)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6-4D4B-8496-342E1122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07151"/>
        <c:axId val="494214063"/>
      </c:lineChart>
      <c:catAx>
        <c:axId val="358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214063"/>
        <c:crosses val="autoZero"/>
        <c:auto val="1"/>
        <c:lblAlgn val="ctr"/>
        <c:lblOffset val="100"/>
        <c:noMultiLvlLbl val="0"/>
      </c:catAx>
      <c:valAx>
        <c:axId val="494214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2026</a:t>
            </a:r>
          </a:p>
        </c:rich>
      </c:tx>
      <c:layout>
        <c:manualLayout>
          <c:xMode val="edge"/>
          <c:yMode val="edge"/>
          <c:x val="0.2838439120102807"/>
          <c:y val="2.262625974691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676660233315191E-2"/>
          <c:y val="0.12635149907242518"/>
          <c:w val="0.93272987765165838"/>
          <c:h val="0.61524083477409242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Orçamento!$M$117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5832918379368814E-2"/>
                  <c:y val="-8.080807052470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Orçamento!$M$118:$M$130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0-4852-98A1-260D49FAE3FD}"/>
            </c:ext>
          </c:extLst>
        </c:ser>
        <c:ser>
          <c:idx val="1"/>
          <c:order val="1"/>
          <c:tx>
            <c:strRef>
              <c:f>Orçamento!$N$117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Orçamento!$N$118:$N$130</c:f>
              <c:numCache>
                <c:formatCode>_("R$"* #,##0.00_);_("R$"* \(#,##0.00\);_("R$"* "-"??_);_(@_)</c:formatCode>
                <c:ptCount val="13"/>
                <c:pt idx="1">
                  <c:v>33374.11</c:v>
                </c:pt>
                <c:pt idx="2">
                  <c:v>378377.86</c:v>
                </c:pt>
                <c:pt idx="3">
                  <c:v>122099.42000000004</c:v>
                </c:pt>
                <c:pt idx="4">
                  <c:v>42060.770000000019</c:v>
                </c:pt>
                <c:pt idx="5">
                  <c:v>68862.179999999935</c:v>
                </c:pt>
                <c:pt idx="6">
                  <c:v>261566.24</c:v>
                </c:pt>
                <c:pt idx="7">
                  <c:v>438069.49000000011</c:v>
                </c:pt>
                <c:pt idx="8">
                  <c:v>562290.49</c:v>
                </c:pt>
                <c:pt idx="9">
                  <c:v>223166.10999999987</c:v>
                </c:pt>
                <c:pt idx="10">
                  <c:v>806609.21999999974</c:v>
                </c:pt>
                <c:pt idx="11">
                  <c:v>1700839.6800000006</c:v>
                </c:pt>
                <c:pt idx="12">
                  <c:v>1105983.7400000002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0-4852-98A1-260D49FAE3FD}"/>
            </c:ext>
          </c:extLst>
        </c:ser>
        <c:ser>
          <c:idx val="2"/>
          <c:order val="2"/>
          <c:tx>
            <c:strRef>
              <c:f>Orçamento!$O$117</c:f>
              <c:strCache>
                <c:ptCount val="1"/>
                <c:pt idx="0">
                  <c:v>ORÇADO AUMULADO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20-4852-98A1-260D49FAE3FD}"/>
                </c:ext>
              </c:extLst>
            </c:dLbl>
            <c:dLbl>
              <c:idx val="12"/>
              <c:layout>
                <c:manualLayout>
                  <c:x val="-2.3666750199883055E-2"/>
                  <c:y val="-0.138888839400131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Orçamento!$O$118:$O$130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5264287.46</c:v>
                </c:pt>
                <c:pt idx="11">
                  <c:v>5821192.96</c:v>
                </c:pt>
                <c:pt idx="12">
                  <c:v>5747323.8399999999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0-4852-98A1-260D49FA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557359"/>
        <c:axId val="620994959"/>
      </c:lineChart>
      <c:catAx>
        <c:axId val="4385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94959"/>
        <c:crosses val="autoZero"/>
        <c:auto val="1"/>
        <c:lblAlgn val="ctr"/>
        <c:lblOffset val="100"/>
        <c:noMultiLvlLbl val="0"/>
      </c:catAx>
      <c:valAx>
        <c:axId val="62099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85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Especiais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15454271053426E-2"/>
          <c:y val="0.11712359550561799"/>
          <c:w val="0.92078067409849984"/>
          <c:h val="0.6433411778583856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Orçamento!$R$117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Orçamento!$R$118:$R$130</c:f>
              <c:numCache>
                <c:formatCode>0</c:formatCode>
                <c:ptCount val="13"/>
                <c:pt idx="0">
                  <c:v>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0-4CCF-BA82-BB327246DD13}"/>
            </c:ext>
          </c:extLst>
        </c:ser>
        <c:ser>
          <c:idx val="2"/>
          <c:order val="2"/>
          <c:tx>
            <c:strRef>
              <c:f>Orçamento!$S$117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Orçamento!$S$118:$S$130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6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3211999"/>
        <c:axId val="620948879"/>
      </c:barChart>
      <c:lineChart>
        <c:grouping val="standard"/>
        <c:varyColors val="0"/>
        <c:ser>
          <c:idx val="0"/>
          <c:order val="0"/>
          <c:tx>
            <c:strRef>
              <c:f>Orçamento!$Q$117</c:f>
              <c:strCache>
                <c:ptCount val="1"/>
                <c:pt idx="0">
                  <c:v>Pendentes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Orçamento!$Q$118:$Q$130</c:f>
              <c:numCache>
                <c:formatCode>0</c:formatCode>
                <c:ptCount val="13"/>
                <c:pt idx="0">
                  <c:v>59</c:v>
                </c:pt>
                <c:pt idx="1">
                  <c:v>65</c:v>
                </c:pt>
                <c:pt idx="2">
                  <c:v>71</c:v>
                </c:pt>
                <c:pt idx="3">
                  <c:v>76</c:v>
                </c:pt>
                <c:pt idx="4">
                  <c:v>80</c:v>
                </c:pt>
                <c:pt idx="5">
                  <c:v>65</c:v>
                </c:pt>
                <c:pt idx="6">
                  <c:v>58</c:v>
                </c:pt>
                <c:pt idx="7">
                  <c:v>56</c:v>
                </c:pt>
                <c:pt idx="8">
                  <c:v>55</c:v>
                </c:pt>
                <c:pt idx="9">
                  <c:v>57</c:v>
                </c:pt>
                <c:pt idx="10">
                  <c:v>60</c:v>
                </c:pt>
                <c:pt idx="11">
                  <c:v>43</c:v>
                </c:pt>
                <c:pt idx="1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11999"/>
        <c:axId val="620948879"/>
      </c:lineChart>
      <c:catAx>
        <c:axId val="6032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48879"/>
        <c:crosses val="autoZero"/>
        <c:auto val="1"/>
        <c:lblAlgn val="ctr"/>
        <c:lblOffset val="100"/>
        <c:noMultiLvlLbl val="0"/>
      </c:catAx>
      <c:valAx>
        <c:axId val="6209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2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Acumulada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Orçamento!$AK$117:$AK$129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33</c:v>
                </c:pt>
                <c:pt idx="7">
                  <c:v>24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1-46F9-B17D-EC2A2FD75460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Orçamento!$AL$117:$AL$129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21</c:v>
                </c:pt>
                <c:pt idx="6">
                  <c:v>36</c:v>
                </c:pt>
                <c:pt idx="7">
                  <c:v>14</c:v>
                </c:pt>
                <c:pt idx="8">
                  <c:v>9</c:v>
                </c:pt>
                <c:pt idx="9">
                  <c:v>6</c:v>
                </c:pt>
                <c:pt idx="10">
                  <c:v>29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03512287"/>
        <c:axId val="620977679"/>
      </c:barChar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Orçamento!$AJ$117:$AJ$129</c:f>
              <c:numCache>
                <c:formatCode>General</c:formatCode>
                <c:ptCount val="13"/>
                <c:pt idx="0">
                  <c:v>76</c:v>
                </c:pt>
                <c:pt idx="1">
                  <c:v>78</c:v>
                </c:pt>
                <c:pt idx="2">
                  <c:v>82</c:v>
                </c:pt>
                <c:pt idx="3">
                  <c:v>88</c:v>
                </c:pt>
                <c:pt idx="4">
                  <c:v>98</c:v>
                </c:pt>
                <c:pt idx="5">
                  <c:v>89</c:v>
                </c:pt>
                <c:pt idx="6">
                  <c:v>86</c:v>
                </c:pt>
                <c:pt idx="7">
                  <c:v>96</c:v>
                </c:pt>
                <c:pt idx="8">
                  <c:v>97</c:v>
                </c:pt>
                <c:pt idx="9">
                  <c:v>99</c:v>
                </c:pt>
                <c:pt idx="10">
                  <c:v>75</c:v>
                </c:pt>
                <c:pt idx="11">
                  <c:v>57</c:v>
                </c:pt>
                <c:pt idx="1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12287"/>
        <c:axId val="620977679"/>
      </c:lineChart>
      <c:catAx>
        <c:axId val="3035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77679"/>
        <c:crosses val="autoZero"/>
        <c:auto val="1"/>
        <c:lblAlgn val="ctr"/>
        <c:lblOffset val="100"/>
        <c:noMultiLvlLbl val="0"/>
      </c:catAx>
      <c:valAx>
        <c:axId val="620977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0351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Orçamentária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4901350264567E-2"/>
          <c:y val="0.15420610506130852"/>
          <c:w val="0.96150989756218563"/>
          <c:h val="0.71771695826603599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8.350730688935281E-3"/>
                  <c:y val="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E0-4CC4-82C2-A6FEEDC2F6DF}"/>
                </c:ext>
              </c:extLst>
            </c:dLbl>
            <c:dLbl>
              <c:idx val="9"/>
              <c:layout>
                <c:manualLayout>
                  <c:x val="6.5414057063326272E-2"/>
                  <c:y val="-2.6410112868920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E0-4CC4-82C2-A6FEEDC2F6DF}"/>
                </c:ext>
              </c:extLst>
            </c:dLbl>
            <c:dLbl>
              <c:idx val="12"/>
              <c:layout>
                <c:manualLayout>
                  <c:x val="-9.7425191370912635E-3"/>
                  <c:y val="-7.9230338606760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Orçamento!$AE$117:$AE$129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0-4CC4-82C2-A6FEEDC2F6DF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0876826722338308E-2"/>
                  <c:y val="-0.14789663206595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Orçamento!$AF$117:$AF$129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5579287.46</c:v>
                </c:pt>
                <c:pt idx="11">
                  <c:v>5821192.96</c:v>
                </c:pt>
                <c:pt idx="12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0-4CC4-82C2-A6FEEDC2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12351"/>
        <c:axId val="31851567"/>
      </c:lineChart>
      <c:catAx>
        <c:axId val="4160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1567"/>
        <c:crosses val="autoZero"/>
        <c:auto val="1"/>
        <c:lblAlgn val="ctr"/>
        <c:lblOffset val="100"/>
        <c:noMultiLvlLbl val="0"/>
      </c:catAx>
      <c:valAx>
        <c:axId val="31851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60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Cumprimento do SLA por equipe · 2025 + 2026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'SLA por equipe'!$F$32</c:f>
              <c:strCache>
                <c:ptCount val="1"/>
                <c:pt idx="0">
                  <c:v>Cumprimento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'SLA por equipe'!$A$33:$A$43</c:f>
              <c:strCache>
                <c:ptCount val="11"/>
                <c:pt idx="0">
                  <c:v>ETO-RD-PO</c:v>
                </c:pt>
                <c:pt idx="1">
                  <c:v>ETO-RD-PS</c:v>
                </c:pt>
                <c:pt idx="2">
                  <c:v>ETO-RD-AR</c:v>
                </c:pt>
                <c:pt idx="3">
                  <c:v>ETO-RD-PA</c:v>
                </c:pt>
                <c:pt idx="4">
                  <c:v>ETO-RD-AG</c:v>
                </c:pt>
                <c:pt idx="5">
                  <c:v>ETO-RD-GR</c:v>
                </c:pt>
                <c:pt idx="6">
                  <c:v>ETO-RD-DP</c:v>
                </c:pt>
                <c:pt idx="7">
                  <c:v>ETO-RD-GU</c:v>
                </c:pt>
                <c:pt idx="8">
                  <c:v>DOLP-RD-PA</c:v>
                </c:pt>
                <c:pt idx="9">
                  <c:v>DG-RD-PO</c:v>
                </c:pt>
                <c:pt idx="10">
                  <c:v>ENC-RD-PS</c:v>
                </c:pt>
              </c:strCache>
            </c:strRef>
          </c:cat>
          <c:val>
            <c:numRef>
              <c:f>'SLA por equipe'!$F$33:$F$43</c:f>
              <c:numCache>
                <c:formatCode>0.0%</c:formatCode>
                <c:ptCount val="11"/>
                <c:pt idx="0">
                  <c:v>0.60869565217391308</c:v>
                </c:pt>
                <c:pt idx="1">
                  <c:v>0.7</c:v>
                </c:pt>
                <c:pt idx="2">
                  <c:v>0.84210526315789469</c:v>
                </c:pt>
                <c:pt idx="3">
                  <c:v>0.58823529411764708</c:v>
                </c:pt>
                <c:pt idx="4">
                  <c:v>0.91666666666666663</c:v>
                </c:pt>
                <c:pt idx="5">
                  <c:v>0.58333333333333337</c:v>
                </c:pt>
                <c:pt idx="6">
                  <c:v>0.27272727272727271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D90-979B-CA293B40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</cx:chartData>
  <cx:chart>
    <cx:title pos="t" align="ctr" overlay="0"/>
    <cx:plotArea>
      <cx:plotAreaRegion>
        <cx:series layoutId="waterfall" uniqueId="{00000000-297C-4AD8-B55D-2CCFD3F2A188}" formatIdx="0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  <cx:series layoutId="waterfall" hidden="1" uniqueId="{00000001-297C-4AD8-B55D-2CCFD3F2A188}" formatIdx="1">
          <cx:tx>
            <cx:txData>
              <cx:f>_xlchart.v1.2</cx:f>
              <cx:v>ORÇADO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584387</xdr:colOff>
      <xdr:row>18</xdr:row>
      <xdr:rowOff>58831</xdr:rowOff>
    </xdr:from>
    <xdr:to>
      <xdr:col>23</xdr:col>
      <xdr:colOff>410222</xdr:colOff>
      <xdr:row>38</xdr:row>
      <xdr:rowOff>5396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505" y="3487831"/>
          <a:ext cx="4545727" cy="3801388"/>
        </a:xfrm>
        <a:prstGeom prst="rect">
          <a:avLst/>
        </a:prstGeom>
      </xdr:spPr>
    </xdr:pic>
    <xdr:clientData/>
  </xdr:twoCellAnchor>
  <xdr:twoCellAnchor>
    <xdr:from>
      <xdr:col>19</xdr:col>
      <xdr:colOff>705972</xdr:colOff>
      <xdr:row>38</xdr:row>
      <xdr:rowOff>113179</xdr:rowOff>
    </xdr:from>
    <xdr:to>
      <xdr:col>27</xdr:col>
      <xdr:colOff>212912</xdr:colOff>
      <xdr:row>52</xdr:row>
      <xdr:rowOff>189380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7E9E74E-84C9-140E-320B-6B2EA4308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9922" y="7447429"/>
              <a:ext cx="756509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291352</xdr:colOff>
      <xdr:row>66</xdr:row>
      <xdr:rowOff>45942</xdr:rowOff>
    </xdr:from>
    <xdr:to>
      <xdr:col>14</xdr:col>
      <xdr:colOff>336176</xdr:colOff>
      <xdr:row>84</xdr:row>
      <xdr:rowOff>44822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97E161-BDDB-15DE-2147-B1F25E0B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476249</xdr:colOff>
      <xdr:row>61</xdr:row>
      <xdr:rowOff>109659</xdr:rowOff>
    </xdr:from>
    <xdr:to>
      <xdr:col>22</xdr:col>
      <xdr:colOff>489857</xdr:colOff>
      <xdr:row>83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87DA4F-7EAD-A315-3B36-0DAAE8FE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1124630</xdr:colOff>
      <xdr:row>85</xdr:row>
      <xdr:rowOff>105455</xdr:rowOff>
    </xdr:from>
    <xdr:to>
      <xdr:col>21</xdr:col>
      <xdr:colOff>517072</xdr:colOff>
      <xdr:row>108</xdr:row>
      <xdr:rowOff>95250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89072702-ADDF-90D2-0644-F73B4371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2138097</xdr:colOff>
      <xdr:row>85</xdr:row>
      <xdr:rowOff>86967</xdr:rowOff>
    </xdr:from>
    <xdr:to>
      <xdr:col>14</xdr:col>
      <xdr:colOff>1061358</xdr:colOff>
      <xdr:row>108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B5AF38-8FC5-626C-7775-102AE0585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90487</xdr:colOff>
      <xdr:row>132</xdr:row>
      <xdr:rowOff>42861</xdr:rowOff>
    </xdr:from>
    <xdr:to>
      <xdr:col>15</xdr:col>
      <xdr:colOff>1133475</xdr:colOff>
      <xdr:row>152</xdr:row>
      <xdr:rowOff>161924</xdr:rowOff>
    </xdr:to>
    <xdr:graphicFrame macro="">
      <xdr:nvGraphicFramePr>
        <xdr:cNvPr id="11" name="Gráfico 15">
          <a:extLst>
            <a:ext uri="{FF2B5EF4-FFF2-40B4-BE49-F238E27FC236}">
              <a16:creationId xmlns:a16="http://schemas.microsoft.com/office/drawing/2014/main" id="{C7020384-D10B-7D39-327A-681357340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1449760</xdr:colOff>
      <xdr:row>131</xdr:row>
      <xdr:rowOff>171449</xdr:rowOff>
    </xdr:from>
    <xdr:to>
      <xdr:col>21</xdr:col>
      <xdr:colOff>1244974</xdr:colOff>
      <xdr:row>154</xdr:row>
      <xdr:rowOff>28574</xdr:rowOff>
    </xdr:to>
    <xdr:graphicFrame macro="">
      <xdr:nvGraphicFramePr>
        <xdr:cNvPr id="10" name="Gráfico 16">
          <a:extLst>
            <a:ext uri="{FF2B5EF4-FFF2-40B4-BE49-F238E27FC236}">
              <a16:creationId xmlns:a16="http://schemas.microsoft.com/office/drawing/2014/main" id="{74084C22-715C-706B-035C-9B4B161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1042949</xdr:colOff>
      <xdr:row>132</xdr:row>
      <xdr:rowOff>11525</xdr:rowOff>
    </xdr:from>
    <xdr:to>
      <xdr:col>41</xdr:col>
      <xdr:colOff>17319</xdr:colOff>
      <xdr:row>156</xdr:row>
      <xdr:rowOff>138544</xdr:rowOff>
    </xdr:to>
    <xdr:graphicFrame macro="">
      <xdr:nvGraphicFramePr>
        <xdr:cNvPr id="13" name="Gráfico 17">
          <a:extLst>
            <a:ext uri="{FF2B5EF4-FFF2-40B4-BE49-F238E27FC236}">
              <a16:creationId xmlns:a16="http://schemas.microsoft.com/office/drawing/2014/main" id="{DAF11D19-E820-92C1-8DA8-A7790509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1000125</xdr:colOff>
      <xdr:row>131</xdr:row>
      <xdr:rowOff>152399</xdr:rowOff>
    </xdr:from>
    <xdr:to>
      <xdr:col>32</xdr:col>
      <xdr:colOff>695325</xdr:colOff>
      <xdr:row>156</xdr:row>
      <xdr:rowOff>170088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F197718-93B1-A4F5-9451-B7077688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56877-1EDB-4988-AF8D-4B1CA16C3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QUIPAMENTOS%20ESPECIAIS%202026/GEST&#195;O%20DE%20EQUIPAMENTOS.xlsx" TargetMode="External"/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 de trafo"/>
      <sheetName val="Queimadas"/>
      <sheetName val="Oc. Sobrecarga Dist."/>
      <sheetName val="DMC"/>
      <sheetName val="Trafo subs. prev."/>
      <sheetName val="Planilha1"/>
      <sheetName val="Eventos Relevantes"/>
      <sheetName val="Expansão EE"/>
      <sheetName val="Indispon. e reat. de EE"/>
      <sheetName val="Diagnóstico"/>
      <sheetName val="Planilha2"/>
      <sheetName val="MUST"/>
      <sheetName val="Nível de Tensão"/>
      <sheetName val="Diagnóstic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>
            <v>3</v>
          </cell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92AC0B97-7DAE-4DEC-85A0-D7AF7FF0D12A}" userId="S::joao.lagares@energisa.com.br::398807df-e4d5-412e-a012-70e82e4b539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673983680557" createdVersion="8" refreshedVersion="8" minRefreshableVersion="3" recordCount="53" xr:uid="{F5C31003-088B-4FBA-825B-3138AA93A539}">
  <cacheSource type="worksheet">
    <worksheetSource name="Table1"/>
  </cacheSource>
  <cacheFields count="30">
    <cacheField name="Ativo" numFmtId="0">
      <sharedItems/>
    </cacheField>
    <cacheField name="Tipo" numFmtId="0">
      <sharedItems count="2">
        <s v="79"/>
        <s v="58"/>
      </sharedItems>
    </cacheField>
    <cacheField name="SS SGM" numFmtId="0">
      <sharedItems/>
    </cacheField>
    <cacheField name="Criticidade" numFmtId="0">
      <sharedItems count="5">
        <s v="Muito Alta"/>
        <s v="Alta"/>
        <s v="Média"/>
        <s v="Baixa"/>
        <s v="Falta definir"/>
      </sharedItems>
    </cacheField>
    <cacheField name="Status" numFmtId="0">
      <sharedItems count="7">
        <s v="Gerado PMA"/>
        <s v="Em execução"/>
        <s v="Em logistica (N1&gt;N3)"/>
        <s v="Avaliar compra"/>
        <s v="Reforma"/>
        <s v="Em compra" u="1"/>
        <s v="A realizar (COCM)" u="1"/>
      </sharedItems>
    </cacheField>
    <cacheField name="Defeito" numFmtId="0">
      <sharedItems/>
    </cacheField>
    <cacheField name="Orçamento MO" numFmtId="44">
      <sharedItems containsSemiMixedTypes="0" containsString="0" containsNumber="1" minValue="0" maxValue="200637"/>
    </cacheField>
    <cacheField name="Orçamento MAT" numFmtId="44">
      <sharedItems containsSemiMixedTypes="0" containsString="0" containsNumber="1" minValue="15000" maxValue="293949.59999999998"/>
    </cacheField>
    <cacheField name="Orçamento Total" numFmtId="44">
      <sharedItems containsSemiMixedTypes="0" containsString="0" containsNumber="1" minValue="15000" maxValue="494586.6"/>
    </cacheField>
    <cacheField name="PMA" numFmtId="0">
      <sharedItems containsNonDate="0" containsString="0" containsBlank="1"/>
    </cacheField>
    <cacheField name="Entregue N1?" numFmtId="0">
      <sharedItems containsNonDate="0" containsString="0" containsBlank="1"/>
    </cacheField>
    <cacheField name="Gerado Obra?" numFmtId="0">
      <sharedItems containsNonDate="0" containsString="0" containsBlank="1"/>
    </cacheField>
    <cacheField name="Gerado EMD?" numFmtId="0">
      <sharedItems containsNonDate="0" containsString="0" containsBlank="1"/>
    </cacheField>
    <cacheField name="Entregue N3?" numFmtId="0">
      <sharedItems containsNonDate="0" containsString="0" containsBlank="1"/>
    </cacheField>
    <cacheField name="Concluído COCM?" numFmtId="0">
      <sharedItems containsNonDate="0" containsString="0" containsBlank="1"/>
    </cacheField>
    <cacheField name="Enviado para Cadastro" numFmtId="0">
      <sharedItems containsNonDate="0" containsString="0" containsBlank="1"/>
    </cacheField>
    <cacheField name="Estudo Proteção" numFmtId="0">
      <sharedItems containsNonDate="0" containsString="0" containsBlank="1"/>
    </cacheField>
    <cacheField name="Repassado ao DMSL?" numFmtId="0">
      <sharedItems containsNonDate="0" containsString="0" containsBlank="1"/>
    </cacheField>
    <cacheField name="Comissionado?" numFmtId="0">
      <sharedItems containsNonDate="0" containsString="0" containsBlank="1"/>
    </cacheField>
    <cacheField name="Índice" numFmtId="1">
      <sharedItems containsSemiMixedTypes="0" containsString="0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emiMixedTypes="0" containsString="0" containsNumber="1" containsInteger="1" minValue="21" maxValue="521"/>
    </cacheField>
    <cacheField name="Status Atendimento" numFmtId="0">
      <sharedItems/>
    </cacheField>
    <cacheField name="Responsável" numFmtId="0">
      <sharedItems/>
    </cacheField>
    <cacheField name="Status Prazo" numFmtId="0">
      <sharedItems/>
    </cacheField>
    <cacheField name="Coluna1" numFmtId="0">
      <sharedItems containsNonDate="0" containsString="0" containsBlank="1"/>
    </cacheField>
    <cacheField name="Alimentador" numFmtId="0">
      <sharedItems/>
    </cacheField>
    <cacheField name="Município" numFmtId="0">
      <sharedItems/>
    </cacheField>
    <cacheField name="Polo" numFmtId="0">
      <sharedItems/>
    </cacheField>
    <cacheField name="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8.44340266203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/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/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3">
        <s v="não"/>
        <s v="sim"/>
        <m u="1"/>
      </sharedItems>
    </cacheField>
    <cacheField name="Onde está" numFmtId="0">
      <sharedItems containsBlank="1"/>
    </cacheField>
    <cacheField name="Etapa" numFmtId="0">
      <sharedItems containsBlank="1"/>
    </cacheField>
    <cacheField name="Nota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7923673004"/>
    <x v="0"/>
    <s v="ETO-COEP 00124/2026"/>
    <x v="0"/>
    <x v="0"/>
    <s v="RL Completo 13,8"/>
    <n v="11016.94"/>
    <n v="55602.54"/>
    <n v="66619.48"/>
    <m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s v="7931608059"/>
    <x v="0"/>
    <s v="ETO-COEP 00040/2026"/>
    <x v="0"/>
    <x v="0"/>
    <s v="Tanque 13,8"/>
    <n v="11016.94"/>
    <n v="21785.72"/>
    <n v="32802.660000000003"/>
    <m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s v="7947203070"/>
    <x v="0"/>
    <s v="ETO-COEP 00131/2026"/>
    <x v="0"/>
    <x v="0"/>
    <s v="RL Completo 34,5"/>
    <n v="13209.34"/>
    <n v="76246.2"/>
    <n v="89455.54"/>
    <m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s v="5856070091"/>
    <x v="1"/>
    <s v="ETO-RD-DP 00479/2026"/>
    <x v="0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s v="7903569004"/>
    <x v="0"/>
    <s v="ETO-COEP 00152/2026"/>
    <x v="0"/>
    <x v="0"/>
    <s v="RL Completo 13,8"/>
    <n v="11016.94"/>
    <n v="55602.54"/>
    <n v="66619.48"/>
    <m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s v="7925744087"/>
    <x v="0"/>
    <s v="ETO-COEP 00059/2026"/>
    <x v="0"/>
    <x v="0"/>
    <s v="Tanque 34,5"/>
    <n v="13209.34"/>
    <n v="38151.480000000003"/>
    <n v="51360.820000000007"/>
    <m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s v="7908705049"/>
    <x v="0"/>
    <s v="ETO-RD-DP 00409/2026"/>
    <x v="0"/>
    <x v="0"/>
    <s v="RL Completo 13,8"/>
    <n v="11016.94"/>
    <n v="55602.54"/>
    <n v="66619.48"/>
    <m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s v="7927413001"/>
    <x v="0"/>
    <s v="ETO-COEP 00141/2026"/>
    <x v="0"/>
    <x v="0"/>
    <s v="RL Completo 34,5"/>
    <n v="13209.34"/>
    <n v="76246.2"/>
    <n v="89455.54"/>
    <m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s v="5800440256"/>
    <x v="1"/>
    <s v="ETO-COEP 00169/2026"/>
    <x v="0"/>
    <x v="2"/>
    <s v="Célula 200 34,5"/>
    <n v="80318.5"/>
    <n v="51705.75"/>
    <n v="132024.25"/>
    <m/>
    <m/>
    <m/>
    <m/>
    <m/>
    <m/>
    <m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s v="7900453110"/>
    <x v="0"/>
    <s v="ETO-COEP 00087/2026"/>
    <x v="0"/>
    <x v="0"/>
    <s v="RL Completo 34,5"/>
    <n v="13209.34"/>
    <n v="76246.2"/>
    <n v="89455.54"/>
    <m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s v="7925871077"/>
    <x v="0"/>
    <s v="ETO-COEP 00048/2026"/>
    <x v="0"/>
    <x v="0"/>
    <s v="Tanque 34,5"/>
    <n v="13209.34"/>
    <n v="38151.480000000003"/>
    <n v="51360.820000000007"/>
    <m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s v="5803327001"/>
    <x v="1"/>
    <s v="ETO-COEP 00149/2026"/>
    <x v="1"/>
    <x v="2"/>
    <s v="Controle 167 13,8"/>
    <n v="20000"/>
    <n v="23259.599999999999"/>
    <n v="43259.6"/>
    <m/>
    <m/>
    <m/>
    <m/>
    <m/>
    <m/>
    <m/>
    <m/>
    <m/>
    <m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s v="7926089013"/>
    <x v="0"/>
    <s v="ETO-COEP 00078/2026"/>
    <x v="1"/>
    <x v="0"/>
    <s v="Controle 34,5"/>
    <n v="13209.34"/>
    <n v="38094.720000000001"/>
    <n v="51304.06"/>
    <m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s v="5853360007"/>
    <x v="1"/>
    <s v="ETO-RD-PS 00323/2025"/>
    <x v="1"/>
    <x v="1"/>
    <s v="Acessório 400 34,5"/>
    <n v="0"/>
    <n v="15000"/>
    <n v="15000"/>
    <m/>
    <m/>
    <m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s v="5840227063"/>
    <x v="1"/>
    <s v="ETO-COEP 00151/2026"/>
    <x v="2"/>
    <x v="2"/>
    <s v="Célula 400 34,5"/>
    <n v="80318.5"/>
    <n v="90230"/>
    <n v="170548.5"/>
    <m/>
    <m/>
    <m/>
    <m/>
    <m/>
    <m/>
    <m/>
    <m/>
    <m/>
    <m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s v="7903112004"/>
    <x v="0"/>
    <s v="ETO-COEP 00184/2025"/>
    <x v="1"/>
    <x v="0"/>
    <s v="RL Completo 34,5"/>
    <n v="13209.34"/>
    <n v="76246.2"/>
    <n v="89455.54"/>
    <m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s v="7920024127"/>
    <x v="0"/>
    <s v="ETO-COEP 00120/2025"/>
    <x v="1"/>
    <x v="0"/>
    <s v="RL Completo 34,5"/>
    <n v="13209.34"/>
    <n v="76246.2"/>
    <n v="89455.54"/>
    <m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s v="7927646026"/>
    <x v="0"/>
    <s v="ETO-COEP 00029/2026"/>
    <x v="1"/>
    <x v="0"/>
    <s v="Tanque 34,5"/>
    <n v="13209.34"/>
    <n v="38151.480000000003"/>
    <n v="51360.820000000007"/>
    <m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s v="7930428001"/>
    <x v="0"/>
    <s v="ETO-COEP 00150/2026"/>
    <x v="1"/>
    <x v="0"/>
    <s v="Tanque 34,5"/>
    <n v="13209.34"/>
    <n v="38151.480000000003"/>
    <n v="51360.820000000007"/>
    <m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s v="7900535058"/>
    <x v="0"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s v="7927713200"/>
    <x v="0"/>
    <s v="ETO-COEP 00157/2026"/>
    <x v="2"/>
    <x v="0"/>
    <s v="Tanque 34,5"/>
    <n v="13209.34"/>
    <n v="38151.480000000003"/>
    <n v="51360.820000000007"/>
    <m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s v="7937102148"/>
    <x v="0"/>
    <s v="ETO-COEP 00129/2026"/>
    <x v="2"/>
    <x v="0"/>
    <s v="Tanque 34,5"/>
    <n v="13209.34"/>
    <n v="38151.480000000003"/>
    <n v="51360.820000000007"/>
    <m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s v="7944559149"/>
    <x v="0"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s v="5800961074"/>
    <x v="1"/>
    <s v="ETO-COEP 00221/2025"/>
    <x v="2"/>
    <x v="2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s v="7908249152"/>
    <x v="0"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s v="7925733015"/>
    <x v="0"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s v="7927396052"/>
    <x v="0"/>
    <s v="ETO-COEP 00045/2026"/>
    <x v="2"/>
    <x v="3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s v="7933585074"/>
    <x v="0"/>
    <s v="ETO-COEP 00024/2026"/>
    <x v="2"/>
    <x v="3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s v="7955986084"/>
    <x v="0"/>
    <s v="ETO-COEP 00133/2026"/>
    <x v="2"/>
    <x v="3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s v="7900525015"/>
    <x v="0"/>
    <s v="ETO-COEP 00125/2026"/>
    <x v="2"/>
    <x v="3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s v="7928564039"/>
    <x v="0"/>
    <s v="ETO-COEP 00123/2026"/>
    <x v="2"/>
    <x v="3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s v="5855411017"/>
    <x v="1"/>
    <s v="ETO-COEP 00156/2026"/>
    <x v="3"/>
    <x v="2"/>
    <s v="Controle 200 13,8"/>
    <n v="20000"/>
    <n v="23259.599999999999"/>
    <n v="43259.6"/>
    <m/>
    <m/>
    <m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s v="7908196047"/>
    <x v="0"/>
    <s v="ETO-COEP 00168/2026"/>
    <x v="3"/>
    <x v="3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s v="7921202014"/>
    <x v="0"/>
    <s v="ETO-COEP 00132/2026"/>
    <x v="3"/>
    <x v="3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s v="7923927122"/>
    <x v="0"/>
    <s v="ETO-COEP 00148/2026"/>
    <x v="3"/>
    <x v="3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s v="7927446001"/>
    <x v="0"/>
    <s v="ETO-COEP 00143/2025"/>
    <x v="3"/>
    <x v="3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s v="7928241200"/>
    <x v="0"/>
    <s v="ETO-COEP 00128/2026"/>
    <x v="3"/>
    <x v="3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s v="7942485096"/>
    <x v="0"/>
    <s v="ETO-COEP 00158/2025"/>
    <x v="3"/>
    <x v="3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s v="7955946007"/>
    <x v="0"/>
    <s v="ETO-COEP 00134/2026"/>
    <x v="3"/>
    <x v="3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s v="7901110084"/>
    <x v="0"/>
    <s v="ETO-COEP 00061/2026"/>
    <x v="3"/>
    <x v="3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s v="7910027196"/>
    <x v="0"/>
    <s v="ETO-COEP 00154/2026"/>
    <x v="3"/>
    <x v="3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s v="7913662076"/>
    <x v="0"/>
    <s v="ETO-COEP 00114/2026"/>
    <x v="3"/>
    <x v="3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s v="5862236091"/>
    <x v="1"/>
    <s v="ETO-COEP 00158/2026"/>
    <x v="3"/>
    <x v="2"/>
    <s v="Célula 400 34,5"/>
    <n v="80318.5"/>
    <n v="90230"/>
    <n v="170548.5"/>
    <m/>
    <m/>
    <m/>
    <m/>
    <m/>
    <m/>
    <m/>
    <m/>
    <m/>
    <m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s v="5836786094"/>
    <x v="1"/>
    <s v="ETO-COEP 00095/2026"/>
    <x v="3"/>
    <x v="4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s v="7919270014"/>
    <x v="0"/>
    <s v="ETO-COEP 00159/2026"/>
    <x v="3"/>
    <x v="3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s v="7926442035"/>
    <x v="0"/>
    <s v="ETO-COEP 00051/2026"/>
    <x v="3"/>
    <x v="3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s v="7938137007"/>
    <x v="0"/>
    <s v="ETO-COEP 00144/2026"/>
    <x v="3"/>
    <x v="3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s v="5856156091"/>
    <x v="1"/>
    <s v="ETO-COEP 00160/2026"/>
    <x v="3"/>
    <x v="3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s v="5858783119"/>
    <x v="1"/>
    <s v="ETO-COEP 00164/2026"/>
    <x v="3"/>
    <x v="3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s v="7930359149"/>
    <x v="0"/>
    <s v="ETO-COEP 00138/2026"/>
    <x v="4"/>
    <x v="3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s v="7953211079"/>
    <x v="0"/>
    <s v="ETO-COEP 00147/2026"/>
    <x v="4"/>
    <x v="3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s v="5825703064"/>
    <x v="1"/>
    <s v="ETO-COEP 00153/2026"/>
    <x v="4"/>
    <x v="4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s v="7931219078"/>
    <x v="0"/>
    <s v="ETO-RD-PO 00183/2026"/>
    <x v="4"/>
    <x v="1"/>
    <s v="Acessório 34,5"/>
    <n v="0"/>
    <n v="15000"/>
    <n v="15000"/>
    <m/>
    <m/>
    <m/>
    <m/>
    <m/>
    <m/>
    <m/>
    <m/>
    <m/>
    <m/>
    <n v="145"/>
    <m/>
    <n v="420"/>
    <s v="40 - DIAS AGUARDANDO DCMD"/>
    <s v="COCM-C"/>
    <s v=""/>
    <m/>
    <s v="LD01065015 - LD PEDRO AFONSO  A SANTA.MARIA"/>
    <s v="ITACAJA"/>
    <s v="GUARAI"/>
    <s v="NOR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m/>
    <m/>
    <s v="11/08/2026"/>
    <x v="0"/>
    <n v="7"/>
    <s v="SIM"/>
    <x v="0"/>
    <x v="0"/>
    <x v="0"/>
    <m/>
    <m/>
    <s v="resolveu uma demanda no ano e voltou — conta aqui, não nos resolvidos. A resolvida: SS ATENDIDA em 24/03/2026 (ETO-TELE)."/>
  </r>
  <r>
    <s v="Na fila do posto"/>
    <s v="5800440256"/>
    <x v="0"/>
    <s v="MATEIROS"/>
    <s v="Muito Alta"/>
    <x v="1"/>
    <m/>
    <m/>
    <s v="06/08/2026"/>
    <x v="0"/>
    <n v="12"/>
    <m/>
    <x v="0"/>
    <x v="0"/>
    <x v="0"/>
    <m/>
    <m/>
    <m/>
  </r>
  <r>
    <s v="Na fila do posto"/>
    <s v="5800961074"/>
    <x v="0"/>
    <s v="DIANOPOLIS"/>
    <s v="Média"/>
    <x v="2"/>
    <m/>
    <m/>
    <s v="05/12/2025"/>
    <x v="1"/>
    <n v="256"/>
    <m/>
    <x v="0"/>
    <x v="0"/>
    <x v="0"/>
    <m/>
    <m/>
    <m/>
  </r>
  <r>
    <s v="Na fila do posto"/>
    <s v="5803327001"/>
    <x v="0"/>
    <s v="PORTO NACIONAL"/>
    <s v="Alta"/>
    <x v="3"/>
    <m/>
    <m/>
    <s v="20/07/2026"/>
    <x v="0"/>
    <n v="29"/>
    <m/>
    <x v="0"/>
    <x v="0"/>
    <x v="0"/>
    <m/>
    <m/>
    <m/>
  </r>
  <r>
    <s v="Na fila do posto"/>
    <s v="5825703064"/>
    <x v="0"/>
    <s v="BRASILANDIA DO TOCANTINS"/>
    <s v="—"/>
    <x v="4"/>
    <m/>
    <m/>
    <s v="21/07/2026"/>
    <x v="0"/>
    <n v="28"/>
    <m/>
    <x v="0"/>
    <x v="0"/>
    <x v="0"/>
    <m/>
    <m/>
    <m/>
  </r>
  <r>
    <s v="Na fila do posto"/>
    <s v="5836786094"/>
    <x v="0"/>
    <s v="PEIXE"/>
    <s v="Baixa"/>
    <x v="5"/>
    <m/>
    <m/>
    <s v="18/05/2026"/>
    <x v="0"/>
    <n v="92"/>
    <m/>
    <x v="0"/>
    <x v="0"/>
    <x v="0"/>
    <m/>
    <m/>
    <m/>
  </r>
  <r>
    <s v="Na fila do posto"/>
    <s v="5840227063"/>
    <x v="0"/>
    <s v="BANDEIRANTES DO TOCANTINS"/>
    <s v="Média"/>
    <x v="6"/>
    <m/>
    <m/>
    <s v="20/07/2026"/>
    <x v="0"/>
    <n v="29"/>
    <m/>
    <x v="0"/>
    <x v="0"/>
    <x v="0"/>
    <m/>
    <m/>
    <m/>
  </r>
  <r>
    <s v="Na fila do posto"/>
    <s v="5855411017"/>
    <x v="0"/>
    <s v="BARROLANDIA"/>
    <s v="Baixa"/>
    <x v="7"/>
    <m/>
    <m/>
    <s v="24/07/2026"/>
    <x v="0"/>
    <n v="25"/>
    <m/>
    <x v="0"/>
    <x v="0"/>
    <x v="0"/>
    <m/>
    <m/>
    <m/>
  </r>
  <r>
    <s v="Na fila do posto"/>
    <s v="5856156091"/>
    <x v="0"/>
    <s v="ALMAS"/>
    <s v="Baixa"/>
    <x v="8"/>
    <m/>
    <m/>
    <s v="27/07/2026"/>
    <x v="0"/>
    <n v="22"/>
    <m/>
    <x v="0"/>
    <x v="0"/>
    <x v="0"/>
    <m/>
    <m/>
    <m/>
  </r>
  <r>
    <s v="Na fila do posto"/>
    <s v="5858783119"/>
    <x v="0"/>
    <s v="SAO BENTO DO TOCANTINS"/>
    <s v="Baixa"/>
    <x v="9"/>
    <m/>
    <m/>
    <s v="31/07/2026"/>
    <x v="0"/>
    <n v="18"/>
    <m/>
    <x v="0"/>
    <x v="0"/>
    <x v="0"/>
    <m/>
    <m/>
    <m/>
  </r>
  <r>
    <s v="Na fila do posto"/>
    <s v="5862236091"/>
    <x v="0"/>
    <s v="ALMAS"/>
    <s v="Baixa"/>
    <x v="10"/>
    <m/>
    <m/>
    <s v="27/07/2026"/>
    <x v="0"/>
    <n v="22"/>
    <m/>
    <x v="0"/>
    <x v="0"/>
    <x v="0"/>
    <m/>
    <m/>
    <m/>
  </r>
  <r>
    <s v="Na fila do posto"/>
    <s v="7900453110"/>
    <x v="1"/>
    <s v="SANTA RITA DO TOCANTINS"/>
    <s v="Muito Alta"/>
    <x v="11"/>
    <m/>
    <m/>
    <s v="27/04/2026"/>
    <x v="0"/>
    <n v="113"/>
    <s v="SIM"/>
    <x v="0"/>
    <x v="0"/>
    <x v="0"/>
    <m/>
    <m/>
    <s v="resolveu uma demanda no ano e voltou — conta aqui, não nos resolvidos. A resolvida: SS CANCELADA em 11/08/2026 (ETO-COEP)."/>
  </r>
  <r>
    <s v="Na fila do posto"/>
    <s v="7900525015"/>
    <x v="1"/>
    <s v="PEDRO AFONSO"/>
    <s v="Média"/>
    <x v="12"/>
    <m/>
    <m/>
    <s v="07/07/2026"/>
    <x v="0"/>
    <n v="42"/>
    <m/>
    <x v="0"/>
    <x v="0"/>
    <x v="0"/>
    <m/>
    <m/>
    <m/>
  </r>
  <r>
    <s v="Na fila do posto"/>
    <s v="7900535058"/>
    <x v="1"/>
    <s v="SANTA FE DO ARAGUAIA"/>
    <s v="Média"/>
    <x v="13"/>
    <m/>
    <m/>
    <s v="25/08/2025"/>
    <x v="1"/>
    <n v="358"/>
    <m/>
    <x v="0"/>
    <x v="0"/>
    <x v="0"/>
    <m/>
    <m/>
    <m/>
  </r>
  <r>
    <s v="Na fila do posto"/>
    <s v="7901110084"/>
    <x v="1"/>
    <s v="DIVINOPOLIS"/>
    <s v="Baixa"/>
    <x v="14"/>
    <m/>
    <m/>
    <s v="31/03/2026"/>
    <x v="0"/>
    <n v="140"/>
    <m/>
    <x v="0"/>
    <x v="0"/>
    <x v="0"/>
    <m/>
    <m/>
    <m/>
  </r>
  <r>
    <s v="Na fila do posto"/>
    <s v="7903112004"/>
    <x v="1"/>
    <s v="ARAGUAINA"/>
    <s v="Alta"/>
    <x v="15"/>
    <m/>
    <m/>
    <s v="03/09/2025"/>
    <x v="1"/>
    <n v="349"/>
    <m/>
    <x v="0"/>
    <x v="0"/>
    <x v="0"/>
    <m/>
    <m/>
    <m/>
  </r>
  <r>
    <s v="Na fila do posto"/>
    <s v="7903569004"/>
    <x v="1"/>
    <s v="ARAGUAINA"/>
    <s v="Muito Alta"/>
    <x v="16"/>
    <m/>
    <m/>
    <s v="20/07/2026"/>
    <x v="0"/>
    <n v="29"/>
    <s v="SIM"/>
    <x v="0"/>
    <x v="0"/>
    <x v="0"/>
    <m/>
    <m/>
    <s v="resolveu uma demanda no ano e voltou — conta aqui, não nos resolvidos. A resolvida: SS ATENDIDA em 07/07/2026 (ETO-TELE)."/>
  </r>
  <r>
    <s v="Na fila do posto"/>
    <s v="7908196047"/>
    <x v="1"/>
    <s v="FIGUEIROPOLIS"/>
    <s v="Baixa"/>
    <x v="17"/>
    <m/>
    <m/>
    <s v="03/08/2026"/>
    <x v="0"/>
    <n v="15"/>
    <m/>
    <x v="0"/>
    <x v="0"/>
    <x v="0"/>
    <m/>
    <m/>
    <m/>
  </r>
  <r>
    <s v="Na fila do posto"/>
    <s v="7908249152"/>
    <x v="1"/>
    <s v="SANTA ROSA DO TOCANTINS"/>
    <s v="Média"/>
    <x v="18"/>
    <m/>
    <m/>
    <s v="24/02/2026"/>
    <x v="0"/>
    <n v="175"/>
    <m/>
    <x v="0"/>
    <x v="0"/>
    <x v="0"/>
    <m/>
    <m/>
    <m/>
  </r>
  <r>
    <s v="Na fila do posto"/>
    <s v="7908302256"/>
    <x v="1"/>
    <s v="MATEIROS"/>
    <s v="Alta"/>
    <x v="19"/>
    <m/>
    <m/>
    <s v="11/08/2026"/>
    <x v="0"/>
    <n v="7"/>
    <m/>
    <x v="0"/>
    <x v="0"/>
    <x v="0"/>
    <m/>
    <m/>
    <m/>
  </r>
  <r>
    <s v="Na fila do posto"/>
    <s v="7910027196"/>
    <x v="1"/>
    <s v="LAGOA DO TOCANTINS"/>
    <s v="Baixa"/>
    <x v="20"/>
    <m/>
    <m/>
    <s v="22/07/2026"/>
    <x v="0"/>
    <n v="27"/>
    <s v="SIM"/>
    <x v="0"/>
    <x v="0"/>
    <x v="0"/>
    <m/>
    <m/>
    <s v="resolveu uma demanda no ano e voltou — conta aqui, não nos resolvidos. A resolvida: SS ATENDIDA em 17/06/2026 (ETO-TELE)."/>
  </r>
  <r>
    <s v="Na fila do posto"/>
    <s v="7913662076"/>
    <x v="1"/>
    <s v="DUERE"/>
    <s v="Baixa"/>
    <x v="21"/>
    <m/>
    <m/>
    <s v="10/06/2026"/>
    <x v="0"/>
    <n v="69"/>
    <m/>
    <x v="0"/>
    <x v="0"/>
    <x v="0"/>
    <m/>
    <m/>
    <m/>
  </r>
  <r>
    <s v="Na fila do posto"/>
    <s v="7915029003"/>
    <x v="1"/>
    <s v="GURUPI"/>
    <s v="—"/>
    <x v="22"/>
    <m/>
    <m/>
    <s v="27/01/2023"/>
    <x v="2"/>
    <n v="1299"/>
    <m/>
    <x v="0"/>
    <x v="0"/>
    <x v="0"/>
    <m/>
    <m/>
    <m/>
  </r>
  <r>
    <s v="Na fila do posto"/>
    <s v="7919270014"/>
    <x v="1"/>
    <s v="PIUM"/>
    <s v="Baixa"/>
    <x v="23"/>
    <m/>
    <m/>
    <s v="27/07/2026"/>
    <x v="0"/>
    <n v="22"/>
    <m/>
    <x v="0"/>
    <x v="0"/>
    <x v="0"/>
    <m/>
    <m/>
    <m/>
  </r>
  <r>
    <s v="Na fila do posto"/>
    <s v="7920024127"/>
    <x v="1"/>
    <s v="PALMEIRAS DO TOCANTINS"/>
    <s v="Alta"/>
    <x v="24"/>
    <m/>
    <m/>
    <s v="01/07/2025"/>
    <x v="1"/>
    <n v="413"/>
    <m/>
    <x v="0"/>
    <x v="0"/>
    <x v="0"/>
    <m/>
    <m/>
    <m/>
  </r>
  <r>
    <s v="Na fila do posto"/>
    <s v="7921202014"/>
    <x v="1"/>
    <s v="PIUM"/>
    <s v="Baixa"/>
    <x v="25"/>
    <m/>
    <m/>
    <s v="08/07/2026"/>
    <x v="0"/>
    <n v="41"/>
    <m/>
    <x v="0"/>
    <x v="0"/>
    <x v="0"/>
    <m/>
    <m/>
    <m/>
  </r>
  <r>
    <s v="Na fila do posto"/>
    <s v="7923673004"/>
    <x v="1"/>
    <s v="ARAGUAINA"/>
    <s v="Muito Alta"/>
    <x v="26"/>
    <m/>
    <m/>
    <s v="07/07/2026"/>
    <x v="0"/>
    <n v="42"/>
    <m/>
    <x v="0"/>
    <x v="0"/>
    <x v="0"/>
    <m/>
    <m/>
    <m/>
  </r>
  <r>
    <s v="Na fila do posto"/>
    <s v="7923674004"/>
    <x v="1"/>
    <s v="ARAGUAINA"/>
    <s v="—"/>
    <x v="27"/>
    <m/>
    <m/>
    <s v="25/01/2023"/>
    <x v="2"/>
    <n v="1301"/>
    <m/>
    <x v="0"/>
    <x v="0"/>
    <x v="0"/>
    <m/>
    <m/>
    <m/>
  </r>
  <r>
    <s v="Na fila do posto"/>
    <s v="7923927122"/>
    <x v="1"/>
    <s v="PALMAS"/>
    <s v="Baixa"/>
    <x v="28"/>
    <m/>
    <m/>
    <s v="16/07/2026"/>
    <x v="0"/>
    <n v="33"/>
    <m/>
    <x v="0"/>
    <x v="0"/>
    <x v="0"/>
    <m/>
    <m/>
    <m/>
  </r>
  <r>
    <s v="Na fila do posto"/>
    <s v="7925733015"/>
    <x v="1"/>
    <s v="PEDRO AFONSO"/>
    <s v="Média"/>
    <x v="29"/>
    <m/>
    <m/>
    <s v="30/03/2026"/>
    <x v="0"/>
    <n v="141"/>
    <s v="SIM"/>
    <x v="0"/>
    <x v="0"/>
    <x v="0"/>
    <m/>
    <m/>
    <s v="resolveu uma demanda no ano e voltou — conta aqui, não nos resolvidos. A resolvida: SS CANCELADA em 17/06/2026 (ETO-COEP)."/>
  </r>
  <r>
    <s v="Na fila do posto"/>
    <s v="7925744087"/>
    <x v="1"/>
    <s v="GOIANORTE"/>
    <s v="Muito Alta"/>
    <x v="30"/>
    <m/>
    <m/>
    <s v="30/03/2026"/>
    <x v="0"/>
    <n v="141"/>
    <m/>
    <x v="0"/>
    <x v="0"/>
    <x v="0"/>
    <m/>
    <m/>
    <m/>
  </r>
  <r>
    <s v="Na fila do posto"/>
    <s v="7925871077"/>
    <x v="1"/>
    <s v="GOIATINS"/>
    <s v="Muito Alta"/>
    <x v="31"/>
    <m/>
    <m/>
    <s v="16/03/2026"/>
    <x v="0"/>
    <n v="155"/>
    <m/>
    <x v="0"/>
    <x v="0"/>
    <x v="0"/>
    <m/>
    <m/>
    <m/>
  </r>
  <r>
    <s v="Na fila do posto"/>
    <s v="7926089013"/>
    <x v="1"/>
    <s v="PARAISO DO TOCANTINS"/>
    <s v="Alta"/>
    <x v="32"/>
    <m/>
    <m/>
    <s v="23/04/2026"/>
    <x v="0"/>
    <n v="117"/>
    <s v="SIM"/>
    <x v="0"/>
    <x v="0"/>
    <x v="0"/>
    <m/>
    <m/>
    <s v="resolveu uma demanda no ano e voltou — conta aqui, não nos resolvidos. A resolvida: SS CANCELADA em 16/06/2026 (ETO-COEP)."/>
  </r>
  <r>
    <s v="Na fila do posto"/>
    <s v="7926442035"/>
    <x v="1"/>
    <s v="MONTE DO CARMO"/>
    <s v="Baixa"/>
    <x v="33"/>
    <m/>
    <m/>
    <s v="18/03/2026"/>
    <x v="0"/>
    <n v="153"/>
    <m/>
    <x v="0"/>
    <x v="0"/>
    <x v="0"/>
    <m/>
    <m/>
    <m/>
  </r>
  <r>
    <s v="Na fila do posto"/>
    <s v="7927396052"/>
    <x v="1"/>
    <s v="FORMOSO DO ARAGUAIA"/>
    <s v="Média"/>
    <x v="34"/>
    <m/>
    <m/>
    <s v="02/03/2026"/>
    <x v="0"/>
    <n v="169"/>
    <m/>
    <x v="0"/>
    <x v="0"/>
    <x v="0"/>
    <m/>
    <m/>
    <m/>
  </r>
  <r>
    <s v="Na fila do posto"/>
    <s v="7927413001"/>
    <x v="1"/>
    <s v="PORTO NACIONAL"/>
    <s v="Muito Alta"/>
    <x v="35"/>
    <m/>
    <m/>
    <s v="13/07/2026"/>
    <x v="0"/>
    <n v="36"/>
    <m/>
    <x v="0"/>
    <x v="0"/>
    <x v="0"/>
    <m/>
    <m/>
    <m/>
  </r>
  <r>
    <s v="Na fila do posto"/>
    <s v="7927446001"/>
    <x v="1"/>
    <s v="PORTO NACIONAL"/>
    <s v="Baixa"/>
    <x v="36"/>
    <m/>
    <m/>
    <s v="08/07/2025"/>
    <x v="1"/>
    <n v="406"/>
    <m/>
    <x v="0"/>
    <x v="0"/>
    <x v="0"/>
    <m/>
    <m/>
    <m/>
  </r>
  <r>
    <s v="Na fila do posto"/>
    <s v="7927646026"/>
    <x v="1"/>
    <s v="PONTE ALTA TOCANTINS"/>
    <s v="Alta"/>
    <x v="37"/>
    <m/>
    <m/>
    <s v="04/02/2026"/>
    <x v="0"/>
    <n v="195"/>
    <m/>
    <x v="0"/>
    <x v="0"/>
    <x v="0"/>
    <m/>
    <m/>
    <m/>
  </r>
  <r>
    <s v="Na fila do posto"/>
    <s v="7927713200"/>
    <x v="1"/>
    <s v="SAO SALVADOR DO TOCANTINS"/>
    <s v="Média"/>
    <x v="38"/>
    <m/>
    <m/>
    <s v="27/07/2026"/>
    <x v="0"/>
    <n v="22"/>
    <s v="SIM"/>
    <x v="0"/>
    <x v="0"/>
    <x v="0"/>
    <m/>
    <m/>
    <s v="resolveu uma demanda no ano e voltou — conta aqui, não nos resolvidos. A resolvida: SS ATENDIDA em 08/07/2026 (ETO-TELE)."/>
  </r>
  <r>
    <s v="Na fila do posto"/>
    <s v="7928241200"/>
    <x v="1"/>
    <s v="SAO SALVADOR DO TOCANTINS"/>
    <s v="Baixa"/>
    <x v="39"/>
    <m/>
    <m/>
    <s v="07/07/2026"/>
    <x v="0"/>
    <n v="42"/>
    <m/>
    <x v="0"/>
    <x v="0"/>
    <x v="0"/>
    <m/>
    <m/>
    <m/>
  </r>
  <r>
    <s v="Na fila do posto"/>
    <s v="7928564039"/>
    <x v="1"/>
    <s v="ARAGUATINS"/>
    <s v="Média"/>
    <x v="40"/>
    <m/>
    <m/>
    <s v="07/07/2026"/>
    <x v="0"/>
    <n v="42"/>
    <m/>
    <x v="0"/>
    <x v="0"/>
    <x v="0"/>
    <m/>
    <m/>
    <m/>
  </r>
  <r>
    <s v="Na fila do posto"/>
    <s v="7930359149"/>
    <x v="1"/>
    <s v="CASEARA"/>
    <s v="—"/>
    <x v="41"/>
    <m/>
    <m/>
    <s v="13/07/2026"/>
    <x v="0"/>
    <n v="36"/>
    <m/>
    <x v="0"/>
    <x v="0"/>
    <x v="0"/>
    <m/>
    <m/>
    <m/>
  </r>
  <r>
    <s v="Na fila do posto"/>
    <s v="7930428001"/>
    <x v="1"/>
    <s v="PORTO NACIONAL"/>
    <s v="Alta"/>
    <x v="42"/>
    <m/>
    <m/>
    <s v="20/07/2026"/>
    <x v="0"/>
    <n v="29"/>
    <m/>
    <x v="0"/>
    <x v="0"/>
    <x v="0"/>
    <m/>
    <m/>
    <m/>
  </r>
  <r>
    <s v="Na fila do posto"/>
    <s v="7931608059"/>
    <x v="1"/>
    <s v="TAQUARALTO"/>
    <s v="Muito Alta"/>
    <x v="43"/>
    <m/>
    <m/>
    <s v="24/02/2026"/>
    <x v="0"/>
    <n v="175"/>
    <s v="SIM"/>
    <x v="0"/>
    <x v="0"/>
    <x v="0"/>
    <m/>
    <m/>
    <s v="resolveu uma demanda no ano e voltou — conta aqui, não nos resolvidos. A resolvida: SS CANCELADA em 17/06/2026 (ETO-COEP)."/>
  </r>
  <r>
    <s v="Na fila do posto"/>
    <s v="7933585074"/>
    <x v="1"/>
    <s v="DIANOPOLIS"/>
    <s v="Média"/>
    <x v="44"/>
    <m/>
    <m/>
    <s v="27/01/2026"/>
    <x v="0"/>
    <n v="203"/>
    <m/>
    <x v="0"/>
    <x v="0"/>
    <x v="0"/>
    <m/>
    <m/>
    <m/>
  </r>
  <r>
    <s v="Na fila do posto"/>
    <s v="7937102148"/>
    <x v="1"/>
    <s v="SAO VALERIO DA NATIVIDADE"/>
    <s v="Média"/>
    <x v="45"/>
    <m/>
    <m/>
    <s v="07/07/2026"/>
    <x v="0"/>
    <n v="42"/>
    <m/>
    <x v="0"/>
    <x v="0"/>
    <x v="0"/>
    <m/>
    <m/>
    <m/>
  </r>
  <r>
    <s v="Na fila do posto"/>
    <s v="7938137007"/>
    <x v="1"/>
    <s v="MIRACEMA DO TOCANTINS"/>
    <s v="Baixa"/>
    <x v="46"/>
    <m/>
    <m/>
    <s v="15/07/2026"/>
    <x v="0"/>
    <n v="34"/>
    <m/>
    <x v="0"/>
    <x v="0"/>
    <x v="0"/>
    <m/>
    <m/>
    <m/>
  </r>
  <r>
    <s v="Na fila do posto"/>
    <s v="7942485096"/>
    <x v="1"/>
    <s v="PINDORAMA DO TOCANTINS"/>
    <s v="Baixa"/>
    <x v="47"/>
    <m/>
    <m/>
    <s v="23/07/2025"/>
    <x v="1"/>
    <n v="391"/>
    <m/>
    <x v="0"/>
    <x v="0"/>
    <x v="0"/>
    <m/>
    <m/>
    <m/>
  </r>
  <r>
    <s v="Na fila do posto"/>
    <s v="7944559149"/>
    <x v="1"/>
    <s v="CASEARA"/>
    <s v="Média"/>
    <x v="48"/>
    <m/>
    <m/>
    <s v="31/03/2026"/>
    <x v="0"/>
    <n v="140"/>
    <m/>
    <x v="0"/>
    <x v="0"/>
    <x v="0"/>
    <m/>
    <m/>
    <m/>
  </r>
  <r>
    <s v="Na fila do posto"/>
    <s v="7947203070"/>
    <x v="1"/>
    <s v="RIO SONO"/>
    <s v="Muito Alta"/>
    <x v="49"/>
    <m/>
    <m/>
    <s v="08/07/2026"/>
    <x v="0"/>
    <n v="41"/>
    <m/>
    <x v="0"/>
    <x v="0"/>
    <x v="0"/>
    <m/>
    <m/>
    <m/>
  </r>
  <r>
    <s v="Na fila do posto"/>
    <s v="7953211079"/>
    <x v="1"/>
    <s v="ITAPIRATINS"/>
    <s v="—"/>
    <x v="50"/>
    <m/>
    <m/>
    <s v="16/07/2026"/>
    <x v="0"/>
    <n v="33"/>
    <m/>
    <x v="0"/>
    <x v="0"/>
    <x v="0"/>
    <m/>
    <m/>
    <m/>
  </r>
  <r>
    <s v="Na fila do posto"/>
    <s v="7954668084"/>
    <x v="1"/>
    <s v="DIVINOPOLIS"/>
    <s v="Baixa"/>
    <x v="51"/>
    <m/>
    <m/>
    <s v="11/08/2026"/>
    <x v="0"/>
    <n v="7"/>
    <s v="SIM"/>
    <x v="0"/>
    <x v="0"/>
    <x v="0"/>
    <m/>
    <m/>
    <s v="resolveu uma demanda no ano e voltou — conta aqui, não nos resolvidos. A resolvida: SS ATENDIDA em 07/07/2026 (ETO-TELE)."/>
  </r>
  <r>
    <s v="Na fila do posto"/>
    <s v="7955946007"/>
    <x v="1"/>
    <s v="MIRACEMA DO TOCANTINS"/>
    <s v="Baixa"/>
    <x v="52"/>
    <m/>
    <m/>
    <s v="08/07/2026"/>
    <x v="0"/>
    <n v="41"/>
    <s v="SIM"/>
    <x v="0"/>
    <x v="0"/>
    <x v="0"/>
    <m/>
    <m/>
    <s v="resolveu uma demanda no ano e voltou — conta aqui, não nos resolvidos. A resolvida: SS ATENDIDA em 18/03/2026 (ETO-TELE)."/>
  </r>
  <r>
    <s v="Na fila do posto"/>
    <s v="7955986084"/>
    <x v="1"/>
    <s v="DIVINOPOLIS"/>
    <s v="Média"/>
    <x v="53"/>
    <m/>
    <m/>
    <s v="08/07/2026"/>
    <x v="0"/>
    <n v="41"/>
    <s v="SIM"/>
    <x v="0"/>
    <x v="0"/>
    <x v="0"/>
    <m/>
    <m/>
    <s v="resolveu uma demanda no ano e voltou — conta aqui, não nos resolvidos. A resolvida: SS ATENDIDA em 09/04/2026 (ETO-TELE)."/>
  </r>
  <r>
    <s v="Em outra mesa"/>
    <s v="5800371025"/>
    <x v="0"/>
    <s v="ARAPOEMA"/>
    <s v="Alta"/>
    <x v="54"/>
    <m/>
    <m/>
    <s v="30/07/2026"/>
    <x v="0"/>
    <n v="19"/>
    <m/>
    <x v="0"/>
    <x v="0"/>
    <x v="1"/>
    <s v="ETO-TELE"/>
    <s v="comissionamento — parte do COEP concluída"/>
    <s v="SS PENDENTE"/>
  </r>
  <r>
    <s v="Em outra mesa"/>
    <s v="5846328094"/>
    <x v="0"/>
    <s v="PEIXE"/>
    <s v="Média"/>
    <x v="55"/>
    <m/>
    <m/>
    <s v="08/07/2026"/>
    <x v="0"/>
    <n v="41"/>
    <m/>
    <x v="0"/>
    <x v="0"/>
    <x v="1"/>
    <s v="ETO-TELE"/>
    <s v="comissionamento — parte do COEP concluída"/>
    <s v="SS PENDENTE"/>
  </r>
  <r>
    <s v="Em outra mesa"/>
    <s v="5854566043"/>
    <x v="0"/>
    <s v="SILVANOPOLIS"/>
    <s v="Muito Alta"/>
    <x v="56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5856070091"/>
    <x v="0"/>
    <s v="ALMAS"/>
    <s v="Muito Alta"/>
    <x v="57"/>
    <m/>
    <m/>
    <s v="27/07/2026"/>
    <x v="0"/>
    <n v="22"/>
    <m/>
    <x v="0"/>
    <x v="0"/>
    <x v="1"/>
    <s v="ETO-RD-DP"/>
    <s v="execução com os COCMs"/>
    <s v="SS PENDENTE"/>
  </r>
  <r>
    <s v="Em outra mesa"/>
    <s v="5865120195"/>
    <x v="0"/>
    <s v="CENTENARIO"/>
    <s v="Alta"/>
    <x v="58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117013"/>
    <x v="1"/>
    <s v="PARAISO DO TOCANTINS"/>
    <s v="Muito Alta"/>
    <x v="59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00230155"/>
    <x v="1"/>
    <s v="PALMEIRANTE"/>
    <s v="Muito Alta"/>
    <x v="60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573047"/>
    <x v="1"/>
    <s v="FIGUEIROPOLIS"/>
    <s v="Alta"/>
    <x v="61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00594026"/>
    <x v="1"/>
    <s v="PONTE ALTA TOCANTINS"/>
    <s v="Muito Alta"/>
    <x v="62"/>
    <m/>
    <m/>
    <s v="16/07/2026"/>
    <x v="0"/>
    <n v="33"/>
    <m/>
    <x v="0"/>
    <x v="0"/>
    <x v="1"/>
    <s v="ETO-SE-PA"/>
    <s v="comissionamento — parte do COEP concluída"/>
    <s v="SS PENDENTE"/>
  </r>
  <r>
    <s v="Em outra mesa"/>
    <s v="7905357122"/>
    <x v="1"/>
    <s v="PALMAS"/>
    <s v="—"/>
    <x v="63"/>
    <m/>
    <m/>
    <s v="22/05/2026"/>
    <x v="0"/>
    <n v="88"/>
    <m/>
    <x v="0"/>
    <x v="0"/>
    <x v="1"/>
    <s v="ETO-RD-PA"/>
    <s v="execução com os COCMs"/>
    <s v="SS PENDENTE"/>
  </r>
  <r>
    <s v="Em outra mesa"/>
    <s v="7908686014"/>
    <x v="1"/>
    <s v="PIUM"/>
    <s v="Muito Alta"/>
    <x v="64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7908705049"/>
    <x v="1"/>
    <s v="AURORA DO TOCANTINS"/>
    <s v="Muito Alta"/>
    <x v="65"/>
    <m/>
    <m/>
    <s v="06/07/2026"/>
    <x v="0"/>
    <n v="43"/>
    <m/>
    <x v="0"/>
    <x v="0"/>
    <x v="1"/>
    <s v="ETO-RD-DP"/>
    <s v="execução com os COCMs"/>
    <s v="SS PENDENTE"/>
  </r>
  <r>
    <s v="Em outra mesa"/>
    <s v="7925087021"/>
    <x v="1"/>
    <s v="PARANA"/>
    <s v="Alta"/>
    <x v="66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27169001"/>
    <x v="1"/>
    <s v="PORTO NACIONAL"/>
    <s v="Alta"/>
    <x v="67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29376022"/>
    <x v="1"/>
    <s v="BABACULANDIA"/>
    <s v="Muito Alta"/>
    <x v="68"/>
    <m/>
    <m/>
    <s v="13/08/2026"/>
    <x v="0"/>
    <n v="5"/>
    <m/>
    <x v="0"/>
    <x v="0"/>
    <x v="1"/>
    <s v="ETO-TELE"/>
    <s v="comissionamento — parte do COEP concluída"/>
    <s v="SS PENDENTE"/>
  </r>
  <r>
    <s v="Em outra mesa"/>
    <s v="7933726256"/>
    <x v="1"/>
    <s v="MATEIROS"/>
    <s v="Muito Alta"/>
    <x v="69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42572059"/>
    <x v="1"/>
    <s v="TAQUARALTO"/>
    <s v="Média"/>
    <x v="70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53610256"/>
    <x v="1"/>
    <s v="MATEIROS"/>
    <s v="Alta"/>
    <x v="71"/>
    <m/>
    <m/>
    <s v="28/07/2026"/>
    <x v="0"/>
    <n v="21"/>
    <m/>
    <x v="0"/>
    <x v="0"/>
    <x v="1"/>
    <s v="ETO-PROT"/>
    <s v="ajuste de proteção — parte do COEP concluída"/>
    <s v="SS PENDENTE"/>
  </r>
  <r>
    <s v="Resolvido"/>
    <s v="5800090147"/>
    <x v="0"/>
    <s v="TAIPAS DO TOCANTINS"/>
    <s v="Média"/>
    <x v="72"/>
    <m/>
    <m/>
    <s v="13/07/2026"/>
    <x v="0"/>
    <n v="102"/>
    <m/>
    <x v="1"/>
    <x v="1"/>
    <x v="1"/>
    <m/>
    <m/>
    <s v="cancelada, com leitura que confirma volta à operação"/>
  </r>
  <r>
    <s v="Resolvido"/>
    <s v="5800291077"/>
    <x v="0"/>
    <s v="GOIATINS"/>
    <s v="Muito Alta"/>
    <x v="73"/>
    <m/>
    <m/>
    <s v="31/03/2026"/>
    <x v="0"/>
    <n v="49"/>
    <m/>
    <x v="2"/>
    <x v="2"/>
    <x v="0"/>
    <m/>
    <m/>
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</r>
  <r>
    <s v="Resolvido"/>
    <s v="5800366016"/>
    <x v="0"/>
    <s v="WANDERLANDIA"/>
    <s v="Alta"/>
    <x v="74"/>
    <m/>
    <m/>
    <s v="06/05/2026"/>
    <x v="0"/>
    <n v="235"/>
    <m/>
    <x v="2"/>
    <x v="2"/>
    <x v="0"/>
    <m/>
    <m/>
    <s v="SS atendida — serviço executado"/>
  </r>
  <r>
    <s v="Resolvido"/>
    <s v="5800438116"/>
    <x v="0"/>
    <s v="CHAPADA DA NATIVIDADE"/>
    <s v="Média"/>
    <x v="75"/>
    <m/>
    <m/>
    <s v="13/08/2026"/>
    <x v="0"/>
    <n v="390"/>
    <m/>
    <x v="2"/>
    <x v="2"/>
    <x v="1"/>
    <m/>
    <m/>
    <s v="SS atendida — serviço executado"/>
  </r>
  <r>
    <s v="Resolvido"/>
    <s v="5800859011"/>
    <x v="0"/>
    <s v="TUPIRAMA"/>
    <s v="Muito Alta"/>
    <x v="76"/>
    <m/>
    <m/>
    <s v="13/08/2026"/>
    <x v="0"/>
    <n v="77"/>
    <m/>
    <x v="2"/>
    <x v="2"/>
    <x v="1"/>
    <m/>
    <m/>
    <s v="SS atendida — serviço executado"/>
  </r>
  <r>
    <s v="Resolvido"/>
    <s v="5801866013"/>
    <x v="0"/>
    <s v="PARAISO DO TOCANTINS"/>
    <s v="Alta"/>
    <x v="77"/>
    <m/>
    <m/>
    <s v="14/07/2026"/>
    <x v="0"/>
    <n v="133"/>
    <m/>
    <x v="2"/>
    <x v="3"/>
    <x v="1"/>
    <m/>
    <m/>
    <s v="SS atendida — serviço executado · nota pendente em outro posto (ETO-PROT 00151/2026 (ETO-PROT)) — outra frente, não derruba (régua 22/08)"/>
  </r>
  <r>
    <s v="Resolvido"/>
    <s v="5820044123"/>
    <x v="0"/>
    <s v="AGUIARNOPOLIS"/>
    <s v="—"/>
    <x v="78"/>
    <m/>
    <m/>
    <s v="30/06/2026"/>
    <x v="0"/>
    <n v="270"/>
    <m/>
    <x v="1"/>
    <x v="1"/>
    <x v="1"/>
    <m/>
    <m/>
    <s v="resolvido por cancelamento — nenhuma nota nova no COEP depois"/>
  </r>
  <r>
    <s v="Resolvido"/>
    <s v="5827102054"/>
    <x v="0"/>
    <s v="PUGMIL"/>
    <s v="Média"/>
    <x v="79"/>
    <m/>
    <m/>
    <s v="28/07/2026"/>
    <x v="0"/>
    <n v="334"/>
    <m/>
    <x v="2"/>
    <x v="3"/>
    <x v="1"/>
    <m/>
    <m/>
    <s v="SS atendida — serviço executado · nota pendente em outro posto (ETO-PROT 00164/2026 (ETO-PROT)) — outra frente, não derruba (régua 22/08)"/>
  </r>
  <r>
    <s v="Resolvido"/>
    <s v="5833723026"/>
    <x v="0"/>
    <s v="PONTE ALTA DO TOCANTINS"/>
    <s v="—"/>
    <x v="80"/>
    <m/>
    <m/>
    <s v="22/05/2026"/>
    <x v="0"/>
    <n v="617"/>
    <m/>
    <x v="1"/>
    <x v="1"/>
    <x v="1"/>
    <m/>
    <m/>
    <s v="resolvido por cancelamento — nenhuma nota nova no COEP depois"/>
  </r>
  <r>
    <s v="Resolvido"/>
    <s v="5835587001"/>
    <x v="0"/>
    <s v="PORTO NACIONAL"/>
    <s v="—"/>
    <x v="81"/>
    <m/>
    <m/>
    <s v="30/06/2026"/>
    <x v="0"/>
    <n v="293"/>
    <m/>
    <x v="1"/>
    <x v="1"/>
    <x v="1"/>
    <m/>
    <m/>
    <s v="resolvido por cancelamento — nenhuma nota nova no COEP depois"/>
  </r>
  <r>
    <s v="Resolvido"/>
    <s v="5836764032"/>
    <x v="0"/>
    <s v="ARAGUACU"/>
    <s v="Muito Alta"/>
    <x v="82"/>
    <m/>
    <m/>
    <s v="20/05/2026"/>
    <x v="0"/>
    <n v="302"/>
    <m/>
    <x v="2"/>
    <x v="2"/>
    <x v="1"/>
    <m/>
    <m/>
    <s v="SS atendida — serviço executado"/>
  </r>
  <r>
    <s v="Resolvido"/>
    <s v="5841308190"/>
    <x v="0"/>
    <s v="NOVO JARDIM"/>
    <s v="Baixa"/>
    <x v="83"/>
    <m/>
    <m/>
    <s v="18/03/2026"/>
    <x v="0"/>
    <n v="242"/>
    <m/>
    <x v="2"/>
    <x v="1"/>
    <x v="0"/>
    <m/>
    <m/>
    <s v="SS atendida — serviço executado"/>
  </r>
  <r>
    <s v="Resolvido"/>
    <s v="5844630060"/>
    <x v="0"/>
    <s v="NOVA OLINDA"/>
    <s v="Baixa"/>
    <x v="84"/>
    <m/>
    <m/>
    <s v="24/07/2026"/>
    <x v="0"/>
    <n v="351"/>
    <m/>
    <x v="2"/>
    <x v="4"/>
    <x v="1"/>
    <m/>
    <m/>
    <s v="SS atendida — serviço executado · nota pendente em outro posto (ETO-RD-AR 01168/2026 (ETO-RD-AR), ETO-TELE 01036/2026 (ETO-TELE), ETO-TELE 01102/2026 (ETO-TELE)) — outra frente, não derruba (régua 22/08)"/>
  </r>
  <r>
    <s v="Resolvido"/>
    <s v="5850308009"/>
    <x v="0"/>
    <s v="GUARAI"/>
    <s v="Média"/>
    <x v="85"/>
    <m/>
    <m/>
    <s v="13/07/2026"/>
    <x v="0"/>
    <n v="332"/>
    <m/>
    <x v="1"/>
    <x v="1"/>
    <x v="1"/>
    <m/>
    <m/>
    <s v="cancelada, com leitura que confirma volta à operação"/>
  </r>
  <r>
    <s v="Resolvido"/>
    <s v="5851753086"/>
    <x v="0"/>
    <s v="MARIANOPOLIS"/>
    <s v="Média"/>
    <x v="86"/>
    <m/>
    <m/>
    <s v="25/06/2026"/>
    <x v="0"/>
    <n v="56"/>
    <m/>
    <x v="1"/>
    <x v="3"/>
    <x v="1"/>
    <m/>
    <m/>
    <s v="resolvido por cancelamento — nenhuma nota nova no COEP depois"/>
  </r>
  <r>
    <s v="Resolvido"/>
    <s v="5852775092"/>
    <x v="0"/>
    <s v="NOVO ACORDO"/>
    <s v="—"/>
    <x v="87"/>
    <m/>
    <m/>
    <s v="30/06/2026"/>
    <x v="0"/>
    <n v="756"/>
    <m/>
    <x v="1"/>
    <x v="1"/>
    <x v="1"/>
    <m/>
    <m/>
    <s v="resolvido por cancelamento — nenhuma nota nova no COEP depois"/>
  </r>
  <r>
    <s v="Resolvido"/>
    <s v="5854681071"/>
    <x v="0"/>
    <s v="BREJINHO DE NAZARE"/>
    <s v="—"/>
    <x v="88"/>
    <m/>
    <m/>
    <s v="29/06/2026"/>
    <x v="0"/>
    <n v="585"/>
    <m/>
    <x v="1"/>
    <x v="1"/>
    <x v="1"/>
    <m/>
    <m/>
    <s v="resolvido por cancelamento — nenhuma nota nova no COEP depois"/>
  </r>
  <r>
    <s v="Resolvido"/>
    <s v="5855606027"/>
    <x v="0"/>
    <s v="PONTE ALTA DO BOM JESUS"/>
    <s v="—"/>
    <x v="89"/>
    <m/>
    <m/>
    <s v="30/06/2026"/>
    <x v="0"/>
    <n v="455"/>
    <m/>
    <x v="1"/>
    <x v="1"/>
    <x v="1"/>
    <m/>
    <m/>
    <s v="resolvido por cancelamento — nenhuma nota nova no COEP depois"/>
  </r>
  <r>
    <s v="Resolvido"/>
    <s v="5855643052"/>
    <x v="0"/>
    <s v="FORMOSO DO ARAGUAIA"/>
    <s v="—"/>
    <x v="90"/>
    <m/>
    <m/>
    <s v="30/06/2026"/>
    <x v="0"/>
    <n v="315"/>
    <m/>
    <x v="1"/>
    <x v="1"/>
    <x v="1"/>
    <m/>
    <m/>
    <s v="resolvido por cancelamento — nenhuma nota nova no COEP depois"/>
  </r>
  <r>
    <s v="Resolvido"/>
    <s v="5855776094"/>
    <x v="0"/>
    <s v="PEIXE"/>
    <s v="—"/>
    <x v="91"/>
    <m/>
    <m/>
    <s v="29/06/2026"/>
    <x v="0"/>
    <n v="399"/>
    <m/>
    <x v="1"/>
    <x v="1"/>
    <x v="1"/>
    <m/>
    <m/>
    <s v="resolvido por cancelamento — nenhuma nota nova no COEP depois"/>
  </r>
  <r>
    <s v="Resolvido"/>
    <s v="5856825025"/>
    <x v="0"/>
    <s v="ARAPOEMA"/>
    <s v="—"/>
    <x v="92"/>
    <m/>
    <m/>
    <s v="30/06/2026"/>
    <x v="0"/>
    <n v="462"/>
    <m/>
    <x v="1"/>
    <x v="1"/>
    <x v="1"/>
    <m/>
    <m/>
    <s v="resolvido por cancelamento — nenhuma nota nova no COEP depois"/>
  </r>
  <r>
    <s v="Resolvido"/>
    <s v="5860500009"/>
    <x v="0"/>
    <s v="GUARAI"/>
    <s v="—"/>
    <x v="93"/>
    <m/>
    <m/>
    <s v="30/06/2026"/>
    <x v="0"/>
    <n v="348"/>
    <m/>
    <x v="1"/>
    <x v="1"/>
    <x v="1"/>
    <m/>
    <m/>
    <s v="resolvido por cancelamento — nenhuma nota nova no COEP depois"/>
  </r>
  <r>
    <s v="Resolvido"/>
    <s v="5862464001"/>
    <x v="0"/>
    <s v="PORTO NACIONAL"/>
    <s v="—"/>
    <x v="94"/>
    <m/>
    <m/>
    <s v="19/05/2026"/>
    <x v="0"/>
    <n v="207"/>
    <m/>
    <x v="2"/>
    <x v="5"/>
    <x v="0"/>
    <m/>
    <m/>
    <s v="SS atendida — serviço executado"/>
  </r>
  <r>
    <s v="Resolvido"/>
    <s v="5862546023"/>
    <x v="0"/>
    <s v="COLINAS DO TOCANTINS"/>
    <s v="—"/>
    <x v="95"/>
    <m/>
    <m/>
    <s v="30/06/2026"/>
    <x v="0"/>
    <n v="238"/>
    <m/>
    <x v="1"/>
    <x v="1"/>
    <x v="1"/>
    <m/>
    <m/>
    <s v="resolvido por cancelamento — nenhuma nota nova no COEP depois"/>
  </r>
  <r>
    <s v="Resolvido"/>
    <s v="5863381155"/>
    <x v="0"/>
    <s v="PALMEIRANTE"/>
    <s v="—"/>
    <x v="96"/>
    <m/>
    <m/>
    <s v="30/06/2026"/>
    <x v="0"/>
    <n v="362"/>
    <m/>
    <x v="1"/>
    <x v="1"/>
    <x v="1"/>
    <m/>
    <m/>
    <s v="resolvido por cancelamento — nenhuma nota nova no COEP depois"/>
  </r>
  <r>
    <s v="Resolvido"/>
    <s v="5863887001"/>
    <x v="0"/>
    <s v="PORTO NACIONAL"/>
    <s v="—"/>
    <x v="97"/>
    <m/>
    <m/>
    <s v="11/03/2026"/>
    <x v="0"/>
    <n v="112"/>
    <m/>
    <x v="1"/>
    <x v="2"/>
    <x v="1"/>
    <m/>
    <m/>
    <s v="resolvido por cancelamento — nenhuma nota nova no COEP depois"/>
  </r>
  <r>
    <s v="Resolvido"/>
    <s v="7900001227"/>
    <x v="1"/>
    <s v="RECURSOLANDIA"/>
    <s v="—"/>
    <x v="98"/>
    <m/>
    <m/>
    <s v="30/06/2026"/>
    <x v="0"/>
    <n v="498"/>
    <m/>
    <x v="1"/>
    <x v="1"/>
    <x v="1"/>
    <m/>
    <m/>
    <s v="resolvido por cancelamento — nenhuma nota nova no COEP depois"/>
  </r>
  <r>
    <s v="Resolvido"/>
    <s v="7900018004"/>
    <x v="1"/>
    <s v="ARAGUAINA"/>
    <s v="Alta"/>
    <x v="99"/>
    <m/>
    <m/>
    <s v="23/06/2026"/>
    <x v="0"/>
    <n v="305"/>
    <m/>
    <x v="2"/>
    <x v="2"/>
    <x v="1"/>
    <m/>
    <m/>
    <s v="SS atendida — serviço executado"/>
  </r>
  <r>
    <s v="Resolvido"/>
    <s v="7900236054"/>
    <x v="1"/>
    <s v="PUGMIL"/>
    <s v="—"/>
    <x v="100"/>
    <m/>
    <m/>
    <s v="07/01/2026"/>
    <x v="0"/>
    <n v="1096"/>
    <m/>
    <x v="1"/>
    <x v="3"/>
    <x v="1"/>
    <m/>
    <m/>
    <s v="resolvido por cancelamento — nenhuma nota nova no COEP depois"/>
  </r>
  <r>
    <s v="Resolvido"/>
    <s v="7900275024"/>
    <x v="1"/>
    <s v="ITAPORA DO TOCANTINS"/>
    <s v="—"/>
    <x v="101"/>
    <m/>
    <m/>
    <s v="30/06/2026"/>
    <x v="0"/>
    <n v="372"/>
    <m/>
    <x v="1"/>
    <x v="1"/>
    <x v="1"/>
    <m/>
    <m/>
    <s v="resolvido por cancelamento — nenhuma nota nova no COEP depois · nota pendente em outro posto (ETO-TELE 01093/2026 (ETO-TELE)) — outra frente, não derruba (régua 22/08)"/>
  </r>
  <r>
    <s v="Resolvido"/>
    <s v="7900505026"/>
    <x v="1"/>
    <s v="PONTE ALTA TOCANTINS"/>
    <s v="Baixa"/>
    <x v="102"/>
    <m/>
    <m/>
    <s v="14/07/2026"/>
    <x v="0"/>
    <n v="138"/>
    <m/>
    <x v="1"/>
    <x v="5"/>
    <x v="1"/>
    <m/>
    <m/>
    <s v="cancelada, com leitura que confirma volta à operação"/>
  </r>
  <r>
    <s v="Resolvido"/>
    <s v="7900532053"/>
    <x v="1"/>
    <s v="PIRAQUE"/>
    <s v="Baixa"/>
    <x v="103"/>
    <m/>
    <m/>
    <s v="13/07/2026"/>
    <x v="0"/>
    <n v="413"/>
    <m/>
    <x v="1"/>
    <x v="1"/>
    <x v="1"/>
    <m/>
    <m/>
    <s v="cancelada, com leitura que confirma volta à operação"/>
  </r>
  <r>
    <s v="Resolvido"/>
    <s v="7900790075"/>
    <x v="1"/>
    <s v="DOIS IRMAOS DO TOCANTINS"/>
    <s v="—"/>
    <x v="104"/>
    <m/>
    <m/>
    <s v="07/01/2026"/>
    <x v="0"/>
    <n v="315"/>
    <m/>
    <x v="1"/>
    <x v="3"/>
    <x v="1"/>
    <m/>
    <m/>
    <s v="cancelada, com leitura que confirma volta à operação"/>
  </r>
  <r>
    <s v="Resolvido"/>
    <s v="7900930040"/>
    <x v="1"/>
    <s v="ARAGOMINAS"/>
    <s v="Muito Alta"/>
    <x v="105"/>
    <m/>
    <m/>
    <s v="30/04/2026"/>
    <x v="0"/>
    <n v="253"/>
    <m/>
    <x v="1"/>
    <x v="4"/>
    <x v="1"/>
    <m/>
    <m/>
    <s v="cancelada, com leitura que confirma volta à operação"/>
  </r>
  <r>
    <s v="Resolvido"/>
    <s v="7901151022"/>
    <x v="1"/>
    <s v="BABACULANDIA"/>
    <s v="—"/>
    <x v="106"/>
    <m/>
    <m/>
    <s v="12/08/2026"/>
    <x v="0"/>
    <n v="11"/>
    <m/>
    <x v="2"/>
    <x v="4"/>
    <x v="1"/>
    <m/>
    <m/>
    <s v="SS atendida — serviço executado"/>
  </r>
  <r>
    <s v="Resolvido"/>
    <s v="7901216032"/>
    <x v="1"/>
    <s v="ARAGUACU"/>
    <s v="—"/>
    <x v="107"/>
    <m/>
    <m/>
    <s v="30/06/2026"/>
    <x v="0"/>
    <n v="372"/>
    <m/>
    <x v="1"/>
    <x v="1"/>
    <x v="1"/>
    <m/>
    <m/>
    <s v="resolvido por cancelamento — nenhuma nota nova no COEP depois"/>
  </r>
  <r>
    <s v="Resolvido"/>
    <s v="7902314013"/>
    <x v="1"/>
    <s v="PARAISO DO TOCANTINS"/>
    <s v="—"/>
    <x v="108"/>
    <m/>
    <m/>
    <s v="19/06/2026"/>
    <x v="0"/>
    <n v="483"/>
    <m/>
    <x v="1"/>
    <x v="1"/>
    <x v="1"/>
    <m/>
    <m/>
    <s v="resolvido por cancelamento — nenhuma nota nova no COEP depois"/>
  </r>
  <r>
    <s v="Resolvido"/>
    <s v="7908206074"/>
    <x v="1"/>
    <s v="DIANOPOLIS"/>
    <s v="Baixa"/>
    <x v="109"/>
    <m/>
    <m/>
    <s v="29/06/2026"/>
    <x v="0"/>
    <n v="439"/>
    <m/>
    <x v="1"/>
    <x v="1"/>
    <x v="1"/>
    <m/>
    <m/>
    <s v="resolvido por cancelamento — nenhuma nota nova no COEP depois"/>
  </r>
  <r>
    <s v="Resolvido"/>
    <s v="7908708116"/>
    <x v="1"/>
    <s v="CHAPADA DA NATIVIDADE"/>
    <s v="Baixa"/>
    <x v="110"/>
    <m/>
    <m/>
    <s v="08/07/2026"/>
    <x v="0"/>
    <n v="166"/>
    <m/>
    <x v="2"/>
    <x v="2"/>
    <x v="0"/>
    <m/>
    <m/>
    <s v="SS atendida — serviço executado · nota pendente em outro posto (ETO-RD-DP 00491/2026 (ETO-RD-DP), ETO-PROT 00165/2026 (ETO-PROT), ETO-RD-DP 00485/2026 (ETO-RD-DP)) — outra frente, não derruba (régua 22/08)"/>
  </r>
  <r>
    <s v="Resolvido"/>
    <s v="7913667006"/>
    <x v="1"/>
    <s v="TOCANTINIA"/>
    <s v="—"/>
    <x v="111"/>
    <m/>
    <m/>
    <s v="22/01/2026"/>
    <x v="0"/>
    <n v="741"/>
    <m/>
    <x v="1"/>
    <x v="6"/>
    <x v="1"/>
    <m/>
    <m/>
    <s v="resolvido por cancelamento — nenhuma nota nova no COEP depois"/>
  </r>
  <r>
    <s v="Resolvido"/>
    <s v="7921040031"/>
    <x v="1"/>
    <s v="RIO DOS BOIS"/>
    <s v="Muito Alta"/>
    <x v="112"/>
    <m/>
    <m/>
    <s v="12/02/2026"/>
    <x v="0"/>
    <n v="49"/>
    <m/>
    <x v="2"/>
    <x v="2"/>
    <x v="0"/>
    <m/>
    <m/>
    <s v="SS atendida — serviço executado; a nota aberta depois é reincidência, demanda nova"/>
  </r>
  <r>
    <s v="Resolvido"/>
    <s v="7922995039"/>
    <x v="1"/>
    <s v="ARAGUATINS"/>
    <s v="Média"/>
    <x v="113"/>
    <m/>
    <m/>
    <s v="17/08/2026"/>
    <x v="0"/>
    <n v="444"/>
    <m/>
    <x v="2"/>
    <x v="5"/>
    <x v="0"/>
    <m/>
    <m/>
    <s v="SS atendida — serviço executado"/>
  </r>
  <r>
    <s v="Resolvido"/>
    <s v="7925573007"/>
    <x v="1"/>
    <s v="MIRACEMA DO TOCANTINS"/>
    <s v="—"/>
    <x v="114"/>
    <m/>
    <m/>
    <s v="30/06/2026"/>
    <x v="0"/>
    <n v="608"/>
    <m/>
    <x v="1"/>
    <x v="1"/>
    <x v="1"/>
    <m/>
    <m/>
    <s v="cancelada, com leitura que confirma volta à operação"/>
  </r>
  <r>
    <s v="Resolvido"/>
    <s v="7925704079"/>
    <x v="1"/>
    <s v="ITAPIRATINS"/>
    <s v="—"/>
    <x v="115"/>
    <m/>
    <m/>
    <s v="30/06/2026"/>
    <x v="0"/>
    <n v="340"/>
    <m/>
    <x v="1"/>
    <x v="1"/>
    <x v="1"/>
    <m/>
    <m/>
    <s v="resolvido por cancelamento — nenhuma nota nova no COEP depois"/>
  </r>
  <r>
    <s v="Resolvido"/>
    <s v="7925737080"/>
    <x v="1"/>
    <s v="DARCINOPOLIS"/>
    <s v="—"/>
    <x v="116"/>
    <m/>
    <m/>
    <s v="13/05/2026"/>
    <x v="0"/>
    <n v="49"/>
    <m/>
    <x v="2"/>
    <x v="4"/>
    <x v="1"/>
    <m/>
    <m/>
    <s v="SS atendida — serviço executado"/>
  </r>
  <r>
    <s v="Resolvido"/>
    <s v="7931219078"/>
    <x v="1"/>
    <s v="ITACAJA"/>
    <s v="—"/>
    <x v="117"/>
    <m/>
    <m/>
    <s v="08/07/2026"/>
    <x v="0"/>
    <n v="380"/>
    <m/>
    <x v="1"/>
    <x v="7"/>
    <x v="1"/>
    <m/>
    <m/>
    <s v="cancelada, com leitura que confirma volta à operação"/>
  </r>
  <r>
    <s v="Resolvido"/>
    <s v="7931383086"/>
    <x v="1"/>
    <s v="MARIANOPOLIS"/>
    <s v="Muito Alta"/>
    <x v="118"/>
    <m/>
    <m/>
    <s v="08/04/2026"/>
    <x v="0"/>
    <n v="337"/>
    <m/>
    <x v="2"/>
    <x v="5"/>
    <x v="1"/>
    <m/>
    <m/>
    <s v="SS atendida — serviço executado"/>
  </r>
  <r>
    <s v="Resolvido"/>
    <s v="7931610122"/>
    <x v="1"/>
    <s v="PALMAS"/>
    <s v="Muito Alta"/>
    <x v="119"/>
    <m/>
    <m/>
    <s v="04/08/2026"/>
    <x v="0"/>
    <n v="298"/>
    <m/>
    <x v="2"/>
    <x v="2"/>
    <x v="1"/>
    <m/>
    <m/>
    <s v="SS atendida — serviço executado"/>
  </r>
  <r>
    <s v="Resolvido"/>
    <s v="7933766059"/>
    <x v="1"/>
    <s v="TAQUARALTO"/>
    <s v="Muito Alta"/>
    <x v="120"/>
    <m/>
    <m/>
    <s v="03/08/2026"/>
    <x v="0"/>
    <n v="298"/>
    <m/>
    <x v="2"/>
    <x v="2"/>
    <x v="1"/>
    <m/>
    <m/>
    <s v="SS atendida — serviço executado"/>
  </r>
  <r>
    <s v="Resolvido"/>
    <s v="7934698002"/>
    <x v="1"/>
    <s v="TOCANTINOPOLIS"/>
    <s v="Alta"/>
    <x v="121"/>
    <m/>
    <m/>
    <s v="30/05/2026"/>
    <x v="0"/>
    <n v="389"/>
    <m/>
    <x v="2"/>
    <x v="1"/>
    <x v="0"/>
    <m/>
    <m/>
    <s v="SS atendida — serviço executado"/>
  </r>
  <r>
    <s v="Resolvido"/>
    <s v="7936038076"/>
    <x v="1"/>
    <s v="DUERE"/>
    <s v="Alta"/>
    <x v="122"/>
    <m/>
    <m/>
    <s v="08/07/2026"/>
    <x v="0"/>
    <n v="127"/>
    <m/>
    <x v="2"/>
    <x v="2"/>
    <x v="0"/>
    <m/>
    <m/>
    <s v="SS atendida — serviço executado"/>
  </r>
  <r>
    <s v="Resolvido"/>
    <s v="7936753097"/>
    <x v="1"/>
    <s v="TALISMA"/>
    <s v="—"/>
    <x v="123"/>
    <m/>
    <m/>
    <s v="30/06/2026"/>
    <x v="0"/>
    <n v="575"/>
    <m/>
    <x v="1"/>
    <x v="1"/>
    <x v="1"/>
    <m/>
    <m/>
    <s v="resolvido por cancelamento — nenhuma nota nova no COEP depois"/>
  </r>
  <r>
    <s v="Resolvido"/>
    <s v="7943790134"/>
    <x v="1"/>
    <s v="ESPERANTINA"/>
    <s v="Muito Alta"/>
    <x v="124"/>
    <m/>
    <m/>
    <s v="06/06/2026"/>
    <x v="0"/>
    <n v="373"/>
    <m/>
    <x v="2"/>
    <x v="1"/>
    <x v="0"/>
    <m/>
    <m/>
    <s v="SS atendida — serviço executado · nota pendente em outro posto (ETO-TELE 00896/2026 (ETO-TELE)) — outra frente, não derruba (régua 22/08)"/>
  </r>
  <r>
    <s v="Resolvido"/>
    <s v="7944319149"/>
    <x v="1"/>
    <s v="CASEARA"/>
    <s v="Média"/>
    <x v="125"/>
    <m/>
    <m/>
    <s v="22/06/2026"/>
    <x v="0"/>
    <n v="325"/>
    <m/>
    <x v="1"/>
    <x v="1"/>
    <x v="1"/>
    <m/>
    <m/>
    <s v="resolvido por cancelamento — nenhuma nota nova no COEP depois"/>
  </r>
  <r>
    <s v="Resolvido"/>
    <s v="7949660066"/>
    <x v="1"/>
    <s v="TUPIRATINS"/>
    <s v="—"/>
    <x v="126"/>
    <m/>
    <m/>
    <s v="30/06/2026"/>
    <x v="0"/>
    <n v="454"/>
    <m/>
    <x v="1"/>
    <x v="1"/>
    <x v="1"/>
    <m/>
    <m/>
    <s v="cancelada, com leitura que confirma volta à operação"/>
  </r>
  <r>
    <s v="Resolvido"/>
    <s v="7950310122"/>
    <x v="1"/>
    <s v="PALMAS"/>
    <s v="—"/>
    <x v="127"/>
    <m/>
    <m/>
    <s v="14/07/2026"/>
    <x v="0"/>
    <n v="1"/>
    <m/>
    <x v="1"/>
    <x v="1"/>
    <x v="1"/>
    <m/>
    <m/>
    <s v="resolvido por cancelamento — nenhuma nota nova no COEP depois"/>
  </r>
  <r>
    <s v="Resolvido"/>
    <s v="7955175004"/>
    <x v="1"/>
    <s v="ARAGUAINA"/>
    <s v="—"/>
    <x v="128"/>
    <m/>
    <m/>
    <s v="21/05/2026"/>
    <x v="0"/>
    <n v="617"/>
    <m/>
    <x v="1"/>
    <x v="1"/>
    <x v="1"/>
    <m/>
    <m/>
    <s v="resolvido por cancelamento — nenhuma nota nova no COEP depois"/>
  </r>
  <r>
    <s v="Resolvido"/>
    <s v="7955430075"/>
    <x v="1"/>
    <s v="DOIS IRMAOS DO TOCANTINS"/>
    <s v="Baixa"/>
    <x v="129"/>
    <m/>
    <m/>
    <s v="31/03/2026"/>
    <x v="0"/>
    <n v="223"/>
    <m/>
    <x v="2"/>
    <x v="2"/>
    <x v="0"/>
    <m/>
    <m/>
    <s v="SS atendida — serviço executado; a nota aberta depois é reincidência, demanda nova"/>
  </r>
  <r>
    <s v="Resolvido"/>
    <s v="7955520116"/>
    <x v="1"/>
    <s v="CHAPADA DA NATIVIDADE"/>
    <s v="Alta"/>
    <x v="130"/>
    <m/>
    <m/>
    <s v="08/07/2026"/>
    <x v="0"/>
    <n v="361"/>
    <m/>
    <x v="2"/>
    <x v="2"/>
    <x v="0"/>
    <m/>
    <m/>
    <s v="SS atendida — serviço executado"/>
  </r>
  <r>
    <s v="Resolvido"/>
    <s v="7955825037"/>
    <x v="1"/>
    <s v="ALIANCA DO TOCANTINS"/>
    <s v="—"/>
    <x v="131"/>
    <m/>
    <m/>
    <s v="14/05/2026"/>
    <x v="0"/>
    <n v="552"/>
    <m/>
    <x v="1"/>
    <x v="1"/>
    <x v="1"/>
    <m/>
    <m/>
    <s v="resolvido por cancelamento — nenhuma nota nova no COEP depois"/>
  </r>
  <r>
    <s v="Resolvido"/>
    <s v="7956063152"/>
    <x v="1"/>
    <s v="SANTA ROSA DO TOCANTINS"/>
    <s v="—"/>
    <x v="132"/>
    <m/>
    <m/>
    <s v="19/05/2026"/>
    <x v="0"/>
    <n v="617"/>
    <m/>
    <x v="1"/>
    <x v="1"/>
    <x v="1"/>
    <m/>
    <m/>
    <s v="resolvido por cancelamento — nenhuma nota nova no COEP depois"/>
  </r>
  <r>
    <s v="Resolvido"/>
    <s v="7956117005"/>
    <x v="1"/>
    <s v="ARRAIAS"/>
    <s v="—"/>
    <x v="133"/>
    <m/>
    <m/>
    <s v="22/05/2026"/>
    <x v="0"/>
    <n v="557"/>
    <m/>
    <x v="1"/>
    <x v="1"/>
    <x v="1"/>
    <m/>
    <m/>
    <s v="resolvido por cancelamento — nenhuma nota nova no COEP depois"/>
  </r>
  <r>
    <s v="Resolvido"/>
    <s v="7957126085"/>
    <x v="1"/>
    <s v="MONTE SANTO DO TOCANTINS"/>
    <s v="Média"/>
    <x v="134"/>
    <m/>
    <m/>
    <s v="20/07/2026"/>
    <x v="0"/>
    <n v="409"/>
    <m/>
    <x v="1"/>
    <x v="1"/>
    <x v="1"/>
    <m/>
    <m/>
    <s v="resolvido por cancelamento — nenhuma nota nova no COEP depois"/>
  </r>
  <r>
    <s v="Resolvido"/>
    <s v="7957163122"/>
    <x v="1"/>
    <s v="PALMAS"/>
    <s v="—"/>
    <x v="135"/>
    <m/>
    <m/>
    <s v="22/06/2026"/>
    <x v="0"/>
    <n v="648"/>
    <m/>
    <x v="2"/>
    <x v="2"/>
    <x v="1"/>
    <m/>
    <m/>
    <s v="SS atendida — serviço executado"/>
  </r>
  <r>
    <s v="Resolvido"/>
    <s v="7957620015"/>
    <x v="1"/>
    <s v="PEDRO AFONSO"/>
    <s v="Muito Alta"/>
    <x v="136"/>
    <m/>
    <m/>
    <s v="12/06/2026"/>
    <x v="0"/>
    <n v="399"/>
    <m/>
    <x v="2"/>
    <x v="2"/>
    <x v="1"/>
    <m/>
    <m/>
    <s v="SS atendida — serviço executado"/>
  </r>
  <r>
    <s v="Resolvido"/>
    <s v="7959990070"/>
    <x v="1"/>
    <s v="RIO SONO"/>
    <s v="—"/>
    <x v="137"/>
    <m/>
    <m/>
    <s v="22/05/2026"/>
    <x v="0"/>
    <n v="598"/>
    <m/>
    <x v="1"/>
    <x v="1"/>
    <x v="1"/>
    <m/>
    <m/>
    <s v="resolvido por cancelamento — nenhuma nota nova no COEP depois"/>
  </r>
  <r>
    <s v="Resolvido"/>
    <s v="7962635060"/>
    <x v="1"/>
    <s v="ARAGUAINA"/>
    <s v="—"/>
    <x v="138"/>
    <m/>
    <m/>
    <s v="29/06/2026"/>
    <x v="0"/>
    <n v="189"/>
    <m/>
    <x v="2"/>
    <x v="2"/>
    <x v="1"/>
    <m/>
    <m/>
    <s v="SS atendida — serviço executado"/>
  </r>
  <r>
    <s v="Resolvido"/>
    <s v="7963661046"/>
    <x v="1"/>
    <s v="NOVA ROSALANDIA"/>
    <s v="—"/>
    <x v="139"/>
    <m/>
    <m/>
    <s v="30/06/2026"/>
    <x v="0"/>
    <n v="151"/>
    <m/>
    <x v="1"/>
    <x v="1"/>
    <x v="1"/>
    <m/>
    <m/>
    <s v="resolvido por cancelamento — nenhuma nota nova no COEP depois"/>
  </r>
  <r>
    <s v="Resolvido"/>
    <s v="7965032004"/>
    <x v="1"/>
    <s v="ARAGUAINA"/>
    <s v="—"/>
    <x v="140"/>
    <m/>
    <m/>
    <s v="10/03/2026"/>
    <x v="0"/>
    <n v="61"/>
    <m/>
    <x v="2"/>
    <x v="4"/>
    <x v="1"/>
    <m/>
    <m/>
    <s v="SS atendida — serviço executado"/>
  </r>
  <r>
    <s v="Resolvido"/>
    <s v="7965164065"/>
    <x v="1"/>
    <s v="AXIXA DO TOCANTINS"/>
    <s v="—"/>
    <x v="141"/>
    <m/>
    <m/>
    <s v="21/01/2026"/>
    <x v="0"/>
    <n v="75"/>
    <m/>
    <x v="2"/>
    <x v="2"/>
    <x v="1"/>
    <m/>
    <m/>
    <s v="SS atendida — serviço executado"/>
  </r>
  <r>
    <s v="Resolvido"/>
    <s v="7967181127"/>
    <x v="1"/>
    <s v="PALMEIRAS DO TOCANTINS"/>
    <s v="Média"/>
    <x v="142"/>
    <m/>
    <m/>
    <s v="01/07/2026"/>
    <x v="0"/>
    <n v="159"/>
    <m/>
    <x v="2"/>
    <x v="8"/>
    <x v="1"/>
    <m/>
    <m/>
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1" firstHeaderRow="0" firstDataRow="1" firstDataCol="2" rowPageCount="1" colPageCount="1"/>
  <pivotFields count="30">
    <pivotField dataField="1"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axis="axisPage" compact="0" outline="0" subtotalTop="0" showAll="0" defaultSubtotal="0">
      <items count="5">
        <item x="1"/>
        <item x="3"/>
        <item x="4"/>
        <item x="2"/>
        <item x="0"/>
      </items>
    </pivotField>
    <pivotField axis="axisRow" compact="0" outline="0" subtotalTop="0" showAll="0" defaultSubtotal="0">
      <items count="7">
        <item m="1" x="6"/>
        <item x="3"/>
        <item m="1" x="5"/>
        <item x="2"/>
        <item x="4"/>
        <item x="0"/>
        <item x="1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1"/>
    <field x="4"/>
  </rowFields>
  <rowItems count="8">
    <i>
      <x/>
      <x v="1"/>
    </i>
    <i r="1">
      <x v="3"/>
    </i>
    <i r="1">
      <x v="4"/>
    </i>
    <i r="1">
      <x v="6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ntagem de Ativo" fld="0" subtotal="count" baseField="0" baseItem="0"/>
    <dataField name="Soma de Orçamento Total" fld="8" baseField="0" baseItem="0" numFmtId="44"/>
  </dataFields>
  <formats count="6">
    <format dxfId="77">
      <pivotArea outline="0" fieldPosition="0">
        <references count="2">
          <reference field="1" count="0" selected="0"/>
          <reference field="4" count="0" selected="0"/>
        </references>
      </pivotArea>
    </format>
    <format dxfId="76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3"/>
          </reference>
        </references>
      </pivotArea>
    </format>
    <format dxfId="75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4"/>
          </reference>
        </references>
      </pivotArea>
    </format>
    <format dxfId="74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6"/>
          </reference>
        </references>
      </pivotArea>
    </format>
    <format dxfId="73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5"/>
          </reference>
        </references>
      </pivotArea>
    </format>
    <format dxfId="72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4">
        <item x="1"/>
        <item m="1" x="2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41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6" unboundColumnsRight="1">
    <queryTableFields count="65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  <queryTableField id="65" dataBound="0" tableColumnId="65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54" headerRowDxfId="12">
  <autoFilter ref="A1:AG54" xr:uid="{00000000-000C-0000-FFFF-FFFF00000000}"/>
  <sortState xmlns:xlrd2="http://schemas.microsoft.com/office/spreadsheetml/2017/richdata2" ref="A21:AG32">
    <sortCondition ref="I1:I54"/>
  </sortState>
  <tableColumns count="33">
    <tableColumn id="1" xr3:uid="{00000000-0010-0000-0000-000001000000}" name="Ativo"/>
    <tableColumn id="31" xr3:uid="{2D070EA7-0BCA-479C-90E1-DB90E50D2C07}" name="Marca" dataDxfId="11"/>
    <tableColumn id="32" xr3:uid="{5D5FBC6F-C0E4-4B19-BCF0-99BB0C1DC38D}" name="Faixa de Tensão" dataDxfId="10"/>
    <tableColumn id="30" xr3:uid="{7A31F433-20E4-4A21-89DA-AC5867CD4E93}" name="Tipo" dataDxfId="9">
      <calculatedColumnFormula>LEFT(Table1[[#This Row],[Ativo]],2)</calculatedColumnFormula>
    </tableColumn>
    <tableColumn id="33" xr3:uid="{01DD22FE-F925-4EE3-B058-EDB73E9E5B31}" name="Potencia" dataDxfId="8"/>
    <tableColumn id="14" xr3:uid="{EDFE8C0F-C9A4-49EA-B80E-786D1AE90468}" name="SS SGM" dataDxfId="7"/>
    <tableColumn id="2" xr3:uid="{00000000-0010-0000-0000-000002000000}" name="Criticidade" dataDxfId="6"/>
    <tableColumn id="17" xr3:uid="{E6ADC558-E059-4AC4-95D7-84FF312F6C1C}" name="Status" dataDxfId="5"/>
    <tableColumn id="15" xr3:uid="{F8E75885-9938-477A-BDEA-743DA88F51EC}" name="Defeito" dataDxfId="4"/>
    <tableColumn id="16" xr3:uid="{18948962-7D4D-46C7-AE7B-0DA746FCF124}" name="Orçamento MO" dataDxfId="3" dataCellStyle="Moeda"/>
    <tableColumn id="27" xr3:uid="{3F38CD24-F8B0-4539-8B29-05D03012E332}" name="Orçamento MAT" dataDxfId="2"/>
    <tableColumn id="28" xr3:uid="{986DFB0C-4ECA-430B-A8BB-A014FD13D64D}" name="Orçamento Total" dataDxfId="1" dataCellStyle="Moeda"/>
    <tableColumn id="18" xr3:uid="{5B5880DF-6BEE-429F-9BEB-4303D15BF4E1}" name="PMA"/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40" dataDxfId="39">
  <autoFilter ref="A1:A7" xr:uid="{B5AE9B72-1B58-4452-A01A-5E921EE92EF2}"/>
  <tableColumns count="1">
    <tableColumn id="1" xr3:uid="{EA509076-49F4-44B9-96E5-B5542F2CA885}" name="Status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C1:O97" totalsRowShown="0" headerRowDxfId="37" dataDxfId="36">
  <autoFilter ref="C1:O97" xr:uid="{D7D8B646-CFF4-4232-A0CF-6C0E37160DA1}"/>
  <tableColumns count="13">
    <tableColumn id="1" xr3:uid="{5CF7B95E-63EF-4B61-907A-A60E957AEC82}" name="FAIXA DE TENSÃO" dataDxfId="35"/>
    <tableColumn id="9" xr3:uid="{65EE88FB-59ED-4B3D-A4E0-B090259854D6}" name="TIPO" dataDxfId="34"/>
    <tableColumn id="8" xr3:uid="{FE366F5B-7BA5-4621-819B-5FA578670B51}" name="Ano2" dataDxfId="33"/>
    <tableColumn id="2" xr3:uid="{DD637EAA-E5A1-44B8-9186-31AF5027E5BD}" name="Mês" dataDxfId="32"/>
    <tableColumn id="5" xr3:uid="{4297B92A-F6A7-4306-A536-E412F1128209}" name="Concat" dataDxfId="31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30"/>
    <tableColumn id="4" xr3:uid="{D8A91BD8-83C4-4DFF-B406-670B21A9332F}" name="Parque RL" dataDxfId="29">
      <calculatedColumnFormula>I1+#REF!</calculatedColumnFormula>
    </tableColumn>
    <tableColumn id="6" xr3:uid="{3E1CAFE2-829B-45E3-9B64-A977FE773DAC}" name="RL 13" dataDxfId="28" dataCellStyle="Porcentagem"/>
    <tableColumn id="10" xr3:uid="{28A0230F-A087-4D9B-A65B-91CE55CDCB99}" name="RL 34" dataDxfId="27" dataCellStyle="Porcentagem"/>
    <tableColumn id="12" xr3:uid="{F441F194-3EA7-4153-9732-1B361FAA7B81}" name="Qtd RT 13" dataDxfId="26" dataCellStyle="Porcentagem"/>
    <tableColumn id="13" xr3:uid="{459E23D6-A525-487F-9738-088FB591E43C}" name="RT13" dataDxfId="25" dataCellStyle="Porcentagem"/>
    <tableColumn id="11" xr3:uid="{C213F654-3A37-487D-B1A7-C456D68A13FD}" name="RT 34" dataDxfId="24" dataCellStyle="Porcentagem"/>
    <tableColumn id="7" xr3:uid="{B20C3597-BBC5-42BC-BB33-4C7FB564037D}" name="Acumulado" dataDxfId="23">
      <calculatedColumnFormula>O1+J2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2F621E-5E41-44E0-8391-9BCE46B5FFFB}" name="Tabela7" displayName="Tabela7" ref="A35:M75" totalsRowShown="0">
  <autoFilter ref="A35:M75" xr:uid="{222F621E-5E41-44E0-8391-9BCE46B5FFFB}"/>
  <tableColumns count="13">
    <tableColumn id="1" xr3:uid="{473887D0-1536-4C03-A295-143D79F294B8}" name="PMA"/>
    <tableColumn id="2" xr3:uid="{E11EE7C9-45F1-4D1E-8F38-437ACE7EB9DB}" name="Código"/>
    <tableColumn id="3" xr3:uid="{2A92C09A-4510-4A4D-AACA-82FE06075FC4}" name="Descrição"/>
    <tableColumn id="4" xr3:uid="{77F42001-46A7-4B7C-A330-C6F1AE859DDE}" name="Unidade"/>
    <tableColumn id="5" xr3:uid="{69C05701-B683-48A6-A9A2-0B76937553B8}" name="QT."/>
    <tableColumn id="6" xr3:uid="{2C49F1C0-E064-493C-B696-014E1A826D9D}" name="Valor Unitário" dataDxfId="71"/>
    <tableColumn id="7" xr3:uid="{53C32F73-8BD7-4284-B510-542361E0931E}" name="Valor Total" dataDxfId="70"/>
    <tableColumn id="8" xr3:uid="{9C3C3004-7508-445B-B6E1-5ABDD9C28A8E}" name="Finalidade"/>
    <tableColumn id="9" xr3:uid="{F886618A-6C09-4B63-A97B-88BA924F9A6A}" name="Data Requisição" dataDxfId="69"/>
    <tableColumn id="10" xr3:uid="{62246FC3-B445-49EB-89F3-F3FD3D97BA9A}" name="Requisição Web Supply"/>
    <tableColumn id="11" xr3:uid="{F60B0F72-8EA0-48B2-A633-C9A5D1C15219}" name="Ativo"/>
    <tableColumn id="12" xr3:uid="{F99AF562-0F74-41DC-A06F-6EF724317617}" name="Status"/>
    <tableColumn id="13" xr3:uid="{1C2EF037-89EF-4FF4-9B77-117963DCE1CA}" name="Previsão de Chegada no 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60" dataDxfId="59">
  <autoFilter ref="A1:R91" xr:uid="{3FB78DE5-F307-4397-ADA8-0A9D79D933B5}">
    <filterColumn colId="12">
      <filters>
        <filter val="sim"/>
      </filters>
    </filterColumn>
  </autoFilter>
  <tableColumns count="18">
    <tableColumn id="1" xr3:uid="{AB944434-D209-45BF-889B-DB3B5F31CAD6}" name="Ano/TIPO" dataDxfId="58"/>
    <tableColumn id="15" xr3:uid="{3ECCC878-C8CA-4A06-BDAC-409392C090EA}" name="Equipamento" dataDxfId="57">
      <calculatedColumnFormula>LEFT(Tabela3[[#This Row],[Ano/TIPO]],2)</calculatedColumnFormula>
    </tableColumn>
    <tableColumn id="18" xr3:uid="{07E17440-7BEB-4DAE-B964-C5EE7BD3F294}" name="Mensal" dataDxfId="56" dataCellStyle="Porcentagem"/>
    <tableColumn id="13" xr3:uid="{1092F510-3DAB-4FD7-A2EE-252B990F4038}" name="Parque">
      <calculatedColumnFormula>_xlfn.XLOOKUP(K2,Base!G:G,Base!I:I)</calculatedColumnFormula>
    </tableColumn>
    <tableColumn id="2" xr3:uid="{FCB5F12E-3C6E-4F03-BDF5-FA363617BD71}" name="Ativo" dataDxfId="55"/>
    <tableColumn id="3" xr3:uid="{C807A217-F3C5-468E-BE1F-D86F7C509558}" name="SS" dataDxfId="54"/>
    <tableColumn id="16" xr3:uid="{8FE6477E-C693-4A84-A4AD-D5FA9FF39CF8}" name="Tensão" dataDxfId="53">
      <calculatedColumnFormula>_xlfn.XLOOKUP(_xlfn.NUMBERVALUE(Tabela3[[#This Row],[Ativo]]),'[2]Ajustes Reguladores de Tensão'!$A:$A,'[2]Ajustes Reguladores de Tensão'!$I:$I,_xlfn.XLOOKUP(_xlfn.NUMBERVALUE(Tabela3[[#This Row],[Ativo]]),'[2]Ajustes RL Poste'!$A:$A,'[2]Ajustes RL Poste'!$M:$M))</calculatedColumnFormula>
    </tableColumn>
    <tableColumn id="4" xr3:uid="{4593478B-8829-4080-99B1-BB4DCBD24F7D}" name="Data" dataDxfId="52"/>
    <tableColumn id="12" xr3:uid="{1050F63D-31E1-4D0B-90F6-2195560466D3}" name="Mês" dataDxfId="51">
      <calculatedColumnFormula>TEXT(Tabela3[[#This Row],[Data]],"mmmm")</calculatedColumnFormula>
    </tableColumn>
    <tableColumn id="14" xr3:uid="{0B090E55-6738-4417-97FA-51FE3BECAA43}" name="Ano" dataDxfId="50">
      <calculatedColumnFormula>YEAR(Tabela3[[#This Row],[Data]])</calculatedColumnFormula>
    </tableColumn>
    <tableColumn id="17" xr3:uid="{0E633709-5C36-48F5-9911-830E364389E5}" name="Concat" dataDxfId="49">
      <calculatedColumnFormula>_xlfn.CONCAT(Tabela3[[#This Row],[Ano]],Tabela3[[#This Row],[Mês]])</calculatedColumnFormula>
    </tableColumn>
    <tableColumn id="5" xr3:uid="{A503E45E-2ABB-4A06-9FD8-EB72929DC0DD}" name="Peça (modo)" dataDxfId="48"/>
    <tableColumn id="6" xr3:uid="{3F1BA0CB-29A3-4F40-8B09-C317C5BA5E31}" name="Troca feita" dataDxfId="47"/>
    <tableColumn id="7" xr3:uid="{DC2BDADF-E64B-4D49-9B91-037B8016E660}" name="Causa raiz" dataDxfId="46"/>
    <tableColumn id="8" xr3:uid="{5C64F460-F78E-45AA-A07C-103BF0CDF4BE}" name="Citação do texto da SS" dataDxfId="45"/>
    <tableColumn id="9" xr3:uid="{91186D37-DB42-466E-90E7-2BB4B78F3B8E}" name="Nota do analista" dataDxfId="44"/>
    <tableColumn id="10" xr3:uid="{C00D5216-780B-4365-B1F3-DE552C0208E6}" name="Revisão" dataDxfId="43"/>
    <tableColumn id="11" xr3:uid="{A825C986-B765-4556-BA80-6FFB4854192F}" name="Coluna1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22"/>
    <tableColumn id="17" xr3:uid="{49E305DA-248F-472D-8E0F-F100D967C78C}" name="SS COCM" dataDxfId="21"/>
    <tableColumn id="7" xr3:uid="{A6196150-851E-4464-A76F-1E8E4B6B8C95}" name="Desde" dataDxfId="20"/>
    <tableColumn id="18" xr3:uid="{29523734-6697-4F6C-9772-EEE1E84AF770}" name="Ano" dataDxfId="19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M53" tableType="queryTable" totalsRowShown="0">
  <autoFilter ref="A1:BM53" xr:uid="{8DBEC8CF-72D8-4A0E-BD32-D94C2AED3A9F}"/>
  <sortState xmlns:xlrd2="http://schemas.microsoft.com/office/spreadsheetml/2017/richdata2" ref="A2:BM53">
    <sortCondition descending="1" ref="T1:T53"/>
  </sortState>
  <tableColumns count="65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18"/>
    <tableColumn id="21" xr3:uid="{01CB5462-B528-4E48-A5AB-5623CC88A8FC}" uniqueName="21" name="DATA_TERMINO_SS" queryTableFieldId="21" dataDxfId="17"/>
    <tableColumn id="22" xr3:uid="{0D6E5ECD-F549-49D5-BCBC-A35D0B2D51F5}" uniqueName="22" name="DATA_LIMITE_SS" queryTableFieldId="22" dataDxfId="16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15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14"/>
    <tableColumn id="42" xr3:uid="{94685090-3923-43B1-8568-6BB43F074C8A}" uniqueName="42" name="DATA_REFORMA_RET" queryTableFieldId="42" dataDxfId="13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  <tableColumn id="65" xr3:uid="{DAEE872C-8D00-4FB1-8087-2C8FCB43E664}" uniqueName="65" name="Coluna1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" dT="2026-09-21T11:07:43.75" personId="{92AC0B97-7DAE-4DEC-85A0-D7AF7FF0D12A}" id="{7BF46A44-665D-4AD9-8EE3-45672814DAB4}">
    <text>Já se encontrava em estoque</text>
  </threadedComment>
  <threadedComment ref="M13" dT="2026-09-21T11:07:43.75" personId="{92AC0B97-7DAE-4DEC-85A0-D7AF7FF0D12A}" id="{FFDDACF7-D451-4A8D-9473-3CDD20CDE35E}">
    <text>Já se encontrava em estoque</text>
  </threadedComment>
  <threadedComment ref="Q13" dT="2026-09-21T11:13:53.39" personId="{92AC0B97-7DAE-4DEC-85A0-D7AF7FF0D12A}" id="{1AD2C347-A817-4443-850F-86ADE1A90B80}">
    <text>Inventário</text>
  </threadedComment>
  <threadedComment ref="M15" dT="2026-09-21T11:14:55.17" personId="{92AC0B97-7DAE-4DEC-85A0-D7AF7FF0D12A}" id="{33D70EE0-4A9D-4FAA-A050-12D3ACC774C5}">
    <text>Melhoria de Aterramento</text>
  </threadedComment>
  <threadedComment ref="M15" dT="2026-09-21T11:15:36.12" personId="{92AC0B97-7DAE-4DEC-85A0-D7AF7FF0D12A}" id="{755E9949-99A4-409D-B282-7A1DB26F8205}" parentId="{33D70EE0-4A9D-4FAA-A050-12D3ACC774C5}">
    <text>Problema de autorização de Passagem</text>
  </threadedComment>
  <threadedComment ref="M44" dT="2026-09-21T11:58:53.78" personId="{92AC0B97-7DAE-4DEC-85A0-D7AF7FF0D12A}" id="{64A44D70-0FC5-4A04-9733-9136DC4F4646}">
    <text>Requisitar 3 Células , pois duas foram usadas em obra de construção</text>
  </threadedComment>
  <threadedComment ref="R54" dT="2026-09-21T13:58:00.93" personId="{92AC0B97-7DAE-4DEC-85A0-D7AF7FF0D12A}" id="{279697A2-13F4-4DBE-B908-D741AC5EE63F}">
    <text>Trafo auxiliar de Religador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AL130"/>
  <sheetViews>
    <sheetView topLeftCell="K1" zoomScaleNormal="100" workbookViewId="0">
      <selection activeCell="N34" sqref="N34"/>
    </sheetView>
    <sheetView tabSelected="1" zoomScale="85" zoomScaleNormal="85" workbookViewId="1">
      <selection activeCell="C18" sqref="C18"/>
    </sheetView>
  </sheetViews>
  <sheetFormatPr defaultRowHeight="15" x14ac:dyDescent="0.25"/>
  <cols>
    <col min="1" max="1" width="23.140625" bestFit="1" customWidth="1"/>
    <col min="2" max="2" width="19.42578125" bestFit="1" customWidth="1"/>
    <col min="3" max="3" width="17.5703125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27.7109375" bestFit="1" customWidth="1"/>
    <col min="12" max="12" width="30.5703125" bestFit="1" customWidth="1"/>
    <col min="13" max="14" width="22.140625" customWidth="1"/>
    <col min="15" max="15" width="20" customWidth="1"/>
    <col min="16" max="16" width="24.42578125" customWidth="1"/>
    <col min="17" max="18" width="16" bestFit="1" customWidth="1"/>
    <col min="19" max="19" width="10.5703125" bestFit="1" customWidth="1"/>
    <col min="20" max="20" width="12.42578125" bestFit="1" customWidth="1"/>
    <col min="21" max="21" width="23.140625" bestFit="1" customWidth="1"/>
    <col min="22" max="22" width="24.140625" customWidth="1"/>
    <col min="23" max="23" width="23.140625" bestFit="1" customWidth="1"/>
    <col min="24" max="24" width="10.5703125" bestFit="1" customWidth="1"/>
    <col min="28" max="28" width="13.7109375" bestFit="1" customWidth="1"/>
    <col min="29" max="29" width="15.85546875" bestFit="1" customWidth="1"/>
    <col min="30" max="30" width="17.140625" bestFit="1" customWidth="1"/>
    <col min="31" max="31" width="25.7109375" bestFit="1" customWidth="1"/>
    <col min="32" max="33" width="19.5703125" bestFit="1" customWidth="1"/>
    <col min="34" max="34" width="20.5703125" customWidth="1"/>
    <col min="35" max="35" width="14.28515625" bestFit="1" customWidth="1"/>
    <col min="36" max="36" width="23.140625" bestFit="1" customWidth="1"/>
    <col min="37" max="37" width="11.28515625" bestFit="1" customWidth="1"/>
  </cols>
  <sheetData>
    <row r="1" spans="1:21" x14ac:dyDescent="0.25">
      <c r="A1" s="5" t="s">
        <v>1</v>
      </c>
      <c r="B1" t="s">
        <v>1305</v>
      </c>
      <c r="K1" s="127" t="s">
        <v>1298</v>
      </c>
      <c r="L1" s="129" t="s">
        <v>1423</v>
      </c>
      <c r="M1" s="127" t="s">
        <v>1406</v>
      </c>
      <c r="N1" s="127"/>
      <c r="O1" s="127" t="s">
        <v>1407</v>
      </c>
      <c r="P1" s="127" t="s">
        <v>1360</v>
      </c>
      <c r="Q1" s="127" t="s">
        <v>1408</v>
      </c>
    </row>
    <row r="2" spans="1:21" x14ac:dyDescent="0.25">
      <c r="K2" s="49" t="s">
        <v>1409</v>
      </c>
      <c r="L2" s="49">
        <v>53</v>
      </c>
      <c r="M2" s="49">
        <v>45</v>
      </c>
      <c r="N2" s="49"/>
      <c r="O2" s="49">
        <v>35</v>
      </c>
      <c r="P2" s="49">
        <f>O2+L2-M2</f>
        <v>43</v>
      </c>
      <c r="Q2" s="49"/>
    </row>
    <row r="3" spans="1:21" x14ac:dyDescent="0.25">
      <c r="A3" s="5" t="s">
        <v>316</v>
      </c>
      <c r="B3" s="5" t="s">
        <v>298</v>
      </c>
      <c r="C3" t="s">
        <v>1044</v>
      </c>
      <c r="D3" t="s">
        <v>1045</v>
      </c>
      <c r="K3" s="49" t="s">
        <v>1410</v>
      </c>
      <c r="L3" s="49">
        <v>27</v>
      </c>
      <c r="M3" s="49">
        <v>26</v>
      </c>
      <c r="N3" s="49"/>
      <c r="O3" s="49">
        <v>10</v>
      </c>
      <c r="P3" s="49">
        <f>O3+L3-M3</f>
        <v>11</v>
      </c>
      <c r="Q3" s="49"/>
    </row>
    <row r="4" spans="1:21" x14ac:dyDescent="0.25">
      <c r="A4" t="s">
        <v>1042</v>
      </c>
      <c r="B4" t="s">
        <v>315</v>
      </c>
      <c r="C4" s="3">
        <v>2</v>
      </c>
      <c r="D4" s="40">
        <v>989173.2</v>
      </c>
      <c r="K4" s="49" t="s">
        <v>1411</v>
      </c>
      <c r="L4" s="49">
        <v>47</v>
      </c>
      <c r="M4" s="49">
        <v>1</v>
      </c>
      <c r="N4" s="49"/>
      <c r="O4" s="49">
        <v>0</v>
      </c>
      <c r="P4" s="49">
        <v>46</v>
      </c>
      <c r="Q4" s="49"/>
    </row>
    <row r="5" spans="1:21" x14ac:dyDescent="0.25">
      <c r="B5" t="s">
        <v>313</v>
      </c>
      <c r="C5" s="3">
        <v>6</v>
      </c>
      <c r="D5" s="51">
        <v>691664.7</v>
      </c>
      <c r="G5" t="s">
        <v>1350</v>
      </c>
    </row>
    <row r="6" spans="1:21" x14ac:dyDescent="0.25">
      <c r="B6" t="s">
        <v>314</v>
      </c>
      <c r="C6" s="3">
        <v>2</v>
      </c>
      <c r="D6" s="51">
        <v>213808.1</v>
      </c>
      <c r="G6" s="8">
        <v>94500</v>
      </c>
    </row>
    <row r="7" spans="1:21" x14ac:dyDescent="0.25">
      <c r="B7" t="s">
        <v>1328</v>
      </c>
      <c r="C7" s="3">
        <v>2</v>
      </c>
      <c r="D7" s="51">
        <v>509586.6</v>
      </c>
      <c r="E7" s="8"/>
      <c r="F7" s="8"/>
      <c r="G7" s="8">
        <v>87683</v>
      </c>
    </row>
    <row r="8" spans="1:21" x14ac:dyDescent="0.25">
      <c r="A8" t="s">
        <v>1043</v>
      </c>
      <c r="B8" t="s">
        <v>315</v>
      </c>
      <c r="C8" s="3">
        <v>20</v>
      </c>
      <c r="D8" s="40">
        <v>1229422.1200000003</v>
      </c>
      <c r="E8" s="50">
        <v>1229422.1200000001</v>
      </c>
      <c r="F8" s="50"/>
      <c r="G8" s="8">
        <v>398547</v>
      </c>
    </row>
    <row r="9" spans="1:21" x14ac:dyDescent="0.25">
      <c r="B9" t="s">
        <v>1329</v>
      </c>
      <c r="C9" s="3">
        <v>20</v>
      </c>
      <c r="D9" s="51">
        <v>1320983.7400000005</v>
      </c>
      <c r="G9" s="37">
        <f>SUM(G6:G8)</f>
        <v>580730</v>
      </c>
      <c r="J9" t="s">
        <v>1302</v>
      </c>
      <c r="K9" s="128"/>
    </row>
    <row r="10" spans="1:21" x14ac:dyDescent="0.25">
      <c r="B10" t="s">
        <v>1328</v>
      </c>
      <c r="C10" s="3">
        <v>1</v>
      </c>
      <c r="D10" s="51">
        <v>15000</v>
      </c>
    </row>
    <row r="11" spans="1:21" ht="18.75" x14ac:dyDescent="0.25">
      <c r="A11" t="s">
        <v>738</v>
      </c>
      <c r="C11">
        <v>53</v>
      </c>
      <c r="D11" s="10">
        <v>4969638.46</v>
      </c>
      <c r="M11" s="53" t="s">
        <v>1427</v>
      </c>
      <c r="N11" s="53" t="s">
        <v>1357</v>
      </c>
      <c r="O11" s="53" t="s">
        <v>1358</v>
      </c>
      <c r="P11" s="53" t="s">
        <v>1355</v>
      </c>
      <c r="Q11" s="53" t="s">
        <v>1356</v>
      </c>
      <c r="R11" s="53" t="s">
        <v>1375</v>
      </c>
    </row>
    <row r="12" spans="1:21" x14ac:dyDescent="0.25">
      <c r="M12" s="49" t="s">
        <v>1413</v>
      </c>
      <c r="N12" s="130">
        <v>5206065.0199999996</v>
      </c>
      <c r="O12" s="130">
        <v>5579287.46</v>
      </c>
      <c r="P12" s="130">
        <v>5821192.96</v>
      </c>
      <c r="Q12" s="130">
        <v>6062323.8399999999</v>
      </c>
      <c r="R12" s="49"/>
    </row>
    <row r="13" spans="1:21" x14ac:dyDescent="0.25">
      <c r="C13" t="s">
        <v>1361</v>
      </c>
      <c r="D13" s="40">
        <v>310372.40000000002</v>
      </c>
      <c r="H13" s="8">
        <v>946651.72</v>
      </c>
      <c r="I13">
        <v>8481</v>
      </c>
      <c r="M13" s="49" t="s">
        <v>312</v>
      </c>
      <c r="R13" s="49"/>
      <c r="T13" t="s">
        <v>1424</v>
      </c>
      <c r="U13">
        <v>43</v>
      </c>
    </row>
    <row r="14" spans="1:21" x14ac:dyDescent="0.25">
      <c r="H14" s="8">
        <v>959988.26</v>
      </c>
      <c r="I14">
        <v>8495</v>
      </c>
      <c r="M14" s="49" t="s">
        <v>1408</v>
      </c>
      <c r="N14" s="55">
        <v>524586.6</v>
      </c>
      <c r="O14" s="55">
        <f>691664.7+134944.52</f>
        <v>826609.22</v>
      </c>
      <c r="P14" s="55">
        <f>1443230.22+82181.59+175427.87</f>
        <v>1700839.6800000002</v>
      </c>
      <c r="Q14" s="55">
        <f>1320983.74+100000</f>
        <v>1420983.74</v>
      </c>
      <c r="R14" s="55">
        <f>SUM(M14:Q14)</f>
        <v>4473019.24</v>
      </c>
      <c r="T14" t="s">
        <v>1425</v>
      </c>
      <c r="U14">
        <v>11</v>
      </c>
    </row>
    <row r="15" spans="1:21" x14ac:dyDescent="0.25">
      <c r="H15" s="10">
        <f>SUM(H13:H14)</f>
        <v>1906639.98</v>
      </c>
      <c r="M15" s="49" t="s">
        <v>1419</v>
      </c>
      <c r="N15" s="49">
        <v>2</v>
      </c>
      <c r="O15" s="49"/>
      <c r="P15" s="49">
        <v>20</v>
      </c>
      <c r="Q15" s="49">
        <v>20</v>
      </c>
      <c r="R15" s="49"/>
      <c r="T15" t="s">
        <v>1361</v>
      </c>
      <c r="U15">
        <v>46</v>
      </c>
    </row>
    <row r="16" spans="1:21" x14ac:dyDescent="0.25">
      <c r="B16">
        <v>8481</v>
      </c>
      <c r="D16" s="3">
        <v>45</v>
      </c>
      <c r="E16" s="3" t="s">
        <v>1302</v>
      </c>
      <c r="F16" s="3"/>
      <c r="G16" s="38">
        <v>2465983.7200000002</v>
      </c>
      <c r="M16" s="49" t="s">
        <v>1420</v>
      </c>
      <c r="N16" s="49">
        <v>1</v>
      </c>
      <c r="O16" s="49">
        <v>6</v>
      </c>
      <c r="P16" s="49">
        <v>2</v>
      </c>
      <c r="Q16" s="49"/>
      <c r="R16" s="49"/>
    </row>
    <row r="17" spans="2:18" x14ac:dyDescent="0.25">
      <c r="B17">
        <v>8495</v>
      </c>
      <c r="E17" s="3" t="s">
        <v>1304</v>
      </c>
      <c r="F17" s="3"/>
      <c r="G17" s="38">
        <v>1597242.4</v>
      </c>
      <c r="M17" s="49" t="s">
        <v>1421</v>
      </c>
      <c r="N17" s="49">
        <v>3</v>
      </c>
      <c r="O17" s="49">
        <v>23</v>
      </c>
      <c r="P17" s="49"/>
      <c r="Q17" s="49"/>
      <c r="R17" s="49"/>
    </row>
    <row r="18" spans="2:18" x14ac:dyDescent="0.25">
      <c r="C18" s="9">
        <f>1605000*1.0001745</f>
        <v>1605280.0725</v>
      </c>
      <c r="D18" s="3">
        <v>143</v>
      </c>
      <c r="E18" s="3" t="s">
        <v>1361</v>
      </c>
      <c r="F18" s="3"/>
      <c r="G18" s="54">
        <v>315372.40000000002</v>
      </c>
      <c r="M18" s="49" t="s">
        <v>1416</v>
      </c>
      <c r="N18" s="49">
        <v>2</v>
      </c>
      <c r="O18" s="49">
        <v>4</v>
      </c>
      <c r="P18" s="49">
        <v>1</v>
      </c>
      <c r="Q18" s="49">
        <v>4</v>
      </c>
      <c r="R18" s="49"/>
    </row>
    <row r="19" spans="2:18" x14ac:dyDescent="0.25">
      <c r="B19" t="s">
        <v>1351</v>
      </c>
      <c r="C19" s="8">
        <v>6100000</v>
      </c>
      <c r="G19" s="38">
        <f>SUM(G16:G18)</f>
        <v>4378598.5200000005</v>
      </c>
      <c r="M19" s="49" t="s">
        <v>1417</v>
      </c>
      <c r="N19" s="49">
        <v>3</v>
      </c>
      <c r="O19" s="49">
        <v>0</v>
      </c>
      <c r="P19" s="49">
        <v>1</v>
      </c>
      <c r="Q19" s="49">
        <v>2</v>
      </c>
      <c r="R19" s="49"/>
    </row>
    <row r="20" spans="2:18" x14ac:dyDescent="0.25">
      <c r="C20" s="38">
        <v>5983226.1200000001</v>
      </c>
      <c r="M20" s="49" t="s">
        <v>1418</v>
      </c>
      <c r="N20" s="49">
        <v>3</v>
      </c>
      <c r="O20" s="49">
        <v>1</v>
      </c>
      <c r="P20" s="49">
        <v>2</v>
      </c>
      <c r="Q20" s="49">
        <v>0</v>
      </c>
      <c r="R20" s="49">
        <v>0</v>
      </c>
    </row>
    <row r="21" spans="2:18" x14ac:dyDescent="0.25">
      <c r="C21" s="10">
        <f>C19-C20</f>
        <v>116773.87999999989</v>
      </c>
      <c r="D21" s="10">
        <v>839786.21712765004</v>
      </c>
      <c r="E21" s="10">
        <f>C18-D21</f>
        <v>765493.85537234996</v>
      </c>
      <c r="F21" s="10"/>
      <c r="K21" s="55">
        <v>1605280.0725</v>
      </c>
      <c r="M21" s="49" t="s">
        <v>1414</v>
      </c>
      <c r="N21" s="49">
        <f>43+N18-N15</f>
        <v>43</v>
      </c>
      <c r="O21" s="49">
        <f>N21+O18-O15</f>
        <v>47</v>
      </c>
      <c r="P21" s="49">
        <f>O21+P18-P15</f>
        <v>28</v>
      </c>
      <c r="Q21" s="49">
        <f>P21+Q18-Q15</f>
        <v>12</v>
      </c>
      <c r="R21" s="49">
        <v>12</v>
      </c>
    </row>
    <row r="22" spans="2:18" x14ac:dyDescent="0.25">
      <c r="E22">
        <v>765493.85537234996</v>
      </c>
      <c r="M22" s="49" t="s">
        <v>1415</v>
      </c>
      <c r="N22" s="49">
        <f>11-N16+N19</f>
        <v>13</v>
      </c>
      <c r="O22" s="49">
        <f>N22-O16+O19</f>
        <v>7</v>
      </c>
      <c r="P22" s="49">
        <f t="shared" ref="P22:Q23" si="0">O22-P16+P19</f>
        <v>6</v>
      </c>
      <c r="Q22" s="49">
        <f t="shared" si="0"/>
        <v>8</v>
      </c>
      <c r="R22" s="49">
        <v>8</v>
      </c>
    </row>
    <row r="23" spans="2:18" x14ac:dyDescent="0.25">
      <c r="C23" t="s">
        <v>1352</v>
      </c>
      <c r="D23" s="38">
        <v>524586.6</v>
      </c>
      <c r="M23" s="49" t="s">
        <v>1426</v>
      </c>
      <c r="N23" s="49">
        <f>46</f>
        <v>46</v>
      </c>
      <c r="O23" s="49">
        <f>N23-O17+O20</f>
        <v>24</v>
      </c>
      <c r="P23" s="49">
        <f t="shared" si="0"/>
        <v>26</v>
      </c>
      <c r="Q23" s="49">
        <f t="shared" si="0"/>
        <v>26</v>
      </c>
      <c r="R23" s="49">
        <v>23</v>
      </c>
    </row>
    <row r="24" spans="2:18" x14ac:dyDescent="0.25">
      <c r="C24" t="s">
        <v>1353</v>
      </c>
      <c r="D24" s="10">
        <v>691664.7</v>
      </c>
      <c r="M24" s="49" t="s">
        <v>1429</v>
      </c>
      <c r="N24" s="49">
        <f>SUM(N21:N22)</f>
        <v>56</v>
      </c>
      <c r="O24" s="49">
        <f>SUM(O21:O22)</f>
        <v>54</v>
      </c>
      <c r="P24" s="49">
        <f>SUM(P21:P22)</f>
        <v>34</v>
      </c>
      <c r="Q24" s="49">
        <f>SUM(Q21:Q22)</f>
        <v>20</v>
      </c>
      <c r="R24" s="49">
        <f>SUM(R21:R22)</f>
        <v>20</v>
      </c>
    </row>
    <row r="25" spans="2:18" x14ac:dyDescent="0.25">
      <c r="E25">
        <v>1605280.0725</v>
      </c>
      <c r="M25" s="49" t="s">
        <v>1431</v>
      </c>
      <c r="N25" s="49">
        <f>SUM(N18:N20)+100</f>
        <v>108</v>
      </c>
      <c r="O25" s="49">
        <f>N25+SUM(O18:O20)</f>
        <v>113</v>
      </c>
      <c r="P25" s="49">
        <f>O25+SUM(P18:P20)</f>
        <v>117</v>
      </c>
      <c r="Q25" s="49">
        <f>P25+SUM(Q18:Q20)</f>
        <v>123</v>
      </c>
      <c r="R25" s="49"/>
    </row>
    <row r="26" spans="2:18" x14ac:dyDescent="0.25">
      <c r="M26" s="128" t="s">
        <v>1430</v>
      </c>
      <c r="N26" s="49">
        <f>SUM(N15:N17)</f>
        <v>6</v>
      </c>
      <c r="O26" s="49">
        <f>N26+SUM(O15:O17)</f>
        <v>35</v>
      </c>
      <c r="P26" s="49">
        <f>O26+SUM(P15:P17)</f>
        <v>57</v>
      </c>
      <c r="Q26" s="49">
        <f>P26+SUM(Q15:Q17)</f>
        <v>77</v>
      </c>
      <c r="R26" s="49"/>
    </row>
    <row r="27" spans="2:18" x14ac:dyDescent="0.25">
      <c r="D27" s="8">
        <v>6062323.8399999999</v>
      </c>
      <c r="M27" s="49" t="s">
        <v>1428</v>
      </c>
      <c r="N27" s="49">
        <f>SUM(N21:N23)</f>
        <v>102</v>
      </c>
      <c r="O27" s="49">
        <f>SUM(O21:O23)</f>
        <v>78</v>
      </c>
      <c r="P27" s="49">
        <f>SUM(P21:P23)</f>
        <v>60</v>
      </c>
      <c r="Q27" s="49">
        <f>SUM(Q21:Q23)</f>
        <v>46</v>
      </c>
      <c r="R27" s="49">
        <f>SUM(R21:R23)</f>
        <v>43</v>
      </c>
    </row>
    <row r="28" spans="2:18" x14ac:dyDescent="0.25">
      <c r="D28" s="8">
        <v>6083299.3200000003</v>
      </c>
      <c r="M28" s="128" t="s">
        <v>1413</v>
      </c>
      <c r="N28" s="55">
        <v>5206065.0199999996</v>
      </c>
      <c r="O28" s="55">
        <v>5579287.46</v>
      </c>
      <c r="P28" s="55">
        <v>5821192.96</v>
      </c>
      <c r="Q28" s="55">
        <v>6062323.8399999999</v>
      </c>
      <c r="R28" s="55"/>
    </row>
    <row r="29" spans="2:18" x14ac:dyDescent="0.25">
      <c r="D29" s="10">
        <f>D27-D28</f>
        <v>-20975.480000000447</v>
      </c>
      <c r="M29" s="131" t="s">
        <v>1422</v>
      </c>
      <c r="N29" s="55">
        <f>1605280.07+N14</f>
        <v>2129866.67</v>
      </c>
      <c r="O29" s="55">
        <f>O14+N29-20000</f>
        <v>2936475.8899999997</v>
      </c>
      <c r="P29" s="55">
        <f>P14+O29</f>
        <v>4637315.57</v>
      </c>
      <c r="Q29" s="55">
        <f>Q14+P29</f>
        <v>6058299.3100000005</v>
      </c>
      <c r="R29" s="55">
        <v>6058299.3100000005</v>
      </c>
    </row>
    <row r="30" spans="2:18" x14ac:dyDescent="0.25">
      <c r="C30" s="8">
        <v>315372.40000000002</v>
      </c>
      <c r="I30" s="10">
        <f>SUM(J46:J51)</f>
        <v>3980465.2600000007</v>
      </c>
    </row>
    <row r="31" spans="2:18" ht="18.75" x14ac:dyDescent="0.25">
      <c r="M31" s="53" t="s">
        <v>1427</v>
      </c>
      <c r="N31" s="53" t="s">
        <v>1357</v>
      </c>
      <c r="O31" s="53" t="s">
        <v>1358</v>
      </c>
      <c r="P31" s="53" t="s">
        <v>1355</v>
      </c>
      <c r="Q31" s="53" t="s">
        <v>1356</v>
      </c>
    </row>
    <row r="32" spans="2:18" x14ac:dyDescent="0.25">
      <c r="M32" s="49" t="s">
        <v>1432</v>
      </c>
      <c r="N32" s="132">
        <f>SUM(P2:P4)</f>
        <v>100</v>
      </c>
      <c r="O32" s="132">
        <f>N35</f>
        <v>102</v>
      </c>
      <c r="P32" s="132">
        <f>O35</f>
        <v>78</v>
      </c>
      <c r="Q32" s="132">
        <f>P35</f>
        <v>60</v>
      </c>
    </row>
    <row r="33" spans="1:17" x14ac:dyDescent="0.25">
      <c r="M33" s="49" t="s">
        <v>1433</v>
      </c>
      <c r="N33" s="132">
        <f>SUM(N18:N20)</f>
        <v>8</v>
      </c>
      <c r="O33" s="132">
        <f>SUM(O18:O20)</f>
        <v>5</v>
      </c>
      <c r="P33" s="132">
        <f>SUM(P18:P20)</f>
        <v>4</v>
      </c>
      <c r="Q33" s="132">
        <f>SUM(Q18:Q20)</f>
        <v>6</v>
      </c>
    </row>
    <row r="34" spans="1:17" x14ac:dyDescent="0.25">
      <c r="M34" s="49" t="s">
        <v>1434</v>
      </c>
      <c r="N34" s="132">
        <f>SUM(N15:N17)</f>
        <v>6</v>
      </c>
      <c r="O34" s="132">
        <f>SUM(O15:O17)</f>
        <v>29</v>
      </c>
      <c r="P34" s="132">
        <f>SUM(P15:P17)</f>
        <v>22</v>
      </c>
      <c r="Q34" s="132">
        <f>SUM(Q15:Q17)</f>
        <v>20</v>
      </c>
    </row>
    <row r="35" spans="1:17" x14ac:dyDescent="0.25">
      <c r="M35" s="49" t="s">
        <v>1435</v>
      </c>
      <c r="N35" s="132">
        <f>N32+N33-N34</f>
        <v>102</v>
      </c>
      <c r="O35" s="132">
        <f>O32+O33-O34</f>
        <v>78</v>
      </c>
      <c r="P35" s="132">
        <f>P32+P33-P34</f>
        <v>60</v>
      </c>
      <c r="Q35" s="132">
        <f>Q32+Q33-Q34</f>
        <v>46</v>
      </c>
    </row>
    <row r="36" spans="1:17" x14ac:dyDescent="0.25">
      <c r="D36" s="40">
        <v>310372.40000000002</v>
      </c>
      <c r="E36">
        <v>23</v>
      </c>
      <c r="M36" s="49" t="s">
        <v>1436</v>
      </c>
      <c r="N36" s="55">
        <v>5206065.0199999996</v>
      </c>
      <c r="O36" s="55">
        <v>5579287.46</v>
      </c>
      <c r="P36" s="55">
        <v>5821192.96</v>
      </c>
      <c r="Q36" s="55">
        <v>6062323.8399999999</v>
      </c>
    </row>
    <row r="37" spans="1:17" x14ac:dyDescent="0.25">
      <c r="E37">
        <f>10/E36</f>
        <v>0.43478260869565216</v>
      </c>
      <c r="F37" s="10">
        <v>134944.52173913</v>
      </c>
      <c r="M37" s="49" t="s">
        <v>1437</v>
      </c>
      <c r="N37" s="55">
        <v>2129866.67</v>
      </c>
      <c r="O37" s="55">
        <v>2936475.8899999997</v>
      </c>
      <c r="P37" s="55">
        <v>4637315.57</v>
      </c>
      <c r="Q37" s="55">
        <v>6058299.3100000005</v>
      </c>
    </row>
    <row r="39" spans="1:17" x14ac:dyDescent="0.25">
      <c r="A39" t="s">
        <v>1376</v>
      </c>
      <c r="B39" t="s">
        <v>1377</v>
      </c>
      <c r="F39" s="10">
        <v>175427.87826087</v>
      </c>
    </row>
    <row r="40" spans="1:17" x14ac:dyDescent="0.25">
      <c r="A40">
        <v>10</v>
      </c>
      <c r="B40">
        <v>13</v>
      </c>
      <c r="J40" s="10">
        <f>SUM(D58:G58)</f>
        <v>4473019.24</v>
      </c>
    </row>
    <row r="45" spans="1:17" x14ac:dyDescent="0.25">
      <c r="E45" s="43" t="s">
        <v>1042</v>
      </c>
      <c r="F45" s="48" t="s">
        <v>1359</v>
      </c>
      <c r="G45" s="48"/>
      <c r="H45" t="s">
        <v>315</v>
      </c>
      <c r="I45" s="3">
        <v>2</v>
      </c>
      <c r="J45" s="40">
        <v>989173.2</v>
      </c>
    </row>
    <row r="46" spans="1:17" x14ac:dyDescent="0.25">
      <c r="E46" s="43" t="s">
        <v>1042</v>
      </c>
      <c r="F46" t="s">
        <v>1358</v>
      </c>
      <c r="H46" t="s">
        <v>313</v>
      </c>
      <c r="I46" s="3">
        <v>6</v>
      </c>
      <c r="J46" s="40">
        <v>691664.7</v>
      </c>
    </row>
    <row r="47" spans="1:17" x14ac:dyDescent="0.25">
      <c r="E47" s="43" t="s">
        <v>1042</v>
      </c>
      <c r="F47" t="s">
        <v>1355</v>
      </c>
      <c r="H47" t="s">
        <v>314</v>
      </c>
      <c r="I47" s="3">
        <v>2</v>
      </c>
      <c r="J47" s="40">
        <v>213808.1</v>
      </c>
    </row>
    <row r="48" spans="1:17" x14ac:dyDescent="0.25">
      <c r="A48" t="s">
        <v>1364</v>
      </c>
      <c r="E48" s="43" t="s">
        <v>1042</v>
      </c>
      <c r="F48" t="s">
        <v>1357</v>
      </c>
      <c r="H48" t="s">
        <v>1328</v>
      </c>
      <c r="I48" s="3">
        <v>2</v>
      </c>
      <c r="J48" s="40">
        <v>509586.6</v>
      </c>
    </row>
    <row r="49" spans="1:23" x14ac:dyDescent="0.25">
      <c r="A49" t="s">
        <v>1365</v>
      </c>
      <c r="E49" s="43" t="s">
        <v>1043</v>
      </c>
      <c r="F49" t="s">
        <v>1355</v>
      </c>
      <c r="H49" t="s">
        <v>315</v>
      </c>
      <c r="I49" s="3">
        <v>20</v>
      </c>
      <c r="J49" s="40">
        <v>1229422.1200000003</v>
      </c>
      <c r="K49" s="10">
        <v>1443230.22</v>
      </c>
    </row>
    <row r="50" spans="1:23" x14ac:dyDescent="0.25">
      <c r="E50" s="43" t="s">
        <v>1043</v>
      </c>
      <c r="F50" t="s">
        <v>1356</v>
      </c>
      <c r="H50" t="s">
        <v>1329</v>
      </c>
      <c r="I50" s="3">
        <v>20</v>
      </c>
      <c r="J50" s="40">
        <v>1320983.7400000005</v>
      </c>
    </row>
    <row r="51" spans="1:23" x14ac:dyDescent="0.25">
      <c r="E51" s="43" t="s">
        <v>1043</v>
      </c>
      <c r="F51" t="s">
        <v>1357</v>
      </c>
      <c r="H51" t="s">
        <v>1328</v>
      </c>
      <c r="I51" s="3">
        <v>1</v>
      </c>
      <c r="J51" s="40">
        <v>15000</v>
      </c>
    </row>
    <row r="56" spans="1:23" ht="18.75" x14ac:dyDescent="0.25">
      <c r="B56" s="53"/>
      <c r="C56" s="56">
        <v>46266</v>
      </c>
      <c r="D56" s="53" t="s">
        <v>1357</v>
      </c>
      <c r="E56" s="53" t="s">
        <v>1358</v>
      </c>
      <c r="F56" s="53" t="s">
        <v>1355</v>
      </c>
      <c r="G56" s="53" t="s">
        <v>1356</v>
      </c>
      <c r="H56" s="53" t="s">
        <v>1370</v>
      </c>
      <c r="I56" s="53">
        <v>2027</v>
      </c>
      <c r="U56" s="132" t="s">
        <v>1440</v>
      </c>
      <c r="V56" s="49" t="s">
        <v>1441</v>
      </c>
      <c r="W56" s="49" t="s">
        <v>1442</v>
      </c>
    </row>
    <row r="57" spans="1:23" x14ac:dyDescent="0.25">
      <c r="B57" s="52" t="s">
        <v>1360</v>
      </c>
      <c r="C57" s="49"/>
      <c r="D57" s="49">
        <v>3</v>
      </c>
      <c r="E57" s="49">
        <f>8+10-2</f>
        <v>16</v>
      </c>
      <c r="F57" s="49">
        <f>20+2+13</f>
        <v>35</v>
      </c>
      <c r="G57" s="49">
        <v>20</v>
      </c>
      <c r="H57" s="49">
        <f>SUM(D57:G57)</f>
        <v>74</v>
      </c>
      <c r="I57" s="49">
        <v>2</v>
      </c>
      <c r="T57" s="49" t="s">
        <v>1438</v>
      </c>
      <c r="U57" s="132">
        <v>102</v>
      </c>
      <c r="V57" s="49">
        <v>8</v>
      </c>
      <c r="W57" s="49">
        <v>6</v>
      </c>
    </row>
    <row r="58" spans="1:23" x14ac:dyDescent="0.25">
      <c r="B58" s="52" t="s">
        <v>1366</v>
      </c>
      <c r="C58" s="55">
        <v>1605280.0725</v>
      </c>
      <c r="D58" s="55">
        <v>524586.6</v>
      </c>
      <c r="E58" s="55">
        <f>691664.7+134944.52</f>
        <v>826609.22</v>
      </c>
      <c r="F58" s="55">
        <f>1443230.22+82181.59+175427.87</f>
        <v>1700839.6800000002</v>
      </c>
      <c r="G58" s="55">
        <f>1320983.74+100000</f>
        <v>1420983.74</v>
      </c>
      <c r="H58" s="55">
        <f>SUM(C58:G58)</f>
        <v>6078299.3125</v>
      </c>
      <c r="I58" s="55">
        <v>989173.2</v>
      </c>
      <c r="T58" s="49" t="s">
        <v>1376</v>
      </c>
      <c r="U58" s="132">
        <v>78</v>
      </c>
      <c r="V58" s="49">
        <v>5</v>
      </c>
      <c r="W58" s="49">
        <v>29</v>
      </c>
    </row>
    <row r="59" spans="1:23" x14ac:dyDescent="0.25">
      <c r="B59" s="52" t="s">
        <v>1367</v>
      </c>
      <c r="C59" s="49"/>
      <c r="D59" s="49">
        <v>2</v>
      </c>
      <c r="E59" s="49"/>
      <c r="F59" s="49">
        <v>20</v>
      </c>
      <c r="G59" s="49">
        <v>20</v>
      </c>
      <c r="H59" s="49"/>
      <c r="I59" s="49"/>
      <c r="T59" s="49" t="s">
        <v>1377</v>
      </c>
      <c r="U59" s="132">
        <v>60</v>
      </c>
      <c r="V59" s="49">
        <v>4</v>
      </c>
      <c r="W59" s="49">
        <v>22</v>
      </c>
    </row>
    <row r="60" spans="1:23" x14ac:dyDescent="0.25">
      <c r="B60" s="52" t="s">
        <v>1368</v>
      </c>
      <c r="C60" s="49"/>
      <c r="D60" s="49">
        <v>1</v>
      </c>
      <c r="E60" s="49">
        <v>6</v>
      </c>
      <c r="F60" s="49">
        <v>2</v>
      </c>
      <c r="G60" s="49"/>
      <c r="H60" s="49"/>
      <c r="I60" s="49"/>
      <c r="T60" s="49" t="s">
        <v>1439</v>
      </c>
      <c r="U60" s="132">
        <v>46</v>
      </c>
      <c r="V60" s="49">
        <v>6</v>
      </c>
      <c r="W60" s="49">
        <v>20</v>
      </c>
    </row>
    <row r="61" spans="1:23" x14ac:dyDescent="0.25">
      <c r="B61" s="52" t="s">
        <v>1369</v>
      </c>
      <c r="C61" s="49"/>
      <c r="D61" s="49"/>
      <c r="E61" s="49">
        <v>23</v>
      </c>
      <c r="F61" s="49"/>
      <c r="G61" s="49"/>
      <c r="H61" s="49"/>
      <c r="I61" s="49"/>
    </row>
    <row r="62" spans="1:23" x14ac:dyDescent="0.25">
      <c r="A62" s="3" t="s">
        <v>1371</v>
      </c>
      <c r="B62" s="52" t="s">
        <v>1362</v>
      </c>
      <c r="C62" s="49"/>
      <c r="D62" s="49">
        <v>2</v>
      </c>
      <c r="E62" s="49">
        <v>4</v>
      </c>
      <c r="F62" s="49">
        <v>1</v>
      </c>
      <c r="G62" s="49">
        <v>4</v>
      </c>
      <c r="H62" s="49">
        <f>SUM(C62:G62)</f>
        <v>11</v>
      </c>
      <c r="I62" s="49"/>
    </row>
    <row r="63" spans="1:23" x14ac:dyDescent="0.25">
      <c r="A63" s="3" t="s">
        <v>1372</v>
      </c>
      <c r="B63" s="52" t="s">
        <v>1363</v>
      </c>
      <c r="C63" s="49"/>
      <c r="D63" s="49">
        <v>3</v>
      </c>
      <c r="E63" s="49">
        <v>0</v>
      </c>
      <c r="F63" s="49">
        <v>1</v>
      </c>
      <c r="G63" s="49">
        <v>2</v>
      </c>
      <c r="H63" s="49">
        <f>SUM(C63:G63)</f>
        <v>6</v>
      </c>
      <c r="I63" s="49"/>
      <c r="Q63">
        <f>55+46</f>
        <v>101</v>
      </c>
    </row>
    <row r="65" spans="2:28" ht="15.75" x14ac:dyDescent="0.25">
      <c r="F65" s="57">
        <v>4473019.26</v>
      </c>
    </row>
    <row r="66" spans="2:28" x14ac:dyDescent="0.25">
      <c r="F66" s="10">
        <f>SUM(D58:G58)</f>
        <v>4473019.24</v>
      </c>
    </row>
    <row r="67" spans="2:28" x14ac:dyDescent="0.25">
      <c r="F67" s="38">
        <f>F65-F66</f>
        <v>1.9999999552965164E-2</v>
      </c>
    </row>
    <row r="68" spans="2:28" x14ac:dyDescent="0.25">
      <c r="F68">
        <v>82181.599999999627</v>
      </c>
    </row>
    <row r="70" spans="2:28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1375</v>
      </c>
    </row>
    <row r="71" spans="2:28" x14ac:dyDescent="0.25">
      <c r="B71" t="s">
        <v>1374</v>
      </c>
      <c r="C71" s="3">
        <f>D57</f>
        <v>3</v>
      </c>
      <c r="D71" s="3">
        <f t="shared" ref="D71:F71" si="1">E57</f>
        <v>16</v>
      </c>
      <c r="E71" s="3">
        <f t="shared" si="1"/>
        <v>35</v>
      </c>
      <c r="F71" s="3">
        <f t="shared" si="1"/>
        <v>20</v>
      </c>
      <c r="G71" s="3">
        <f>SUM(C71:F71)</f>
        <v>74</v>
      </c>
    </row>
    <row r="72" spans="2:28" x14ac:dyDescent="0.25">
      <c r="B72" t="s">
        <v>1373</v>
      </c>
      <c r="C72" s="40">
        <f>D58</f>
        <v>524586.6</v>
      </c>
      <c r="D72" s="40">
        <f t="shared" ref="D72:F72" si="2">E58</f>
        <v>826609.22</v>
      </c>
      <c r="E72" s="40">
        <f t="shared" si="2"/>
        <v>1700839.6800000002</v>
      </c>
      <c r="F72" s="40">
        <f t="shared" si="2"/>
        <v>1420983.74</v>
      </c>
      <c r="G72" s="40">
        <f>SUM(C72:F72)</f>
        <v>4473019.24</v>
      </c>
    </row>
    <row r="74" spans="2:28" x14ac:dyDescent="0.25">
      <c r="AB74" t="s">
        <v>1451</v>
      </c>
    </row>
    <row r="75" spans="2:28" x14ac:dyDescent="0.25">
      <c r="AB75" t="s">
        <v>1452</v>
      </c>
    </row>
    <row r="84" spans="1:7" ht="23.25" x14ac:dyDescent="0.25">
      <c r="A84" s="63"/>
      <c r="B84" s="108" t="s">
        <v>328</v>
      </c>
      <c r="C84" s="108" t="s">
        <v>329</v>
      </c>
      <c r="D84" s="108" t="s">
        <v>330</v>
      </c>
      <c r="E84" s="108" t="s">
        <v>331</v>
      </c>
      <c r="F84" s="108" t="s">
        <v>1375</v>
      </c>
    </row>
    <row r="85" spans="1:7" x14ac:dyDescent="0.25">
      <c r="A85" s="109" t="s">
        <v>1302</v>
      </c>
      <c r="B85" s="104">
        <v>1</v>
      </c>
      <c r="C85" s="110"/>
      <c r="D85" s="110">
        <v>20</v>
      </c>
      <c r="E85" s="110">
        <v>20</v>
      </c>
      <c r="F85" s="109">
        <v>41</v>
      </c>
    </row>
    <row r="86" spans="1:7" x14ac:dyDescent="0.25">
      <c r="A86" s="109" t="s">
        <v>1304</v>
      </c>
      <c r="B86" s="104">
        <v>2</v>
      </c>
      <c r="C86" s="110">
        <v>6</v>
      </c>
      <c r="D86" s="110">
        <v>2</v>
      </c>
      <c r="E86" s="110"/>
      <c r="F86" s="109">
        <v>10</v>
      </c>
    </row>
    <row r="87" spans="1:7" x14ac:dyDescent="0.25">
      <c r="A87" s="109" t="s">
        <v>1361</v>
      </c>
      <c r="B87" s="110"/>
      <c r="C87" s="110">
        <v>10</v>
      </c>
      <c r="D87" s="110" t="s">
        <v>1386</v>
      </c>
      <c r="E87" s="110"/>
      <c r="F87" s="109">
        <v>23</v>
      </c>
    </row>
    <row r="88" spans="1:7" x14ac:dyDescent="0.25">
      <c r="A88" s="111" t="s">
        <v>1373</v>
      </c>
      <c r="B88" s="112">
        <v>524586.6</v>
      </c>
      <c r="C88" s="112">
        <v>826609.22</v>
      </c>
      <c r="D88" s="112">
        <v>1700839.68</v>
      </c>
      <c r="E88" s="112">
        <v>1420983.74</v>
      </c>
      <c r="F88" s="112">
        <v>4473019.24</v>
      </c>
    </row>
    <row r="94" spans="1:7" ht="23.25" x14ac:dyDescent="0.25">
      <c r="A94" s="63"/>
      <c r="B94" s="100" t="s">
        <v>312</v>
      </c>
      <c r="C94" s="100" t="s">
        <v>1378</v>
      </c>
      <c r="D94" s="100" t="s">
        <v>313</v>
      </c>
      <c r="E94" s="100" t="s">
        <v>1329</v>
      </c>
      <c r="F94" s="100" t="s">
        <v>314</v>
      </c>
      <c r="G94" s="100" t="s">
        <v>1379</v>
      </c>
    </row>
    <row r="95" spans="1:7" x14ac:dyDescent="0.25">
      <c r="A95" s="101" t="s">
        <v>1302</v>
      </c>
      <c r="B95" s="102">
        <v>839786.21</v>
      </c>
      <c r="C95" s="103">
        <v>15000</v>
      </c>
      <c r="D95" s="101" t="s">
        <v>1380</v>
      </c>
      <c r="E95" s="103">
        <v>1320983.3400000001</v>
      </c>
      <c r="F95" s="101" t="s">
        <v>1380</v>
      </c>
      <c r="G95" s="103">
        <v>1229422.1200000001</v>
      </c>
    </row>
    <row r="96" spans="1:7" x14ac:dyDescent="0.25">
      <c r="A96" s="101" t="s">
        <v>1304</v>
      </c>
      <c r="B96" s="102">
        <v>765493.85</v>
      </c>
      <c r="C96" s="103">
        <v>509585.6</v>
      </c>
      <c r="D96" s="103">
        <v>691664.7</v>
      </c>
      <c r="E96" s="101" t="s">
        <v>1380</v>
      </c>
      <c r="F96" s="103">
        <v>375991.1</v>
      </c>
      <c r="G96" s="101" t="s">
        <v>1380</v>
      </c>
    </row>
    <row r="97" spans="1:7" x14ac:dyDescent="0.25">
      <c r="A97" s="104" t="s">
        <v>1361</v>
      </c>
      <c r="B97" s="105" t="s">
        <v>1380</v>
      </c>
      <c r="C97" s="101" t="s">
        <v>1380</v>
      </c>
      <c r="D97" s="101" t="s">
        <v>1380</v>
      </c>
      <c r="E97" s="103">
        <v>310372.40000000002</v>
      </c>
      <c r="F97" s="101" t="s">
        <v>1380</v>
      </c>
      <c r="G97" s="101" t="s">
        <v>1380</v>
      </c>
    </row>
    <row r="98" spans="1:7" x14ac:dyDescent="0.25">
      <c r="A98" s="106" t="s">
        <v>1381</v>
      </c>
      <c r="B98" s="107">
        <v>1605280.06</v>
      </c>
      <c r="C98" s="107">
        <v>2129865.66</v>
      </c>
      <c r="D98" s="107">
        <v>2821530.36</v>
      </c>
      <c r="E98" s="107">
        <v>4452886.0999999996</v>
      </c>
      <c r="F98" s="107">
        <v>4828877.2</v>
      </c>
      <c r="G98" s="107">
        <v>6058299.3200000003</v>
      </c>
    </row>
    <row r="99" spans="1:7" x14ac:dyDescent="0.25">
      <c r="G99" s="8">
        <v>6062323.8399999999</v>
      </c>
    </row>
    <row r="100" spans="1:7" x14ac:dyDescent="0.25">
      <c r="G100" s="38">
        <f>G98-G99</f>
        <v>-4024.519999999553</v>
      </c>
    </row>
    <row r="115" spans="12:38" x14ac:dyDescent="0.25">
      <c r="AF115" t="s">
        <v>1453</v>
      </c>
    </row>
    <row r="116" spans="12:38" x14ac:dyDescent="0.25">
      <c r="P116" t="s">
        <v>1429</v>
      </c>
      <c r="AE116" s="132" t="s">
        <v>1458</v>
      </c>
      <c r="AF116" s="132" t="s">
        <v>1436</v>
      </c>
      <c r="AG116" s="132" t="s">
        <v>1455</v>
      </c>
      <c r="AH116" s="132" t="s">
        <v>1456</v>
      </c>
      <c r="AJ116" s="132" t="s">
        <v>1440</v>
      </c>
      <c r="AK116" s="49" t="s">
        <v>1441</v>
      </c>
      <c r="AL116" s="49" t="s">
        <v>1406</v>
      </c>
    </row>
    <row r="117" spans="12:38" x14ac:dyDescent="0.25">
      <c r="L117" s="132" t="s">
        <v>1427</v>
      </c>
      <c r="M117" s="132" t="s">
        <v>1455</v>
      </c>
      <c r="N117" s="132" t="s">
        <v>1455</v>
      </c>
      <c r="O117" s="132" t="s">
        <v>1456</v>
      </c>
      <c r="P117" s="132" t="s">
        <v>1427</v>
      </c>
      <c r="Q117" s="132" t="s">
        <v>1360</v>
      </c>
      <c r="R117" s="49" t="s">
        <v>1441</v>
      </c>
      <c r="S117" s="49" t="s">
        <v>1406</v>
      </c>
      <c r="AB117" s="132" t="s">
        <v>1457</v>
      </c>
      <c r="AD117" s="49" t="s">
        <v>1454</v>
      </c>
      <c r="AE117" s="133">
        <v>0</v>
      </c>
      <c r="AF117" s="133">
        <v>0</v>
      </c>
      <c r="AG117" s="133"/>
      <c r="AH117" s="49" t="s">
        <v>1454</v>
      </c>
      <c r="AI117" s="49" t="s">
        <v>1454</v>
      </c>
      <c r="AJ117" s="132">
        <v>76</v>
      </c>
      <c r="AK117" s="137">
        <v>0</v>
      </c>
      <c r="AL117" s="137">
        <v>0</v>
      </c>
    </row>
    <row r="118" spans="12:38" x14ac:dyDescent="0.25">
      <c r="L118" s="49" t="s">
        <v>1454</v>
      </c>
      <c r="M118" s="133">
        <v>0</v>
      </c>
      <c r="N118" s="133"/>
      <c r="O118" s="133">
        <v>0</v>
      </c>
      <c r="P118" s="49" t="s">
        <v>1454</v>
      </c>
      <c r="Q118" s="137">
        <v>59</v>
      </c>
      <c r="R118" s="137">
        <v>0</v>
      </c>
      <c r="S118" s="137">
        <v>0</v>
      </c>
      <c r="T118" s="1"/>
      <c r="AB118" s="133">
        <v>0</v>
      </c>
      <c r="AD118" s="49" t="s">
        <v>1443</v>
      </c>
      <c r="AE118" s="133">
        <v>33374.11</v>
      </c>
      <c r="AF118" s="133">
        <v>633069.38</v>
      </c>
      <c r="AG118" s="133">
        <v>0</v>
      </c>
      <c r="AH118" s="133">
        <v>0</v>
      </c>
      <c r="AI118" s="49" t="s">
        <v>1443</v>
      </c>
      <c r="AJ118" s="132">
        <f>AJ117+AK118-AL118</f>
        <v>78</v>
      </c>
      <c r="AK118" s="134">
        <v>7</v>
      </c>
      <c r="AL118" s="132">
        <v>5</v>
      </c>
    </row>
    <row r="119" spans="12:38" x14ac:dyDescent="0.25">
      <c r="L119" s="49" t="s">
        <v>1443</v>
      </c>
      <c r="M119" s="133">
        <v>33374.11</v>
      </c>
      <c r="N119" s="138">
        <f>M119</f>
        <v>33374.11</v>
      </c>
      <c r="O119" s="138">
        <v>633069.38</v>
      </c>
      <c r="P119" s="49" t="s">
        <v>1443</v>
      </c>
      <c r="Q119" s="137">
        <f>Q118+R119-S119</f>
        <v>65</v>
      </c>
      <c r="R119" s="137">
        <v>7</v>
      </c>
      <c r="S119" s="137">
        <v>1</v>
      </c>
      <c r="AB119" s="133"/>
      <c r="AD119" s="49" t="s">
        <v>1444</v>
      </c>
      <c r="AE119" s="133">
        <v>411751.97</v>
      </c>
      <c r="AF119" s="133">
        <v>1608126.99</v>
      </c>
      <c r="AG119" s="133">
        <v>33374.11</v>
      </c>
      <c r="AH119" s="138">
        <v>633069.38</v>
      </c>
      <c r="AI119" s="49" t="s">
        <v>1444</v>
      </c>
      <c r="AJ119" s="132">
        <f t="shared" ref="AJ119:AJ129" si="3">AJ118+AK119-AL119</f>
        <v>82</v>
      </c>
      <c r="AK119" s="134">
        <v>5</v>
      </c>
      <c r="AL119" s="132">
        <v>1</v>
      </c>
    </row>
    <row r="120" spans="12:38" x14ac:dyDescent="0.25">
      <c r="L120" s="49" t="s">
        <v>1444</v>
      </c>
      <c r="M120" s="133">
        <v>411751.97</v>
      </c>
      <c r="N120" s="138">
        <f>M120-M119</f>
        <v>378377.86</v>
      </c>
      <c r="O120" s="138">
        <v>1608126.99</v>
      </c>
      <c r="P120" s="49" t="s">
        <v>1444</v>
      </c>
      <c r="Q120" s="137">
        <f t="shared" ref="Q120:Q130" si="4">Q119+R120-S120</f>
        <v>71</v>
      </c>
      <c r="R120" s="137">
        <v>8</v>
      </c>
      <c r="S120" s="137">
        <v>2</v>
      </c>
      <c r="AB120" s="138">
        <f>AG119</f>
        <v>33374.11</v>
      </c>
      <c r="AD120" s="49" t="s">
        <v>1445</v>
      </c>
      <c r="AE120" s="133">
        <v>533851.39</v>
      </c>
      <c r="AF120" s="133">
        <v>2484696.9</v>
      </c>
      <c r="AG120" s="133">
        <v>411751.97</v>
      </c>
      <c r="AH120" s="138">
        <v>1608126.99</v>
      </c>
      <c r="AI120" s="49" t="s">
        <v>1445</v>
      </c>
      <c r="AJ120" s="132">
        <f t="shared" si="3"/>
        <v>88</v>
      </c>
      <c r="AK120" s="134">
        <v>12</v>
      </c>
      <c r="AL120" s="132">
        <v>6</v>
      </c>
    </row>
    <row r="121" spans="12:38" x14ac:dyDescent="0.25">
      <c r="L121" s="49" t="s">
        <v>1445</v>
      </c>
      <c r="M121" s="133">
        <v>533851.39</v>
      </c>
      <c r="N121" s="138">
        <f t="shared" ref="N121:N129" si="5">M121-M120</f>
        <v>122099.42000000004</v>
      </c>
      <c r="O121" s="138">
        <v>2484696.9</v>
      </c>
      <c r="P121" s="49" t="s">
        <v>1445</v>
      </c>
      <c r="Q121" s="137">
        <f t="shared" si="4"/>
        <v>76</v>
      </c>
      <c r="R121" s="137">
        <v>9</v>
      </c>
      <c r="S121" s="137">
        <v>4</v>
      </c>
      <c r="AB121" s="138">
        <f t="shared" ref="AB121:AB130" si="6">AG120-AG119</f>
        <v>378377.86</v>
      </c>
      <c r="AD121" s="49" t="s">
        <v>1446</v>
      </c>
      <c r="AE121" s="133">
        <v>575912.16</v>
      </c>
      <c r="AF121" s="133">
        <v>3361266.81</v>
      </c>
      <c r="AG121" s="133">
        <v>533851.39</v>
      </c>
      <c r="AH121" s="138">
        <v>2484696.9</v>
      </c>
      <c r="AI121" s="49" t="s">
        <v>1446</v>
      </c>
      <c r="AJ121" s="132">
        <f t="shared" si="3"/>
        <v>98</v>
      </c>
      <c r="AK121" s="134">
        <v>12</v>
      </c>
      <c r="AL121" s="132">
        <v>2</v>
      </c>
    </row>
    <row r="122" spans="12:38" x14ac:dyDescent="0.25">
      <c r="L122" s="49" t="s">
        <v>1446</v>
      </c>
      <c r="M122" s="133">
        <v>575912.16</v>
      </c>
      <c r="N122" s="138">
        <f t="shared" si="5"/>
        <v>42060.770000000019</v>
      </c>
      <c r="O122" s="138">
        <v>3361266.81</v>
      </c>
      <c r="P122" s="49" t="s">
        <v>1446</v>
      </c>
      <c r="Q122" s="137">
        <f t="shared" si="4"/>
        <v>80</v>
      </c>
      <c r="R122" s="137">
        <v>5</v>
      </c>
      <c r="S122" s="137">
        <v>1</v>
      </c>
      <c r="AB122" s="138">
        <f t="shared" si="6"/>
        <v>122099.42000000004</v>
      </c>
      <c r="AD122" s="49" t="s">
        <v>1447</v>
      </c>
      <c r="AE122" s="133">
        <v>644774.34</v>
      </c>
      <c r="AF122" s="133">
        <v>3994336.19</v>
      </c>
      <c r="AG122" s="133">
        <v>575912.16</v>
      </c>
      <c r="AH122" s="138">
        <v>3361266.81</v>
      </c>
      <c r="AI122" s="49" t="s">
        <v>1447</v>
      </c>
      <c r="AJ122" s="132">
        <f t="shared" si="3"/>
        <v>89</v>
      </c>
      <c r="AK122" s="134">
        <v>12</v>
      </c>
      <c r="AL122" s="132">
        <f>16+5</f>
        <v>21</v>
      </c>
    </row>
    <row r="123" spans="12:38" x14ac:dyDescent="0.25">
      <c r="L123" s="49" t="s">
        <v>1447</v>
      </c>
      <c r="M123" s="133">
        <v>644774.34</v>
      </c>
      <c r="N123" s="138">
        <f t="shared" si="5"/>
        <v>68862.179999999935</v>
      </c>
      <c r="O123" s="138">
        <v>3994336.19</v>
      </c>
      <c r="P123" s="49" t="s">
        <v>1447</v>
      </c>
      <c r="Q123" s="137">
        <f t="shared" si="4"/>
        <v>65</v>
      </c>
      <c r="R123" s="137">
        <v>1</v>
      </c>
      <c r="S123" s="137">
        <v>16</v>
      </c>
      <c r="AB123" s="138">
        <f t="shared" si="6"/>
        <v>42060.770000000019</v>
      </c>
      <c r="AD123" s="49" t="s">
        <v>1448</v>
      </c>
      <c r="AE123" s="133">
        <v>906340.58</v>
      </c>
      <c r="AF123" s="133">
        <v>4332841.8</v>
      </c>
      <c r="AG123" s="133">
        <v>644774.34</v>
      </c>
      <c r="AH123" s="138">
        <v>3994336.19</v>
      </c>
      <c r="AI123" s="49" t="s">
        <v>1448</v>
      </c>
      <c r="AJ123" s="132">
        <f t="shared" si="3"/>
        <v>86</v>
      </c>
      <c r="AK123" s="134">
        <v>33</v>
      </c>
      <c r="AL123" s="132">
        <f>29+7</f>
        <v>36</v>
      </c>
    </row>
    <row r="124" spans="12:38" x14ac:dyDescent="0.25">
      <c r="L124" s="49" t="s">
        <v>1448</v>
      </c>
      <c r="M124" s="133">
        <v>906340.58</v>
      </c>
      <c r="N124" s="138">
        <f t="shared" si="5"/>
        <v>261566.24</v>
      </c>
      <c r="O124" s="138">
        <v>4332841.8</v>
      </c>
      <c r="P124" s="49" t="s">
        <v>1448</v>
      </c>
      <c r="Q124" s="137">
        <f t="shared" si="4"/>
        <v>58</v>
      </c>
      <c r="R124" s="137">
        <v>2</v>
      </c>
      <c r="S124" s="137">
        <v>9</v>
      </c>
      <c r="AB124" s="138">
        <f t="shared" si="6"/>
        <v>68862.179999999935</v>
      </c>
      <c r="AD124" s="49" t="s">
        <v>1449</v>
      </c>
      <c r="AE124" s="133">
        <v>1344410.07</v>
      </c>
      <c r="AF124" s="133">
        <v>4623766.3</v>
      </c>
      <c r="AG124" s="133">
        <v>906340.58</v>
      </c>
      <c r="AH124" s="138">
        <v>4332841.8</v>
      </c>
      <c r="AI124" s="49" t="s">
        <v>1449</v>
      </c>
      <c r="AJ124" s="132">
        <f t="shared" si="3"/>
        <v>96</v>
      </c>
      <c r="AK124" s="134">
        <v>24</v>
      </c>
      <c r="AL124" s="132">
        <v>14</v>
      </c>
    </row>
    <row r="125" spans="12:38" x14ac:dyDescent="0.25">
      <c r="L125" s="49" t="s">
        <v>1449</v>
      </c>
      <c r="M125" s="133">
        <v>1344410.07</v>
      </c>
      <c r="N125" s="138">
        <f t="shared" si="5"/>
        <v>438069.49000000011</v>
      </c>
      <c r="O125" s="138">
        <v>4623766.3</v>
      </c>
      <c r="P125" s="49" t="s">
        <v>1449</v>
      </c>
      <c r="Q125" s="137">
        <f t="shared" si="4"/>
        <v>56</v>
      </c>
      <c r="R125" s="137">
        <v>4</v>
      </c>
      <c r="S125" s="137">
        <v>6</v>
      </c>
      <c r="AB125" s="138">
        <f t="shared" si="6"/>
        <v>261566.24</v>
      </c>
      <c r="AD125" s="49" t="s">
        <v>1450</v>
      </c>
      <c r="AE125" s="133">
        <v>1906700.56</v>
      </c>
      <c r="AF125" s="133">
        <v>4915140.5199999996</v>
      </c>
      <c r="AG125" s="133">
        <v>1344410.07</v>
      </c>
      <c r="AH125" s="138">
        <v>4623766.3</v>
      </c>
      <c r="AI125" s="49" t="s">
        <v>1450</v>
      </c>
      <c r="AJ125" s="132">
        <f t="shared" si="3"/>
        <v>97</v>
      </c>
      <c r="AK125" s="3">
        <v>10</v>
      </c>
      <c r="AL125" s="132">
        <f>9</f>
        <v>9</v>
      </c>
    </row>
    <row r="126" spans="12:38" x14ac:dyDescent="0.25">
      <c r="L126" s="49" t="s">
        <v>1450</v>
      </c>
      <c r="M126" s="133">
        <v>1906700.56</v>
      </c>
      <c r="N126" s="138">
        <f t="shared" si="5"/>
        <v>562290.49</v>
      </c>
      <c r="O126" s="138">
        <v>4915140.5199999996</v>
      </c>
      <c r="P126" s="49" t="s">
        <v>1450</v>
      </c>
      <c r="Q126" s="137">
        <f t="shared" si="4"/>
        <v>55</v>
      </c>
      <c r="R126" s="137">
        <v>1</v>
      </c>
      <c r="S126" s="137">
        <v>2</v>
      </c>
      <c r="AB126" s="138">
        <f t="shared" si="6"/>
        <v>438069.49000000011</v>
      </c>
      <c r="AD126" s="49" t="s">
        <v>1438</v>
      </c>
      <c r="AE126" s="55">
        <v>2129866.67</v>
      </c>
      <c r="AF126" s="133">
        <v>5206065.0199999996</v>
      </c>
      <c r="AG126" s="133">
        <v>1906700.56</v>
      </c>
      <c r="AH126" s="138">
        <v>4915140.5199999996</v>
      </c>
      <c r="AI126" s="49" t="s">
        <v>1438</v>
      </c>
      <c r="AJ126" s="132">
        <f t="shared" si="3"/>
        <v>99</v>
      </c>
      <c r="AK126" s="49">
        <v>8</v>
      </c>
      <c r="AL126" s="49">
        <v>6</v>
      </c>
    </row>
    <row r="127" spans="12:38" x14ac:dyDescent="0.25">
      <c r="L127" s="49" t="s">
        <v>1438</v>
      </c>
      <c r="M127" s="55">
        <v>2129866.67</v>
      </c>
      <c r="N127" s="138">
        <f t="shared" si="5"/>
        <v>223166.10999999987</v>
      </c>
      <c r="O127" s="138">
        <v>5206065.0199999996</v>
      </c>
      <c r="P127" s="49" t="s">
        <v>1438</v>
      </c>
      <c r="Q127" s="137">
        <f t="shared" si="4"/>
        <v>57</v>
      </c>
      <c r="R127" s="137">
        <v>8</v>
      </c>
      <c r="S127" s="137">
        <v>6</v>
      </c>
      <c r="AB127" s="138">
        <f t="shared" si="6"/>
        <v>562290.49</v>
      </c>
      <c r="AD127" s="49" t="s">
        <v>1376</v>
      </c>
      <c r="AE127" s="55">
        <v>2936475.8899999997</v>
      </c>
      <c r="AF127" s="133">
        <v>5579287.46</v>
      </c>
      <c r="AG127" s="55">
        <v>2129866.67</v>
      </c>
      <c r="AH127" s="138">
        <v>5206065.0199999996</v>
      </c>
      <c r="AI127" s="49" t="s">
        <v>1376</v>
      </c>
      <c r="AJ127" s="132">
        <f t="shared" si="3"/>
        <v>75</v>
      </c>
      <c r="AK127" s="49">
        <v>5</v>
      </c>
      <c r="AL127" s="49">
        <v>29</v>
      </c>
    </row>
    <row r="128" spans="12:38" x14ac:dyDescent="0.25">
      <c r="L128" s="49" t="s">
        <v>1376</v>
      </c>
      <c r="M128" s="55">
        <v>2936475.8899999997</v>
      </c>
      <c r="N128" s="138">
        <f t="shared" si="5"/>
        <v>806609.21999999974</v>
      </c>
      <c r="O128" s="138">
        <f>5579287.46-315000</f>
        <v>5264287.46</v>
      </c>
      <c r="P128" s="49" t="s">
        <v>1376</v>
      </c>
      <c r="Q128" s="137">
        <f t="shared" si="4"/>
        <v>60</v>
      </c>
      <c r="R128" s="137">
        <v>9</v>
      </c>
      <c r="S128" s="137">
        <f>29-23</f>
        <v>6</v>
      </c>
      <c r="AB128" s="138">
        <f t="shared" si="6"/>
        <v>223166.10999999987</v>
      </c>
      <c r="AD128" s="49" t="s">
        <v>1377</v>
      </c>
      <c r="AE128" s="55">
        <v>4637315.57</v>
      </c>
      <c r="AF128" s="133">
        <v>5821192.96</v>
      </c>
      <c r="AG128" s="55">
        <v>2936475.8899999997</v>
      </c>
      <c r="AH128" s="138">
        <v>5579287.46</v>
      </c>
      <c r="AI128" s="49" t="s">
        <v>1377</v>
      </c>
      <c r="AJ128" s="132">
        <f t="shared" si="3"/>
        <v>57</v>
      </c>
      <c r="AK128" s="49">
        <v>4</v>
      </c>
      <c r="AL128" s="49">
        <v>22</v>
      </c>
    </row>
    <row r="129" spans="12:38" x14ac:dyDescent="0.25">
      <c r="L129" s="49" t="s">
        <v>1377</v>
      </c>
      <c r="M129" s="55">
        <v>4637315.57</v>
      </c>
      <c r="N129" s="138">
        <f t="shared" si="5"/>
        <v>1700839.6800000006</v>
      </c>
      <c r="O129" s="138">
        <v>5821192.96</v>
      </c>
      <c r="P129" s="49" t="s">
        <v>1377</v>
      </c>
      <c r="Q129" s="137">
        <f t="shared" si="4"/>
        <v>43</v>
      </c>
      <c r="R129" s="137">
        <v>5</v>
      </c>
      <c r="S129" s="137">
        <v>22</v>
      </c>
      <c r="AB129" s="138">
        <f t="shared" si="6"/>
        <v>806609.21999999974</v>
      </c>
      <c r="AD129" s="49" t="s">
        <v>1439</v>
      </c>
      <c r="AE129" s="55">
        <v>6058299.3100000005</v>
      </c>
      <c r="AF129" s="133">
        <v>6062323.8399999999</v>
      </c>
      <c r="AG129" s="55">
        <v>4637315.57</v>
      </c>
      <c r="AH129" s="138">
        <v>5821192.96</v>
      </c>
      <c r="AI129" s="49" t="s">
        <v>1439</v>
      </c>
      <c r="AJ129" s="132">
        <f t="shared" si="3"/>
        <v>43</v>
      </c>
      <c r="AK129" s="49">
        <v>6</v>
      </c>
      <c r="AL129" s="49">
        <v>20</v>
      </c>
    </row>
    <row r="130" spans="12:38" x14ac:dyDescent="0.25">
      <c r="L130" s="49" t="s">
        <v>1439</v>
      </c>
      <c r="M130" s="55">
        <v>6058299.3100000005</v>
      </c>
      <c r="N130" s="138">
        <f>M130-M129-315000</f>
        <v>1105983.7400000002</v>
      </c>
      <c r="O130" s="138">
        <f>6062323.84-315000</f>
        <v>5747323.8399999999</v>
      </c>
      <c r="P130" s="49" t="s">
        <v>1439</v>
      </c>
      <c r="Q130" s="137">
        <f t="shared" si="4"/>
        <v>24</v>
      </c>
      <c r="R130" s="137">
        <v>1</v>
      </c>
      <c r="S130" s="137">
        <v>20</v>
      </c>
      <c r="AB130" s="138">
        <f t="shared" si="6"/>
        <v>1700839.6800000006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43"/>
  <sheetViews>
    <sheetView workbookViewId="0">
      <selection activeCell="G7" sqref="G7"/>
    </sheetView>
    <sheetView workbookViewId="1">
      <selection activeCell="G16" sqref="G16"/>
    </sheetView>
  </sheetViews>
  <sheetFormatPr defaultColWidth="9.28515625" defaultRowHeight="15" x14ac:dyDescent="0.25"/>
  <cols>
    <col min="1" max="1" width="12.140625" customWidth="1"/>
    <col min="2" max="3" width="14.42578125" bestFit="1" customWidth="1"/>
    <col min="4" max="4" width="20.42578125" customWidth="1"/>
    <col min="5" max="7" width="14.42578125" bestFit="1" customWidth="1"/>
  </cols>
  <sheetData>
    <row r="1" spans="1:7" ht="23.25" x14ac:dyDescent="0.25">
      <c r="A1" s="63"/>
      <c r="B1" s="64" t="s">
        <v>312</v>
      </c>
      <c r="C1" s="64" t="s">
        <v>1378</v>
      </c>
      <c r="D1" s="64" t="s">
        <v>313</v>
      </c>
      <c r="E1" s="64" t="s">
        <v>1329</v>
      </c>
      <c r="F1" s="64" t="s">
        <v>314</v>
      </c>
      <c r="G1" s="64" t="s">
        <v>1379</v>
      </c>
    </row>
    <row r="2" spans="1:7" x14ac:dyDescent="0.25">
      <c r="A2" s="65" t="s">
        <v>1302</v>
      </c>
      <c r="B2" s="66">
        <v>839786.21</v>
      </c>
      <c r="C2" s="67">
        <v>15000</v>
      </c>
      <c r="D2" s="68" t="s">
        <v>1380</v>
      </c>
      <c r="E2" s="67">
        <v>1320983.3400000001</v>
      </c>
      <c r="F2" s="68" t="s">
        <v>1380</v>
      </c>
      <c r="G2" s="67">
        <v>1229422.1200000001</v>
      </c>
    </row>
    <row r="3" spans="1:7" x14ac:dyDescent="0.25">
      <c r="A3" s="65" t="s">
        <v>1304</v>
      </c>
      <c r="B3" s="66">
        <v>765493.85</v>
      </c>
      <c r="C3" s="67">
        <v>509585.6</v>
      </c>
      <c r="D3" s="67">
        <v>691664.7</v>
      </c>
      <c r="E3" s="68" t="s">
        <v>1380</v>
      </c>
      <c r="F3" s="67">
        <v>375991.1</v>
      </c>
      <c r="G3" s="68" t="s">
        <v>1380</v>
      </c>
    </row>
    <row r="4" spans="1:7" x14ac:dyDescent="0.25">
      <c r="A4" s="68" t="s">
        <v>1361</v>
      </c>
      <c r="B4" s="68" t="s">
        <v>1380</v>
      </c>
      <c r="C4" s="69" t="s">
        <v>1380</v>
      </c>
      <c r="D4" s="69" t="s">
        <v>1380</v>
      </c>
      <c r="E4" s="70">
        <v>310372.40000000002</v>
      </c>
      <c r="F4" s="71" t="s">
        <v>1380</v>
      </c>
      <c r="G4" s="68" t="s">
        <v>1380</v>
      </c>
    </row>
    <row r="5" spans="1:7" x14ac:dyDescent="0.25">
      <c r="A5" s="68"/>
      <c r="B5" s="72">
        <f>SUM(B2:B4)</f>
        <v>1605280.06</v>
      </c>
      <c r="C5" s="72">
        <f t="shared" ref="C5:G5" si="0">SUM(C2:C4)</f>
        <v>524585.6</v>
      </c>
      <c r="D5" s="72">
        <f t="shared" si="0"/>
        <v>691664.7</v>
      </c>
      <c r="E5" s="72">
        <f t="shared" si="0"/>
        <v>1631355.7400000002</v>
      </c>
      <c r="F5" s="72">
        <f t="shared" si="0"/>
        <v>375991.1</v>
      </c>
      <c r="G5" s="72">
        <f t="shared" si="0"/>
        <v>1229422.1200000001</v>
      </c>
    </row>
    <row r="6" spans="1:7" ht="38.25" x14ac:dyDescent="0.25">
      <c r="A6" s="73" t="s">
        <v>1381</v>
      </c>
      <c r="B6" s="74">
        <f>B5</f>
        <v>1605280.06</v>
      </c>
      <c r="C6" s="74">
        <f>B6+C5</f>
        <v>2129865.66</v>
      </c>
      <c r="D6" s="74">
        <f t="shared" ref="D6:G6" si="1">C6+D5</f>
        <v>2821530.3600000003</v>
      </c>
      <c r="E6" s="74">
        <f t="shared" si="1"/>
        <v>4452886.1000000006</v>
      </c>
      <c r="F6" s="74">
        <f t="shared" si="1"/>
        <v>4828877.2</v>
      </c>
      <c r="G6" s="74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38">
        <f>G7-G6</f>
        <v>4024.519999999553</v>
      </c>
    </row>
    <row r="9" spans="1:7" x14ac:dyDescent="0.25">
      <c r="A9" s="75" t="s">
        <v>1311</v>
      </c>
      <c r="B9" s="75" t="s">
        <v>1382</v>
      </c>
      <c r="C9" s="76" t="s">
        <v>1383</v>
      </c>
      <c r="D9" s="76" t="s">
        <v>1384</v>
      </c>
    </row>
    <row r="10" spans="1:7" x14ac:dyDescent="0.25">
      <c r="A10" s="149" t="s">
        <v>1302</v>
      </c>
      <c r="B10" s="77" t="s">
        <v>1328</v>
      </c>
      <c r="C10" s="78">
        <v>1</v>
      </c>
      <c r="D10" s="79">
        <v>15000</v>
      </c>
    </row>
    <row r="11" spans="1:7" x14ac:dyDescent="0.25">
      <c r="A11" s="150"/>
      <c r="B11" s="77" t="s">
        <v>1329</v>
      </c>
      <c r="C11" s="78">
        <v>20</v>
      </c>
      <c r="D11" s="79">
        <v>1320983.3400000001</v>
      </c>
    </row>
    <row r="12" spans="1:7" x14ac:dyDescent="0.25">
      <c r="A12" s="150"/>
      <c r="B12" s="77" t="s">
        <v>1385</v>
      </c>
      <c r="C12" s="78">
        <v>20</v>
      </c>
      <c r="D12" s="79">
        <v>1229422.1200000001</v>
      </c>
    </row>
    <row r="13" spans="1:7" ht="23.25" x14ac:dyDescent="0.25">
      <c r="A13" s="151"/>
      <c r="B13" s="80"/>
      <c r="C13" s="81">
        <v>41</v>
      </c>
      <c r="D13" s="82">
        <v>2565405.46</v>
      </c>
    </row>
    <row r="14" spans="1:7" x14ac:dyDescent="0.25">
      <c r="A14" s="149" t="s">
        <v>1304</v>
      </c>
      <c r="B14" s="77" t="s">
        <v>1328</v>
      </c>
      <c r="C14" s="78">
        <v>2</v>
      </c>
      <c r="D14" s="79">
        <v>509585.6</v>
      </c>
    </row>
    <row r="15" spans="1:7" ht="28.5" x14ac:dyDescent="0.25">
      <c r="A15" s="150"/>
      <c r="B15" s="77" t="s">
        <v>313</v>
      </c>
      <c r="C15" s="78">
        <v>6</v>
      </c>
      <c r="D15" s="79">
        <v>691664.7</v>
      </c>
    </row>
    <row r="16" spans="1:7" x14ac:dyDescent="0.25">
      <c r="A16" s="150"/>
      <c r="B16" s="83" t="s">
        <v>314</v>
      </c>
      <c r="C16" s="84">
        <v>2</v>
      </c>
      <c r="D16" s="67">
        <v>375991.1</v>
      </c>
    </row>
    <row r="17" spans="1:5" ht="23.25" x14ac:dyDescent="0.25">
      <c r="A17" s="151"/>
      <c r="B17" s="80"/>
      <c r="C17" s="81">
        <v>10</v>
      </c>
      <c r="D17" s="82">
        <v>1597241.4</v>
      </c>
    </row>
    <row r="18" spans="1:5" x14ac:dyDescent="0.25">
      <c r="A18" s="85" t="s">
        <v>1361</v>
      </c>
      <c r="B18" s="83" t="s">
        <v>1329</v>
      </c>
      <c r="C18" s="86">
        <v>23</v>
      </c>
      <c r="D18" s="70">
        <v>310372.40000000002</v>
      </c>
    </row>
    <row r="19" spans="1:5" ht="23.25" x14ac:dyDescent="0.25">
      <c r="A19" s="87" t="s">
        <v>738</v>
      </c>
      <c r="B19" s="80"/>
      <c r="C19" s="81">
        <v>51</v>
      </c>
      <c r="D19" s="82">
        <f>D13+D17+D18</f>
        <v>4473019.26</v>
      </c>
      <c r="E19">
        <v>4478019.26</v>
      </c>
    </row>
    <row r="24" spans="1:5" ht="15.75" x14ac:dyDescent="0.25">
      <c r="A24" s="88" t="s">
        <v>1311</v>
      </c>
      <c r="B24" s="88" t="s">
        <v>1382</v>
      </c>
      <c r="C24" s="88" t="s">
        <v>1383</v>
      </c>
      <c r="D24" s="88" t="s">
        <v>1384</v>
      </c>
    </row>
    <row r="25" spans="1:5" ht="31.5" x14ac:dyDescent="0.25">
      <c r="A25" s="152" t="s">
        <v>1302</v>
      </c>
      <c r="B25" s="89" t="s">
        <v>1328</v>
      </c>
      <c r="C25" s="90">
        <v>1</v>
      </c>
      <c r="D25" s="91">
        <v>15000</v>
      </c>
    </row>
    <row r="26" spans="1:5" ht="15.75" x14ac:dyDescent="0.25">
      <c r="A26" s="153"/>
      <c r="B26" s="89" t="s">
        <v>1329</v>
      </c>
      <c r="C26" s="90">
        <v>20</v>
      </c>
      <c r="D26" s="91">
        <v>1320983.3400000001</v>
      </c>
    </row>
    <row r="27" spans="1:5" ht="31.5" x14ac:dyDescent="0.25">
      <c r="A27" s="153"/>
      <c r="B27" s="89" t="s">
        <v>1385</v>
      </c>
      <c r="C27" s="90">
        <v>20</v>
      </c>
      <c r="D27" s="91">
        <v>1229422.1200000001</v>
      </c>
    </row>
    <row r="28" spans="1:5" ht="23.25" x14ac:dyDescent="0.25">
      <c r="A28" s="154"/>
      <c r="B28" s="80"/>
      <c r="C28" s="92">
        <v>41</v>
      </c>
      <c r="D28" s="93">
        <v>2565405.86</v>
      </c>
    </row>
    <row r="29" spans="1:5" ht="31.5" x14ac:dyDescent="0.25">
      <c r="A29" s="152" t="s">
        <v>1304</v>
      </c>
      <c r="B29" s="89" t="s">
        <v>1328</v>
      </c>
      <c r="C29" s="90">
        <v>2</v>
      </c>
      <c r="D29" s="91">
        <v>509585.6</v>
      </c>
    </row>
    <row r="30" spans="1:5" ht="31.5" x14ac:dyDescent="0.25">
      <c r="A30" s="153"/>
      <c r="B30" s="89" t="s">
        <v>313</v>
      </c>
      <c r="C30" s="90">
        <v>6</v>
      </c>
      <c r="D30" s="91">
        <v>691664.7</v>
      </c>
    </row>
    <row r="31" spans="1:5" ht="15.75" x14ac:dyDescent="0.25">
      <c r="A31" s="153"/>
      <c r="B31" s="94" t="s">
        <v>314</v>
      </c>
      <c r="C31" s="95">
        <v>2</v>
      </c>
      <c r="D31" s="96">
        <v>375991.1</v>
      </c>
    </row>
    <row r="32" spans="1:5" ht="23.25" x14ac:dyDescent="0.25">
      <c r="A32" s="154"/>
      <c r="B32" s="80"/>
      <c r="C32" s="92">
        <v>10</v>
      </c>
      <c r="D32" s="93">
        <v>1577241.4</v>
      </c>
    </row>
    <row r="33" spans="1:7" ht="15.75" x14ac:dyDescent="0.25">
      <c r="A33" s="97" t="s">
        <v>1361</v>
      </c>
      <c r="B33" s="94" t="s">
        <v>1329</v>
      </c>
      <c r="C33" s="98">
        <v>23</v>
      </c>
      <c r="D33" s="96">
        <v>310372.40000000002</v>
      </c>
    </row>
    <row r="34" spans="1:7" ht="31.5" x14ac:dyDescent="0.25">
      <c r="A34" s="99" t="s">
        <v>738</v>
      </c>
      <c r="B34" s="80"/>
      <c r="C34" s="92">
        <v>74</v>
      </c>
      <c r="D34" s="93">
        <v>4453019.66</v>
      </c>
    </row>
    <row r="39" spans="1:7" ht="23.25" x14ac:dyDescent="0.25">
      <c r="A39" s="63"/>
      <c r="B39" s="100" t="s">
        <v>312</v>
      </c>
      <c r="C39" s="100" t="s">
        <v>1378</v>
      </c>
      <c r="D39" s="100" t="s">
        <v>313</v>
      </c>
      <c r="E39" s="100" t="s">
        <v>1329</v>
      </c>
      <c r="F39" s="100" t="s">
        <v>314</v>
      </c>
      <c r="G39" s="100" t="s">
        <v>1379</v>
      </c>
    </row>
    <row r="40" spans="1:7" x14ac:dyDescent="0.25">
      <c r="A40" s="101" t="s">
        <v>1302</v>
      </c>
      <c r="B40" s="102">
        <v>839786.21</v>
      </c>
      <c r="C40" s="103">
        <v>15000</v>
      </c>
      <c r="D40" s="101" t="s">
        <v>1380</v>
      </c>
      <c r="E40" s="103">
        <v>1320983.3400000001</v>
      </c>
      <c r="F40" s="101" t="s">
        <v>1380</v>
      </c>
      <c r="G40" s="103">
        <v>1229422.1200000001</v>
      </c>
    </row>
    <row r="41" spans="1:7" x14ac:dyDescent="0.25">
      <c r="A41" s="101" t="s">
        <v>1304</v>
      </c>
      <c r="B41" s="102">
        <v>765493.85</v>
      </c>
      <c r="C41" s="103">
        <v>509585.6</v>
      </c>
      <c r="D41" s="103">
        <v>691664.7</v>
      </c>
      <c r="E41" s="101" t="s">
        <v>1380</v>
      </c>
      <c r="F41" s="103">
        <v>375991.1</v>
      </c>
      <c r="G41" s="101" t="s">
        <v>1380</v>
      </c>
    </row>
    <row r="42" spans="1:7" x14ac:dyDescent="0.25">
      <c r="A42" s="104" t="s">
        <v>1361</v>
      </c>
      <c r="B42" s="105" t="s">
        <v>1380</v>
      </c>
      <c r="C42" s="101" t="s">
        <v>1380</v>
      </c>
      <c r="D42" s="101" t="s">
        <v>1380</v>
      </c>
      <c r="E42" s="103">
        <v>310372.40000000002</v>
      </c>
      <c r="F42" s="101" t="s">
        <v>1380</v>
      </c>
      <c r="G42" s="101" t="s">
        <v>1380</v>
      </c>
    </row>
    <row r="43" spans="1:7" ht="30" x14ac:dyDescent="0.25">
      <c r="A43" s="106" t="s">
        <v>1381</v>
      </c>
      <c r="B43" s="107">
        <v>1605280.06</v>
      </c>
      <c r="C43" s="107">
        <v>2129865.66</v>
      </c>
      <c r="D43" s="107">
        <v>2821530.36</v>
      </c>
      <c r="E43" s="107">
        <v>4452886.0999999996</v>
      </c>
      <c r="F43" s="107">
        <v>4828877.2</v>
      </c>
      <c r="G43" s="107">
        <v>6058299.3200000003</v>
      </c>
    </row>
  </sheetData>
  <mergeCells count="4">
    <mergeCell ref="A10:A13"/>
    <mergeCell ref="A14:A17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abSelected="1" zoomScaleNormal="100" workbookViewId="0">
      <selection activeCell="C5" sqref="C5"/>
    </sheetView>
    <sheetView topLeftCell="H1" workbookViewId="1">
      <selection activeCell="M2" sqref="M2:M20"/>
    </sheetView>
  </sheetViews>
  <sheetFormatPr defaultRowHeight="15" x14ac:dyDescent="0.25"/>
  <cols>
    <col min="1" max="1" width="12.85546875" bestFit="1" customWidth="1"/>
    <col min="2" max="2" width="19.85546875" style="145" bestFit="1" customWidth="1"/>
    <col min="3" max="3" width="19.7109375" style="145" bestFit="1" customWidth="1"/>
    <col min="4" max="4" width="9.42578125" style="145" bestFit="1" customWidth="1"/>
    <col min="5" max="5" width="13.28515625" style="145" bestFit="1" customWidth="1"/>
    <col min="6" max="6" width="21.5703125" style="145" bestFit="1" customWidth="1"/>
    <col min="7" max="7" width="21.5703125" style="145" customWidth="1"/>
    <col min="8" max="8" width="19.5703125" style="145" customWidth="1"/>
    <col min="9" max="9" width="21.28515625" style="146" bestFit="1" customWidth="1"/>
    <col min="10" max="10" width="21.28515625" style="145" customWidth="1"/>
    <col min="11" max="11" width="21.28515625" style="144" customWidth="1"/>
    <col min="12" max="12" width="22" style="145" bestFit="1" customWidth="1"/>
    <col min="13" max="13" width="12" bestFit="1" customWidth="1"/>
    <col min="14" max="14" width="18" customWidth="1"/>
    <col min="15" max="15" width="17.85546875" style="164" customWidth="1"/>
    <col min="16" max="16" width="17.42578125" customWidth="1"/>
    <col min="17" max="17" width="21.5703125" customWidth="1"/>
    <col min="18" max="19" width="25.28515625" customWidth="1"/>
    <col min="20" max="20" width="24.28515625" customWidth="1"/>
    <col min="21" max="21" width="19.140625" customWidth="1"/>
    <col min="22" max="22" width="19.140625" bestFit="1" customWidth="1"/>
    <col min="23" max="23" width="11.85546875" customWidth="1"/>
    <col min="24" max="24" width="16.28515625" customWidth="1"/>
    <col min="25" max="25" width="29.7109375" customWidth="1"/>
    <col min="26" max="26" width="14.42578125" customWidth="1"/>
    <col min="27" max="27" width="25" customWidth="1"/>
    <col min="28" max="28" width="21.5703125" customWidth="1"/>
    <col min="29" max="29" width="55.28515625" customWidth="1"/>
    <col min="30" max="30" width="29.140625" customWidth="1"/>
    <col min="31" max="31" width="25.140625" customWidth="1"/>
    <col min="32" max="32" width="11" customWidth="1"/>
    <col min="35" max="35" width="19.42578125" bestFit="1" customWidth="1"/>
  </cols>
  <sheetData>
    <row r="1" spans="1:33" s="3" customFormat="1" x14ac:dyDescent="0.25">
      <c r="A1" s="3" t="s">
        <v>0</v>
      </c>
      <c r="B1" s="143" t="s">
        <v>1412</v>
      </c>
      <c r="C1" s="143" t="s">
        <v>1520</v>
      </c>
      <c r="D1" s="143" t="s">
        <v>316</v>
      </c>
      <c r="E1" s="143" t="s">
        <v>1533</v>
      </c>
      <c r="F1" s="143" t="s">
        <v>8</v>
      </c>
      <c r="G1" s="143" t="s">
        <v>1</v>
      </c>
      <c r="H1" s="143" t="s">
        <v>298</v>
      </c>
      <c r="I1" s="143" t="s">
        <v>297</v>
      </c>
      <c r="J1" s="144" t="s">
        <v>307</v>
      </c>
      <c r="K1" s="143" t="s">
        <v>308</v>
      </c>
      <c r="L1" s="144" t="s">
        <v>309</v>
      </c>
      <c r="M1" s="3" t="s">
        <v>299</v>
      </c>
      <c r="N1" s="3" t="s">
        <v>310</v>
      </c>
      <c r="O1" s="165" t="s">
        <v>300</v>
      </c>
      <c r="P1" s="3" t="s">
        <v>301</v>
      </c>
      <c r="Q1" s="3" t="s">
        <v>302</v>
      </c>
      <c r="R1" s="3" t="s">
        <v>303</v>
      </c>
      <c r="S1" s="3" t="s">
        <v>305</v>
      </c>
      <c r="T1" s="3" t="s">
        <v>311</v>
      </c>
      <c r="U1" s="3" t="s">
        <v>304</v>
      </c>
      <c r="V1" s="3" t="s">
        <v>306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296</v>
      </c>
      <c r="AD1" s="3" t="s">
        <v>9</v>
      </c>
      <c r="AE1" s="3" t="s">
        <v>10</v>
      </c>
      <c r="AF1" s="3" t="s">
        <v>11</v>
      </c>
      <c r="AG1" s="3" t="s">
        <v>12</v>
      </c>
    </row>
    <row r="2" spans="1:33" x14ac:dyDescent="0.25">
      <c r="A2">
        <v>7926089013</v>
      </c>
      <c r="B2" s="145" t="s">
        <v>1522</v>
      </c>
      <c r="C2" s="145" t="s">
        <v>1531</v>
      </c>
      <c r="D2" s="145" t="str">
        <f>LEFT(Table1[[#This Row],[Ativo]],2)</f>
        <v>79</v>
      </c>
      <c r="F2" s="145" t="s">
        <v>97</v>
      </c>
      <c r="G2" s="145" t="s">
        <v>89</v>
      </c>
      <c r="H2" s="145" t="s">
        <v>1329</v>
      </c>
      <c r="I2" s="145" t="s">
        <v>1475</v>
      </c>
      <c r="J2" s="146">
        <v>13209.34</v>
      </c>
      <c r="K2" s="147">
        <v>38094.720000000001</v>
      </c>
      <c r="L2" s="144">
        <v>51304.06</v>
      </c>
      <c r="M2" t="s">
        <v>1626</v>
      </c>
      <c r="O2"/>
      <c r="W2" s="1">
        <v>34</v>
      </c>
      <c r="X2" s="1">
        <v>26</v>
      </c>
      <c r="Y2" s="1">
        <v>143</v>
      </c>
      <c r="Z2" t="s">
        <v>95</v>
      </c>
      <c r="AA2" t="s">
        <v>16</v>
      </c>
      <c r="AB2" t="s">
        <v>96</v>
      </c>
      <c r="AD2" t="s">
        <v>98</v>
      </c>
      <c r="AE2" t="s">
        <v>99</v>
      </c>
      <c r="AF2" t="s">
        <v>99</v>
      </c>
      <c r="AG2" t="s">
        <v>29</v>
      </c>
    </row>
    <row r="3" spans="1:33" x14ac:dyDescent="0.25">
      <c r="A3">
        <v>7923673004</v>
      </c>
      <c r="B3" s="145" t="s">
        <v>1521</v>
      </c>
      <c r="C3" s="145" t="s">
        <v>1532</v>
      </c>
      <c r="D3" s="145" t="str">
        <f>LEFT(Table1[[#This Row],[Ativo]],2)</f>
        <v>79</v>
      </c>
      <c r="F3" s="145" t="s">
        <v>18</v>
      </c>
      <c r="G3" s="145" t="s">
        <v>14</v>
      </c>
      <c r="H3" s="145" t="s">
        <v>1329</v>
      </c>
      <c r="I3" s="145" t="s">
        <v>1468</v>
      </c>
      <c r="J3" s="146">
        <v>11016.94</v>
      </c>
      <c r="K3" s="146">
        <v>55602.54</v>
      </c>
      <c r="L3" s="144">
        <v>66619.48</v>
      </c>
      <c r="M3" t="s">
        <v>1540</v>
      </c>
      <c r="O3"/>
      <c r="W3" s="1">
        <v>5</v>
      </c>
      <c r="X3" s="1">
        <v>12</v>
      </c>
      <c r="Y3" s="1">
        <v>144</v>
      </c>
      <c r="Z3" t="s">
        <v>15</v>
      </c>
      <c r="AA3" t="s">
        <v>16</v>
      </c>
      <c r="AB3" t="s">
        <v>17</v>
      </c>
      <c r="AD3" t="s">
        <v>19</v>
      </c>
      <c r="AE3" t="s">
        <v>20</v>
      </c>
      <c r="AF3" t="s">
        <v>20</v>
      </c>
      <c r="AG3" t="s">
        <v>21</v>
      </c>
    </row>
    <row r="4" spans="1:33" x14ac:dyDescent="0.25">
      <c r="A4">
        <v>7903569004</v>
      </c>
      <c r="B4" s="145" t="s">
        <v>1522</v>
      </c>
      <c r="C4" s="145" t="s">
        <v>1532</v>
      </c>
      <c r="D4" s="145" t="str">
        <f>LEFT(Table1[[#This Row],[Ativo]],2)</f>
        <v>79</v>
      </c>
      <c r="F4" s="145" t="s">
        <v>47</v>
      </c>
      <c r="G4" s="145" t="s">
        <v>14</v>
      </c>
      <c r="H4" s="145" t="s">
        <v>1329</v>
      </c>
      <c r="I4" s="145" t="s">
        <v>1468</v>
      </c>
      <c r="J4" s="146">
        <v>11016.94</v>
      </c>
      <c r="K4" s="147">
        <v>55602.54</v>
      </c>
      <c r="L4" s="144">
        <v>66619.48</v>
      </c>
      <c r="M4" t="s">
        <v>1540</v>
      </c>
      <c r="O4"/>
      <c r="W4" s="1">
        <v>11</v>
      </c>
      <c r="X4" s="1">
        <v>12</v>
      </c>
      <c r="Y4" s="1">
        <v>28</v>
      </c>
      <c r="Z4" t="s">
        <v>45</v>
      </c>
      <c r="AA4" t="s">
        <v>16</v>
      </c>
      <c r="AB4" t="s">
        <v>46</v>
      </c>
      <c r="AD4" t="s">
        <v>48</v>
      </c>
      <c r="AE4" t="s">
        <v>20</v>
      </c>
      <c r="AF4" t="s">
        <v>20</v>
      </c>
      <c r="AG4" t="s">
        <v>21</v>
      </c>
    </row>
    <row r="5" spans="1:33" x14ac:dyDescent="0.25">
      <c r="A5">
        <v>5856070091</v>
      </c>
      <c r="B5" s="145" t="s">
        <v>1524</v>
      </c>
      <c r="C5" s="145" t="s">
        <v>1531</v>
      </c>
      <c r="D5" s="145" t="str">
        <f>LEFT(Table1[[#This Row],[Ativo]],2)</f>
        <v>58</v>
      </c>
      <c r="E5" s="145" t="s">
        <v>1534</v>
      </c>
      <c r="F5" s="145" t="s">
        <v>39</v>
      </c>
      <c r="G5" s="145" t="s">
        <v>14</v>
      </c>
      <c r="H5" s="145" t="s">
        <v>1328</v>
      </c>
      <c r="I5" s="145" t="s">
        <v>1471</v>
      </c>
      <c r="J5" s="146">
        <v>200637</v>
      </c>
      <c r="K5" s="147">
        <v>293949.59999999998</v>
      </c>
      <c r="L5" s="144">
        <v>494586.6</v>
      </c>
      <c r="M5" s="145" t="s">
        <v>1621</v>
      </c>
      <c r="W5" s="1">
        <v>10</v>
      </c>
      <c r="X5" s="1">
        <v>12</v>
      </c>
      <c r="Y5" s="1">
        <v>395</v>
      </c>
      <c r="Z5" t="s">
        <v>36</v>
      </c>
      <c r="AA5" t="s">
        <v>37</v>
      </c>
      <c r="AB5" t="s">
        <v>38</v>
      </c>
      <c r="AD5" t="s">
        <v>40</v>
      </c>
      <c r="AE5" t="s">
        <v>41</v>
      </c>
      <c r="AF5" t="s">
        <v>42</v>
      </c>
      <c r="AG5" t="s">
        <v>43</v>
      </c>
    </row>
    <row r="6" spans="1:33" x14ac:dyDescent="0.25">
      <c r="A6">
        <v>7908705049</v>
      </c>
      <c r="B6" s="145" t="s">
        <v>1525</v>
      </c>
      <c r="C6" s="145" t="s">
        <v>1532</v>
      </c>
      <c r="D6" s="145" t="str">
        <f>LEFT(Table1[[#This Row],[Ativo]],2)</f>
        <v>79</v>
      </c>
      <c r="F6" s="145" t="s">
        <v>59</v>
      </c>
      <c r="G6" s="145" t="s">
        <v>14</v>
      </c>
      <c r="H6" s="145" t="s">
        <v>1329</v>
      </c>
      <c r="I6" s="145" t="s">
        <v>1468</v>
      </c>
      <c r="J6" s="146">
        <v>11016.94</v>
      </c>
      <c r="K6" s="147">
        <v>55602.54</v>
      </c>
      <c r="L6" s="144">
        <v>66619.48</v>
      </c>
      <c r="M6" t="s">
        <v>1540</v>
      </c>
      <c r="O6"/>
      <c r="W6" s="1">
        <v>15</v>
      </c>
      <c r="X6" s="1">
        <v>12</v>
      </c>
      <c r="Y6" s="1">
        <v>397</v>
      </c>
      <c r="Z6" t="s">
        <v>57</v>
      </c>
      <c r="AA6" t="s">
        <v>37</v>
      </c>
      <c r="AB6" t="s">
        <v>58</v>
      </c>
      <c r="AD6" t="s">
        <v>60</v>
      </c>
      <c r="AE6" t="s">
        <v>61</v>
      </c>
      <c r="AF6" t="s">
        <v>42</v>
      </c>
      <c r="AG6" t="s">
        <v>43</v>
      </c>
    </row>
    <row r="7" spans="1:33" x14ac:dyDescent="0.25">
      <c r="A7">
        <v>7947203070</v>
      </c>
      <c r="B7" s="145" t="s">
        <v>1523</v>
      </c>
      <c r="C7" s="145" t="s">
        <v>1531</v>
      </c>
      <c r="D7" s="145" t="str">
        <f>LEFT(Table1[[#This Row],[Ativo]],2)</f>
        <v>79</v>
      </c>
      <c r="F7" s="145" t="s">
        <v>32</v>
      </c>
      <c r="G7" s="145" t="s">
        <v>14</v>
      </c>
      <c r="H7" s="145" t="s">
        <v>1329</v>
      </c>
      <c r="I7" s="145" t="s">
        <v>1470</v>
      </c>
      <c r="J7" s="146">
        <v>13209.34</v>
      </c>
      <c r="K7" s="147">
        <v>76246.2</v>
      </c>
      <c r="L7" s="144">
        <v>89455.54</v>
      </c>
      <c r="M7" t="s">
        <v>1625</v>
      </c>
      <c r="O7"/>
      <c r="W7" s="1">
        <v>9</v>
      </c>
      <c r="X7" s="1">
        <v>12</v>
      </c>
      <c r="Y7" s="1">
        <v>267</v>
      </c>
      <c r="Z7" t="s">
        <v>15</v>
      </c>
      <c r="AA7" t="s">
        <v>16</v>
      </c>
      <c r="AB7" t="s">
        <v>31</v>
      </c>
      <c r="AD7" t="s">
        <v>1627</v>
      </c>
      <c r="AE7" t="s">
        <v>34</v>
      </c>
      <c r="AF7" t="s">
        <v>27</v>
      </c>
      <c r="AG7" t="s">
        <v>29</v>
      </c>
    </row>
    <row r="8" spans="1:33" x14ac:dyDescent="0.25">
      <c r="A8">
        <v>7927413001</v>
      </c>
      <c r="B8" s="145" t="s">
        <v>1522</v>
      </c>
      <c r="C8" s="145" t="s">
        <v>1531</v>
      </c>
      <c r="D8" s="145" t="str">
        <f>LEFT(Table1[[#This Row],[Ativo]],2)</f>
        <v>79</v>
      </c>
      <c r="F8" s="145" t="s">
        <v>65</v>
      </c>
      <c r="G8" s="145" t="s">
        <v>14</v>
      </c>
      <c r="H8" s="145" t="s">
        <v>1329</v>
      </c>
      <c r="I8" s="145" t="s">
        <v>1470</v>
      </c>
      <c r="J8" s="146">
        <v>13209.34</v>
      </c>
      <c r="K8" s="147">
        <v>76246.2</v>
      </c>
      <c r="L8" s="144">
        <v>89455.54</v>
      </c>
      <c r="M8" t="s">
        <v>1625</v>
      </c>
      <c r="O8"/>
      <c r="W8" s="1">
        <v>21</v>
      </c>
      <c r="X8" s="1">
        <v>12</v>
      </c>
      <c r="Y8" s="1">
        <v>140</v>
      </c>
      <c r="Z8" t="s">
        <v>63</v>
      </c>
      <c r="AA8" t="s">
        <v>16</v>
      </c>
      <c r="AB8" t="s">
        <v>64</v>
      </c>
      <c r="AD8" t="s">
        <v>66</v>
      </c>
      <c r="AE8" t="s">
        <v>67</v>
      </c>
      <c r="AF8" t="s">
        <v>67</v>
      </c>
      <c r="AG8" t="s">
        <v>29</v>
      </c>
    </row>
    <row r="9" spans="1:33" x14ac:dyDescent="0.25">
      <c r="A9">
        <v>7900453110</v>
      </c>
      <c r="B9" s="145" t="s">
        <v>1525</v>
      </c>
      <c r="C9" s="145" t="s">
        <v>1531</v>
      </c>
      <c r="D9" s="145" t="str">
        <f>LEFT(Table1[[#This Row],[Ativo]],2)</f>
        <v>79</v>
      </c>
      <c r="F9" s="145" t="s">
        <v>78</v>
      </c>
      <c r="G9" s="145" t="s">
        <v>14</v>
      </c>
      <c r="H9" s="145" t="s">
        <v>1329</v>
      </c>
      <c r="I9" s="145" t="s">
        <v>1470</v>
      </c>
      <c r="J9" s="146">
        <v>13209.34</v>
      </c>
      <c r="K9" s="147">
        <v>76246.2</v>
      </c>
      <c r="L9" s="144">
        <v>89455.54</v>
      </c>
      <c r="M9" t="s">
        <v>1625</v>
      </c>
      <c r="O9"/>
      <c r="W9" s="1">
        <v>25</v>
      </c>
      <c r="X9" s="1">
        <v>12</v>
      </c>
      <c r="Y9" s="1">
        <v>482</v>
      </c>
      <c r="Z9" t="s">
        <v>76</v>
      </c>
      <c r="AA9" t="s">
        <v>16</v>
      </c>
      <c r="AB9" t="s">
        <v>77</v>
      </c>
      <c r="AD9" t="s">
        <v>79</v>
      </c>
      <c r="AE9" t="s">
        <v>80</v>
      </c>
      <c r="AF9" t="s">
        <v>67</v>
      </c>
      <c r="AG9" t="s">
        <v>29</v>
      </c>
    </row>
    <row r="10" spans="1:33" x14ac:dyDescent="0.25">
      <c r="A10">
        <v>5800440256</v>
      </c>
      <c r="B10" s="145" t="s">
        <v>1526</v>
      </c>
      <c r="C10" s="145" t="s">
        <v>1531</v>
      </c>
      <c r="D10" s="145" t="str">
        <f>LEFT(Table1[[#This Row],[Ativo]],2)</f>
        <v>58</v>
      </c>
      <c r="E10" s="145" t="s">
        <v>1535</v>
      </c>
      <c r="F10" s="145" t="s">
        <v>71</v>
      </c>
      <c r="G10" s="145" t="s">
        <v>14</v>
      </c>
      <c r="H10" s="145" t="s">
        <v>312</v>
      </c>
      <c r="I10" s="145" t="s">
        <v>1473</v>
      </c>
      <c r="J10" s="146">
        <v>80318.5</v>
      </c>
      <c r="K10" s="147">
        <v>51705.75</v>
      </c>
      <c r="L10" s="144">
        <v>132024.25</v>
      </c>
      <c r="M10" t="s">
        <v>1607</v>
      </c>
      <c r="N10" t="s">
        <v>1608</v>
      </c>
      <c r="O10" s="164" t="s">
        <v>1609</v>
      </c>
      <c r="P10">
        <v>521995</v>
      </c>
      <c r="Q10" t="s">
        <v>1608</v>
      </c>
      <c r="R10" t="s">
        <v>1608</v>
      </c>
      <c r="S10" t="s">
        <v>1610</v>
      </c>
      <c r="W10" s="1">
        <v>23</v>
      </c>
      <c r="X10" s="1">
        <v>12</v>
      </c>
      <c r="Y10" s="1">
        <v>21</v>
      </c>
      <c r="Z10" t="s">
        <v>69</v>
      </c>
      <c r="AA10" t="s">
        <v>16</v>
      </c>
      <c r="AB10" t="s">
        <v>70</v>
      </c>
      <c r="AD10" t="s">
        <v>72</v>
      </c>
      <c r="AE10" t="s">
        <v>73</v>
      </c>
      <c r="AF10" t="s">
        <v>74</v>
      </c>
      <c r="AG10" t="s">
        <v>29</v>
      </c>
    </row>
    <row r="11" spans="1:33" x14ac:dyDescent="0.25">
      <c r="A11">
        <v>7903112004</v>
      </c>
      <c r="B11" s="145" t="s">
        <v>1525</v>
      </c>
      <c r="C11" s="145" t="s">
        <v>1531</v>
      </c>
      <c r="D11" s="145" t="str">
        <f>LEFT(Table1[[#This Row],[Ativo]],2)</f>
        <v>79</v>
      </c>
      <c r="F11" s="145" t="s">
        <v>116</v>
      </c>
      <c r="G11" s="145" t="s">
        <v>89</v>
      </c>
      <c r="H11" s="145" t="s">
        <v>1329</v>
      </c>
      <c r="I11" s="145" t="s">
        <v>1470</v>
      </c>
      <c r="J11" s="146">
        <v>13209.34</v>
      </c>
      <c r="K11" s="147">
        <v>76246.2</v>
      </c>
      <c r="L11" s="144">
        <v>89455.54</v>
      </c>
      <c r="M11" t="s">
        <v>1625</v>
      </c>
      <c r="O11"/>
      <c r="W11" s="1">
        <v>48</v>
      </c>
      <c r="X11" s="1">
        <v>26</v>
      </c>
      <c r="Y11" s="1">
        <v>348</v>
      </c>
      <c r="Z11" t="s">
        <v>114</v>
      </c>
      <c r="AA11" t="s">
        <v>16</v>
      </c>
      <c r="AB11" t="s">
        <v>115</v>
      </c>
      <c r="AD11" t="s">
        <v>117</v>
      </c>
      <c r="AE11" t="s">
        <v>20</v>
      </c>
      <c r="AF11" t="s">
        <v>20</v>
      </c>
      <c r="AG11" t="s">
        <v>21</v>
      </c>
    </row>
    <row r="12" spans="1:33" x14ac:dyDescent="0.25">
      <c r="A12">
        <v>7920024127</v>
      </c>
      <c r="B12" s="145" t="s">
        <v>1528</v>
      </c>
      <c r="C12" s="145" t="s">
        <v>1531</v>
      </c>
      <c r="D12" s="145" t="str">
        <f>LEFT(Table1[[#This Row],[Ativo]],2)</f>
        <v>79</v>
      </c>
      <c r="F12" s="145" t="s">
        <v>121</v>
      </c>
      <c r="G12" s="145" t="s">
        <v>89</v>
      </c>
      <c r="H12" s="145" t="s">
        <v>1329</v>
      </c>
      <c r="I12" s="145" t="s">
        <v>1470</v>
      </c>
      <c r="J12" s="146">
        <v>13209.34</v>
      </c>
      <c r="K12" s="147">
        <v>76246.2</v>
      </c>
      <c r="L12" s="144">
        <v>89455.54</v>
      </c>
      <c r="M12" t="s">
        <v>1625</v>
      </c>
      <c r="O12"/>
      <c r="W12" s="1">
        <v>49</v>
      </c>
      <c r="X12" s="1">
        <v>26</v>
      </c>
      <c r="Y12" s="1">
        <v>441</v>
      </c>
      <c r="Z12" t="s">
        <v>119</v>
      </c>
      <c r="AA12" t="s">
        <v>16</v>
      </c>
      <c r="AB12" t="s">
        <v>120</v>
      </c>
      <c r="AD12" t="s">
        <v>122</v>
      </c>
      <c r="AE12" t="s">
        <v>123</v>
      </c>
      <c r="AF12" t="s">
        <v>124</v>
      </c>
      <c r="AG12" t="s">
        <v>21</v>
      </c>
    </row>
    <row r="13" spans="1:33" x14ac:dyDescent="0.25">
      <c r="A13">
        <v>5803327001</v>
      </c>
      <c r="B13" s="145" t="s">
        <v>1527</v>
      </c>
      <c r="C13" s="145" t="s">
        <v>1532</v>
      </c>
      <c r="D13" s="145" t="str">
        <f>LEFT(Table1[[#This Row],[Ativo]],2)</f>
        <v>58</v>
      </c>
      <c r="E13" s="145" t="s">
        <v>1536</v>
      </c>
      <c r="F13" s="145" t="s">
        <v>92</v>
      </c>
      <c r="G13" s="145" t="s">
        <v>89</v>
      </c>
      <c r="H13" s="145" t="s">
        <v>313</v>
      </c>
      <c r="I13" s="145" t="s">
        <v>1474</v>
      </c>
      <c r="J13" s="146">
        <v>20000</v>
      </c>
      <c r="K13" s="147">
        <v>23259.599999999999</v>
      </c>
      <c r="L13" s="144">
        <v>43259.6</v>
      </c>
      <c r="M13" t="s">
        <v>1611</v>
      </c>
      <c r="N13" t="s">
        <v>1608</v>
      </c>
      <c r="O13" s="164" t="s">
        <v>1612</v>
      </c>
      <c r="P13" t="s">
        <v>1613</v>
      </c>
      <c r="Q13" t="s">
        <v>1614</v>
      </c>
      <c r="R13" t="s">
        <v>1610</v>
      </c>
      <c r="S13" t="s">
        <v>1610</v>
      </c>
      <c r="T13" t="s">
        <v>1610</v>
      </c>
      <c r="U13" t="s">
        <v>1610</v>
      </c>
      <c r="V13" t="s">
        <v>1610</v>
      </c>
      <c r="W13" s="1">
        <v>27</v>
      </c>
      <c r="X13" s="1">
        <v>26</v>
      </c>
      <c r="Y13" s="1">
        <v>347</v>
      </c>
      <c r="Z13" t="s">
        <v>90</v>
      </c>
      <c r="AA13" t="s">
        <v>16</v>
      </c>
      <c r="AB13" t="s">
        <v>91</v>
      </c>
      <c r="AD13" t="s">
        <v>93</v>
      </c>
      <c r="AE13" t="s">
        <v>67</v>
      </c>
      <c r="AF13" t="s">
        <v>67</v>
      </c>
      <c r="AG13" t="s">
        <v>29</v>
      </c>
    </row>
    <row r="14" spans="1:33" x14ac:dyDescent="0.25">
      <c r="A14">
        <v>7931608059</v>
      </c>
      <c r="B14" s="145" t="s">
        <v>1522</v>
      </c>
      <c r="C14" s="145" t="s">
        <v>1532</v>
      </c>
      <c r="D14" s="145" t="str">
        <f>LEFT(Table1[[#This Row],[Ativo]],2)</f>
        <v>79</v>
      </c>
      <c r="F14" s="145" t="s">
        <v>25</v>
      </c>
      <c r="G14" s="145" t="s">
        <v>14</v>
      </c>
      <c r="H14" s="145" t="s">
        <v>1329</v>
      </c>
      <c r="I14" s="145" t="s">
        <v>1469</v>
      </c>
      <c r="J14" s="146">
        <v>11016.94</v>
      </c>
      <c r="K14" s="147">
        <v>21785.72</v>
      </c>
      <c r="L14" s="144">
        <v>32802.660000000003</v>
      </c>
      <c r="M14" t="s">
        <v>1623</v>
      </c>
      <c r="O14"/>
      <c r="W14" s="1">
        <v>6</v>
      </c>
      <c r="X14" s="1">
        <v>12</v>
      </c>
      <c r="Y14" s="1">
        <v>201</v>
      </c>
      <c r="Z14" t="s">
        <v>23</v>
      </c>
      <c r="AA14" t="s">
        <v>16</v>
      </c>
      <c r="AB14" t="s">
        <v>24</v>
      </c>
      <c r="AD14" t="s">
        <v>26</v>
      </c>
      <c r="AE14" t="s">
        <v>27</v>
      </c>
      <c r="AF14" t="s">
        <v>28</v>
      </c>
      <c r="AG14" t="s">
        <v>29</v>
      </c>
    </row>
    <row r="15" spans="1:33" x14ac:dyDescent="0.25">
      <c r="A15">
        <v>5853360007</v>
      </c>
      <c r="B15" s="145" t="s">
        <v>1524</v>
      </c>
      <c r="C15" s="145" t="s">
        <v>1531</v>
      </c>
      <c r="D15" s="145" t="str">
        <f>LEFT(Table1[[#This Row],[Ativo]],2)</f>
        <v>58</v>
      </c>
      <c r="E15" s="145" t="s">
        <v>1534</v>
      </c>
      <c r="F15" s="145" t="s">
        <v>104</v>
      </c>
      <c r="G15" s="145" t="s">
        <v>89</v>
      </c>
      <c r="H15" s="145" t="s">
        <v>1328</v>
      </c>
      <c r="I15" s="145" t="s">
        <v>1476</v>
      </c>
      <c r="J15" s="146">
        <v>0</v>
      </c>
      <c r="K15" s="147">
        <v>15000</v>
      </c>
      <c r="L15" s="144">
        <v>15000</v>
      </c>
      <c r="M15" t="s">
        <v>1607</v>
      </c>
      <c r="N15" t="s">
        <v>1615</v>
      </c>
      <c r="O15" s="164" t="s">
        <v>1615</v>
      </c>
      <c r="W15" s="1">
        <v>38</v>
      </c>
      <c r="X15" s="1">
        <v>26</v>
      </c>
      <c r="Y15" s="1">
        <v>475</v>
      </c>
      <c r="Z15" t="s">
        <v>101</v>
      </c>
      <c r="AA15" t="s">
        <v>102</v>
      </c>
      <c r="AB15" t="s">
        <v>103</v>
      </c>
      <c r="AD15" t="s">
        <v>105</v>
      </c>
      <c r="AE15" t="s">
        <v>106</v>
      </c>
      <c r="AF15" t="s">
        <v>106</v>
      </c>
      <c r="AG15" t="s">
        <v>29</v>
      </c>
    </row>
    <row r="16" spans="1:33" x14ac:dyDescent="0.25">
      <c r="A16">
        <v>5840227063</v>
      </c>
      <c r="B16" s="145" t="s">
        <v>1524</v>
      </c>
      <c r="C16" s="145" t="s">
        <v>1531</v>
      </c>
      <c r="D16" s="145" t="str">
        <f>LEFT(Table1[[#This Row],[Ativo]],2)</f>
        <v>58</v>
      </c>
      <c r="E16" s="145" t="s">
        <v>1537</v>
      </c>
      <c r="F16" s="145" t="s">
        <v>110</v>
      </c>
      <c r="G16" s="145" t="s">
        <v>108</v>
      </c>
      <c r="H16" s="145" t="s">
        <v>313</v>
      </c>
      <c r="I16" s="145" t="s">
        <v>1477</v>
      </c>
      <c r="J16" s="146">
        <v>80318.5</v>
      </c>
      <c r="K16" s="147">
        <v>90230</v>
      </c>
      <c r="L16" s="144">
        <v>170548.5</v>
      </c>
      <c r="M16" t="s">
        <v>1622</v>
      </c>
      <c r="N16" t="s">
        <v>1608</v>
      </c>
      <c r="O16" s="164" t="s">
        <v>1616</v>
      </c>
      <c r="P16" t="s">
        <v>1613</v>
      </c>
      <c r="Q16" t="s">
        <v>1614</v>
      </c>
      <c r="R16" t="s">
        <v>1610</v>
      </c>
      <c r="S16" t="s">
        <v>1610</v>
      </c>
      <c r="T16" t="s">
        <v>1610</v>
      </c>
      <c r="U16" t="s">
        <v>1610</v>
      </c>
      <c r="V16" t="s">
        <v>1610</v>
      </c>
      <c r="W16" s="1">
        <v>45</v>
      </c>
      <c r="X16" s="1">
        <v>86</v>
      </c>
      <c r="Y16" s="1">
        <v>206</v>
      </c>
      <c r="Z16" t="s">
        <v>90</v>
      </c>
      <c r="AA16" t="s">
        <v>16</v>
      </c>
      <c r="AB16" t="s">
        <v>109</v>
      </c>
      <c r="AD16" t="s">
        <v>111</v>
      </c>
      <c r="AE16" t="s">
        <v>112</v>
      </c>
      <c r="AF16" t="s">
        <v>87</v>
      </c>
      <c r="AG16" t="s">
        <v>21</v>
      </c>
    </row>
    <row r="17" spans="1:33" x14ac:dyDescent="0.25">
      <c r="A17">
        <v>7925744087</v>
      </c>
      <c r="B17" s="145" t="s">
        <v>1522</v>
      </c>
      <c r="C17" s="145" t="s">
        <v>1531</v>
      </c>
      <c r="D17" s="145" t="str">
        <f>LEFT(Table1[[#This Row],[Ativo]],2)</f>
        <v>79</v>
      </c>
      <c r="F17" s="145" t="s">
        <v>52</v>
      </c>
      <c r="G17" s="145" t="s">
        <v>14</v>
      </c>
      <c r="H17" s="145" t="s">
        <v>1329</v>
      </c>
      <c r="I17" s="145" t="s">
        <v>1472</v>
      </c>
      <c r="J17" s="146">
        <v>13209.34</v>
      </c>
      <c r="K17" s="147">
        <v>38151.480000000003</v>
      </c>
      <c r="L17" s="144">
        <v>51360.820000000007</v>
      </c>
      <c r="M17" t="s">
        <v>1624</v>
      </c>
      <c r="O17"/>
      <c r="W17" s="1">
        <v>12</v>
      </c>
      <c r="X17" s="1">
        <v>12</v>
      </c>
      <c r="Y17" s="1">
        <v>189</v>
      </c>
      <c r="Z17" t="s">
        <v>50</v>
      </c>
      <c r="AA17" t="s">
        <v>16</v>
      </c>
      <c r="AB17" t="s">
        <v>51</v>
      </c>
      <c r="AD17" t="s">
        <v>53</v>
      </c>
      <c r="AE17" t="s">
        <v>54</v>
      </c>
      <c r="AF17" t="s">
        <v>55</v>
      </c>
      <c r="AG17" t="s">
        <v>21</v>
      </c>
    </row>
    <row r="18" spans="1:33" x14ac:dyDescent="0.25">
      <c r="A18">
        <v>7925871077</v>
      </c>
      <c r="B18" s="145" t="s">
        <v>1522</v>
      </c>
      <c r="C18" s="145" t="s">
        <v>1531</v>
      </c>
      <c r="D18" s="145" t="str">
        <f>LEFT(Table1[[#This Row],[Ativo]],2)</f>
        <v>79</v>
      </c>
      <c r="F18" s="145" t="s">
        <v>84</v>
      </c>
      <c r="G18" s="145" t="s">
        <v>14</v>
      </c>
      <c r="H18" s="145" t="s">
        <v>1329</v>
      </c>
      <c r="I18" s="145" t="s">
        <v>1472</v>
      </c>
      <c r="J18" s="146">
        <v>13209.34</v>
      </c>
      <c r="K18" s="147">
        <v>38151.480000000003</v>
      </c>
      <c r="L18" s="144">
        <v>51360.820000000007</v>
      </c>
      <c r="M18" t="s">
        <v>1624</v>
      </c>
      <c r="O18"/>
      <c r="W18" s="1">
        <v>26</v>
      </c>
      <c r="X18" s="1">
        <v>12</v>
      </c>
      <c r="Y18" s="1">
        <v>154</v>
      </c>
      <c r="Z18" t="s">
        <v>82</v>
      </c>
      <c r="AA18" t="s">
        <v>16</v>
      </c>
      <c r="AB18" t="s">
        <v>83</v>
      </c>
      <c r="AD18" t="s">
        <v>85</v>
      </c>
      <c r="AE18" t="s">
        <v>86</v>
      </c>
      <c r="AF18" t="s">
        <v>87</v>
      </c>
      <c r="AG18" t="s">
        <v>21</v>
      </c>
    </row>
    <row r="19" spans="1:33" x14ac:dyDescent="0.25">
      <c r="A19">
        <v>7927646026</v>
      </c>
      <c r="B19" s="145" t="s">
        <v>1522</v>
      </c>
      <c r="C19" s="145" t="s">
        <v>1531</v>
      </c>
      <c r="D19" s="145" t="str">
        <f>LEFT(Table1[[#This Row],[Ativo]],2)</f>
        <v>79</v>
      </c>
      <c r="F19" s="145" t="s">
        <v>128</v>
      </c>
      <c r="G19" s="145" t="s">
        <v>89</v>
      </c>
      <c r="H19" s="145" t="s">
        <v>1329</v>
      </c>
      <c r="I19" s="145" t="s">
        <v>1472</v>
      </c>
      <c r="J19" s="146">
        <v>13209.34</v>
      </c>
      <c r="K19" s="147">
        <v>38151.480000000003</v>
      </c>
      <c r="L19" s="144">
        <v>51360.820000000007</v>
      </c>
      <c r="M19" t="s">
        <v>1624</v>
      </c>
      <c r="O19"/>
      <c r="W19" s="1">
        <v>50</v>
      </c>
      <c r="X19" s="1">
        <v>26</v>
      </c>
      <c r="Y19" s="1">
        <v>220</v>
      </c>
      <c r="Z19" t="s">
        <v>126</v>
      </c>
      <c r="AA19" t="s">
        <v>16</v>
      </c>
      <c r="AB19" t="s">
        <v>127</v>
      </c>
      <c r="AD19" t="s">
        <v>72</v>
      </c>
      <c r="AE19" t="s">
        <v>74</v>
      </c>
      <c r="AF19" t="s">
        <v>74</v>
      </c>
      <c r="AG19" t="s">
        <v>29</v>
      </c>
    </row>
    <row r="20" spans="1:33" x14ac:dyDescent="0.25">
      <c r="A20">
        <v>7930428001</v>
      </c>
      <c r="B20" s="145" t="s">
        <v>1522</v>
      </c>
      <c r="C20" s="145" t="s">
        <v>1531</v>
      </c>
      <c r="D20" s="145" t="str">
        <f>LEFT(Table1[[#This Row],[Ativo]],2)</f>
        <v>79</v>
      </c>
      <c r="F20" s="145" t="s">
        <v>131</v>
      </c>
      <c r="G20" s="145" t="s">
        <v>89</v>
      </c>
      <c r="H20" s="145" t="s">
        <v>1329</v>
      </c>
      <c r="I20" s="145" t="s">
        <v>1472</v>
      </c>
      <c r="J20" s="146">
        <v>13209.34</v>
      </c>
      <c r="K20" s="147">
        <v>38151.480000000003</v>
      </c>
      <c r="L20" s="144">
        <v>51360.820000000007</v>
      </c>
      <c r="M20" t="s">
        <v>1624</v>
      </c>
      <c r="O20"/>
      <c r="W20" s="1">
        <v>54</v>
      </c>
      <c r="X20" s="1">
        <v>26</v>
      </c>
      <c r="Y20" s="1">
        <v>412</v>
      </c>
      <c r="Z20" t="s">
        <v>90</v>
      </c>
      <c r="AA20" t="s">
        <v>16</v>
      </c>
      <c r="AB20" t="s">
        <v>130</v>
      </c>
      <c r="AD20" t="s">
        <v>132</v>
      </c>
      <c r="AE20" t="s">
        <v>67</v>
      </c>
      <c r="AF20" t="s">
        <v>67</v>
      </c>
      <c r="AG20" t="s">
        <v>29</v>
      </c>
    </row>
    <row r="21" spans="1:33" x14ac:dyDescent="0.25">
      <c r="A21">
        <v>7944559149</v>
      </c>
      <c r="B21" s="145" t="s">
        <v>1522</v>
      </c>
      <c r="C21" s="145" t="s">
        <v>1531</v>
      </c>
      <c r="D21" s="145" t="str">
        <f>LEFT(Table1[[#This Row],[Ativo]],2)</f>
        <v>79</v>
      </c>
      <c r="F21" s="145" t="s">
        <v>153</v>
      </c>
      <c r="G21" s="145" t="s">
        <v>108</v>
      </c>
      <c r="H21" s="145" t="s">
        <v>1329</v>
      </c>
      <c r="I21" s="145" t="s">
        <v>1475</v>
      </c>
      <c r="J21" s="146">
        <v>13209.34</v>
      </c>
      <c r="K21" s="147">
        <v>38094.720000000001</v>
      </c>
      <c r="L21" s="144">
        <v>51304.06</v>
      </c>
      <c r="M21" s="145" t="s">
        <v>1607</v>
      </c>
      <c r="O21"/>
      <c r="W21" s="1">
        <v>63</v>
      </c>
      <c r="X21" s="1">
        <v>86</v>
      </c>
      <c r="Y21" s="1">
        <v>153</v>
      </c>
      <c r="Z21" t="s">
        <v>151</v>
      </c>
      <c r="AA21" t="s">
        <v>16</v>
      </c>
      <c r="AB21" t="s">
        <v>152</v>
      </c>
      <c r="AD21" t="s">
        <v>154</v>
      </c>
      <c r="AE21" t="s">
        <v>155</v>
      </c>
      <c r="AF21" t="s">
        <v>156</v>
      </c>
      <c r="AG21" t="s">
        <v>29</v>
      </c>
    </row>
    <row r="22" spans="1:33" x14ac:dyDescent="0.25">
      <c r="A22">
        <v>7955986084</v>
      </c>
      <c r="B22" s="145" t="s">
        <v>1522</v>
      </c>
      <c r="C22" s="145" t="s">
        <v>1531</v>
      </c>
      <c r="D22" s="145" t="str">
        <f>LEFT(Table1[[#This Row],[Ativo]],2)</f>
        <v>79</v>
      </c>
      <c r="F22" s="145" t="s">
        <v>184</v>
      </c>
      <c r="G22" s="145" t="s">
        <v>108</v>
      </c>
      <c r="H22" s="145" t="s">
        <v>315</v>
      </c>
      <c r="I22" s="148" t="s">
        <v>1475</v>
      </c>
      <c r="J22" s="146">
        <v>13209.34</v>
      </c>
      <c r="K22" s="147">
        <v>38094.720000000001</v>
      </c>
      <c r="L22" s="144">
        <v>51304.06</v>
      </c>
      <c r="M22" s="145" t="s">
        <v>1607</v>
      </c>
      <c r="O22"/>
      <c r="W22" s="1">
        <v>72</v>
      </c>
      <c r="X22" s="1">
        <v>86</v>
      </c>
      <c r="Y22" s="1">
        <v>40</v>
      </c>
      <c r="Z22" t="s">
        <v>15</v>
      </c>
      <c r="AA22" t="s">
        <v>16</v>
      </c>
      <c r="AB22" t="s">
        <v>183</v>
      </c>
      <c r="AD22" t="s">
        <v>185</v>
      </c>
      <c r="AE22" t="s">
        <v>156</v>
      </c>
      <c r="AF22" t="s">
        <v>156</v>
      </c>
      <c r="AG22" t="s">
        <v>29</v>
      </c>
    </row>
    <row r="23" spans="1:33" x14ac:dyDescent="0.25">
      <c r="A23">
        <v>7900535058</v>
      </c>
      <c r="B23" s="145" t="s">
        <v>1525</v>
      </c>
      <c r="C23" s="145" t="s">
        <v>1531</v>
      </c>
      <c r="D23" s="145" t="str">
        <f>LEFT(Table1[[#This Row],[Ativo]],2)</f>
        <v>79</v>
      </c>
      <c r="F23" s="145" t="s">
        <v>136</v>
      </c>
      <c r="G23" s="145" t="s">
        <v>108</v>
      </c>
      <c r="H23" s="145" t="s">
        <v>1329</v>
      </c>
      <c r="I23" s="145" t="s">
        <v>1470</v>
      </c>
      <c r="J23" s="146">
        <v>13209.34</v>
      </c>
      <c r="K23" s="147">
        <v>76246.2</v>
      </c>
      <c r="L23" s="144">
        <v>89455.54</v>
      </c>
      <c r="M23" s="145" t="s">
        <v>1607</v>
      </c>
      <c r="O23"/>
      <c r="W23" s="1">
        <v>60</v>
      </c>
      <c r="X23" s="1">
        <v>86</v>
      </c>
      <c r="Y23" s="1">
        <v>374</v>
      </c>
      <c r="Z23" t="s">
        <v>134</v>
      </c>
      <c r="AA23" t="s">
        <v>16</v>
      </c>
      <c r="AB23" t="s">
        <v>135</v>
      </c>
      <c r="AD23" t="s">
        <v>137</v>
      </c>
      <c r="AE23" t="s">
        <v>138</v>
      </c>
      <c r="AF23" t="s">
        <v>20</v>
      </c>
      <c r="AG23" t="s">
        <v>21</v>
      </c>
    </row>
    <row r="24" spans="1:33" x14ac:dyDescent="0.25">
      <c r="A24">
        <v>7908249152</v>
      </c>
      <c r="B24" s="145" t="s">
        <v>1525</v>
      </c>
      <c r="C24" s="145" t="s">
        <v>1531</v>
      </c>
      <c r="D24" s="145" t="str">
        <f>LEFT(Table1[[#This Row],[Ativo]],2)</f>
        <v>79</v>
      </c>
      <c r="F24" s="145" t="s">
        <v>164</v>
      </c>
      <c r="G24" s="145" t="s">
        <v>108</v>
      </c>
      <c r="H24" s="145" t="s">
        <v>1329</v>
      </c>
      <c r="I24" s="145" t="s">
        <v>1470</v>
      </c>
      <c r="J24" s="146">
        <v>13209.34</v>
      </c>
      <c r="K24" s="147">
        <v>76246.2</v>
      </c>
      <c r="L24" s="144">
        <v>89455.54</v>
      </c>
      <c r="M24" s="145" t="s">
        <v>1607</v>
      </c>
      <c r="O24"/>
      <c r="W24" s="1">
        <v>65</v>
      </c>
      <c r="X24" s="1">
        <v>86</v>
      </c>
      <c r="Y24" s="1">
        <v>207</v>
      </c>
      <c r="Z24" t="s">
        <v>23</v>
      </c>
      <c r="AA24" t="s">
        <v>16</v>
      </c>
      <c r="AB24" t="s">
        <v>163</v>
      </c>
      <c r="AD24" t="s">
        <v>165</v>
      </c>
      <c r="AE24" t="s">
        <v>166</v>
      </c>
      <c r="AF24" t="s">
        <v>67</v>
      </c>
      <c r="AG24" t="s">
        <v>29</v>
      </c>
    </row>
    <row r="25" spans="1:33" x14ac:dyDescent="0.25">
      <c r="A25">
        <v>5800961074</v>
      </c>
      <c r="B25" s="145" t="s">
        <v>1524</v>
      </c>
      <c r="C25" s="145" t="s">
        <v>1531</v>
      </c>
      <c r="D25" s="145" t="str">
        <f>LEFT(Table1[[#This Row],[Ativo]],2)</f>
        <v>58</v>
      </c>
      <c r="E25" s="145" t="s">
        <v>1535</v>
      </c>
      <c r="F25" s="145" t="s">
        <v>160</v>
      </c>
      <c r="G25" s="145" t="s">
        <v>108</v>
      </c>
      <c r="H25" s="145" t="s">
        <v>1617</v>
      </c>
      <c r="I25" s="145" t="s">
        <v>1473</v>
      </c>
      <c r="J25" s="146">
        <v>80318.5</v>
      </c>
      <c r="K25" s="147">
        <v>51705.75</v>
      </c>
      <c r="L25" s="144">
        <v>132024.25</v>
      </c>
      <c r="M25" s="145" t="s">
        <v>1607</v>
      </c>
      <c r="W25" s="1">
        <v>64</v>
      </c>
      <c r="X25" s="1">
        <v>86</v>
      </c>
      <c r="Y25" s="1">
        <v>255</v>
      </c>
      <c r="Z25" t="s">
        <v>158</v>
      </c>
      <c r="AA25" t="s">
        <v>16</v>
      </c>
      <c r="AB25" t="s">
        <v>159</v>
      </c>
      <c r="AD25" t="s">
        <v>161</v>
      </c>
      <c r="AE25" t="s">
        <v>42</v>
      </c>
      <c r="AF25" t="s">
        <v>42</v>
      </c>
      <c r="AG25" t="s">
        <v>43</v>
      </c>
    </row>
    <row r="26" spans="1:33" x14ac:dyDescent="0.25">
      <c r="A26">
        <v>7900525015</v>
      </c>
      <c r="B26" s="145" t="s">
        <v>1525</v>
      </c>
      <c r="C26" s="145" t="s">
        <v>1531</v>
      </c>
      <c r="D26" s="145" t="str">
        <f>LEFT(Table1[[#This Row],[Ativo]],2)</f>
        <v>79</v>
      </c>
      <c r="F26" s="145" t="s">
        <v>188</v>
      </c>
      <c r="G26" s="145" t="s">
        <v>108</v>
      </c>
      <c r="H26" s="145" t="s">
        <v>315</v>
      </c>
      <c r="I26" s="148" t="s">
        <v>1470</v>
      </c>
      <c r="J26" s="146">
        <v>13209.34</v>
      </c>
      <c r="K26" s="147">
        <v>76246.2</v>
      </c>
      <c r="L26" s="144">
        <v>89455.54</v>
      </c>
      <c r="M26" s="145" t="s">
        <v>1607</v>
      </c>
      <c r="O26"/>
      <c r="W26" s="1">
        <v>74</v>
      </c>
      <c r="X26" s="1">
        <v>86</v>
      </c>
      <c r="Y26" s="1">
        <v>126</v>
      </c>
      <c r="Z26" t="s">
        <v>15</v>
      </c>
      <c r="AA26" t="s">
        <v>16</v>
      </c>
      <c r="AB26" t="s">
        <v>187</v>
      </c>
      <c r="AD26" t="s">
        <v>1627</v>
      </c>
      <c r="AE26" t="s">
        <v>170</v>
      </c>
      <c r="AF26" t="s">
        <v>55</v>
      </c>
      <c r="AG26" t="s">
        <v>21</v>
      </c>
    </row>
    <row r="27" spans="1:33" x14ac:dyDescent="0.25">
      <c r="A27">
        <v>7928564039</v>
      </c>
      <c r="B27" s="145" t="s">
        <v>1522</v>
      </c>
      <c r="C27" s="145" t="s">
        <v>1531</v>
      </c>
      <c r="D27" s="145" t="str">
        <f>LEFT(Table1[[#This Row],[Ativo]],2)</f>
        <v>79</v>
      </c>
      <c r="F27" s="145" t="s">
        <v>191</v>
      </c>
      <c r="G27" s="145" t="s">
        <v>108</v>
      </c>
      <c r="H27" s="145" t="s">
        <v>315</v>
      </c>
      <c r="I27" s="148" t="s">
        <v>1470</v>
      </c>
      <c r="J27" s="146">
        <v>13209.34</v>
      </c>
      <c r="K27" s="147">
        <v>76246.2</v>
      </c>
      <c r="L27" s="144">
        <v>89455.54</v>
      </c>
      <c r="M27" s="145" t="s">
        <v>1625</v>
      </c>
      <c r="O27"/>
      <c r="W27" s="1">
        <v>75</v>
      </c>
      <c r="X27" s="1">
        <v>86</v>
      </c>
      <c r="Y27" s="1">
        <v>445</v>
      </c>
      <c r="Z27" t="s">
        <v>15</v>
      </c>
      <c r="AA27" t="s">
        <v>16</v>
      </c>
      <c r="AB27" t="s">
        <v>190</v>
      </c>
      <c r="AD27" t="s">
        <v>192</v>
      </c>
      <c r="AE27" t="s">
        <v>193</v>
      </c>
      <c r="AF27" t="s">
        <v>194</v>
      </c>
      <c r="AG27" t="s">
        <v>21</v>
      </c>
    </row>
    <row r="28" spans="1:33" x14ac:dyDescent="0.25">
      <c r="A28">
        <v>7927713200</v>
      </c>
      <c r="B28" s="145" t="s">
        <v>1522</v>
      </c>
      <c r="C28" s="145" t="s">
        <v>1531</v>
      </c>
      <c r="D28" s="145" t="str">
        <f>LEFT(Table1[[#This Row],[Ativo]],2)</f>
        <v>79</v>
      </c>
      <c r="F28" s="145" t="s">
        <v>141</v>
      </c>
      <c r="G28" s="145" t="s">
        <v>108</v>
      </c>
      <c r="H28" s="145" t="s">
        <v>1329</v>
      </c>
      <c r="I28" s="145" t="s">
        <v>1472</v>
      </c>
      <c r="J28" s="146">
        <v>13209.34</v>
      </c>
      <c r="K28" s="147">
        <v>38151.480000000003</v>
      </c>
      <c r="L28" s="144">
        <v>51360.820000000007</v>
      </c>
      <c r="M28" t="s">
        <v>1607</v>
      </c>
      <c r="O28"/>
      <c r="W28" s="1">
        <v>61</v>
      </c>
      <c r="X28" s="1">
        <v>86</v>
      </c>
      <c r="Y28" s="1">
        <v>21</v>
      </c>
      <c r="Z28" t="s">
        <v>36</v>
      </c>
      <c r="AA28" t="s">
        <v>16</v>
      </c>
      <c r="AB28" t="s">
        <v>140</v>
      </c>
      <c r="AD28" t="s">
        <v>142</v>
      </c>
      <c r="AE28" t="s">
        <v>143</v>
      </c>
      <c r="AF28" t="s">
        <v>144</v>
      </c>
      <c r="AG28" t="s">
        <v>43</v>
      </c>
    </row>
    <row r="29" spans="1:33" x14ac:dyDescent="0.25">
      <c r="A29">
        <v>7937102148</v>
      </c>
      <c r="B29" s="145" t="s">
        <v>1522</v>
      </c>
      <c r="C29" s="145" t="s">
        <v>1531</v>
      </c>
      <c r="D29" s="145" t="str">
        <f>LEFT(Table1[[#This Row],[Ativo]],2)</f>
        <v>79</v>
      </c>
      <c r="F29" s="145" t="s">
        <v>147</v>
      </c>
      <c r="G29" s="145" t="s">
        <v>108</v>
      </c>
      <c r="H29" s="145" t="s">
        <v>1329</v>
      </c>
      <c r="I29" s="145" t="s">
        <v>1472</v>
      </c>
      <c r="J29" s="146">
        <v>13209.34</v>
      </c>
      <c r="K29" s="147">
        <v>38151.480000000003</v>
      </c>
      <c r="L29" s="144">
        <v>51360.820000000007</v>
      </c>
      <c r="M29" t="s">
        <v>1607</v>
      </c>
      <c r="O29"/>
      <c r="W29" s="1">
        <v>62</v>
      </c>
      <c r="X29" s="1">
        <v>86</v>
      </c>
      <c r="Y29" s="1">
        <v>242</v>
      </c>
      <c r="Z29" t="s">
        <v>15</v>
      </c>
      <c r="AA29" t="s">
        <v>16</v>
      </c>
      <c r="AB29" t="s">
        <v>146</v>
      </c>
      <c r="AD29" t="s">
        <v>148</v>
      </c>
      <c r="AE29" t="s">
        <v>149</v>
      </c>
      <c r="AF29" t="s">
        <v>144</v>
      </c>
      <c r="AG29" t="s">
        <v>43</v>
      </c>
    </row>
    <row r="30" spans="1:33" x14ac:dyDescent="0.25">
      <c r="A30">
        <v>7925733015</v>
      </c>
      <c r="B30" s="145" t="s">
        <v>1522</v>
      </c>
      <c r="C30" s="145" t="s">
        <v>1531</v>
      </c>
      <c r="D30" s="145" t="str">
        <f>LEFT(Table1[[#This Row],[Ativo]],2)</f>
        <v>79</v>
      </c>
      <c r="F30" s="145" t="s">
        <v>169</v>
      </c>
      <c r="G30" s="145" t="s">
        <v>108</v>
      </c>
      <c r="H30" s="145" t="s">
        <v>1329</v>
      </c>
      <c r="I30" s="145" t="s">
        <v>1472</v>
      </c>
      <c r="J30" s="146">
        <v>13209.34</v>
      </c>
      <c r="K30" s="147">
        <v>38151.480000000003</v>
      </c>
      <c r="L30" s="144">
        <v>51360.820000000007</v>
      </c>
      <c r="M30" s="145" t="s">
        <v>1624</v>
      </c>
      <c r="O30"/>
      <c r="W30" s="1">
        <v>67</v>
      </c>
      <c r="X30" s="1">
        <v>86</v>
      </c>
      <c r="Y30" s="1">
        <v>157</v>
      </c>
      <c r="Z30" t="s">
        <v>50</v>
      </c>
      <c r="AA30" t="s">
        <v>16</v>
      </c>
      <c r="AB30" t="s">
        <v>168</v>
      </c>
      <c r="AD30" t="s">
        <v>1627</v>
      </c>
      <c r="AE30" t="s">
        <v>170</v>
      </c>
      <c r="AF30" t="s">
        <v>55</v>
      </c>
      <c r="AG30" t="s">
        <v>21</v>
      </c>
    </row>
    <row r="31" spans="1:33" x14ac:dyDescent="0.25">
      <c r="A31">
        <v>7927396052</v>
      </c>
      <c r="B31" s="145" t="s">
        <v>1522</v>
      </c>
      <c r="C31" s="145" t="s">
        <v>1531</v>
      </c>
      <c r="D31" s="145" t="str">
        <f>LEFT(Table1[[#This Row],[Ativo]],2)</f>
        <v>79</v>
      </c>
      <c r="F31" s="145" t="s">
        <v>174</v>
      </c>
      <c r="G31" s="145" t="s">
        <v>108</v>
      </c>
      <c r="H31" s="145" t="s">
        <v>315</v>
      </c>
      <c r="I31" s="148" t="s">
        <v>1472</v>
      </c>
      <c r="J31" s="146">
        <v>13209.34</v>
      </c>
      <c r="K31" s="147">
        <v>38151.480000000003</v>
      </c>
      <c r="L31" s="144">
        <v>51360.820000000007</v>
      </c>
      <c r="M31" s="145" t="s">
        <v>1624</v>
      </c>
      <c r="O31"/>
      <c r="W31" s="1">
        <v>68</v>
      </c>
      <c r="X31" s="1">
        <v>86</v>
      </c>
      <c r="Y31" s="1">
        <v>181</v>
      </c>
      <c r="Z31" t="s">
        <v>172</v>
      </c>
      <c r="AA31" t="s">
        <v>16</v>
      </c>
      <c r="AB31" t="s">
        <v>173</v>
      </c>
      <c r="AD31" t="s">
        <v>175</v>
      </c>
      <c r="AE31" t="s">
        <v>176</v>
      </c>
      <c r="AF31" t="s">
        <v>177</v>
      </c>
      <c r="AG31" t="s">
        <v>43</v>
      </c>
    </row>
    <row r="32" spans="1:33" x14ac:dyDescent="0.25">
      <c r="A32">
        <v>7933585074</v>
      </c>
      <c r="B32" s="145" t="s">
        <v>1522</v>
      </c>
      <c r="C32" s="145" t="s">
        <v>1531</v>
      </c>
      <c r="D32" s="145" t="str">
        <f>LEFT(Table1[[#This Row],[Ativo]],2)</f>
        <v>79</v>
      </c>
      <c r="F32" s="145" t="s">
        <v>181</v>
      </c>
      <c r="G32" s="145" t="s">
        <v>108</v>
      </c>
      <c r="H32" s="145" t="s">
        <v>315</v>
      </c>
      <c r="I32" s="148" t="s">
        <v>1472</v>
      </c>
      <c r="J32" s="146">
        <v>13209.34</v>
      </c>
      <c r="K32" s="147">
        <v>38151.480000000003</v>
      </c>
      <c r="L32" s="144">
        <v>51360.820000000007</v>
      </c>
      <c r="M32" s="145" t="s">
        <v>1624</v>
      </c>
      <c r="O32"/>
      <c r="W32" s="1">
        <v>69</v>
      </c>
      <c r="X32" s="1">
        <v>86</v>
      </c>
      <c r="Y32" s="1">
        <v>202</v>
      </c>
      <c r="Z32" t="s">
        <v>179</v>
      </c>
      <c r="AA32" t="s">
        <v>16</v>
      </c>
      <c r="AB32" t="s">
        <v>180</v>
      </c>
      <c r="AD32" t="s">
        <v>161</v>
      </c>
      <c r="AE32" t="s">
        <v>42</v>
      </c>
      <c r="AF32" t="s">
        <v>42</v>
      </c>
      <c r="AG32" t="s">
        <v>43</v>
      </c>
    </row>
    <row r="33" spans="1:33" x14ac:dyDescent="0.25">
      <c r="A33">
        <v>5855411017</v>
      </c>
      <c r="B33" s="145" t="s">
        <v>1529</v>
      </c>
      <c r="C33" s="145" t="s">
        <v>1532</v>
      </c>
      <c r="D33" s="145" t="str">
        <f>LEFT(Table1[[#This Row],[Ativo]],2)</f>
        <v>58</v>
      </c>
      <c r="E33" s="145" t="s">
        <v>1538</v>
      </c>
      <c r="F33" s="145" t="s">
        <v>199</v>
      </c>
      <c r="G33" s="145" t="s">
        <v>196</v>
      </c>
      <c r="H33" s="145" t="s">
        <v>313</v>
      </c>
      <c r="I33" s="145" t="s">
        <v>1478</v>
      </c>
      <c r="J33" s="146">
        <v>20000</v>
      </c>
      <c r="K33" s="147">
        <v>23259.599999999999</v>
      </c>
      <c r="L33" s="144">
        <v>43259.6</v>
      </c>
      <c r="M33" t="s">
        <v>1620</v>
      </c>
      <c r="N33" s="2" t="s">
        <v>1614</v>
      </c>
      <c r="O33" s="164" t="s">
        <v>1619</v>
      </c>
      <c r="W33" s="1">
        <v>79</v>
      </c>
      <c r="X33" s="1">
        <v>134</v>
      </c>
      <c r="Y33" s="1">
        <v>348</v>
      </c>
      <c r="Z33" t="s">
        <v>197</v>
      </c>
      <c r="AA33" t="s">
        <v>16</v>
      </c>
      <c r="AB33" t="s">
        <v>198</v>
      </c>
      <c r="AD33" t="s">
        <v>200</v>
      </c>
      <c r="AE33" t="s">
        <v>201</v>
      </c>
      <c r="AF33" t="s">
        <v>106</v>
      </c>
      <c r="AG33" t="s">
        <v>29</v>
      </c>
    </row>
    <row r="34" spans="1:33" x14ac:dyDescent="0.25">
      <c r="A34">
        <v>7908196047</v>
      </c>
      <c r="B34" s="145" t="s">
        <v>1525</v>
      </c>
      <c r="C34" s="145" t="s">
        <v>1532</v>
      </c>
      <c r="D34" s="145" t="str">
        <f>LEFT(Table1[[#This Row],[Ativo]],2)</f>
        <v>79</v>
      </c>
      <c r="F34" s="145" t="s">
        <v>205</v>
      </c>
      <c r="G34" s="145" t="s">
        <v>196</v>
      </c>
      <c r="H34" s="145" t="s">
        <v>315</v>
      </c>
      <c r="I34" s="148" t="s">
        <v>1468</v>
      </c>
      <c r="J34" s="146">
        <v>11016.94</v>
      </c>
      <c r="K34" s="147">
        <v>55602.54</v>
      </c>
      <c r="L34" s="144">
        <v>66619.48</v>
      </c>
      <c r="M34" s="145" t="s">
        <v>1540</v>
      </c>
      <c r="O34"/>
      <c r="W34" s="1">
        <v>81</v>
      </c>
      <c r="X34" s="1">
        <v>134</v>
      </c>
      <c r="Y34" s="1">
        <v>322</v>
      </c>
      <c r="Z34" t="s">
        <v>203</v>
      </c>
      <c r="AA34" t="s">
        <v>16</v>
      </c>
      <c r="AB34" t="s">
        <v>204</v>
      </c>
      <c r="AD34" t="s">
        <v>206</v>
      </c>
      <c r="AE34" t="s">
        <v>207</v>
      </c>
      <c r="AF34" t="s">
        <v>177</v>
      </c>
      <c r="AG34" t="s">
        <v>43</v>
      </c>
    </row>
    <row r="35" spans="1:33" x14ac:dyDescent="0.25">
      <c r="A35">
        <v>7921202014</v>
      </c>
      <c r="B35" s="145" t="s">
        <v>1522</v>
      </c>
      <c r="C35" s="145" t="s">
        <v>1531</v>
      </c>
      <c r="D35" s="145" t="str">
        <f>LEFT(Table1[[#This Row],[Ativo]],2)</f>
        <v>79</v>
      </c>
      <c r="F35" s="145" t="s">
        <v>210</v>
      </c>
      <c r="G35" s="145" t="s">
        <v>196</v>
      </c>
      <c r="H35" s="145" t="s">
        <v>315</v>
      </c>
      <c r="I35" s="148" t="s">
        <v>1472</v>
      </c>
      <c r="J35" s="146">
        <v>13209.34</v>
      </c>
      <c r="K35" s="147">
        <v>38151.480000000003</v>
      </c>
      <c r="L35" s="144">
        <v>51360.820000000007</v>
      </c>
      <c r="M35" s="145" t="s">
        <v>1607</v>
      </c>
      <c r="O35"/>
      <c r="W35" s="1">
        <v>82</v>
      </c>
      <c r="X35" s="1">
        <v>134</v>
      </c>
      <c r="Y35" s="1">
        <v>183</v>
      </c>
      <c r="Z35" t="s">
        <v>15</v>
      </c>
      <c r="AA35" t="s">
        <v>16</v>
      </c>
      <c r="AB35" t="s">
        <v>209</v>
      </c>
      <c r="AD35" t="s">
        <v>211</v>
      </c>
      <c r="AE35" t="s">
        <v>212</v>
      </c>
      <c r="AF35" t="s">
        <v>99</v>
      </c>
      <c r="AG35" t="s">
        <v>29</v>
      </c>
    </row>
    <row r="36" spans="1:33" x14ac:dyDescent="0.25">
      <c r="A36">
        <v>7923927122</v>
      </c>
      <c r="B36" s="145" t="s">
        <v>1522</v>
      </c>
      <c r="C36" s="145" t="s">
        <v>1531</v>
      </c>
      <c r="D36" s="145" t="str">
        <f>LEFT(Table1[[#This Row],[Ativo]],2)</f>
        <v>79</v>
      </c>
      <c r="F36" s="145" t="s">
        <v>216</v>
      </c>
      <c r="G36" s="145" t="s">
        <v>196</v>
      </c>
      <c r="H36" s="145" t="s">
        <v>315</v>
      </c>
      <c r="I36" s="148" t="s">
        <v>1472</v>
      </c>
      <c r="J36" s="146">
        <v>13209.34</v>
      </c>
      <c r="K36" s="147">
        <v>38151.480000000003</v>
      </c>
      <c r="L36" s="144">
        <v>51360.820000000007</v>
      </c>
      <c r="M36" s="145" t="s">
        <v>1607</v>
      </c>
      <c r="O36"/>
      <c r="W36" s="1">
        <v>83</v>
      </c>
      <c r="X36" s="1">
        <v>134</v>
      </c>
      <c r="Y36" s="1">
        <v>477</v>
      </c>
      <c r="Z36" t="s">
        <v>214</v>
      </c>
      <c r="AA36" t="s">
        <v>16</v>
      </c>
      <c r="AB36" t="s">
        <v>215</v>
      </c>
      <c r="AD36" t="s">
        <v>217</v>
      </c>
      <c r="AE36" t="s">
        <v>27</v>
      </c>
      <c r="AF36" t="s">
        <v>27</v>
      </c>
      <c r="AG36" t="s">
        <v>29</v>
      </c>
    </row>
    <row r="37" spans="1:33" x14ac:dyDescent="0.25">
      <c r="A37">
        <v>7927446001</v>
      </c>
      <c r="B37" s="145" t="s">
        <v>1523</v>
      </c>
      <c r="C37" s="145" t="s">
        <v>1531</v>
      </c>
      <c r="D37" s="145" t="str">
        <f>LEFT(Table1[[#This Row],[Ativo]],2)</f>
        <v>79</v>
      </c>
      <c r="F37" s="145" t="s">
        <v>221</v>
      </c>
      <c r="G37" s="145" t="s">
        <v>196</v>
      </c>
      <c r="H37" s="145" t="s">
        <v>315</v>
      </c>
      <c r="I37" s="148" t="s">
        <v>1470</v>
      </c>
      <c r="J37" s="146">
        <v>13209.34</v>
      </c>
      <c r="K37" s="147">
        <v>76246.2</v>
      </c>
      <c r="L37" s="144">
        <v>89455.54</v>
      </c>
      <c r="M37" s="145" t="s">
        <v>1607</v>
      </c>
      <c r="O37"/>
      <c r="W37" s="1">
        <v>84</v>
      </c>
      <c r="X37" s="1">
        <v>134</v>
      </c>
      <c r="Y37" s="1">
        <v>417</v>
      </c>
      <c r="Z37" t="s">
        <v>219</v>
      </c>
      <c r="AA37" t="s">
        <v>16</v>
      </c>
      <c r="AB37" t="s">
        <v>220</v>
      </c>
      <c r="AD37" t="s">
        <v>165</v>
      </c>
      <c r="AE37" t="s">
        <v>67</v>
      </c>
      <c r="AF37" t="s">
        <v>67</v>
      </c>
      <c r="AG37" t="s">
        <v>29</v>
      </c>
    </row>
    <row r="38" spans="1:33" x14ac:dyDescent="0.25">
      <c r="A38">
        <v>7928241200</v>
      </c>
      <c r="B38" s="145" t="s">
        <v>1522</v>
      </c>
      <c r="C38" s="145" t="s">
        <v>1531</v>
      </c>
      <c r="D38" s="145" t="str">
        <f>LEFT(Table1[[#This Row],[Ativo]],2)</f>
        <v>79</v>
      </c>
      <c r="F38" s="145" t="s">
        <v>224</v>
      </c>
      <c r="G38" s="145" t="s">
        <v>196</v>
      </c>
      <c r="H38" s="145" t="s">
        <v>315</v>
      </c>
      <c r="I38" s="145" t="s">
        <v>1472</v>
      </c>
      <c r="J38" s="146">
        <v>13209.34</v>
      </c>
      <c r="K38" s="147">
        <v>38151.480000000003</v>
      </c>
      <c r="L38" s="144">
        <v>51360.820000000007</v>
      </c>
      <c r="M38" s="145" t="s">
        <v>1607</v>
      </c>
      <c r="O38"/>
      <c r="W38" s="1">
        <v>85</v>
      </c>
      <c r="X38" s="1">
        <v>134</v>
      </c>
      <c r="Y38" s="1">
        <v>409</v>
      </c>
      <c r="Z38" t="s">
        <v>15</v>
      </c>
      <c r="AA38" t="s">
        <v>16</v>
      </c>
      <c r="AB38" t="s">
        <v>223</v>
      </c>
      <c r="AD38" t="s">
        <v>225</v>
      </c>
      <c r="AE38" t="s">
        <v>143</v>
      </c>
      <c r="AF38" t="s">
        <v>144</v>
      </c>
      <c r="AG38" t="s">
        <v>43</v>
      </c>
    </row>
    <row r="39" spans="1:33" x14ac:dyDescent="0.25">
      <c r="A39">
        <v>7942485096</v>
      </c>
      <c r="B39" s="145" t="s">
        <v>1522</v>
      </c>
      <c r="C39" s="145" t="s">
        <v>1531</v>
      </c>
      <c r="D39" s="145" t="str">
        <f>LEFT(Table1[[#This Row],[Ativo]],2)</f>
        <v>79</v>
      </c>
      <c r="F39" s="145" t="s">
        <v>229</v>
      </c>
      <c r="G39" s="145" t="s">
        <v>196</v>
      </c>
      <c r="H39" s="145" t="s">
        <v>315</v>
      </c>
      <c r="I39" s="145" t="s">
        <v>1472</v>
      </c>
      <c r="J39" s="146">
        <v>13209.34</v>
      </c>
      <c r="K39" s="147">
        <v>38151.480000000003</v>
      </c>
      <c r="L39" s="144">
        <v>51360.820000000007</v>
      </c>
      <c r="M39" s="145" t="s">
        <v>1607</v>
      </c>
      <c r="O39"/>
      <c r="W39" s="1">
        <v>86</v>
      </c>
      <c r="X39" s="1">
        <v>134</v>
      </c>
      <c r="Y39" s="1">
        <v>521</v>
      </c>
      <c r="Z39" t="s">
        <v>227</v>
      </c>
      <c r="AA39" t="s">
        <v>16</v>
      </c>
      <c r="AB39" t="s">
        <v>228</v>
      </c>
      <c r="AD39" t="s">
        <v>72</v>
      </c>
      <c r="AE39" t="s">
        <v>230</v>
      </c>
      <c r="AF39" t="s">
        <v>74</v>
      </c>
      <c r="AG39" t="s">
        <v>29</v>
      </c>
    </row>
    <row r="40" spans="1:33" x14ac:dyDescent="0.25">
      <c r="A40">
        <v>7955946007</v>
      </c>
      <c r="B40" s="145" t="s">
        <v>1522</v>
      </c>
      <c r="C40" s="145" t="s">
        <v>1531</v>
      </c>
      <c r="D40" s="145" t="str">
        <f>LEFT(Table1[[#This Row],[Ativo]],2)</f>
        <v>79</v>
      </c>
      <c r="F40" s="145" t="s">
        <v>233</v>
      </c>
      <c r="G40" s="145" t="s">
        <v>196</v>
      </c>
      <c r="H40" s="145" t="s">
        <v>315</v>
      </c>
      <c r="I40" s="148" t="s">
        <v>1475</v>
      </c>
      <c r="J40" s="146">
        <v>13209.34</v>
      </c>
      <c r="K40" s="147">
        <v>38094.720000000001</v>
      </c>
      <c r="L40" s="144">
        <v>51304.06</v>
      </c>
      <c r="M40" s="145" t="s">
        <v>1607</v>
      </c>
      <c r="O40"/>
      <c r="W40" s="1">
        <v>89</v>
      </c>
      <c r="X40" s="1">
        <v>134</v>
      </c>
      <c r="Y40" s="1">
        <v>40</v>
      </c>
      <c r="Z40" t="s">
        <v>15</v>
      </c>
      <c r="AA40" t="s">
        <v>16</v>
      </c>
      <c r="AB40" t="s">
        <v>232</v>
      </c>
      <c r="AD40" t="s">
        <v>105</v>
      </c>
      <c r="AE40" t="s">
        <v>106</v>
      </c>
      <c r="AF40" t="s">
        <v>106</v>
      </c>
      <c r="AG40" t="s">
        <v>29</v>
      </c>
    </row>
    <row r="41" spans="1:33" x14ac:dyDescent="0.25">
      <c r="A41">
        <v>7901110084</v>
      </c>
      <c r="B41" s="145" t="s">
        <v>1522</v>
      </c>
      <c r="C41" s="145" t="s">
        <v>1531</v>
      </c>
      <c r="D41" s="145" t="str">
        <f>LEFT(Table1[[#This Row],[Ativo]],2)</f>
        <v>79</v>
      </c>
      <c r="F41" s="145" t="s">
        <v>236</v>
      </c>
      <c r="G41" s="145" t="s">
        <v>196</v>
      </c>
      <c r="H41" s="145" t="s">
        <v>315</v>
      </c>
      <c r="I41" s="145" t="s">
        <v>1472</v>
      </c>
      <c r="J41" s="146">
        <v>13209.34</v>
      </c>
      <c r="K41" s="147">
        <v>38151.480000000003</v>
      </c>
      <c r="L41" s="144">
        <v>51360.820000000007</v>
      </c>
      <c r="M41" s="145" t="s">
        <v>1607</v>
      </c>
      <c r="O41"/>
      <c r="W41" s="1">
        <v>90</v>
      </c>
      <c r="X41" s="1">
        <v>134</v>
      </c>
      <c r="Y41" s="1">
        <v>243</v>
      </c>
      <c r="Z41" t="s">
        <v>151</v>
      </c>
      <c r="AA41" t="s">
        <v>16</v>
      </c>
      <c r="AB41" t="s">
        <v>235</v>
      </c>
      <c r="AD41" t="s">
        <v>185</v>
      </c>
      <c r="AE41" t="s">
        <v>156</v>
      </c>
      <c r="AF41" t="s">
        <v>156</v>
      </c>
      <c r="AG41" t="s">
        <v>29</v>
      </c>
    </row>
    <row r="42" spans="1:33" x14ac:dyDescent="0.25">
      <c r="A42">
        <v>7910027196</v>
      </c>
      <c r="B42" s="145" t="s">
        <v>1525</v>
      </c>
      <c r="C42" s="145" t="s">
        <v>1531</v>
      </c>
      <c r="D42" s="145" t="str">
        <f>LEFT(Table1[[#This Row],[Ativo]],2)</f>
        <v>79</v>
      </c>
      <c r="F42" s="145" t="s">
        <v>239</v>
      </c>
      <c r="G42" s="145" t="s">
        <v>196</v>
      </c>
      <c r="H42" s="145" t="s">
        <v>315</v>
      </c>
      <c r="I42" s="148" t="s">
        <v>1470</v>
      </c>
      <c r="J42" s="146">
        <v>13209.34</v>
      </c>
      <c r="K42" s="147">
        <v>76246.2</v>
      </c>
      <c r="L42" s="144">
        <v>89455.54</v>
      </c>
      <c r="M42" s="145" t="s">
        <v>1607</v>
      </c>
      <c r="O42"/>
      <c r="W42" s="1">
        <v>93</v>
      </c>
      <c r="X42" s="1">
        <v>134</v>
      </c>
      <c r="Y42" s="1">
        <v>40</v>
      </c>
      <c r="Z42" t="s">
        <v>238</v>
      </c>
      <c r="AA42" t="s">
        <v>16</v>
      </c>
      <c r="AB42" t="s">
        <v>232</v>
      </c>
      <c r="AD42" t="s">
        <v>217</v>
      </c>
      <c r="AE42" t="s">
        <v>240</v>
      </c>
      <c r="AF42" t="s">
        <v>28</v>
      </c>
      <c r="AG42" t="s">
        <v>29</v>
      </c>
    </row>
    <row r="43" spans="1:33" x14ac:dyDescent="0.25">
      <c r="A43">
        <v>7913662076</v>
      </c>
      <c r="B43" s="145" t="s">
        <v>1522</v>
      </c>
      <c r="C43" s="145" t="s">
        <v>1532</v>
      </c>
      <c r="D43" s="145" t="str">
        <f>LEFT(Table1[[#This Row],[Ativo]],2)</f>
        <v>79</v>
      </c>
      <c r="F43" s="145" t="s">
        <v>244</v>
      </c>
      <c r="G43" s="145" t="s">
        <v>196</v>
      </c>
      <c r="H43" s="145" t="s">
        <v>315</v>
      </c>
      <c r="I43" s="145" t="s">
        <v>1469</v>
      </c>
      <c r="J43" s="146">
        <v>11016.94</v>
      </c>
      <c r="K43" s="147">
        <v>21785.72</v>
      </c>
      <c r="L43" s="144">
        <v>32802.660000000003</v>
      </c>
      <c r="M43" s="145" t="s">
        <v>1623</v>
      </c>
      <c r="O43"/>
      <c r="W43" s="1">
        <v>94</v>
      </c>
      <c r="X43" s="1">
        <v>134</v>
      </c>
      <c r="Y43" s="1">
        <v>70</v>
      </c>
      <c r="Z43" t="s">
        <v>242</v>
      </c>
      <c r="AA43" t="s">
        <v>16</v>
      </c>
      <c r="AB43" t="s">
        <v>243</v>
      </c>
      <c r="AD43" t="s">
        <v>245</v>
      </c>
      <c r="AE43" t="s">
        <v>246</v>
      </c>
      <c r="AF43" t="s">
        <v>247</v>
      </c>
      <c r="AG43" t="s">
        <v>43</v>
      </c>
    </row>
    <row r="44" spans="1:33" x14ac:dyDescent="0.25">
      <c r="A44">
        <v>5862236091</v>
      </c>
      <c r="B44" s="145" t="s">
        <v>1524</v>
      </c>
      <c r="C44" s="145" t="s">
        <v>1531</v>
      </c>
      <c r="D44" s="145" t="str">
        <f>LEFT(Table1[[#This Row],[Ativo]],2)</f>
        <v>58</v>
      </c>
      <c r="E44" s="145" t="s">
        <v>1534</v>
      </c>
      <c r="F44" s="145" t="s">
        <v>250</v>
      </c>
      <c r="G44" s="145" t="s">
        <v>196</v>
      </c>
      <c r="H44" s="145" t="s">
        <v>315</v>
      </c>
      <c r="I44" s="145" t="s">
        <v>1477</v>
      </c>
      <c r="J44" s="146">
        <v>80318.5</v>
      </c>
      <c r="K44" s="147">
        <v>90230</v>
      </c>
      <c r="L44" s="144">
        <v>170548.5</v>
      </c>
      <c r="M44" t="s">
        <v>1607</v>
      </c>
      <c r="N44" t="s">
        <v>1615</v>
      </c>
      <c r="O44" s="164" t="s">
        <v>1615</v>
      </c>
      <c r="P44" t="s">
        <v>1613</v>
      </c>
      <c r="Q44" t="s">
        <v>1614</v>
      </c>
      <c r="R44" t="s">
        <v>1610</v>
      </c>
      <c r="S44" t="s">
        <v>1610</v>
      </c>
      <c r="T44" t="s">
        <v>1610</v>
      </c>
      <c r="U44" t="s">
        <v>1610</v>
      </c>
      <c r="V44" t="s">
        <v>1610</v>
      </c>
      <c r="W44" s="1">
        <v>95</v>
      </c>
      <c r="X44" s="1">
        <v>134</v>
      </c>
      <c r="Y44" s="1">
        <v>252</v>
      </c>
      <c r="Z44" t="s">
        <v>36</v>
      </c>
      <c r="AA44" t="s">
        <v>16</v>
      </c>
      <c r="AB44" t="s">
        <v>249</v>
      </c>
      <c r="AD44" t="s">
        <v>251</v>
      </c>
      <c r="AE44" t="s">
        <v>41</v>
      </c>
      <c r="AF44" t="s">
        <v>42</v>
      </c>
      <c r="AG44" t="s">
        <v>43</v>
      </c>
    </row>
    <row r="45" spans="1:33" x14ac:dyDescent="0.25">
      <c r="A45">
        <v>5836786094</v>
      </c>
      <c r="B45" s="145" t="s">
        <v>1524</v>
      </c>
      <c r="C45" s="145" t="s">
        <v>1531</v>
      </c>
      <c r="D45" s="145" t="str">
        <f>LEFT(Table1[[#This Row],[Ativo]],2)</f>
        <v>58</v>
      </c>
      <c r="E45" s="145" t="s">
        <v>1539</v>
      </c>
      <c r="F45" s="145" t="s">
        <v>255</v>
      </c>
      <c r="G45" s="145" t="s">
        <v>196</v>
      </c>
      <c r="H45" s="145" t="s">
        <v>314</v>
      </c>
      <c r="I45" s="145" t="s">
        <v>1477</v>
      </c>
      <c r="J45" s="146">
        <v>80318.5</v>
      </c>
      <c r="K45" s="147">
        <v>90230</v>
      </c>
      <c r="L45" s="144">
        <v>170548.5</v>
      </c>
      <c r="M45" s="145" t="s">
        <v>1607</v>
      </c>
      <c r="O45"/>
      <c r="W45" s="1">
        <v>96</v>
      </c>
      <c r="X45" s="1">
        <v>134</v>
      </c>
      <c r="Y45" s="1">
        <v>123</v>
      </c>
      <c r="Z45" t="s">
        <v>253</v>
      </c>
      <c r="AA45" t="s">
        <v>16</v>
      </c>
      <c r="AB45" t="s">
        <v>254</v>
      </c>
      <c r="AD45" t="s">
        <v>148</v>
      </c>
      <c r="AE45" t="s">
        <v>144</v>
      </c>
      <c r="AF45" t="s">
        <v>144</v>
      </c>
      <c r="AG45" t="s">
        <v>43</v>
      </c>
    </row>
    <row r="46" spans="1:33" x14ac:dyDescent="0.25">
      <c r="A46">
        <v>7919270014</v>
      </c>
      <c r="B46" s="145" t="s">
        <v>1525</v>
      </c>
      <c r="C46" s="145" t="s">
        <v>1531</v>
      </c>
      <c r="D46" s="145" t="str">
        <f>LEFT(Table1[[#This Row],[Ativo]],2)</f>
        <v>79</v>
      </c>
      <c r="F46" s="145" t="s">
        <v>258</v>
      </c>
      <c r="G46" s="145" t="s">
        <v>196</v>
      </c>
      <c r="H46" s="145" t="s">
        <v>315</v>
      </c>
      <c r="I46" s="148" t="s">
        <v>1475</v>
      </c>
      <c r="J46" s="146">
        <v>13209.34</v>
      </c>
      <c r="K46" s="147">
        <v>38094.720000000001</v>
      </c>
      <c r="L46" s="144">
        <v>51304.06</v>
      </c>
      <c r="M46" s="145" t="s">
        <v>1607</v>
      </c>
      <c r="O46"/>
      <c r="W46" s="1">
        <v>97</v>
      </c>
      <c r="X46" s="1">
        <v>134</v>
      </c>
      <c r="Y46" s="1">
        <v>173</v>
      </c>
      <c r="Z46" t="s">
        <v>36</v>
      </c>
      <c r="AA46" t="s">
        <v>16</v>
      </c>
      <c r="AB46" t="s">
        <v>257</v>
      </c>
      <c r="AD46" t="s">
        <v>259</v>
      </c>
      <c r="AE46" t="s">
        <v>212</v>
      </c>
      <c r="AF46" t="s">
        <v>99</v>
      </c>
      <c r="AG46" t="s">
        <v>29</v>
      </c>
    </row>
    <row r="47" spans="1:33" x14ac:dyDescent="0.25">
      <c r="A47">
        <v>7926442035</v>
      </c>
      <c r="B47" s="145" t="s">
        <v>1522</v>
      </c>
      <c r="C47" s="145" t="s">
        <v>1531</v>
      </c>
      <c r="D47" s="145" t="str">
        <f>LEFT(Table1[[#This Row],[Ativo]],2)</f>
        <v>79</v>
      </c>
      <c r="F47" s="145" t="s">
        <v>263</v>
      </c>
      <c r="G47" s="145" t="s">
        <v>196</v>
      </c>
      <c r="H47" s="145" t="s">
        <v>315</v>
      </c>
      <c r="I47" s="145" t="s">
        <v>1472</v>
      </c>
      <c r="J47" s="146">
        <v>13209.34</v>
      </c>
      <c r="K47" s="147">
        <v>38151.480000000003</v>
      </c>
      <c r="L47" s="144">
        <v>51360.820000000007</v>
      </c>
      <c r="M47" s="145" t="s">
        <v>1607</v>
      </c>
      <c r="O47"/>
      <c r="W47" s="1">
        <v>98</v>
      </c>
      <c r="X47" s="1">
        <v>134</v>
      </c>
      <c r="Y47" s="1">
        <v>180</v>
      </c>
      <c r="Z47" t="s">
        <v>261</v>
      </c>
      <c r="AA47" t="s">
        <v>16</v>
      </c>
      <c r="AB47" t="s">
        <v>262</v>
      </c>
      <c r="AD47" t="s">
        <v>264</v>
      </c>
      <c r="AE47" t="s">
        <v>265</v>
      </c>
      <c r="AF47" t="s">
        <v>74</v>
      </c>
      <c r="AG47" t="s">
        <v>29</v>
      </c>
    </row>
    <row r="48" spans="1:33" x14ac:dyDescent="0.25">
      <c r="A48">
        <v>7938137007</v>
      </c>
      <c r="B48" s="145" t="s">
        <v>1528</v>
      </c>
      <c r="C48" s="145" t="s">
        <v>1532</v>
      </c>
      <c r="D48" s="145" t="str">
        <f>LEFT(Table1[[#This Row],[Ativo]],2)</f>
        <v>79</v>
      </c>
      <c r="F48" s="145" t="s">
        <v>269</v>
      </c>
      <c r="G48" s="145" t="s">
        <v>196</v>
      </c>
      <c r="H48" s="145" t="s">
        <v>315</v>
      </c>
      <c r="I48" s="145" t="s">
        <v>1468</v>
      </c>
      <c r="J48" s="146">
        <v>11016.94</v>
      </c>
      <c r="K48" s="147">
        <v>55602.54</v>
      </c>
      <c r="L48" s="144">
        <v>66619.48</v>
      </c>
      <c r="M48" s="145" t="s">
        <v>1540</v>
      </c>
      <c r="O48"/>
      <c r="W48" s="1">
        <v>100</v>
      </c>
      <c r="X48" s="1">
        <v>134</v>
      </c>
      <c r="Y48" s="1">
        <v>234</v>
      </c>
      <c r="Z48" t="s">
        <v>267</v>
      </c>
      <c r="AA48" t="s">
        <v>16</v>
      </c>
      <c r="AB48" t="s">
        <v>268</v>
      </c>
      <c r="AD48" t="s">
        <v>200</v>
      </c>
      <c r="AE48" t="s">
        <v>106</v>
      </c>
      <c r="AF48" t="s">
        <v>106</v>
      </c>
      <c r="AG48" t="s">
        <v>29</v>
      </c>
    </row>
    <row r="49" spans="1:33" x14ac:dyDescent="0.25">
      <c r="A49">
        <v>5856156091</v>
      </c>
      <c r="B49" s="145" t="s">
        <v>1524</v>
      </c>
      <c r="C49" s="145" t="s">
        <v>1531</v>
      </c>
      <c r="D49" s="145" t="str">
        <f>LEFT(Table1[[#This Row],[Ativo]],2)</f>
        <v>58</v>
      </c>
      <c r="E49" s="145" t="s">
        <v>1534</v>
      </c>
      <c r="F49" s="145" t="s">
        <v>272</v>
      </c>
      <c r="G49" s="145" t="s">
        <v>196</v>
      </c>
      <c r="H49" s="145" t="s">
        <v>315</v>
      </c>
      <c r="I49" s="145" t="s">
        <v>1471</v>
      </c>
      <c r="J49" s="146">
        <v>200637</v>
      </c>
      <c r="K49" s="147">
        <v>293949.59999999998</v>
      </c>
      <c r="L49" s="144">
        <v>494586.6</v>
      </c>
      <c r="M49" s="145" t="s">
        <v>1607</v>
      </c>
      <c r="O49"/>
      <c r="W49" s="1">
        <v>101</v>
      </c>
      <c r="X49" s="1">
        <v>134</v>
      </c>
      <c r="Y49" s="1">
        <v>427</v>
      </c>
      <c r="Z49" t="s">
        <v>36</v>
      </c>
      <c r="AA49" t="s">
        <v>16</v>
      </c>
      <c r="AB49" t="s">
        <v>271</v>
      </c>
      <c r="AD49" t="s">
        <v>40</v>
      </c>
      <c r="AE49" t="s">
        <v>41</v>
      </c>
      <c r="AF49" t="s">
        <v>42</v>
      </c>
      <c r="AG49" t="s">
        <v>43</v>
      </c>
    </row>
    <row r="50" spans="1:33" x14ac:dyDescent="0.25">
      <c r="A50">
        <v>5858783119</v>
      </c>
      <c r="B50" s="145" t="s">
        <v>1524</v>
      </c>
      <c r="C50" s="145" t="s">
        <v>1531</v>
      </c>
      <c r="D50" s="145" t="str">
        <f>LEFT(Table1[[#This Row],[Ativo]],2)</f>
        <v>58</v>
      </c>
      <c r="E50" s="145" t="s">
        <v>1534</v>
      </c>
      <c r="F50" s="145" t="s">
        <v>276</v>
      </c>
      <c r="G50" s="145" t="s">
        <v>196</v>
      </c>
      <c r="H50" s="145" t="s">
        <v>315</v>
      </c>
      <c r="I50" s="145" t="s">
        <v>1471</v>
      </c>
      <c r="J50" s="146">
        <v>200637</v>
      </c>
      <c r="K50" s="147">
        <v>293949.59999999998</v>
      </c>
      <c r="L50" s="144">
        <v>494586.6</v>
      </c>
      <c r="M50" s="145" t="s">
        <v>1607</v>
      </c>
      <c r="O50"/>
      <c r="W50" s="1">
        <v>102</v>
      </c>
      <c r="X50" s="1">
        <v>134</v>
      </c>
      <c r="Y50" s="1">
        <v>511</v>
      </c>
      <c r="Z50" t="s">
        <v>274</v>
      </c>
      <c r="AA50" t="s">
        <v>16</v>
      </c>
      <c r="AB50" t="s">
        <v>275</v>
      </c>
      <c r="AD50" t="s">
        <v>277</v>
      </c>
      <c r="AE50" t="s">
        <v>278</v>
      </c>
      <c r="AF50" t="s">
        <v>124</v>
      </c>
      <c r="AG50" t="s">
        <v>21</v>
      </c>
    </row>
    <row r="51" spans="1:33" x14ac:dyDescent="0.25">
      <c r="A51">
        <v>7930359149</v>
      </c>
      <c r="B51" s="145" t="s">
        <v>1530</v>
      </c>
      <c r="C51" s="145" t="s">
        <v>1531</v>
      </c>
      <c r="D51" s="145" t="str">
        <f>LEFT(Table1[[#This Row],[Ativo]],2)</f>
        <v>79</v>
      </c>
      <c r="F51" s="145" t="s">
        <v>282</v>
      </c>
      <c r="G51" s="145" t="s">
        <v>280</v>
      </c>
      <c r="H51" s="145" t="s">
        <v>315</v>
      </c>
      <c r="I51" s="148" t="s">
        <v>1470</v>
      </c>
      <c r="J51" s="146">
        <v>13209.34</v>
      </c>
      <c r="K51" s="147">
        <v>76246.2</v>
      </c>
      <c r="L51" s="144">
        <v>89455.54</v>
      </c>
      <c r="M51" s="145" t="s">
        <v>1607</v>
      </c>
      <c r="O51"/>
      <c r="W51" s="1">
        <v>107</v>
      </c>
      <c r="X51" s="1"/>
      <c r="Y51" s="1">
        <v>54</v>
      </c>
      <c r="Z51" t="s">
        <v>281</v>
      </c>
      <c r="AA51" t="s">
        <v>16</v>
      </c>
      <c r="AB51" t="s">
        <v>33</v>
      </c>
      <c r="AD51" t="s">
        <v>283</v>
      </c>
      <c r="AE51" t="s">
        <v>155</v>
      </c>
      <c r="AF51" t="s">
        <v>156</v>
      </c>
      <c r="AG51" t="s">
        <v>29</v>
      </c>
    </row>
    <row r="52" spans="1:33" x14ac:dyDescent="0.25">
      <c r="A52">
        <v>7953211079</v>
      </c>
      <c r="B52" s="145" t="s">
        <v>1522</v>
      </c>
      <c r="C52" s="145" t="s">
        <v>1531</v>
      </c>
      <c r="D52" s="145" t="str">
        <f>LEFT(Table1[[#This Row],[Ativo]],2)</f>
        <v>79</v>
      </c>
      <c r="F52" s="145" t="s">
        <v>285</v>
      </c>
      <c r="G52" s="145" t="s">
        <v>280</v>
      </c>
      <c r="H52" s="145" t="s">
        <v>315</v>
      </c>
      <c r="I52" s="148" t="s">
        <v>1475</v>
      </c>
      <c r="J52" s="146">
        <v>13209.34</v>
      </c>
      <c r="K52" s="147">
        <v>38094.720000000001</v>
      </c>
      <c r="L52" s="144">
        <v>51304.06</v>
      </c>
      <c r="M52" s="145" t="s">
        <v>1607</v>
      </c>
      <c r="O52"/>
      <c r="W52" s="1">
        <v>109</v>
      </c>
      <c r="X52" s="1"/>
      <c r="Y52" s="1">
        <v>33</v>
      </c>
      <c r="Z52" t="s">
        <v>214</v>
      </c>
      <c r="AA52" t="s">
        <v>16</v>
      </c>
      <c r="AB52" t="s">
        <v>33</v>
      </c>
      <c r="AD52" t="s">
        <v>286</v>
      </c>
      <c r="AE52" t="s">
        <v>287</v>
      </c>
      <c r="AF52" t="s">
        <v>55</v>
      </c>
      <c r="AG52" t="s">
        <v>21</v>
      </c>
    </row>
    <row r="53" spans="1:33" x14ac:dyDescent="0.25">
      <c r="A53">
        <v>5825703064</v>
      </c>
      <c r="B53" s="145" t="s">
        <v>1527</v>
      </c>
      <c r="C53" s="145" t="s">
        <v>1531</v>
      </c>
      <c r="D53" s="145" t="str">
        <f>LEFT(Table1[[#This Row],[Ativo]],2)</f>
        <v>58</v>
      </c>
      <c r="E53" s="145" t="s">
        <v>1535</v>
      </c>
      <c r="F53" s="145" t="s">
        <v>289</v>
      </c>
      <c r="G53" s="145" t="s">
        <v>280</v>
      </c>
      <c r="H53" s="145" t="s">
        <v>314</v>
      </c>
      <c r="I53" s="145" t="s">
        <v>1479</v>
      </c>
      <c r="J53" s="146">
        <v>20000</v>
      </c>
      <c r="K53" s="147">
        <v>23259.599999999999</v>
      </c>
      <c r="L53" s="144">
        <v>43259.6</v>
      </c>
      <c r="M53" s="145" t="s">
        <v>1620</v>
      </c>
      <c r="O53"/>
      <c r="W53" s="1">
        <v>137</v>
      </c>
      <c r="X53" s="1"/>
      <c r="Y53" s="1">
        <v>56</v>
      </c>
      <c r="Z53" t="s">
        <v>238</v>
      </c>
      <c r="AA53" t="s">
        <v>16</v>
      </c>
      <c r="AB53" t="s">
        <v>33</v>
      </c>
      <c r="AD53" t="s">
        <v>290</v>
      </c>
      <c r="AE53" t="s">
        <v>291</v>
      </c>
      <c r="AF53" t="s">
        <v>55</v>
      </c>
      <c r="AG53" t="s">
        <v>21</v>
      </c>
    </row>
    <row r="54" spans="1:33" x14ac:dyDescent="0.25">
      <c r="A54">
        <v>7931219078</v>
      </c>
      <c r="B54" s="145" t="s">
        <v>1522</v>
      </c>
      <c r="C54" s="145" t="s">
        <v>1531</v>
      </c>
      <c r="D54" s="145" t="str">
        <f>LEFT(Table1[[#This Row],[Ativo]],2)</f>
        <v>79</v>
      </c>
      <c r="F54" s="145" t="s">
        <v>293</v>
      </c>
      <c r="G54" s="145" t="s">
        <v>280</v>
      </c>
      <c r="H54" s="145" t="s">
        <v>1328</v>
      </c>
      <c r="I54" s="145" t="s">
        <v>1480</v>
      </c>
      <c r="J54" s="146">
        <v>0</v>
      </c>
      <c r="K54" s="147">
        <v>15000</v>
      </c>
      <c r="L54" s="144">
        <v>15000</v>
      </c>
      <c r="M54" t="s">
        <v>1607</v>
      </c>
      <c r="N54" t="s">
        <v>1615</v>
      </c>
      <c r="O54" s="164" t="s">
        <v>1615</v>
      </c>
      <c r="P54" t="s">
        <v>1613</v>
      </c>
      <c r="Q54" t="s">
        <v>1614</v>
      </c>
      <c r="R54" s="12">
        <v>46279</v>
      </c>
      <c r="S54" t="s">
        <v>1610</v>
      </c>
      <c r="T54" t="s">
        <v>1610</v>
      </c>
      <c r="U54" t="s">
        <v>1610</v>
      </c>
      <c r="W54" s="1">
        <v>145</v>
      </c>
      <c r="X54" s="1"/>
      <c r="Y54" s="1">
        <v>420</v>
      </c>
      <c r="Z54" t="s">
        <v>15</v>
      </c>
      <c r="AA54" t="s">
        <v>102</v>
      </c>
      <c r="AB54" t="s">
        <v>33</v>
      </c>
      <c r="AD54" t="s">
        <v>294</v>
      </c>
      <c r="AE54" t="s">
        <v>295</v>
      </c>
      <c r="AF54" t="s">
        <v>55</v>
      </c>
      <c r="AG54" t="s">
        <v>21</v>
      </c>
    </row>
    <row r="55" spans="1:33" x14ac:dyDescent="0.25">
      <c r="I55" s="145"/>
      <c r="J55" s="146"/>
      <c r="K55" s="147"/>
      <c r="L55" s="144"/>
      <c r="W55" s="1"/>
      <c r="X55" s="1"/>
      <c r="Y55" s="1"/>
    </row>
    <row r="56" spans="1:33" x14ac:dyDescent="0.25">
      <c r="I56" s="145"/>
      <c r="J56" s="146"/>
      <c r="K56" s="147"/>
      <c r="L56" s="144"/>
      <c r="W56" s="1"/>
      <c r="X56" s="1"/>
      <c r="Y56" s="1"/>
    </row>
    <row r="57" spans="1:33" x14ac:dyDescent="0.25">
      <c r="I57" s="145"/>
      <c r="J57" s="146"/>
      <c r="K57" s="147"/>
      <c r="L57" s="144"/>
      <c r="W57" s="1"/>
      <c r="X57" s="1"/>
      <c r="Y57" s="1"/>
    </row>
    <row r="58" spans="1:33" x14ac:dyDescent="0.25">
      <c r="I58" s="145"/>
      <c r="J58" s="146"/>
      <c r="K58" s="147"/>
      <c r="L58" s="144"/>
      <c r="W58" s="1"/>
      <c r="X58" s="1"/>
      <c r="Y58" s="1"/>
    </row>
    <row r="59" spans="1:33" x14ac:dyDescent="0.25">
      <c r="E59" s="145" t="s">
        <v>1555</v>
      </c>
      <c r="I59" s="146" t="s">
        <v>1554</v>
      </c>
      <c r="J59" s="145" t="s">
        <v>1556</v>
      </c>
      <c r="M59" s="9" t="s">
        <v>108</v>
      </c>
    </row>
    <row r="60" spans="1:33" x14ac:dyDescent="0.25">
      <c r="A60" t="s">
        <v>403</v>
      </c>
      <c r="B60" s="145" t="s">
        <v>1542</v>
      </c>
      <c r="E60" s="145">
        <v>7</v>
      </c>
      <c r="F60" s="145" t="s">
        <v>1551</v>
      </c>
      <c r="G60" s="145" t="s">
        <v>1550</v>
      </c>
      <c r="H60" s="145">
        <v>3</v>
      </c>
      <c r="I60" s="145" t="s">
        <v>1551</v>
      </c>
      <c r="J60" s="145">
        <f>E60-H60</f>
        <v>4</v>
      </c>
      <c r="L60" s="145">
        <v>4</v>
      </c>
      <c r="M60" t="s">
        <v>1551</v>
      </c>
      <c r="N60">
        <f>J60-L60</f>
        <v>0</v>
      </c>
    </row>
    <row r="61" spans="1:33" x14ac:dyDescent="0.25">
      <c r="A61" t="s">
        <v>403</v>
      </c>
      <c r="B61" s="145" t="s">
        <v>1543</v>
      </c>
      <c r="E61" s="145">
        <v>6</v>
      </c>
      <c r="F61" s="145" t="s">
        <v>1472</v>
      </c>
      <c r="H61" s="145">
        <v>4</v>
      </c>
      <c r="I61" s="145" t="s">
        <v>1472</v>
      </c>
      <c r="J61" s="145">
        <f t="shared" ref="J61:J63" si="0">E61-H61</f>
        <v>2</v>
      </c>
      <c r="L61" s="145">
        <v>2</v>
      </c>
      <c r="M61" t="s">
        <v>1472</v>
      </c>
      <c r="Q61" t="e" cm="1">
        <f t="array" ref="Q61">+S60Q54Q60:Q61</f>
        <v>#NAME?</v>
      </c>
    </row>
    <row r="62" spans="1:33" ht="12.75" customHeight="1" x14ac:dyDescent="0.25">
      <c r="A62" t="s">
        <v>75</v>
      </c>
      <c r="B62" s="145" t="s">
        <v>1544</v>
      </c>
      <c r="E62" s="145">
        <v>5</v>
      </c>
      <c r="F62" s="145" t="s">
        <v>1552</v>
      </c>
      <c r="H62" s="145">
        <v>3</v>
      </c>
      <c r="I62" s="145" t="s">
        <v>1552</v>
      </c>
      <c r="J62" s="145">
        <f t="shared" si="0"/>
        <v>2</v>
      </c>
      <c r="M62" t="s">
        <v>1552</v>
      </c>
    </row>
    <row r="63" spans="1:33" x14ac:dyDescent="0.25">
      <c r="A63" t="s">
        <v>75</v>
      </c>
      <c r="B63" s="145" t="s">
        <v>1545</v>
      </c>
      <c r="E63" s="145">
        <v>3</v>
      </c>
      <c r="F63" s="145" t="s">
        <v>1553</v>
      </c>
      <c r="H63" s="145">
        <v>1</v>
      </c>
      <c r="I63" s="145" t="s">
        <v>1553</v>
      </c>
      <c r="J63" s="145">
        <f t="shared" si="0"/>
        <v>2</v>
      </c>
      <c r="M63" t="s">
        <v>1553</v>
      </c>
    </row>
    <row r="64" spans="1:33" x14ac:dyDescent="0.25">
      <c r="A64" t="s">
        <v>350</v>
      </c>
      <c r="B64" s="145" t="s">
        <v>1542</v>
      </c>
    </row>
    <row r="65" spans="1:2" x14ac:dyDescent="0.25">
      <c r="A65" t="s">
        <v>350</v>
      </c>
      <c r="B65" s="145" t="s">
        <v>1543</v>
      </c>
    </row>
    <row r="66" spans="1:2" x14ac:dyDescent="0.25">
      <c r="A66" t="s">
        <v>380</v>
      </c>
      <c r="B66" s="145" t="s">
        <v>1544</v>
      </c>
    </row>
    <row r="67" spans="1:2" x14ac:dyDescent="0.25">
      <c r="A67" t="s">
        <v>380</v>
      </c>
      <c r="B67" s="145" t="s">
        <v>1545</v>
      </c>
    </row>
    <row r="68" spans="1:2" x14ac:dyDescent="0.25">
      <c r="A68" t="s">
        <v>113</v>
      </c>
      <c r="B68" s="145" t="s">
        <v>1544</v>
      </c>
    </row>
    <row r="69" spans="1:2" x14ac:dyDescent="0.25">
      <c r="A69" t="s">
        <v>113</v>
      </c>
      <c r="B69" s="145" t="s">
        <v>1545</v>
      </c>
    </row>
    <row r="70" spans="1:2" x14ac:dyDescent="0.25">
      <c r="A70" t="s">
        <v>759</v>
      </c>
      <c r="B70" s="145" t="s">
        <v>1544</v>
      </c>
    </row>
    <row r="71" spans="1:2" x14ac:dyDescent="0.25">
      <c r="A71" t="s">
        <v>56</v>
      </c>
      <c r="B71" s="145" t="s">
        <v>1542</v>
      </c>
    </row>
    <row r="72" spans="1:2" x14ac:dyDescent="0.25">
      <c r="A72" t="s">
        <v>56</v>
      </c>
      <c r="B72" s="145" t="s">
        <v>1543</v>
      </c>
    </row>
    <row r="73" spans="1:2" x14ac:dyDescent="0.25">
      <c r="A73" t="s">
        <v>118</v>
      </c>
      <c r="B73" s="145" t="s">
        <v>1544</v>
      </c>
    </row>
    <row r="74" spans="1:2" x14ac:dyDescent="0.25">
      <c r="A74" t="s">
        <v>118</v>
      </c>
      <c r="B74" s="145" t="s">
        <v>1545</v>
      </c>
    </row>
    <row r="75" spans="1:2" x14ac:dyDescent="0.25">
      <c r="A75" t="s">
        <v>118</v>
      </c>
      <c r="B75" s="145" t="s">
        <v>1546</v>
      </c>
    </row>
    <row r="76" spans="1:2" x14ac:dyDescent="0.25">
      <c r="A76" t="s">
        <v>13</v>
      </c>
      <c r="B76" s="145" t="s">
        <v>1542</v>
      </c>
    </row>
    <row r="77" spans="1:2" x14ac:dyDescent="0.25">
      <c r="A77" t="s">
        <v>13</v>
      </c>
      <c r="B77" s="145" t="s">
        <v>1543</v>
      </c>
    </row>
    <row r="78" spans="1:2" x14ac:dyDescent="0.25">
      <c r="A78" t="s">
        <v>442</v>
      </c>
      <c r="B78" s="145" t="s">
        <v>1544</v>
      </c>
    </row>
    <row r="79" spans="1:2" x14ac:dyDescent="0.25">
      <c r="A79" t="s">
        <v>49</v>
      </c>
      <c r="B79" s="145" t="s">
        <v>1544</v>
      </c>
    </row>
    <row r="80" spans="1:2" x14ac:dyDescent="0.25">
      <c r="A80" t="s">
        <v>81</v>
      </c>
      <c r="B80" s="145" t="s">
        <v>1544</v>
      </c>
    </row>
    <row r="81" spans="1:2" x14ac:dyDescent="0.25">
      <c r="A81" t="s">
        <v>94</v>
      </c>
      <c r="B81" s="145" t="s">
        <v>1544</v>
      </c>
    </row>
    <row r="82" spans="1:2" x14ac:dyDescent="0.25">
      <c r="A82" t="s">
        <v>693</v>
      </c>
      <c r="B82" s="145" t="s">
        <v>1542</v>
      </c>
    </row>
    <row r="83" spans="1:2" x14ac:dyDescent="0.25">
      <c r="A83" t="s">
        <v>693</v>
      </c>
      <c r="B83" s="145" t="s">
        <v>1543</v>
      </c>
    </row>
    <row r="84" spans="1:2" x14ac:dyDescent="0.25">
      <c r="A84" t="s">
        <v>62</v>
      </c>
      <c r="B84" s="145" t="s">
        <v>1544</v>
      </c>
    </row>
    <row r="85" spans="1:2" x14ac:dyDescent="0.25">
      <c r="A85" t="s">
        <v>62</v>
      </c>
      <c r="B85" s="145" t="s">
        <v>1545</v>
      </c>
    </row>
    <row r="86" spans="1:2" x14ac:dyDescent="0.25">
      <c r="A86" t="s">
        <v>125</v>
      </c>
      <c r="B86" s="145" t="s">
        <v>1544</v>
      </c>
    </row>
    <row r="87" spans="1:2" x14ac:dyDescent="0.25">
      <c r="A87" t="s">
        <v>642</v>
      </c>
      <c r="B87" s="145" t="s">
        <v>1545</v>
      </c>
    </row>
    <row r="88" spans="1:2" x14ac:dyDescent="0.25">
      <c r="A88" t="s">
        <v>22</v>
      </c>
      <c r="B88" s="145" t="s">
        <v>1542</v>
      </c>
    </row>
    <row r="89" spans="1:2" x14ac:dyDescent="0.25">
      <c r="A89" t="s">
        <v>22</v>
      </c>
      <c r="B89" s="145" t="s">
        <v>1547</v>
      </c>
    </row>
    <row r="90" spans="1:2" x14ac:dyDescent="0.25">
      <c r="A90" t="s">
        <v>369</v>
      </c>
      <c r="B90" s="145" t="s">
        <v>1542</v>
      </c>
    </row>
    <row r="91" spans="1:2" x14ac:dyDescent="0.25">
      <c r="A91" t="s">
        <v>374</v>
      </c>
      <c r="B91" s="145" t="s">
        <v>1542</v>
      </c>
    </row>
    <row r="92" spans="1:2" x14ac:dyDescent="0.25">
      <c r="A92" t="s">
        <v>30</v>
      </c>
      <c r="B92" s="145" t="s">
        <v>1544</v>
      </c>
    </row>
    <row r="93" spans="1:2" x14ac:dyDescent="0.25">
      <c r="A93" t="s">
        <v>30</v>
      </c>
      <c r="B93" s="145" t="s">
        <v>1545</v>
      </c>
    </row>
    <row r="94" spans="1:2" x14ac:dyDescent="0.25">
      <c r="A94" t="s">
        <v>719</v>
      </c>
      <c r="B94" s="145" t="s">
        <v>1544</v>
      </c>
    </row>
    <row r="95" spans="1:2" x14ac:dyDescent="0.25">
      <c r="A95" t="s">
        <v>501</v>
      </c>
      <c r="B95" s="145" t="s">
        <v>1548</v>
      </c>
    </row>
    <row r="96" spans="1:2" x14ac:dyDescent="0.25">
      <c r="A96" t="s">
        <v>588</v>
      </c>
      <c r="B96" s="145" t="s">
        <v>1548</v>
      </c>
    </row>
    <row r="97" spans="1:2" x14ac:dyDescent="0.25">
      <c r="A97" t="s">
        <v>88</v>
      </c>
      <c r="B97" s="145" t="s">
        <v>1548</v>
      </c>
    </row>
    <row r="98" spans="1:2" x14ac:dyDescent="0.25">
      <c r="A98" t="s">
        <v>514</v>
      </c>
      <c r="B98" s="145" t="s">
        <v>1549</v>
      </c>
    </row>
    <row r="99" spans="1:2" x14ac:dyDescent="0.25">
      <c r="A99" t="s">
        <v>35</v>
      </c>
      <c r="B99" s="145" t="s">
        <v>1549</v>
      </c>
    </row>
  </sheetData>
  <phoneticPr fontId="1" type="noConversion"/>
  <conditionalFormatting sqref="A1:A1048576">
    <cfRule type="duplicateValues" dxfId="0" priority="1"/>
  </conditionalFormatting>
  <dataValidations count="3">
    <dataValidation type="list" allowBlank="1" showInputMessage="1" showErrorMessage="1" sqref="H13 H10 H16 H25 H28:H53" xr:uid="{575ABE3C-2A8B-4CCC-A702-19B63068E04E}">
      <formula1>"Realizado,A realizar (COCM),Em logistica (N1&gt;N3),Em compra,Reforma,Avaliar compra"</formula1>
    </dataValidation>
    <dataValidation type="list" allowBlank="1" showInputMessage="1" showErrorMessage="1" sqref="H5 H15 H54:H58" xr:uid="{00A26D2E-65C9-4576-BA45-D55432676C70}">
      <formula1>"Realizado,A realizar (COCM),Em execução,Em compra,Reforma,Avaliar compra"</formula1>
    </dataValidation>
    <dataValidation type="list" allowBlank="1" showInputMessage="1" showErrorMessage="1" sqref="H2:H4 H6:H9 H11:H12 H14 H17:H24 H26:H27" xr:uid="{3A468F5C-9429-446D-8C26-C7CB02728921}">
      <formula1>"Realizado,A realizar (COCM),Em logistica (N1&gt;N3),Gerado PMA,Reforma,Avaliar compra"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W97"/>
  <sheetViews>
    <sheetView showGridLines="0" workbookViewId="0">
      <selection activeCell="U17" sqref="G17:U19"/>
    </sheetView>
    <sheetView topLeftCell="I10" zoomScale="85" zoomScaleNormal="85" workbookViewId="1">
      <selection activeCell="W19" sqref="W19"/>
    </sheetView>
  </sheetViews>
  <sheetFormatPr defaultRowHeight="15" x14ac:dyDescent="0.25"/>
  <cols>
    <col min="1" max="1" width="19.42578125" bestFit="1" customWidth="1"/>
    <col min="3" max="5" width="9.140625" style="3"/>
    <col min="6" max="6" width="10.140625" style="3" bestFit="1" customWidth="1"/>
    <col min="7" max="7" width="22.28515625" style="3" bestFit="1" customWidth="1"/>
    <col min="8" max="8" width="15.5703125" style="3" bestFit="1" customWidth="1"/>
    <col min="9" max="9" width="14" style="3" customWidth="1"/>
    <col min="15" max="15" width="11" bestFit="1" customWidth="1"/>
    <col min="17" max="17" width="20" bestFit="1" customWidth="1"/>
    <col min="18" max="18" width="27" bestFit="1" customWidth="1"/>
    <col min="19" max="21" width="14.28515625" bestFit="1" customWidth="1"/>
    <col min="22" max="22" width="25.85546875" bestFit="1" customWidth="1"/>
    <col min="23" max="23" width="15" bestFit="1" customWidth="1"/>
  </cols>
  <sheetData>
    <row r="1" spans="1:23" x14ac:dyDescent="0.25">
      <c r="A1" s="3" t="s">
        <v>298</v>
      </c>
      <c r="C1" s="3" t="s">
        <v>1312</v>
      </c>
      <c r="D1" s="3" t="s">
        <v>1311</v>
      </c>
      <c r="E1" s="3" t="s">
        <v>1313</v>
      </c>
      <c r="F1" s="3" t="s">
        <v>1306</v>
      </c>
      <c r="G1" s="3" t="s">
        <v>1307</v>
      </c>
      <c r="H1" s="3" t="s">
        <v>1324</v>
      </c>
      <c r="I1" s="3" t="s">
        <v>1325</v>
      </c>
      <c r="J1" s="3" t="s">
        <v>1318</v>
      </c>
      <c r="K1" s="3" t="s">
        <v>1319</v>
      </c>
      <c r="L1" s="3" t="s">
        <v>1320</v>
      </c>
      <c r="M1" s="3" t="s">
        <v>1321</v>
      </c>
      <c r="N1" s="3" t="s">
        <v>1322</v>
      </c>
      <c r="O1" s="3" t="s">
        <v>1303</v>
      </c>
      <c r="Q1" t="s">
        <v>1314</v>
      </c>
      <c r="R1" t="s">
        <v>1315</v>
      </c>
    </row>
    <row r="2" spans="1:23" x14ac:dyDescent="0.25">
      <c r="A2" s="3" t="s">
        <v>1606</v>
      </c>
      <c r="C2" s="3" t="s">
        <v>1309</v>
      </c>
      <c r="D2" s="3" t="s">
        <v>1302</v>
      </c>
      <c r="E2" s="3">
        <v>2025</v>
      </c>
      <c r="F2" s="3" t="s">
        <v>740</v>
      </c>
      <c r="G2" s="3" t="str">
        <f>_xlfn.CONCAT(Tabela17[[#This Row],[FAIXA DE TENSÃO]],Tabela17[[#This Row],[TIPO]],Tabela17[[#This Row],[Ano2]],Tabela17[[#This Row],[Mês]])</f>
        <v>34.500RL2025janeiro</v>
      </c>
      <c r="H2" s="3">
        <v>1</v>
      </c>
      <c r="I2" s="3">
        <v>1281</v>
      </c>
      <c r="J2" s="3">
        <v>200</v>
      </c>
      <c r="K2">
        <v>1081</v>
      </c>
      <c r="L2" s="3">
        <v>180</v>
      </c>
      <c r="M2" s="3"/>
      <c r="N2" s="15"/>
      <c r="O2" s="17"/>
      <c r="Q2">
        <v>1081</v>
      </c>
      <c r="R2">
        <v>200</v>
      </c>
      <c r="S2" s="7">
        <f>Q2/1291</f>
        <v>0.8373353989155693</v>
      </c>
      <c r="T2" s="16">
        <f>1-S2</f>
        <v>0.1626646010844307</v>
      </c>
    </row>
    <row r="3" spans="1:23" x14ac:dyDescent="0.25">
      <c r="A3" s="3" t="s">
        <v>1328</v>
      </c>
      <c r="C3" s="3" t="s">
        <v>1309</v>
      </c>
      <c r="D3" s="3" t="s">
        <v>1302</v>
      </c>
      <c r="E3" s="3">
        <v>2025</v>
      </c>
      <c r="F3" s="3" t="s">
        <v>741</v>
      </c>
      <c r="G3" s="3" t="str">
        <f>_xlfn.CONCAT(Tabela17[[#This Row],[FAIXA DE TENSÃO]],Tabela17[[#This Row],[TIPO]],Tabela17[[#This Row],[Ano2]],Tabela17[[#This Row],[Mês]])</f>
        <v>34.500RL2025fevereiro</v>
      </c>
      <c r="H3" s="3">
        <v>1</v>
      </c>
      <c r="I3" s="3">
        <v>1281</v>
      </c>
      <c r="J3" s="3">
        <v>200</v>
      </c>
      <c r="K3">
        <v>1081</v>
      </c>
      <c r="L3" s="3">
        <v>180</v>
      </c>
      <c r="M3" s="3"/>
      <c r="N3" s="15"/>
      <c r="O3" s="17"/>
      <c r="Q3" t="s">
        <v>1316</v>
      </c>
      <c r="R3" t="s">
        <v>1317</v>
      </c>
    </row>
    <row r="4" spans="1:23" x14ac:dyDescent="0.25">
      <c r="A4" s="3" t="s">
        <v>313</v>
      </c>
      <c r="C4" s="3" t="s">
        <v>1309</v>
      </c>
      <c r="D4" s="3" t="s">
        <v>1302</v>
      </c>
      <c r="E4" s="3">
        <v>2025</v>
      </c>
      <c r="F4" s="3" t="s">
        <v>742</v>
      </c>
      <c r="G4" s="3" t="str">
        <f>_xlfn.CONCAT(Tabela17[[#This Row],[FAIXA DE TENSÃO]],Tabela17[[#This Row],[TIPO]],Tabela17[[#This Row],[Ano2]],Tabela17[[#This Row],[Mês]])</f>
        <v>34.500RL2025março</v>
      </c>
      <c r="H4" s="3">
        <v>2</v>
      </c>
      <c r="I4" s="3">
        <v>1281</v>
      </c>
      <c r="J4" s="3">
        <v>200</v>
      </c>
      <c r="K4">
        <v>1081</v>
      </c>
      <c r="L4" s="3">
        <v>180</v>
      </c>
      <c r="M4" s="3"/>
      <c r="N4" s="15"/>
      <c r="O4" s="17"/>
      <c r="Q4">
        <v>137</v>
      </c>
      <c r="R4">
        <f>291-137</f>
        <v>154</v>
      </c>
    </row>
    <row r="5" spans="1:23" x14ac:dyDescent="0.25">
      <c r="A5" s="3" t="s">
        <v>1329</v>
      </c>
      <c r="C5" s="3" t="s">
        <v>1309</v>
      </c>
      <c r="D5" s="3" t="s">
        <v>1302</v>
      </c>
      <c r="E5" s="3">
        <v>2025</v>
      </c>
      <c r="F5" s="3" t="s">
        <v>743</v>
      </c>
      <c r="G5" s="3" t="str">
        <f>_xlfn.CONCAT(Tabela17[[#This Row],[FAIXA DE TENSÃO]],Tabela17[[#This Row],[TIPO]],Tabela17[[#This Row],[Ano2]],Tabela17[[#This Row],[Mês]])</f>
        <v>34.500RL2025abril</v>
      </c>
      <c r="H5" s="3">
        <v>2</v>
      </c>
      <c r="I5" s="3">
        <v>1281</v>
      </c>
      <c r="J5" s="3">
        <v>200</v>
      </c>
      <c r="K5">
        <v>1081</v>
      </c>
      <c r="L5" s="3">
        <v>180</v>
      </c>
      <c r="M5" s="3"/>
      <c r="N5" s="15"/>
      <c r="O5" s="17"/>
    </row>
    <row r="6" spans="1:23" x14ac:dyDescent="0.25">
      <c r="A6" s="3" t="s">
        <v>314</v>
      </c>
      <c r="C6" s="3" t="s">
        <v>1309</v>
      </c>
      <c r="D6" s="3" t="s">
        <v>1302</v>
      </c>
      <c r="E6" s="3">
        <v>2025</v>
      </c>
      <c r="F6" s="3" t="s">
        <v>744</v>
      </c>
      <c r="G6" s="3" t="str">
        <f>_xlfn.CONCAT(Tabela17[[#This Row],[FAIXA DE TENSÃO]],Tabela17[[#This Row],[TIPO]],Tabela17[[#This Row],[Ano2]],Tabela17[[#This Row],[Mês]])</f>
        <v>34.500RL2025maio</v>
      </c>
      <c r="H6" s="3">
        <v>7</v>
      </c>
      <c r="I6" s="3">
        <v>1281</v>
      </c>
      <c r="J6" s="3">
        <v>200</v>
      </c>
      <c r="K6">
        <v>1081</v>
      </c>
      <c r="L6" s="3">
        <v>180</v>
      </c>
      <c r="M6" s="3"/>
      <c r="N6" s="15"/>
      <c r="O6" s="17"/>
    </row>
    <row r="7" spans="1:23" x14ac:dyDescent="0.25">
      <c r="A7" s="3" t="s">
        <v>315</v>
      </c>
      <c r="C7" s="3" t="s">
        <v>1309</v>
      </c>
      <c r="D7" s="3" t="s">
        <v>1302</v>
      </c>
      <c r="E7" s="3">
        <v>2025</v>
      </c>
      <c r="F7" s="3" t="s">
        <v>745</v>
      </c>
      <c r="G7" s="3" t="str">
        <f>_xlfn.CONCAT(Tabela17[[#This Row],[FAIXA DE TENSÃO]],Tabela17[[#This Row],[TIPO]],Tabela17[[#This Row],[Ano2]],Tabela17[[#This Row],[Mês]])</f>
        <v>34.500RL2025junho</v>
      </c>
      <c r="H7" s="3">
        <v>4</v>
      </c>
      <c r="I7" s="3">
        <v>1281</v>
      </c>
      <c r="J7" s="3">
        <v>200</v>
      </c>
      <c r="K7">
        <v>1081</v>
      </c>
      <c r="L7" s="3">
        <v>180</v>
      </c>
      <c r="M7" s="3"/>
      <c r="N7" s="15"/>
      <c r="O7" s="17"/>
      <c r="Q7" s="132" t="s">
        <v>1481</v>
      </c>
      <c r="R7" s="132" t="s">
        <v>1482</v>
      </c>
      <c r="S7" s="132" t="s">
        <v>1483</v>
      </c>
      <c r="T7" s="133" t="s">
        <v>1484</v>
      </c>
      <c r="U7" s="133" t="s">
        <v>1375</v>
      </c>
      <c r="V7" s="132" t="s">
        <v>1485</v>
      </c>
      <c r="W7" s="132" t="s">
        <v>1486</v>
      </c>
    </row>
    <row r="8" spans="1:23" x14ac:dyDescent="0.25">
      <c r="A8" s="3"/>
      <c r="C8" s="3" t="s">
        <v>1309</v>
      </c>
      <c r="D8" s="3" t="s">
        <v>1302</v>
      </c>
      <c r="E8" s="3">
        <v>2025</v>
      </c>
      <c r="F8" s="3" t="s">
        <v>746</v>
      </c>
      <c r="G8" s="3" t="str">
        <f>_xlfn.CONCAT(Tabela17[[#This Row],[FAIXA DE TENSÃO]],Tabela17[[#This Row],[TIPO]],Tabela17[[#This Row],[Ano2]],Tabela17[[#This Row],[Mês]])</f>
        <v>34.500RL2025julho</v>
      </c>
      <c r="H8" s="3">
        <v>5</v>
      </c>
      <c r="I8" s="3">
        <v>1281</v>
      </c>
      <c r="J8" s="3">
        <v>200</v>
      </c>
      <c r="K8">
        <v>1081</v>
      </c>
      <c r="L8" s="3">
        <v>180</v>
      </c>
      <c r="M8" s="3"/>
      <c r="N8" s="15"/>
      <c r="O8" s="17"/>
      <c r="Q8" s="132" t="s">
        <v>1468</v>
      </c>
      <c r="R8" s="132" t="s">
        <v>1487</v>
      </c>
      <c r="S8" s="132">
        <v>55602.54</v>
      </c>
      <c r="T8" s="133">
        <v>11016.94</v>
      </c>
      <c r="U8" s="133">
        <f t="shared" ref="U8:U13" si="0">SUM(S8:T8)</f>
        <v>66619.48</v>
      </c>
      <c r="V8" s="132" t="s">
        <v>1488</v>
      </c>
      <c r="W8" s="132" t="s">
        <v>1489</v>
      </c>
    </row>
    <row r="9" spans="1:23" x14ac:dyDescent="0.25">
      <c r="C9" s="3" t="s">
        <v>1309</v>
      </c>
      <c r="D9" s="3" t="s">
        <v>1302</v>
      </c>
      <c r="E9" s="3">
        <v>2025</v>
      </c>
      <c r="F9" s="3" t="s">
        <v>747</v>
      </c>
      <c r="G9" s="3" t="str">
        <f>_xlfn.CONCAT(Tabela17[[#This Row],[FAIXA DE TENSÃO]],Tabela17[[#This Row],[TIPO]],Tabela17[[#This Row],[Ano2]],Tabela17[[#This Row],[Mês]])</f>
        <v>34.500RL2025agosto</v>
      </c>
      <c r="H9" s="3">
        <v>2</v>
      </c>
      <c r="I9" s="3">
        <v>1281</v>
      </c>
      <c r="J9" s="3">
        <v>200</v>
      </c>
      <c r="K9">
        <v>1081</v>
      </c>
      <c r="L9" s="3">
        <v>180</v>
      </c>
      <c r="M9" s="3"/>
      <c r="N9" s="15"/>
      <c r="O9" s="17"/>
      <c r="Q9" s="132" t="s">
        <v>1470</v>
      </c>
      <c r="R9" s="132" t="s">
        <v>1490</v>
      </c>
      <c r="S9" s="132">
        <v>76246.2</v>
      </c>
      <c r="T9" s="133">
        <v>13209.34</v>
      </c>
      <c r="U9" s="133">
        <f t="shared" si="0"/>
        <v>89455.54</v>
      </c>
      <c r="V9" s="132" t="s">
        <v>1488</v>
      </c>
      <c r="W9" s="132" t="s">
        <v>1491</v>
      </c>
    </row>
    <row r="10" spans="1:23" x14ac:dyDescent="0.25">
      <c r="C10" s="3" t="s">
        <v>1309</v>
      </c>
      <c r="D10" s="3" t="s">
        <v>1302</v>
      </c>
      <c r="E10" s="3">
        <v>2025</v>
      </c>
      <c r="F10" s="3" t="s">
        <v>748</v>
      </c>
      <c r="G10" s="3" t="str">
        <f>_xlfn.CONCAT(Tabela17[[#This Row],[FAIXA DE TENSÃO]],Tabela17[[#This Row],[TIPO]],Tabela17[[#This Row],[Ano2]],Tabela17[[#This Row],[Mês]])</f>
        <v>34.500RL2025setembro</v>
      </c>
      <c r="H10" s="3">
        <v>2</v>
      </c>
      <c r="I10" s="3">
        <v>1281</v>
      </c>
      <c r="J10" s="3">
        <v>200</v>
      </c>
      <c r="K10">
        <v>1081</v>
      </c>
      <c r="L10" s="3">
        <v>180</v>
      </c>
      <c r="M10" s="3"/>
      <c r="N10" s="15"/>
      <c r="O10" s="17"/>
      <c r="Q10" s="132" t="s">
        <v>1469</v>
      </c>
      <c r="R10" s="132" t="s">
        <v>1487</v>
      </c>
      <c r="S10" s="132">
        <v>21785.72</v>
      </c>
      <c r="T10" s="133">
        <v>11016.94</v>
      </c>
      <c r="U10" s="133">
        <f t="shared" si="0"/>
        <v>32802.660000000003</v>
      </c>
      <c r="V10" s="132" t="s">
        <v>1492</v>
      </c>
      <c r="W10" s="132" t="s">
        <v>1493</v>
      </c>
    </row>
    <row r="11" spans="1:23" x14ac:dyDescent="0.25">
      <c r="C11" s="3" t="s">
        <v>1309</v>
      </c>
      <c r="D11" s="3" t="s">
        <v>1302</v>
      </c>
      <c r="E11" s="3">
        <v>2025</v>
      </c>
      <c r="F11" s="3" t="s">
        <v>749</v>
      </c>
      <c r="G11" s="3" t="str">
        <f>_xlfn.CONCAT(Tabela17[[#This Row],[FAIXA DE TENSÃO]],Tabela17[[#This Row],[TIPO]],Tabela17[[#This Row],[Ano2]],Tabela17[[#This Row],[Mês]])</f>
        <v>34.500RL2025outubro</v>
      </c>
      <c r="H11" s="3">
        <v>4</v>
      </c>
      <c r="I11" s="3">
        <v>1281</v>
      </c>
      <c r="J11" s="3">
        <v>200</v>
      </c>
      <c r="K11">
        <v>1081</v>
      </c>
      <c r="L11" s="3">
        <v>180</v>
      </c>
      <c r="M11" s="3"/>
      <c r="N11" s="15"/>
      <c r="O11" s="17"/>
      <c r="Q11" s="132" t="s">
        <v>1472</v>
      </c>
      <c r="R11" s="132" t="s">
        <v>1490</v>
      </c>
      <c r="S11" s="132">
        <v>38151.480000000003</v>
      </c>
      <c r="T11" s="133">
        <v>13209.34</v>
      </c>
      <c r="U11" s="133">
        <f t="shared" si="0"/>
        <v>51360.820000000007</v>
      </c>
      <c r="V11" s="132" t="s">
        <v>1492</v>
      </c>
      <c r="W11" s="132" t="s">
        <v>1494</v>
      </c>
    </row>
    <row r="12" spans="1:23" x14ac:dyDescent="0.25">
      <c r="C12" s="3" t="s">
        <v>1309</v>
      </c>
      <c r="D12" s="3" t="s">
        <v>1302</v>
      </c>
      <c r="E12" s="3">
        <v>2025</v>
      </c>
      <c r="F12" s="3" t="s">
        <v>750</v>
      </c>
      <c r="G12" s="3" t="str">
        <f>_xlfn.CONCAT(Tabela17[[#This Row],[FAIXA DE TENSÃO]],Tabela17[[#This Row],[TIPO]],Tabela17[[#This Row],[Ano2]],Tabela17[[#This Row],[Mês]])</f>
        <v>34.500RL2025novembro</v>
      </c>
      <c r="H12" s="3">
        <v>1</v>
      </c>
      <c r="I12" s="3">
        <v>1281</v>
      </c>
      <c r="J12" s="3">
        <v>200</v>
      </c>
      <c r="K12">
        <v>1081</v>
      </c>
      <c r="L12" s="3">
        <v>180</v>
      </c>
      <c r="M12" s="3"/>
      <c r="N12" s="15"/>
      <c r="O12" s="17"/>
      <c r="Q12" s="132" t="s">
        <v>1495</v>
      </c>
      <c r="R12" s="132" t="s">
        <v>1487</v>
      </c>
      <c r="S12" s="132">
        <v>33816.82</v>
      </c>
      <c r="T12" s="133">
        <v>11016.94</v>
      </c>
      <c r="U12" s="133">
        <f t="shared" si="0"/>
        <v>44833.760000000002</v>
      </c>
      <c r="V12" s="132" t="s">
        <v>1496</v>
      </c>
      <c r="W12" s="132" t="s">
        <v>1497</v>
      </c>
    </row>
    <row r="13" spans="1:23" x14ac:dyDescent="0.25">
      <c r="C13" s="3" t="s">
        <v>1309</v>
      </c>
      <c r="D13" s="3" t="s">
        <v>1302</v>
      </c>
      <c r="E13" s="3">
        <v>2025</v>
      </c>
      <c r="F13" s="3" t="s">
        <v>751</v>
      </c>
      <c r="G13" s="3" t="str">
        <f>_xlfn.CONCAT(Tabela17[[#This Row],[FAIXA DE TENSÃO]],Tabela17[[#This Row],[TIPO]],Tabela17[[#This Row],[Ano2]],Tabela17[[#This Row],[Mês]])</f>
        <v>34.500RL2025dezembro</v>
      </c>
      <c r="H13" s="3">
        <v>4</v>
      </c>
      <c r="I13" s="3">
        <v>1281</v>
      </c>
      <c r="J13" s="3">
        <v>200</v>
      </c>
      <c r="K13">
        <v>1081</v>
      </c>
      <c r="L13" s="3">
        <v>180</v>
      </c>
      <c r="M13" s="3"/>
      <c r="N13" s="15"/>
      <c r="O13" s="17"/>
      <c r="Q13" s="132" t="s">
        <v>1475</v>
      </c>
      <c r="R13" s="132" t="s">
        <v>1490</v>
      </c>
      <c r="S13" s="132">
        <v>38094.720000000001</v>
      </c>
      <c r="T13" s="133">
        <v>13209.34</v>
      </c>
      <c r="U13" s="133">
        <f t="shared" si="0"/>
        <v>51304.06</v>
      </c>
      <c r="V13" s="132" t="s">
        <v>1496</v>
      </c>
      <c r="W13" s="132" t="s">
        <v>1498</v>
      </c>
    </row>
    <row r="14" spans="1:23" x14ac:dyDescent="0.25">
      <c r="C14" s="3" t="s">
        <v>1309</v>
      </c>
      <c r="D14" s="3" t="s">
        <v>1302</v>
      </c>
      <c r="E14" s="3">
        <v>2026</v>
      </c>
      <c r="F14" s="3" t="s">
        <v>740</v>
      </c>
      <c r="G14" s="3" t="str">
        <f>_xlfn.CONCAT(Tabela17[[#This Row],[FAIXA DE TENSÃO]],Tabela17[[#This Row],[TIPO]],Tabela17[[#This Row],[Ano2]],Tabela17[[#This Row],[Mês]])</f>
        <v>34.500RL2026janeiro</v>
      </c>
      <c r="H14" s="3">
        <v>6</v>
      </c>
      <c r="I14" s="3">
        <v>1283</v>
      </c>
      <c r="J14" s="3">
        <v>200</v>
      </c>
      <c r="K14">
        <v>1081</v>
      </c>
      <c r="L14" s="3">
        <v>180</v>
      </c>
      <c r="M14" s="3"/>
      <c r="N14" s="15"/>
      <c r="O14" s="17"/>
      <c r="T14" s="8"/>
      <c r="U14" s="8"/>
    </row>
    <row r="15" spans="1:23" x14ac:dyDescent="0.25">
      <c r="C15" s="3" t="s">
        <v>1309</v>
      </c>
      <c r="D15" s="3" t="s">
        <v>1302</v>
      </c>
      <c r="E15" s="3">
        <v>2026</v>
      </c>
      <c r="F15" s="3" t="s">
        <v>741</v>
      </c>
      <c r="G15" s="3" t="str">
        <f>_xlfn.CONCAT(Tabela17[[#This Row],[FAIXA DE TENSÃO]],Tabela17[[#This Row],[TIPO]],Tabela17[[#This Row],[Ano2]],Tabela17[[#This Row],[Mês]])</f>
        <v>34.500RL2026fevereiro</v>
      </c>
      <c r="H15" s="3">
        <v>7</v>
      </c>
      <c r="I15" s="3">
        <v>1283</v>
      </c>
      <c r="J15" s="3">
        <v>200</v>
      </c>
      <c r="K15">
        <v>1081</v>
      </c>
      <c r="L15" s="3">
        <v>180</v>
      </c>
      <c r="M15" s="3"/>
      <c r="N15" s="15"/>
      <c r="O15" s="17"/>
      <c r="T15" s="8"/>
      <c r="U15" s="8"/>
    </row>
    <row r="16" spans="1:23" x14ac:dyDescent="0.25">
      <c r="C16" s="3" t="s">
        <v>1309</v>
      </c>
      <c r="D16" s="3" t="s">
        <v>1302</v>
      </c>
      <c r="E16" s="3">
        <v>2026</v>
      </c>
      <c r="F16" s="3" t="s">
        <v>742</v>
      </c>
      <c r="G16" s="3" t="str">
        <f>_xlfn.CONCAT(Tabela17[[#This Row],[FAIXA DE TENSÃO]],Tabela17[[#This Row],[TIPO]],Tabela17[[#This Row],[Ano2]],Tabela17[[#This Row],[Mês]])</f>
        <v>34.500RL2026março</v>
      </c>
      <c r="H16" s="3">
        <v>8</v>
      </c>
      <c r="I16" s="3">
        <v>1285</v>
      </c>
      <c r="J16" s="3">
        <v>200</v>
      </c>
      <c r="K16">
        <v>1081</v>
      </c>
      <c r="L16" s="3">
        <v>180</v>
      </c>
      <c r="M16" s="3"/>
      <c r="N16" s="15"/>
      <c r="O16" s="17"/>
      <c r="T16" s="8"/>
      <c r="U16" s="8"/>
    </row>
    <row r="17" spans="3:23" x14ac:dyDescent="0.25">
      <c r="C17" s="3" t="s">
        <v>1309</v>
      </c>
      <c r="D17" s="3" t="s">
        <v>1302</v>
      </c>
      <c r="E17" s="3">
        <v>2026</v>
      </c>
      <c r="F17" s="3" t="s">
        <v>743</v>
      </c>
      <c r="G17" s="3" t="str">
        <f>_xlfn.CONCAT(Tabela17[[#This Row],[FAIXA DE TENSÃO]],Tabela17[[#This Row],[TIPO]],Tabela17[[#This Row],[Ano2]],Tabela17[[#This Row],[Mês]])</f>
        <v>34.500RL2026abril</v>
      </c>
      <c r="H17" s="3">
        <v>3</v>
      </c>
      <c r="I17" s="3">
        <v>1287</v>
      </c>
      <c r="J17" s="3">
        <v>200</v>
      </c>
      <c r="K17">
        <v>1081</v>
      </c>
      <c r="L17" s="3">
        <v>180</v>
      </c>
      <c r="M17" s="3"/>
      <c r="N17" s="15"/>
      <c r="O17" s="17"/>
      <c r="Q17" s="132" t="s">
        <v>1481</v>
      </c>
      <c r="R17" s="132" t="s">
        <v>1499</v>
      </c>
      <c r="S17" s="132" t="s">
        <v>1500</v>
      </c>
      <c r="T17" s="133" t="s">
        <v>1484</v>
      </c>
      <c r="U17" s="133" t="s">
        <v>1375</v>
      </c>
      <c r="V17" s="132" t="s">
        <v>1485</v>
      </c>
      <c r="W17" s="132" t="s">
        <v>1501</v>
      </c>
    </row>
    <row r="18" spans="3:23" x14ac:dyDescent="0.25">
      <c r="C18" s="3" t="s">
        <v>1309</v>
      </c>
      <c r="D18" s="3" t="s">
        <v>1302</v>
      </c>
      <c r="E18" s="3">
        <v>2026</v>
      </c>
      <c r="F18" s="3" t="s">
        <v>744</v>
      </c>
      <c r="G18" s="3" t="str">
        <f>_xlfn.CONCAT(Tabela17[[#This Row],[FAIXA DE TENSÃO]],Tabela17[[#This Row],[TIPO]],Tabela17[[#This Row],[Ano2]],Tabela17[[#This Row],[Mês]])</f>
        <v>34.500RL2026maio</v>
      </c>
      <c r="H18" s="3">
        <v>0</v>
      </c>
      <c r="I18" s="3">
        <v>1290</v>
      </c>
      <c r="J18" s="3">
        <v>200</v>
      </c>
      <c r="K18">
        <v>1081</v>
      </c>
      <c r="L18" s="3">
        <v>180</v>
      </c>
      <c r="M18" s="3"/>
      <c r="N18" s="15"/>
      <c r="O18" s="17"/>
      <c r="Q18" s="132" t="s">
        <v>1502</v>
      </c>
      <c r="R18" s="132" t="s">
        <v>1503</v>
      </c>
      <c r="S18" s="133">
        <v>62113.2</v>
      </c>
      <c r="T18" s="133">
        <v>51402.14</v>
      </c>
      <c r="U18" s="133">
        <f t="shared" ref="U18:U31" si="1">SUM(S18:T18)</f>
        <v>113515.34</v>
      </c>
      <c r="V18" s="132" t="s">
        <v>1504</v>
      </c>
      <c r="W18" s="132" t="s">
        <v>1505</v>
      </c>
    </row>
    <row r="19" spans="3:23" x14ac:dyDescent="0.25">
      <c r="C19" s="3" t="s">
        <v>1309</v>
      </c>
      <c r="D19" s="3" t="s">
        <v>1302</v>
      </c>
      <c r="E19" s="3">
        <v>2026</v>
      </c>
      <c r="F19" s="3" t="s">
        <v>745</v>
      </c>
      <c r="G19" s="3" t="str">
        <f>_xlfn.CONCAT(Tabela17[[#This Row],[FAIXA DE TENSÃO]],Tabela17[[#This Row],[TIPO]],Tabela17[[#This Row],[Ano2]],Tabela17[[#This Row],[Mês]])</f>
        <v>34.500RL2026junho</v>
      </c>
      <c r="H19" s="3">
        <v>1</v>
      </c>
      <c r="I19" s="3">
        <v>1291</v>
      </c>
      <c r="J19" s="3">
        <v>200</v>
      </c>
      <c r="K19">
        <v>1081</v>
      </c>
      <c r="L19" s="3">
        <v>180</v>
      </c>
      <c r="M19" s="3"/>
      <c r="N19" s="15"/>
      <c r="O19" s="17"/>
      <c r="Q19" s="132" t="s">
        <v>1618</v>
      </c>
      <c r="R19" s="132" t="s">
        <v>1506</v>
      </c>
      <c r="S19" s="133">
        <v>27616.62</v>
      </c>
      <c r="T19" s="133">
        <v>51402.14</v>
      </c>
      <c r="U19" s="133">
        <f t="shared" si="1"/>
        <v>79018.759999999995</v>
      </c>
      <c r="V19" s="132"/>
      <c r="W19" s="132" t="s">
        <v>1507</v>
      </c>
    </row>
    <row r="20" spans="3:23" x14ac:dyDescent="0.25">
      <c r="C20" s="3" t="s">
        <v>1309</v>
      </c>
      <c r="D20" s="3" t="s">
        <v>1302</v>
      </c>
      <c r="E20" s="3">
        <v>2026</v>
      </c>
      <c r="F20" s="3" t="s">
        <v>746</v>
      </c>
      <c r="G20" s="3" t="str">
        <f>_xlfn.CONCAT(Tabela17[[#This Row],[FAIXA DE TENSÃO]],Tabela17[[#This Row],[TIPO]],Tabela17[[#This Row],[Ano2]],Tabela17[[#This Row],[Mês]])</f>
        <v>34.500RL2026julho</v>
      </c>
      <c r="H20" s="3">
        <v>3</v>
      </c>
      <c r="I20" s="3">
        <v>1294</v>
      </c>
      <c r="J20" s="3">
        <v>200</v>
      </c>
      <c r="K20">
        <v>1081</v>
      </c>
      <c r="L20" s="3">
        <v>180</v>
      </c>
      <c r="M20" s="3"/>
      <c r="N20" s="15"/>
      <c r="O20" s="17"/>
      <c r="Q20" s="132" t="s">
        <v>1502</v>
      </c>
      <c r="R20" s="132" t="s">
        <v>1508</v>
      </c>
      <c r="S20" s="133">
        <v>51705.75</v>
      </c>
      <c r="T20" s="133">
        <v>80318.5</v>
      </c>
      <c r="U20" s="133">
        <f t="shared" si="1"/>
        <v>132024.25</v>
      </c>
      <c r="V20" s="132"/>
      <c r="W20" s="132" t="s">
        <v>1509</v>
      </c>
    </row>
    <row r="21" spans="3:23" x14ac:dyDescent="0.25">
      <c r="C21" s="3" t="s">
        <v>1309</v>
      </c>
      <c r="D21" s="3" t="s">
        <v>1302</v>
      </c>
      <c r="E21" s="3">
        <v>2026</v>
      </c>
      <c r="F21" s="3" t="s">
        <v>747</v>
      </c>
      <c r="G21" s="3" t="str">
        <f>_xlfn.CONCAT(Tabela17[[#This Row],[FAIXA DE TENSÃO]],Tabela17[[#This Row],[TIPO]],Tabela17[[#This Row],[Ano2]],Tabela17[[#This Row],[Mês]])</f>
        <v>34.500RL2026agosto</v>
      </c>
      <c r="H21" s="3">
        <v>0</v>
      </c>
      <c r="I21" s="3">
        <v>1294</v>
      </c>
      <c r="J21" s="3">
        <v>200</v>
      </c>
      <c r="K21">
        <v>1081</v>
      </c>
      <c r="L21" s="3">
        <v>180</v>
      </c>
      <c r="M21" s="3"/>
      <c r="N21" s="15"/>
      <c r="O21" s="17"/>
      <c r="Q21" s="132" t="s">
        <v>1477</v>
      </c>
      <c r="R21" s="132" t="s">
        <v>1510</v>
      </c>
      <c r="S21" s="133">
        <v>90230</v>
      </c>
      <c r="T21" s="133">
        <v>80318.5</v>
      </c>
      <c r="U21" s="133">
        <f t="shared" si="1"/>
        <v>170548.5</v>
      </c>
      <c r="V21" s="132"/>
      <c r="W21" s="132" t="s">
        <v>1511</v>
      </c>
    </row>
    <row r="22" spans="3:23" x14ac:dyDescent="0.25">
      <c r="C22" s="3" t="s">
        <v>1309</v>
      </c>
      <c r="D22" s="3" t="s">
        <v>1302</v>
      </c>
      <c r="E22" s="3">
        <v>2026</v>
      </c>
      <c r="F22" s="3" t="s">
        <v>748</v>
      </c>
      <c r="G22" s="3" t="str">
        <f>_xlfn.CONCAT(Tabela17[[#This Row],[FAIXA DE TENSÃO]],Tabela17[[#This Row],[TIPO]],Tabela17[[#This Row],[Ano2]],Tabela17[[#This Row],[Mês]])</f>
        <v>34.500RL2026setembro</v>
      </c>
      <c r="I22" s="3">
        <v>1294</v>
      </c>
      <c r="J22" s="3">
        <v>200</v>
      </c>
      <c r="K22">
        <v>1081</v>
      </c>
      <c r="L22" s="3">
        <v>180</v>
      </c>
      <c r="M22" s="3"/>
      <c r="N22" s="15"/>
      <c r="O22" s="17"/>
      <c r="Q22" s="132" t="s">
        <v>1478</v>
      </c>
      <c r="R22" s="132" t="s">
        <v>1512</v>
      </c>
      <c r="S22" s="133">
        <v>23259.599999999999</v>
      </c>
      <c r="T22" s="133">
        <v>20000</v>
      </c>
      <c r="U22" s="133">
        <f t="shared" si="1"/>
        <v>43259.6</v>
      </c>
      <c r="V22" s="132" t="s">
        <v>1513</v>
      </c>
      <c r="W22" s="132" t="s">
        <v>1514</v>
      </c>
    </row>
    <row r="23" spans="3:23" x14ac:dyDescent="0.25">
      <c r="C23" s="3" t="s">
        <v>1309</v>
      </c>
      <c r="D23" s="3" t="s">
        <v>1302</v>
      </c>
      <c r="E23" s="3">
        <v>2026</v>
      </c>
      <c r="F23" s="3" t="s">
        <v>749</v>
      </c>
      <c r="G23" s="3" t="str">
        <f>_xlfn.CONCAT(Tabela17[[#This Row],[FAIXA DE TENSÃO]],Tabela17[[#This Row],[TIPO]],Tabela17[[#This Row],[Ano2]],Tabela17[[#This Row],[Mês]])</f>
        <v>34.500RL2026outubro</v>
      </c>
      <c r="I23" s="3">
        <v>1294</v>
      </c>
      <c r="J23" s="3">
        <v>200</v>
      </c>
      <c r="K23">
        <v>1081</v>
      </c>
      <c r="L23" s="3">
        <v>180</v>
      </c>
      <c r="M23" s="3"/>
      <c r="N23" s="15"/>
      <c r="O23" s="17"/>
      <c r="Q23" s="132" t="s">
        <v>1473</v>
      </c>
      <c r="R23" s="132" t="s">
        <v>1515</v>
      </c>
      <c r="S23" s="133">
        <v>51705.75</v>
      </c>
      <c r="T23" s="133">
        <v>80318.5</v>
      </c>
      <c r="U23" s="133">
        <f t="shared" si="1"/>
        <v>132024.25</v>
      </c>
      <c r="V23" s="132"/>
      <c r="W23" s="132" t="s">
        <v>1509</v>
      </c>
    </row>
    <row r="24" spans="3:23" x14ac:dyDescent="0.25">
      <c r="C24" s="3" t="s">
        <v>1309</v>
      </c>
      <c r="D24" s="3" t="s">
        <v>1302</v>
      </c>
      <c r="E24" s="3">
        <v>2026</v>
      </c>
      <c r="F24" s="3" t="s">
        <v>750</v>
      </c>
      <c r="G24" s="3" t="str">
        <f>_xlfn.CONCAT(Tabela17[[#This Row],[FAIXA DE TENSÃO]],Tabela17[[#This Row],[TIPO]],Tabela17[[#This Row],[Ano2]],Tabela17[[#This Row],[Mês]])</f>
        <v>34.500RL2026novembro</v>
      </c>
      <c r="I24" s="3">
        <v>1294</v>
      </c>
      <c r="J24" s="3">
        <v>200</v>
      </c>
      <c r="K24">
        <v>1081</v>
      </c>
      <c r="L24" s="3">
        <v>180</v>
      </c>
      <c r="M24" s="3"/>
      <c r="N24" s="15"/>
      <c r="O24" s="17"/>
      <c r="Q24" s="132" t="s">
        <v>1474</v>
      </c>
      <c r="R24" s="132" t="s">
        <v>1512</v>
      </c>
      <c r="S24" s="133">
        <v>23259.599999999999</v>
      </c>
      <c r="T24" s="133">
        <v>20000</v>
      </c>
      <c r="U24" s="133">
        <f t="shared" si="1"/>
        <v>43259.6</v>
      </c>
      <c r="V24" s="132"/>
      <c r="W24" s="132"/>
    </row>
    <row r="25" spans="3:23" x14ac:dyDescent="0.25">
      <c r="C25" s="3" t="s">
        <v>1309</v>
      </c>
      <c r="D25" s="3" t="s">
        <v>1302</v>
      </c>
      <c r="E25" s="3">
        <v>2026</v>
      </c>
      <c r="F25" s="3" t="s">
        <v>751</v>
      </c>
      <c r="G25" s="3" t="str">
        <f>_xlfn.CONCAT(Tabela17[[#This Row],[FAIXA DE TENSÃO]],Tabela17[[#This Row],[TIPO]],Tabela17[[#This Row],[Ano2]],Tabela17[[#This Row],[Mês]])</f>
        <v>34.500RL2026dezembro</v>
      </c>
      <c r="I25" s="3">
        <v>1294</v>
      </c>
      <c r="J25" s="3">
        <v>200</v>
      </c>
      <c r="K25">
        <v>1081</v>
      </c>
      <c r="L25" s="3">
        <v>180</v>
      </c>
      <c r="M25" s="3"/>
      <c r="N25" s="15"/>
      <c r="O25" s="17"/>
      <c r="Q25" s="132" t="s">
        <v>1478</v>
      </c>
      <c r="R25" s="132" t="s">
        <v>1512</v>
      </c>
      <c r="S25" s="133">
        <v>23259.599999999999</v>
      </c>
      <c r="T25" s="133">
        <v>20000</v>
      </c>
      <c r="U25" s="133">
        <f t="shared" si="1"/>
        <v>43259.6</v>
      </c>
      <c r="V25" s="132"/>
      <c r="W25" s="132"/>
    </row>
    <row r="26" spans="3:23" x14ac:dyDescent="0.25">
      <c r="C26" s="3" t="s">
        <v>1309</v>
      </c>
      <c r="D26" s="3" t="s">
        <v>1304</v>
      </c>
      <c r="E26" s="3">
        <v>2025</v>
      </c>
      <c r="F26" s="3" t="s">
        <v>740</v>
      </c>
      <c r="G26" s="3" t="str">
        <f>_xlfn.CONCAT(Tabela17[[#This Row],[FAIXA DE TENSÃO]],Tabela17[[#This Row],[TIPO]],Tabela17[[#This Row],[Ano2]],Tabela17[[#This Row],[Mês]])</f>
        <v>34.500RT2025janeiro</v>
      </c>
      <c r="J26" s="3">
        <v>200</v>
      </c>
      <c r="K26">
        <v>1081</v>
      </c>
      <c r="L26" s="3">
        <v>180</v>
      </c>
      <c r="M26" s="3"/>
      <c r="N26" s="15"/>
      <c r="O26" s="17"/>
      <c r="Q26" s="132" t="s">
        <v>1516</v>
      </c>
      <c r="R26" s="132" t="s">
        <v>1512</v>
      </c>
      <c r="S26" s="133">
        <v>23259.599999999999</v>
      </c>
      <c r="T26" s="133">
        <v>20000</v>
      </c>
      <c r="U26" s="133">
        <f t="shared" si="1"/>
        <v>43259.6</v>
      </c>
      <c r="V26" s="132"/>
      <c r="W26" s="132"/>
    </row>
    <row r="27" spans="3:23" x14ac:dyDescent="0.25">
      <c r="C27" s="3" t="s">
        <v>1309</v>
      </c>
      <c r="D27" s="3" t="s">
        <v>1304</v>
      </c>
      <c r="E27" s="3">
        <v>2025</v>
      </c>
      <c r="F27" s="3" t="s">
        <v>741</v>
      </c>
      <c r="G27" s="3" t="str">
        <f>_xlfn.CONCAT(Tabela17[[#This Row],[FAIXA DE TENSÃO]],Tabela17[[#This Row],[TIPO]],Tabela17[[#This Row],[Ano2]],Tabela17[[#This Row],[Mês]])</f>
        <v>34.500RT2025fevereiro</v>
      </c>
      <c r="J27" s="3">
        <v>200</v>
      </c>
      <c r="K27">
        <v>1081</v>
      </c>
      <c r="L27" s="3">
        <v>180</v>
      </c>
      <c r="M27" s="3"/>
      <c r="N27" s="15"/>
      <c r="O27" s="17"/>
      <c r="Q27" s="132" t="s">
        <v>1471</v>
      </c>
      <c r="R27" s="132" t="s">
        <v>1517</v>
      </c>
      <c r="S27" s="133">
        <v>293949.59999999998</v>
      </c>
      <c r="T27" s="133">
        <v>200637</v>
      </c>
      <c r="U27" s="133">
        <f t="shared" si="1"/>
        <v>494586.6</v>
      </c>
      <c r="V27" s="132"/>
      <c r="W27" s="132"/>
    </row>
    <row r="28" spans="3:23" x14ac:dyDescent="0.25">
      <c r="C28" s="3" t="s">
        <v>1309</v>
      </c>
      <c r="D28" s="3" t="s">
        <v>1304</v>
      </c>
      <c r="E28" s="3">
        <v>2025</v>
      </c>
      <c r="F28" s="3" t="s">
        <v>742</v>
      </c>
      <c r="G28" s="3" t="str">
        <f>_xlfn.CONCAT(Tabela17[[#This Row],[FAIXA DE TENSÃO]],Tabela17[[#This Row],[TIPO]],Tabela17[[#This Row],[Ano2]],Tabela17[[#This Row],[Mês]])</f>
        <v>34.500RT2025março</v>
      </c>
      <c r="J28" s="3">
        <v>200</v>
      </c>
      <c r="K28">
        <v>1081</v>
      </c>
      <c r="L28" s="3">
        <v>180</v>
      </c>
      <c r="M28" s="3"/>
      <c r="N28" s="15"/>
      <c r="O28" s="17"/>
      <c r="Q28" s="132" t="s">
        <v>1476</v>
      </c>
      <c r="R28" s="132" t="s">
        <v>1518</v>
      </c>
      <c r="S28" s="133">
        <v>15000</v>
      </c>
      <c r="T28" s="133"/>
      <c r="U28" s="133">
        <f t="shared" si="1"/>
        <v>15000</v>
      </c>
      <c r="V28" s="132"/>
      <c r="W28" s="132"/>
    </row>
    <row r="29" spans="3:23" x14ac:dyDescent="0.25">
      <c r="C29" s="3" t="s">
        <v>1309</v>
      </c>
      <c r="D29" s="3" t="s">
        <v>1304</v>
      </c>
      <c r="E29" s="3">
        <v>2025</v>
      </c>
      <c r="F29" s="3" t="s">
        <v>743</v>
      </c>
      <c r="G29" s="3" t="str">
        <f>_xlfn.CONCAT(Tabela17[[#This Row],[FAIXA DE TENSÃO]],Tabela17[[#This Row],[TIPO]],Tabela17[[#This Row],[Ano2]],Tabela17[[#This Row],[Mês]])</f>
        <v>34.500RT2025abril</v>
      </c>
      <c r="J29" s="3">
        <v>200</v>
      </c>
      <c r="K29">
        <v>1081</v>
      </c>
      <c r="L29" s="3">
        <v>180</v>
      </c>
      <c r="M29" s="3"/>
      <c r="N29" s="15"/>
      <c r="O29" s="17"/>
      <c r="Q29" s="132" t="s">
        <v>1519</v>
      </c>
      <c r="R29" s="132" t="s">
        <v>1518</v>
      </c>
      <c r="S29" s="133">
        <v>15000</v>
      </c>
      <c r="T29" s="133"/>
      <c r="U29" s="133">
        <f t="shared" si="1"/>
        <v>15000</v>
      </c>
      <c r="V29" s="132"/>
      <c r="W29" s="132"/>
    </row>
    <row r="30" spans="3:23" x14ac:dyDescent="0.25">
      <c r="C30" s="3" t="s">
        <v>1309</v>
      </c>
      <c r="D30" s="3" t="s">
        <v>1304</v>
      </c>
      <c r="E30" s="3">
        <v>2025</v>
      </c>
      <c r="F30" s="3" t="s">
        <v>744</v>
      </c>
      <c r="G30" s="3" t="str">
        <f>_xlfn.CONCAT(Tabela17[[#This Row],[FAIXA DE TENSÃO]],Tabela17[[#This Row],[TIPO]],Tabela17[[#This Row],[Ano2]],Tabela17[[#This Row],[Mês]])</f>
        <v>34.500RT2025maio</v>
      </c>
      <c r="J30" s="3">
        <v>200</v>
      </c>
      <c r="K30">
        <v>1081</v>
      </c>
      <c r="L30" s="3">
        <v>180</v>
      </c>
      <c r="M30" s="3"/>
      <c r="N30" s="15"/>
      <c r="O30" s="17"/>
      <c r="Q30" s="132" t="s">
        <v>1480</v>
      </c>
      <c r="R30" s="132" t="s">
        <v>1518</v>
      </c>
      <c r="S30" s="133">
        <v>15000</v>
      </c>
      <c r="T30" s="133"/>
      <c r="U30" s="133">
        <f t="shared" si="1"/>
        <v>15000</v>
      </c>
      <c r="V30" s="132"/>
      <c r="W30" s="132"/>
    </row>
    <row r="31" spans="3:23" x14ac:dyDescent="0.25">
      <c r="C31" s="3" t="s">
        <v>1309</v>
      </c>
      <c r="D31" s="3" t="s">
        <v>1304</v>
      </c>
      <c r="E31" s="3">
        <v>2025</v>
      </c>
      <c r="F31" s="3" t="s">
        <v>745</v>
      </c>
      <c r="G31" s="3" t="str">
        <f>_xlfn.CONCAT(Tabela17[[#This Row],[FAIXA DE TENSÃO]],Tabela17[[#This Row],[TIPO]],Tabela17[[#This Row],[Ano2]],Tabela17[[#This Row],[Mês]])</f>
        <v>34.500RT2025junho</v>
      </c>
      <c r="J31" s="3">
        <v>200</v>
      </c>
      <c r="K31">
        <v>1081</v>
      </c>
      <c r="L31" s="3">
        <v>180</v>
      </c>
      <c r="M31" s="3"/>
      <c r="N31" s="15"/>
      <c r="O31" s="17"/>
      <c r="Q31" s="132" t="s">
        <v>1479</v>
      </c>
      <c r="R31" s="132" t="s">
        <v>1512</v>
      </c>
      <c r="S31" s="133">
        <v>23259.599999999999</v>
      </c>
      <c r="T31" s="133">
        <v>20000</v>
      </c>
      <c r="U31" s="133">
        <f t="shared" si="1"/>
        <v>43259.6</v>
      </c>
      <c r="V31" s="132"/>
      <c r="W31" s="132"/>
    </row>
    <row r="32" spans="3:23" x14ac:dyDescent="0.25">
      <c r="C32" s="3" t="s">
        <v>1309</v>
      </c>
      <c r="D32" s="3" t="s">
        <v>1304</v>
      </c>
      <c r="E32" s="3">
        <v>2025</v>
      </c>
      <c r="F32" s="3" t="s">
        <v>746</v>
      </c>
      <c r="G32" s="3" t="str">
        <f>_xlfn.CONCAT(Tabela17[[#This Row],[FAIXA DE TENSÃO]],Tabela17[[#This Row],[TIPO]],Tabela17[[#This Row],[Ano2]],Tabela17[[#This Row],[Mês]])</f>
        <v>34.500RT2025julho</v>
      </c>
      <c r="J32" s="3">
        <v>200</v>
      </c>
      <c r="K32">
        <v>1081</v>
      </c>
      <c r="L32" s="3">
        <v>180</v>
      </c>
      <c r="M32" s="3"/>
      <c r="N32" s="15"/>
      <c r="O32" s="17"/>
    </row>
    <row r="33" spans="3:15" x14ac:dyDescent="0.25">
      <c r="C33" s="3" t="s">
        <v>1309</v>
      </c>
      <c r="D33" s="3" t="s">
        <v>1304</v>
      </c>
      <c r="E33" s="3">
        <v>2025</v>
      </c>
      <c r="F33" s="3" t="s">
        <v>747</v>
      </c>
      <c r="G33" s="3" t="str">
        <f>_xlfn.CONCAT(Tabela17[[#This Row],[FAIXA DE TENSÃO]],Tabela17[[#This Row],[TIPO]],Tabela17[[#This Row],[Ano2]],Tabela17[[#This Row],[Mês]])</f>
        <v>34.500RT2025agosto</v>
      </c>
      <c r="J33" s="3">
        <v>200</v>
      </c>
      <c r="K33">
        <v>1081</v>
      </c>
      <c r="L33" s="3">
        <v>180</v>
      </c>
      <c r="M33" s="3"/>
      <c r="N33" s="15"/>
      <c r="O33" s="17"/>
    </row>
    <row r="34" spans="3:15" x14ac:dyDescent="0.25">
      <c r="C34" s="3" t="s">
        <v>1309</v>
      </c>
      <c r="D34" s="3" t="s">
        <v>1304</v>
      </c>
      <c r="E34" s="3">
        <v>2025</v>
      </c>
      <c r="F34" s="3" t="s">
        <v>748</v>
      </c>
      <c r="G34" s="3" t="str">
        <f>_xlfn.CONCAT(Tabela17[[#This Row],[FAIXA DE TENSÃO]],Tabela17[[#This Row],[TIPO]],Tabela17[[#This Row],[Ano2]],Tabela17[[#This Row],[Mês]])</f>
        <v>34.500RT2025setembro</v>
      </c>
      <c r="J34" s="3">
        <v>200</v>
      </c>
      <c r="K34">
        <v>1081</v>
      </c>
      <c r="L34" s="3">
        <v>180</v>
      </c>
      <c r="M34" s="3"/>
      <c r="N34" s="15"/>
      <c r="O34" s="17"/>
    </row>
    <row r="35" spans="3:15" x14ac:dyDescent="0.25">
      <c r="C35" s="3" t="s">
        <v>1309</v>
      </c>
      <c r="D35" s="3" t="s">
        <v>1304</v>
      </c>
      <c r="E35" s="3">
        <v>2025</v>
      </c>
      <c r="F35" s="3" t="s">
        <v>749</v>
      </c>
      <c r="G35" s="3" t="str">
        <f>_xlfn.CONCAT(Tabela17[[#This Row],[FAIXA DE TENSÃO]],Tabela17[[#This Row],[TIPO]],Tabela17[[#This Row],[Ano2]],Tabela17[[#This Row],[Mês]])</f>
        <v>34.500RT2025outubro</v>
      </c>
      <c r="J35" s="3">
        <v>200</v>
      </c>
      <c r="K35">
        <v>1081</v>
      </c>
      <c r="L35" s="3">
        <v>180</v>
      </c>
      <c r="M35" s="3"/>
      <c r="N35" s="15"/>
      <c r="O35" s="17"/>
    </row>
    <row r="36" spans="3:15" x14ac:dyDescent="0.25">
      <c r="C36" s="3" t="s">
        <v>1309</v>
      </c>
      <c r="D36" s="3" t="s">
        <v>1304</v>
      </c>
      <c r="E36" s="3">
        <v>2025</v>
      </c>
      <c r="F36" s="3" t="s">
        <v>750</v>
      </c>
      <c r="G36" s="3" t="str">
        <f>_xlfn.CONCAT(Tabela17[[#This Row],[FAIXA DE TENSÃO]],Tabela17[[#This Row],[TIPO]],Tabela17[[#This Row],[Ano2]],Tabela17[[#This Row],[Mês]])</f>
        <v>34.500RT2025novembro</v>
      </c>
      <c r="J36" s="3">
        <v>200</v>
      </c>
      <c r="K36">
        <v>1081</v>
      </c>
      <c r="L36" s="3">
        <v>180</v>
      </c>
      <c r="M36" s="3"/>
      <c r="N36" s="15"/>
      <c r="O36" s="17"/>
    </row>
    <row r="37" spans="3:15" x14ac:dyDescent="0.25">
      <c r="C37" s="3" t="s">
        <v>1309</v>
      </c>
      <c r="D37" s="3" t="s">
        <v>1304</v>
      </c>
      <c r="E37" s="3">
        <v>2025</v>
      </c>
      <c r="F37" s="3" t="s">
        <v>751</v>
      </c>
      <c r="G37" s="3" t="str">
        <f>_xlfn.CONCAT(Tabela17[[#This Row],[FAIXA DE TENSÃO]],Tabela17[[#This Row],[TIPO]],Tabela17[[#This Row],[Ano2]],Tabela17[[#This Row],[Mês]])</f>
        <v>34.500RT2025dezembro</v>
      </c>
      <c r="J37" s="3">
        <v>200</v>
      </c>
      <c r="K37">
        <v>1081</v>
      </c>
      <c r="L37" s="3">
        <v>180</v>
      </c>
      <c r="M37" s="3"/>
      <c r="N37" s="15"/>
      <c r="O37" s="17"/>
    </row>
    <row r="38" spans="3:15" x14ac:dyDescent="0.25">
      <c r="C38" s="3" t="s">
        <v>1309</v>
      </c>
      <c r="D38" s="3" t="s">
        <v>1304</v>
      </c>
      <c r="E38" s="3">
        <v>2026</v>
      </c>
      <c r="F38" s="3" t="s">
        <v>740</v>
      </c>
      <c r="G38" s="3" t="str">
        <f>_xlfn.CONCAT(Tabela17[[#This Row],[FAIXA DE TENSÃO]],Tabela17[[#This Row],[TIPO]],Tabela17[[#This Row],[Ano2]],Tabela17[[#This Row],[Mês]])</f>
        <v>34.500RT2026janeiro</v>
      </c>
      <c r="J38" s="3">
        <v>200</v>
      </c>
      <c r="K38">
        <v>1081</v>
      </c>
      <c r="L38" s="3"/>
      <c r="M38" s="3"/>
      <c r="N38" s="15"/>
      <c r="O38" s="17"/>
    </row>
    <row r="39" spans="3:15" x14ac:dyDescent="0.25">
      <c r="C39" s="3" t="s">
        <v>1309</v>
      </c>
      <c r="D39" s="3" t="s">
        <v>1304</v>
      </c>
      <c r="E39" s="3">
        <v>2026</v>
      </c>
      <c r="F39" s="3" t="s">
        <v>741</v>
      </c>
      <c r="G39" s="3" t="str">
        <f>_xlfn.CONCAT(Tabela17[[#This Row],[FAIXA DE TENSÃO]],Tabela17[[#This Row],[TIPO]],Tabela17[[#This Row],[Ano2]],Tabela17[[#This Row],[Mês]])</f>
        <v>34.500RT2026fevereiro</v>
      </c>
      <c r="J39" s="3">
        <v>200</v>
      </c>
      <c r="K39">
        <v>1081</v>
      </c>
      <c r="L39" s="3"/>
      <c r="M39" s="3"/>
      <c r="N39" s="15"/>
      <c r="O39" s="17"/>
    </row>
    <row r="40" spans="3:15" x14ac:dyDescent="0.25">
      <c r="C40" s="3" t="s">
        <v>1309</v>
      </c>
      <c r="D40" s="3" t="s">
        <v>1304</v>
      </c>
      <c r="E40" s="3">
        <v>2026</v>
      </c>
      <c r="F40" s="3" t="s">
        <v>742</v>
      </c>
      <c r="G40" s="3" t="str">
        <f>_xlfn.CONCAT(Tabela17[[#This Row],[FAIXA DE TENSÃO]],Tabela17[[#This Row],[TIPO]],Tabela17[[#This Row],[Ano2]],Tabela17[[#This Row],[Mês]])</f>
        <v>34.500RT2026março</v>
      </c>
      <c r="J40" s="3">
        <v>200</v>
      </c>
      <c r="K40">
        <v>1081</v>
      </c>
      <c r="L40" s="3"/>
      <c r="M40" s="3"/>
      <c r="N40" s="15"/>
      <c r="O40" s="17"/>
    </row>
    <row r="41" spans="3:15" x14ac:dyDescent="0.25">
      <c r="C41" s="3" t="s">
        <v>1309</v>
      </c>
      <c r="D41" s="3" t="s">
        <v>1304</v>
      </c>
      <c r="E41" s="3">
        <v>2026</v>
      </c>
      <c r="F41" s="3" t="s">
        <v>743</v>
      </c>
      <c r="G41" s="3" t="str">
        <f>_xlfn.CONCAT(Tabela17[[#This Row],[FAIXA DE TENSÃO]],Tabela17[[#This Row],[TIPO]],Tabela17[[#This Row],[Ano2]],Tabela17[[#This Row],[Mês]])</f>
        <v>34.500RT2026abril</v>
      </c>
      <c r="J41" s="3">
        <v>200</v>
      </c>
      <c r="K41">
        <v>1081</v>
      </c>
      <c r="L41" s="3"/>
      <c r="M41" s="3"/>
      <c r="N41" s="15"/>
      <c r="O41" s="17"/>
    </row>
    <row r="42" spans="3:15" x14ac:dyDescent="0.25">
      <c r="C42" s="3" t="s">
        <v>1309</v>
      </c>
      <c r="D42" s="3" t="s">
        <v>1304</v>
      </c>
      <c r="E42" s="3">
        <v>2026</v>
      </c>
      <c r="F42" s="3" t="s">
        <v>744</v>
      </c>
      <c r="G42" s="3" t="str">
        <f>_xlfn.CONCAT(Tabela17[[#This Row],[FAIXA DE TENSÃO]],Tabela17[[#This Row],[TIPO]],Tabela17[[#This Row],[Ano2]],Tabela17[[#This Row],[Mês]])</f>
        <v>34.500RT2026maio</v>
      </c>
      <c r="J42" s="3">
        <v>200</v>
      </c>
      <c r="K42">
        <v>1081</v>
      </c>
      <c r="L42" s="3"/>
      <c r="M42" s="3"/>
      <c r="N42" s="15"/>
      <c r="O42" s="17"/>
    </row>
    <row r="43" spans="3:15" x14ac:dyDescent="0.25">
      <c r="C43" s="3" t="s">
        <v>1309</v>
      </c>
      <c r="D43" s="3" t="s">
        <v>1304</v>
      </c>
      <c r="E43" s="3">
        <v>2026</v>
      </c>
      <c r="F43" s="3" t="s">
        <v>745</v>
      </c>
      <c r="G43" s="3" t="str">
        <f>_xlfn.CONCAT(Tabela17[[#This Row],[FAIXA DE TENSÃO]],Tabela17[[#This Row],[TIPO]],Tabela17[[#This Row],[Ano2]],Tabela17[[#This Row],[Mês]])</f>
        <v>34.500RT2026junho</v>
      </c>
      <c r="J43" s="3">
        <v>200</v>
      </c>
      <c r="K43">
        <v>1081</v>
      </c>
      <c r="L43" s="3"/>
      <c r="M43" s="3"/>
      <c r="N43" s="15"/>
      <c r="O43" s="17"/>
    </row>
    <row r="44" spans="3:15" x14ac:dyDescent="0.25">
      <c r="C44" s="3" t="s">
        <v>1309</v>
      </c>
      <c r="D44" s="3" t="s">
        <v>1304</v>
      </c>
      <c r="E44" s="3">
        <v>2026</v>
      </c>
      <c r="F44" s="3" t="s">
        <v>746</v>
      </c>
      <c r="G44" s="3" t="str">
        <f>_xlfn.CONCAT(Tabela17[[#This Row],[FAIXA DE TENSÃO]],Tabela17[[#This Row],[TIPO]],Tabela17[[#This Row],[Ano2]],Tabela17[[#This Row],[Mês]])</f>
        <v>34.500RT2026julho</v>
      </c>
      <c r="J44" s="3">
        <v>200</v>
      </c>
      <c r="K44">
        <v>1081</v>
      </c>
      <c r="L44" s="3"/>
      <c r="M44" s="3"/>
      <c r="N44" s="15"/>
      <c r="O44" s="17"/>
    </row>
    <row r="45" spans="3:15" x14ac:dyDescent="0.25">
      <c r="C45" s="3" t="s">
        <v>1309</v>
      </c>
      <c r="D45" s="3" t="s">
        <v>1304</v>
      </c>
      <c r="E45" s="3">
        <v>2026</v>
      </c>
      <c r="F45" s="3" t="s">
        <v>747</v>
      </c>
      <c r="G45" s="3" t="str">
        <f>_xlfn.CONCAT(Tabela17[[#This Row],[FAIXA DE TENSÃO]],Tabela17[[#This Row],[TIPO]],Tabela17[[#This Row],[Ano2]],Tabela17[[#This Row],[Mês]])</f>
        <v>34.500RT2026agosto</v>
      </c>
      <c r="J45" s="3">
        <v>200</v>
      </c>
      <c r="K45">
        <v>1081</v>
      </c>
      <c r="L45" s="3"/>
      <c r="M45" s="3"/>
      <c r="N45" s="15"/>
      <c r="O45" s="17"/>
    </row>
    <row r="46" spans="3:15" x14ac:dyDescent="0.25">
      <c r="C46" s="3" t="s">
        <v>1309</v>
      </c>
      <c r="D46" s="3" t="s">
        <v>1304</v>
      </c>
      <c r="E46" s="3">
        <v>2026</v>
      </c>
      <c r="F46" s="3" t="s">
        <v>748</v>
      </c>
      <c r="G46" s="3" t="str">
        <f>_xlfn.CONCAT(Tabela17[[#This Row],[FAIXA DE TENSÃO]],Tabela17[[#This Row],[TIPO]],Tabela17[[#This Row],[Ano2]],Tabela17[[#This Row],[Mês]])</f>
        <v>34.500RT2026setembro</v>
      </c>
      <c r="J46" s="3">
        <v>200</v>
      </c>
      <c r="K46">
        <v>1081</v>
      </c>
      <c r="L46" s="3"/>
      <c r="M46" s="3"/>
      <c r="N46" s="15"/>
      <c r="O46" s="17"/>
    </row>
    <row r="47" spans="3:15" x14ac:dyDescent="0.25">
      <c r="C47" s="3" t="s">
        <v>1309</v>
      </c>
      <c r="D47" s="3" t="s">
        <v>1304</v>
      </c>
      <c r="E47" s="3">
        <v>2026</v>
      </c>
      <c r="F47" s="3" t="s">
        <v>749</v>
      </c>
      <c r="G47" s="3" t="str">
        <f>_xlfn.CONCAT(Tabela17[[#This Row],[FAIXA DE TENSÃO]],Tabela17[[#This Row],[TIPO]],Tabela17[[#This Row],[Ano2]],Tabela17[[#This Row],[Mês]])</f>
        <v>34.500RT2026outubro</v>
      </c>
      <c r="J47" s="3">
        <v>200</v>
      </c>
      <c r="K47">
        <v>1081</v>
      </c>
      <c r="L47" s="3"/>
      <c r="M47" s="3"/>
      <c r="N47" s="15"/>
      <c r="O47" s="17"/>
    </row>
    <row r="48" spans="3:15" x14ac:dyDescent="0.25">
      <c r="C48" s="3" t="s">
        <v>1309</v>
      </c>
      <c r="D48" s="3" t="s">
        <v>1304</v>
      </c>
      <c r="E48" s="3">
        <v>2026</v>
      </c>
      <c r="F48" s="3" t="s">
        <v>750</v>
      </c>
      <c r="G48" s="3" t="str">
        <f>_xlfn.CONCAT(Tabela17[[#This Row],[FAIXA DE TENSÃO]],Tabela17[[#This Row],[TIPO]],Tabela17[[#This Row],[Ano2]],Tabela17[[#This Row],[Mês]])</f>
        <v>34.500RT2026novembro</v>
      </c>
      <c r="J48" s="3">
        <v>200</v>
      </c>
      <c r="K48">
        <v>1081</v>
      </c>
      <c r="L48" s="3"/>
      <c r="M48" s="3"/>
      <c r="N48" s="15"/>
      <c r="O48" s="17"/>
    </row>
    <row r="49" spans="3:15" x14ac:dyDescent="0.25">
      <c r="C49" s="3" t="s">
        <v>1309</v>
      </c>
      <c r="D49" s="3" t="s">
        <v>1304</v>
      </c>
      <c r="E49" s="3">
        <v>2026</v>
      </c>
      <c r="F49" s="3" t="s">
        <v>751</v>
      </c>
      <c r="G49" s="3" t="str">
        <f>_xlfn.CONCAT(Tabela17[[#This Row],[FAIXA DE TENSÃO]],Tabela17[[#This Row],[TIPO]],Tabela17[[#This Row],[Ano2]],Tabela17[[#This Row],[Mês]])</f>
        <v>34.500RT2026dezembro</v>
      </c>
      <c r="J49" s="3">
        <v>200</v>
      </c>
      <c r="K49">
        <v>1081</v>
      </c>
      <c r="L49" s="3"/>
      <c r="M49" s="3"/>
      <c r="N49" s="15"/>
      <c r="O49" s="17"/>
    </row>
    <row r="50" spans="3:15" x14ac:dyDescent="0.25">
      <c r="C50" s="3" t="s">
        <v>1310</v>
      </c>
      <c r="D50" s="3" t="s">
        <v>1302</v>
      </c>
      <c r="E50" s="3">
        <v>2025</v>
      </c>
      <c r="F50" s="3" t="s">
        <v>740</v>
      </c>
      <c r="G50" s="3" t="str">
        <f>_xlfn.CONCAT(Tabela17[[#This Row],[FAIXA DE TENSÃO]],Tabela17[[#This Row],[TIPO]],Tabela17[[#This Row],[Ano2]],Tabela17[[#This Row],[Mês]])</f>
        <v>13.800RL2025janeiro</v>
      </c>
      <c r="J50" s="3">
        <v>200</v>
      </c>
      <c r="K50">
        <v>1081</v>
      </c>
      <c r="L50" s="3"/>
      <c r="M50" s="3"/>
      <c r="N50" s="15"/>
      <c r="O50" s="17"/>
    </row>
    <row r="51" spans="3:15" x14ac:dyDescent="0.25">
      <c r="C51" s="3" t="s">
        <v>1310</v>
      </c>
      <c r="D51" s="3" t="s">
        <v>1302</v>
      </c>
      <c r="E51" s="3">
        <v>2025</v>
      </c>
      <c r="F51" s="3" t="s">
        <v>741</v>
      </c>
      <c r="G51" s="3" t="str">
        <f>_xlfn.CONCAT(Tabela17[[#This Row],[FAIXA DE TENSÃO]],Tabela17[[#This Row],[TIPO]],Tabela17[[#This Row],[Ano2]],Tabela17[[#This Row],[Mês]])</f>
        <v>13.800RL2025fevereiro</v>
      </c>
      <c r="J51" s="3">
        <v>200</v>
      </c>
      <c r="K51">
        <v>1081</v>
      </c>
      <c r="L51" s="3"/>
      <c r="M51" s="3"/>
      <c r="N51" s="15"/>
      <c r="O51" s="17"/>
    </row>
    <row r="52" spans="3:15" x14ac:dyDescent="0.25">
      <c r="C52" s="3" t="s">
        <v>1310</v>
      </c>
      <c r="D52" s="3" t="s">
        <v>1302</v>
      </c>
      <c r="E52" s="3">
        <v>2025</v>
      </c>
      <c r="F52" s="3" t="s">
        <v>742</v>
      </c>
      <c r="G52" s="3" t="str">
        <f>_xlfn.CONCAT(Tabela17[[#This Row],[FAIXA DE TENSÃO]],Tabela17[[#This Row],[TIPO]],Tabela17[[#This Row],[Ano2]],Tabela17[[#This Row],[Mês]])</f>
        <v>13.800RL2025março</v>
      </c>
      <c r="J52" s="3">
        <v>200</v>
      </c>
      <c r="K52">
        <v>1081</v>
      </c>
      <c r="L52" s="3"/>
      <c r="M52" s="3"/>
      <c r="N52" s="15"/>
      <c r="O52" s="17"/>
    </row>
    <row r="53" spans="3:15" x14ac:dyDescent="0.25">
      <c r="C53" s="3" t="s">
        <v>1310</v>
      </c>
      <c r="D53" s="3" t="s">
        <v>1302</v>
      </c>
      <c r="E53" s="3">
        <v>2025</v>
      </c>
      <c r="F53" s="3" t="s">
        <v>743</v>
      </c>
      <c r="G53" s="3" t="str">
        <f>_xlfn.CONCAT(Tabela17[[#This Row],[FAIXA DE TENSÃO]],Tabela17[[#This Row],[TIPO]],Tabela17[[#This Row],[Ano2]],Tabela17[[#This Row],[Mês]])</f>
        <v>13.800RL2025abril</v>
      </c>
      <c r="J53" s="3">
        <v>200</v>
      </c>
      <c r="K53">
        <v>1081</v>
      </c>
      <c r="L53" s="3"/>
      <c r="M53" s="3"/>
      <c r="N53" s="15"/>
      <c r="O53" s="17"/>
    </row>
    <row r="54" spans="3:15" x14ac:dyDescent="0.25">
      <c r="C54" s="3" t="s">
        <v>1310</v>
      </c>
      <c r="D54" s="3" t="s">
        <v>1302</v>
      </c>
      <c r="E54" s="3">
        <v>2025</v>
      </c>
      <c r="F54" s="3" t="s">
        <v>744</v>
      </c>
      <c r="G54" s="3" t="str">
        <f>_xlfn.CONCAT(Tabela17[[#This Row],[FAIXA DE TENSÃO]],Tabela17[[#This Row],[TIPO]],Tabela17[[#This Row],[Ano2]],Tabela17[[#This Row],[Mês]])</f>
        <v>13.800RL2025maio</v>
      </c>
      <c r="J54" s="3">
        <v>200</v>
      </c>
      <c r="K54">
        <v>1081</v>
      </c>
      <c r="L54" s="3"/>
      <c r="M54" s="3"/>
      <c r="N54" s="15"/>
      <c r="O54" s="17"/>
    </row>
    <row r="55" spans="3:15" x14ac:dyDescent="0.25">
      <c r="C55" s="3" t="s">
        <v>1310</v>
      </c>
      <c r="D55" s="3" t="s">
        <v>1302</v>
      </c>
      <c r="E55" s="3">
        <v>2025</v>
      </c>
      <c r="F55" s="3" t="s">
        <v>745</v>
      </c>
      <c r="G55" s="3" t="str">
        <f>_xlfn.CONCAT(Tabela17[[#This Row],[FAIXA DE TENSÃO]],Tabela17[[#This Row],[TIPO]],Tabela17[[#This Row],[Ano2]],Tabela17[[#This Row],[Mês]])</f>
        <v>13.800RL2025junho</v>
      </c>
      <c r="J55" s="3">
        <v>200</v>
      </c>
      <c r="K55">
        <v>1081</v>
      </c>
      <c r="L55" s="3"/>
      <c r="M55" s="3"/>
      <c r="N55" s="15"/>
      <c r="O55" s="17"/>
    </row>
    <row r="56" spans="3:15" x14ac:dyDescent="0.25">
      <c r="C56" s="3" t="s">
        <v>1310</v>
      </c>
      <c r="D56" s="3" t="s">
        <v>1302</v>
      </c>
      <c r="E56" s="3">
        <v>2025</v>
      </c>
      <c r="F56" s="3" t="s">
        <v>746</v>
      </c>
      <c r="G56" s="3" t="str">
        <f>_xlfn.CONCAT(Tabela17[[#This Row],[FAIXA DE TENSÃO]],Tabela17[[#This Row],[TIPO]],Tabela17[[#This Row],[Ano2]],Tabela17[[#This Row],[Mês]])</f>
        <v>13.800RL2025julho</v>
      </c>
      <c r="J56" s="3">
        <v>200</v>
      </c>
      <c r="K56">
        <v>1081</v>
      </c>
      <c r="L56" s="3"/>
      <c r="M56" s="3"/>
      <c r="N56" s="15"/>
      <c r="O56" s="17"/>
    </row>
    <row r="57" spans="3:15" x14ac:dyDescent="0.25">
      <c r="C57" s="3" t="s">
        <v>1310</v>
      </c>
      <c r="D57" s="3" t="s">
        <v>1302</v>
      </c>
      <c r="E57" s="3">
        <v>2025</v>
      </c>
      <c r="F57" s="3" t="s">
        <v>747</v>
      </c>
      <c r="G57" s="3" t="str">
        <f>_xlfn.CONCAT(Tabela17[[#This Row],[FAIXA DE TENSÃO]],Tabela17[[#This Row],[TIPO]],Tabela17[[#This Row],[Ano2]],Tabela17[[#This Row],[Mês]])</f>
        <v>13.800RL2025agosto</v>
      </c>
      <c r="J57" s="3">
        <v>200</v>
      </c>
      <c r="K57">
        <v>1081</v>
      </c>
      <c r="L57" s="3"/>
      <c r="M57" s="3"/>
      <c r="N57" s="15"/>
      <c r="O57" s="17"/>
    </row>
    <row r="58" spans="3:15" x14ac:dyDescent="0.25">
      <c r="C58" s="3" t="s">
        <v>1310</v>
      </c>
      <c r="D58" s="3" t="s">
        <v>1302</v>
      </c>
      <c r="E58" s="3">
        <v>2025</v>
      </c>
      <c r="F58" s="3" t="s">
        <v>748</v>
      </c>
      <c r="G58" s="3" t="str">
        <f>_xlfn.CONCAT(Tabela17[[#This Row],[FAIXA DE TENSÃO]],Tabela17[[#This Row],[TIPO]],Tabela17[[#This Row],[Ano2]],Tabela17[[#This Row],[Mês]])</f>
        <v>13.800RL2025setembro</v>
      </c>
      <c r="J58" s="3">
        <v>200</v>
      </c>
      <c r="K58">
        <v>1081</v>
      </c>
      <c r="L58" s="3"/>
      <c r="M58" s="3"/>
      <c r="N58" s="15"/>
      <c r="O58" s="17"/>
    </row>
    <row r="59" spans="3:15" x14ac:dyDescent="0.25">
      <c r="C59" s="3" t="s">
        <v>1310</v>
      </c>
      <c r="D59" s="3" t="s">
        <v>1302</v>
      </c>
      <c r="E59" s="3">
        <v>2025</v>
      </c>
      <c r="F59" s="3" t="s">
        <v>749</v>
      </c>
      <c r="G59" s="3" t="str">
        <f>_xlfn.CONCAT(Tabela17[[#This Row],[FAIXA DE TENSÃO]],Tabela17[[#This Row],[TIPO]],Tabela17[[#This Row],[Ano2]],Tabela17[[#This Row],[Mês]])</f>
        <v>13.800RL2025outubro</v>
      </c>
      <c r="J59" s="3">
        <v>200</v>
      </c>
      <c r="K59">
        <v>1081</v>
      </c>
      <c r="L59" s="3"/>
      <c r="M59" s="3"/>
      <c r="N59" s="15"/>
      <c r="O59" s="17"/>
    </row>
    <row r="60" spans="3:15" x14ac:dyDescent="0.25">
      <c r="C60" s="3" t="s">
        <v>1310</v>
      </c>
      <c r="D60" s="3" t="s">
        <v>1302</v>
      </c>
      <c r="E60" s="3">
        <v>2025</v>
      </c>
      <c r="F60" s="3" t="s">
        <v>750</v>
      </c>
      <c r="G60" s="3" t="str">
        <f>_xlfn.CONCAT(Tabela17[[#This Row],[FAIXA DE TENSÃO]],Tabela17[[#This Row],[TIPO]],Tabela17[[#This Row],[Ano2]],Tabela17[[#This Row],[Mês]])</f>
        <v>13.800RL2025novembro</v>
      </c>
      <c r="J60" s="3">
        <v>200</v>
      </c>
      <c r="K60">
        <v>1081</v>
      </c>
      <c r="L60" s="3"/>
      <c r="M60" s="3"/>
      <c r="N60" s="15"/>
      <c r="O60" s="17"/>
    </row>
    <row r="61" spans="3:15" x14ac:dyDescent="0.25">
      <c r="C61" s="3" t="s">
        <v>1310</v>
      </c>
      <c r="D61" s="3" t="s">
        <v>1302</v>
      </c>
      <c r="E61" s="3">
        <v>2025</v>
      </c>
      <c r="F61" s="3" t="s">
        <v>751</v>
      </c>
      <c r="G61" s="3" t="str">
        <f>_xlfn.CONCAT(Tabela17[[#This Row],[FAIXA DE TENSÃO]],Tabela17[[#This Row],[TIPO]],Tabela17[[#This Row],[Ano2]],Tabela17[[#This Row],[Mês]])</f>
        <v>13.800RL2025dezembro</v>
      </c>
      <c r="J61" s="3">
        <v>200</v>
      </c>
      <c r="K61">
        <v>1081</v>
      </c>
      <c r="L61" s="3"/>
      <c r="M61" s="3"/>
      <c r="N61" s="15"/>
      <c r="O61" s="17"/>
    </row>
    <row r="62" spans="3:15" x14ac:dyDescent="0.25">
      <c r="C62" s="3" t="s">
        <v>1310</v>
      </c>
      <c r="D62" s="3" t="s">
        <v>1302</v>
      </c>
      <c r="E62" s="3">
        <v>2026</v>
      </c>
      <c r="F62" s="3" t="s">
        <v>740</v>
      </c>
      <c r="G62" s="3" t="str">
        <f>_xlfn.CONCAT(Tabela17[[#This Row],[FAIXA DE TENSÃO]],Tabela17[[#This Row],[TIPO]],Tabela17[[#This Row],[Ano2]],Tabela17[[#This Row],[Mês]])</f>
        <v>13.800RL2026janeiro</v>
      </c>
      <c r="J62" s="3">
        <v>200</v>
      </c>
      <c r="K62">
        <v>1081</v>
      </c>
      <c r="L62" s="3"/>
      <c r="M62" s="3"/>
      <c r="N62" s="15"/>
      <c r="O62" s="17"/>
    </row>
    <row r="63" spans="3:15" x14ac:dyDescent="0.25">
      <c r="C63" s="3" t="s">
        <v>1310</v>
      </c>
      <c r="D63" s="3" t="s">
        <v>1302</v>
      </c>
      <c r="E63" s="3">
        <v>2026</v>
      </c>
      <c r="F63" s="3" t="s">
        <v>741</v>
      </c>
      <c r="G63" s="3" t="str">
        <f>_xlfn.CONCAT(Tabela17[[#This Row],[FAIXA DE TENSÃO]],Tabela17[[#This Row],[TIPO]],Tabela17[[#This Row],[Ano2]],Tabela17[[#This Row],[Mês]])</f>
        <v>13.800RL2026fevereiro</v>
      </c>
      <c r="J63" s="3">
        <v>200</v>
      </c>
      <c r="K63">
        <v>1081</v>
      </c>
      <c r="L63" s="3"/>
      <c r="M63" s="3"/>
      <c r="N63" s="15"/>
      <c r="O63" s="17"/>
    </row>
    <row r="64" spans="3:15" x14ac:dyDescent="0.25">
      <c r="C64" s="3" t="s">
        <v>1310</v>
      </c>
      <c r="D64" s="3" t="s">
        <v>1302</v>
      </c>
      <c r="E64" s="3">
        <v>2026</v>
      </c>
      <c r="F64" s="3" t="s">
        <v>742</v>
      </c>
      <c r="G64" s="3" t="str">
        <f>_xlfn.CONCAT(Tabela17[[#This Row],[FAIXA DE TENSÃO]],Tabela17[[#This Row],[TIPO]],Tabela17[[#This Row],[Ano2]],Tabela17[[#This Row],[Mês]])</f>
        <v>13.800RL2026março</v>
      </c>
      <c r="J64" s="3">
        <v>200</v>
      </c>
      <c r="K64">
        <v>1081</v>
      </c>
      <c r="L64" s="3"/>
      <c r="M64" s="3"/>
      <c r="N64" s="15"/>
      <c r="O64" s="17"/>
    </row>
    <row r="65" spans="3:15" x14ac:dyDescent="0.25">
      <c r="C65" s="3" t="s">
        <v>1310</v>
      </c>
      <c r="D65" s="3" t="s">
        <v>1302</v>
      </c>
      <c r="E65" s="3">
        <v>2026</v>
      </c>
      <c r="F65" s="3" t="s">
        <v>743</v>
      </c>
      <c r="G65" s="3" t="str">
        <f>_xlfn.CONCAT(Tabela17[[#This Row],[FAIXA DE TENSÃO]],Tabela17[[#This Row],[TIPO]],Tabela17[[#This Row],[Ano2]],Tabela17[[#This Row],[Mês]])</f>
        <v>13.800RL2026abril</v>
      </c>
      <c r="J65" s="3">
        <v>200</v>
      </c>
      <c r="K65">
        <v>1081</v>
      </c>
      <c r="L65" s="3"/>
      <c r="M65" s="3"/>
      <c r="N65" s="15"/>
      <c r="O65" s="17"/>
    </row>
    <row r="66" spans="3:15" x14ac:dyDescent="0.25">
      <c r="C66" s="3" t="s">
        <v>1310</v>
      </c>
      <c r="D66" s="3" t="s">
        <v>1302</v>
      </c>
      <c r="E66" s="3">
        <v>2026</v>
      </c>
      <c r="F66" s="3" t="s">
        <v>744</v>
      </c>
      <c r="G66" s="3" t="str">
        <f>_xlfn.CONCAT(Tabela17[[#This Row],[FAIXA DE TENSÃO]],Tabela17[[#This Row],[TIPO]],Tabela17[[#This Row],[Ano2]],Tabela17[[#This Row],[Mês]])</f>
        <v>13.800RL2026maio</v>
      </c>
      <c r="J66" s="3">
        <v>200</v>
      </c>
      <c r="K66">
        <v>1081</v>
      </c>
      <c r="L66" s="3"/>
      <c r="M66" s="3"/>
      <c r="N66" s="15"/>
      <c r="O66" s="17"/>
    </row>
    <row r="67" spans="3:15" x14ac:dyDescent="0.25">
      <c r="C67" s="3" t="s">
        <v>1310</v>
      </c>
      <c r="D67" s="3" t="s">
        <v>1302</v>
      </c>
      <c r="E67" s="3">
        <v>2026</v>
      </c>
      <c r="F67" s="3" t="s">
        <v>745</v>
      </c>
      <c r="G67" s="3" t="str">
        <f>_xlfn.CONCAT(Tabela17[[#This Row],[FAIXA DE TENSÃO]],Tabela17[[#This Row],[TIPO]],Tabela17[[#This Row],[Ano2]],Tabela17[[#This Row],[Mês]])</f>
        <v>13.800RL2026junho</v>
      </c>
      <c r="J67" s="3">
        <v>200</v>
      </c>
      <c r="K67">
        <v>1081</v>
      </c>
      <c r="L67" s="3"/>
      <c r="M67" s="3"/>
      <c r="N67" s="15"/>
      <c r="O67" s="17"/>
    </row>
    <row r="68" spans="3:15" x14ac:dyDescent="0.25">
      <c r="C68" s="3" t="s">
        <v>1310</v>
      </c>
      <c r="D68" s="3" t="s">
        <v>1302</v>
      </c>
      <c r="E68" s="3">
        <v>2026</v>
      </c>
      <c r="F68" s="3" t="s">
        <v>746</v>
      </c>
      <c r="G68" s="3" t="str">
        <f>_xlfn.CONCAT(Tabela17[[#This Row],[FAIXA DE TENSÃO]],Tabela17[[#This Row],[TIPO]],Tabela17[[#This Row],[Ano2]],Tabela17[[#This Row],[Mês]])</f>
        <v>13.800RL2026julho</v>
      </c>
      <c r="J68" s="3">
        <v>200</v>
      </c>
      <c r="K68">
        <v>1081</v>
      </c>
      <c r="L68" s="3"/>
      <c r="M68" s="3"/>
      <c r="N68" s="15"/>
      <c r="O68" s="17"/>
    </row>
    <row r="69" spans="3:15" x14ac:dyDescent="0.25">
      <c r="C69" s="3" t="s">
        <v>1310</v>
      </c>
      <c r="D69" s="3" t="s">
        <v>1302</v>
      </c>
      <c r="E69" s="3">
        <v>2026</v>
      </c>
      <c r="F69" s="3" t="s">
        <v>747</v>
      </c>
      <c r="G69" s="3" t="str">
        <f>_xlfn.CONCAT(Tabela17[[#This Row],[FAIXA DE TENSÃO]],Tabela17[[#This Row],[TIPO]],Tabela17[[#This Row],[Ano2]],Tabela17[[#This Row],[Mês]])</f>
        <v>13.800RL2026agosto</v>
      </c>
      <c r="J69" s="3">
        <v>200</v>
      </c>
      <c r="K69">
        <v>1081</v>
      </c>
      <c r="L69" s="3"/>
      <c r="M69" s="3"/>
      <c r="N69" s="15"/>
      <c r="O69" s="17"/>
    </row>
    <row r="70" spans="3:15" x14ac:dyDescent="0.25">
      <c r="C70" s="3" t="s">
        <v>1310</v>
      </c>
      <c r="D70" s="3" t="s">
        <v>1302</v>
      </c>
      <c r="E70" s="3">
        <v>2026</v>
      </c>
      <c r="F70" s="3" t="s">
        <v>748</v>
      </c>
      <c r="G70" s="3" t="str">
        <f>_xlfn.CONCAT(Tabela17[[#This Row],[FAIXA DE TENSÃO]],Tabela17[[#This Row],[TIPO]],Tabela17[[#This Row],[Ano2]],Tabela17[[#This Row],[Mês]])</f>
        <v>13.800RL2026setembro</v>
      </c>
      <c r="J70" s="3">
        <v>200</v>
      </c>
      <c r="K70">
        <v>1081</v>
      </c>
      <c r="L70" s="3"/>
      <c r="M70" s="3"/>
      <c r="N70" s="15"/>
      <c r="O70" s="17"/>
    </row>
    <row r="71" spans="3:15" x14ac:dyDescent="0.25">
      <c r="C71" s="3" t="s">
        <v>1310</v>
      </c>
      <c r="D71" s="3" t="s">
        <v>1302</v>
      </c>
      <c r="E71" s="3">
        <v>2026</v>
      </c>
      <c r="F71" s="3" t="s">
        <v>749</v>
      </c>
      <c r="G71" s="3" t="str">
        <f>_xlfn.CONCAT(Tabela17[[#This Row],[FAIXA DE TENSÃO]],Tabela17[[#This Row],[TIPO]],Tabela17[[#This Row],[Ano2]],Tabela17[[#This Row],[Mês]])</f>
        <v>13.800RL2026outubro</v>
      </c>
      <c r="J71" s="3">
        <v>200</v>
      </c>
      <c r="K71">
        <v>1081</v>
      </c>
      <c r="L71" s="3"/>
      <c r="M71" s="3"/>
      <c r="N71" s="15"/>
      <c r="O71" s="17"/>
    </row>
    <row r="72" spans="3:15" x14ac:dyDescent="0.25">
      <c r="C72" s="3" t="s">
        <v>1310</v>
      </c>
      <c r="D72" s="3" t="s">
        <v>1302</v>
      </c>
      <c r="E72" s="3">
        <v>2026</v>
      </c>
      <c r="F72" s="3" t="s">
        <v>750</v>
      </c>
      <c r="G72" s="3" t="str">
        <f>_xlfn.CONCAT(Tabela17[[#This Row],[FAIXA DE TENSÃO]],Tabela17[[#This Row],[TIPO]],Tabela17[[#This Row],[Ano2]],Tabela17[[#This Row],[Mês]])</f>
        <v>13.800RL2026novembro</v>
      </c>
      <c r="J72" s="3">
        <v>200</v>
      </c>
      <c r="K72">
        <v>1081</v>
      </c>
      <c r="L72" s="3"/>
      <c r="M72" s="3"/>
      <c r="N72" s="15"/>
      <c r="O72" s="17"/>
    </row>
    <row r="73" spans="3:15" x14ac:dyDescent="0.25">
      <c r="C73" s="3" t="s">
        <v>1310</v>
      </c>
      <c r="D73" s="3" t="s">
        <v>1302</v>
      </c>
      <c r="E73" s="3">
        <v>2026</v>
      </c>
      <c r="F73" s="3" t="s">
        <v>751</v>
      </c>
      <c r="G73" s="3" t="str">
        <f>_xlfn.CONCAT(Tabela17[[#This Row],[FAIXA DE TENSÃO]],Tabela17[[#This Row],[TIPO]],Tabela17[[#This Row],[Ano2]],Tabela17[[#This Row],[Mês]])</f>
        <v>13.800RL2026dezembro</v>
      </c>
      <c r="J73" s="3">
        <v>200</v>
      </c>
      <c r="K73">
        <v>1081</v>
      </c>
      <c r="L73" s="3"/>
      <c r="M73" s="3"/>
      <c r="N73" s="15"/>
      <c r="O73" s="17"/>
    </row>
    <row r="74" spans="3:15" x14ac:dyDescent="0.25">
      <c r="C74" s="3" t="s">
        <v>1310</v>
      </c>
      <c r="D74" s="3" t="s">
        <v>1304</v>
      </c>
      <c r="E74" s="3">
        <v>2025</v>
      </c>
      <c r="F74" s="3" t="s">
        <v>740</v>
      </c>
      <c r="G74" s="3" t="str">
        <f>_xlfn.CONCAT(Tabela17[[#This Row],[FAIXA DE TENSÃO]],Tabela17[[#This Row],[TIPO]],Tabela17[[#This Row],[Ano2]],Tabela17[[#This Row],[Mês]])</f>
        <v>13.800RT2025janeiro</v>
      </c>
      <c r="J74" s="3">
        <v>200</v>
      </c>
      <c r="K74">
        <v>1081</v>
      </c>
      <c r="L74" s="3"/>
      <c r="M74" s="3"/>
      <c r="N74" s="15"/>
      <c r="O74" s="17"/>
    </row>
    <row r="75" spans="3:15" x14ac:dyDescent="0.25">
      <c r="C75" s="3" t="s">
        <v>1310</v>
      </c>
      <c r="D75" s="3" t="s">
        <v>1304</v>
      </c>
      <c r="E75" s="3">
        <v>2025</v>
      </c>
      <c r="F75" s="3" t="s">
        <v>741</v>
      </c>
      <c r="G75" s="3" t="str">
        <f>_xlfn.CONCAT(Tabela17[[#This Row],[FAIXA DE TENSÃO]],Tabela17[[#This Row],[TIPO]],Tabela17[[#This Row],[Ano2]],Tabela17[[#This Row],[Mês]])</f>
        <v>13.800RT2025fevereiro</v>
      </c>
      <c r="J75" s="3">
        <v>200</v>
      </c>
      <c r="K75">
        <v>1081</v>
      </c>
      <c r="L75" s="3"/>
      <c r="M75" s="3"/>
      <c r="N75" s="15"/>
      <c r="O75" s="17"/>
    </row>
    <row r="76" spans="3:15" x14ac:dyDescent="0.25">
      <c r="C76" s="3" t="s">
        <v>1310</v>
      </c>
      <c r="D76" s="3" t="s">
        <v>1304</v>
      </c>
      <c r="E76" s="3">
        <v>2025</v>
      </c>
      <c r="F76" s="3" t="s">
        <v>742</v>
      </c>
      <c r="G76" s="3" t="str">
        <f>_xlfn.CONCAT(Tabela17[[#This Row],[FAIXA DE TENSÃO]],Tabela17[[#This Row],[TIPO]],Tabela17[[#This Row],[Ano2]],Tabela17[[#This Row],[Mês]])</f>
        <v>13.800RT2025março</v>
      </c>
      <c r="J76" s="3">
        <v>200</v>
      </c>
      <c r="K76">
        <v>1081</v>
      </c>
      <c r="L76" s="3"/>
      <c r="M76" s="3"/>
      <c r="N76" s="15"/>
      <c r="O76" s="17"/>
    </row>
    <row r="77" spans="3:15" x14ac:dyDescent="0.25">
      <c r="C77" s="3" t="s">
        <v>1310</v>
      </c>
      <c r="D77" s="3" t="s">
        <v>1304</v>
      </c>
      <c r="E77" s="3">
        <v>2025</v>
      </c>
      <c r="F77" s="3" t="s">
        <v>743</v>
      </c>
      <c r="G77" s="3" t="str">
        <f>_xlfn.CONCAT(Tabela17[[#This Row],[FAIXA DE TENSÃO]],Tabela17[[#This Row],[TIPO]],Tabela17[[#This Row],[Ano2]],Tabela17[[#This Row],[Mês]])</f>
        <v>13.800RT2025abril</v>
      </c>
      <c r="J77" s="3">
        <v>200</v>
      </c>
      <c r="K77">
        <v>1081</v>
      </c>
      <c r="L77" s="3"/>
      <c r="M77" s="3"/>
      <c r="N77" s="15"/>
      <c r="O77" s="17"/>
    </row>
    <row r="78" spans="3:15" x14ac:dyDescent="0.25">
      <c r="C78" s="3" t="s">
        <v>1310</v>
      </c>
      <c r="D78" s="3" t="s">
        <v>1304</v>
      </c>
      <c r="E78" s="3">
        <v>2025</v>
      </c>
      <c r="F78" s="3" t="s">
        <v>744</v>
      </c>
      <c r="G78" s="3" t="str">
        <f>_xlfn.CONCAT(Tabela17[[#This Row],[FAIXA DE TENSÃO]],Tabela17[[#This Row],[TIPO]],Tabela17[[#This Row],[Ano2]],Tabela17[[#This Row],[Mês]])</f>
        <v>13.800RT2025maio</v>
      </c>
      <c r="J78" s="3">
        <v>200</v>
      </c>
      <c r="K78">
        <v>1081</v>
      </c>
      <c r="L78" s="3"/>
      <c r="M78" s="3"/>
      <c r="N78" s="15"/>
      <c r="O78" s="17"/>
    </row>
    <row r="79" spans="3:15" x14ac:dyDescent="0.25">
      <c r="C79" s="3" t="s">
        <v>1310</v>
      </c>
      <c r="D79" s="3" t="s">
        <v>1304</v>
      </c>
      <c r="E79" s="3">
        <v>2025</v>
      </c>
      <c r="F79" s="3" t="s">
        <v>745</v>
      </c>
      <c r="G79" s="3" t="str">
        <f>_xlfn.CONCAT(Tabela17[[#This Row],[FAIXA DE TENSÃO]],Tabela17[[#This Row],[TIPO]],Tabela17[[#This Row],[Ano2]],Tabela17[[#This Row],[Mês]])</f>
        <v>13.800RT2025junho</v>
      </c>
      <c r="J79" s="3">
        <v>200</v>
      </c>
      <c r="K79">
        <v>1081</v>
      </c>
      <c r="L79" s="3"/>
      <c r="M79" s="3"/>
      <c r="N79" s="15"/>
      <c r="O79" s="17"/>
    </row>
    <row r="80" spans="3:15" x14ac:dyDescent="0.25">
      <c r="C80" s="3" t="s">
        <v>1310</v>
      </c>
      <c r="D80" s="3" t="s">
        <v>1304</v>
      </c>
      <c r="E80" s="3">
        <v>2025</v>
      </c>
      <c r="F80" s="3" t="s">
        <v>746</v>
      </c>
      <c r="G80" s="3" t="str">
        <f>_xlfn.CONCAT(Tabela17[[#This Row],[FAIXA DE TENSÃO]],Tabela17[[#This Row],[TIPO]],Tabela17[[#This Row],[Ano2]],Tabela17[[#This Row],[Mês]])</f>
        <v>13.800RT2025julho</v>
      </c>
      <c r="J80" s="3">
        <v>200</v>
      </c>
      <c r="K80">
        <v>1081</v>
      </c>
      <c r="L80" s="3"/>
      <c r="M80" s="3"/>
      <c r="N80" s="15"/>
      <c r="O80" s="17"/>
    </row>
    <row r="81" spans="3:15" x14ac:dyDescent="0.25">
      <c r="C81" s="3" t="s">
        <v>1310</v>
      </c>
      <c r="D81" s="3" t="s">
        <v>1304</v>
      </c>
      <c r="E81" s="3">
        <v>2025</v>
      </c>
      <c r="F81" s="3" t="s">
        <v>747</v>
      </c>
      <c r="G81" s="3" t="str">
        <f>_xlfn.CONCAT(Tabela17[[#This Row],[FAIXA DE TENSÃO]],Tabela17[[#This Row],[TIPO]],Tabela17[[#This Row],[Ano2]],Tabela17[[#This Row],[Mês]])</f>
        <v>13.800RT2025agosto</v>
      </c>
      <c r="J81" s="3">
        <v>200</v>
      </c>
      <c r="K81">
        <v>1081</v>
      </c>
      <c r="L81" s="3"/>
      <c r="M81" s="3"/>
      <c r="N81" s="15"/>
      <c r="O81" s="17"/>
    </row>
    <row r="82" spans="3:15" x14ac:dyDescent="0.25">
      <c r="C82" s="3" t="s">
        <v>1310</v>
      </c>
      <c r="D82" s="3" t="s">
        <v>1304</v>
      </c>
      <c r="E82" s="3">
        <v>2025</v>
      </c>
      <c r="F82" s="3" t="s">
        <v>748</v>
      </c>
      <c r="G82" s="3" t="str">
        <f>_xlfn.CONCAT(Tabela17[[#This Row],[FAIXA DE TENSÃO]],Tabela17[[#This Row],[TIPO]],Tabela17[[#This Row],[Ano2]],Tabela17[[#This Row],[Mês]])</f>
        <v>13.800RT2025setembro</v>
      </c>
      <c r="J82" s="3">
        <v>200</v>
      </c>
      <c r="K82">
        <v>1081</v>
      </c>
      <c r="L82" s="3"/>
      <c r="M82" s="3"/>
      <c r="N82" s="15"/>
      <c r="O82" s="17"/>
    </row>
    <row r="83" spans="3:15" x14ac:dyDescent="0.25">
      <c r="C83" s="3" t="s">
        <v>1310</v>
      </c>
      <c r="D83" s="3" t="s">
        <v>1304</v>
      </c>
      <c r="E83" s="3">
        <v>2025</v>
      </c>
      <c r="F83" s="3" t="s">
        <v>749</v>
      </c>
      <c r="G83" s="3" t="str">
        <f>_xlfn.CONCAT(Tabela17[[#This Row],[FAIXA DE TENSÃO]],Tabela17[[#This Row],[TIPO]],Tabela17[[#This Row],[Ano2]],Tabela17[[#This Row],[Mês]])</f>
        <v>13.800RT2025outubro</v>
      </c>
      <c r="J83" s="3">
        <v>200</v>
      </c>
      <c r="K83">
        <v>1081</v>
      </c>
      <c r="L83" s="3"/>
      <c r="M83" s="3"/>
      <c r="N83" s="15"/>
      <c r="O83" s="17"/>
    </row>
    <row r="84" spans="3:15" x14ac:dyDescent="0.25">
      <c r="C84" s="3" t="s">
        <v>1310</v>
      </c>
      <c r="D84" s="3" t="s">
        <v>1304</v>
      </c>
      <c r="E84" s="3">
        <v>2025</v>
      </c>
      <c r="F84" s="3" t="s">
        <v>750</v>
      </c>
      <c r="G84" s="3" t="str">
        <f>_xlfn.CONCAT(Tabela17[[#This Row],[FAIXA DE TENSÃO]],Tabela17[[#This Row],[TIPO]],Tabela17[[#This Row],[Ano2]],Tabela17[[#This Row],[Mês]])</f>
        <v>13.800RT2025novembro</v>
      </c>
      <c r="J84" s="3">
        <v>200</v>
      </c>
      <c r="K84">
        <v>1081</v>
      </c>
      <c r="L84" s="3"/>
      <c r="M84" s="3"/>
      <c r="N84" s="15"/>
      <c r="O84" s="17"/>
    </row>
    <row r="85" spans="3:15" x14ac:dyDescent="0.25">
      <c r="C85" s="3" t="s">
        <v>1310</v>
      </c>
      <c r="D85" s="3" t="s">
        <v>1304</v>
      </c>
      <c r="E85" s="3">
        <v>2025</v>
      </c>
      <c r="F85" s="3" t="s">
        <v>751</v>
      </c>
      <c r="G85" s="3" t="str">
        <f>_xlfn.CONCAT(Tabela17[[#This Row],[FAIXA DE TENSÃO]],Tabela17[[#This Row],[TIPO]],Tabela17[[#This Row],[Ano2]],Tabela17[[#This Row],[Mês]])</f>
        <v>13.800RT2025dezembro</v>
      </c>
      <c r="J85" s="3">
        <v>200</v>
      </c>
      <c r="K85">
        <v>1081</v>
      </c>
      <c r="L85" s="3"/>
      <c r="M85" s="3"/>
      <c r="N85" s="15"/>
      <c r="O85" s="17"/>
    </row>
    <row r="86" spans="3:15" x14ac:dyDescent="0.25">
      <c r="C86" s="3" t="s">
        <v>1310</v>
      </c>
      <c r="D86" s="3" t="s">
        <v>1304</v>
      </c>
      <c r="E86" s="3">
        <v>2026</v>
      </c>
      <c r="F86" s="3" t="s">
        <v>740</v>
      </c>
      <c r="G86" s="3" t="str">
        <f>_xlfn.CONCAT(Tabela17[[#This Row],[FAIXA DE TENSÃO]],Tabela17[[#This Row],[TIPO]],Tabela17[[#This Row],[Ano2]],Tabela17[[#This Row],[Mês]])</f>
        <v>13.800RT2026janeiro</v>
      </c>
      <c r="J86" s="3">
        <v>200</v>
      </c>
      <c r="K86">
        <v>1081</v>
      </c>
      <c r="L86" s="3"/>
      <c r="M86" s="3"/>
      <c r="N86" s="15"/>
      <c r="O86" s="17"/>
    </row>
    <row r="87" spans="3:15" x14ac:dyDescent="0.25">
      <c r="C87" s="3" t="s">
        <v>1310</v>
      </c>
      <c r="D87" s="3" t="s">
        <v>1304</v>
      </c>
      <c r="E87" s="3">
        <v>2026</v>
      </c>
      <c r="F87" s="3" t="s">
        <v>741</v>
      </c>
      <c r="G87" s="3" t="str">
        <f>_xlfn.CONCAT(Tabela17[[#This Row],[FAIXA DE TENSÃO]],Tabela17[[#This Row],[TIPO]],Tabela17[[#This Row],[Ano2]],Tabela17[[#This Row],[Mês]])</f>
        <v>13.800RT2026fevereiro</v>
      </c>
      <c r="J87" s="3">
        <v>200</v>
      </c>
      <c r="K87">
        <v>1081</v>
      </c>
      <c r="L87" s="3"/>
      <c r="M87" s="3"/>
      <c r="N87" s="15"/>
      <c r="O87" s="17"/>
    </row>
    <row r="88" spans="3:15" x14ac:dyDescent="0.25">
      <c r="C88" s="3" t="s">
        <v>1310</v>
      </c>
      <c r="D88" s="3" t="s">
        <v>1304</v>
      </c>
      <c r="E88" s="3">
        <v>2026</v>
      </c>
      <c r="F88" s="3" t="s">
        <v>742</v>
      </c>
      <c r="G88" s="3" t="str">
        <f>_xlfn.CONCAT(Tabela17[[#This Row],[FAIXA DE TENSÃO]],Tabela17[[#This Row],[TIPO]],Tabela17[[#This Row],[Ano2]],Tabela17[[#This Row],[Mês]])</f>
        <v>13.800RT2026março</v>
      </c>
      <c r="J88" s="3">
        <v>200</v>
      </c>
      <c r="K88">
        <v>1081</v>
      </c>
      <c r="L88" s="3"/>
      <c r="M88" s="3"/>
      <c r="N88" s="15"/>
      <c r="O88" s="17"/>
    </row>
    <row r="89" spans="3:15" x14ac:dyDescent="0.25">
      <c r="C89" s="3" t="s">
        <v>1310</v>
      </c>
      <c r="D89" s="3" t="s">
        <v>1304</v>
      </c>
      <c r="E89" s="3">
        <v>2026</v>
      </c>
      <c r="F89" s="3" t="s">
        <v>743</v>
      </c>
      <c r="G89" s="3" t="str">
        <f>_xlfn.CONCAT(Tabela17[[#This Row],[FAIXA DE TENSÃO]],Tabela17[[#This Row],[TIPO]],Tabela17[[#This Row],[Ano2]],Tabela17[[#This Row],[Mês]])</f>
        <v>13.800RT2026abril</v>
      </c>
      <c r="J89" s="3">
        <v>200</v>
      </c>
      <c r="K89">
        <v>1081</v>
      </c>
      <c r="L89" s="3"/>
      <c r="M89" s="3"/>
      <c r="N89" s="15"/>
      <c r="O89" s="17"/>
    </row>
    <row r="90" spans="3:15" x14ac:dyDescent="0.25">
      <c r="C90" s="3" t="s">
        <v>1310</v>
      </c>
      <c r="D90" s="3" t="s">
        <v>1304</v>
      </c>
      <c r="E90" s="3">
        <v>2026</v>
      </c>
      <c r="F90" s="3" t="s">
        <v>744</v>
      </c>
      <c r="G90" s="3" t="str">
        <f>_xlfn.CONCAT(Tabela17[[#This Row],[FAIXA DE TENSÃO]],Tabela17[[#This Row],[TIPO]],Tabela17[[#This Row],[Ano2]],Tabela17[[#This Row],[Mês]])</f>
        <v>13.800RT2026maio</v>
      </c>
      <c r="J90" s="3">
        <v>200</v>
      </c>
      <c r="K90">
        <v>1081</v>
      </c>
      <c r="L90" s="3"/>
      <c r="M90" s="3"/>
      <c r="N90" s="15"/>
      <c r="O90" s="17"/>
    </row>
    <row r="91" spans="3:15" x14ac:dyDescent="0.25">
      <c r="C91" s="3" t="s">
        <v>1310</v>
      </c>
      <c r="D91" s="3" t="s">
        <v>1304</v>
      </c>
      <c r="E91" s="3">
        <v>2026</v>
      </c>
      <c r="F91" s="3" t="s">
        <v>745</v>
      </c>
      <c r="G91" s="3" t="str">
        <f>_xlfn.CONCAT(Tabela17[[#This Row],[FAIXA DE TENSÃO]],Tabela17[[#This Row],[TIPO]],Tabela17[[#This Row],[Ano2]],Tabela17[[#This Row],[Mês]])</f>
        <v>13.800RT2026junho</v>
      </c>
      <c r="J91" s="3">
        <v>200</v>
      </c>
      <c r="K91">
        <v>1081</v>
      </c>
      <c r="L91" s="3"/>
      <c r="M91" s="3"/>
      <c r="N91" s="15"/>
      <c r="O91" s="17"/>
    </row>
    <row r="92" spans="3:15" x14ac:dyDescent="0.25">
      <c r="C92" s="3" t="s">
        <v>1310</v>
      </c>
      <c r="D92" s="3" t="s">
        <v>1304</v>
      </c>
      <c r="E92" s="3">
        <v>2026</v>
      </c>
      <c r="F92" s="3" t="s">
        <v>746</v>
      </c>
      <c r="G92" s="3" t="str">
        <f>_xlfn.CONCAT(Tabela17[[#This Row],[FAIXA DE TENSÃO]],Tabela17[[#This Row],[TIPO]],Tabela17[[#This Row],[Ano2]],Tabela17[[#This Row],[Mês]])</f>
        <v>13.800RT2026julho</v>
      </c>
      <c r="J92" s="3">
        <v>200</v>
      </c>
      <c r="K92">
        <v>1081</v>
      </c>
      <c r="L92" s="3"/>
      <c r="M92" s="3"/>
      <c r="N92" s="15"/>
      <c r="O92" s="17"/>
    </row>
    <row r="93" spans="3:15" x14ac:dyDescent="0.25">
      <c r="C93" s="3" t="s">
        <v>1310</v>
      </c>
      <c r="D93" s="3" t="s">
        <v>1304</v>
      </c>
      <c r="E93" s="3">
        <v>2026</v>
      </c>
      <c r="F93" s="3" t="s">
        <v>747</v>
      </c>
      <c r="G93" s="3" t="str">
        <f>_xlfn.CONCAT(Tabela17[[#This Row],[FAIXA DE TENSÃO]],Tabela17[[#This Row],[TIPO]],Tabela17[[#This Row],[Ano2]],Tabela17[[#This Row],[Mês]])</f>
        <v>13.800RT2026agosto</v>
      </c>
      <c r="J93" s="3">
        <v>200</v>
      </c>
      <c r="K93">
        <v>1081</v>
      </c>
      <c r="L93" s="3"/>
      <c r="M93" s="3"/>
      <c r="N93" s="15"/>
      <c r="O93" s="17"/>
    </row>
    <row r="94" spans="3:15" x14ac:dyDescent="0.25">
      <c r="C94" s="3" t="s">
        <v>1310</v>
      </c>
      <c r="D94" s="3" t="s">
        <v>1304</v>
      </c>
      <c r="E94" s="3">
        <v>2026</v>
      </c>
      <c r="F94" s="3" t="s">
        <v>748</v>
      </c>
      <c r="G94" s="3" t="str">
        <f>_xlfn.CONCAT(Tabela17[[#This Row],[FAIXA DE TENSÃO]],Tabela17[[#This Row],[TIPO]],Tabela17[[#This Row],[Ano2]],Tabela17[[#This Row],[Mês]])</f>
        <v>13.800RT2026setembro</v>
      </c>
      <c r="J94" s="3">
        <v>200</v>
      </c>
      <c r="K94">
        <v>1081</v>
      </c>
      <c r="L94" s="3"/>
      <c r="M94" s="3"/>
      <c r="N94" s="15"/>
      <c r="O94" s="17"/>
    </row>
    <row r="95" spans="3:15" x14ac:dyDescent="0.25">
      <c r="C95" s="3" t="s">
        <v>1310</v>
      </c>
      <c r="D95" s="3" t="s">
        <v>1304</v>
      </c>
      <c r="E95" s="3">
        <v>2026</v>
      </c>
      <c r="F95" s="3" t="s">
        <v>749</v>
      </c>
      <c r="G95" s="3" t="str">
        <f>_xlfn.CONCAT(Tabela17[[#This Row],[FAIXA DE TENSÃO]],Tabela17[[#This Row],[TIPO]],Tabela17[[#This Row],[Ano2]],Tabela17[[#This Row],[Mês]])</f>
        <v>13.800RT2026outubro</v>
      </c>
      <c r="J95" s="3">
        <v>200</v>
      </c>
      <c r="K95">
        <v>1081</v>
      </c>
      <c r="L95" s="3"/>
      <c r="M95" s="3"/>
      <c r="N95" s="15"/>
      <c r="O95" s="17"/>
    </row>
    <row r="96" spans="3:15" x14ac:dyDescent="0.25">
      <c r="C96" s="3" t="s">
        <v>1310</v>
      </c>
      <c r="D96" s="3" t="s">
        <v>1304</v>
      </c>
      <c r="E96" s="3">
        <v>2026</v>
      </c>
      <c r="F96" s="3" t="s">
        <v>750</v>
      </c>
      <c r="G96" s="3" t="str">
        <f>_xlfn.CONCAT(Tabela17[[#This Row],[FAIXA DE TENSÃO]],Tabela17[[#This Row],[TIPO]],Tabela17[[#This Row],[Ano2]],Tabela17[[#This Row],[Mês]])</f>
        <v>13.800RT2026novembro</v>
      </c>
      <c r="J96" s="3">
        <v>200</v>
      </c>
      <c r="K96">
        <v>1081</v>
      </c>
      <c r="L96" s="3"/>
      <c r="M96" s="3"/>
      <c r="N96" s="15"/>
      <c r="O96" s="17"/>
    </row>
    <row r="97" spans="3:15" x14ac:dyDescent="0.25">
      <c r="C97" s="3" t="s">
        <v>1310</v>
      </c>
      <c r="D97" s="3" t="s">
        <v>1304</v>
      </c>
      <c r="E97" s="3">
        <v>2026</v>
      </c>
      <c r="F97" s="3" t="s">
        <v>751</v>
      </c>
      <c r="G97" s="3" t="str">
        <f>_xlfn.CONCAT(Tabela17[[#This Row],[FAIXA DE TENSÃO]],Tabela17[[#This Row],[TIPO]],Tabela17[[#This Row],[Ano2]],Tabela17[[#This Row],[Mês]])</f>
        <v>13.800RT2026dezembro</v>
      </c>
      <c r="J97" s="3">
        <v>200</v>
      </c>
      <c r="K97">
        <v>1081</v>
      </c>
      <c r="L97" s="3"/>
      <c r="M97" s="3"/>
      <c r="N97" s="15"/>
      <c r="O97" s="17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DDA-C605-46B5-9A9E-BDDC037671C7}">
  <dimension ref="A1:M75"/>
  <sheetViews>
    <sheetView topLeftCell="A41" workbookViewId="0">
      <selection activeCell="A36" sqref="A36:A75"/>
    </sheetView>
    <sheetView topLeftCell="A28" zoomScale="85" zoomScaleNormal="85" workbookViewId="1">
      <selection activeCell="E42" sqref="E42"/>
    </sheetView>
  </sheetViews>
  <sheetFormatPr defaultRowHeight="15" x14ac:dyDescent="0.25"/>
  <cols>
    <col min="1" max="1" width="8.42578125" customWidth="1"/>
    <col min="2" max="2" width="9.28515625" customWidth="1"/>
    <col min="3" max="3" width="59.5703125" bestFit="1" customWidth="1"/>
    <col min="4" max="4" width="10.7109375" customWidth="1"/>
    <col min="6" max="6" width="15.5703125" customWidth="1"/>
    <col min="7" max="7" width="12.7109375" bestFit="1" customWidth="1"/>
    <col min="8" max="8" width="24.5703125" bestFit="1" customWidth="1"/>
    <col min="9" max="9" width="17.140625" customWidth="1"/>
    <col min="10" max="10" width="23.85546875" customWidth="1"/>
    <col min="11" max="11" width="11" bestFit="1" customWidth="1"/>
    <col min="12" max="12" width="43" bestFit="1" customWidth="1"/>
    <col min="13" max="13" width="27" customWidth="1"/>
  </cols>
  <sheetData>
    <row r="1" spans="1:4" x14ac:dyDescent="0.25">
      <c r="A1" t="s">
        <v>1575</v>
      </c>
    </row>
    <row r="5" spans="1:4" x14ac:dyDescent="0.25">
      <c r="A5" t="s">
        <v>1576</v>
      </c>
    </row>
    <row r="6" spans="1:4" x14ac:dyDescent="0.25">
      <c r="A6" t="s">
        <v>1576</v>
      </c>
      <c r="B6" s="142" t="s">
        <v>1563</v>
      </c>
      <c r="C6" s="142" t="s">
        <v>1564</v>
      </c>
      <c r="D6" s="142" t="s">
        <v>298</v>
      </c>
    </row>
    <row r="7" spans="1:4" x14ac:dyDescent="0.25">
      <c r="A7" s="141">
        <v>38291</v>
      </c>
    </row>
    <row r="35" spans="1:13" x14ac:dyDescent="0.25">
      <c r="A35" t="s">
        <v>299</v>
      </c>
      <c r="B35" t="s">
        <v>1501</v>
      </c>
      <c r="C35" t="s">
        <v>1557</v>
      </c>
      <c r="D35" t="s">
        <v>1558</v>
      </c>
      <c r="E35" t="s">
        <v>1559</v>
      </c>
      <c r="F35" t="s">
        <v>1560</v>
      </c>
      <c r="G35" t="s">
        <v>1561</v>
      </c>
      <c r="H35" t="s">
        <v>1562</v>
      </c>
      <c r="I35" t="s">
        <v>1563</v>
      </c>
      <c r="J35" t="s">
        <v>1564</v>
      </c>
      <c r="K35" t="s">
        <v>0</v>
      </c>
      <c r="L35" t="s">
        <v>298</v>
      </c>
      <c r="M35" t="s">
        <v>1574</v>
      </c>
    </row>
    <row r="36" spans="1:13" x14ac:dyDescent="0.25">
      <c r="A36">
        <v>38291</v>
      </c>
      <c r="B36">
        <v>651638</v>
      </c>
      <c r="C36" t="s">
        <v>1567</v>
      </c>
      <c r="D36" t="s">
        <v>1565</v>
      </c>
      <c r="E36">
        <v>3</v>
      </c>
      <c r="F36" s="38">
        <v>29227.78</v>
      </c>
      <c r="G36" s="38">
        <v>87683.34</v>
      </c>
      <c r="H36" t="s">
        <v>1566</v>
      </c>
      <c r="I36" s="12">
        <v>46232</v>
      </c>
      <c r="J36">
        <v>29734478</v>
      </c>
      <c r="L36" t="s">
        <v>1573</v>
      </c>
    </row>
    <row r="37" spans="1:13" x14ac:dyDescent="0.25">
      <c r="A37">
        <v>38291</v>
      </c>
      <c r="B37">
        <v>651638</v>
      </c>
      <c r="C37" t="s">
        <v>1567</v>
      </c>
      <c r="D37" t="s">
        <v>1565</v>
      </c>
      <c r="E37">
        <v>3</v>
      </c>
      <c r="F37" s="38">
        <v>29227.78</v>
      </c>
      <c r="G37" s="38">
        <v>87683.34</v>
      </c>
      <c r="H37" t="s">
        <v>1566</v>
      </c>
      <c r="I37" s="12">
        <v>46232</v>
      </c>
      <c r="J37">
        <v>29734478</v>
      </c>
    </row>
    <row r="38" spans="1:13" x14ac:dyDescent="0.25">
      <c r="A38">
        <v>38291</v>
      </c>
      <c r="B38">
        <v>651638</v>
      </c>
      <c r="C38" t="s">
        <v>1567</v>
      </c>
      <c r="D38" t="s">
        <v>1565</v>
      </c>
      <c r="E38">
        <v>3</v>
      </c>
      <c r="F38" s="38">
        <v>29227.78</v>
      </c>
      <c r="G38" s="38">
        <v>87683.34</v>
      </c>
      <c r="H38" t="s">
        <v>1566</v>
      </c>
      <c r="I38" s="12">
        <v>46232</v>
      </c>
      <c r="J38">
        <v>29734478</v>
      </c>
    </row>
    <row r="39" spans="1:13" x14ac:dyDescent="0.25">
      <c r="A39">
        <v>38292</v>
      </c>
      <c r="B39">
        <v>690241</v>
      </c>
      <c r="C39" t="s">
        <v>1568</v>
      </c>
      <c r="D39" t="s">
        <v>1565</v>
      </c>
      <c r="E39">
        <v>4</v>
      </c>
      <c r="F39" s="38">
        <v>99636.75</v>
      </c>
      <c r="G39" s="38">
        <v>398547</v>
      </c>
      <c r="H39" t="s">
        <v>1566</v>
      </c>
      <c r="I39" s="12">
        <v>46232</v>
      </c>
      <c r="J39">
        <v>29734478</v>
      </c>
    </row>
    <row r="40" spans="1:13" x14ac:dyDescent="0.25">
      <c r="A40">
        <v>38292</v>
      </c>
      <c r="B40">
        <v>690241</v>
      </c>
      <c r="C40" t="s">
        <v>1568</v>
      </c>
      <c r="D40" t="s">
        <v>1565</v>
      </c>
      <c r="E40">
        <v>4</v>
      </c>
      <c r="F40" s="38">
        <v>99636.75</v>
      </c>
      <c r="G40" s="38">
        <v>398547</v>
      </c>
      <c r="H40" t="s">
        <v>1566</v>
      </c>
      <c r="I40" s="12">
        <v>46232</v>
      </c>
      <c r="J40">
        <v>29734478</v>
      </c>
    </row>
    <row r="41" spans="1:13" x14ac:dyDescent="0.25">
      <c r="A41">
        <v>38292</v>
      </c>
      <c r="B41">
        <v>690241</v>
      </c>
      <c r="C41" t="s">
        <v>1568</v>
      </c>
      <c r="D41" t="s">
        <v>1565</v>
      </c>
      <c r="E41">
        <v>4</v>
      </c>
      <c r="F41" s="38">
        <v>99636.75</v>
      </c>
      <c r="G41" s="38">
        <v>398547</v>
      </c>
      <c r="H41" t="s">
        <v>1566</v>
      </c>
      <c r="I41" s="12">
        <v>46232</v>
      </c>
      <c r="J41">
        <v>29734478</v>
      </c>
    </row>
    <row r="42" spans="1:13" x14ac:dyDescent="0.25">
      <c r="A42">
        <v>38292</v>
      </c>
      <c r="B42">
        <v>690241</v>
      </c>
      <c r="C42" t="s">
        <v>1568</v>
      </c>
      <c r="D42" t="s">
        <v>1565</v>
      </c>
      <c r="E42">
        <v>4</v>
      </c>
      <c r="F42" s="38">
        <v>99636.75</v>
      </c>
      <c r="G42" s="38">
        <v>398547</v>
      </c>
      <c r="H42" t="s">
        <v>1566</v>
      </c>
      <c r="I42" s="12">
        <v>46232</v>
      </c>
      <c r="J42">
        <v>29734478</v>
      </c>
    </row>
    <row r="43" spans="1:13" x14ac:dyDescent="0.25">
      <c r="A43">
        <v>38294</v>
      </c>
      <c r="B43">
        <v>690001</v>
      </c>
      <c r="C43" t="s">
        <v>1569</v>
      </c>
      <c r="D43" t="s">
        <v>1565</v>
      </c>
      <c r="E43">
        <v>8</v>
      </c>
      <c r="F43" s="38">
        <v>21785.72</v>
      </c>
      <c r="G43" s="38">
        <v>174285.76</v>
      </c>
      <c r="H43" t="s">
        <v>1566</v>
      </c>
      <c r="I43" s="12">
        <v>46232</v>
      </c>
      <c r="J43">
        <v>29734495</v>
      </c>
    </row>
    <row r="44" spans="1:13" x14ac:dyDescent="0.25">
      <c r="A44">
        <v>38294</v>
      </c>
      <c r="B44">
        <v>690001</v>
      </c>
      <c r="C44" t="s">
        <v>1569</v>
      </c>
      <c r="D44" t="s">
        <v>1565</v>
      </c>
      <c r="E44">
        <v>8</v>
      </c>
      <c r="F44" s="38">
        <v>21785.72</v>
      </c>
      <c r="G44" s="38">
        <v>174285.76</v>
      </c>
      <c r="H44" t="s">
        <v>1566</v>
      </c>
      <c r="I44" s="12">
        <v>46232</v>
      </c>
      <c r="J44">
        <v>29734495</v>
      </c>
    </row>
    <row r="45" spans="1:13" x14ac:dyDescent="0.25">
      <c r="A45">
        <v>38294</v>
      </c>
      <c r="B45">
        <v>690001</v>
      </c>
      <c r="C45" t="s">
        <v>1569</v>
      </c>
      <c r="D45" t="s">
        <v>1565</v>
      </c>
      <c r="E45">
        <v>8</v>
      </c>
      <c r="F45" s="38">
        <v>21785.72</v>
      </c>
      <c r="G45" s="38">
        <v>174285.76</v>
      </c>
      <c r="H45" t="s">
        <v>1566</v>
      </c>
      <c r="I45" s="12">
        <v>46232</v>
      </c>
      <c r="J45">
        <v>29734495</v>
      </c>
    </row>
    <row r="46" spans="1:13" x14ac:dyDescent="0.25">
      <c r="A46">
        <v>38294</v>
      </c>
      <c r="B46">
        <v>690001</v>
      </c>
      <c r="C46" t="s">
        <v>1569</v>
      </c>
      <c r="D46" t="s">
        <v>1565</v>
      </c>
      <c r="E46">
        <v>8</v>
      </c>
      <c r="F46" s="38">
        <v>21785.72</v>
      </c>
      <c r="G46" s="38">
        <v>174285.76</v>
      </c>
      <c r="H46" t="s">
        <v>1566</v>
      </c>
      <c r="I46" s="12">
        <v>46232</v>
      </c>
      <c r="J46">
        <v>29734495</v>
      </c>
    </row>
    <row r="47" spans="1:13" x14ac:dyDescent="0.25">
      <c r="A47">
        <v>38294</v>
      </c>
      <c r="B47">
        <v>690001</v>
      </c>
      <c r="C47" t="s">
        <v>1569</v>
      </c>
      <c r="D47" t="s">
        <v>1565</v>
      </c>
      <c r="E47">
        <v>8</v>
      </c>
      <c r="F47" s="38">
        <v>21785.72</v>
      </c>
      <c r="G47" s="38">
        <v>174285.76</v>
      </c>
      <c r="H47" t="s">
        <v>1566</v>
      </c>
      <c r="I47" s="12">
        <v>46232</v>
      </c>
      <c r="J47">
        <v>29734495</v>
      </c>
    </row>
    <row r="48" spans="1:13" x14ac:dyDescent="0.25">
      <c r="A48">
        <v>38294</v>
      </c>
      <c r="B48">
        <v>690001</v>
      </c>
      <c r="C48" t="s">
        <v>1569</v>
      </c>
      <c r="D48" t="s">
        <v>1565</v>
      </c>
      <c r="E48">
        <v>8</v>
      </c>
      <c r="F48" s="38">
        <v>21785.72</v>
      </c>
      <c r="G48" s="38">
        <v>174285.76</v>
      </c>
      <c r="H48" t="s">
        <v>1566</v>
      </c>
      <c r="I48" s="12">
        <v>46232</v>
      </c>
      <c r="J48">
        <v>29734495</v>
      </c>
    </row>
    <row r="49" spans="1:10" x14ac:dyDescent="0.25">
      <c r="A49">
        <v>38294</v>
      </c>
      <c r="B49">
        <v>690001</v>
      </c>
      <c r="C49" t="s">
        <v>1569</v>
      </c>
      <c r="D49" t="s">
        <v>1565</v>
      </c>
      <c r="E49">
        <v>8</v>
      </c>
      <c r="F49" s="38">
        <v>21785.72</v>
      </c>
      <c r="G49" s="38">
        <v>174285.76</v>
      </c>
      <c r="H49" t="s">
        <v>1566</v>
      </c>
      <c r="I49" s="12">
        <v>46232</v>
      </c>
      <c r="J49">
        <v>29734495</v>
      </c>
    </row>
    <row r="50" spans="1:10" x14ac:dyDescent="0.25">
      <c r="A50">
        <v>38294</v>
      </c>
      <c r="B50">
        <v>690001</v>
      </c>
      <c r="C50" t="s">
        <v>1569</v>
      </c>
      <c r="D50" t="s">
        <v>1565</v>
      </c>
      <c r="E50">
        <v>8</v>
      </c>
      <c r="F50" s="38">
        <v>21785.72</v>
      </c>
      <c r="G50" s="38">
        <v>174285.76</v>
      </c>
      <c r="H50" t="s">
        <v>1566</v>
      </c>
      <c r="I50" s="12">
        <v>46232</v>
      </c>
      <c r="J50">
        <v>29734495</v>
      </c>
    </row>
    <row r="51" spans="1:10" x14ac:dyDescent="0.25">
      <c r="A51">
        <v>38295</v>
      </c>
      <c r="B51">
        <v>690005</v>
      </c>
      <c r="C51" t="s">
        <v>1570</v>
      </c>
      <c r="D51" t="s">
        <v>1565</v>
      </c>
      <c r="E51">
        <v>13</v>
      </c>
      <c r="F51" s="38">
        <v>41873.79</v>
      </c>
      <c r="G51" s="38">
        <v>544359.27</v>
      </c>
      <c r="H51" t="s">
        <v>1566</v>
      </c>
      <c r="I51" s="12">
        <v>46232</v>
      </c>
      <c r="J51">
        <v>29734495</v>
      </c>
    </row>
    <row r="52" spans="1:10" x14ac:dyDescent="0.25">
      <c r="A52">
        <v>38295</v>
      </c>
      <c r="B52">
        <v>690005</v>
      </c>
      <c r="C52" t="s">
        <v>1570</v>
      </c>
      <c r="D52" t="s">
        <v>1565</v>
      </c>
      <c r="E52">
        <v>13</v>
      </c>
      <c r="F52" s="38">
        <v>41873.79</v>
      </c>
      <c r="G52" s="38">
        <v>544359.27</v>
      </c>
      <c r="H52" t="s">
        <v>1566</v>
      </c>
      <c r="I52" s="12">
        <v>46232</v>
      </c>
      <c r="J52">
        <v>29734495</v>
      </c>
    </row>
    <row r="53" spans="1:10" x14ac:dyDescent="0.25">
      <c r="A53">
        <v>38295</v>
      </c>
      <c r="B53">
        <v>690005</v>
      </c>
      <c r="C53" t="s">
        <v>1570</v>
      </c>
      <c r="D53" t="s">
        <v>1565</v>
      </c>
      <c r="E53">
        <v>13</v>
      </c>
      <c r="F53" s="38">
        <v>41873.79</v>
      </c>
      <c r="G53" s="38">
        <v>544359.27</v>
      </c>
      <c r="H53" t="s">
        <v>1566</v>
      </c>
      <c r="I53" s="12">
        <v>46232</v>
      </c>
      <c r="J53">
        <v>29734495</v>
      </c>
    </row>
    <row r="54" spans="1:10" x14ac:dyDescent="0.25">
      <c r="A54">
        <v>38295</v>
      </c>
      <c r="B54">
        <v>690005</v>
      </c>
      <c r="C54" t="s">
        <v>1570</v>
      </c>
      <c r="D54" t="s">
        <v>1565</v>
      </c>
      <c r="E54">
        <v>13</v>
      </c>
      <c r="F54" s="38">
        <v>41873.79</v>
      </c>
      <c r="G54" s="38">
        <v>544359.27</v>
      </c>
      <c r="H54" t="s">
        <v>1566</v>
      </c>
      <c r="I54" s="12">
        <v>46232</v>
      </c>
      <c r="J54">
        <v>29734495</v>
      </c>
    </row>
    <row r="55" spans="1:10" x14ac:dyDescent="0.25">
      <c r="A55">
        <v>38295</v>
      </c>
      <c r="B55">
        <v>690005</v>
      </c>
      <c r="C55" t="s">
        <v>1570</v>
      </c>
      <c r="D55" t="s">
        <v>1565</v>
      </c>
      <c r="E55">
        <v>13</v>
      </c>
      <c r="F55" s="38">
        <v>41873.79</v>
      </c>
      <c r="G55" s="38">
        <v>544359.27</v>
      </c>
      <c r="H55" t="s">
        <v>1566</v>
      </c>
      <c r="I55" s="12">
        <v>46232</v>
      </c>
      <c r="J55">
        <v>29734495</v>
      </c>
    </row>
    <row r="56" spans="1:10" x14ac:dyDescent="0.25">
      <c r="A56">
        <v>38295</v>
      </c>
      <c r="B56">
        <v>690005</v>
      </c>
      <c r="C56" t="s">
        <v>1570</v>
      </c>
      <c r="D56" t="s">
        <v>1565</v>
      </c>
      <c r="E56">
        <v>13</v>
      </c>
      <c r="F56" s="38">
        <v>41873.79</v>
      </c>
      <c r="G56" s="38">
        <v>544359.27</v>
      </c>
      <c r="H56" t="s">
        <v>1566</v>
      </c>
      <c r="I56" s="12">
        <v>46232</v>
      </c>
      <c r="J56">
        <v>29734495</v>
      </c>
    </row>
    <row r="57" spans="1:10" x14ac:dyDescent="0.25">
      <c r="A57">
        <v>38295</v>
      </c>
      <c r="B57">
        <v>690005</v>
      </c>
      <c r="C57" t="s">
        <v>1570</v>
      </c>
      <c r="D57" t="s">
        <v>1565</v>
      </c>
      <c r="E57">
        <v>13</v>
      </c>
      <c r="F57" s="38">
        <v>41873.79</v>
      </c>
      <c r="G57" s="38">
        <v>544359.27</v>
      </c>
      <c r="H57" t="s">
        <v>1566</v>
      </c>
      <c r="I57" s="12">
        <v>46232</v>
      </c>
      <c r="J57">
        <v>29734495</v>
      </c>
    </row>
    <row r="58" spans="1:10" x14ac:dyDescent="0.25">
      <c r="A58">
        <v>38295</v>
      </c>
      <c r="B58">
        <v>690005</v>
      </c>
      <c r="C58" t="s">
        <v>1570</v>
      </c>
      <c r="D58" t="s">
        <v>1565</v>
      </c>
      <c r="E58">
        <v>13</v>
      </c>
      <c r="F58" s="38">
        <v>41873.79</v>
      </c>
      <c r="G58" s="38">
        <v>544359.27</v>
      </c>
      <c r="H58" t="s">
        <v>1566</v>
      </c>
      <c r="I58" s="12">
        <v>46232</v>
      </c>
      <c r="J58">
        <v>29734495</v>
      </c>
    </row>
    <row r="59" spans="1:10" x14ac:dyDescent="0.25">
      <c r="A59">
        <v>38295</v>
      </c>
      <c r="B59">
        <v>690005</v>
      </c>
      <c r="C59" t="s">
        <v>1570</v>
      </c>
      <c r="D59" t="s">
        <v>1565</v>
      </c>
      <c r="E59">
        <v>13</v>
      </c>
      <c r="F59" s="38">
        <v>41873.79</v>
      </c>
      <c r="G59" s="38">
        <v>544359.27</v>
      </c>
      <c r="H59" t="s">
        <v>1566</v>
      </c>
      <c r="I59" s="12">
        <v>46232</v>
      </c>
      <c r="J59">
        <v>29734495</v>
      </c>
    </row>
    <row r="60" spans="1:10" x14ac:dyDescent="0.25">
      <c r="A60">
        <v>38295</v>
      </c>
      <c r="B60">
        <v>690005</v>
      </c>
      <c r="C60" t="s">
        <v>1570</v>
      </c>
      <c r="D60" t="s">
        <v>1565</v>
      </c>
      <c r="E60">
        <v>13</v>
      </c>
      <c r="F60" s="38">
        <v>41873.79</v>
      </c>
      <c r="G60" s="38">
        <v>544359.27</v>
      </c>
      <c r="H60" t="s">
        <v>1566</v>
      </c>
      <c r="I60" s="12">
        <v>46232</v>
      </c>
      <c r="J60">
        <v>29734495</v>
      </c>
    </row>
    <row r="61" spans="1:10" x14ac:dyDescent="0.25">
      <c r="A61">
        <v>38295</v>
      </c>
      <c r="B61">
        <v>690005</v>
      </c>
      <c r="C61" t="s">
        <v>1570</v>
      </c>
      <c r="D61" t="s">
        <v>1565</v>
      </c>
      <c r="E61">
        <v>13</v>
      </c>
      <c r="F61" s="38">
        <v>41873.79</v>
      </c>
      <c r="G61" s="38">
        <v>544359.27</v>
      </c>
      <c r="H61" t="s">
        <v>1566</v>
      </c>
      <c r="I61" s="12">
        <v>46232</v>
      </c>
      <c r="J61">
        <v>29734495</v>
      </c>
    </row>
    <row r="62" spans="1:10" x14ac:dyDescent="0.25">
      <c r="A62">
        <v>38295</v>
      </c>
      <c r="B62">
        <v>690005</v>
      </c>
      <c r="C62" t="s">
        <v>1570</v>
      </c>
      <c r="D62" t="s">
        <v>1565</v>
      </c>
      <c r="E62">
        <v>13</v>
      </c>
      <c r="F62" s="38">
        <v>41873.79</v>
      </c>
      <c r="G62" s="38">
        <v>544359.27</v>
      </c>
      <c r="H62" t="s">
        <v>1566</v>
      </c>
      <c r="I62" s="12">
        <v>46232</v>
      </c>
      <c r="J62">
        <v>29734495</v>
      </c>
    </row>
    <row r="63" spans="1:10" x14ac:dyDescent="0.25">
      <c r="A63">
        <v>38295</v>
      </c>
      <c r="B63">
        <v>690005</v>
      </c>
      <c r="C63" t="s">
        <v>1570</v>
      </c>
      <c r="D63" t="s">
        <v>1565</v>
      </c>
      <c r="E63">
        <v>13</v>
      </c>
      <c r="F63" s="38">
        <v>41873.79</v>
      </c>
      <c r="G63" s="38">
        <v>544359.27</v>
      </c>
      <c r="H63" t="s">
        <v>1566</v>
      </c>
      <c r="I63" s="12">
        <v>46232</v>
      </c>
      <c r="J63">
        <v>29734495</v>
      </c>
    </row>
    <row r="64" spans="1:10" x14ac:dyDescent="0.25">
      <c r="A64">
        <v>38296</v>
      </c>
      <c r="B64">
        <v>690916</v>
      </c>
      <c r="C64" t="s">
        <v>1571</v>
      </c>
      <c r="D64" t="s">
        <v>1565</v>
      </c>
      <c r="E64">
        <v>5</v>
      </c>
      <c r="F64" s="38">
        <v>33816.83</v>
      </c>
      <c r="G64" s="38">
        <v>169084.15</v>
      </c>
      <c r="H64" t="s">
        <v>1566</v>
      </c>
      <c r="I64" s="12">
        <v>46232</v>
      </c>
      <c r="J64">
        <v>29734495</v>
      </c>
    </row>
    <row r="65" spans="1:10" x14ac:dyDescent="0.25">
      <c r="A65">
        <v>38296</v>
      </c>
      <c r="B65">
        <v>690916</v>
      </c>
      <c r="C65" t="s">
        <v>1571</v>
      </c>
      <c r="D65" t="s">
        <v>1565</v>
      </c>
      <c r="E65">
        <v>5</v>
      </c>
      <c r="F65" s="38">
        <v>33816.83</v>
      </c>
      <c r="G65" s="38">
        <v>169084.15</v>
      </c>
      <c r="H65" t="s">
        <v>1566</v>
      </c>
      <c r="I65" s="12">
        <v>46232</v>
      </c>
      <c r="J65">
        <v>29734495</v>
      </c>
    </row>
    <row r="66" spans="1:10" ht="16.5" customHeight="1" x14ac:dyDescent="0.25">
      <c r="A66">
        <v>38296</v>
      </c>
      <c r="B66">
        <v>690916</v>
      </c>
      <c r="C66" t="s">
        <v>1571</v>
      </c>
      <c r="D66" t="s">
        <v>1565</v>
      </c>
      <c r="E66">
        <v>5</v>
      </c>
      <c r="F66" s="38">
        <v>33816.83</v>
      </c>
      <c r="G66" s="38">
        <v>169084.15</v>
      </c>
      <c r="H66" t="s">
        <v>1566</v>
      </c>
      <c r="I66" s="12">
        <v>46232</v>
      </c>
      <c r="J66">
        <v>29734495</v>
      </c>
    </row>
    <row r="67" spans="1:10" x14ac:dyDescent="0.25">
      <c r="A67">
        <v>38296</v>
      </c>
      <c r="B67">
        <v>690916</v>
      </c>
      <c r="C67" t="s">
        <v>1571</v>
      </c>
      <c r="D67" t="s">
        <v>1565</v>
      </c>
      <c r="E67">
        <v>5</v>
      </c>
      <c r="F67" s="38">
        <v>33816.83</v>
      </c>
      <c r="G67" s="38">
        <v>169084.15</v>
      </c>
      <c r="H67" t="s">
        <v>1566</v>
      </c>
      <c r="I67" s="12">
        <v>46232</v>
      </c>
      <c r="J67">
        <v>29734495</v>
      </c>
    </row>
    <row r="68" spans="1:10" x14ac:dyDescent="0.25">
      <c r="A68">
        <v>38296</v>
      </c>
      <c r="B68">
        <v>690916</v>
      </c>
      <c r="C68" t="s">
        <v>1571</v>
      </c>
      <c r="D68" t="s">
        <v>1565</v>
      </c>
      <c r="E68">
        <v>5</v>
      </c>
      <c r="F68" s="38">
        <v>33816.83</v>
      </c>
      <c r="G68" s="38">
        <v>169084.15</v>
      </c>
      <c r="H68" t="s">
        <v>1566</v>
      </c>
      <c r="I68" s="12">
        <v>46232</v>
      </c>
      <c r="J68">
        <v>29734495</v>
      </c>
    </row>
    <row r="69" spans="1:10" x14ac:dyDescent="0.25">
      <c r="A69">
        <v>38297</v>
      </c>
      <c r="B69">
        <v>692263</v>
      </c>
      <c r="C69" t="s">
        <v>1572</v>
      </c>
      <c r="D69" t="s">
        <v>1565</v>
      </c>
      <c r="E69">
        <v>7</v>
      </c>
      <c r="F69" s="38">
        <v>37493.599999999999</v>
      </c>
      <c r="G69" s="38">
        <v>262455.2</v>
      </c>
      <c r="H69" t="s">
        <v>1566</v>
      </c>
      <c r="I69" s="12">
        <v>46232</v>
      </c>
      <c r="J69">
        <v>29734495</v>
      </c>
    </row>
    <row r="70" spans="1:10" x14ac:dyDescent="0.25">
      <c r="A70">
        <v>38297</v>
      </c>
      <c r="B70">
        <v>692263</v>
      </c>
      <c r="C70" t="s">
        <v>1572</v>
      </c>
      <c r="D70" t="s">
        <v>1565</v>
      </c>
      <c r="E70">
        <v>7</v>
      </c>
      <c r="F70" s="38">
        <v>37493.599999999999</v>
      </c>
      <c r="G70" s="38">
        <v>262455.2</v>
      </c>
      <c r="H70" t="s">
        <v>1566</v>
      </c>
      <c r="I70" s="12">
        <v>46232</v>
      </c>
      <c r="J70">
        <v>29734495</v>
      </c>
    </row>
    <row r="71" spans="1:10" x14ac:dyDescent="0.25">
      <c r="A71">
        <v>38297</v>
      </c>
      <c r="B71">
        <v>692263</v>
      </c>
      <c r="C71" t="s">
        <v>1572</v>
      </c>
      <c r="D71" t="s">
        <v>1565</v>
      </c>
      <c r="E71">
        <v>7</v>
      </c>
      <c r="F71" s="38">
        <v>37493.599999999999</v>
      </c>
      <c r="G71" s="38">
        <v>262455.2</v>
      </c>
      <c r="H71" t="s">
        <v>1566</v>
      </c>
      <c r="I71" s="12">
        <v>46232</v>
      </c>
      <c r="J71">
        <v>29734495</v>
      </c>
    </row>
    <row r="72" spans="1:10" x14ac:dyDescent="0.25">
      <c r="A72">
        <v>38297</v>
      </c>
      <c r="B72">
        <v>692263</v>
      </c>
      <c r="C72" t="s">
        <v>1572</v>
      </c>
      <c r="D72" t="s">
        <v>1565</v>
      </c>
      <c r="E72">
        <v>7</v>
      </c>
      <c r="F72" s="38">
        <v>37493.599999999999</v>
      </c>
      <c r="G72" s="38">
        <v>262455.2</v>
      </c>
      <c r="H72" t="s">
        <v>1566</v>
      </c>
      <c r="I72" s="12">
        <v>46232</v>
      </c>
      <c r="J72">
        <v>29734495</v>
      </c>
    </row>
    <row r="73" spans="1:10" x14ac:dyDescent="0.25">
      <c r="A73">
        <v>38297</v>
      </c>
      <c r="B73">
        <v>692263</v>
      </c>
      <c r="C73" t="s">
        <v>1572</v>
      </c>
      <c r="D73" t="s">
        <v>1565</v>
      </c>
      <c r="E73">
        <v>7</v>
      </c>
      <c r="F73" s="38">
        <v>37493.599999999999</v>
      </c>
      <c r="G73" s="38">
        <v>262455.2</v>
      </c>
      <c r="H73" t="s">
        <v>1566</v>
      </c>
      <c r="I73" s="12">
        <v>46232</v>
      </c>
      <c r="J73">
        <v>29734495</v>
      </c>
    </row>
    <row r="74" spans="1:10" x14ac:dyDescent="0.25">
      <c r="A74">
        <v>38297</v>
      </c>
      <c r="B74">
        <v>692263</v>
      </c>
      <c r="C74" t="s">
        <v>1572</v>
      </c>
      <c r="D74" t="s">
        <v>1565</v>
      </c>
      <c r="E74">
        <v>7</v>
      </c>
      <c r="F74" s="38">
        <v>37493.599999999999</v>
      </c>
      <c r="G74" s="38">
        <v>262455.2</v>
      </c>
      <c r="H74" t="s">
        <v>1566</v>
      </c>
      <c r="I74" s="12">
        <v>46232</v>
      </c>
      <c r="J74">
        <v>29734495</v>
      </c>
    </row>
    <row r="75" spans="1:10" x14ac:dyDescent="0.25">
      <c r="A75">
        <v>38297</v>
      </c>
      <c r="B75">
        <v>692263</v>
      </c>
      <c r="C75" t="s">
        <v>1572</v>
      </c>
      <c r="D75" t="s">
        <v>1565</v>
      </c>
      <c r="E75">
        <v>7</v>
      </c>
      <c r="F75" s="38">
        <v>37493.599999999999</v>
      </c>
      <c r="G75" s="38">
        <v>262455.2</v>
      </c>
      <c r="H75" t="s">
        <v>1566</v>
      </c>
      <c r="I75" s="12">
        <v>46232</v>
      </c>
      <c r="J75">
        <v>29734495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R124"/>
  <sheetViews>
    <sheetView showGridLines="0" topLeftCell="A75" zoomScale="55" zoomScaleNormal="55" workbookViewId="0">
      <selection activeCell="O106" sqref="O106"/>
    </sheetView>
    <sheetView workbookViewId="1">
      <selection activeCell="C9" sqref="C9"/>
    </sheetView>
  </sheetViews>
  <sheetFormatPr defaultRowHeight="15" x14ac:dyDescent="0.25"/>
  <cols>
    <col min="1" max="1" width="19.5703125" bestFit="1" customWidth="1"/>
    <col min="2" max="8" width="19.7109375" bestFit="1" customWidth="1"/>
    <col min="9" max="9" width="11.85546875" bestFit="1" customWidth="1"/>
    <col min="10" max="11" width="19.7109375" bestFit="1" customWidth="1"/>
    <col min="12" max="12" width="11.28515625" bestFit="1" customWidth="1"/>
    <col min="13" max="13" width="12.5703125" bestFit="1" customWidth="1"/>
    <col min="14" max="14" width="19.5703125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9" x14ac:dyDescent="0.25">
      <c r="A1" s="5" t="s">
        <v>1297</v>
      </c>
      <c r="B1" s="6">
        <v>2026</v>
      </c>
    </row>
    <row r="2" spans="1:9" x14ac:dyDescent="0.25">
      <c r="A2" s="5" t="s">
        <v>1298</v>
      </c>
      <c r="B2" t="s">
        <v>1305</v>
      </c>
    </row>
    <row r="3" spans="1:9" x14ac:dyDescent="0.25">
      <c r="A3" s="5" t="s">
        <v>1299</v>
      </c>
      <c r="B3" t="s">
        <v>1305</v>
      </c>
    </row>
    <row r="5" spans="1:9" x14ac:dyDescent="0.25">
      <c r="A5" s="5" t="s">
        <v>739</v>
      </c>
    </row>
    <row r="6" spans="1:9" x14ac:dyDescent="0.25">
      <c r="A6" t="s">
        <v>740</v>
      </c>
      <c r="B6" t="s">
        <v>741</v>
      </c>
      <c r="C6" t="s">
        <v>742</v>
      </c>
      <c r="D6" t="s">
        <v>743</v>
      </c>
      <c r="E6" t="s">
        <v>744</v>
      </c>
      <c r="F6" t="s">
        <v>745</v>
      </c>
      <c r="G6" t="s">
        <v>746</v>
      </c>
      <c r="H6" t="s">
        <v>747</v>
      </c>
      <c r="I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1300</v>
      </c>
    </row>
    <row r="70" spans="1:15" hidden="1" x14ac:dyDescent="0.25">
      <c r="A70" t="s">
        <v>1301</v>
      </c>
    </row>
    <row r="71" spans="1:15" ht="18.75" x14ac:dyDescent="0.3">
      <c r="A71" s="155" t="s">
        <v>332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</row>
    <row r="72" spans="1:15" ht="18.75" x14ac:dyDescent="0.3">
      <c r="A72" s="19"/>
      <c r="B72" s="19" t="s">
        <v>320</v>
      </c>
      <c r="C72" s="19" t="s">
        <v>321</v>
      </c>
      <c r="D72" s="19" t="s">
        <v>322</v>
      </c>
      <c r="E72" s="19" t="s">
        <v>323</v>
      </c>
      <c r="F72" s="19" t="s">
        <v>324</v>
      </c>
      <c r="G72" s="19" t="s">
        <v>325</v>
      </c>
      <c r="H72" s="19" t="s">
        <v>326</v>
      </c>
      <c r="I72" s="19" t="s">
        <v>327</v>
      </c>
      <c r="J72" s="19" t="s">
        <v>328</v>
      </c>
      <c r="K72" s="19" t="s">
        <v>329</v>
      </c>
      <c r="L72" s="19" t="s">
        <v>330</v>
      </c>
      <c r="M72" s="19" t="s">
        <v>331</v>
      </c>
    </row>
    <row r="73" spans="1:15" ht="18.75" x14ac:dyDescent="0.3">
      <c r="A73" s="19" t="s">
        <v>317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5" ht="18.75" x14ac:dyDescent="0.3">
      <c r="A74" s="19" t="s">
        <v>318</v>
      </c>
      <c r="B74" s="19">
        <v>1281</v>
      </c>
      <c r="C74" s="19">
        <v>1281</v>
      </c>
      <c r="D74" s="19">
        <v>1281</v>
      </c>
      <c r="E74" s="19">
        <v>1281</v>
      </c>
      <c r="F74" s="19">
        <v>1281</v>
      </c>
      <c r="G74" s="19">
        <v>1281</v>
      </c>
      <c r="H74" s="19">
        <v>1281</v>
      </c>
      <c r="I74" s="19">
        <v>1281</v>
      </c>
      <c r="J74" s="19">
        <v>1281</v>
      </c>
      <c r="K74" s="19">
        <v>1281</v>
      </c>
      <c r="L74" s="19">
        <v>1281</v>
      </c>
      <c r="M74" s="19">
        <v>1281</v>
      </c>
    </row>
    <row r="75" spans="1:15" ht="18.75" x14ac:dyDescent="0.3">
      <c r="A75" s="19" t="s">
        <v>319</v>
      </c>
      <c r="B75" s="19">
        <v>1</v>
      </c>
      <c r="C75" s="19">
        <v>1</v>
      </c>
      <c r="D75" s="19">
        <v>2</v>
      </c>
      <c r="E75" s="19">
        <v>2</v>
      </c>
      <c r="F75" s="19">
        <v>7</v>
      </c>
      <c r="G75" s="19">
        <v>4</v>
      </c>
      <c r="H75" s="19">
        <v>5</v>
      </c>
      <c r="I75" s="19">
        <v>2</v>
      </c>
      <c r="J75" s="19">
        <v>2</v>
      </c>
      <c r="K75" s="19">
        <v>4</v>
      </c>
      <c r="L75" s="19">
        <v>1</v>
      </c>
      <c r="M75" s="19">
        <v>4</v>
      </c>
      <c r="O75" s="19"/>
    </row>
    <row r="76" spans="1:15" ht="18.75" x14ac:dyDescent="0.3">
      <c r="A76" s="19"/>
      <c r="B76" s="20">
        <f>B75/B74</f>
        <v>7.8064012490241998E-4</v>
      </c>
      <c r="C76" s="20">
        <f t="shared" ref="C76:M76" si="0">C75/C74</f>
        <v>7.8064012490241998E-4</v>
      </c>
      <c r="D76" s="20">
        <f t="shared" si="0"/>
        <v>1.56128024980484E-3</v>
      </c>
      <c r="E76" s="20">
        <f t="shared" si="0"/>
        <v>1.56128024980484E-3</v>
      </c>
      <c r="F76" s="20">
        <f t="shared" si="0"/>
        <v>5.4644808743169399E-3</v>
      </c>
      <c r="G76" s="20">
        <f t="shared" si="0"/>
        <v>3.1225604996096799E-3</v>
      </c>
      <c r="H76" s="20">
        <f t="shared" si="0"/>
        <v>3.9032006245120999E-3</v>
      </c>
      <c r="I76" s="20">
        <f t="shared" si="0"/>
        <v>1.56128024980484E-3</v>
      </c>
      <c r="J76" s="20">
        <f t="shared" si="0"/>
        <v>1.56128024980484E-3</v>
      </c>
      <c r="K76" s="20">
        <f t="shared" si="0"/>
        <v>3.1225604996096799E-3</v>
      </c>
      <c r="L76" s="20">
        <f t="shared" si="0"/>
        <v>7.8064012490241998E-4</v>
      </c>
      <c r="M76" s="20">
        <f t="shared" si="0"/>
        <v>3.1225604996096799E-3</v>
      </c>
      <c r="O76" s="19"/>
    </row>
    <row r="77" spans="1:15" ht="18.75" x14ac:dyDescent="0.3">
      <c r="A77" s="155" t="s">
        <v>333</v>
      </c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O77" s="19"/>
    </row>
    <row r="78" spans="1:15" ht="18.75" x14ac:dyDescent="0.3">
      <c r="A78" s="19"/>
      <c r="B78" s="19" t="s">
        <v>320</v>
      </c>
      <c r="C78" s="19" t="s">
        <v>321</v>
      </c>
      <c r="D78" s="19" t="s">
        <v>322</v>
      </c>
      <c r="E78" s="19" t="s">
        <v>323</v>
      </c>
      <c r="F78" s="19" t="s">
        <v>324</v>
      </c>
      <c r="G78" s="19" t="s">
        <v>325</v>
      </c>
      <c r="H78" s="19" t="s">
        <v>326</v>
      </c>
      <c r="I78" s="19" t="s">
        <v>327</v>
      </c>
      <c r="J78" s="19" t="s">
        <v>328</v>
      </c>
      <c r="K78" s="19" t="s">
        <v>329</v>
      </c>
      <c r="L78" s="19" t="s">
        <v>330</v>
      </c>
      <c r="M78" s="19" t="s">
        <v>331</v>
      </c>
      <c r="O78" s="19"/>
    </row>
    <row r="79" spans="1:15" ht="18.75" x14ac:dyDescent="0.3">
      <c r="A79" s="19" t="s">
        <v>317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O79" s="19"/>
    </row>
    <row r="80" spans="1:15" ht="18.75" x14ac:dyDescent="0.3">
      <c r="A80" s="19" t="s">
        <v>318</v>
      </c>
      <c r="B80" s="19">
        <v>180</v>
      </c>
      <c r="C80" s="19">
        <v>180</v>
      </c>
      <c r="D80" s="19">
        <v>180</v>
      </c>
      <c r="E80" s="19">
        <v>180</v>
      </c>
      <c r="F80" s="19">
        <v>180</v>
      </c>
      <c r="G80" s="19">
        <v>180</v>
      </c>
      <c r="H80" s="19">
        <v>180</v>
      </c>
      <c r="I80" s="19">
        <v>180</v>
      </c>
      <c r="J80" s="19">
        <v>180</v>
      </c>
      <c r="K80" s="19">
        <v>180</v>
      </c>
      <c r="L80" s="19">
        <v>180</v>
      </c>
      <c r="M80" s="19">
        <v>180</v>
      </c>
      <c r="O80" s="19"/>
    </row>
    <row r="81" spans="1:18" ht="18.75" x14ac:dyDescent="0.3">
      <c r="A81" s="19" t="s">
        <v>319</v>
      </c>
      <c r="B81" s="19">
        <v>0</v>
      </c>
      <c r="C81" s="19">
        <v>1</v>
      </c>
      <c r="D81" s="19">
        <v>2</v>
      </c>
      <c r="E81" s="19">
        <v>0</v>
      </c>
      <c r="F81" s="19">
        <v>0</v>
      </c>
      <c r="G81" s="19">
        <v>1</v>
      </c>
      <c r="H81" s="19">
        <v>3</v>
      </c>
      <c r="I81" s="19">
        <v>5</v>
      </c>
      <c r="J81" s="19">
        <v>3</v>
      </c>
      <c r="K81" s="19"/>
      <c r="L81" s="19">
        <v>1</v>
      </c>
      <c r="M81" s="19">
        <v>2</v>
      </c>
      <c r="N81">
        <f>J81+J75</f>
        <v>5</v>
      </c>
      <c r="O81">
        <f t="shared" ref="O81:P81" si="1">K81+K75</f>
        <v>4</v>
      </c>
      <c r="P81">
        <f t="shared" si="1"/>
        <v>2</v>
      </c>
      <c r="Q81">
        <f>M81+M75</f>
        <v>6</v>
      </c>
    </row>
    <row r="82" spans="1:18" ht="18.75" x14ac:dyDescent="0.3">
      <c r="A82" s="19"/>
      <c r="B82" s="20">
        <f>B81/B80</f>
        <v>0</v>
      </c>
      <c r="C82" s="20">
        <f t="shared" ref="C82" si="2">C81/C80</f>
        <v>5.5555555555555558E-3</v>
      </c>
      <c r="D82" s="20">
        <f t="shared" ref="D82" si="3">D81/D80</f>
        <v>1.1111111111111112E-2</v>
      </c>
      <c r="E82" s="20">
        <f t="shared" ref="E82" si="4">E81/E80</f>
        <v>0</v>
      </c>
      <c r="F82" s="20">
        <f t="shared" ref="F82" si="5">F81/F80</f>
        <v>0</v>
      </c>
      <c r="G82" s="20">
        <f t="shared" ref="G82" si="6">G81/G80</f>
        <v>5.5555555555555558E-3</v>
      </c>
      <c r="H82" s="20">
        <f t="shared" ref="H82" si="7">H81/H80</f>
        <v>1.6666666666666666E-2</v>
      </c>
      <c r="I82" s="20">
        <f t="shared" ref="I82" si="8">I81/I80</f>
        <v>2.7777777777777776E-2</v>
      </c>
      <c r="J82" s="20">
        <f t="shared" ref="J82" si="9">J81/J80</f>
        <v>1.6666666666666666E-2</v>
      </c>
      <c r="K82" s="20">
        <f t="shared" ref="K82" si="10">K81/K80</f>
        <v>0</v>
      </c>
      <c r="L82" s="20">
        <f t="shared" ref="L82" si="11">L81/L80</f>
        <v>5.5555555555555558E-3</v>
      </c>
      <c r="M82" s="20">
        <f t="shared" ref="M82" si="12">M81/M80</f>
        <v>1.1111111111111112E-2</v>
      </c>
      <c r="O82" s="19"/>
    </row>
    <row r="83" spans="1:18" ht="18.75" x14ac:dyDescent="0.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O83" s="19"/>
    </row>
    <row r="84" spans="1:18" ht="18.75" x14ac:dyDescent="0.3">
      <c r="A84" s="158" t="s">
        <v>731</v>
      </c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60"/>
      <c r="O84" s="19"/>
    </row>
    <row r="85" spans="1:18" ht="18.75" x14ac:dyDescent="0.3">
      <c r="A85" s="19"/>
      <c r="B85" s="19" t="s">
        <v>320</v>
      </c>
      <c r="C85" s="19" t="s">
        <v>321</v>
      </c>
      <c r="D85" s="19" t="s">
        <v>322</v>
      </c>
      <c r="E85" s="19" t="s">
        <v>323</v>
      </c>
      <c r="F85" s="19" t="s">
        <v>324</v>
      </c>
      <c r="G85" s="19" t="s">
        <v>325</v>
      </c>
      <c r="H85" s="19" t="s">
        <v>326</v>
      </c>
      <c r="I85" s="19" t="s">
        <v>327</v>
      </c>
      <c r="J85" s="19" t="s">
        <v>328</v>
      </c>
      <c r="K85" s="19" t="s">
        <v>329</v>
      </c>
      <c r="L85" s="19" t="s">
        <v>330</v>
      </c>
      <c r="M85" s="19" t="s">
        <v>331</v>
      </c>
      <c r="O85" s="19"/>
    </row>
    <row r="86" spans="1:18" ht="18.75" x14ac:dyDescent="0.3">
      <c r="A86" s="19" t="s">
        <v>317</v>
      </c>
      <c r="B86" s="19" cm="1">
        <f t="array" ref="B86:M86">'[1]Expansão EE'!$E$51:$P$51</f>
        <v>2</v>
      </c>
      <c r="C86" s="19">
        <v>0</v>
      </c>
      <c r="D86" s="19">
        <v>2</v>
      </c>
      <c r="E86" s="19">
        <v>2</v>
      </c>
      <c r="F86" s="19">
        <v>3</v>
      </c>
      <c r="G86" s="19">
        <v>1</v>
      </c>
      <c r="H86" s="19">
        <v>3</v>
      </c>
      <c r="I86" s="19">
        <v>3</v>
      </c>
      <c r="J86" s="19">
        <v>0</v>
      </c>
      <c r="K86" s="19">
        <v>0</v>
      </c>
      <c r="L86" s="19">
        <v>0</v>
      </c>
      <c r="M86" s="19">
        <v>0</v>
      </c>
      <c r="O86" s="19"/>
    </row>
    <row r="87" spans="1:18" ht="18.75" x14ac:dyDescent="0.3">
      <c r="A87" s="19" t="s">
        <v>318</v>
      </c>
      <c r="B87" s="19">
        <f>$M$74+B86</f>
        <v>1283</v>
      </c>
      <c r="C87" s="19">
        <f>B87+C86</f>
        <v>1283</v>
      </c>
      <c r="D87" s="19">
        <f t="shared" ref="D87:M87" si="13">C87+D86</f>
        <v>1285</v>
      </c>
      <c r="E87" s="19">
        <f t="shared" si="13"/>
        <v>1287</v>
      </c>
      <c r="F87" s="19">
        <f t="shared" si="13"/>
        <v>1290</v>
      </c>
      <c r="G87" s="19">
        <f t="shared" si="13"/>
        <v>1291</v>
      </c>
      <c r="H87" s="19">
        <f t="shared" si="13"/>
        <v>1294</v>
      </c>
      <c r="I87" s="19">
        <f t="shared" si="13"/>
        <v>1297</v>
      </c>
      <c r="J87" s="19">
        <f t="shared" si="13"/>
        <v>1297</v>
      </c>
      <c r="K87" s="19">
        <f t="shared" si="13"/>
        <v>1297</v>
      </c>
      <c r="L87" s="19">
        <f t="shared" si="13"/>
        <v>1297</v>
      </c>
      <c r="M87" s="19">
        <f t="shared" si="13"/>
        <v>1297</v>
      </c>
    </row>
    <row r="88" spans="1:18" ht="18.75" x14ac:dyDescent="0.3">
      <c r="A88" s="19" t="s">
        <v>319</v>
      </c>
      <c r="B88" s="23">
        <v>6</v>
      </c>
      <c r="C88" s="23">
        <v>7</v>
      </c>
      <c r="D88" s="23">
        <v>8</v>
      </c>
      <c r="E88" s="23">
        <v>3</v>
      </c>
      <c r="F88" s="23">
        <v>0</v>
      </c>
      <c r="G88" s="23">
        <v>1</v>
      </c>
      <c r="H88" s="23">
        <v>3</v>
      </c>
      <c r="I88" s="23">
        <v>0</v>
      </c>
      <c r="J88" s="21"/>
      <c r="K88" s="21"/>
      <c r="L88" s="21"/>
      <c r="M88" s="21"/>
    </row>
    <row r="89" spans="1:18" ht="18.75" x14ac:dyDescent="0.3">
      <c r="A89" s="19"/>
      <c r="B89" s="20">
        <f>B88/B87</f>
        <v>4.6765393608729543E-3</v>
      </c>
      <c r="C89" s="20">
        <f t="shared" ref="C89:M89" si="14">C88/C87</f>
        <v>5.4559625876851132E-3</v>
      </c>
      <c r="D89" s="20">
        <f t="shared" si="14"/>
        <v>6.2256809338521405E-3</v>
      </c>
      <c r="E89" s="20">
        <f t="shared" si="14"/>
        <v>2.331002331002331E-3</v>
      </c>
      <c r="F89" s="20">
        <f t="shared" si="14"/>
        <v>0</v>
      </c>
      <c r="G89" s="20">
        <f t="shared" si="14"/>
        <v>7.7459333849728897E-4</v>
      </c>
      <c r="H89" s="20">
        <f t="shared" si="14"/>
        <v>2.3183925811437402E-3</v>
      </c>
      <c r="I89" s="20">
        <f t="shared" si="14"/>
        <v>0</v>
      </c>
      <c r="J89" s="20">
        <f t="shared" si="14"/>
        <v>0</v>
      </c>
      <c r="K89" s="20">
        <f t="shared" si="14"/>
        <v>0</v>
      </c>
      <c r="L89" s="20">
        <f t="shared" si="14"/>
        <v>0</v>
      </c>
      <c r="M89" s="20">
        <f t="shared" si="14"/>
        <v>0</v>
      </c>
    </row>
    <row r="90" spans="1:18" ht="18.75" x14ac:dyDescent="0.3">
      <c r="A90" s="155"/>
      <c r="B90" s="155">
        <f>B88/B87</f>
        <v>4.6765393608729543E-3</v>
      </c>
      <c r="C90" s="155">
        <f t="shared" ref="C90" si="15">C88/C87</f>
        <v>5.4559625876851132E-3</v>
      </c>
      <c r="D90" s="155">
        <f t="shared" ref="D90" si="16">D88/D87</f>
        <v>6.2256809338521405E-3</v>
      </c>
      <c r="E90" s="155">
        <f t="shared" ref="E90" si="17">E88/E87</f>
        <v>2.331002331002331E-3</v>
      </c>
      <c r="F90" s="155">
        <f t="shared" ref="F90" si="18">F88/F87</f>
        <v>0</v>
      </c>
      <c r="G90" s="155">
        <f t="shared" ref="G90" si="19">G88/G87</f>
        <v>7.7459333849728897E-4</v>
      </c>
      <c r="H90" s="155">
        <f t="shared" ref="H90" si="20">H88/H87</f>
        <v>2.3183925811437402E-3</v>
      </c>
      <c r="I90" s="155">
        <f t="shared" ref="I90" si="21">I88/I87</f>
        <v>0</v>
      </c>
      <c r="J90" s="155"/>
      <c r="K90" s="155"/>
      <c r="L90" s="155"/>
      <c r="M90" s="155"/>
      <c r="O90">
        <f>J81+J75</f>
        <v>5</v>
      </c>
      <c r="P90">
        <f t="shared" ref="P90:Q90" si="22">K81+K75</f>
        <v>4</v>
      </c>
      <c r="Q90">
        <f t="shared" si="22"/>
        <v>2</v>
      </c>
      <c r="R90">
        <f>M81+M75</f>
        <v>6</v>
      </c>
    </row>
    <row r="91" spans="1:18" ht="18.75" x14ac:dyDescent="0.3">
      <c r="A91" s="161" t="s">
        <v>732</v>
      </c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3"/>
    </row>
    <row r="92" spans="1:18" ht="18.75" x14ac:dyDescent="0.3">
      <c r="A92" s="19"/>
      <c r="B92" s="19" t="s">
        <v>320</v>
      </c>
      <c r="C92" s="19" t="s">
        <v>321</v>
      </c>
      <c r="D92" s="19" t="s">
        <v>322</v>
      </c>
      <c r="E92" s="19" t="s">
        <v>323</v>
      </c>
      <c r="F92" s="19" t="s">
        <v>324</v>
      </c>
      <c r="G92" s="19" t="s">
        <v>325</v>
      </c>
      <c r="H92" s="19" t="s">
        <v>326</v>
      </c>
      <c r="I92" s="19" t="s">
        <v>327</v>
      </c>
      <c r="J92" s="19" t="s">
        <v>328</v>
      </c>
      <c r="K92" s="19" t="s">
        <v>329</v>
      </c>
      <c r="L92" s="19" t="s">
        <v>330</v>
      </c>
      <c r="M92" s="19" t="s">
        <v>331</v>
      </c>
    </row>
    <row r="93" spans="1:18" ht="18.75" x14ac:dyDescent="0.3">
      <c r="A93" s="19" t="s">
        <v>317</v>
      </c>
      <c r="B93" s="19" cm="1">
        <f t="array" ref="B93:M93">'[1]Expansão EE'!$E$51:$P$51</f>
        <v>2</v>
      </c>
      <c r="C93" s="19">
        <v>0</v>
      </c>
      <c r="D93" s="19">
        <v>2</v>
      </c>
      <c r="E93" s="19">
        <v>2</v>
      </c>
      <c r="F93" s="19">
        <v>3</v>
      </c>
      <c r="G93" s="19">
        <v>1</v>
      </c>
      <c r="H93" s="19">
        <v>3</v>
      </c>
      <c r="I93" s="19">
        <v>3</v>
      </c>
      <c r="J93" s="19">
        <v>0</v>
      </c>
      <c r="K93" s="19">
        <v>0</v>
      </c>
      <c r="L93" s="19">
        <v>0</v>
      </c>
      <c r="M93" s="19">
        <v>0</v>
      </c>
    </row>
    <row r="94" spans="1:18" ht="18.75" x14ac:dyDescent="0.3">
      <c r="A94" s="19" t="s">
        <v>318</v>
      </c>
      <c r="B94" s="19">
        <f>$M$80+B93</f>
        <v>182</v>
      </c>
      <c r="C94" s="19">
        <f>B94+C93</f>
        <v>182</v>
      </c>
      <c r="D94" s="19">
        <f t="shared" ref="D94:M94" si="23">C94+D93</f>
        <v>184</v>
      </c>
      <c r="E94" s="19">
        <f t="shared" si="23"/>
        <v>186</v>
      </c>
      <c r="F94" s="19">
        <f t="shared" si="23"/>
        <v>189</v>
      </c>
      <c r="G94" s="19">
        <f t="shared" si="23"/>
        <v>190</v>
      </c>
      <c r="H94" s="19">
        <f t="shared" si="23"/>
        <v>193</v>
      </c>
      <c r="I94" s="19">
        <f t="shared" si="23"/>
        <v>196</v>
      </c>
      <c r="J94" s="19">
        <f t="shared" si="23"/>
        <v>196</v>
      </c>
      <c r="K94" s="19">
        <f t="shared" si="23"/>
        <v>196</v>
      </c>
      <c r="L94" s="19">
        <f t="shared" si="23"/>
        <v>196</v>
      </c>
      <c r="M94" s="19">
        <f t="shared" si="23"/>
        <v>196</v>
      </c>
    </row>
    <row r="95" spans="1:18" ht="18.75" x14ac:dyDescent="0.3">
      <c r="A95" s="19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8" ht="18.75" x14ac:dyDescent="0.3">
      <c r="A96" s="22"/>
      <c r="B96" s="20">
        <f>B95/B94</f>
        <v>5.4945054945054949E-3</v>
      </c>
      <c r="C96" s="20">
        <f t="shared" ref="C96" si="24">C95/C94</f>
        <v>5.4945054945054949E-3</v>
      </c>
      <c r="D96" s="20">
        <f t="shared" ref="D96" si="25">D95/D94</f>
        <v>5.434782608695652E-3</v>
      </c>
      <c r="E96" s="20">
        <f t="shared" ref="E96" si="26">E95/E94</f>
        <v>1.0752688172043012E-2</v>
      </c>
      <c r="F96" s="20">
        <f t="shared" ref="F96" si="27">F95/F94</f>
        <v>5.2910052910052907E-3</v>
      </c>
      <c r="G96" s="20">
        <f t="shared" ref="G96" si="28">G95/G94</f>
        <v>5.263157894736842E-3</v>
      </c>
      <c r="H96" s="20">
        <f t="shared" ref="H96" si="29">H95/H94</f>
        <v>5.1813471502590676E-3</v>
      </c>
      <c r="I96" s="20">
        <f t="shared" ref="I96" si="30">I95/I94</f>
        <v>5.1020408163265302E-3</v>
      </c>
      <c r="J96" s="20">
        <f t="shared" ref="J96" si="31">J95/J94</f>
        <v>0</v>
      </c>
      <c r="K96" s="20">
        <f t="shared" ref="K96" si="32">K95/K94</f>
        <v>0</v>
      </c>
      <c r="L96" s="20">
        <f t="shared" ref="L96" si="33">L95/L94</f>
        <v>0</v>
      </c>
      <c r="M96" s="20">
        <f t="shared" ref="M96" si="34">M95/M94</f>
        <v>0</v>
      </c>
    </row>
    <row r="97" spans="1:13" ht="18.75" x14ac:dyDescent="0.3">
      <c r="A97" s="22"/>
      <c r="B97" s="136">
        <f>B95+B88</f>
        <v>7</v>
      </c>
      <c r="C97" s="136">
        <f t="shared" ref="C97:M97" si="35">C95+C88</f>
        <v>8</v>
      </c>
      <c r="D97" s="136">
        <f t="shared" si="35"/>
        <v>9</v>
      </c>
      <c r="E97" s="136">
        <f t="shared" si="35"/>
        <v>5</v>
      </c>
      <c r="F97" s="136">
        <f t="shared" si="35"/>
        <v>1</v>
      </c>
      <c r="G97" s="136">
        <f t="shared" si="35"/>
        <v>2</v>
      </c>
      <c r="H97" s="136">
        <f t="shared" si="35"/>
        <v>4</v>
      </c>
      <c r="I97" s="136">
        <f t="shared" si="35"/>
        <v>1</v>
      </c>
      <c r="J97" s="136">
        <f t="shared" si="35"/>
        <v>0</v>
      </c>
      <c r="K97" s="136">
        <f t="shared" si="35"/>
        <v>0</v>
      </c>
      <c r="L97" s="136">
        <f t="shared" si="35"/>
        <v>0</v>
      </c>
      <c r="M97" s="136">
        <f t="shared" si="35"/>
        <v>0</v>
      </c>
    </row>
    <row r="98" spans="1:13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8.75" x14ac:dyDescent="0.3">
      <c r="A99" s="161" t="s">
        <v>733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3"/>
    </row>
    <row r="100" spans="1:13" ht="18.75" x14ac:dyDescent="0.3">
      <c r="A100" s="19"/>
      <c r="B100" s="19" t="s">
        <v>320</v>
      </c>
      <c r="C100" s="19" t="s">
        <v>321</v>
      </c>
      <c r="D100" s="19" t="s">
        <v>322</v>
      </c>
      <c r="E100" s="19" t="s">
        <v>323</v>
      </c>
      <c r="F100" s="19" t="s">
        <v>324</v>
      </c>
      <c r="G100" s="19" t="s">
        <v>325</v>
      </c>
      <c r="H100" s="19" t="s">
        <v>326</v>
      </c>
      <c r="I100" s="19" t="s">
        <v>327</v>
      </c>
      <c r="J100" s="19" t="s">
        <v>328</v>
      </c>
      <c r="K100" s="19" t="s">
        <v>329</v>
      </c>
      <c r="L100" s="19" t="s">
        <v>330</v>
      </c>
      <c r="M100" s="19" t="s">
        <v>331</v>
      </c>
    </row>
    <row r="101" spans="1:13" ht="18.75" x14ac:dyDescent="0.3">
      <c r="A101" s="19" t="s">
        <v>317</v>
      </c>
      <c r="B101" s="19">
        <f t="shared" ref="B101:M101" si="36">B73</f>
        <v>0</v>
      </c>
      <c r="C101" s="19">
        <f t="shared" si="36"/>
        <v>0</v>
      </c>
      <c r="D101" s="19">
        <f t="shared" si="36"/>
        <v>0</v>
      </c>
      <c r="E101" s="19">
        <f t="shared" si="36"/>
        <v>0</v>
      </c>
      <c r="F101" s="19">
        <f t="shared" si="36"/>
        <v>0</v>
      </c>
      <c r="G101" s="19">
        <f t="shared" si="36"/>
        <v>0</v>
      </c>
      <c r="H101" s="19">
        <f t="shared" si="36"/>
        <v>0</v>
      </c>
      <c r="I101" s="19">
        <f t="shared" si="36"/>
        <v>0</v>
      </c>
      <c r="J101" s="19">
        <f t="shared" si="36"/>
        <v>0</v>
      </c>
      <c r="K101" s="19">
        <f t="shared" si="36"/>
        <v>0</v>
      </c>
      <c r="L101" s="19">
        <f t="shared" si="36"/>
        <v>0</v>
      </c>
      <c r="M101" s="19">
        <f t="shared" si="36"/>
        <v>0</v>
      </c>
    </row>
    <row r="102" spans="1:13" ht="18.75" x14ac:dyDescent="0.3">
      <c r="A102" s="19" t="s">
        <v>318</v>
      </c>
      <c r="B102" s="19">
        <f t="shared" ref="B102:M102" si="37">B74</f>
        <v>1281</v>
      </c>
      <c r="C102" s="19">
        <f t="shared" si="37"/>
        <v>1281</v>
      </c>
      <c r="D102" s="19">
        <f t="shared" si="37"/>
        <v>1281</v>
      </c>
      <c r="E102" s="19">
        <f t="shared" si="37"/>
        <v>1281</v>
      </c>
      <c r="F102" s="19">
        <f t="shared" si="37"/>
        <v>1281</v>
      </c>
      <c r="G102" s="19">
        <f t="shared" si="37"/>
        <v>1281</v>
      </c>
      <c r="H102" s="19">
        <f t="shared" si="37"/>
        <v>1281</v>
      </c>
      <c r="I102" s="19">
        <f t="shared" si="37"/>
        <v>1281</v>
      </c>
      <c r="J102" s="19">
        <f t="shared" si="37"/>
        <v>1281</v>
      </c>
      <c r="K102" s="19">
        <f t="shared" si="37"/>
        <v>1281</v>
      </c>
      <c r="L102" s="19">
        <f t="shared" si="37"/>
        <v>1281</v>
      </c>
      <c r="M102" s="19">
        <f t="shared" si="37"/>
        <v>1281</v>
      </c>
    </row>
    <row r="103" spans="1:13" ht="18.75" x14ac:dyDescent="0.3">
      <c r="A103" s="19" t="s">
        <v>319</v>
      </c>
      <c r="B103" s="23">
        <f>B75</f>
        <v>1</v>
      </c>
      <c r="C103" s="23">
        <f t="shared" ref="C103:M103" si="38">C75+B103</f>
        <v>2</v>
      </c>
      <c r="D103" s="23">
        <f t="shared" si="38"/>
        <v>4</v>
      </c>
      <c r="E103" s="23">
        <f t="shared" si="38"/>
        <v>6</v>
      </c>
      <c r="F103" s="23">
        <f t="shared" si="38"/>
        <v>13</v>
      </c>
      <c r="G103" s="23">
        <f t="shared" si="38"/>
        <v>17</v>
      </c>
      <c r="H103" s="23">
        <f t="shared" si="38"/>
        <v>22</v>
      </c>
      <c r="I103" s="23">
        <f t="shared" si="38"/>
        <v>24</v>
      </c>
      <c r="J103" s="23">
        <f t="shared" si="38"/>
        <v>26</v>
      </c>
      <c r="K103" s="23">
        <f t="shared" si="38"/>
        <v>30</v>
      </c>
      <c r="L103" s="23">
        <f t="shared" si="38"/>
        <v>31</v>
      </c>
      <c r="M103" s="23">
        <f t="shared" si="38"/>
        <v>35</v>
      </c>
    </row>
    <row r="104" spans="1:13" ht="18.75" x14ac:dyDescent="0.3">
      <c r="A104" s="19"/>
      <c r="B104" s="24">
        <f>B103/B102</f>
        <v>7.8064012490241998E-4</v>
      </c>
      <c r="C104" s="24">
        <f t="shared" ref="C104:M104" si="39">C103/C102</f>
        <v>1.56128024980484E-3</v>
      </c>
      <c r="D104" s="24">
        <f t="shared" si="39"/>
        <v>3.1225604996096799E-3</v>
      </c>
      <c r="E104" s="24">
        <f t="shared" si="39"/>
        <v>4.6838407494145199E-3</v>
      </c>
      <c r="F104" s="24">
        <f t="shared" si="39"/>
        <v>1.0148321623731461E-2</v>
      </c>
      <c r="G104" s="24">
        <f t="shared" si="39"/>
        <v>1.3270882123341141E-2</v>
      </c>
      <c r="H104" s="24">
        <f t="shared" si="39"/>
        <v>1.7174082747853241E-2</v>
      </c>
      <c r="I104" s="24">
        <f t="shared" si="39"/>
        <v>1.873536299765808E-2</v>
      </c>
      <c r="J104" s="24">
        <f t="shared" si="39"/>
        <v>2.0296643247462921E-2</v>
      </c>
      <c r="K104" s="24">
        <f t="shared" si="39"/>
        <v>2.3419203747072601E-2</v>
      </c>
      <c r="L104" s="24">
        <f t="shared" si="39"/>
        <v>2.4199843871975019E-2</v>
      </c>
      <c r="M104" s="139">
        <f t="shared" si="39"/>
        <v>2.7322404371584699E-2</v>
      </c>
    </row>
    <row r="105" spans="1:13" ht="18.75" x14ac:dyDescent="0.3">
      <c r="A105" s="155" t="s">
        <v>734</v>
      </c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</row>
    <row r="106" spans="1:13" ht="18.75" x14ac:dyDescent="0.3">
      <c r="A106" s="25"/>
      <c r="B106" s="19" t="s">
        <v>320</v>
      </c>
      <c r="C106" s="19" t="s">
        <v>321</v>
      </c>
      <c r="D106" s="19" t="s">
        <v>322</v>
      </c>
      <c r="E106" s="19" t="s">
        <v>323</v>
      </c>
      <c r="F106" s="19" t="s">
        <v>324</v>
      </c>
      <c r="G106" s="19" t="s">
        <v>325</v>
      </c>
      <c r="H106" s="19" t="s">
        <v>326</v>
      </c>
      <c r="I106" s="19" t="s">
        <v>327</v>
      </c>
      <c r="J106" s="19" t="s">
        <v>328</v>
      </c>
      <c r="K106" s="19" t="s">
        <v>329</v>
      </c>
      <c r="L106" s="19" t="s">
        <v>330</v>
      </c>
      <c r="M106" s="19" t="s">
        <v>331</v>
      </c>
    </row>
    <row r="107" spans="1:13" ht="18.75" x14ac:dyDescent="0.3">
      <c r="A107" s="25" t="s">
        <v>317</v>
      </c>
      <c r="B107" s="26">
        <f t="shared" ref="B107:M107" si="40">B79</f>
        <v>0</v>
      </c>
      <c r="C107" s="26">
        <f t="shared" si="40"/>
        <v>0</v>
      </c>
      <c r="D107" s="26">
        <f t="shared" si="40"/>
        <v>0</v>
      </c>
      <c r="E107" s="26">
        <f t="shared" si="40"/>
        <v>0</v>
      </c>
      <c r="F107" s="26">
        <f t="shared" si="40"/>
        <v>0</v>
      </c>
      <c r="G107" s="26">
        <f t="shared" si="40"/>
        <v>0</v>
      </c>
      <c r="H107" s="26">
        <f t="shared" si="40"/>
        <v>0</v>
      </c>
      <c r="I107" s="26">
        <f t="shared" si="40"/>
        <v>0</v>
      </c>
      <c r="J107" s="26">
        <f t="shared" si="40"/>
        <v>0</v>
      </c>
      <c r="K107" s="26">
        <f t="shared" si="40"/>
        <v>0</v>
      </c>
      <c r="L107" s="26">
        <f t="shared" si="40"/>
        <v>0</v>
      </c>
      <c r="M107" s="26">
        <f t="shared" si="40"/>
        <v>0</v>
      </c>
    </row>
    <row r="108" spans="1:13" ht="18.75" x14ac:dyDescent="0.3">
      <c r="A108" s="25" t="s">
        <v>318</v>
      </c>
      <c r="B108" s="26">
        <f t="shared" ref="B108:M108" si="41">B80</f>
        <v>180</v>
      </c>
      <c r="C108" s="26">
        <f t="shared" si="41"/>
        <v>180</v>
      </c>
      <c r="D108" s="26">
        <f t="shared" si="41"/>
        <v>180</v>
      </c>
      <c r="E108" s="26">
        <f t="shared" si="41"/>
        <v>180</v>
      </c>
      <c r="F108" s="26">
        <f t="shared" si="41"/>
        <v>180</v>
      </c>
      <c r="G108" s="26">
        <f t="shared" si="41"/>
        <v>180</v>
      </c>
      <c r="H108" s="26">
        <f t="shared" si="41"/>
        <v>180</v>
      </c>
      <c r="I108" s="26">
        <f t="shared" si="41"/>
        <v>180</v>
      </c>
      <c r="J108" s="26">
        <f t="shared" si="41"/>
        <v>180</v>
      </c>
      <c r="K108" s="26">
        <f t="shared" si="41"/>
        <v>180</v>
      </c>
      <c r="L108" s="26">
        <f t="shared" si="41"/>
        <v>180</v>
      </c>
      <c r="M108" s="26">
        <f t="shared" si="41"/>
        <v>180</v>
      </c>
    </row>
    <row r="109" spans="1:13" ht="18.75" x14ac:dyDescent="0.3">
      <c r="A109" s="25" t="s">
        <v>319</v>
      </c>
      <c r="B109" s="26">
        <f>B81</f>
        <v>0</v>
      </c>
      <c r="C109" s="26">
        <f t="shared" ref="C109:M109" si="42">C81+B109</f>
        <v>1</v>
      </c>
      <c r="D109" s="26">
        <f t="shared" si="42"/>
        <v>3</v>
      </c>
      <c r="E109" s="26">
        <f t="shared" si="42"/>
        <v>3</v>
      </c>
      <c r="F109" s="26">
        <f t="shared" si="42"/>
        <v>3</v>
      </c>
      <c r="G109" s="26">
        <f t="shared" si="42"/>
        <v>4</v>
      </c>
      <c r="H109" s="26">
        <f t="shared" si="42"/>
        <v>7</v>
      </c>
      <c r="I109" s="26">
        <f t="shared" si="42"/>
        <v>12</v>
      </c>
      <c r="J109" s="26">
        <f t="shared" si="42"/>
        <v>15</v>
      </c>
      <c r="K109" s="26">
        <f t="shared" si="42"/>
        <v>15</v>
      </c>
      <c r="L109" s="26">
        <f t="shared" si="42"/>
        <v>16</v>
      </c>
      <c r="M109" s="26">
        <f t="shared" si="42"/>
        <v>18</v>
      </c>
    </row>
    <row r="110" spans="1:13" ht="18.75" x14ac:dyDescent="0.3">
      <c r="A110" s="25"/>
      <c r="B110" s="27">
        <f>B109/B108</f>
        <v>0</v>
      </c>
      <c r="C110" s="27">
        <f t="shared" ref="C110:M110" si="43">C109/C108</f>
        <v>5.5555555555555558E-3</v>
      </c>
      <c r="D110" s="27">
        <f t="shared" si="43"/>
        <v>1.6666666666666666E-2</v>
      </c>
      <c r="E110" s="27">
        <f t="shared" si="43"/>
        <v>1.6666666666666666E-2</v>
      </c>
      <c r="F110" s="27">
        <f t="shared" si="43"/>
        <v>1.6666666666666666E-2</v>
      </c>
      <c r="G110" s="27">
        <f t="shared" si="43"/>
        <v>2.2222222222222223E-2</v>
      </c>
      <c r="H110" s="27">
        <f t="shared" si="43"/>
        <v>3.888888888888889E-2</v>
      </c>
      <c r="I110" s="27">
        <f t="shared" si="43"/>
        <v>6.6666666666666666E-2</v>
      </c>
      <c r="J110" s="27">
        <f t="shared" si="43"/>
        <v>8.3333333333333329E-2</v>
      </c>
      <c r="K110" s="27">
        <f t="shared" si="43"/>
        <v>8.3333333333333329E-2</v>
      </c>
      <c r="L110" s="27">
        <f t="shared" si="43"/>
        <v>8.8888888888888892E-2</v>
      </c>
      <c r="M110" s="140">
        <f t="shared" si="43"/>
        <v>0.1</v>
      </c>
    </row>
    <row r="111" spans="1:13" ht="18.75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23.25" x14ac:dyDescent="0.35">
      <c r="A112" s="156" t="s">
        <v>735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</row>
    <row r="113" spans="1:13" ht="23.25" x14ac:dyDescent="0.35">
      <c r="A113" s="58"/>
      <c r="B113" s="58" t="s">
        <v>320</v>
      </c>
      <c r="C113" s="58" t="s">
        <v>321</v>
      </c>
      <c r="D113" s="58" t="s">
        <v>322</v>
      </c>
      <c r="E113" s="58" t="s">
        <v>323</v>
      </c>
      <c r="F113" s="58" t="s">
        <v>324</v>
      </c>
      <c r="G113" s="58" t="s">
        <v>325</v>
      </c>
      <c r="H113" s="58" t="s">
        <v>326</v>
      </c>
      <c r="I113" s="58" t="s">
        <v>327</v>
      </c>
      <c r="J113" s="58" t="s">
        <v>328</v>
      </c>
      <c r="K113" s="58" t="s">
        <v>329</v>
      </c>
      <c r="L113" s="58" t="s">
        <v>330</v>
      </c>
      <c r="M113" s="58" t="s">
        <v>331</v>
      </c>
    </row>
    <row r="114" spans="1:13" ht="23.25" x14ac:dyDescent="0.35">
      <c r="A114" s="59" t="s">
        <v>317</v>
      </c>
      <c r="B114" s="59">
        <f t="shared" ref="B114:M114" si="44">B86</f>
        <v>2</v>
      </c>
      <c r="C114" s="59">
        <f t="shared" si="44"/>
        <v>0</v>
      </c>
      <c r="D114" s="59">
        <f t="shared" si="44"/>
        <v>2</v>
      </c>
      <c r="E114" s="59">
        <f t="shared" si="44"/>
        <v>2</v>
      </c>
      <c r="F114" s="59">
        <f t="shared" si="44"/>
        <v>3</v>
      </c>
      <c r="G114" s="59">
        <f t="shared" si="44"/>
        <v>1</v>
      </c>
      <c r="H114" s="59">
        <f t="shared" si="44"/>
        <v>3</v>
      </c>
      <c r="I114" s="59">
        <f t="shared" si="44"/>
        <v>3</v>
      </c>
      <c r="J114" s="59">
        <f t="shared" si="44"/>
        <v>0</v>
      </c>
      <c r="K114" s="59">
        <f t="shared" si="44"/>
        <v>0</v>
      </c>
      <c r="L114" s="59">
        <f t="shared" si="44"/>
        <v>0</v>
      </c>
      <c r="M114" s="59">
        <f t="shared" si="44"/>
        <v>0</v>
      </c>
    </row>
    <row r="115" spans="1:13" ht="23.25" x14ac:dyDescent="0.35">
      <c r="A115" s="59" t="s">
        <v>318</v>
      </c>
      <c r="B115" s="59">
        <f t="shared" ref="B115:M115" si="45">B87</f>
        <v>1283</v>
      </c>
      <c r="C115" s="59">
        <f t="shared" si="45"/>
        <v>1283</v>
      </c>
      <c r="D115" s="59">
        <f t="shared" si="45"/>
        <v>1285</v>
      </c>
      <c r="E115" s="59">
        <f t="shared" si="45"/>
        <v>1287</v>
      </c>
      <c r="F115" s="59">
        <f t="shared" si="45"/>
        <v>1290</v>
      </c>
      <c r="G115" s="59">
        <f t="shared" si="45"/>
        <v>1291</v>
      </c>
      <c r="H115" s="59">
        <f t="shared" si="45"/>
        <v>1294</v>
      </c>
      <c r="I115" s="59">
        <f t="shared" si="45"/>
        <v>1297</v>
      </c>
      <c r="J115" s="59">
        <f t="shared" si="45"/>
        <v>1297</v>
      </c>
      <c r="K115" s="59">
        <f t="shared" si="45"/>
        <v>1297</v>
      </c>
      <c r="L115" s="59">
        <f t="shared" si="45"/>
        <v>1297</v>
      </c>
      <c r="M115" s="59">
        <f t="shared" si="45"/>
        <v>1297</v>
      </c>
    </row>
    <row r="116" spans="1:13" ht="23.25" x14ac:dyDescent="0.35">
      <c r="A116" s="59" t="s">
        <v>319</v>
      </c>
      <c r="B116" s="59">
        <f>B88</f>
        <v>6</v>
      </c>
      <c r="C116" s="59">
        <f t="shared" ref="C116:I116" si="46">B116+C88</f>
        <v>13</v>
      </c>
      <c r="D116" s="59">
        <f t="shared" si="46"/>
        <v>21</v>
      </c>
      <c r="E116" s="59">
        <f t="shared" si="46"/>
        <v>24</v>
      </c>
      <c r="F116" s="59">
        <f t="shared" si="46"/>
        <v>24</v>
      </c>
      <c r="G116" s="59">
        <f t="shared" si="46"/>
        <v>25</v>
      </c>
      <c r="H116" s="59">
        <f t="shared" si="46"/>
        <v>28</v>
      </c>
      <c r="I116" s="59">
        <f t="shared" si="46"/>
        <v>28</v>
      </c>
      <c r="J116" s="59"/>
      <c r="K116" s="59"/>
      <c r="L116" s="59"/>
      <c r="M116" s="59"/>
    </row>
    <row r="117" spans="1:13" ht="23.25" x14ac:dyDescent="0.35">
      <c r="A117" s="59"/>
      <c r="B117" s="60">
        <f>B116/B115</f>
        <v>4.6765393608729543E-3</v>
      </c>
      <c r="C117" s="60">
        <f t="shared" ref="C117:M117" si="47">C116/C115</f>
        <v>1.0132501948558068E-2</v>
      </c>
      <c r="D117" s="60">
        <f t="shared" si="47"/>
        <v>1.6342412451361869E-2</v>
      </c>
      <c r="E117" s="60">
        <f t="shared" si="47"/>
        <v>1.8648018648018648E-2</v>
      </c>
      <c r="F117" s="60">
        <f t="shared" si="47"/>
        <v>1.8604651162790697E-2</v>
      </c>
      <c r="G117" s="60">
        <f t="shared" si="47"/>
        <v>1.9364833462432222E-2</v>
      </c>
      <c r="H117" s="60">
        <f t="shared" si="47"/>
        <v>2.1638330757341576E-2</v>
      </c>
      <c r="I117" s="60">
        <f t="shared" si="47"/>
        <v>2.1588280647648419E-2</v>
      </c>
      <c r="J117" s="60">
        <f t="shared" si="47"/>
        <v>0</v>
      </c>
      <c r="K117" s="60">
        <f t="shared" si="47"/>
        <v>0</v>
      </c>
      <c r="L117" s="60">
        <f t="shared" si="47"/>
        <v>0</v>
      </c>
      <c r="M117" s="60">
        <f t="shared" si="47"/>
        <v>0</v>
      </c>
    </row>
    <row r="118" spans="1:13" ht="18.75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ht="23.25" x14ac:dyDescent="0.35">
      <c r="A119" s="157" t="s">
        <v>736</v>
      </c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</row>
    <row r="120" spans="1:13" ht="23.25" x14ac:dyDescent="0.35">
      <c r="A120" s="61"/>
      <c r="B120" s="61" t="s">
        <v>320</v>
      </c>
      <c r="C120" s="61" t="s">
        <v>321</v>
      </c>
      <c r="D120" s="61" t="s">
        <v>322</v>
      </c>
      <c r="E120" s="61" t="s">
        <v>323</v>
      </c>
      <c r="F120" s="61" t="s">
        <v>324</v>
      </c>
      <c r="G120" s="61" t="s">
        <v>325</v>
      </c>
      <c r="H120" s="61" t="s">
        <v>326</v>
      </c>
      <c r="I120" s="61" t="s">
        <v>327</v>
      </c>
      <c r="J120" s="61" t="s">
        <v>328</v>
      </c>
      <c r="K120" s="61" t="s">
        <v>329</v>
      </c>
      <c r="L120" s="61" t="s">
        <v>330</v>
      </c>
      <c r="M120" s="61" t="s">
        <v>331</v>
      </c>
    </row>
    <row r="121" spans="1:13" ht="23.25" x14ac:dyDescent="0.35">
      <c r="A121" s="61" t="s">
        <v>317</v>
      </c>
      <c r="B121" s="61">
        <f t="shared" ref="B121:M121" si="48">B93</f>
        <v>2</v>
      </c>
      <c r="C121" s="61">
        <f t="shared" si="48"/>
        <v>0</v>
      </c>
      <c r="D121" s="61">
        <f t="shared" si="48"/>
        <v>2</v>
      </c>
      <c r="E121" s="61">
        <f t="shared" si="48"/>
        <v>2</v>
      </c>
      <c r="F121" s="61">
        <f t="shared" si="48"/>
        <v>3</v>
      </c>
      <c r="G121" s="61">
        <f t="shared" si="48"/>
        <v>1</v>
      </c>
      <c r="H121" s="61">
        <f t="shared" si="48"/>
        <v>3</v>
      </c>
      <c r="I121" s="61">
        <f t="shared" si="48"/>
        <v>3</v>
      </c>
      <c r="J121" s="61">
        <f t="shared" si="48"/>
        <v>0</v>
      </c>
      <c r="K121" s="61">
        <f t="shared" si="48"/>
        <v>0</v>
      </c>
      <c r="L121" s="61">
        <f t="shared" si="48"/>
        <v>0</v>
      </c>
      <c r="M121" s="61">
        <f t="shared" si="48"/>
        <v>0</v>
      </c>
    </row>
    <row r="122" spans="1:13" ht="23.25" x14ac:dyDescent="0.35">
      <c r="A122" s="61" t="s">
        <v>318</v>
      </c>
      <c r="B122" s="61">
        <f t="shared" ref="B122:M122" si="49">B94</f>
        <v>182</v>
      </c>
      <c r="C122" s="61">
        <f t="shared" si="49"/>
        <v>182</v>
      </c>
      <c r="D122" s="61">
        <f t="shared" si="49"/>
        <v>184</v>
      </c>
      <c r="E122" s="61">
        <f t="shared" si="49"/>
        <v>186</v>
      </c>
      <c r="F122" s="61">
        <f t="shared" si="49"/>
        <v>189</v>
      </c>
      <c r="G122" s="61">
        <f t="shared" si="49"/>
        <v>190</v>
      </c>
      <c r="H122" s="61">
        <f t="shared" si="49"/>
        <v>193</v>
      </c>
      <c r="I122" s="61">
        <f t="shared" si="49"/>
        <v>196</v>
      </c>
      <c r="J122" s="61">
        <f t="shared" si="49"/>
        <v>196</v>
      </c>
      <c r="K122" s="61">
        <f t="shared" si="49"/>
        <v>196</v>
      </c>
      <c r="L122" s="61">
        <f t="shared" si="49"/>
        <v>196</v>
      </c>
      <c r="M122" s="61">
        <f t="shared" si="49"/>
        <v>196</v>
      </c>
    </row>
    <row r="123" spans="1:13" ht="23.25" x14ac:dyDescent="0.35">
      <c r="A123" s="61" t="s">
        <v>319</v>
      </c>
      <c r="B123" s="135">
        <f>B95</f>
        <v>1</v>
      </c>
      <c r="C123" s="135">
        <f t="shared" ref="C123:I123" si="50">B123+C95</f>
        <v>2</v>
      </c>
      <c r="D123" s="135">
        <f t="shared" si="50"/>
        <v>3</v>
      </c>
      <c r="E123" s="135">
        <f t="shared" si="50"/>
        <v>5</v>
      </c>
      <c r="F123" s="135">
        <f t="shared" si="50"/>
        <v>6</v>
      </c>
      <c r="G123" s="135">
        <f t="shared" si="50"/>
        <v>7</v>
      </c>
      <c r="H123" s="135">
        <f t="shared" si="50"/>
        <v>8</v>
      </c>
      <c r="I123" s="135">
        <f t="shared" si="50"/>
        <v>9</v>
      </c>
      <c r="J123" s="135"/>
      <c r="K123" s="135"/>
      <c r="L123" s="135"/>
      <c r="M123" s="135"/>
    </row>
    <row r="124" spans="1:13" s="7" customFormat="1" ht="23.25" x14ac:dyDescent="0.35">
      <c r="A124" s="62"/>
      <c r="B124" s="62">
        <f>B123/B122</f>
        <v>5.4945054945054949E-3</v>
      </c>
      <c r="C124" s="62">
        <f t="shared" ref="C124:M124" si="51">C123/C122</f>
        <v>1.098901098901099E-2</v>
      </c>
      <c r="D124" s="62">
        <f t="shared" si="51"/>
        <v>1.6304347826086956E-2</v>
      </c>
      <c r="E124" s="62">
        <f t="shared" si="51"/>
        <v>2.6881720430107527E-2</v>
      </c>
      <c r="F124" s="62">
        <f t="shared" si="51"/>
        <v>3.1746031746031744E-2</v>
      </c>
      <c r="G124" s="62">
        <f t="shared" si="51"/>
        <v>3.6842105263157891E-2</v>
      </c>
      <c r="H124" s="62">
        <f t="shared" si="51"/>
        <v>4.145077720207254E-2</v>
      </c>
      <c r="I124" s="62">
        <f t="shared" si="51"/>
        <v>4.5918367346938778E-2</v>
      </c>
      <c r="J124" s="62">
        <f t="shared" si="51"/>
        <v>0</v>
      </c>
      <c r="K124" s="62">
        <f t="shared" si="51"/>
        <v>0</v>
      </c>
      <c r="L124" s="62">
        <f t="shared" si="51"/>
        <v>0</v>
      </c>
      <c r="M124" s="62">
        <f t="shared" si="51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B6B8-F600-442B-97EE-F20C3D96C7A0}">
  <dimension ref="A1:I44"/>
  <sheetViews>
    <sheetView zoomScale="55" zoomScaleNormal="55" workbookViewId="0">
      <selection activeCell="O106" sqref="O106"/>
    </sheetView>
    <sheetView workbookViewId="1"/>
  </sheetViews>
  <sheetFormatPr defaultRowHeight="15" x14ac:dyDescent="0.25"/>
  <cols>
    <col min="1" max="1" width="20" customWidth="1"/>
    <col min="2" max="7" width="12" customWidth="1"/>
    <col min="8" max="8" width="12" style="7" customWidth="1"/>
    <col min="9" max="9" width="12" customWidth="1"/>
  </cols>
  <sheetData>
    <row r="1" spans="1:9" ht="15.75" x14ac:dyDescent="0.25">
      <c r="A1" s="36" t="s">
        <v>1349</v>
      </c>
    </row>
    <row r="2" spans="1:9" x14ac:dyDescent="0.25">
      <c r="A2" t="s">
        <v>1348</v>
      </c>
    </row>
    <row r="4" spans="1:9" x14ac:dyDescent="0.25">
      <c r="A4" s="34" t="s">
        <v>1347</v>
      </c>
    </row>
    <row r="5" spans="1:9" ht="26.25" x14ac:dyDescent="0.25">
      <c r="A5" s="33" t="s">
        <v>1344</v>
      </c>
      <c r="B5" s="33" t="s">
        <v>1343</v>
      </c>
      <c r="C5" s="33" t="s">
        <v>1342</v>
      </c>
      <c r="D5" s="33" t="s">
        <v>1341</v>
      </c>
      <c r="E5" s="33" t="s">
        <v>1340</v>
      </c>
      <c r="F5" s="33" t="s">
        <v>1339</v>
      </c>
      <c r="G5" s="33" t="s">
        <v>1338</v>
      </c>
      <c r="H5" s="47" t="s">
        <v>1337</v>
      </c>
      <c r="I5" s="33" t="s">
        <v>1336</v>
      </c>
    </row>
    <row r="6" spans="1:9" x14ac:dyDescent="0.25">
      <c r="A6" s="30" t="s">
        <v>995</v>
      </c>
      <c r="B6" s="30">
        <v>11</v>
      </c>
      <c r="C6" s="30">
        <v>7</v>
      </c>
      <c r="D6" s="30">
        <v>4</v>
      </c>
      <c r="E6" s="30">
        <v>0</v>
      </c>
      <c r="F6" s="32">
        <v>0.63636363636363635</v>
      </c>
      <c r="G6" s="30">
        <v>7</v>
      </c>
      <c r="H6" s="31">
        <v>1.4513618677042801</v>
      </c>
      <c r="I6" s="30">
        <v>148</v>
      </c>
    </row>
    <row r="7" spans="1:9" x14ac:dyDescent="0.25">
      <c r="A7" s="30" t="s">
        <v>1039</v>
      </c>
      <c r="B7" s="30">
        <v>7</v>
      </c>
      <c r="C7" s="30">
        <v>6</v>
      </c>
      <c r="D7" s="30">
        <v>1</v>
      </c>
      <c r="E7" s="30">
        <v>0</v>
      </c>
      <c r="F7" s="32">
        <v>0.8571428571428571</v>
      </c>
      <c r="G7" s="30">
        <v>0</v>
      </c>
      <c r="H7" s="31">
        <v>0.24725274725274729</v>
      </c>
      <c r="I7" s="30">
        <v>3</v>
      </c>
    </row>
    <row r="8" spans="1:9" x14ac:dyDescent="0.25">
      <c r="A8" s="30" t="s">
        <v>1334</v>
      </c>
      <c r="B8" s="30">
        <v>7</v>
      </c>
      <c r="C8" s="30">
        <v>5</v>
      </c>
      <c r="D8" s="30">
        <v>2</v>
      </c>
      <c r="E8" s="30">
        <v>0</v>
      </c>
      <c r="F8" s="32">
        <v>0.7142857142857143</v>
      </c>
      <c r="G8" s="30">
        <v>4</v>
      </c>
      <c r="H8" s="31">
        <v>0.76923076923076927</v>
      </c>
      <c r="I8" s="30">
        <v>53</v>
      </c>
    </row>
    <row r="9" spans="1:9" x14ac:dyDescent="0.25">
      <c r="A9" s="30" t="s">
        <v>918</v>
      </c>
      <c r="B9" s="30">
        <v>7</v>
      </c>
      <c r="C9" s="30">
        <v>4</v>
      </c>
      <c r="D9" s="30">
        <v>3</v>
      </c>
      <c r="E9" s="30">
        <v>0</v>
      </c>
      <c r="F9" s="32">
        <v>0.5714285714285714</v>
      </c>
      <c r="G9" s="30">
        <v>0</v>
      </c>
      <c r="H9" s="31">
        <v>4.1318681318681323</v>
      </c>
      <c r="I9" s="30">
        <v>232</v>
      </c>
    </row>
    <row r="10" spans="1:9" x14ac:dyDescent="0.25">
      <c r="A10" s="30" t="s">
        <v>1333</v>
      </c>
      <c r="B10" s="30">
        <v>6</v>
      </c>
      <c r="C10" s="30">
        <v>5</v>
      </c>
      <c r="D10" s="30">
        <v>1</v>
      </c>
      <c r="E10" s="30">
        <v>0</v>
      </c>
      <c r="F10" s="32">
        <v>0.83333333333333337</v>
      </c>
      <c r="G10" s="30">
        <v>13</v>
      </c>
      <c r="H10" s="31">
        <v>0.50641025641025639</v>
      </c>
      <c r="I10" s="30">
        <v>12</v>
      </c>
    </row>
    <row r="11" spans="1:9" x14ac:dyDescent="0.25">
      <c r="A11" s="30" t="s">
        <v>935</v>
      </c>
      <c r="B11" s="30">
        <v>6</v>
      </c>
      <c r="C11" s="30">
        <v>5</v>
      </c>
      <c r="D11" s="30">
        <v>1</v>
      </c>
      <c r="E11" s="30">
        <v>1</v>
      </c>
      <c r="F11" s="32">
        <v>0.83333333333333337</v>
      </c>
      <c r="G11" s="30">
        <v>2</v>
      </c>
      <c r="H11" s="31">
        <v>3.275641025641026</v>
      </c>
      <c r="I11" s="30">
        <v>468</v>
      </c>
    </row>
    <row r="12" spans="1:9" x14ac:dyDescent="0.25">
      <c r="A12" s="30" t="s">
        <v>1335</v>
      </c>
      <c r="B12" s="30">
        <v>6</v>
      </c>
      <c r="C12" s="30">
        <v>4</v>
      </c>
      <c r="D12" s="30">
        <v>2</v>
      </c>
      <c r="E12" s="30">
        <v>0</v>
      </c>
      <c r="F12" s="32">
        <v>0.66666666666666663</v>
      </c>
      <c r="G12" s="30">
        <v>23</v>
      </c>
      <c r="H12" s="31">
        <v>1.083333333333333</v>
      </c>
      <c r="I12" s="30">
        <v>59</v>
      </c>
    </row>
    <row r="13" spans="1:9" x14ac:dyDescent="0.25">
      <c r="A13" s="30" t="s">
        <v>889</v>
      </c>
      <c r="B13" s="30">
        <v>6</v>
      </c>
      <c r="C13" s="30">
        <v>3</v>
      </c>
      <c r="D13" s="30">
        <v>3</v>
      </c>
      <c r="E13" s="30">
        <v>0</v>
      </c>
      <c r="F13" s="32">
        <v>0.5</v>
      </c>
      <c r="G13" s="30">
        <v>35</v>
      </c>
      <c r="H13" s="31">
        <v>2.442307692307693</v>
      </c>
      <c r="I13" s="30">
        <v>236</v>
      </c>
    </row>
    <row r="14" spans="1:9" x14ac:dyDescent="0.25">
      <c r="A14" s="30" t="s">
        <v>875</v>
      </c>
      <c r="B14" s="30">
        <v>3</v>
      </c>
      <c r="C14" s="30">
        <v>1</v>
      </c>
      <c r="D14" s="30">
        <v>2</v>
      </c>
      <c r="E14" s="30">
        <v>0</v>
      </c>
      <c r="F14" s="32">
        <v>0.33333333333333331</v>
      </c>
      <c r="G14" s="30">
        <v>74</v>
      </c>
      <c r="H14" s="31">
        <v>6.5166666666666666</v>
      </c>
      <c r="I14" s="30">
        <v>308</v>
      </c>
    </row>
    <row r="15" spans="1:9" x14ac:dyDescent="0.25">
      <c r="A15" s="30" t="s">
        <v>1331</v>
      </c>
      <c r="B15" s="30">
        <v>1</v>
      </c>
      <c r="C15" s="30">
        <v>1</v>
      </c>
      <c r="D15" s="30">
        <v>0</v>
      </c>
      <c r="E15" s="30">
        <v>0</v>
      </c>
      <c r="F15" s="32">
        <v>1</v>
      </c>
      <c r="G15" s="30">
        <v>1</v>
      </c>
      <c r="H15" s="31">
        <v>3.8461538461538457E-2</v>
      </c>
      <c r="I15" s="30">
        <v>0</v>
      </c>
    </row>
    <row r="16" spans="1:9" x14ac:dyDescent="0.25">
      <c r="A16" s="28" t="s">
        <v>1330</v>
      </c>
      <c r="B16" s="28">
        <v>60</v>
      </c>
      <c r="C16" s="28">
        <v>41</v>
      </c>
      <c r="D16" s="28">
        <v>19</v>
      </c>
      <c r="E16" s="28">
        <v>1</v>
      </c>
      <c r="F16" s="29">
        <v>0.68333333333333335</v>
      </c>
      <c r="G16" s="28">
        <v>6</v>
      </c>
      <c r="H16" s="35">
        <v>1.878387309980172</v>
      </c>
      <c r="I16" s="28">
        <v>468</v>
      </c>
    </row>
    <row r="18" spans="1:9" x14ac:dyDescent="0.25">
      <c r="A18" s="34" t="s">
        <v>1346</v>
      </c>
    </row>
    <row r="19" spans="1:9" ht="26.25" x14ac:dyDescent="0.25">
      <c r="A19" s="33" t="s">
        <v>1344</v>
      </c>
      <c r="B19" s="33" t="s">
        <v>1343</v>
      </c>
      <c r="C19" s="33" t="s">
        <v>1342</v>
      </c>
      <c r="D19" s="33" t="s">
        <v>1341</v>
      </c>
      <c r="E19" s="33" t="s">
        <v>1340</v>
      </c>
      <c r="F19" s="33" t="s">
        <v>1339</v>
      </c>
      <c r="G19" s="33" t="s">
        <v>1338</v>
      </c>
      <c r="H19" s="47" t="s">
        <v>1337</v>
      </c>
      <c r="I19" s="33" t="s">
        <v>1336</v>
      </c>
    </row>
    <row r="20" spans="1:9" x14ac:dyDescent="0.25">
      <c r="A20" s="30" t="s">
        <v>935</v>
      </c>
      <c r="B20" s="30">
        <v>13</v>
      </c>
      <c r="C20" s="30">
        <v>11</v>
      </c>
      <c r="D20" s="30">
        <v>2</v>
      </c>
      <c r="E20" s="30">
        <v>0</v>
      </c>
      <c r="F20" s="32">
        <v>0.84615384615384603</v>
      </c>
      <c r="G20" s="30">
        <v>1</v>
      </c>
      <c r="H20" s="31">
        <v>0.43122676579925651</v>
      </c>
      <c r="I20" s="30">
        <v>36</v>
      </c>
    </row>
    <row r="21" spans="1:9" x14ac:dyDescent="0.25">
      <c r="A21" s="30" t="s">
        <v>918</v>
      </c>
      <c r="B21" s="30">
        <v>13</v>
      </c>
      <c r="C21" s="30">
        <v>10</v>
      </c>
      <c r="D21" s="30">
        <v>3</v>
      </c>
      <c r="E21" s="30">
        <v>0</v>
      </c>
      <c r="F21" s="32">
        <v>0.76923076923076927</v>
      </c>
      <c r="G21" s="30">
        <v>1</v>
      </c>
      <c r="H21" s="31">
        <v>1.0132013201320129</v>
      </c>
      <c r="I21" s="30">
        <v>87</v>
      </c>
    </row>
    <row r="22" spans="1:9" x14ac:dyDescent="0.25">
      <c r="A22" s="30" t="s">
        <v>995</v>
      </c>
      <c r="B22" s="30">
        <v>12</v>
      </c>
      <c r="C22" s="30">
        <v>7</v>
      </c>
      <c r="D22" s="30">
        <v>5</v>
      </c>
      <c r="E22" s="30">
        <v>1</v>
      </c>
      <c r="F22" s="32">
        <v>0.58333333333333337</v>
      </c>
      <c r="G22" s="30">
        <v>10</v>
      </c>
      <c r="H22" s="31">
        <v>1.1840796019900499</v>
      </c>
      <c r="I22" s="30">
        <v>59</v>
      </c>
    </row>
    <row r="23" spans="1:9" x14ac:dyDescent="0.25">
      <c r="A23" s="30" t="s">
        <v>889</v>
      </c>
      <c r="B23" s="30">
        <v>11</v>
      </c>
      <c r="C23" s="30">
        <v>7</v>
      </c>
      <c r="D23" s="30">
        <v>4</v>
      </c>
      <c r="E23" s="30">
        <v>1</v>
      </c>
      <c r="F23" s="32">
        <v>0.63636363636363635</v>
      </c>
      <c r="G23" s="30">
        <v>1</v>
      </c>
      <c r="H23" s="31">
        <v>1.75</v>
      </c>
      <c r="I23" s="30">
        <v>100</v>
      </c>
    </row>
    <row r="24" spans="1:9" x14ac:dyDescent="0.25">
      <c r="A24" s="30" t="s">
        <v>875</v>
      </c>
      <c r="B24" s="30">
        <v>8</v>
      </c>
      <c r="C24" s="30">
        <v>2</v>
      </c>
      <c r="D24" s="30">
        <v>6</v>
      </c>
      <c r="E24" s="30">
        <v>2</v>
      </c>
      <c r="F24" s="32">
        <v>0.25</v>
      </c>
      <c r="G24" s="30">
        <v>67</v>
      </c>
      <c r="H24" s="31">
        <v>2.2473684210526321</v>
      </c>
      <c r="I24" s="30">
        <v>84</v>
      </c>
    </row>
    <row r="25" spans="1:9" x14ac:dyDescent="0.25">
      <c r="A25" s="30" t="s">
        <v>1335</v>
      </c>
      <c r="B25" s="30">
        <v>6</v>
      </c>
      <c r="C25" s="30">
        <v>3</v>
      </c>
      <c r="D25" s="30">
        <v>3</v>
      </c>
      <c r="E25" s="30">
        <v>0</v>
      </c>
      <c r="F25" s="32">
        <v>0.5</v>
      </c>
      <c r="G25" s="30">
        <v>38</v>
      </c>
      <c r="H25" s="31">
        <v>1.956521739130435</v>
      </c>
      <c r="I25" s="30">
        <v>32</v>
      </c>
    </row>
    <row r="26" spans="1:9" x14ac:dyDescent="0.25">
      <c r="A26" s="30" t="s">
        <v>1039</v>
      </c>
      <c r="B26" s="30">
        <v>5</v>
      </c>
      <c r="C26" s="30">
        <v>5</v>
      </c>
      <c r="D26" s="30">
        <v>0</v>
      </c>
      <c r="E26" s="30">
        <v>0</v>
      </c>
      <c r="F26" s="32">
        <v>1</v>
      </c>
      <c r="G26" s="30">
        <v>8</v>
      </c>
      <c r="H26" s="31">
        <v>0.25892857142857151</v>
      </c>
      <c r="I26" s="30">
        <v>0</v>
      </c>
    </row>
    <row r="27" spans="1:9" x14ac:dyDescent="0.25">
      <c r="A27" s="30" t="s">
        <v>1334</v>
      </c>
      <c r="B27" s="30">
        <v>2</v>
      </c>
      <c r="C27" s="30">
        <v>1</v>
      </c>
      <c r="D27" s="30">
        <v>1</v>
      </c>
      <c r="E27" s="30">
        <v>0</v>
      </c>
      <c r="F27" s="32">
        <v>0.5</v>
      </c>
      <c r="G27" s="30">
        <v>87</v>
      </c>
      <c r="H27" s="31">
        <v>3.7826086956521738</v>
      </c>
      <c r="I27" s="30">
        <v>72</v>
      </c>
    </row>
    <row r="28" spans="1:9" x14ac:dyDescent="0.25">
      <c r="A28" s="30" t="s">
        <v>1332</v>
      </c>
      <c r="B28" s="30">
        <v>1</v>
      </c>
      <c r="C28" s="30">
        <v>1</v>
      </c>
      <c r="D28" s="30">
        <v>0</v>
      </c>
      <c r="E28" s="30">
        <v>0</v>
      </c>
      <c r="F28" s="32">
        <v>1</v>
      </c>
      <c r="G28" s="30">
        <v>14</v>
      </c>
      <c r="H28" s="31">
        <v>0.53846153846153844</v>
      </c>
      <c r="I28" s="30">
        <v>0</v>
      </c>
    </row>
    <row r="29" spans="1:9" hidden="1" x14ac:dyDescent="0.25">
      <c r="A29" s="28" t="s">
        <v>1330</v>
      </c>
      <c r="B29" s="28">
        <v>71</v>
      </c>
      <c r="C29" s="28">
        <v>47</v>
      </c>
      <c r="D29" s="28">
        <v>24</v>
      </c>
      <c r="E29" s="28">
        <v>4</v>
      </c>
      <c r="F29" s="29">
        <v>0.6619718309859155</v>
      </c>
      <c r="G29" s="28">
        <v>4</v>
      </c>
      <c r="H29" s="35">
        <v>1.2300070771408349</v>
      </c>
      <c r="I29" s="28">
        <v>100</v>
      </c>
    </row>
    <row r="31" spans="1:9" x14ac:dyDescent="0.25">
      <c r="A31" s="34" t="s">
        <v>1345</v>
      </c>
    </row>
    <row r="32" spans="1:9" ht="26.25" x14ac:dyDescent="0.25">
      <c r="A32" s="33" t="s">
        <v>1344</v>
      </c>
      <c r="B32" s="33" t="s">
        <v>1343</v>
      </c>
      <c r="C32" s="33" t="s">
        <v>1342</v>
      </c>
      <c r="D32" s="33" t="s">
        <v>1341</v>
      </c>
      <c r="E32" s="33" t="s">
        <v>1340</v>
      </c>
      <c r="F32" s="33" t="s">
        <v>1339</v>
      </c>
      <c r="G32" s="33" t="s">
        <v>1338</v>
      </c>
      <c r="H32" s="47" t="s">
        <v>1337</v>
      </c>
      <c r="I32" s="33" t="s">
        <v>1336</v>
      </c>
    </row>
    <row r="33" spans="1:9" x14ac:dyDescent="0.25">
      <c r="A33" s="30" t="s">
        <v>995</v>
      </c>
      <c r="B33" s="30">
        <v>23</v>
      </c>
      <c r="C33" s="30">
        <v>14</v>
      </c>
      <c r="D33" s="30">
        <v>9</v>
      </c>
      <c r="E33" s="30">
        <v>1</v>
      </c>
      <c r="F33" s="32">
        <v>0.60869565217391308</v>
      </c>
      <c r="G33" s="30">
        <v>9</v>
      </c>
      <c r="H33" s="31">
        <v>1.3340611353711791</v>
      </c>
      <c r="I33" s="30">
        <v>148</v>
      </c>
    </row>
    <row r="34" spans="1:9" x14ac:dyDescent="0.25">
      <c r="A34" s="30" t="s">
        <v>918</v>
      </c>
      <c r="B34" s="30">
        <v>20</v>
      </c>
      <c r="C34" s="30">
        <v>14</v>
      </c>
      <c r="D34" s="30">
        <v>6</v>
      </c>
      <c r="E34" s="30">
        <v>0</v>
      </c>
      <c r="F34" s="32">
        <v>0.7</v>
      </c>
      <c r="G34" s="30">
        <v>1</v>
      </c>
      <c r="H34" s="31">
        <v>2.183505154639175</v>
      </c>
      <c r="I34" s="30">
        <v>232</v>
      </c>
    </row>
    <row r="35" spans="1:9" x14ac:dyDescent="0.25">
      <c r="A35" s="30" t="s">
        <v>935</v>
      </c>
      <c r="B35" s="30">
        <v>19</v>
      </c>
      <c r="C35" s="30">
        <v>16</v>
      </c>
      <c r="D35" s="30">
        <v>3</v>
      </c>
      <c r="E35" s="30">
        <v>1</v>
      </c>
      <c r="F35" s="32">
        <v>0.84210526315789469</v>
      </c>
      <c r="G35" s="30">
        <v>1</v>
      </c>
      <c r="H35" s="31">
        <v>1.4752941176470591</v>
      </c>
      <c r="I35" s="30">
        <v>468</v>
      </c>
    </row>
    <row r="36" spans="1:9" x14ac:dyDescent="0.25">
      <c r="A36" s="30" t="s">
        <v>889</v>
      </c>
      <c r="B36" s="30">
        <v>17</v>
      </c>
      <c r="C36" s="30">
        <v>10</v>
      </c>
      <c r="D36" s="30">
        <v>7</v>
      </c>
      <c r="E36" s="30">
        <v>1</v>
      </c>
      <c r="F36" s="32">
        <v>0.58823529411764708</v>
      </c>
      <c r="G36" s="30">
        <v>1</v>
      </c>
      <c r="H36" s="31">
        <v>2.037234042553191</v>
      </c>
      <c r="I36" s="30">
        <v>236</v>
      </c>
    </row>
    <row r="37" spans="1:9" x14ac:dyDescent="0.25">
      <c r="A37" s="30" t="s">
        <v>1039</v>
      </c>
      <c r="B37" s="30">
        <v>12</v>
      </c>
      <c r="C37" s="30">
        <v>11</v>
      </c>
      <c r="D37" s="30">
        <v>1</v>
      </c>
      <c r="E37" s="30">
        <v>0</v>
      </c>
      <c r="F37" s="32">
        <v>0.91666666666666663</v>
      </c>
      <c r="G37" s="30">
        <v>1</v>
      </c>
      <c r="H37" s="31">
        <v>0.25170068027210879</v>
      </c>
      <c r="I37" s="30">
        <v>3</v>
      </c>
    </row>
    <row r="38" spans="1:9" x14ac:dyDescent="0.25">
      <c r="A38" s="30" t="s">
        <v>1335</v>
      </c>
      <c r="B38" s="30">
        <v>12</v>
      </c>
      <c r="C38" s="30">
        <v>7</v>
      </c>
      <c r="D38" s="30">
        <v>5</v>
      </c>
      <c r="E38" s="30">
        <v>0</v>
      </c>
      <c r="F38" s="32">
        <v>0.58333333333333337</v>
      </c>
      <c r="G38" s="30">
        <v>23</v>
      </c>
      <c r="H38" s="31">
        <v>1.3511111111111109</v>
      </c>
      <c r="I38" s="30">
        <v>59</v>
      </c>
    </row>
    <row r="39" spans="1:9" x14ac:dyDescent="0.25">
      <c r="A39" s="30" t="s">
        <v>875</v>
      </c>
      <c r="B39" s="30">
        <v>11</v>
      </c>
      <c r="C39" s="30">
        <v>3</v>
      </c>
      <c r="D39" s="30">
        <v>8</v>
      </c>
      <c r="E39" s="30">
        <v>2</v>
      </c>
      <c r="F39" s="32">
        <v>0.27272727272727271</v>
      </c>
      <c r="G39" s="30">
        <v>67</v>
      </c>
      <c r="H39" s="31">
        <v>3.2719999999999998</v>
      </c>
      <c r="I39" s="30">
        <v>308</v>
      </c>
    </row>
    <row r="40" spans="1:9" x14ac:dyDescent="0.25">
      <c r="A40" s="30" t="s">
        <v>1334</v>
      </c>
      <c r="B40" s="30">
        <v>9</v>
      </c>
      <c r="C40" s="30">
        <v>6</v>
      </c>
      <c r="D40" s="30">
        <v>3</v>
      </c>
      <c r="E40" s="30">
        <v>0</v>
      </c>
      <c r="F40" s="32">
        <v>0.66666666666666663</v>
      </c>
      <c r="G40" s="30">
        <v>4</v>
      </c>
      <c r="H40" s="31">
        <v>1.107317073170732</v>
      </c>
      <c r="I40" s="30">
        <v>72</v>
      </c>
    </row>
    <row r="41" spans="1:9" x14ac:dyDescent="0.25">
      <c r="A41" s="30" t="s">
        <v>1333</v>
      </c>
      <c r="B41" s="30">
        <v>6</v>
      </c>
      <c r="C41" s="30">
        <v>5</v>
      </c>
      <c r="D41" s="30">
        <v>1</v>
      </c>
      <c r="E41" s="30">
        <v>0</v>
      </c>
      <c r="F41" s="32">
        <v>0.83333333333333337</v>
      </c>
      <c r="G41" s="30">
        <v>13</v>
      </c>
      <c r="H41" s="31">
        <v>0.50641025641025639</v>
      </c>
      <c r="I41" s="30">
        <v>12</v>
      </c>
    </row>
    <row r="42" spans="1:9" x14ac:dyDescent="0.25">
      <c r="A42" s="30" t="s">
        <v>1332</v>
      </c>
      <c r="B42" s="30">
        <v>1</v>
      </c>
      <c r="C42" s="30">
        <v>1</v>
      </c>
      <c r="D42" s="30">
        <v>0</v>
      </c>
      <c r="E42" s="30">
        <v>0</v>
      </c>
      <c r="F42" s="32">
        <v>1</v>
      </c>
      <c r="G42" s="30">
        <v>14</v>
      </c>
      <c r="H42" s="31">
        <v>0.53846153846153844</v>
      </c>
      <c r="I42" s="30">
        <v>0</v>
      </c>
    </row>
    <row r="43" spans="1:9" x14ac:dyDescent="0.25">
      <c r="A43" s="30" t="s">
        <v>1331</v>
      </c>
      <c r="B43" s="30">
        <v>1</v>
      </c>
      <c r="C43" s="30">
        <v>1</v>
      </c>
      <c r="D43" s="30">
        <v>0</v>
      </c>
      <c r="E43" s="30">
        <v>0</v>
      </c>
      <c r="F43" s="32">
        <v>1</v>
      </c>
      <c r="G43" s="30">
        <v>1</v>
      </c>
      <c r="H43" s="31">
        <v>3.8461538461538457E-2</v>
      </c>
      <c r="I43" s="30">
        <v>0</v>
      </c>
    </row>
    <row r="44" spans="1:9" hidden="1" x14ac:dyDescent="0.25">
      <c r="A44" s="28" t="s">
        <v>1330</v>
      </c>
      <c r="B44" s="28">
        <v>131</v>
      </c>
      <c r="C44" s="28">
        <v>88</v>
      </c>
      <c r="D44" s="28">
        <v>43</v>
      </c>
      <c r="E44" s="28">
        <v>5</v>
      </c>
      <c r="F44" s="29">
        <v>0.6717557251908397</v>
      </c>
      <c r="G44" s="28">
        <v>5</v>
      </c>
      <c r="H44" s="35">
        <v>1.5652768284347229</v>
      </c>
      <c r="I44" s="28">
        <v>468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zoomScaleNormal="100" workbookViewId="0">
      <selection activeCell="K15" sqref="D15:K24"/>
    </sheetView>
    <sheetView workbookViewId="1"/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1298</v>
      </c>
      <c r="C1" s="18" t="s">
        <v>1308</v>
      </c>
      <c r="D1" s="14" t="s">
        <v>318</v>
      </c>
      <c r="E1" s="13" t="s">
        <v>0</v>
      </c>
      <c r="F1" s="13" t="s">
        <v>334</v>
      </c>
      <c r="G1" s="14" t="s">
        <v>1299</v>
      </c>
      <c r="H1" s="13" t="s">
        <v>335</v>
      </c>
      <c r="I1" s="14" t="s">
        <v>1306</v>
      </c>
      <c r="J1" s="14" t="s">
        <v>1297</v>
      </c>
      <c r="K1" s="14" t="s">
        <v>1307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_xlfn.XLOOKUP(K2,Base!G:G,Base!I:I)</f>
        <v>#N/A</v>
      </c>
      <c r="E2" s="4" t="s">
        <v>342</v>
      </c>
      <c r="F2" s="4" t="s">
        <v>343</v>
      </c>
      <c r="G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hidden="1" x14ac:dyDescent="0.25">
      <c r="A3" t="s">
        <v>499</v>
      </c>
      <c r="B3" t="str">
        <f>LEFT(Tabela3[[#This Row],[Ano/TIPO]],2)</f>
        <v>RL</v>
      </c>
      <c r="D3" t="e">
        <f>_xlfn.XLOOKUP(K3,Base!G:G,Base!I:I)</f>
        <v>#N/A</v>
      </c>
      <c r="E3" s="4" t="s">
        <v>350</v>
      </c>
      <c r="F3" s="4" t="s">
        <v>351</v>
      </c>
      <c r="G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hidden="1" x14ac:dyDescent="0.25">
      <c r="A4" t="s">
        <v>499</v>
      </c>
      <c r="B4" t="str">
        <f>LEFT(Tabela3[[#This Row],[Ano/TIPO]],2)</f>
        <v>RL</v>
      </c>
      <c r="D4" t="e">
        <f>_xlfn.XLOOKUP(K4,Base!G:G,Base!I:I)</f>
        <v>#N/A</v>
      </c>
      <c r="E4" s="4" t="s">
        <v>202</v>
      </c>
      <c r="F4" s="4" t="s">
        <v>356</v>
      </c>
      <c r="G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hidden="1" x14ac:dyDescent="0.25">
      <c r="A5" t="s">
        <v>499</v>
      </c>
      <c r="B5" t="str">
        <f>LEFT(Tabela3[[#This Row],[Ano/TIPO]],2)</f>
        <v>RL</v>
      </c>
      <c r="D5" t="e">
        <f>_xlfn.XLOOKUP(K5,Base!G:G,Base!I:I)</f>
        <v>#N/A</v>
      </c>
      <c r="E5" s="4" t="s">
        <v>213</v>
      </c>
      <c r="F5" s="4" t="s">
        <v>360</v>
      </c>
      <c r="G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hidden="1" x14ac:dyDescent="0.25">
      <c r="A6" t="s">
        <v>499</v>
      </c>
      <c r="B6" t="str">
        <f>LEFT(Tabela3[[#This Row],[Ano/TIPO]],2)</f>
        <v>RL</v>
      </c>
      <c r="D6" t="e">
        <f>_xlfn.XLOOKUP(K6,Base!G:G,Base!I:I)</f>
        <v>#N/A</v>
      </c>
      <c r="E6" s="4" t="s">
        <v>222</v>
      </c>
      <c r="F6" s="4" t="s">
        <v>365</v>
      </c>
      <c r="G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_xlfn.XLOOKUP(K7,Base!G:G,Base!I:I)</f>
        <v>#N/A</v>
      </c>
      <c r="E7" s="4" t="s">
        <v>369</v>
      </c>
      <c r="F7" s="4" t="s">
        <v>370</v>
      </c>
      <c r="G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_xlfn.XLOOKUP(K8,Base!G:G,Base!I:I)</f>
        <v>#N/A</v>
      </c>
      <c r="E8" s="4" t="s">
        <v>374</v>
      </c>
      <c r="F8" s="4" t="s">
        <v>375</v>
      </c>
      <c r="G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_xlfn.XLOOKUP(K9,Base!G:G,Base!I:I)</f>
        <v>#N/A</v>
      </c>
      <c r="E9" s="4" t="s">
        <v>380</v>
      </c>
      <c r="F9" s="4" t="s">
        <v>381</v>
      </c>
      <c r="G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_xlfn.XLOOKUP(K10,Base!G:G,Base!I:I)</f>
        <v>#N/A</v>
      </c>
      <c r="E10" s="4" t="s">
        <v>387</v>
      </c>
      <c r="F10" s="4" t="s">
        <v>388</v>
      </c>
      <c r="G1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hidden="1" x14ac:dyDescent="0.25">
      <c r="A11" t="s">
        <v>499</v>
      </c>
      <c r="B11" t="str">
        <f>LEFT(Tabela3[[#This Row],[Ano/TIPO]],2)</f>
        <v>RL</v>
      </c>
      <c r="D11" t="e">
        <f>_xlfn.XLOOKUP(K11,Base!G:G,Base!I:I)</f>
        <v>#N/A</v>
      </c>
      <c r="E11" s="4" t="s">
        <v>392</v>
      </c>
      <c r="F11" s="4" t="s">
        <v>393</v>
      </c>
      <c r="G1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_xlfn.XLOOKUP(K12,Base!G:G,Base!I:I)</f>
        <v>#N/A</v>
      </c>
      <c r="E12" s="4" t="s">
        <v>398</v>
      </c>
      <c r="F12" s="4" t="s">
        <v>399</v>
      </c>
      <c r="G1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_xlfn.XLOOKUP(K13,Base!G:G,Base!I:I)</f>
        <v>#N/A</v>
      </c>
      <c r="E13" s="4" t="s">
        <v>403</v>
      </c>
      <c r="F13" s="4" t="s">
        <v>404</v>
      </c>
      <c r="G1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hidden="1" x14ac:dyDescent="0.25">
      <c r="A14" t="s">
        <v>499</v>
      </c>
      <c r="B14" t="str">
        <f>LEFT(Tabela3[[#This Row],[Ano/TIPO]],2)</f>
        <v>RL</v>
      </c>
      <c r="D14" t="e">
        <f>_xlfn.XLOOKUP(K14,Base!G:G,Base!I:I)</f>
        <v>#N/A</v>
      </c>
      <c r="E14" s="4" t="s">
        <v>133</v>
      </c>
      <c r="F14" s="4" t="s">
        <v>136</v>
      </c>
      <c r="G1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_xlfn.XLOOKUP(K15,Base!G:G,Base!I:I)</f>
        <v>#N/A</v>
      </c>
      <c r="E15" s="4" t="s">
        <v>412</v>
      </c>
      <c r="F15" s="4" t="s">
        <v>413</v>
      </c>
      <c r="G1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hidden="1" x14ac:dyDescent="0.25">
      <c r="A16" t="s">
        <v>499</v>
      </c>
      <c r="B16" t="str">
        <f>LEFT(Tabela3[[#This Row],[Ano/TIPO]],2)</f>
        <v>RL</v>
      </c>
      <c r="D16" t="e">
        <f>_xlfn.XLOOKUP(K16,Base!G:G,Base!I:I)</f>
        <v>#N/A</v>
      </c>
      <c r="E16" s="4" t="s">
        <v>113</v>
      </c>
      <c r="F16" s="4" t="s">
        <v>116</v>
      </c>
      <c r="G1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hidden="1" x14ac:dyDescent="0.25">
      <c r="A17" t="s">
        <v>499</v>
      </c>
      <c r="B17" t="str">
        <f>LEFT(Tabela3[[#This Row],[Ano/TIPO]],2)</f>
        <v>RL</v>
      </c>
      <c r="D17" t="e">
        <f>_xlfn.XLOOKUP(K17,Base!G:G,Base!I:I)</f>
        <v>#N/A</v>
      </c>
      <c r="E17" s="4" t="s">
        <v>75</v>
      </c>
      <c r="F17" s="4" t="s">
        <v>78</v>
      </c>
      <c r="G1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hidden="1" x14ac:dyDescent="0.25">
      <c r="A18" t="s">
        <v>499</v>
      </c>
      <c r="B18" t="str">
        <f>LEFT(Tabela3[[#This Row],[Ano/TIPO]],2)</f>
        <v>RL</v>
      </c>
      <c r="D18" t="e">
        <f>_xlfn.XLOOKUP(K18,Base!G:G,Base!I:I)</f>
        <v>#N/A</v>
      </c>
      <c r="E18" s="4" t="s">
        <v>234</v>
      </c>
      <c r="F18" s="4" t="s">
        <v>236</v>
      </c>
      <c r="G1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hidden="1" x14ac:dyDescent="0.25">
      <c r="A19" t="s">
        <v>499</v>
      </c>
      <c r="B19" t="str">
        <f>LEFT(Tabela3[[#This Row],[Ano/TIPO]],2)</f>
        <v>RL</v>
      </c>
      <c r="D19" t="e">
        <f>_xlfn.XLOOKUP(K19,Base!G:G,Base!I:I)</f>
        <v>#N/A</v>
      </c>
      <c r="E19" s="4" t="s">
        <v>56</v>
      </c>
      <c r="F19" s="4" t="s">
        <v>428</v>
      </c>
      <c r="G1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hidden="1" x14ac:dyDescent="0.25">
      <c r="A20" t="s">
        <v>499</v>
      </c>
      <c r="B20" t="str">
        <f>LEFT(Tabela3[[#This Row],[Ano/TIPO]],2)</f>
        <v>RL</v>
      </c>
      <c r="D20" t="e">
        <f>_xlfn.XLOOKUP(K20,Base!G:G,Base!I:I)</f>
        <v>#N/A</v>
      </c>
      <c r="E20" s="4" t="s">
        <v>237</v>
      </c>
      <c r="F20" s="4" t="s">
        <v>239</v>
      </c>
      <c r="G2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hidden="1" x14ac:dyDescent="0.25">
      <c r="A21" t="s">
        <v>499</v>
      </c>
      <c r="B21" t="str">
        <f>LEFT(Tabela3[[#This Row],[Ano/TIPO]],2)</f>
        <v>RL</v>
      </c>
      <c r="D21" t="e">
        <f>_xlfn.XLOOKUP(K21,Base!G:G,Base!I:I)</f>
        <v>#N/A</v>
      </c>
      <c r="E21" s="4" t="s">
        <v>118</v>
      </c>
      <c r="F21" s="4" t="s">
        <v>121</v>
      </c>
      <c r="G2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_xlfn.XLOOKUP(K22,Base!G:G,Base!I:I)</f>
        <v>#N/A</v>
      </c>
      <c r="E22" s="4" t="s">
        <v>437</v>
      </c>
      <c r="F22" s="4" t="s">
        <v>438</v>
      </c>
      <c r="G2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hidden="1" x14ac:dyDescent="0.25">
      <c r="A23" t="s">
        <v>499</v>
      </c>
      <c r="B23" t="str">
        <f>LEFT(Tabela3[[#This Row],[Ano/TIPO]],2)</f>
        <v>RL</v>
      </c>
      <c r="D23" t="e">
        <f>_xlfn.XLOOKUP(K23,Base!G:G,Base!I:I)</f>
        <v>#N/A</v>
      </c>
      <c r="E23" s="4" t="s">
        <v>442</v>
      </c>
      <c r="F23" s="4" t="s">
        <v>443</v>
      </c>
      <c r="G2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_xlfn.XLOOKUP(K24,Base!G:G,Base!I:I)</f>
        <v>#N/A</v>
      </c>
      <c r="E24" s="4" t="s">
        <v>81</v>
      </c>
      <c r="F24" s="4" t="s">
        <v>447</v>
      </c>
      <c r="G2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hidden="1" x14ac:dyDescent="0.25">
      <c r="A25" t="s">
        <v>499</v>
      </c>
      <c r="B25" t="str">
        <f>LEFT(Tabela3[[#This Row],[Ano/TIPO]],2)</f>
        <v>RL</v>
      </c>
      <c r="D25" t="e">
        <f>_xlfn.XLOOKUP(K25,Base!G:G,Base!I:I)</f>
        <v>#N/A</v>
      </c>
      <c r="E25" s="4" t="s">
        <v>218</v>
      </c>
      <c r="F25" s="4" t="s">
        <v>221</v>
      </c>
      <c r="G2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hidden="1" x14ac:dyDescent="0.25">
      <c r="A26" t="s">
        <v>499</v>
      </c>
      <c r="B26" t="str">
        <f>LEFT(Tabela3[[#This Row],[Ano/TIPO]],2)</f>
        <v>RL</v>
      </c>
      <c r="D26" t="e">
        <f>_xlfn.XLOOKUP(K26,Base!G:G,Base!I:I)</f>
        <v>#N/A</v>
      </c>
      <c r="E26" s="4" t="s">
        <v>189</v>
      </c>
      <c r="F26" s="4" t="s">
        <v>455</v>
      </c>
      <c r="G2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hidden="1" x14ac:dyDescent="0.25">
      <c r="A27" t="s">
        <v>499</v>
      </c>
      <c r="B27" t="str">
        <f>LEFT(Tabela3[[#This Row],[Ano/TIPO]],2)</f>
        <v>RL</v>
      </c>
      <c r="D27" t="e">
        <f>_xlfn.XLOOKUP(K27,Base!G:G,Base!I:I)</f>
        <v>#N/A</v>
      </c>
      <c r="E27" s="4" t="s">
        <v>129</v>
      </c>
      <c r="F27" s="4" t="s">
        <v>458</v>
      </c>
      <c r="G2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_xlfn.XLOOKUP(K28,Base!G:G,Base!I:I)</f>
        <v>#N/A</v>
      </c>
      <c r="E28" s="4" t="s">
        <v>462</v>
      </c>
      <c r="F28" s="4" t="s">
        <v>463</v>
      </c>
      <c r="G2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hidden="1" x14ac:dyDescent="0.25">
      <c r="A29" t="s">
        <v>499</v>
      </c>
      <c r="B29" t="str">
        <f>LEFT(Tabela3[[#This Row],[Ano/TIPO]],2)</f>
        <v>RL</v>
      </c>
      <c r="D29" t="e">
        <f>_xlfn.XLOOKUP(K29,Base!G:G,Base!I:I)</f>
        <v>#N/A</v>
      </c>
      <c r="E29" s="4" t="s">
        <v>178</v>
      </c>
      <c r="F29" s="4" t="s">
        <v>181</v>
      </c>
      <c r="G2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_xlfn.XLOOKUP(K30,Base!G:G,Base!I:I)</f>
        <v>#N/A</v>
      </c>
      <c r="E30" s="4" t="s">
        <v>470</v>
      </c>
      <c r="F30" s="4" t="s">
        <v>471</v>
      </c>
      <c r="G3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1323</v>
      </c>
      <c r="O30" s="4" t="s">
        <v>473</v>
      </c>
      <c r="P30" s="4" t="s">
        <v>474</v>
      </c>
      <c r="Q30" s="4"/>
    </row>
    <row r="31" spans="1:17" hidden="1" x14ac:dyDescent="0.25">
      <c r="A31" t="s">
        <v>499</v>
      </c>
      <c r="B31" t="str">
        <f>LEFT(Tabela3[[#This Row],[Ano/TIPO]],2)</f>
        <v>RL</v>
      </c>
      <c r="D31" t="e">
        <f>_xlfn.XLOOKUP(K31,Base!G:G,Base!I:I)</f>
        <v>#N/A</v>
      </c>
      <c r="E31" s="4" t="s">
        <v>145</v>
      </c>
      <c r="F31" s="4" t="s">
        <v>475</v>
      </c>
      <c r="G3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hidden="1" x14ac:dyDescent="0.25">
      <c r="A32" t="s">
        <v>499</v>
      </c>
      <c r="B32" t="str">
        <f>LEFT(Tabela3[[#This Row],[Ano/TIPO]],2)</f>
        <v>RL</v>
      </c>
      <c r="D32" t="e">
        <f>_xlfn.XLOOKUP(K32,Base!G:G,Base!I:I)</f>
        <v>#N/A</v>
      </c>
      <c r="E32" s="4" t="s">
        <v>266</v>
      </c>
      <c r="F32" s="4" t="s">
        <v>479</v>
      </c>
      <c r="G3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hidden="1" x14ac:dyDescent="0.25">
      <c r="A33" t="s">
        <v>499</v>
      </c>
      <c r="B33" t="str">
        <f>LEFT(Tabela3[[#This Row],[Ano/TIPO]],2)</f>
        <v>RL</v>
      </c>
      <c r="D33" t="e">
        <f>_xlfn.XLOOKUP(K33,Base!G:G,Base!I:I)</f>
        <v>#N/A</v>
      </c>
      <c r="E33" s="4" t="s">
        <v>226</v>
      </c>
      <c r="F33" s="4" t="s">
        <v>229</v>
      </c>
      <c r="G3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_xlfn.XLOOKUP(K34,Base!G:G,Base!I:I)</f>
        <v>#N/A</v>
      </c>
      <c r="E34" s="4" t="s">
        <v>486</v>
      </c>
      <c r="F34" s="4" t="s">
        <v>487</v>
      </c>
      <c r="G3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hidden="1" x14ac:dyDescent="0.25">
      <c r="A35" t="s">
        <v>499</v>
      </c>
      <c r="B35" t="str">
        <f>LEFT(Tabela3[[#This Row],[Ano/TIPO]],2)</f>
        <v>RL</v>
      </c>
      <c r="D35" t="e">
        <f>_xlfn.XLOOKUP(K35,Base!G:G,Base!I:I)</f>
        <v>#N/A</v>
      </c>
      <c r="E35" s="4" t="s">
        <v>30</v>
      </c>
      <c r="F35" s="4" t="s">
        <v>32</v>
      </c>
      <c r="G3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_xlfn.XLOOKUP(K36,Base!G:G,Base!I:I)</f>
        <v>#N/A</v>
      </c>
      <c r="E36" s="4" t="s">
        <v>494</v>
      </c>
      <c r="F36" s="4" t="s">
        <v>495</v>
      </c>
      <c r="G3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_xlfn.XLOOKUP(K37,Base!G:G,Base!I:I)</f>
        <v>#N/A</v>
      </c>
      <c r="E37" t="s">
        <v>501</v>
      </c>
      <c r="F37" t="s">
        <v>502</v>
      </c>
      <c r="G3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_xlfn.XLOOKUP(K38,Base!G:G,Base!I:I)</f>
        <v>#N/A</v>
      </c>
      <c r="E38" t="s">
        <v>507</v>
      </c>
      <c r="F38" t="s">
        <v>508</v>
      </c>
      <c r="G3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_xlfn.XLOOKUP(K39,Base!G:G,Base!I:I)</f>
        <v>#N/A</v>
      </c>
      <c r="E39" t="s">
        <v>514</v>
      </c>
      <c r="F39" t="s">
        <v>515</v>
      </c>
      <c r="G3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_xlfn.XLOOKUP(K40,Base!G:G,Base!I:I)</f>
        <v>#N/A</v>
      </c>
      <c r="E40" t="s">
        <v>520</v>
      </c>
      <c r="F40" t="s">
        <v>521</v>
      </c>
      <c r="G4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hidden="1" x14ac:dyDescent="0.25">
      <c r="A41" t="s">
        <v>584</v>
      </c>
      <c r="B41" t="str">
        <f>LEFT(Tabela3[[#This Row],[Ano/TIPO]],2)</f>
        <v>RT</v>
      </c>
      <c r="D41" t="e">
        <f>_xlfn.XLOOKUP(K41,Base!G:G,Base!I:I)</f>
        <v>#N/A</v>
      </c>
      <c r="E41" t="s">
        <v>520</v>
      </c>
      <c r="F41" t="s">
        <v>526</v>
      </c>
      <c r="G4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_xlfn.XLOOKUP(K42,Base!G:G,Base!I:I)</f>
        <v>#N/A</v>
      </c>
      <c r="E42" t="s">
        <v>35</v>
      </c>
      <c r="F42" t="s">
        <v>529</v>
      </c>
      <c r="G4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hidden="1" x14ac:dyDescent="0.25">
      <c r="A43" t="s">
        <v>584</v>
      </c>
      <c r="B43" t="str">
        <f>LEFT(Tabela3[[#This Row],[Ano/TIPO]],2)</f>
        <v>RT</v>
      </c>
      <c r="D43" t="e">
        <f>_xlfn.XLOOKUP(K43,Base!G:G,Base!I:I)</f>
        <v>#N/A</v>
      </c>
      <c r="E43" t="s">
        <v>270</v>
      </c>
      <c r="F43" t="s">
        <v>531</v>
      </c>
      <c r="G4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hidden="1" x14ac:dyDescent="0.25">
      <c r="A44" t="s">
        <v>584</v>
      </c>
      <c r="B44" t="str">
        <f>LEFT(Tabela3[[#This Row],[Ano/TIPO]],2)</f>
        <v>RT</v>
      </c>
      <c r="D44" t="e">
        <f>_xlfn.XLOOKUP(K44,Base!G:G,Base!I:I)</f>
        <v>#N/A</v>
      </c>
      <c r="E44" t="s">
        <v>273</v>
      </c>
      <c r="F44" t="s">
        <v>535</v>
      </c>
      <c r="G4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hidden="1" x14ac:dyDescent="0.25">
      <c r="A45" t="s">
        <v>584</v>
      </c>
      <c r="B45" t="str">
        <f>LEFT(Tabela3[[#This Row],[Ano/TIPO]],2)</f>
        <v>RT</v>
      </c>
      <c r="D45" t="e">
        <f>_xlfn.XLOOKUP(K45,Base!G:G,Base!I:I)</f>
        <v>#N/A</v>
      </c>
      <c r="E45" t="s">
        <v>88</v>
      </c>
      <c r="F45" t="s">
        <v>539</v>
      </c>
      <c r="G4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hidden="1" x14ac:dyDescent="0.25">
      <c r="A46" t="s">
        <v>584</v>
      </c>
      <c r="B46" t="str">
        <f>LEFT(Tabela3[[#This Row],[Ano/TIPO]],2)</f>
        <v>RT</v>
      </c>
      <c r="D46" t="e">
        <f>_xlfn.XLOOKUP(K46,Base!G:G,Base!I:I)</f>
        <v>#N/A</v>
      </c>
      <c r="E46" t="s">
        <v>157</v>
      </c>
      <c r="F46" t="s">
        <v>160</v>
      </c>
      <c r="G4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_xlfn.XLOOKUP(K47,Base!G:G,Base!I:I)</f>
        <v>#N/A</v>
      </c>
      <c r="E47" t="s">
        <v>547</v>
      </c>
      <c r="F47" t="s">
        <v>548</v>
      </c>
      <c r="G4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_xlfn.XLOOKUP(K48,Base!G:G,Base!I:I)</f>
        <v>#N/A</v>
      </c>
      <c r="E48" t="s">
        <v>552</v>
      </c>
      <c r="F48" t="s">
        <v>553</v>
      </c>
      <c r="G4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_xlfn.XLOOKUP(K49,Base!G:G,Base!I:I)</f>
        <v>#N/A</v>
      </c>
      <c r="E49" t="s">
        <v>514</v>
      </c>
      <c r="F49" t="s">
        <v>557</v>
      </c>
      <c r="G4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hidden="1" x14ac:dyDescent="0.25">
      <c r="A50" t="s">
        <v>584</v>
      </c>
      <c r="B50" t="str">
        <f>LEFT(Tabela3[[#This Row],[Ano/TIPO]],2)</f>
        <v>RT</v>
      </c>
      <c r="D50" t="e">
        <f>_xlfn.XLOOKUP(K50,Base!G:G,Base!I:I)</f>
        <v>#N/A</v>
      </c>
      <c r="E50" t="s">
        <v>195</v>
      </c>
      <c r="F50" t="s">
        <v>561</v>
      </c>
      <c r="G5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_xlfn.XLOOKUP(K51,Base!G:G,Base!I:I)</f>
        <v>#N/A</v>
      </c>
      <c r="E51" t="s">
        <v>565</v>
      </c>
      <c r="F51" t="s">
        <v>566</v>
      </c>
      <c r="G5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hidden="1" x14ac:dyDescent="0.25">
      <c r="A52" t="s">
        <v>584</v>
      </c>
      <c r="B52" t="str">
        <f>LEFT(Tabela3[[#This Row],[Ano/TIPO]],2)</f>
        <v>RT</v>
      </c>
      <c r="D52" t="e">
        <f>_xlfn.XLOOKUP(K52,Base!G:G,Base!I:I)</f>
        <v>#N/A</v>
      </c>
      <c r="E52" t="s">
        <v>248</v>
      </c>
      <c r="F52" t="s">
        <v>571</v>
      </c>
      <c r="G5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_xlfn.XLOOKUP(K53,Base!G:G,Base!I:I)</f>
        <v>#N/A</v>
      </c>
      <c r="E53" t="s">
        <v>68</v>
      </c>
      <c r="F53" t="s">
        <v>574</v>
      </c>
      <c r="G5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_xlfn.XLOOKUP(K54,Base!G:G,Base!I:I)</f>
        <v>#N/A</v>
      </c>
      <c r="E54" t="s">
        <v>579</v>
      </c>
      <c r="F54" t="s">
        <v>580</v>
      </c>
      <c r="G5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hidden="1" x14ac:dyDescent="0.25">
      <c r="A55" t="s">
        <v>625</v>
      </c>
      <c r="B55" t="str">
        <f>LEFT(Tabela3[[#This Row],[Ano/TIPO]],2)</f>
        <v>RT</v>
      </c>
      <c r="D55" t="e">
        <f>_xlfn.XLOOKUP(K55,Base!G:G,Base!I:I)</f>
        <v>#N/A</v>
      </c>
      <c r="E55" t="s">
        <v>107</v>
      </c>
      <c r="F55" t="s">
        <v>110</v>
      </c>
      <c r="G5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_xlfn.XLOOKUP(K56,Base!G:G,Base!I:I)</f>
        <v>#N/A</v>
      </c>
      <c r="E56" t="s">
        <v>588</v>
      </c>
      <c r="F56" t="s">
        <v>589</v>
      </c>
      <c r="G5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_xlfn.XLOOKUP(K57,Base!G:G,Base!I:I)</f>
        <v>#N/A</v>
      </c>
      <c r="E57" t="s">
        <v>593</v>
      </c>
      <c r="F57" t="s">
        <v>594</v>
      </c>
      <c r="G5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hidden="1" x14ac:dyDescent="0.25">
      <c r="A58" t="s">
        <v>625</v>
      </c>
      <c r="B58" t="str">
        <f>LEFT(Tabela3[[#This Row],[Ano/TIPO]],2)</f>
        <v>RT</v>
      </c>
      <c r="D58" t="e">
        <f>_xlfn.XLOOKUP(K58,Base!G:G,Base!I:I)</f>
        <v>#N/A</v>
      </c>
      <c r="E58" t="s">
        <v>598</v>
      </c>
      <c r="F58" t="s">
        <v>599</v>
      </c>
      <c r="G5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hidden="1" x14ac:dyDescent="0.25">
      <c r="A59" t="s">
        <v>625</v>
      </c>
      <c r="B59" t="str">
        <f>LEFT(Tabela3[[#This Row],[Ano/TIPO]],2)</f>
        <v>RT</v>
      </c>
      <c r="D59" t="e">
        <f>_xlfn.XLOOKUP(K59,Base!G:G,Base!I:I)</f>
        <v>#N/A</v>
      </c>
      <c r="E59" t="s">
        <v>252</v>
      </c>
      <c r="F59" t="s">
        <v>255</v>
      </c>
      <c r="G5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hidden="1" x14ac:dyDescent="0.25">
      <c r="A60" t="s">
        <v>625</v>
      </c>
      <c r="B60" t="str">
        <f>LEFT(Tabela3[[#This Row],[Ano/TIPO]],2)</f>
        <v>RT</v>
      </c>
      <c r="D60" t="e">
        <f>_xlfn.XLOOKUP(K60,Base!G:G,Base!I:I)</f>
        <v>#N/A</v>
      </c>
      <c r="E60" t="s">
        <v>35</v>
      </c>
      <c r="F60" t="s">
        <v>607</v>
      </c>
      <c r="G6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_xlfn.XLOOKUP(K61,Base!G:G,Base!I:I)</f>
        <v>#N/A</v>
      </c>
      <c r="E61" t="s">
        <v>611</v>
      </c>
      <c r="F61" t="s">
        <v>612</v>
      </c>
      <c r="G6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hidden="1" x14ac:dyDescent="0.25">
      <c r="A62" t="s">
        <v>625</v>
      </c>
      <c r="B62" t="str">
        <f>LEFT(Tabela3[[#This Row],[Ano/TIPO]],2)</f>
        <v>RT</v>
      </c>
      <c r="D62" t="e">
        <f>_xlfn.XLOOKUP(K62,Base!G:G,Base!I:I)</f>
        <v>#N/A</v>
      </c>
      <c r="E62" t="s">
        <v>68</v>
      </c>
      <c r="F62" t="s">
        <v>616</v>
      </c>
      <c r="G6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_xlfn.XLOOKUP(K63,Base!G:G,Base!I:I)</f>
        <v>#N/A</v>
      </c>
      <c r="E63" t="s">
        <v>620</v>
      </c>
      <c r="F63" t="s">
        <v>621</v>
      </c>
      <c r="G6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hidden="1" x14ac:dyDescent="0.25">
      <c r="A64" t="s">
        <v>730</v>
      </c>
      <c r="B64" t="str">
        <f>LEFT(Tabela3[[#This Row],[Ano/TIPO]],2)</f>
        <v>RL</v>
      </c>
      <c r="D64" t="e">
        <f>_xlfn.XLOOKUP(K64,Base!G:G,Base!I:I)</f>
        <v>#N/A</v>
      </c>
      <c r="E64" t="s">
        <v>162</v>
      </c>
      <c r="F64" t="s">
        <v>164</v>
      </c>
      <c r="G6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hidden="1" x14ac:dyDescent="0.25">
      <c r="A65" t="s">
        <v>730</v>
      </c>
      <c r="B65" t="str">
        <f>LEFT(Tabela3[[#This Row],[Ano/TIPO]],2)</f>
        <v>RL</v>
      </c>
      <c r="D65" t="e">
        <f>_xlfn.XLOOKUP(K65,Base!G:G,Base!I:I)</f>
        <v>#N/A</v>
      </c>
      <c r="E65" t="s">
        <v>167</v>
      </c>
      <c r="F65" t="s">
        <v>169</v>
      </c>
      <c r="G6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hidden="1" x14ac:dyDescent="0.25">
      <c r="A66" t="s">
        <v>730</v>
      </c>
      <c r="B66" t="str">
        <f>LEFT(Tabela3[[#This Row],[Ano/TIPO]],2)</f>
        <v>RL</v>
      </c>
      <c r="D66" t="e">
        <f>_xlfn.XLOOKUP(K66,Base!G:G,Base!I:I)</f>
        <v>#N/A</v>
      </c>
      <c r="E66" t="s">
        <v>94</v>
      </c>
      <c r="F66" t="s">
        <v>633</v>
      </c>
      <c r="G6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_xlfn.XLOOKUP(K67,Base!G:G,Base!I:I)</f>
        <v>#N/A</v>
      </c>
      <c r="E67" t="s">
        <v>637</v>
      </c>
      <c r="F67" t="s">
        <v>638</v>
      </c>
      <c r="G6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hidden="1" x14ac:dyDescent="0.25">
      <c r="A68" t="s">
        <v>730</v>
      </c>
      <c r="B68" t="str">
        <f>LEFT(Tabela3[[#This Row],[Ano/TIPO]],2)</f>
        <v>RL</v>
      </c>
      <c r="D68" t="e">
        <f>_xlfn.XLOOKUP(K68,Base!G:G,Base!I:I)</f>
        <v>#N/A</v>
      </c>
      <c r="E68" t="s">
        <v>642</v>
      </c>
      <c r="F68" t="s">
        <v>643</v>
      </c>
      <c r="G6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hidden="1" x14ac:dyDescent="0.25">
      <c r="A69" t="s">
        <v>730</v>
      </c>
      <c r="B69" t="str">
        <f>LEFT(Tabela3[[#This Row],[Ano/TIPO]],2)</f>
        <v>RL</v>
      </c>
      <c r="D69" t="e">
        <f>_xlfn.XLOOKUP(K69,Base!G:G,Base!I:I)</f>
        <v>#N/A</v>
      </c>
      <c r="E69" t="s">
        <v>279</v>
      </c>
      <c r="F69" t="s">
        <v>282</v>
      </c>
      <c r="G69" t="e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hidden="1" x14ac:dyDescent="0.25">
      <c r="A70" t="s">
        <v>730</v>
      </c>
      <c r="B70" t="str">
        <f>LEFT(Tabela3[[#This Row],[Ano/TIPO]],2)</f>
        <v>RL</v>
      </c>
      <c r="D70" t="e">
        <f>_xlfn.XLOOKUP(K70,Base!G:G,Base!I:I)</f>
        <v>#N/A</v>
      </c>
      <c r="E70" t="s">
        <v>150</v>
      </c>
      <c r="F70" t="s">
        <v>153</v>
      </c>
      <c r="G7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hidden="1" x14ac:dyDescent="0.25">
      <c r="A71" t="s">
        <v>730</v>
      </c>
      <c r="B71" t="str">
        <f>LEFT(Tabela3[[#This Row],[Ano/TIPO]],2)</f>
        <v>RL</v>
      </c>
      <c r="D71" t="e">
        <f>_xlfn.XLOOKUP(K71,Base!G:G,Base!I:I)</f>
        <v>#N/A</v>
      </c>
      <c r="E71" t="s">
        <v>231</v>
      </c>
      <c r="F71" t="s">
        <v>654</v>
      </c>
      <c r="G7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hidden="1" x14ac:dyDescent="0.25">
      <c r="A72" t="s">
        <v>730</v>
      </c>
      <c r="B72" t="str">
        <f>LEFT(Tabela3[[#This Row],[Ano/TIPO]],2)</f>
        <v>RL</v>
      </c>
      <c r="D72" t="e">
        <f>_xlfn.XLOOKUP(K72,Base!G:G,Base!I:I)</f>
        <v>#N/A</v>
      </c>
      <c r="E72" t="s">
        <v>44</v>
      </c>
      <c r="F72" t="s">
        <v>657</v>
      </c>
      <c r="G7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hidden="1" x14ac:dyDescent="0.25">
      <c r="A73" t="s">
        <v>730</v>
      </c>
      <c r="B73" t="str">
        <f>LEFT(Tabela3[[#This Row],[Ano/TIPO]],2)</f>
        <v>RL</v>
      </c>
      <c r="D73" t="e">
        <f>_xlfn.XLOOKUP(K73,Base!G:G,Base!I:I)</f>
        <v>#N/A</v>
      </c>
      <c r="E73" t="s">
        <v>661</v>
      </c>
      <c r="F73" t="s">
        <v>662</v>
      </c>
      <c r="G7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_xlfn.XLOOKUP(K74,Base!G:G,Base!I:I)</f>
        <v>#N/A</v>
      </c>
      <c r="E74" t="s">
        <v>666</v>
      </c>
      <c r="F74" t="s">
        <v>667</v>
      </c>
      <c r="G7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hidden="1" x14ac:dyDescent="0.25">
      <c r="A75" t="s">
        <v>730</v>
      </c>
      <c r="B75" t="str">
        <f>LEFT(Tabela3[[#This Row],[Ano/TIPO]],2)</f>
        <v>RL</v>
      </c>
      <c r="D75" t="e">
        <f>_xlfn.XLOOKUP(K75,Base!G:G,Base!I:I)</f>
        <v>#N/A</v>
      </c>
      <c r="E75" t="s">
        <v>666</v>
      </c>
      <c r="F75" t="s">
        <v>667</v>
      </c>
      <c r="G7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hidden="1" x14ac:dyDescent="0.25">
      <c r="A76" t="s">
        <v>730</v>
      </c>
      <c r="B76" t="str">
        <f>LEFT(Tabela3[[#This Row],[Ano/TIPO]],2)</f>
        <v>RL</v>
      </c>
      <c r="D76" t="e">
        <f>_xlfn.XLOOKUP(K76,Base!G:G,Base!I:I)</f>
        <v>#N/A</v>
      </c>
      <c r="E76" t="s">
        <v>241</v>
      </c>
      <c r="F76" t="s">
        <v>244</v>
      </c>
      <c r="G7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hidden="1" x14ac:dyDescent="0.25">
      <c r="A77" t="s">
        <v>730</v>
      </c>
      <c r="B77" t="str">
        <f>LEFT(Tabela3[[#This Row],[Ano/TIPO]],2)</f>
        <v>RL</v>
      </c>
      <c r="D77" t="e">
        <f>_xlfn.XLOOKUP(K77,Base!G:G,Base!I:I)</f>
        <v>#N/A</v>
      </c>
      <c r="E77" t="s">
        <v>256</v>
      </c>
      <c r="F77" t="s">
        <v>674</v>
      </c>
      <c r="G7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hidden="1" x14ac:dyDescent="0.25">
      <c r="A78" t="s">
        <v>730</v>
      </c>
      <c r="B78" t="str">
        <f>LEFT(Tabela3[[#This Row],[Ano/TIPO]],2)</f>
        <v>RL</v>
      </c>
      <c r="D78" t="e">
        <f>_xlfn.XLOOKUP(K78,Base!G:G,Base!I:I)</f>
        <v>#N/A</v>
      </c>
      <c r="E78" t="s">
        <v>208</v>
      </c>
      <c r="F78" t="s">
        <v>678</v>
      </c>
      <c r="G7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hidden="1" x14ac:dyDescent="0.25">
      <c r="A79" t="s">
        <v>730</v>
      </c>
      <c r="B79" t="str">
        <f>LEFT(Tabela3[[#This Row],[Ano/TIPO]],2)</f>
        <v>RL</v>
      </c>
      <c r="D79" t="e">
        <f>_xlfn.XLOOKUP(K79,Base!G:G,Base!I:I)</f>
        <v>#N/A</v>
      </c>
      <c r="E79" t="s">
        <v>13</v>
      </c>
      <c r="F79" t="s">
        <v>682</v>
      </c>
      <c r="G7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hidden="1" x14ac:dyDescent="0.25">
      <c r="A80" t="s">
        <v>730</v>
      </c>
      <c r="B80" t="str">
        <f>LEFT(Tabela3[[#This Row],[Ano/TIPO]],2)</f>
        <v>RL</v>
      </c>
      <c r="D80" t="e">
        <f>_xlfn.XLOOKUP(K80,Base!G:G,Base!I:I)</f>
        <v>#N/A</v>
      </c>
      <c r="E80" t="s">
        <v>81</v>
      </c>
      <c r="F80" t="s">
        <v>84</v>
      </c>
      <c r="G8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hidden="1" x14ac:dyDescent="0.25">
      <c r="A81" t="s">
        <v>730</v>
      </c>
      <c r="B81" t="str">
        <f>LEFT(Tabela3[[#This Row],[Ano/TIPO]],2)</f>
        <v>RL</v>
      </c>
      <c r="D81" t="e">
        <f>_xlfn.XLOOKUP(K81,Base!G:G,Base!I:I)</f>
        <v>#N/A</v>
      </c>
      <c r="E81" t="s">
        <v>260</v>
      </c>
      <c r="F81" t="s">
        <v>689</v>
      </c>
      <c r="G8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_xlfn.XLOOKUP(K82,Base!G:G,Base!I:I)</f>
        <v>#N/A</v>
      </c>
      <c r="E82" t="s">
        <v>693</v>
      </c>
      <c r="F82" t="s">
        <v>694</v>
      </c>
      <c r="G8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hidden="1" x14ac:dyDescent="0.25">
      <c r="A83" t="s">
        <v>730</v>
      </c>
      <c r="B83" t="str">
        <f>LEFT(Tabela3[[#This Row],[Ano/TIPO]],2)</f>
        <v>RL</v>
      </c>
      <c r="D83" t="e">
        <f>_xlfn.XLOOKUP(K83,Base!G:G,Base!I:I)</f>
        <v>#N/A</v>
      </c>
      <c r="E83" t="s">
        <v>171</v>
      </c>
      <c r="F83" t="s">
        <v>174</v>
      </c>
      <c r="G8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hidden="1" x14ac:dyDescent="0.25">
      <c r="A84" t="s">
        <v>730</v>
      </c>
      <c r="B84" t="str">
        <f>LEFT(Tabela3[[#This Row],[Ano/TIPO]],2)</f>
        <v>RL</v>
      </c>
      <c r="D84" t="e">
        <f>_xlfn.XLOOKUP(K84,Base!G:G,Base!I:I)</f>
        <v>#N/A</v>
      </c>
      <c r="E84" t="s">
        <v>62</v>
      </c>
      <c r="F84" t="s">
        <v>65</v>
      </c>
      <c r="G8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hidden="1" x14ac:dyDescent="0.25">
      <c r="A85" t="s">
        <v>730</v>
      </c>
      <c r="B85" t="str">
        <f>LEFT(Tabela3[[#This Row],[Ano/TIPO]],2)</f>
        <v>RL</v>
      </c>
      <c r="D85" t="e">
        <f>_xlfn.XLOOKUP(K85,Base!G:G,Base!I:I)</f>
        <v>#N/A</v>
      </c>
      <c r="E85" t="s">
        <v>125</v>
      </c>
      <c r="F85" t="s">
        <v>128</v>
      </c>
      <c r="G8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hidden="1" x14ac:dyDescent="0.25">
      <c r="A86" t="s">
        <v>730</v>
      </c>
      <c r="B86" t="str">
        <f>LEFT(Tabela3[[#This Row],[Ano/TIPO]],2)</f>
        <v>RL</v>
      </c>
      <c r="D86" t="e">
        <f>_xlfn.XLOOKUP(K86,Base!G:G,Base!I:I)</f>
        <v>#N/A</v>
      </c>
      <c r="E86" t="s">
        <v>22</v>
      </c>
      <c r="F86" t="s">
        <v>25</v>
      </c>
      <c r="G8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_xlfn.XLOOKUP(K87,Base!G:G,Base!I:I)</f>
        <v>#N/A</v>
      </c>
      <c r="E87" t="s">
        <v>711</v>
      </c>
      <c r="F87" t="s">
        <v>712</v>
      </c>
      <c r="G8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hidden="1" x14ac:dyDescent="0.25">
      <c r="A88" t="s">
        <v>730</v>
      </c>
      <c r="B88" t="str">
        <f>LEFT(Tabela3[[#This Row],[Ano/TIPO]],2)</f>
        <v>RL</v>
      </c>
      <c r="D88" t="e">
        <f>_xlfn.XLOOKUP(K88,Base!G:G,Base!I:I)</f>
        <v>#N/A</v>
      </c>
      <c r="E88" t="s">
        <v>284</v>
      </c>
      <c r="F88" t="s">
        <v>285</v>
      </c>
      <c r="G8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_xlfn.XLOOKUP(K89,Base!G:G,Base!I:I)</f>
        <v>#N/A</v>
      </c>
      <c r="E89" t="s">
        <v>719</v>
      </c>
      <c r="F89" t="s">
        <v>720</v>
      </c>
      <c r="G8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_xlfn.XLOOKUP(K90,Base!G:G,Base!I:I)</f>
        <v>#N/A</v>
      </c>
      <c r="E90" t="s">
        <v>182</v>
      </c>
      <c r="F90" t="s">
        <v>724</v>
      </c>
      <c r="G9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hidden="1" x14ac:dyDescent="0.25">
      <c r="A91" t="s">
        <v>730</v>
      </c>
      <c r="B91" t="str">
        <f>LEFT(Tabela3[[#This Row],[Ano/TIPO]],2)</f>
        <v>RL</v>
      </c>
      <c r="D91" t="e">
        <f>_xlfn.XLOOKUP(K91,Base!G:G,Base!I:I)</f>
        <v>#N/A</v>
      </c>
      <c r="E91" t="s">
        <v>49</v>
      </c>
      <c r="F91" t="s">
        <v>52</v>
      </c>
      <c r="G9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19"/>
    </row>
    <row r="100" spans="2:2" ht="18.75" x14ac:dyDescent="0.3">
      <c r="B100" s="19"/>
    </row>
    <row r="101" spans="2:2" ht="18.75" x14ac:dyDescent="0.3">
      <c r="B101" s="19"/>
    </row>
    <row r="102" spans="2:2" ht="18.75" x14ac:dyDescent="0.3">
      <c r="B102" s="19"/>
    </row>
    <row r="103" spans="2:2" ht="18.75" x14ac:dyDescent="0.3">
      <c r="B103" s="19"/>
    </row>
    <row r="104" spans="2:2" ht="18.75" x14ac:dyDescent="0.3">
      <c r="B104" s="19"/>
    </row>
    <row r="105" spans="2:2" ht="18.75" x14ac:dyDescent="0.3">
      <c r="B105" s="19"/>
    </row>
    <row r="106" spans="2:2" ht="18.75" x14ac:dyDescent="0.3">
      <c r="B106" s="19"/>
    </row>
    <row r="107" spans="2:2" ht="18.75" x14ac:dyDescent="0.3">
      <c r="B107" s="19"/>
    </row>
    <row r="108" spans="2:2" ht="18.75" x14ac:dyDescent="0.3">
      <c r="B108" s="19"/>
    </row>
    <row r="109" spans="2:2" ht="18.75" x14ac:dyDescent="0.3">
      <c r="B109" s="19"/>
    </row>
    <row r="110" spans="2:2" ht="18.75" x14ac:dyDescent="0.3">
      <c r="B110" s="19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C9" sqref="C9"/>
    </sheetView>
    <sheetView workbookViewId="1"/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1297</v>
      </c>
      <c r="B1" t="s">
        <v>1305</v>
      </c>
    </row>
    <row r="2" spans="1:5" x14ac:dyDescent="0.25">
      <c r="A2" s="5" t="s">
        <v>334</v>
      </c>
      <c r="B2" t="s">
        <v>1305</v>
      </c>
    </row>
    <row r="3" spans="1:5" x14ac:dyDescent="0.25">
      <c r="A3" s="5" t="s">
        <v>818</v>
      </c>
      <c r="B3" t="s">
        <v>1305</v>
      </c>
    </row>
    <row r="4" spans="1:5" x14ac:dyDescent="0.25">
      <c r="A4" s="5" t="s">
        <v>817</v>
      </c>
      <c r="B4" t="s">
        <v>1305</v>
      </c>
    </row>
    <row r="6" spans="1:5" x14ac:dyDescent="0.25">
      <c r="A6" s="5" t="s">
        <v>1044</v>
      </c>
      <c r="B6" s="5" t="s">
        <v>739</v>
      </c>
    </row>
    <row r="7" spans="1:5" x14ac:dyDescent="0.25">
      <c r="A7" s="5" t="s">
        <v>737</v>
      </c>
      <c r="B7" t="s">
        <v>907</v>
      </c>
      <c r="C7" t="s">
        <v>903</v>
      </c>
      <c r="D7" t="s">
        <v>1354</v>
      </c>
      <c r="E7" t="s">
        <v>738</v>
      </c>
    </row>
    <row r="8" spans="1:5" x14ac:dyDescent="0.25">
      <c r="A8" s="41" t="s">
        <v>823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41" t="s">
        <v>835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zoomScale="85" zoomScaleNormal="85" workbookViewId="0">
      <selection activeCell="A5" sqref="A5:R148"/>
    </sheetView>
    <sheetView workbookViewId="1"/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1041</v>
      </c>
      <c r="B1">
        <v>71</v>
      </c>
    </row>
    <row r="2" spans="1:18" x14ac:dyDescent="0.25">
      <c r="A2" t="s">
        <v>822</v>
      </c>
      <c r="B2">
        <v>54</v>
      </c>
    </row>
    <row r="3" spans="1:18" x14ac:dyDescent="0.25">
      <c r="A3" t="s">
        <v>862</v>
      </c>
      <c r="B3">
        <v>18</v>
      </c>
    </row>
    <row r="5" spans="1:18" x14ac:dyDescent="0.25">
      <c r="A5" t="s">
        <v>811</v>
      </c>
      <c r="B5" t="s">
        <v>0</v>
      </c>
      <c r="C5" t="s">
        <v>316</v>
      </c>
      <c r="D5" t="s">
        <v>812</v>
      </c>
      <c r="E5" t="s">
        <v>1</v>
      </c>
      <c r="F5" t="s">
        <v>334</v>
      </c>
      <c r="G5" t="s">
        <v>1326</v>
      </c>
      <c r="H5" t="s">
        <v>1327</v>
      </c>
      <c r="I5" t="s">
        <v>813</v>
      </c>
      <c r="J5" t="s">
        <v>1297</v>
      </c>
      <c r="K5" t="s">
        <v>814</v>
      </c>
      <c r="L5" t="s">
        <v>815</v>
      </c>
      <c r="M5" t="s">
        <v>816</v>
      </c>
      <c r="N5" t="s">
        <v>817</v>
      </c>
      <c r="O5" t="s">
        <v>818</v>
      </c>
      <c r="P5" t="s">
        <v>819</v>
      </c>
      <c r="Q5" t="s">
        <v>820</v>
      </c>
      <c r="R5" t="s">
        <v>821</v>
      </c>
    </row>
    <row r="6" spans="1:18" x14ac:dyDescent="0.25">
      <c r="A6" t="s">
        <v>822</v>
      </c>
      <c r="B6">
        <v>5800291035</v>
      </c>
      <c r="C6" t="s">
        <v>823</v>
      </c>
      <c r="D6" t="s">
        <v>265</v>
      </c>
      <c r="E6" t="s">
        <v>108</v>
      </c>
      <c r="F6" t="s">
        <v>824</v>
      </c>
      <c r="I6" s="39" t="s">
        <v>825</v>
      </c>
      <c r="J6" s="39" t="str">
        <f>RIGHT(Tabela4[[#This Row],[Desde]],4)</f>
        <v>2026</v>
      </c>
      <c r="K6">
        <v>7</v>
      </c>
      <c r="L6" t="s">
        <v>826</v>
      </c>
      <c r="O6" t="s">
        <v>353</v>
      </c>
      <c r="R6" t="s">
        <v>827</v>
      </c>
    </row>
    <row r="7" spans="1:18" x14ac:dyDescent="0.25">
      <c r="A7" t="s">
        <v>822</v>
      </c>
      <c r="B7" t="s">
        <v>68</v>
      </c>
      <c r="C7" t="s">
        <v>823</v>
      </c>
      <c r="D7" t="s">
        <v>73</v>
      </c>
      <c r="E7" t="s">
        <v>14</v>
      </c>
      <c r="F7" t="s">
        <v>71</v>
      </c>
      <c r="I7" s="39" t="s">
        <v>617</v>
      </c>
      <c r="J7" s="39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822</v>
      </c>
      <c r="B8" t="s">
        <v>157</v>
      </c>
      <c r="C8" t="s">
        <v>823</v>
      </c>
      <c r="D8" t="s">
        <v>42</v>
      </c>
      <c r="E8" t="s">
        <v>108</v>
      </c>
      <c r="F8" t="s">
        <v>160</v>
      </c>
      <c r="I8" s="39" t="s">
        <v>544</v>
      </c>
      <c r="J8" s="39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822</v>
      </c>
      <c r="B9" t="s">
        <v>88</v>
      </c>
      <c r="C9" t="s">
        <v>823</v>
      </c>
      <c r="D9" t="s">
        <v>67</v>
      </c>
      <c r="E9" t="s">
        <v>89</v>
      </c>
      <c r="F9" t="s">
        <v>92</v>
      </c>
      <c r="I9" s="39" t="s">
        <v>828</v>
      </c>
      <c r="J9" s="39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822</v>
      </c>
      <c r="B10" t="s">
        <v>288</v>
      </c>
      <c r="C10" t="s">
        <v>823</v>
      </c>
      <c r="D10" t="s">
        <v>291</v>
      </c>
      <c r="E10" t="s">
        <v>829</v>
      </c>
      <c r="F10" t="s">
        <v>289</v>
      </c>
      <c r="I10" s="39" t="s">
        <v>830</v>
      </c>
      <c r="J10" s="39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822</v>
      </c>
      <c r="B11" t="s">
        <v>252</v>
      </c>
      <c r="C11" t="s">
        <v>823</v>
      </c>
      <c r="D11" t="s">
        <v>144</v>
      </c>
      <c r="E11" t="s">
        <v>196</v>
      </c>
      <c r="F11" t="s">
        <v>255</v>
      </c>
      <c r="I11" s="39" t="s">
        <v>831</v>
      </c>
      <c r="J11" s="39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822</v>
      </c>
      <c r="B12" t="s">
        <v>107</v>
      </c>
      <c r="C12" t="s">
        <v>823</v>
      </c>
      <c r="D12" t="s">
        <v>112</v>
      </c>
      <c r="E12" t="s">
        <v>108</v>
      </c>
      <c r="F12" t="s">
        <v>110</v>
      </c>
      <c r="I12" s="39" t="s">
        <v>828</v>
      </c>
      <c r="J12" s="39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822</v>
      </c>
      <c r="B13" t="s">
        <v>195</v>
      </c>
      <c r="C13" t="s">
        <v>823</v>
      </c>
      <c r="D13" t="s">
        <v>201</v>
      </c>
      <c r="E13" t="s">
        <v>196</v>
      </c>
      <c r="F13" t="s">
        <v>199</v>
      </c>
      <c r="I13" s="39" t="s">
        <v>832</v>
      </c>
      <c r="J13" s="39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822</v>
      </c>
      <c r="B14" t="s">
        <v>270</v>
      </c>
      <c r="C14" t="s">
        <v>823</v>
      </c>
      <c r="D14" t="s">
        <v>41</v>
      </c>
      <c r="E14" t="s">
        <v>196</v>
      </c>
      <c r="F14" t="s">
        <v>272</v>
      </c>
      <c r="I14" s="39" t="s">
        <v>833</v>
      </c>
      <c r="J14" s="39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822</v>
      </c>
      <c r="B15" t="s">
        <v>273</v>
      </c>
      <c r="C15" t="s">
        <v>823</v>
      </c>
      <c r="D15" t="s">
        <v>278</v>
      </c>
      <c r="E15" t="s">
        <v>196</v>
      </c>
      <c r="F15" t="s">
        <v>276</v>
      </c>
      <c r="I15" s="39" t="s">
        <v>834</v>
      </c>
      <c r="J15" s="39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822</v>
      </c>
      <c r="B16" t="s">
        <v>248</v>
      </c>
      <c r="C16" t="s">
        <v>823</v>
      </c>
      <c r="D16" t="s">
        <v>41</v>
      </c>
      <c r="E16" t="s">
        <v>196</v>
      </c>
      <c r="F16" t="s">
        <v>250</v>
      </c>
      <c r="I16" s="39" t="s">
        <v>833</v>
      </c>
      <c r="J16" s="39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822</v>
      </c>
      <c r="B17" t="s">
        <v>75</v>
      </c>
      <c r="C17" t="s">
        <v>835</v>
      </c>
      <c r="D17" t="s">
        <v>80</v>
      </c>
      <c r="E17" t="s">
        <v>14</v>
      </c>
      <c r="F17" t="s">
        <v>78</v>
      </c>
      <c r="I17" s="39" t="s">
        <v>836</v>
      </c>
      <c r="J17" s="39" t="str">
        <f>RIGHT(Tabela4[[#This Row],[Desde]],4)</f>
        <v>2026</v>
      </c>
      <c r="K17">
        <v>113</v>
      </c>
      <c r="L17" t="s">
        <v>826</v>
      </c>
      <c r="O17" t="s">
        <v>353</v>
      </c>
      <c r="R17" t="s">
        <v>837</v>
      </c>
    </row>
    <row r="18" spans="1:18" x14ac:dyDescent="0.25">
      <c r="A18" t="s">
        <v>822</v>
      </c>
      <c r="B18" t="s">
        <v>186</v>
      </c>
      <c r="C18" t="s">
        <v>835</v>
      </c>
      <c r="D18" t="s">
        <v>170</v>
      </c>
      <c r="E18" t="s">
        <v>108</v>
      </c>
      <c r="F18" t="s">
        <v>188</v>
      </c>
      <c r="I18" s="39" t="s">
        <v>647</v>
      </c>
      <c r="J18" s="39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822</v>
      </c>
      <c r="B19" t="s">
        <v>133</v>
      </c>
      <c r="C19" t="s">
        <v>835</v>
      </c>
      <c r="D19" t="s">
        <v>138</v>
      </c>
      <c r="E19" t="s">
        <v>108</v>
      </c>
      <c r="F19" t="s">
        <v>136</v>
      </c>
      <c r="I19" s="39" t="s">
        <v>838</v>
      </c>
      <c r="J19" s="39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822</v>
      </c>
      <c r="B20" t="s">
        <v>234</v>
      </c>
      <c r="C20" t="s">
        <v>835</v>
      </c>
      <c r="D20" t="s">
        <v>156</v>
      </c>
      <c r="E20" t="s">
        <v>196</v>
      </c>
      <c r="F20" t="s">
        <v>236</v>
      </c>
      <c r="I20" s="39" t="s">
        <v>725</v>
      </c>
      <c r="J20" s="39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822</v>
      </c>
      <c r="B21" t="s">
        <v>113</v>
      </c>
      <c r="C21" t="s">
        <v>835</v>
      </c>
      <c r="D21" t="s">
        <v>20</v>
      </c>
      <c r="E21" t="s">
        <v>89</v>
      </c>
      <c r="F21" t="s">
        <v>116</v>
      </c>
      <c r="I21" s="39" t="s">
        <v>418</v>
      </c>
      <c r="J21" s="39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822</v>
      </c>
      <c r="B22" t="s">
        <v>44</v>
      </c>
      <c r="C22" t="s">
        <v>835</v>
      </c>
      <c r="D22" t="s">
        <v>20</v>
      </c>
      <c r="E22" t="s">
        <v>14</v>
      </c>
      <c r="F22" t="s">
        <v>47</v>
      </c>
      <c r="I22" s="39" t="s">
        <v>828</v>
      </c>
      <c r="J22" s="39" t="str">
        <f>RIGHT(Tabela4[[#This Row],[Desde]],4)</f>
        <v>2026</v>
      </c>
      <c r="K22">
        <v>29</v>
      </c>
      <c r="L22" t="s">
        <v>826</v>
      </c>
      <c r="O22" t="s">
        <v>353</v>
      </c>
      <c r="R22" t="s">
        <v>839</v>
      </c>
    </row>
    <row r="23" spans="1:18" x14ac:dyDescent="0.25">
      <c r="A23" t="s">
        <v>822</v>
      </c>
      <c r="B23" t="s">
        <v>202</v>
      </c>
      <c r="C23" t="s">
        <v>835</v>
      </c>
      <c r="D23" t="s">
        <v>207</v>
      </c>
      <c r="E23" t="s">
        <v>196</v>
      </c>
      <c r="F23" t="s">
        <v>205</v>
      </c>
      <c r="I23" s="39" t="s">
        <v>840</v>
      </c>
      <c r="J23" s="39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822</v>
      </c>
      <c r="B24" t="s">
        <v>162</v>
      </c>
      <c r="C24" t="s">
        <v>835</v>
      </c>
      <c r="D24" t="s">
        <v>166</v>
      </c>
      <c r="E24" t="s">
        <v>108</v>
      </c>
      <c r="F24" t="s">
        <v>164</v>
      </c>
      <c r="I24" s="39" t="s">
        <v>634</v>
      </c>
      <c r="J24" s="39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822</v>
      </c>
      <c r="B25" t="s">
        <v>661</v>
      </c>
      <c r="C25" t="s">
        <v>835</v>
      </c>
      <c r="D25" t="s">
        <v>73</v>
      </c>
      <c r="E25" t="s">
        <v>89</v>
      </c>
      <c r="F25" t="s">
        <v>841</v>
      </c>
      <c r="I25" s="39" t="s">
        <v>825</v>
      </c>
      <c r="J25" s="39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822</v>
      </c>
      <c r="B26" t="s">
        <v>237</v>
      </c>
      <c r="C26" t="s">
        <v>835</v>
      </c>
      <c r="D26" t="s">
        <v>240</v>
      </c>
      <c r="E26" t="s">
        <v>196</v>
      </c>
      <c r="F26" t="s">
        <v>239</v>
      </c>
      <c r="I26" s="39" t="s">
        <v>842</v>
      </c>
      <c r="J26" s="39" t="str">
        <f>RIGHT(Tabela4[[#This Row],[Desde]],4)</f>
        <v>2026</v>
      </c>
      <c r="K26">
        <v>27</v>
      </c>
      <c r="L26" t="s">
        <v>826</v>
      </c>
      <c r="O26" t="s">
        <v>353</v>
      </c>
      <c r="R26" t="s">
        <v>843</v>
      </c>
    </row>
    <row r="27" spans="1:18" x14ac:dyDescent="0.25">
      <c r="A27" t="s">
        <v>822</v>
      </c>
      <c r="B27" t="s">
        <v>241</v>
      </c>
      <c r="C27" t="s">
        <v>835</v>
      </c>
      <c r="D27" t="s">
        <v>246</v>
      </c>
      <c r="E27" t="s">
        <v>196</v>
      </c>
      <c r="F27" t="s">
        <v>244</v>
      </c>
      <c r="I27" s="39" t="s">
        <v>844</v>
      </c>
      <c r="J27" s="39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822</v>
      </c>
      <c r="B28" t="s">
        <v>753</v>
      </c>
      <c r="C28" t="s">
        <v>835</v>
      </c>
      <c r="D28" t="s">
        <v>247</v>
      </c>
      <c r="E28" t="s">
        <v>829</v>
      </c>
      <c r="F28" t="s">
        <v>845</v>
      </c>
      <c r="I28" s="39" t="s">
        <v>846</v>
      </c>
      <c r="J28" s="39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822</v>
      </c>
      <c r="B29" t="s">
        <v>256</v>
      </c>
      <c r="C29" t="s">
        <v>835</v>
      </c>
      <c r="D29" t="s">
        <v>212</v>
      </c>
      <c r="E29" t="s">
        <v>196</v>
      </c>
      <c r="F29" t="s">
        <v>258</v>
      </c>
      <c r="I29" s="39" t="s">
        <v>833</v>
      </c>
      <c r="J29" s="39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822</v>
      </c>
      <c r="B30" t="s">
        <v>118</v>
      </c>
      <c r="C30" t="s">
        <v>835</v>
      </c>
      <c r="D30" t="s">
        <v>123</v>
      </c>
      <c r="E30" t="s">
        <v>89</v>
      </c>
      <c r="F30" t="s">
        <v>121</v>
      </c>
      <c r="I30" s="39" t="s">
        <v>459</v>
      </c>
      <c r="J30" s="39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822</v>
      </c>
      <c r="B31" t="s">
        <v>208</v>
      </c>
      <c r="C31" t="s">
        <v>835</v>
      </c>
      <c r="D31" t="s">
        <v>212</v>
      </c>
      <c r="E31" t="s">
        <v>196</v>
      </c>
      <c r="F31" t="s">
        <v>210</v>
      </c>
      <c r="I31" s="39" t="s">
        <v>847</v>
      </c>
      <c r="J31" s="39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822</v>
      </c>
      <c r="B32" t="s">
        <v>13</v>
      </c>
      <c r="C32" t="s">
        <v>835</v>
      </c>
      <c r="D32" t="s">
        <v>20</v>
      </c>
      <c r="E32" t="s">
        <v>14</v>
      </c>
      <c r="F32" t="s">
        <v>18</v>
      </c>
      <c r="I32" s="39" t="s">
        <v>647</v>
      </c>
      <c r="J32" s="39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822</v>
      </c>
      <c r="B33" t="s">
        <v>754</v>
      </c>
      <c r="C33" t="s">
        <v>835</v>
      </c>
      <c r="D33" t="s">
        <v>20</v>
      </c>
      <c r="E33" t="s">
        <v>829</v>
      </c>
      <c r="F33" t="s">
        <v>848</v>
      </c>
      <c r="I33" s="39" t="s">
        <v>849</v>
      </c>
      <c r="J33" s="39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822</v>
      </c>
      <c r="B34" t="s">
        <v>213</v>
      </c>
      <c r="C34" t="s">
        <v>835</v>
      </c>
      <c r="D34" t="s">
        <v>27</v>
      </c>
      <c r="E34" t="s">
        <v>196</v>
      </c>
      <c r="F34" t="s">
        <v>216</v>
      </c>
      <c r="I34" s="39" t="s">
        <v>716</v>
      </c>
      <c r="J34" s="39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822</v>
      </c>
      <c r="B35" t="s">
        <v>167</v>
      </c>
      <c r="C35" t="s">
        <v>835</v>
      </c>
      <c r="D35" t="s">
        <v>170</v>
      </c>
      <c r="E35" t="s">
        <v>108</v>
      </c>
      <c r="F35" t="s">
        <v>169</v>
      </c>
      <c r="I35" s="39" t="s">
        <v>850</v>
      </c>
      <c r="J35" s="39" t="str">
        <f>RIGHT(Tabela4[[#This Row],[Desde]],4)</f>
        <v>2026</v>
      </c>
      <c r="K35">
        <v>141</v>
      </c>
      <c r="L35" t="s">
        <v>826</v>
      </c>
      <c r="O35" t="s">
        <v>353</v>
      </c>
      <c r="R35" t="s">
        <v>851</v>
      </c>
    </row>
    <row r="36" spans="1:18" x14ac:dyDescent="0.25">
      <c r="A36" t="s">
        <v>822</v>
      </c>
      <c r="B36" t="s">
        <v>49</v>
      </c>
      <c r="C36" t="s">
        <v>835</v>
      </c>
      <c r="D36" t="s">
        <v>54</v>
      </c>
      <c r="E36" t="s">
        <v>14</v>
      </c>
      <c r="F36" t="s">
        <v>52</v>
      </c>
      <c r="I36" s="39" t="s">
        <v>850</v>
      </c>
      <c r="J36" s="39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822</v>
      </c>
      <c r="B37" t="s">
        <v>81</v>
      </c>
      <c r="C37" t="s">
        <v>835</v>
      </c>
      <c r="D37" t="s">
        <v>86</v>
      </c>
      <c r="E37" t="s">
        <v>14</v>
      </c>
      <c r="F37" t="s">
        <v>84</v>
      </c>
      <c r="I37" s="39" t="s">
        <v>686</v>
      </c>
      <c r="J37" s="39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822</v>
      </c>
      <c r="B38" t="s">
        <v>94</v>
      </c>
      <c r="C38" t="s">
        <v>835</v>
      </c>
      <c r="D38" t="s">
        <v>99</v>
      </c>
      <c r="E38" t="s">
        <v>89</v>
      </c>
      <c r="F38" t="s">
        <v>97</v>
      </c>
      <c r="I38" s="39" t="s">
        <v>852</v>
      </c>
      <c r="J38" s="39" t="str">
        <f>RIGHT(Tabela4[[#This Row],[Desde]],4)</f>
        <v>2026</v>
      </c>
      <c r="K38">
        <v>117</v>
      </c>
      <c r="L38" t="s">
        <v>826</v>
      </c>
      <c r="O38" t="s">
        <v>353</v>
      </c>
      <c r="R38" t="s">
        <v>853</v>
      </c>
    </row>
    <row r="39" spans="1:18" x14ac:dyDescent="0.25">
      <c r="A39" t="s">
        <v>822</v>
      </c>
      <c r="B39" t="s">
        <v>260</v>
      </c>
      <c r="C39" t="s">
        <v>835</v>
      </c>
      <c r="D39" t="s">
        <v>265</v>
      </c>
      <c r="E39" t="s">
        <v>196</v>
      </c>
      <c r="F39" t="s">
        <v>263</v>
      </c>
      <c r="I39" s="39" t="s">
        <v>854</v>
      </c>
      <c r="J39" s="39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822</v>
      </c>
      <c r="B40" t="s">
        <v>171</v>
      </c>
      <c r="C40" t="s">
        <v>835</v>
      </c>
      <c r="D40" t="s">
        <v>176</v>
      </c>
      <c r="E40" t="s">
        <v>108</v>
      </c>
      <c r="F40" t="s">
        <v>174</v>
      </c>
      <c r="I40" s="39" t="s">
        <v>622</v>
      </c>
      <c r="J40" s="39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822</v>
      </c>
      <c r="B41" t="s">
        <v>62</v>
      </c>
      <c r="C41" t="s">
        <v>835</v>
      </c>
      <c r="D41" t="s">
        <v>67</v>
      </c>
      <c r="E41" t="s">
        <v>14</v>
      </c>
      <c r="F41" t="s">
        <v>65</v>
      </c>
      <c r="I41" s="39" t="s">
        <v>585</v>
      </c>
      <c r="J41" s="39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822</v>
      </c>
      <c r="B42" t="s">
        <v>218</v>
      </c>
      <c r="C42" t="s">
        <v>835</v>
      </c>
      <c r="D42" t="s">
        <v>67</v>
      </c>
      <c r="E42" t="s">
        <v>196</v>
      </c>
      <c r="F42" t="s">
        <v>221</v>
      </c>
      <c r="I42" s="39" t="s">
        <v>855</v>
      </c>
      <c r="J42" s="39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822</v>
      </c>
      <c r="B43" t="s">
        <v>125</v>
      </c>
      <c r="C43" t="s">
        <v>835</v>
      </c>
      <c r="D43" t="s">
        <v>74</v>
      </c>
      <c r="E43" t="s">
        <v>89</v>
      </c>
      <c r="F43" t="s">
        <v>128</v>
      </c>
      <c r="I43" s="39" t="s">
        <v>856</v>
      </c>
      <c r="J43" s="39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822</v>
      </c>
      <c r="B44" t="s">
        <v>139</v>
      </c>
      <c r="C44" t="s">
        <v>835</v>
      </c>
      <c r="D44" t="s">
        <v>143</v>
      </c>
      <c r="E44" t="s">
        <v>108</v>
      </c>
      <c r="F44" t="s">
        <v>141</v>
      </c>
      <c r="I44" s="39" t="s">
        <v>833</v>
      </c>
      <c r="J44" s="39" t="str">
        <f>RIGHT(Tabela4[[#This Row],[Desde]],4)</f>
        <v>2026</v>
      </c>
      <c r="K44">
        <v>22</v>
      </c>
      <c r="L44" t="s">
        <v>826</v>
      </c>
      <c r="O44" t="s">
        <v>353</v>
      </c>
      <c r="R44" t="s">
        <v>857</v>
      </c>
    </row>
    <row r="45" spans="1:18" x14ac:dyDescent="0.25">
      <c r="A45" t="s">
        <v>822</v>
      </c>
      <c r="B45" t="s">
        <v>222</v>
      </c>
      <c r="C45" t="s">
        <v>835</v>
      </c>
      <c r="D45" t="s">
        <v>143</v>
      </c>
      <c r="E45" t="s">
        <v>196</v>
      </c>
      <c r="F45" t="s">
        <v>224</v>
      </c>
      <c r="I45" s="39" t="s">
        <v>647</v>
      </c>
      <c r="J45" s="39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822</v>
      </c>
      <c r="B46" t="s">
        <v>189</v>
      </c>
      <c r="C46" t="s">
        <v>835</v>
      </c>
      <c r="D46" t="s">
        <v>193</v>
      </c>
      <c r="E46" t="s">
        <v>108</v>
      </c>
      <c r="F46" t="s">
        <v>191</v>
      </c>
      <c r="I46" s="39" t="s">
        <v>647</v>
      </c>
      <c r="J46" s="39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822</v>
      </c>
      <c r="B47" t="s">
        <v>279</v>
      </c>
      <c r="C47" t="s">
        <v>835</v>
      </c>
      <c r="D47" t="s">
        <v>155</v>
      </c>
      <c r="E47" t="s">
        <v>829</v>
      </c>
      <c r="F47" t="s">
        <v>282</v>
      </c>
      <c r="I47" s="39" t="s">
        <v>585</v>
      </c>
      <c r="J47" s="39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822</v>
      </c>
      <c r="B48" t="s">
        <v>129</v>
      </c>
      <c r="C48" t="s">
        <v>835</v>
      </c>
      <c r="D48" t="s">
        <v>67</v>
      </c>
      <c r="E48" t="s">
        <v>89</v>
      </c>
      <c r="F48" t="s">
        <v>131</v>
      </c>
      <c r="I48" s="39" t="s">
        <v>828</v>
      </c>
      <c r="J48" s="39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822</v>
      </c>
      <c r="B49" t="s">
        <v>22</v>
      </c>
      <c r="C49" t="s">
        <v>835</v>
      </c>
      <c r="D49" t="s">
        <v>28</v>
      </c>
      <c r="E49" t="s">
        <v>14</v>
      </c>
      <c r="F49" t="s">
        <v>25</v>
      </c>
      <c r="I49" s="39" t="s">
        <v>634</v>
      </c>
      <c r="J49" s="39" t="str">
        <f>RIGHT(Tabela4[[#This Row],[Desde]],4)</f>
        <v>2026</v>
      </c>
      <c r="K49">
        <v>175</v>
      </c>
      <c r="L49" t="s">
        <v>826</v>
      </c>
      <c r="O49" t="s">
        <v>353</v>
      </c>
      <c r="R49" t="s">
        <v>851</v>
      </c>
    </row>
    <row r="50" spans="1:18" x14ac:dyDescent="0.25">
      <c r="A50" t="s">
        <v>822</v>
      </c>
      <c r="B50" t="s">
        <v>178</v>
      </c>
      <c r="C50" t="s">
        <v>835</v>
      </c>
      <c r="D50" t="s">
        <v>42</v>
      </c>
      <c r="E50" t="s">
        <v>108</v>
      </c>
      <c r="F50" t="s">
        <v>181</v>
      </c>
      <c r="I50" s="39" t="s">
        <v>467</v>
      </c>
      <c r="J50" s="39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822</v>
      </c>
      <c r="B51" t="s">
        <v>145</v>
      </c>
      <c r="C51" t="s">
        <v>835</v>
      </c>
      <c r="D51" t="s">
        <v>149</v>
      </c>
      <c r="E51" t="s">
        <v>108</v>
      </c>
      <c r="F51" t="s">
        <v>147</v>
      </c>
      <c r="I51" s="39" t="s">
        <v>647</v>
      </c>
      <c r="J51" s="39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822</v>
      </c>
      <c r="B52" t="s">
        <v>266</v>
      </c>
      <c r="C52" t="s">
        <v>835</v>
      </c>
      <c r="D52" t="s">
        <v>106</v>
      </c>
      <c r="E52" t="s">
        <v>196</v>
      </c>
      <c r="F52" t="s">
        <v>269</v>
      </c>
      <c r="I52" s="39" t="s">
        <v>858</v>
      </c>
      <c r="J52" s="39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822</v>
      </c>
      <c r="B53" t="s">
        <v>226</v>
      </c>
      <c r="C53" t="s">
        <v>835</v>
      </c>
      <c r="D53" t="s">
        <v>230</v>
      </c>
      <c r="E53" t="s">
        <v>196</v>
      </c>
      <c r="F53" t="s">
        <v>229</v>
      </c>
      <c r="I53" s="39" t="s">
        <v>558</v>
      </c>
      <c r="J53" s="39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822</v>
      </c>
      <c r="B54" t="s">
        <v>150</v>
      </c>
      <c r="C54" t="s">
        <v>835</v>
      </c>
      <c r="D54" t="s">
        <v>155</v>
      </c>
      <c r="E54" t="s">
        <v>108</v>
      </c>
      <c r="F54" t="s">
        <v>153</v>
      </c>
      <c r="I54" s="39" t="s">
        <v>725</v>
      </c>
      <c r="J54" s="39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822</v>
      </c>
      <c r="B55" t="s">
        <v>30</v>
      </c>
      <c r="C55" t="s">
        <v>835</v>
      </c>
      <c r="D55" t="s">
        <v>34</v>
      </c>
      <c r="E55" t="s">
        <v>14</v>
      </c>
      <c r="F55" t="s">
        <v>32</v>
      </c>
      <c r="I55" s="39" t="s">
        <v>847</v>
      </c>
      <c r="J55" s="39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822</v>
      </c>
      <c r="B56" t="s">
        <v>284</v>
      </c>
      <c r="C56" t="s">
        <v>835</v>
      </c>
      <c r="D56" t="s">
        <v>287</v>
      </c>
      <c r="E56" t="s">
        <v>829</v>
      </c>
      <c r="F56" t="s">
        <v>285</v>
      </c>
      <c r="I56" s="39" t="s">
        <v>716</v>
      </c>
      <c r="J56" s="39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822</v>
      </c>
      <c r="B57" t="s">
        <v>755</v>
      </c>
      <c r="C57" t="s">
        <v>835</v>
      </c>
      <c r="D57" t="s">
        <v>156</v>
      </c>
      <c r="E57" t="s">
        <v>196</v>
      </c>
      <c r="F57" t="s">
        <v>859</v>
      </c>
      <c r="I57" s="39" t="s">
        <v>825</v>
      </c>
      <c r="J57" s="39" t="str">
        <f>RIGHT(Tabela4[[#This Row],[Desde]],4)</f>
        <v>2026</v>
      </c>
      <c r="K57">
        <v>7</v>
      </c>
      <c r="L57" t="s">
        <v>826</v>
      </c>
      <c r="O57" t="s">
        <v>353</v>
      </c>
      <c r="R57" t="s">
        <v>839</v>
      </c>
    </row>
    <row r="58" spans="1:18" x14ac:dyDescent="0.25">
      <c r="A58" t="s">
        <v>822</v>
      </c>
      <c r="B58" t="s">
        <v>231</v>
      </c>
      <c r="C58" t="s">
        <v>835</v>
      </c>
      <c r="D58" t="s">
        <v>106</v>
      </c>
      <c r="E58" t="s">
        <v>196</v>
      </c>
      <c r="F58" t="s">
        <v>233</v>
      </c>
      <c r="I58" s="39" t="s">
        <v>847</v>
      </c>
      <c r="J58" s="39" t="str">
        <f>RIGHT(Tabela4[[#This Row],[Desde]],4)</f>
        <v>2026</v>
      </c>
      <c r="K58">
        <v>41</v>
      </c>
      <c r="L58" t="s">
        <v>826</v>
      </c>
      <c r="O58" t="s">
        <v>353</v>
      </c>
      <c r="R58" t="s">
        <v>860</v>
      </c>
    </row>
    <row r="59" spans="1:18" x14ac:dyDescent="0.25">
      <c r="A59" t="s">
        <v>822</v>
      </c>
      <c r="B59" t="s">
        <v>182</v>
      </c>
      <c r="C59" t="s">
        <v>835</v>
      </c>
      <c r="D59" t="s">
        <v>156</v>
      </c>
      <c r="E59" t="s">
        <v>108</v>
      </c>
      <c r="F59" t="s">
        <v>184</v>
      </c>
      <c r="I59" s="39" t="s">
        <v>847</v>
      </c>
      <c r="J59" s="39" t="str">
        <f>RIGHT(Tabela4[[#This Row],[Desde]],4)</f>
        <v>2026</v>
      </c>
      <c r="K59">
        <v>41</v>
      </c>
      <c r="L59" t="s">
        <v>826</v>
      </c>
      <c r="O59" t="s">
        <v>353</v>
      </c>
      <c r="R59" t="s">
        <v>861</v>
      </c>
    </row>
    <row r="60" spans="1:18" x14ac:dyDescent="0.25">
      <c r="A60" t="s">
        <v>862</v>
      </c>
      <c r="B60" t="s">
        <v>501</v>
      </c>
      <c r="C60" t="s">
        <v>823</v>
      </c>
      <c r="D60" t="s">
        <v>863</v>
      </c>
      <c r="E60" t="s">
        <v>89</v>
      </c>
      <c r="F60" t="s">
        <v>864</v>
      </c>
      <c r="I60" s="39" t="s">
        <v>865</v>
      </c>
      <c r="J60" s="39" t="str">
        <f>RIGHT(Tabela4[[#This Row],[Desde]],4)</f>
        <v>2026</v>
      </c>
      <c r="K60">
        <v>19</v>
      </c>
      <c r="O60" t="s">
        <v>346</v>
      </c>
      <c r="P60" t="s">
        <v>866</v>
      </c>
      <c r="Q60" t="s">
        <v>867</v>
      </c>
      <c r="R60" t="s">
        <v>868</v>
      </c>
    </row>
    <row r="61" spans="1:18" x14ac:dyDescent="0.25">
      <c r="A61" t="s">
        <v>862</v>
      </c>
      <c r="B61" t="s">
        <v>756</v>
      </c>
      <c r="C61" t="s">
        <v>823</v>
      </c>
      <c r="D61" t="s">
        <v>144</v>
      </c>
      <c r="E61" t="s">
        <v>108</v>
      </c>
      <c r="F61" t="s">
        <v>869</v>
      </c>
      <c r="I61" s="39" t="s">
        <v>847</v>
      </c>
      <c r="J61" s="39" t="str">
        <f>RIGHT(Tabela4[[#This Row],[Desde]],4)</f>
        <v>2026</v>
      </c>
      <c r="K61">
        <v>41</v>
      </c>
      <c r="O61" t="s">
        <v>346</v>
      </c>
      <c r="P61" t="s">
        <v>866</v>
      </c>
      <c r="Q61" t="s">
        <v>867</v>
      </c>
      <c r="R61" t="s">
        <v>868</v>
      </c>
    </row>
    <row r="62" spans="1:18" x14ac:dyDescent="0.25">
      <c r="A62" t="s">
        <v>862</v>
      </c>
      <c r="B62" t="s">
        <v>514</v>
      </c>
      <c r="C62" t="s">
        <v>823</v>
      </c>
      <c r="D62" t="s">
        <v>870</v>
      </c>
      <c r="E62" t="s">
        <v>14</v>
      </c>
      <c r="F62" t="s">
        <v>871</v>
      </c>
      <c r="I62" s="39" t="s">
        <v>872</v>
      </c>
      <c r="J62" s="39" t="str">
        <f>RIGHT(Tabela4[[#This Row],[Desde]],4)</f>
        <v>2026</v>
      </c>
      <c r="K62">
        <v>21</v>
      </c>
      <c r="O62" t="s">
        <v>346</v>
      </c>
      <c r="P62" t="s">
        <v>873</v>
      </c>
      <c r="Q62" t="s">
        <v>874</v>
      </c>
      <c r="R62" t="s">
        <v>868</v>
      </c>
    </row>
    <row r="63" spans="1:18" x14ac:dyDescent="0.25">
      <c r="A63" t="s">
        <v>862</v>
      </c>
      <c r="B63" t="s">
        <v>35</v>
      </c>
      <c r="C63" t="s">
        <v>823</v>
      </c>
      <c r="D63" t="s">
        <v>41</v>
      </c>
      <c r="E63" t="s">
        <v>14</v>
      </c>
      <c r="F63" t="s">
        <v>39</v>
      </c>
      <c r="I63" s="39" t="s">
        <v>833</v>
      </c>
      <c r="J63" s="39" t="str">
        <f>RIGHT(Tabela4[[#This Row],[Desde]],4)</f>
        <v>2026</v>
      </c>
      <c r="K63">
        <v>22</v>
      </c>
      <c r="O63" t="s">
        <v>346</v>
      </c>
      <c r="P63" t="s">
        <v>875</v>
      </c>
      <c r="Q63" t="s">
        <v>876</v>
      </c>
      <c r="R63" t="s">
        <v>868</v>
      </c>
    </row>
    <row r="64" spans="1:18" x14ac:dyDescent="0.25">
      <c r="A64" t="s">
        <v>862</v>
      </c>
      <c r="B64" t="s">
        <v>757</v>
      </c>
      <c r="C64" t="s">
        <v>823</v>
      </c>
      <c r="D64" t="s">
        <v>877</v>
      </c>
      <c r="E64" t="s">
        <v>89</v>
      </c>
      <c r="F64" t="s">
        <v>878</v>
      </c>
      <c r="I64" s="39" t="s">
        <v>879</v>
      </c>
      <c r="J64" s="39" t="str">
        <f>RIGHT(Tabela4[[#This Row],[Desde]],4)</f>
        <v>2026</v>
      </c>
      <c r="K64">
        <v>1</v>
      </c>
      <c r="O64" t="s">
        <v>346</v>
      </c>
      <c r="P64" t="s">
        <v>880</v>
      </c>
      <c r="Q64" t="s">
        <v>867</v>
      </c>
      <c r="R64" t="s">
        <v>868</v>
      </c>
    </row>
    <row r="65" spans="1:18" x14ac:dyDescent="0.25">
      <c r="A65" t="s">
        <v>862</v>
      </c>
      <c r="B65" t="s">
        <v>403</v>
      </c>
      <c r="C65" t="s">
        <v>835</v>
      </c>
      <c r="D65" t="s">
        <v>99</v>
      </c>
      <c r="E65" t="s">
        <v>14</v>
      </c>
      <c r="F65" t="s">
        <v>881</v>
      </c>
      <c r="I65" s="39" t="s">
        <v>830</v>
      </c>
      <c r="J65" s="39" t="str">
        <f>RIGHT(Tabela4[[#This Row],[Desde]],4)</f>
        <v>2026</v>
      </c>
      <c r="K65">
        <v>28</v>
      </c>
      <c r="O65" t="s">
        <v>346</v>
      </c>
      <c r="P65" t="s">
        <v>873</v>
      </c>
      <c r="Q65" t="s">
        <v>874</v>
      </c>
      <c r="R65" t="s">
        <v>868</v>
      </c>
    </row>
    <row r="66" spans="1:18" x14ac:dyDescent="0.25">
      <c r="A66" t="s">
        <v>862</v>
      </c>
      <c r="B66" t="s">
        <v>342</v>
      </c>
      <c r="C66" t="s">
        <v>835</v>
      </c>
      <c r="D66" t="s">
        <v>882</v>
      </c>
      <c r="E66" t="s">
        <v>14</v>
      </c>
      <c r="F66" t="s">
        <v>883</v>
      </c>
      <c r="I66" s="39" t="s">
        <v>879</v>
      </c>
      <c r="J66" s="39" t="str">
        <f>RIGHT(Tabela4[[#This Row],[Desde]],4)</f>
        <v>2026</v>
      </c>
      <c r="K66">
        <v>1</v>
      </c>
      <c r="O66" t="s">
        <v>346</v>
      </c>
      <c r="P66" t="s">
        <v>880</v>
      </c>
      <c r="Q66" t="s">
        <v>867</v>
      </c>
      <c r="R66" t="s">
        <v>868</v>
      </c>
    </row>
    <row r="67" spans="1:18" x14ac:dyDescent="0.25">
      <c r="A67" t="s">
        <v>862</v>
      </c>
      <c r="B67" t="s">
        <v>350</v>
      </c>
      <c r="C67" t="s">
        <v>835</v>
      </c>
      <c r="D67" t="s">
        <v>207</v>
      </c>
      <c r="E67" t="s">
        <v>89</v>
      </c>
      <c r="F67" t="s">
        <v>884</v>
      </c>
      <c r="I67" s="39" t="s">
        <v>828</v>
      </c>
      <c r="J67" s="39" t="str">
        <f>RIGHT(Tabela4[[#This Row],[Desde]],4)</f>
        <v>2026</v>
      </c>
      <c r="K67">
        <v>29</v>
      </c>
      <c r="O67" t="s">
        <v>346</v>
      </c>
      <c r="P67" t="s">
        <v>873</v>
      </c>
      <c r="Q67" t="s">
        <v>874</v>
      </c>
      <c r="R67" t="s">
        <v>868</v>
      </c>
    </row>
    <row r="68" spans="1:18" x14ac:dyDescent="0.25">
      <c r="A68" t="s">
        <v>862</v>
      </c>
      <c r="B68" t="s">
        <v>380</v>
      </c>
      <c r="C68" t="s">
        <v>835</v>
      </c>
      <c r="D68" t="s">
        <v>74</v>
      </c>
      <c r="E68" t="s">
        <v>14</v>
      </c>
      <c r="F68" t="s">
        <v>885</v>
      </c>
      <c r="I68" s="39" t="s">
        <v>716</v>
      </c>
      <c r="J68" s="39" t="str">
        <f>RIGHT(Tabela4[[#This Row],[Desde]],4)</f>
        <v>2026</v>
      </c>
      <c r="K68">
        <v>33</v>
      </c>
      <c r="O68" t="s">
        <v>346</v>
      </c>
      <c r="P68" t="s">
        <v>886</v>
      </c>
      <c r="Q68" t="s">
        <v>867</v>
      </c>
      <c r="R68" t="s">
        <v>868</v>
      </c>
    </row>
    <row r="69" spans="1:18" x14ac:dyDescent="0.25">
      <c r="A69" t="s">
        <v>862</v>
      </c>
      <c r="B69" t="s">
        <v>758</v>
      </c>
      <c r="C69" t="s">
        <v>835</v>
      </c>
      <c r="D69" t="s">
        <v>27</v>
      </c>
      <c r="E69" t="s">
        <v>829</v>
      </c>
      <c r="F69" t="s">
        <v>887</v>
      </c>
      <c r="I69" s="39" t="s">
        <v>888</v>
      </c>
      <c r="J69" s="39" t="str">
        <f>RIGHT(Tabela4[[#This Row],[Desde]],4)</f>
        <v>2026</v>
      </c>
      <c r="K69">
        <v>88</v>
      </c>
      <c r="O69" t="s">
        <v>346</v>
      </c>
      <c r="P69" t="s">
        <v>889</v>
      </c>
      <c r="Q69" t="s">
        <v>876</v>
      </c>
      <c r="R69" t="s">
        <v>868</v>
      </c>
    </row>
    <row r="70" spans="1:18" x14ac:dyDescent="0.25">
      <c r="A70" t="s">
        <v>862</v>
      </c>
      <c r="B70" t="s">
        <v>759</v>
      </c>
      <c r="C70" t="s">
        <v>835</v>
      </c>
      <c r="D70" t="s">
        <v>212</v>
      </c>
      <c r="E70" t="s">
        <v>14</v>
      </c>
      <c r="F70" t="s">
        <v>890</v>
      </c>
      <c r="I70" s="39" t="s">
        <v>872</v>
      </c>
      <c r="J70" s="39" t="str">
        <f>RIGHT(Tabela4[[#This Row],[Desde]],4)</f>
        <v>2026</v>
      </c>
      <c r="K70">
        <v>21</v>
      </c>
      <c r="O70" t="s">
        <v>346</v>
      </c>
      <c r="P70" t="s">
        <v>873</v>
      </c>
      <c r="Q70" t="s">
        <v>874</v>
      </c>
      <c r="R70" t="s">
        <v>868</v>
      </c>
    </row>
    <row r="71" spans="1:18" x14ac:dyDescent="0.25">
      <c r="A71" t="s">
        <v>862</v>
      </c>
      <c r="B71" t="s">
        <v>56</v>
      </c>
      <c r="C71" t="s">
        <v>835</v>
      </c>
      <c r="D71" t="s">
        <v>61</v>
      </c>
      <c r="E71" t="s">
        <v>14</v>
      </c>
      <c r="F71" t="s">
        <v>59</v>
      </c>
      <c r="I71" s="39" t="s">
        <v>891</v>
      </c>
      <c r="J71" s="39" t="str">
        <f>RIGHT(Tabela4[[#This Row],[Desde]],4)</f>
        <v>2026</v>
      </c>
      <c r="K71">
        <v>43</v>
      </c>
      <c r="O71" t="s">
        <v>346</v>
      </c>
      <c r="P71" t="s">
        <v>875</v>
      </c>
      <c r="Q71" t="s">
        <v>876</v>
      </c>
      <c r="R71" t="s">
        <v>868</v>
      </c>
    </row>
    <row r="72" spans="1:18" x14ac:dyDescent="0.25">
      <c r="A72" t="s">
        <v>862</v>
      </c>
      <c r="B72" t="s">
        <v>442</v>
      </c>
      <c r="C72" t="s">
        <v>835</v>
      </c>
      <c r="D72" t="s">
        <v>892</v>
      </c>
      <c r="E72" t="s">
        <v>89</v>
      </c>
      <c r="F72" t="s">
        <v>893</v>
      </c>
      <c r="I72" s="39" t="s">
        <v>828</v>
      </c>
      <c r="J72" s="39" t="str">
        <f>RIGHT(Tabela4[[#This Row],[Desde]],4)</f>
        <v>2026</v>
      </c>
      <c r="K72">
        <v>29</v>
      </c>
      <c r="O72" t="s">
        <v>346</v>
      </c>
      <c r="P72" t="s">
        <v>873</v>
      </c>
      <c r="Q72" t="s">
        <v>874</v>
      </c>
      <c r="R72" t="s">
        <v>868</v>
      </c>
    </row>
    <row r="73" spans="1:18" x14ac:dyDescent="0.25">
      <c r="A73" t="s">
        <v>862</v>
      </c>
      <c r="B73" t="s">
        <v>693</v>
      </c>
      <c r="C73" t="s">
        <v>835</v>
      </c>
      <c r="D73" t="s">
        <v>67</v>
      </c>
      <c r="E73" t="s">
        <v>89</v>
      </c>
      <c r="F73" t="s">
        <v>894</v>
      </c>
      <c r="I73" s="39" t="s">
        <v>830</v>
      </c>
      <c r="J73" s="39" t="str">
        <f>RIGHT(Tabela4[[#This Row],[Desde]],4)</f>
        <v>2026</v>
      </c>
      <c r="K73">
        <v>28</v>
      </c>
      <c r="O73" t="s">
        <v>346</v>
      </c>
      <c r="P73" t="s">
        <v>873</v>
      </c>
      <c r="Q73" t="s">
        <v>874</v>
      </c>
      <c r="R73" t="s">
        <v>868</v>
      </c>
    </row>
    <row r="74" spans="1:18" x14ac:dyDescent="0.25">
      <c r="A74" t="s">
        <v>862</v>
      </c>
      <c r="B74" t="s">
        <v>642</v>
      </c>
      <c r="C74" t="s">
        <v>835</v>
      </c>
      <c r="D74" t="s">
        <v>895</v>
      </c>
      <c r="E74" t="s">
        <v>14</v>
      </c>
      <c r="F74" t="s">
        <v>896</v>
      </c>
      <c r="I74" s="39" t="s">
        <v>897</v>
      </c>
      <c r="J74" s="39" t="str">
        <f>RIGHT(Tabela4[[#This Row],[Desde]],4)</f>
        <v>2026</v>
      </c>
      <c r="K74">
        <v>5</v>
      </c>
      <c r="O74" t="s">
        <v>346</v>
      </c>
      <c r="P74" t="s">
        <v>866</v>
      </c>
      <c r="Q74" t="s">
        <v>867</v>
      </c>
      <c r="R74" t="s">
        <v>868</v>
      </c>
    </row>
    <row r="75" spans="1:18" x14ac:dyDescent="0.25">
      <c r="A75" t="s">
        <v>862</v>
      </c>
      <c r="B75" t="s">
        <v>711</v>
      </c>
      <c r="C75" t="s">
        <v>835</v>
      </c>
      <c r="D75" t="s">
        <v>73</v>
      </c>
      <c r="E75" t="s">
        <v>14</v>
      </c>
      <c r="F75" t="s">
        <v>898</v>
      </c>
      <c r="I75" s="39" t="s">
        <v>879</v>
      </c>
      <c r="J75" s="39" t="str">
        <f>RIGHT(Tabela4[[#This Row],[Desde]],4)</f>
        <v>2026</v>
      </c>
      <c r="K75">
        <v>1</v>
      </c>
      <c r="O75" t="s">
        <v>346</v>
      </c>
      <c r="P75" t="s">
        <v>880</v>
      </c>
      <c r="Q75" t="s">
        <v>867</v>
      </c>
      <c r="R75" t="s">
        <v>868</v>
      </c>
    </row>
    <row r="76" spans="1:18" x14ac:dyDescent="0.25">
      <c r="A76" t="s">
        <v>862</v>
      </c>
      <c r="B76" t="s">
        <v>760</v>
      </c>
      <c r="C76" t="s">
        <v>835</v>
      </c>
      <c r="D76" t="s">
        <v>28</v>
      </c>
      <c r="E76" t="s">
        <v>108</v>
      </c>
      <c r="F76" t="s">
        <v>899</v>
      </c>
      <c r="I76" s="39" t="s">
        <v>830</v>
      </c>
      <c r="J76" s="39" t="str">
        <f>RIGHT(Tabela4[[#This Row],[Desde]],4)</f>
        <v>2026</v>
      </c>
      <c r="K76">
        <v>28</v>
      </c>
      <c r="O76" t="s">
        <v>346</v>
      </c>
      <c r="P76" t="s">
        <v>873</v>
      </c>
      <c r="Q76" t="s">
        <v>874</v>
      </c>
      <c r="R76" t="s">
        <v>868</v>
      </c>
    </row>
    <row r="77" spans="1:18" x14ac:dyDescent="0.25">
      <c r="A77" t="s">
        <v>862</v>
      </c>
      <c r="B77" t="s">
        <v>719</v>
      </c>
      <c r="C77" t="s">
        <v>835</v>
      </c>
      <c r="D77" t="s">
        <v>73</v>
      </c>
      <c r="E77" t="s">
        <v>89</v>
      </c>
      <c r="F77" t="s">
        <v>900</v>
      </c>
      <c r="I77" s="39" t="s">
        <v>872</v>
      </c>
      <c r="J77" s="39" t="str">
        <f>RIGHT(Tabela4[[#This Row],[Desde]],4)</f>
        <v>2026</v>
      </c>
      <c r="K77">
        <v>21</v>
      </c>
      <c r="O77" t="s">
        <v>346</v>
      </c>
      <c r="P77" t="s">
        <v>873</v>
      </c>
      <c r="Q77" t="s">
        <v>874</v>
      </c>
      <c r="R77" t="s">
        <v>868</v>
      </c>
    </row>
    <row r="78" spans="1:18" x14ac:dyDescent="0.25">
      <c r="A78" t="s">
        <v>901</v>
      </c>
      <c r="B78" t="s">
        <v>598</v>
      </c>
      <c r="C78" t="s">
        <v>823</v>
      </c>
      <c r="D78" t="s">
        <v>902</v>
      </c>
      <c r="E78" t="s">
        <v>108</v>
      </c>
      <c r="F78" t="s">
        <v>599</v>
      </c>
      <c r="I78" s="39" t="s">
        <v>585</v>
      </c>
      <c r="J78" s="39" t="str">
        <f>RIGHT(Tabela4[[#This Row],[Desde]],4)</f>
        <v>2026</v>
      </c>
      <c r="K78">
        <v>102</v>
      </c>
      <c r="M78" t="s">
        <v>903</v>
      </c>
      <c r="N78" t="s">
        <v>904</v>
      </c>
      <c r="O78" t="s">
        <v>346</v>
      </c>
      <c r="R78" t="s">
        <v>905</v>
      </c>
    </row>
    <row r="79" spans="1:18" x14ac:dyDescent="0.25">
      <c r="A79" t="s">
        <v>901</v>
      </c>
      <c r="B79" t="s">
        <v>761</v>
      </c>
      <c r="C79" t="s">
        <v>823</v>
      </c>
      <c r="D79" t="s">
        <v>86</v>
      </c>
      <c r="E79" t="s">
        <v>14</v>
      </c>
      <c r="F79" t="s">
        <v>906</v>
      </c>
      <c r="I79" s="39" t="s">
        <v>725</v>
      </c>
      <c r="J79" s="39" t="str">
        <f>RIGHT(Tabela4[[#This Row],[Desde]],4)</f>
        <v>2026</v>
      </c>
      <c r="K79">
        <v>49</v>
      </c>
      <c r="M79" t="s">
        <v>907</v>
      </c>
      <c r="N79" t="s">
        <v>866</v>
      </c>
      <c r="O79" t="s">
        <v>353</v>
      </c>
      <c r="R79" t="s">
        <v>908</v>
      </c>
    </row>
    <row r="80" spans="1:18" x14ac:dyDescent="0.25">
      <c r="A80" t="s">
        <v>901</v>
      </c>
      <c r="B80" t="s">
        <v>611</v>
      </c>
      <c r="C80" t="s">
        <v>823</v>
      </c>
      <c r="D80" t="s">
        <v>909</v>
      </c>
      <c r="E80" t="s">
        <v>89</v>
      </c>
      <c r="F80" t="s">
        <v>910</v>
      </c>
      <c r="I80" s="39" t="s">
        <v>911</v>
      </c>
      <c r="J80" s="39" t="str">
        <f>RIGHT(Tabela4[[#This Row],[Desde]],4)</f>
        <v>2026</v>
      </c>
      <c r="K80">
        <v>235</v>
      </c>
      <c r="M80" t="s">
        <v>907</v>
      </c>
      <c r="N80" t="s">
        <v>866</v>
      </c>
      <c r="O80" t="s">
        <v>353</v>
      </c>
      <c r="R80" t="s">
        <v>912</v>
      </c>
    </row>
    <row r="81" spans="1:18" x14ac:dyDescent="0.25">
      <c r="A81" t="s">
        <v>901</v>
      </c>
      <c r="B81" t="s">
        <v>507</v>
      </c>
      <c r="C81" t="s">
        <v>823</v>
      </c>
      <c r="D81" t="s">
        <v>913</v>
      </c>
      <c r="E81" t="s">
        <v>108</v>
      </c>
      <c r="F81" t="s">
        <v>914</v>
      </c>
      <c r="I81" s="39" t="s">
        <v>897</v>
      </c>
      <c r="J81" s="39" t="str">
        <f>RIGHT(Tabela4[[#This Row],[Desde]],4)</f>
        <v>2026</v>
      </c>
      <c r="K81">
        <v>390</v>
      </c>
      <c r="M81" t="s">
        <v>907</v>
      </c>
      <c r="N81" t="s">
        <v>866</v>
      </c>
      <c r="O81" t="s">
        <v>346</v>
      </c>
      <c r="R81" t="s">
        <v>912</v>
      </c>
    </row>
    <row r="82" spans="1:18" x14ac:dyDescent="0.25">
      <c r="A82" t="s">
        <v>901</v>
      </c>
      <c r="B82" t="s">
        <v>588</v>
      </c>
      <c r="C82" t="s">
        <v>823</v>
      </c>
      <c r="D82" t="s">
        <v>915</v>
      </c>
      <c r="E82" t="s">
        <v>14</v>
      </c>
      <c r="F82" t="s">
        <v>916</v>
      </c>
      <c r="I82" s="39" t="s">
        <v>897</v>
      </c>
      <c r="J82" s="39" t="str">
        <f>RIGHT(Tabela4[[#This Row],[Desde]],4)</f>
        <v>2026</v>
      </c>
      <c r="K82">
        <v>77</v>
      </c>
      <c r="M82" t="s">
        <v>907</v>
      </c>
      <c r="N82" t="s">
        <v>866</v>
      </c>
      <c r="O82" t="s">
        <v>346</v>
      </c>
      <c r="R82" t="s">
        <v>912</v>
      </c>
    </row>
    <row r="83" spans="1:18" x14ac:dyDescent="0.25">
      <c r="A83" t="s">
        <v>901</v>
      </c>
      <c r="B83" t="s">
        <v>620</v>
      </c>
      <c r="C83" t="s">
        <v>823</v>
      </c>
      <c r="D83" t="s">
        <v>99</v>
      </c>
      <c r="E83" t="s">
        <v>89</v>
      </c>
      <c r="F83" t="s">
        <v>621</v>
      </c>
      <c r="I83" s="39" t="s">
        <v>917</v>
      </c>
      <c r="J83" s="39" t="str">
        <f>RIGHT(Tabela4[[#This Row],[Desde]],4)</f>
        <v>2026</v>
      </c>
      <c r="K83">
        <v>133</v>
      </c>
      <c r="M83" t="s">
        <v>907</v>
      </c>
      <c r="N83" t="s">
        <v>918</v>
      </c>
      <c r="O83" t="s">
        <v>346</v>
      </c>
      <c r="R83" t="s">
        <v>919</v>
      </c>
    </row>
    <row r="84" spans="1:18" x14ac:dyDescent="0.25">
      <c r="A84" t="s">
        <v>901</v>
      </c>
      <c r="B84" t="s">
        <v>762</v>
      </c>
      <c r="C84" t="s">
        <v>823</v>
      </c>
      <c r="D84" t="s">
        <v>920</v>
      </c>
      <c r="E84" t="s">
        <v>829</v>
      </c>
      <c r="F84" t="s">
        <v>921</v>
      </c>
      <c r="I84" s="39" t="s">
        <v>922</v>
      </c>
      <c r="J84" s="39" t="str">
        <f>RIGHT(Tabela4[[#This Row],[Desde]],4)</f>
        <v>2026</v>
      </c>
      <c r="K84">
        <v>270</v>
      </c>
      <c r="M84" t="s">
        <v>903</v>
      </c>
      <c r="N84" t="s">
        <v>904</v>
      </c>
      <c r="O84" t="s">
        <v>346</v>
      </c>
      <c r="R84" t="s">
        <v>923</v>
      </c>
    </row>
    <row r="85" spans="1:18" x14ac:dyDescent="0.25">
      <c r="A85" t="s">
        <v>901</v>
      </c>
      <c r="B85" t="s">
        <v>565</v>
      </c>
      <c r="C85" t="s">
        <v>823</v>
      </c>
      <c r="D85" t="s">
        <v>924</v>
      </c>
      <c r="E85" t="s">
        <v>108</v>
      </c>
      <c r="F85" t="s">
        <v>925</v>
      </c>
      <c r="I85" s="39" t="s">
        <v>872</v>
      </c>
      <c r="J85" s="39" t="str">
        <f>RIGHT(Tabela4[[#This Row],[Desde]],4)</f>
        <v>2026</v>
      </c>
      <c r="K85">
        <v>334</v>
      </c>
      <c r="M85" t="s">
        <v>907</v>
      </c>
      <c r="N85" t="s">
        <v>918</v>
      </c>
      <c r="O85" t="s">
        <v>346</v>
      </c>
      <c r="R85" t="s">
        <v>926</v>
      </c>
    </row>
    <row r="86" spans="1:18" x14ac:dyDescent="0.25">
      <c r="A86" t="s">
        <v>901</v>
      </c>
      <c r="B86" t="s">
        <v>763</v>
      </c>
      <c r="C86" t="s">
        <v>823</v>
      </c>
      <c r="D86" t="s">
        <v>927</v>
      </c>
      <c r="E86" t="s">
        <v>829</v>
      </c>
      <c r="F86" t="s">
        <v>928</v>
      </c>
      <c r="I86" s="39" t="s">
        <v>888</v>
      </c>
      <c r="J86" s="39" t="str">
        <f>RIGHT(Tabela4[[#This Row],[Desde]],4)</f>
        <v>2026</v>
      </c>
      <c r="K86">
        <v>617</v>
      </c>
      <c r="M86" t="s">
        <v>903</v>
      </c>
      <c r="N86" t="s">
        <v>904</v>
      </c>
      <c r="O86" t="s">
        <v>346</v>
      </c>
      <c r="R86" t="s">
        <v>923</v>
      </c>
    </row>
    <row r="87" spans="1:18" x14ac:dyDescent="0.25">
      <c r="A87" t="s">
        <v>901</v>
      </c>
      <c r="B87" t="s">
        <v>764</v>
      </c>
      <c r="C87" t="s">
        <v>823</v>
      </c>
      <c r="D87" t="s">
        <v>67</v>
      </c>
      <c r="E87" t="s">
        <v>829</v>
      </c>
      <c r="F87" t="s">
        <v>929</v>
      </c>
      <c r="I87" s="39" t="s">
        <v>922</v>
      </c>
      <c r="J87" s="39" t="str">
        <f>RIGHT(Tabela4[[#This Row],[Desde]],4)</f>
        <v>2026</v>
      </c>
      <c r="K87">
        <v>293</v>
      </c>
      <c r="M87" t="s">
        <v>903</v>
      </c>
      <c r="N87" t="s">
        <v>904</v>
      </c>
      <c r="O87" t="s">
        <v>346</v>
      </c>
      <c r="R87" t="s">
        <v>923</v>
      </c>
    </row>
    <row r="88" spans="1:18" x14ac:dyDescent="0.25">
      <c r="A88" t="s">
        <v>901</v>
      </c>
      <c r="B88" t="s">
        <v>765</v>
      </c>
      <c r="C88" t="s">
        <v>823</v>
      </c>
      <c r="D88" t="s">
        <v>930</v>
      </c>
      <c r="E88" t="s">
        <v>14</v>
      </c>
      <c r="F88" t="s">
        <v>931</v>
      </c>
      <c r="I88" s="39" t="s">
        <v>932</v>
      </c>
      <c r="J88" s="39" t="str">
        <f>RIGHT(Tabela4[[#This Row],[Desde]],4)</f>
        <v>2026</v>
      </c>
      <c r="K88">
        <v>302</v>
      </c>
      <c r="M88" t="s">
        <v>907</v>
      </c>
      <c r="N88" t="s">
        <v>866</v>
      </c>
      <c r="O88" t="s">
        <v>346</v>
      </c>
      <c r="R88" t="s">
        <v>912</v>
      </c>
    </row>
    <row r="89" spans="1:18" x14ac:dyDescent="0.25">
      <c r="A89" t="s">
        <v>901</v>
      </c>
      <c r="B89" t="s">
        <v>520</v>
      </c>
      <c r="C89" t="s">
        <v>823</v>
      </c>
      <c r="D89" t="s">
        <v>933</v>
      </c>
      <c r="E89" t="s">
        <v>196</v>
      </c>
      <c r="F89" t="s">
        <v>526</v>
      </c>
      <c r="I89" s="39" t="s">
        <v>854</v>
      </c>
      <c r="J89" s="39" t="str">
        <f>RIGHT(Tabela4[[#This Row],[Desde]],4)</f>
        <v>2026</v>
      </c>
      <c r="K89">
        <v>242</v>
      </c>
      <c r="M89" t="s">
        <v>907</v>
      </c>
      <c r="N89" t="s">
        <v>904</v>
      </c>
      <c r="O89" t="s">
        <v>353</v>
      </c>
      <c r="R89" t="s">
        <v>912</v>
      </c>
    </row>
    <row r="90" spans="1:18" x14ac:dyDescent="0.25">
      <c r="A90" t="s">
        <v>901</v>
      </c>
      <c r="B90" t="s">
        <v>579</v>
      </c>
      <c r="C90" t="s">
        <v>823</v>
      </c>
      <c r="D90" t="s">
        <v>934</v>
      </c>
      <c r="E90" t="s">
        <v>196</v>
      </c>
      <c r="F90" t="s">
        <v>580</v>
      </c>
      <c r="I90" s="39" t="s">
        <v>832</v>
      </c>
      <c r="J90" s="39" t="str">
        <f>RIGHT(Tabela4[[#This Row],[Desde]],4)</f>
        <v>2026</v>
      </c>
      <c r="K90">
        <v>351</v>
      </c>
      <c r="M90" t="s">
        <v>907</v>
      </c>
      <c r="N90" t="s">
        <v>935</v>
      </c>
      <c r="O90" t="s">
        <v>346</v>
      </c>
      <c r="R90" t="s">
        <v>936</v>
      </c>
    </row>
    <row r="91" spans="1:18" x14ac:dyDescent="0.25">
      <c r="A91" t="s">
        <v>901</v>
      </c>
      <c r="B91" t="s">
        <v>552</v>
      </c>
      <c r="C91" t="s">
        <v>823</v>
      </c>
      <c r="D91" t="s">
        <v>55</v>
      </c>
      <c r="E91" t="s">
        <v>108</v>
      </c>
      <c r="F91" t="s">
        <v>937</v>
      </c>
      <c r="I91" s="39" t="s">
        <v>585</v>
      </c>
      <c r="J91" s="39" t="str">
        <f>RIGHT(Tabela4[[#This Row],[Desde]],4)</f>
        <v>2026</v>
      </c>
      <c r="K91">
        <v>332</v>
      </c>
      <c r="M91" t="s">
        <v>903</v>
      </c>
      <c r="N91" t="s">
        <v>904</v>
      </c>
      <c r="O91" t="s">
        <v>346</v>
      </c>
      <c r="R91" t="s">
        <v>905</v>
      </c>
    </row>
    <row r="92" spans="1:18" x14ac:dyDescent="0.25">
      <c r="A92" t="s">
        <v>901</v>
      </c>
      <c r="B92" t="s">
        <v>766</v>
      </c>
      <c r="C92" t="s">
        <v>823</v>
      </c>
      <c r="D92" t="s">
        <v>938</v>
      </c>
      <c r="E92" t="s">
        <v>108</v>
      </c>
      <c r="F92" t="s">
        <v>939</v>
      </c>
      <c r="I92" s="39" t="s">
        <v>940</v>
      </c>
      <c r="J92" s="39" t="str">
        <f>RIGHT(Tabela4[[#This Row],[Desde]],4)</f>
        <v>2026</v>
      </c>
      <c r="K92">
        <v>56</v>
      </c>
      <c r="M92" t="s">
        <v>903</v>
      </c>
      <c r="N92" t="s">
        <v>918</v>
      </c>
      <c r="O92" t="s">
        <v>346</v>
      </c>
      <c r="R92" t="s">
        <v>923</v>
      </c>
    </row>
    <row r="93" spans="1:18" x14ac:dyDescent="0.25">
      <c r="A93" t="s">
        <v>901</v>
      </c>
      <c r="B93" t="s">
        <v>767</v>
      </c>
      <c r="C93" t="s">
        <v>823</v>
      </c>
      <c r="D93" t="s">
        <v>941</v>
      </c>
      <c r="E93" t="s">
        <v>829</v>
      </c>
      <c r="F93" t="s">
        <v>942</v>
      </c>
      <c r="I93" s="39" t="s">
        <v>922</v>
      </c>
      <c r="J93" s="39" t="str">
        <f>RIGHT(Tabela4[[#This Row],[Desde]],4)</f>
        <v>2026</v>
      </c>
      <c r="K93">
        <v>756</v>
      </c>
      <c r="M93" t="s">
        <v>903</v>
      </c>
      <c r="N93" t="s">
        <v>904</v>
      </c>
      <c r="O93" t="s">
        <v>346</v>
      </c>
      <c r="R93" t="s">
        <v>923</v>
      </c>
    </row>
    <row r="94" spans="1:18" x14ac:dyDescent="0.25">
      <c r="A94" t="s">
        <v>901</v>
      </c>
      <c r="B94" t="s">
        <v>768</v>
      </c>
      <c r="C94" t="s">
        <v>823</v>
      </c>
      <c r="D94" t="s">
        <v>943</v>
      </c>
      <c r="E94" t="s">
        <v>829</v>
      </c>
      <c r="F94" t="s">
        <v>944</v>
      </c>
      <c r="I94" s="39" t="s">
        <v>945</v>
      </c>
      <c r="J94" s="39" t="str">
        <f>RIGHT(Tabela4[[#This Row],[Desde]],4)</f>
        <v>2026</v>
      </c>
      <c r="K94">
        <v>585</v>
      </c>
      <c r="M94" t="s">
        <v>903</v>
      </c>
      <c r="N94" t="s">
        <v>904</v>
      </c>
      <c r="O94" t="s">
        <v>346</v>
      </c>
      <c r="R94" t="s">
        <v>923</v>
      </c>
    </row>
    <row r="95" spans="1:18" x14ac:dyDescent="0.25">
      <c r="A95" t="s">
        <v>901</v>
      </c>
      <c r="B95" t="s">
        <v>769</v>
      </c>
      <c r="C95" t="s">
        <v>823</v>
      </c>
      <c r="D95" t="s">
        <v>946</v>
      </c>
      <c r="E95" t="s">
        <v>829</v>
      </c>
      <c r="F95" t="s">
        <v>947</v>
      </c>
      <c r="I95" s="39" t="s">
        <v>922</v>
      </c>
      <c r="J95" s="39" t="str">
        <f>RIGHT(Tabela4[[#This Row],[Desde]],4)</f>
        <v>2026</v>
      </c>
      <c r="K95">
        <v>455</v>
      </c>
      <c r="M95" t="s">
        <v>903</v>
      </c>
      <c r="N95" t="s">
        <v>904</v>
      </c>
      <c r="O95" t="s">
        <v>346</v>
      </c>
      <c r="R95" t="s">
        <v>923</v>
      </c>
    </row>
    <row r="96" spans="1:18" x14ac:dyDescent="0.25">
      <c r="A96" t="s">
        <v>901</v>
      </c>
      <c r="B96" t="s">
        <v>770</v>
      </c>
      <c r="C96" t="s">
        <v>823</v>
      </c>
      <c r="D96" t="s">
        <v>176</v>
      </c>
      <c r="E96" t="s">
        <v>829</v>
      </c>
      <c r="F96" t="s">
        <v>948</v>
      </c>
      <c r="I96" s="39" t="s">
        <v>922</v>
      </c>
      <c r="J96" s="39" t="str">
        <f>RIGHT(Tabela4[[#This Row],[Desde]],4)</f>
        <v>2026</v>
      </c>
      <c r="K96">
        <v>315</v>
      </c>
      <c r="M96" t="s">
        <v>903</v>
      </c>
      <c r="N96" t="s">
        <v>904</v>
      </c>
      <c r="O96" t="s">
        <v>346</v>
      </c>
      <c r="R96" t="s">
        <v>923</v>
      </c>
    </row>
    <row r="97" spans="1:18" x14ac:dyDescent="0.25">
      <c r="A97" t="s">
        <v>901</v>
      </c>
      <c r="B97" t="s">
        <v>771</v>
      </c>
      <c r="C97" t="s">
        <v>823</v>
      </c>
      <c r="D97" t="s">
        <v>144</v>
      </c>
      <c r="E97" t="s">
        <v>829</v>
      </c>
      <c r="F97" t="s">
        <v>949</v>
      </c>
      <c r="I97" s="39" t="s">
        <v>945</v>
      </c>
      <c r="J97" s="39" t="str">
        <f>RIGHT(Tabela4[[#This Row],[Desde]],4)</f>
        <v>2026</v>
      </c>
      <c r="K97">
        <v>399</v>
      </c>
      <c r="M97" t="s">
        <v>903</v>
      </c>
      <c r="N97" t="s">
        <v>904</v>
      </c>
      <c r="O97" t="s">
        <v>346</v>
      </c>
      <c r="R97" t="s">
        <v>923</v>
      </c>
    </row>
    <row r="98" spans="1:18" x14ac:dyDescent="0.25">
      <c r="A98" t="s">
        <v>901</v>
      </c>
      <c r="B98" t="s">
        <v>772</v>
      </c>
      <c r="C98" t="s">
        <v>823</v>
      </c>
      <c r="D98" t="s">
        <v>863</v>
      </c>
      <c r="E98" t="s">
        <v>829</v>
      </c>
      <c r="F98" t="s">
        <v>950</v>
      </c>
      <c r="I98" s="39" t="s">
        <v>922</v>
      </c>
      <c r="J98" s="39" t="str">
        <f>RIGHT(Tabela4[[#This Row],[Desde]],4)</f>
        <v>2026</v>
      </c>
      <c r="K98">
        <v>462</v>
      </c>
      <c r="M98" t="s">
        <v>903</v>
      </c>
      <c r="N98" t="s">
        <v>904</v>
      </c>
      <c r="O98" t="s">
        <v>346</v>
      </c>
      <c r="R98" t="s">
        <v>923</v>
      </c>
    </row>
    <row r="99" spans="1:18" x14ac:dyDescent="0.25">
      <c r="A99" t="s">
        <v>901</v>
      </c>
      <c r="B99" t="s">
        <v>773</v>
      </c>
      <c r="C99" t="s">
        <v>823</v>
      </c>
      <c r="D99" t="s">
        <v>55</v>
      </c>
      <c r="E99" t="s">
        <v>829</v>
      </c>
      <c r="F99" t="s">
        <v>951</v>
      </c>
      <c r="I99" s="39" t="s">
        <v>922</v>
      </c>
      <c r="J99" s="39" t="str">
        <f>RIGHT(Tabela4[[#This Row],[Desde]],4)</f>
        <v>2026</v>
      </c>
      <c r="K99">
        <v>348</v>
      </c>
      <c r="M99" t="s">
        <v>903</v>
      </c>
      <c r="N99" t="s">
        <v>904</v>
      </c>
      <c r="O99" t="s">
        <v>346</v>
      </c>
      <c r="R99" t="s">
        <v>923</v>
      </c>
    </row>
    <row r="100" spans="1:18" x14ac:dyDescent="0.25">
      <c r="A100" t="s">
        <v>901</v>
      </c>
      <c r="B100" t="s">
        <v>774</v>
      </c>
      <c r="C100" t="s">
        <v>823</v>
      </c>
      <c r="D100" t="s">
        <v>67</v>
      </c>
      <c r="E100" t="s">
        <v>829</v>
      </c>
      <c r="F100" t="s">
        <v>952</v>
      </c>
      <c r="I100" s="39" t="s">
        <v>953</v>
      </c>
      <c r="J100" s="39" t="str">
        <f>RIGHT(Tabela4[[#This Row],[Desde]],4)</f>
        <v>2026</v>
      </c>
      <c r="K100">
        <v>207</v>
      </c>
      <c r="M100" t="s">
        <v>907</v>
      </c>
      <c r="N100" t="s">
        <v>873</v>
      </c>
      <c r="O100" t="s">
        <v>353</v>
      </c>
      <c r="R100" t="s">
        <v>912</v>
      </c>
    </row>
    <row r="101" spans="1:18" x14ac:dyDescent="0.25">
      <c r="A101" t="s">
        <v>901</v>
      </c>
      <c r="B101" t="s">
        <v>775</v>
      </c>
      <c r="C101" t="s">
        <v>823</v>
      </c>
      <c r="D101" t="s">
        <v>87</v>
      </c>
      <c r="E101" t="s">
        <v>829</v>
      </c>
      <c r="F101" t="s">
        <v>954</v>
      </c>
      <c r="I101" s="39" t="s">
        <v>922</v>
      </c>
      <c r="J101" s="39" t="str">
        <f>RIGHT(Tabela4[[#This Row],[Desde]],4)</f>
        <v>2026</v>
      </c>
      <c r="K101">
        <v>238</v>
      </c>
      <c r="M101" t="s">
        <v>903</v>
      </c>
      <c r="N101" t="s">
        <v>904</v>
      </c>
      <c r="O101" t="s">
        <v>346</v>
      </c>
      <c r="R101" t="s">
        <v>923</v>
      </c>
    </row>
    <row r="102" spans="1:18" x14ac:dyDescent="0.25">
      <c r="A102" t="s">
        <v>901</v>
      </c>
      <c r="B102" t="s">
        <v>776</v>
      </c>
      <c r="C102" t="s">
        <v>823</v>
      </c>
      <c r="D102" t="s">
        <v>882</v>
      </c>
      <c r="E102" t="s">
        <v>829</v>
      </c>
      <c r="F102" t="s">
        <v>955</v>
      </c>
      <c r="I102" s="39" t="s">
        <v>922</v>
      </c>
      <c r="J102" s="39" t="str">
        <f>RIGHT(Tabela4[[#This Row],[Desde]],4)</f>
        <v>2026</v>
      </c>
      <c r="K102">
        <v>362</v>
      </c>
      <c r="M102" t="s">
        <v>903</v>
      </c>
      <c r="N102" t="s">
        <v>904</v>
      </c>
      <c r="O102" t="s">
        <v>346</v>
      </c>
      <c r="R102" t="s">
        <v>923</v>
      </c>
    </row>
    <row r="103" spans="1:18" x14ac:dyDescent="0.25">
      <c r="A103" t="s">
        <v>901</v>
      </c>
      <c r="B103" t="s">
        <v>777</v>
      </c>
      <c r="C103" t="s">
        <v>823</v>
      </c>
      <c r="D103" t="s">
        <v>67</v>
      </c>
      <c r="E103" t="s">
        <v>829</v>
      </c>
      <c r="F103" t="s">
        <v>956</v>
      </c>
      <c r="I103" s="39" t="s">
        <v>658</v>
      </c>
      <c r="J103" s="39" t="str">
        <f>RIGHT(Tabela4[[#This Row],[Desde]],4)</f>
        <v>2026</v>
      </c>
      <c r="K103">
        <v>112</v>
      </c>
      <c r="M103" t="s">
        <v>903</v>
      </c>
      <c r="N103" t="s">
        <v>866</v>
      </c>
      <c r="O103" t="s">
        <v>346</v>
      </c>
      <c r="R103" t="s">
        <v>923</v>
      </c>
    </row>
    <row r="104" spans="1:18" x14ac:dyDescent="0.25">
      <c r="A104" t="s">
        <v>901</v>
      </c>
      <c r="B104" t="s">
        <v>778</v>
      </c>
      <c r="C104" t="s">
        <v>835</v>
      </c>
      <c r="D104" t="s">
        <v>957</v>
      </c>
      <c r="E104" t="s">
        <v>829</v>
      </c>
      <c r="F104" t="s">
        <v>958</v>
      </c>
      <c r="I104" s="39" t="s">
        <v>922</v>
      </c>
      <c r="J104" s="39" t="str">
        <f>RIGHT(Tabela4[[#This Row],[Desde]],4)</f>
        <v>2026</v>
      </c>
      <c r="K104">
        <v>498</v>
      </c>
      <c r="M104" t="s">
        <v>903</v>
      </c>
      <c r="N104" t="s">
        <v>904</v>
      </c>
      <c r="O104" t="s">
        <v>346</v>
      </c>
      <c r="R104" t="s">
        <v>923</v>
      </c>
    </row>
    <row r="105" spans="1:18" x14ac:dyDescent="0.25">
      <c r="A105" t="s">
        <v>901</v>
      </c>
      <c r="B105" t="s">
        <v>412</v>
      </c>
      <c r="C105" t="s">
        <v>835</v>
      </c>
      <c r="D105" t="s">
        <v>20</v>
      </c>
      <c r="E105" t="s">
        <v>89</v>
      </c>
      <c r="F105" t="s">
        <v>959</v>
      </c>
      <c r="I105" s="39" t="s">
        <v>960</v>
      </c>
      <c r="J105" s="39" t="str">
        <f>RIGHT(Tabela4[[#This Row],[Desde]],4)</f>
        <v>2026</v>
      </c>
      <c r="K105">
        <v>305</v>
      </c>
      <c r="M105" t="s">
        <v>907</v>
      </c>
      <c r="N105" t="s">
        <v>866</v>
      </c>
      <c r="O105" t="s">
        <v>346</v>
      </c>
      <c r="R105" t="s">
        <v>912</v>
      </c>
    </row>
    <row r="106" spans="1:18" x14ac:dyDescent="0.25">
      <c r="A106" t="s">
        <v>901</v>
      </c>
      <c r="B106" t="s">
        <v>779</v>
      </c>
      <c r="C106" t="s">
        <v>835</v>
      </c>
      <c r="D106" t="s">
        <v>924</v>
      </c>
      <c r="E106" t="s">
        <v>829</v>
      </c>
      <c r="F106" t="s">
        <v>961</v>
      </c>
      <c r="I106" s="39" t="s">
        <v>962</v>
      </c>
      <c r="J106" s="39" t="str">
        <f>RIGHT(Tabela4[[#This Row],[Desde]],4)</f>
        <v>2026</v>
      </c>
      <c r="K106">
        <v>1096</v>
      </c>
      <c r="M106" t="s">
        <v>903</v>
      </c>
      <c r="N106" t="s">
        <v>918</v>
      </c>
      <c r="O106" t="s">
        <v>346</v>
      </c>
      <c r="R106" t="s">
        <v>923</v>
      </c>
    </row>
    <row r="107" spans="1:18" x14ac:dyDescent="0.25">
      <c r="A107" t="s">
        <v>901</v>
      </c>
      <c r="B107" t="s">
        <v>780</v>
      </c>
      <c r="C107" t="s">
        <v>835</v>
      </c>
      <c r="D107" t="s">
        <v>963</v>
      </c>
      <c r="E107" t="s">
        <v>829</v>
      </c>
      <c r="F107" t="s">
        <v>964</v>
      </c>
      <c r="I107" s="39" t="s">
        <v>922</v>
      </c>
      <c r="J107" s="39" t="str">
        <f>RIGHT(Tabela4[[#This Row],[Desde]],4)</f>
        <v>2026</v>
      </c>
      <c r="K107">
        <v>372</v>
      </c>
      <c r="M107" t="s">
        <v>903</v>
      </c>
      <c r="N107" t="s">
        <v>904</v>
      </c>
      <c r="O107" t="s">
        <v>346</v>
      </c>
      <c r="R107" t="s">
        <v>965</v>
      </c>
    </row>
    <row r="108" spans="1:18" x14ac:dyDescent="0.25">
      <c r="A108" t="s">
        <v>901</v>
      </c>
      <c r="B108" t="s">
        <v>781</v>
      </c>
      <c r="C108" t="s">
        <v>835</v>
      </c>
      <c r="D108" t="s">
        <v>74</v>
      </c>
      <c r="E108" t="s">
        <v>196</v>
      </c>
      <c r="F108" t="s">
        <v>966</v>
      </c>
      <c r="I108" s="39" t="s">
        <v>917</v>
      </c>
      <c r="J108" s="39" t="str">
        <f>RIGHT(Tabela4[[#This Row],[Desde]],4)</f>
        <v>2026</v>
      </c>
      <c r="K108">
        <v>138</v>
      </c>
      <c r="M108" t="s">
        <v>903</v>
      </c>
      <c r="N108" t="s">
        <v>873</v>
      </c>
      <c r="O108" t="s">
        <v>346</v>
      </c>
      <c r="R108" t="s">
        <v>905</v>
      </c>
    </row>
    <row r="109" spans="1:18" x14ac:dyDescent="0.25">
      <c r="A109" t="s">
        <v>901</v>
      </c>
      <c r="B109" t="s">
        <v>782</v>
      </c>
      <c r="C109" t="s">
        <v>835</v>
      </c>
      <c r="D109" t="s">
        <v>967</v>
      </c>
      <c r="E109" t="s">
        <v>196</v>
      </c>
      <c r="F109" t="s">
        <v>968</v>
      </c>
      <c r="I109" s="39" t="s">
        <v>585</v>
      </c>
      <c r="J109" s="39" t="str">
        <f>RIGHT(Tabela4[[#This Row],[Desde]],4)</f>
        <v>2026</v>
      </c>
      <c r="K109">
        <v>413</v>
      </c>
      <c r="M109" t="s">
        <v>903</v>
      </c>
      <c r="N109" t="s">
        <v>904</v>
      </c>
      <c r="O109" t="s">
        <v>346</v>
      </c>
      <c r="R109" t="s">
        <v>905</v>
      </c>
    </row>
    <row r="110" spans="1:18" x14ac:dyDescent="0.25">
      <c r="A110" t="s">
        <v>901</v>
      </c>
      <c r="B110" t="s">
        <v>783</v>
      </c>
      <c r="C110" t="s">
        <v>835</v>
      </c>
      <c r="D110" t="s">
        <v>969</v>
      </c>
      <c r="E110" t="s">
        <v>829</v>
      </c>
      <c r="F110" t="s">
        <v>970</v>
      </c>
      <c r="I110" s="39" t="s">
        <v>962</v>
      </c>
      <c r="J110" s="39" t="str">
        <f>RIGHT(Tabela4[[#This Row],[Desde]],4)</f>
        <v>2026</v>
      </c>
      <c r="K110">
        <v>315</v>
      </c>
      <c r="M110" t="s">
        <v>903</v>
      </c>
      <c r="N110" t="s">
        <v>918</v>
      </c>
      <c r="O110" t="s">
        <v>346</v>
      </c>
      <c r="R110" t="s">
        <v>905</v>
      </c>
    </row>
    <row r="111" spans="1:18" x14ac:dyDescent="0.25">
      <c r="A111" t="s">
        <v>901</v>
      </c>
      <c r="B111" t="s">
        <v>784</v>
      </c>
      <c r="C111" t="s">
        <v>835</v>
      </c>
      <c r="D111" t="s">
        <v>971</v>
      </c>
      <c r="E111" t="s">
        <v>14</v>
      </c>
      <c r="F111" t="s">
        <v>972</v>
      </c>
      <c r="I111" s="39" t="s">
        <v>973</v>
      </c>
      <c r="J111" s="39" t="str">
        <f>RIGHT(Tabela4[[#This Row],[Desde]],4)</f>
        <v>2026</v>
      </c>
      <c r="K111">
        <v>253</v>
      </c>
      <c r="M111" t="s">
        <v>903</v>
      </c>
      <c r="N111" t="s">
        <v>935</v>
      </c>
      <c r="O111" t="s">
        <v>346</v>
      </c>
      <c r="R111" t="s">
        <v>905</v>
      </c>
    </row>
    <row r="112" spans="1:18" x14ac:dyDescent="0.25">
      <c r="A112" t="s">
        <v>901</v>
      </c>
      <c r="B112" t="s">
        <v>785</v>
      </c>
      <c r="C112" t="s">
        <v>835</v>
      </c>
      <c r="D112" t="s">
        <v>895</v>
      </c>
      <c r="E112" t="s">
        <v>829</v>
      </c>
      <c r="F112" t="s">
        <v>974</v>
      </c>
      <c r="I112" s="39" t="s">
        <v>975</v>
      </c>
      <c r="J112" s="39" t="str">
        <f>RIGHT(Tabela4[[#This Row],[Desde]],4)</f>
        <v>2026</v>
      </c>
      <c r="K112">
        <v>11</v>
      </c>
      <c r="M112" t="s">
        <v>907</v>
      </c>
      <c r="N112" t="s">
        <v>935</v>
      </c>
      <c r="O112" t="s">
        <v>346</v>
      </c>
      <c r="R112" t="s">
        <v>912</v>
      </c>
    </row>
    <row r="113" spans="1:18" x14ac:dyDescent="0.25">
      <c r="A113" t="s">
        <v>901</v>
      </c>
      <c r="B113" t="s">
        <v>786</v>
      </c>
      <c r="C113" t="s">
        <v>835</v>
      </c>
      <c r="D113" t="s">
        <v>930</v>
      </c>
      <c r="E113" t="s">
        <v>829</v>
      </c>
      <c r="F113" t="s">
        <v>976</v>
      </c>
      <c r="I113" s="39" t="s">
        <v>922</v>
      </c>
      <c r="J113" s="39" t="str">
        <f>RIGHT(Tabela4[[#This Row],[Desde]],4)</f>
        <v>2026</v>
      </c>
      <c r="K113">
        <v>372</v>
      </c>
      <c r="M113" t="s">
        <v>903</v>
      </c>
      <c r="N113" t="s">
        <v>904</v>
      </c>
      <c r="O113" t="s">
        <v>346</v>
      </c>
      <c r="R113" t="s">
        <v>923</v>
      </c>
    </row>
    <row r="114" spans="1:18" x14ac:dyDescent="0.25">
      <c r="A114" t="s">
        <v>901</v>
      </c>
      <c r="B114" t="s">
        <v>787</v>
      </c>
      <c r="C114" t="s">
        <v>835</v>
      </c>
      <c r="D114" t="s">
        <v>99</v>
      </c>
      <c r="E114" t="s">
        <v>829</v>
      </c>
      <c r="F114" t="s">
        <v>977</v>
      </c>
      <c r="I114" s="39" t="s">
        <v>978</v>
      </c>
      <c r="J114" s="39" t="str">
        <f>RIGHT(Tabela4[[#This Row],[Desde]],4)</f>
        <v>2026</v>
      </c>
      <c r="K114">
        <v>483</v>
      </c>
      <c r="M114" t="s">
        <v>903</v>
      </c>
      <c r="N114" t="s">
        <v>904</v>
      </c>
      <c r="O114" t="s">
        <v>346</v>
      </c>
      <c r="R114" t="s">
        <v>923</v>
      </c>
    </row>
    <row r="115" spans="1:18" x14ac:dyDescent="0.25">
      <c r="A115" t="s">
        <v>901</v>
      </c>
      <c r="B115" t="s">
        <v>788</v>
      </c>
      <c r="C115" t="s">
        <v>835</v>
      </c>
      <c r="D115" t="s">
        <v>42</v>
      </c>
      <c r="E115" t="s">
        <v>196</v>
      </c>
      <c r="F115" t="s">
        <v>979</v>
      </c>
      <c r="I115" s="39" t="s">
        <v>945</v>
      </c>
      <c r="J115" s="39" t="str">
        <f>RIGHT(Tabela4[[#This Row],[Desde]],4)</f>
        <v>2026</v>
      </c>
      <c r="K115">
        <v>439</v>
      </c>
      <c r="M115" t="s">
        <v>903</v>
      </c>
      <c r="N115" t="s">
        <v>904</v>
      </c>
      <c r="O115" t="s">
        <v>346</v>
      </c>
      <c r="R115" t="s">
        <v>923</v>
      </c>
    </row>
    <row r="116" spans="1:18" x14ac:dyDescent="0.25">
      <c r="A116" t="s">
        <v>901</v>
      </c>
      <c r="B116" t="s">
        <v>666</v>
      </c>
      <c r="C116" t="s">
        <v>835</v>
      </c>
      <c r="D116" t="s">
        <v>913</v>
      </c>
      <c r="E116" t="s">
        <v>196</v>
      </c>
      <c r="F116" t="s">
        <v>980</v>
      </c>
      <c r="I116" s="39" t="s">
        <v>847</v>
      </c>
      <c r="J116" s="39" t="str">
        <f>RIGHT(Tabela4[[#This Row],[Desde]],4)</f>
        <v>2026</v>
      </c>
      <c r="K116">
        <v>166</v>
      </c>
      <c r="M116" t="s">
        <v>907</v>
      </c>
      <c r="N116" t="s">
        <v>866</v>
      </c>
      <c r="O116" t="s">
        <v>353</v>
      </c>
      <c r="R116" t="s">
        <v>981</v>
      </c>
    </row>
    <row r="117" spans="1:18" x14ac:dyDescent="0.25">
      <c r="A117" t="s">
        <v>901</v>
      </c>
      <c r="B117" t="s">
        <v>789</v>
      </c>
      <c r="C117" t="s">
        <v>835</v>
      </c>
      <c r="D117" t="s">
        <v>982</v>
      </c>
      <c r="E117" t="s">
        <v>829</v>
      </c>
      <c r="F117" t="s">
        <v>983</v>
      </c>
      <c r="I117" s="39" t="s">
        <v>626</v>
      </c>
      <c r="J117" s="39" t="str">
        <f>RIGHT(Tabela4[[#This Row],[Desde]],4)</f>
        <v>2026</v>
      </c>
      <c r="K117">
        <v>741</v>
      </c>
      <c r="M117" t="s">
        <v>903</v>
      </c>
      <c r="N117" t="s">
        <v>889</v>
      </c>
      <c r="O117" t="s">
        <v>346</v>
      </c>
      <c r="R117" t="s">
        <v>923</v>
      </c>
    </row>
    <row r="118" spans="1:18" x14ac:dyDescent="0.25">
      <c r="A118" t="s">
        <v>901</v>
      </c>
      <c r="B118" t="s">
        <v>790</v>
      </c>
      <c r="C118" t="s">
        <v>835</v>
      </c>
      <c r="D118" t="s">
        <v>984</v>
      </c>
      <c r="E118" t="s">
        <v>14</v>
      </c>
      <c r="F118" t="s">
        <v>985</v>
      </c>
      <c r="I118" s="39" t="s">
        <v>986</v>
      </c>
      <c r="J118" s="39" t="str">
        <f>RIGHT(Tabela4[[#This Row],[Desde]],4)</f>
        <v>2026</v>
      </c>
      <c r="K118">
        <v>49</v>
      </c>
      <c r="M118" t="s">
        <v>907</v>
      </c>
      <c r="N118" t="s">
        <v>866</v>
      </c>
      <c r="O118" t="s">
        <v>353</v>
      </c>
      <c r="R118" t="s">
        <v>987</v>
      </c>
    </row>
    <row r="119" spans="1:18" x14ac:dyDescent="0.25">
      <c r="A119" t="s">
        <v>901</v>
      </c>
      <c r="B119" t="s">
        <v>437</v>
      </c>
      <c r="C119" t="s">
        <v>835</v>
      </c>
      <c r="D119" t="s">
        <v>193</v>
      </c>
      <c r="E119" t="s">
        <v>108</v>
      </c>
      <c r="F119" t="s">
        <v>988</v>
      </c>
      <c r="I119" s="39" t="s">
        <v>879</v>
      </c>
      <c r="J119" s="39" t="str">
        <f>RIGHT(Tabela4[[#This Row],[Desde]],4)</f>
        <v>2026</v>
      </c>
      <c r="K119">
        <v>444</v>
      </c>
      <c r="M119" t="s">
        <v>907</v>
      </c>
      <c r="N119" t="s">
        <v>873</v>
      </c>
      <c r="O119" t="s">
        <v>353</v>
      </c>
      <c r="R119" t="s">
        <v>912</v>
      </c>
    </row>
    <row r="120" spans="1:18" x14ac:dyDescent="0.25">
      <c r="A120" t="s">
        <v>901</v>
      </c>
      <c r="B120" t="s">
        <v>791</v>
      </c>
      <c r="C120" t="s">
        <v>835</v>
      </c>
      <c r="D120" t="s">
        <v>106</v>
      </c>
      <c r="E120" t="s">
        <v>829</v>
      </c>
      <c r="F120" t="s">
        <v>989</v>
      </c>
      <c r="I120" s="39" t="s">
        <v>922</v>
      </c>
      <c r="J120" s="39" t="str">
        <f>RIGHT(Tabela4[[#This Row],[Desde]],4)</f>
        <v>2026</v>
      </c>
      <c r="K120">
        <v>608</v>
      </c>
      <c r="M120" t="s">
        <v>903</v>
      </c>
      <c r="N120" t="s">
        <v>904</v>
      </c>
      <c r="O120" t="s">
        <v>346</v>
      </c>
      <c r="R120" t="s">
        <v>905</v>
      </c>
    </row>
    <row r="121" spans="1:18" x14ac:dyDescent="0.25">
      <c r="A121" t="s">
        <v>901</v>
      </c>
      <c r="B121" t="s">
        <v>792</v>
      </c>
      <c r="C121" t="s">
        <v>835</v>
      </c>
      <c r="D121" t="s">
        <v>287</v>
      </c>
      <c r="E121" t="s">
        <v>829</v>
      </c>
      <c r="F121" t="s">
        <v>990</v>
      </c>
      <c r="I121" s="39" t="s">
        <v>922</v>
      </c>
      <c r="J121" s="39" t="str">
        <f>RIGHT(Tabela4[[#This Row],[Desde]],4)</f>
        <v>2026</v>
      </c>
      <c r="K121">
        <v>340</v>
      </c>
      <c r="M121" t="s">
        <v>903</v>
      </c>
      <c r="N121" t="s">
        <v>904</v>
      </c>
      <c r="O121" t="s">
        <v>346</v>
      </c>
      <c r="R121" t="s">
        <v>923</v>
      </c>
    </row>
    <row r="122" spans="1:18" x14ac:dyDescent="0.25">
      <c r="A122" t="s">
        <v>901</v>
      </c>
      <c r="B122" t="s">
        <v>793</v>
      </c>
      <c r="C122" t="s">
        <v>835</v>
      </c>
      <c r="D122" t="s">
        <v>991</v>
      </c>
      <c r="E122" t="s">
        <v>829</v>
      </c>
      <c r="F122" t="s">
        <v>992</v>
      </c>
      <c r="I122" s="39" t="s">
        <v>993</v>
      </c>
      <c r="J122" s="39" t="str">
        <f>RIGHT(Tabela4[[#This Row],[Desde]],4)</f>
        <v>2026</v>
      </c>
      <c r="K122">
        <v>49</v>
      </c>
      <c r="M122" t="s">
        <v>907</v>
      </c>
      <c r="N122" t="s">
        <v>935</v>
      </c>
      <c r="O122" t="s">
        <v>346</v>
      </c>
      <c r="R122" t="s">
        <v>912</v>
      </c>
    </row>
    <row r="123" spans="1:18" x14ac:dyDescent="0.25">
      <c r="A123" t="s">
        <v>901</v>
      </c>
      <c r="B123" t="s">
        <v>292</v>
      </c>
      <c r="C123" t="s">
        <v>835</v>
      </c>
      <c r="D123" t="s">
        <v>295</v>
      </c>
      <c r="E123" t="s">
        <v>829</v>
      </c>
      <c r="F123" t="s">
        <v>994</v>
      </c>
      <c r="I123" s="39" t="s">
        <v>847</v>
      </c>
      <c r="J123" s="39" t="str">
        <f>RIGHT(Tabela4[[#This Row],[Desde]],4)</f>
        <v>2026</v>
      </c>
      <c r="K123">
        <v>380</v>
      </c>
      <c r="M123" t="s">
        <v>903</v>
      </c>
      <c r="N123" t="s">
        <v>995</v>
      </c>
      <c r="O123" t="s">
        <v>346</v>
      </c>
      <c r="R123" t="s">
        <v>905</v>
      </c>
    </row>
    <row r="124" spans="1:18" x14ac:dyDescent="0.25">
      <c r="A124" t="s">
        <v>901</v>
      </c>
      <c r="B124" t="s">
        <v>462</v>
      </c>
      <c r="C124" t="s">
        <v>835</v>
      </c>
      <c r="D124" t="s">
        <v>938</v>
      </c>
      <c r="E124" t="s">
        <v>14</v>
      </c>
      <c r="F124" t="s">
        <v>996</v>
      </c>
      <c r="I124" s="39" t="s">
        <v>997</v>
      </c>
      <c r="J124" s="39" t="str">
        <f>RIGHT(Tabela4[[#This Row],[Desde]],4)</f>
        <v>2026</v>
      </c>
      <c r="K124">
        <v>337</v>
      </c>
      <c r="M124" t="s">
        <v>907</v>
      </c>
      <c r="N124" t="s">
        <v>873</v>
      </c>
      <c r="O124" t="s">
        <v>346</v>
      </c>
      <c r="R124" t="s">
        <v>912</v>
      </c>
    </row>
    <row r="125" spans="1:18" x14ac:dyDescent="0.25">
      <c r="A125" t="s">
        <v>901</v>
      </c>
      <c r="B125" t="s">
        <v>369</v>
      </c>
      <c r="C125" t="s">
        <v>835</v>
      </c>
      <c r="D125" t="s">
        <v>27</v>
      </c>
      <c r="E125" t="s">
        <v>14</v>
      </c>
      <c r="F125" t="s">
        <v>998</v>
      </c>
      <c r="I125" s="39" t="s">
        <v>999</v>
      </c>
      <c r="J125" s="39" t="str">
        <f>RIGHT(Tabela4[[#This Row],[Desde]],4)</f>
        <v>2026</v>
      </c>
      <c r="K125">
        <v>298</v>
      </c>
      <c r="M125" t="s">
        <v>907</v>
      </c>
      <c r="N125" t="s">
        <v>866</v>
      </c>
      <c r="O125" t="s">
        <v>346</v>
      </c>
      <c r="R125" t="s">
        <v>912</v>
      </c>
    </row>
    <row r="126" spans="1:18" x14ac:dyDescent="0.25">
      <c r="A126" t="s">
        <v>901</v>
      </c>
      <c r="B126" t="s">
        <v>374</v>
      </c>
      <c r="C126" t="s">
        <v>835</v>
      </c>
      <c r="D126" t="s">
        <v>28</v>
      </c>
      <c r="E126" t="s">
        <v>14</v>
      </c>
      <c r="F126" t="s">
        <v>1000</v>
      </c>
      <c r="I126" s="39" t="s">
        <v>840</v>
      </c>
      <c r="J126" s="39" t="str">
        <f>RIGHT(Tabela4[[#This Row],[Desde]],4)</f>
        <v>2026</v>
      </c>
      <c r="K126">
        <v>298</v>
      </c>
      <c r="M126" t="s">
        <v>907</v>
      </c>
      <c r="N126" t="s">
        <v>866</v>
      </c>
      <c r="O126" t="s">
        <v>346</v>
      </c>
      <c r="R126" t="s">
        <v>912</v>
      </c>
    </row>
    <row r="127" spans="1:18" x14ac:dyDescent="0.25">
      <c r="A127" t="s">
        <v>901</v>
      </c>
      <c r="B127" t="s">
        <v>470</v>
      </c>
      <c r="C127" t="s">
        <v>835</v>
      </c>
      <c r="D127" t="s">
        <v>124</v>
      </c>
      <c r="E127" t="s">
        <v>89</v>
      </c>
      <c r="F127" t="s">
        <v>471</v>
      </c>
      <c r="I127" s="39" t="s">
        <v>1001</v>
      </c>
      <c r="J127" s="39" t="str">
        <f>RIGHT(Tabela4[[#This Row],[Desde]],4)</f>
        <v>2026</v>
      </c>
      <c r="K127">
        <v>389</v>
      </c>
      <c r="M127" t="s">
        <v>907</v>
      </c>
      <c r="N127" t="s">
        <v>904</v>
      </c>
      <c r="O127" t="s">
        <v>353</v>
      </c>
      <c r="R127" t="s">
        <v>912</v>
      </c>
    </row>
    <row r="128" spans="1:18" x14ac:dyDescent="0.25">
      <c r="A128" t="s">
        <v>901</v>
      </c>
      <c r="B128" t="s">
        <v>387</v>
      </c>
      <c r="C128" t="s">
        <v>835</v>
      </c>
      <c r="D128" t="s">
        <v>246</v>
      </c>
      <c r="E128" t="s">
        <v>89</v>
      </c>
      <c r="F128" t="s">
        <v>1002</v>
      </c>
      <c r="I128" s="39" t="s">
        <v>847</v>
      </c>
      <c r="J128" s="39" t="str">
        <f>RIGHT(Tabela4[[#This Row],[Desde]],4)</f>
        <v>2026</v>
      </c>
      <c r="K128">
        <v>127</v>
      </c>
      <c r="M128" t="s">
        <v>907</v>
      </c>
      <c r="N128" t="s">
        <v>866</v>
      </c>
      <c r="O128" t="s">
        <v>353</v>
      </c>
      <c r="R128" t="s">
        <v>912</v>
      </c>
    </row>
    <row r="129" spans="1:18" x14ac:dyDescent="0.25">
      <c r="A129" t="s">
        <v>901</v>
      </c>
      <c r="B129" t="s">
        <v>794</v>
      </c>
      <c r="C129" t="s">
        <v>835</v>
      </c>
      <c r="D129" t="s">
        <v>1003</v>
      </c>
      <c r="E129" t="s">
        <v>829</v>
      </c>
      <c r="F129" t="s">
        <v>1004</v>
      </c>
      <c r="I129" s="39" t="s">
        <v>922</v>
      </c>
      <c r="J129" s="39" t="str">
        <f>RIGHT(Tabela4[[#This Row],[Desde]],4)</f>
        <v>2026</v>
      </c>
      <c r="K129">
        <v>575</v>
      </c>
      <c r="M129" t="s">
        <v>903</v>
      </c>
      <c r="N129" t="s">
        <v>904</v>
      </c>
      <c r="O129" t="s">
        <v>346</v>
      </c>
      <c r="R129" t="s">
        <v>923</v>
      </c>
    </row>
    <row r="130" spans="1:18" x14ac:dyDescent="0.25">
      <c r="A130" t="s">
        <v>901</v>
      </c>
      <c r="B130" t="s">
        <v>486</v>
      </c>
      <c r="C130" t="s">
        <v>835</v>
      </c>
      <c r="D130" t="s">
        <v>1005</v>
      </c>
      <c r="E130" t="s">
        <v>14</v>
      </c>
      <c r="F130" t="s">
        <v>487</v>
      </c>
      <c r="I130" s="39" t="s">
        <v>1006</v>
      </c>
      <c r="J130" s="39" t="str">
        <f>RIGHT(Tabela4[[#This Row],[Desde]],4)</f>
        <v>2026</v>
      </c>
      <c r="K130">
        <v>373</v>
      </c>
      <c r="M130" t="s">
        <v>907</v>
      </c>
      <c r="N130" t="s">
        <v>904</v>
      </c>
      <c r="O130" t="s">
        <v>353</v>
      </c>
      <c r="R130" t="s">
        <v>1007</v>
      </c>
    </row>
    <row r="131" spans="1:18" x14ac:dyDescent="0.25">
      <c r="A131" t="s">
        <v>901</v>
      </c>
      <c r="B131" t="s">
        <v>795</v>
      </c>
      <c r="C131" t="s">
        <v>835</v>
      </c>
      <c r="D131" t="s">
        <v>155</v>
      </c>
      <c r="E131" t="s">
        <v>108</v>
      </c>
      <c r="F131" t="s">
        <v>1008</v>
      </c>
      <c r="I131" s="39" t="s">
        <v>1009</v>
      </c>
      <c r="J131" s="39" t="str">
        <f>RIGHT(Tabela4[[#This Row],[Desde]],4)</f>
        <v>2026</v>
      </c>
      <c r="K131">
        <v>325</v>
      </c>
      <c r="M131" t="s">
        <v>903</v>
      </c>
      <c r="N131" t="s">
        <v>904</v>
      </c>
      <c r="O131" t="s">
        <v>346</v>
      </c>
      <c r="R131" t="s">
        <v>923</v>
      </c>
    </row>
    <row r="132" spans="1:18" x14ac:dyDescent="0.25">
      <c r="A132" t="s">
        <v>901</v>
      </c>
      <c r="B132" t="s">
        <v>796</v>
      </c>
      <c r="C132" t="s">
        <v>835</v>
      </c>
      <c r="D132" t="s">
        <v>1010</v>
      </c>
      <c r="E132" t="s">
        <v>829</v>
      </c>
      <c r="F132" t="s">
        <v>1011</v>
      </c>
      <c r="I132" s="39" t="s">
        <v>922</v>
      </c>
      <c r="J132" s="39" t="str">
        <f>RIGHT(Tabela4[[#This Row],[Desde]],4)</f>
        <v>2026</v>
      </c>
      <c r="K132">
        <v>454</v>
      </c>
      <c r="M132" t="s">
        <v>903</v>
      </c>
      <c r="N132" t="s">
        <v>904</v>
      </c>
      <c r="O132" t="s">
        <v>346</v>
      </c>
      <c r="R132" t="s">
        <v>905</v>
      </c>
    </row>
    <row r="133" spans="1:18" x14ac:dyDescent="0.25">
      <c r="A133" t="s">
        <v>901</v>
      </c>
      <c r="B133" t="s">
        <v>797</v>
      </c>
      <c r="C133" t="s">
        <v>835</v>
      </c>
      <c r="D133" t="s">
        <v>27</v>
      </c>
      <c r="E133" t="s">
        <v>829</v>
      </c>
      <c r="F133" t="s">
        <v>1012</v>
      </c>
      <c r="I133" s="39" t="s">
        <v>917</v>
      </c>
      <c r="J133" s="39" t="str">
        <f>RIGHT(Tabela4[[#This Row],[Desde]],4)</f>
        <v>2026</v>
      </c>
      <c r="K133">
        <v>1</v>
      </c>
      <c r="M133" t="s">
        <v>903</v>
      </c>
      <c r="N133" t="s">
        <v>904</v>
      </c>
      <c r="O133" t="s">
        <v>346</v>
      </c>
      <c r="R133" t="s">
        <v>923</v>
      </c>
    </row>
    <row r="134" spans="1:18" x14ac:dyDescent="0.25">
      <c r="A134" t="s">
        <v>901</v>
      </c>
      <c r="B134" t="s">
        <v>798</v>
      </c>
      <c r="C134" t="s">
        <v>835</v>
      </c>
      <c r="D134" t="s">
        <v>20</v>
      </c>
      <c r="E134" t="s">
        <v>829</v>
      </c>
      <c r="F134" t="s">
        <v>1013</v>
      </c>
      <c r="I134" s="39" t="s">
        <v>1014</v>
      </c>
      <c r="J134" s="39" t="str">
        <f>RIGHT(Tabela4[[#This Row],[Desde]],4)</f>
        <v>2026</v>
      </c>
      <c r="K134">
        <v>617</v>
      </c>
      <c r="M134" t="s">
        <v>903</v>
      </c>
      <c r="N134" t="s">
        <v>904</v>
      </c>
      <c r="O134" t="s">
        <v>346</v>
      </c>
      <c r="R134" t="s">
        <v>923</v>
      </c>
    </row>
    <row r="135" spans="1:18" x14ac:dyDescent="0.25">
      <c r="A135" t="s">
        <v>901</v>
      </c>
      <c r="B135" t="s">
        <v>799</v>
      </c>
      <c r="C135" t="s">
        <v>835</v>
      </c>
      <c r="D135" t="s">
        <v>969</v>
      </c>
      <c r="E135" t="s">
        <v>196</v>
      </c>
      <c r="F135" t="s">
        <v>1015</v>
      </c>
      <c r="I135" s="39" t="s">
        <v>725</v>
      </c>
      <c r="J135" s="39" t="str">
        <f>RIGHT(Tabela4[[#This Row],[Desde]],4)</f>
        <v>2026</v>
      </c>
      <c r="K135">
        <v>223</v>
      </c>
      <c r="M135" t="s">
        <v>907</v>
      </c>
      <c r="N135" t="s">
        <v>866</v>
      </c>
      <c r="O135" t="s">
        <v>353</v>
      </c>
      <c r="R135" t="s">
        <v>987</v>
      </c>
    </row>
    <row r="136" spans="1:18" x14ac:dyDescent="0.25">
      <c r="A136" t="s">
        <v>901</v>
      </c>
      <c r="B136" t="s">
        <v>800</v>
      </c>
      <c r="C136" t="s">
        <v>835</v>
      </c>
      <c r="D136" t="s">
        <v>913</v>
      </c>
      <c r="E136" t="s">
        <v>89</v>
      </c>
      <c r="F136" t="s">
        <v>1016</v>
      </c>
      <c r="I136" s="39" t="s">
        <v>847</v>
      </c>
      <c r="J136" s="39" t="str">
        <f>RIGHT(Tabela4[[#This Row],[Desde]],4)</f>
        <v>2026</v>
      </c>
      <c r="K136">
        <v>361</v>
      </c>
      <c r="M136" t="s">
        <v>907</v>
      </c>
      <c r="N136" t="s">
        <v>866</v>
      </c>
      <c r="O136" t="s">
        <v>353</v>
      </c>
      <c r="R136" t="s">
        <v>912</v>
      </c>
    </row>
    <row r="137" spans="1:18" x14ac:dyDescent="0.25">
      <c r="A137" t="s">
        <v>901</v>
      </c>
      <c r="B137" t="s">
        <v>801</v>
      </c>
      <c r="C137" t="s">
        <v>835</v>
      </c>
      <c r="D137" t="s">
        <v>1017</v>
      </c>
      <c r="E137" t="s">
        <v>829</v>
      </c>
      <c r="F137" t="s">
        <v>1018</v>
      </c>
      <c r="I137" s="39" t="s">
        <v>1019</v>
      </c>
      <c r="J137" s="39" t="str">
        <f>RIGHT(Tabela4[[#This Row],[Desde]],4)</f>
        <v>2026</v>
      </c>
      <c r="K137">
        <v>552</v>
      </c>
      <c r="M137" t="s">
        <v>903</v>
      </c>
      <c r="N137" t="s">
        <v>904</v>
      </c>
      <c r="O137" t="s">
        <v>346</v>
      </c>
      <c r="R137" t="s">
        <v>923</v>
      </c>
    </row>
    <row r="138" spans="1:18" x14ac:dyDescent="0.25">
      <c r="A138" t="s">
        <v>901</v>
      </c>
      <c r="B138" t="s">
        <v>802</v>
      </c>
      <c r="C138" t="s">
        <v>835</v>
      </c>
      <c r="D138" t="s">
        <v>166</v>
      </c>
      <c r="E138" t="s">
        <v>829</v>
      </c>
      <c r="F138" t="s">
        <v>1020</v>
      </c>
      <c r="I138" s="39" t="s">
        <v>953</v>
      </c>
      <c r="J138" s="39" t="str">
        <f>RIGHT(Tabela4[[#This Row],[Desde]],4)</f>
        <v>2026</v>
      </c>
      <c r="K138">
        <v>617</v>
      </c>
      <c r="M138" t="s">
        <v>903</v>
      </c>
      <c r="N138" t="s">
        <v>904</v>
      </c>
      <c r="O138" t="s">
        <v>346</v>
      </c>
      <c r="R138" t="s">
        <v>923</v>
      </c>
    </row>
    <row r="139" spans="1:18" x14ac:dyDescent="0.25">
      <c r="A139" t="s">
        <v>901</v>
      </c>
      <c r="B139" t="s">
        <v>803</v>
      </c>
      <c r="C139" t="s">
        <v>835</v>
      </c>
      <c r="D139" t="s">
        <v>1021</v>
      </c>
      <c r="E139" t="s">
        <v>829</v>
      </c>
      <c r="F139" t="s">
        <v>1022</v>
      </c>
      <c r="I139" s="39" t="s">
        <v>888</v>
      </c>
      <c r="J139" s="39" t="str">
        <f>RIGHT(Tabela4[[#This Row],[Desde]],4)</f>
        <v>2026</v>
      </c>
      <c r="K139">
        <v>557</v>
      </c>
      <c r="M139" t="s">
        <v>903</v>
      </c>
      <c r="N139" t="s">
        <v>904</v>
      </c>
      <c r="O139" t="s">
        <v>346</v>
      </c>
      <c r="R139" t="s">
        <v>923</v>
      </c>
    </row>
    <row r="140" spans="1:18" x14ac:dyDescent="0.25">
      <c r="A140" t="s">
        <v>901</v>
      </c>
      <c r="B140" t="s">
        <v>392</v>
      </c>
      <c r="C140" t="s">
        <v>835</v>
      </c>
      <c r="D140" t="s">
        <v>1023</v>
      </c>
      <c r="E140" t="s">
        <v>108</v>
      </c>
      <c r="F140" t="s">
        <v>1024</v>
      </c>
      <c r="I140" s="39" t="s">
        <v>828</v>
      </c>
      <c r="J140" s="39" t="str">
        <f>RIGHT(Tabela4[[#This Row],[Desde]],4)</f>
        <v>2026</v>
      </c>
      <c r="K140">
        <v>409</v>
      </c>
      <c r="M140" t="s">
        <v>903</v>
      </c>
      <c r="N140" t="s">
        <v>904</v>
      </c>
      <c r="O140" t="s">
        <v>346</v>
      </c>
      <c r="R140" t="s">
        <v>923</v>
      </c>
    </row>
    <row r="141" spans="1:18" x14ac:dyDescent="0.25">
      <c r="A141" t="s">
        <v>901</v>
      </c>
      <c r="B141" t="s">
        <v>804</v>
      </c>
      <c r="C141" t="s">
        <v>835</v>
      </c>
      <c r="D141" t="s">
        <v>27</v>
      </c>
      <c r="E141" t="s">
        <v>829</v>
      </c>
      <c r="F141" t="s">
        <v>1025</v>
      </c>
      <c r="I141" s="39" t="s">
        <v>1009</v>
      </c>
      <c r="J141" s="39" t="str">
        <f>RIGHT(Tabela4[[#This Row],[Desde]],4)</f>
        <v>2026</v>
      </c>
      <c r="K141">
        <v>648</v>
      </c>
      <c r="M141" t="s">
        <v>907</v>
      </c>
      <c r="N141" t="s">
        <v>866</v>
      </c>
      <c r="O141" t="s">
        <v>346</v>
      </c>
      <c r="R141" t="s">
        <v>912</v>
      </c>
    </row>
    <row r="142" spans="1:18" x14ac:dyDescent="0.25">
      <c r="A142" t="s">
        <v>901</v>
      </c>
      <c r="B142" t="s">
        <v>398</v>
      </c>
      <c r="C142" t="s">
        <v>835</v>
      </c>
      <c r="D142" t="s">
        <v>170</v>
      </c>
      <c r="E142" t="s">
        <v>14</v>
      </c>
      <c r="F142" t="s">
        <v>1026</v>
      </c>
      <c r="I142" s="39" t="s">
        <v>1027</v>
      </c>
      <c r="J142" s="39" t="str">
        <f>RIGHT(Tabela4[[#This Row],[Desde]],4)</f>
        <v>2026</v>
      </c>
      <c r="K142">
        <v>399</v>
      </c>
      <c r="M142" t="s">
        <v>907</v>
      </c>
      <c r="N142" t="s">
        <v>866</v>
      </c>
      <c r="O142" t="s">
        <v>346</v>
      </c>
      <c r="R142" t="s">
        <v>912</v>
      </c>
    </row>
    <row r="143" spans="1:18" x14ac:dyDescent="0.25">
      <c r="A143" t="s">
        <v>901</v>
      </c>
      <c r="B143" t="s">
        <v>805</v>
      </c>
      <c r="C143" t="s">
        <v>835</v>
      </c>
      <c r="D143" t="s">
        <v>34</v>
      </c>
      <c r="E143" t="s">
        <v>829</v>
      </c>
      <c r="F143" t="s">
        <v>1028</v>
      </c>
      <c r="I143" s="39" t="s">
        <v>888</v>
      </c>
      <c r="J143" s="39" t="str">
        <f>RIGHT(Tabela4[[#This Row],[Desde]],4)</f>
        <v>2026</v>
      </c>
      <c r="K143">
        <v>598</v>
      </c>
      <c r="M143" t="s">
        <v>903</v>
      </c>
      <c r="N143" t="s">
        <v>904</v>
      </c>
      <c r="O143" t="s">
        <v>346</v>
      </c>
      <c r="R143" t="s">
        <v>923</v>
      </c>
    </row>
    <row r="144" spans="1:18" x14ac:dyDescent="0.25">
      <c r="A144" t="s">
        <v>901</v>
      </c>
      <c r="B144" t="s">
        <v>806</v>
      </c>
      <c r="C144" t="s">
        <v>835</v>
      </c>
      <c r="D144" t="s">
        <v>20</v>
      </c>
      <c r="E144" t="s">
        <v>829</v>
      </c>
      <c r="F144" t="s">
        <v>1029</v>
      </c>
      <c r="I144" s="39" t="s">
        <v>945</v>
      </c>
      <c r="J144" s="39" t="str">
        <f>RIGHT(Tabela4[[#This Row],[Desde]],4)</f>
        <v>2026</v>
      </c>
      <c r="K144">
        <v>189</v>
      </c>
      <c r="M144" t="s">
        <v>907</v>
      </c>
      <c r="N144" t="s">
        <v>866</v>
      </c>
      <c r="O144" t="s">
        <v>346</v>
      </c>
      <c r="R144" t="s">
        <v>912</v>
      </c>
    </row>
    <row r="145" spans="1:18" x14ac:dyDescent="0.25">
      <c r="A145" t="s">
        <v>901</v>
      </c>
      <c r="B145" t="s">
        <v>807</v>
      </c>
      <c r="C145" t="s">
        <v>835</v>
      </c>
      <c r="D145" t="s">
        <v>1030</v>
      </c>
      <c r="E145" t="s">
        <v>829</v>
      </c>
      <c r="F145" t="s">
        <v>1031</v>
      </c>
      <c r="I145" s="39" t="s">
        <v>922</v>
      </c>
      <c r="J145" s="39" t="str">
        <f>RIGHT(Tabela4[[#This Row],[Desde]],4)</f>
        <v>2026</v>
      </c>
      <c r="K145">
        <v>151</v>
      </c>
      <c r="M145" t="s">
        <v>903</v>
      </c>
      <c r="N145" t="s">
        <v>904</v>
      </c>
      <c r="O145" t="s">
        <v>346</v>
      </c>
      <c r="R145" t="s">
        <v>923</v>
      </c>
    </row>
    <row r="146" spans="1:18" x14ac:dyDescent="0.25">
      <c r="A146" t="s">
        <v>901</v>
      </c>
      <c r="B146" t="s">
        <v>808</v>
      </c>
      <c r="C146" t="s">
        <v>835</v>
      </c>
      <c r="D146" t="s">
        <v>20</v>
      </c>
      <c r="E146" t="s">
        <v>829</v>
      </c>
      <c r="F146" t="s">
        <v>1032</v>
      </c>
      <c r="I146" s="39" t="s">
        <v>1033</v>
      </c>
      <c r="J146" s="39" t="str">
        <f>RIGHT(Tabela4[[#This Row],[Desde]],4)</f>
        <v>2026</v>
      </c>
      <c r="K146">
        <v>61</v>
      </c>
      <c r="M146" t="s">
        <v>907</v>
      </c>
      <c r="N146" t="s">
        <v>935</v>
      </c>
      <c r="O146" t="s">
        <v>346</v>
      </c>
      <c r="R146" t="s">
        <v>912</v>
      </c>
    </row>
    <row r="147" spans="1:18" x14ac:dyDescent="0.25">
      <c r="A147" t="s">
        <v>901</v>
      </c>
      <c r="B147" t="s">
        <v>809</v>
      </c>
      <c r="C147" t="s">
        <v>835</v>
      </c>
      <c r="D147" t="s">
        <v>1034</v>
      </c>
      <c r="E147" t="s">
        <v>829</v>
      </c>
      <c r="F147" t="s">
        <v>1035</v>
      </c>
      <c r="I147" s="39" t="s">
        <v>1036</v>
      </c>
      <c r="J147" s="39" t="str">
        <f>RIGHT(Tabela4[[#This Row],[Desde]],4)</f>
        <v>2026</v>
      </c>
      <c r="K147">
        <v>75</v>
      </c>
      <c r="M147" t="s">
        <v>907</v>
      </c>
      <c r="N147" t="s">
        <v>866</v>
      </c>
      <c r="O147" t="s">
        <v>346</v>
      </c>
      <c r="R147" t="s">
        <v>912</v>
      </c>
    </row>
    <row r="148" spans="1:18" x14ac:dyDescent="0.25">
      <c r="A148" t="s">
        <v>901</v>
      </c>
      <c r="B148" t="s">
        <v>810</v>
      </c>
      <c r="C148" t="s">
        <v>835</v>
      </c>
      <c r="D148" t="s">
        <v>123</v>
      </c>
      <c r="E148" t="s">
        <v>108</v>
      </c>
      <c r="F148" t="s">
        <v>1037</v>
      </c>
      <c r="I148" s="39" t="s">
        <v>1038</v>
      </c>
      <c r="J148" s="39" t="str">
        <f>RIGHT(Tabela4[[#This Row],[Desde]],4)</f>
        <v>2026</v>
      </c>
      <c r="K148">
        <v>159</v>
      </c>
      <c r="M148" t="s">
        <v>907</v>
      </c>
      <c r="N148" t="s">
        <v>1039</v>
      </c>
      <c r="O148" t="s">
        <v>346</v>
      </c>
      <c r="R148" t="s">
        <v>1040</v>
      </c>
    </row>
    <row r="158" spans="1:18" ht="18.75" x14ac:dyDescent="0.3">
      <c r="K158" s="21">
        <v>6</v>
      </c>
    </row>
    <row r="159" spans="1:18" ht="18.75" x14ac:dyDescent="0.3">
      <c r="K159" s="21">
        <v>7</v>
      </c>
    </row>
    <row r="160" spans="1:18" ht="18.75" x14ac:dyDescent="0.3">
      <c r="K160" s="21">
        <v>8</v>
      </c>
    </row>
    <row r="161" spans="11:11" ht="18.75" x14ac:dyDescent="0.3">
      <c r="K161" s="21">
        <v>3</v>
      </c>
    </row>
    <row r="162" spans="11:11" ht="18.75" x14ac:dyDescent="0.3">
      <c r="K162" s="21">
        <v>0</v>
      </c>
    </row>
    <row r="163" spans="11:11" ht="18.75" x14ac:dyDescent="0.3">
      <c r="K163" s="21">
        <v>1</v>
      </c>
    </row>
    <row r="164" spans="11:11" ht="18.75" x14ac:dyDescent="0.3">
      <c r="K164" s="21">
        <v>3</v>
      </c>
    </row>
    <row r="165" spans="11:11" ht="18.75" x14ac:dyDescent="0.3">
      <c r="K165" s="21">
        <v>0</v>
      </c>
    </row>
    <row r="166" spans="11:11" ht="18.75" x14ac:dyDescent="0.3">
      <c r="K166" s="21"/>
    </row>
    <row r="167" spans="11:11" ht="18.75" x14ac:dyDescent="0.3">
      <c r="K167" s="21"/>
    </row>
    <row r="168" spans="11:11" ht="18.75" x14ac:dyDescent="0.3">
      <c r="K168" s="21"/>
    </row>
    <row r="169" spans="11:11" ht="18.75" x14ac:dyDescent="0.3">
      <c r="K169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M53"/>
  <sheetViews>
    <sheetView topLeftCell="T1" zoomScale="70" zoomScaleNormal="70" workbookViewId="0">
      <selection activeCell="AB40" sqref="AB1:AB40"/>
    </sheetView>
    <sheetView topLeftCell="R33" workbookViewId="1">
      <selection activeCell="AB35" sqref="W35:AB35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18.28515625" bestFit="1" customWidth="1"/>
    <col min="4" max="4" width="26.7109375" bestFit="1" customWidth="1"/>
    <col min="5" max="5" width="43.42578125" bestFit="1" customWidth="1"/>
    <col min="6" max="6" width="14.28515625" bestFit="1" customWidth="1"/>
    <col min="7" max="7" width="14.85546875" bestFit="1" customWidth="1"/>
    <col min="8" max="8" width="16.42578125" bestFit="1" customWidth="1"/>
    <col min="9" max="9" width="11.42578125" bestFit="1" customWidth="1"/>
    <col min="10" max="10" width="10.140625" bestFit="1" customWidth="1"/>
    <col min="11" max="11" width="18.85546875" bestFit="1" customWidth="1"/>
    <col min="12" max="12" width="20.28515625" bestFit="1" customWidth="1"/>
    <col min="13" max="13" width="22" bestFit="1" customWidth="1"/>
    <col min="14" max="14" width="19.7109375" bestFit="1" customWidth="1"/>
    <col min="15" max="16" width="16.7109375" bestFit="1" customWidth="1"/>
    <col min="17" max="17" width="18.28515625" bestFit="1" customWidth="1"/>
    <col min="18" max="18" width="24.42578125" bestFit="1" customWidth="1"/>
    <col min="19" max="19" width="22" bestFit="1" customWidth="1"/>
    <col min="20" max="20" width="30.7109375" bestFit="1" customWidth="1"/>
    <col min="21" max="21" width="28.28515625" bestFit="1" customWidth="1"/>
    <col min="22" max="22" width="25.28515625" bestFit="1" customWidth="1"/>
    <col min="23" max="23" width="42" bestFit="1" customWidth="1"/>
    <col min="24" max="24" width="34" bestFit="1" customWidth="1"/>
    <col min="25" max="25" width="38.28515625" bestFit="1" customWidth="1"/>
    <col min="26" max="26" width="23.140625" bestFit="1" customWidth="1"/>
    <col min="27" max="27" width="39.28515625" bestFit="1" customWidth="1"/>
    <col min="28" max="28" width="81.140625" style="42" bestFit="1" customWidth="1"/>
    <col min="29" max="29" width="23.85546875" bestFit="1" customWidth="1"/>
    <col min="30" max="30" width="21.7109375" bestFit="1" customWidth="1"/>
    <col min="31" max="31" width="35.7109375" bestFit="1" customWidth="1"/>
    <col min="32" max="32" width="35.42578125" bestFit="1" customWidth="1"/>
    <col min="33" max="33" width="33.5703125" bestFit="1" customWidth="1"/>
    <col min="34" max="34" width="44" bestFit="1" customWidth="1"/>
    <col min="35" max="35" width="42.42578125" bestFit="1" customWidth="1"/>
    <col min="36" max="36" width="23.42578125" bestFit="1" customWidth="1"/>
    <col min="37" max="37" width="37.28515625" bestFit="1" customWidth="1"/>
    <col min="38" max="38" width="15.28515625" bestFit="1" customWidth="1"/>
    <col min="39" max="39" width="33" bestFit="1" customWidth="1"/>
    <col min="40" max="40" width="35.7109375" bestFit="1" customWidth="1"/>
    <col min="41" max="41" width="31.5703125" bestFit="1" customWidth="1"/>
    <col min="42" max="42" width="30.7109375" bestFit="1" customWidth="1"/>
    <col min="43" max="43" width="23.85546875" bestFit="1" customWidth="1"/>
    <col min="44" max="44" width="23" bestFit="1" customWidth="1"/>
    <col min="45" max="45" width="29.5703125" bestFit="1" customWidth="1"/>
    <col min="46" max="46" width="22.85546875" bestFit="1" customWidth="1"/>
    <col min="47" max="47" width="78.85546875" bestFit="1" customWidth="1"/>
    <col min="48" max="48" width="67.85546875" bestFit="1" customWidth="1"/>
    <col min="49" max="49" width="68.5703125" bestFit="1" customWidth="1"/>
    <col min="50" max="50" width="47.42578125" bestFit="1" customWidth="1"/>
    <col min="51" max="51" width="43.42578125" bestFit="1" customWidth="1"/>
    <col min="52" max="52" width="53.85546875" bestFit="1" customWidth="1"/>
    <col min="53" max="53" width="45.7109375" bestFit="1" customWidth="1"/>
    <col min="54" max="54" width="48.140625" bestFit="1" customWidth="1"/>
    <col min="55" max="55" width="33.42578125" bestFit="1" customWidth="1"/>
    <col min="56" max="56" width="53.42578125" bestFit="1" customWidth="1"/>
    <col min="57" max="58" width="53.85546875" bestFit="1" customWidth="1"/>
    <col min="59" max="59" width="43.85546875" bestFit="1" customWidth="1"/>
    <col min="60" max="61" width="44.28515625" bestFit="1" customWidth="1"/>
    <col min="62" max="62" width="48.140625" bestFit="1" customWidth="1"/>
    <col min="63" max="63" width="38.85546875" bestFit="1" customWidth="1"/>
    <col min="64" max="64" width="60.5703125" bestFit="1" customWidth="1"/>
    <col min="65" max="65" width="14" bestFit="1" customWidth="1"/>
  </cols>
  <sheetData>
    <row r="1" spans="1:65" x14ac:dyDescent="0.25">
      <c r="A1" t="s">
        <v>1046</v>
      </c>
      <c r="B1" t="s">
        <v>1047</v>
      </c>
      <c r="C1" t="s">
        <v>1048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  <c r="K1" t="s">
        <v>1056</v>
      </c>
      <c r="L1" t="s">
        <v>1057</v>
      </c>
      <c r="M1" t="s">
        <v>1058</v>
      </c>
      <c r="N1" t="s">
        <v>1059</v>
      </c>
      <c r="O1" t="s">
        <v>1060</v>
      </c>
      <c r="P1" t="s">
        <v>1061</v>
      </c>
      <c r="Q1" t="s">
        <v>1062</v>
      </c>
      <c r="R1" t="s">
        <v>1063</v>
      </c>
      <c r="S1" t="s">
        <v>1064</v>
      </c>
      <c r="T1" t="s">
        <v>1065</v>
      </c>
      <c r="U1" t="s">
        <v>1066</v>
      </c>
      <c r="V1" t="s">
        <v>1067</v>
      </c>
      <c r="W1" t="s">
        <v>1068</v>
      </c>
      <c r="X1" t="s">
        <v>1069</v>
      </c>
      <c r="Y1" t="s">
        <v>1070</v>
      </c>
      <c r="Z1" t="s">
        <v>1071</v>
      </c>
      <c r="AA1" t="s">
        <v>1072</v>
      </c>
      <c r="AB1" s="42" t="s">
        <v>1073</v>
      </c>
      <c r="AC1" t="s">
        <v>1074</v>
      </c>
      <c r="AD1" t="s">
        <v>1075</v>
      </c>
      <c r="AE1" t="s">
        <v>1076</v>
      </c>
      <c r="AF1" t="s">
        <v>1077</v>
      </c>
      <c r="AG1" t="s">
        <v>1078</v>
      </c>
      <c r="AH1" t="s">
        <v>1079</v>
      </c>
      <c r="AI1" t="s">
        <v>1080</v>
      </c>
      <c r="AJ1" t="s">
        <v>1081</v>
      </c>
      <c r="AK1" t="s">
        <v>1082</v>
      </c>
      <c r="AL1" t="s">
        <v>1083</v>
      </c>
      <c r="AM1" t="s">
        <v>1084</v>
      </c>
      <c r="AN1" t="s">
        <v>1085</v>
      </c>
      <c r="AO1" t="s">
        <v>1086</v>
      </c>
      <c r="AP1" t="s">
        <v>1087</v>
      </c>
      <c r="AQ1" t="s">
        <v>1088</v>
      </c>
      <c r="AR1" t="s">
        <v>1089</v>
      </c>
      <c r="AS1" t="s">
        <v>1090</v>
      </c>
      <c r="AT1" t="s">
        <v>1091</v>
      </c>
      <c r="AU1" t="s">
        <v>1092</v>
      </c>
      <c r="AV1" t="s">
        <v>1093</v>
      </c>
      <c r="AW1" t="s">
        <v>1094</v>
      </c>
      <c r="AX1" t="s">
        <v>1095</v>
      </c>
      <c r="AY1" t="s">
        <v>1096</v>
      </c>
      <c r="AZ1" t="s">
        <v>1097</v>
      </c>
      <c r="BA1" t="s">
        <v>1098</v>
      </c>
      <c r="BB1" t="s">
        <v>1099</v>
      </c>
      <c r="BC1" t="s">
        <v>1100</v>
      </c>
      <c r="BD1" t="s">
        <v>1101</v>
      </c>
      <c r="BE1" t="s">
        <v>1102</v>
      </c>
      <c r="BF1" t="s">
        <v>1103</v>
      </c>
      <c r="BG1" t="s">
        <v>1104</v>
      </c>
      <c r="BH1" t="s">
        <v>1105</v>
      </c>
      <c r="BI1" t="s">
        <v>1106</v>
      </c>
      <c r="BJ1" t="s">
        <v>1107</v>
      </c>
      <c r="BK1" t="s">
        <v>1108</v>
      </c>
      <c r="BL1" t="s">
        <v>1109</v>
      </c>
      <c r="BM1" t="s">
        <v>296</v>
      </c>
    </row>
    <row r="2" spans="1:65" ht="120" x14ac:dyDescent="0.25">
      <c r="A2" t="s">
        <v>1604</v>
      </c>
      <c r="B2" t="s">
        <v>33</v>
      </c>
      <c r="D2" t="s">
        <v>1143</v>
      </c>
      <c r="E2" t="s">
        <v>1121</v>
      </c>
      <c r="F2" t="s">
        <v>33</v>
      </c>
      <c r="G2" t="s">
        <v>33</v>
      </c>
      <c r="H2" t="s">
        <v>33</v>
      </c>
      <c r="J2">
        <v>2026</v>
      </c>
      <c r="K2" t="s">
        <v>1112</v>
      </c>
      <c r="L2" t="s">
        <v>935</v>
      </c>
      <c r="M2" t="s">
        <v>1591</v>
      </c>
      <c r="N2" t="s">
        <v>579</v>
      </c>
      <c r="O2">
        <v>792803</v>
      </c>
      <c r="P2">
        <v>9144437</v>
      </c>
      <c r="Q2" t="s">
        <v>1592</v>
      </c>
      <c r="R2" t="s">
        <v>1115</v>
      </c>
      <c r="S2" t="s">
        <v>868</v>
      </c>
      <c r="T2" s="11">
        <v>46283.717800925922</v>
      </c>
      <c r="U2" s="11"/>
      <c r="V2" s="11">
        <v>46286.717800925922</v>
      </c>
      <c r="W2" t="s">
        <v>1259</v>
      </c>
      <c r="X2" t="s">
        <v>934</v>
      </c>
      <c r="Y2" t="s">
        <v>1254</v>
      </c>
      <c r="Z2" t="s">
        <v>1125</v>
      </c>
      <c r="AA2" t="s">
        <v>1119</v>
      </c>
      <c r="AB2" s="41" t="s">
        <v>1605</v>
      </c>
      <c r="AC2" s="4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5" ht="105" x14ac:dyDescent="0.25">
      <c r="A3" t="s">
        <v>1599</v>
      </c>
      <c r="B3" t="s">
        <v>33</v>
      </c>
      <c r="D3" t="s">
        <v>1110</v>
      </c>
      <c r="E3" t="s">
        <v>1111</v>
      </c>
      <c r="F3" t="s">
        <v>33</v>
      </c>
      <c r="G3" t="s">
        <v>33</v>
      </c>
      <c r="H3" t="s">
        <v>33</v>
      </c>
      <c r="J3">
        <v>2026</v>
      </c>
      <c r="K3" t="s">
        <v>1112</v>
      </c>
      <c r="L3" t="s">
        <v>904</v>
      </c>
      <c r="M3" t="s">
        <v>1600</v>
      </c>
      <c r="N3" t="s">
        <v>292</v>
      </c>
      <c r="O3">
        <v>857972</v>
      </c>
      <c r="P3">
        <v>9047058</v>
      </c>
      <c r="Q3" t="s">
        <v>1601</v>
      </c>
      <c r="R3" t="s">
        <v>1115</v>
      </c>
      <c r="S3" t="s">
        <v>868</v>
      </c>
      <c r="T3" s="11">
        <v>46282.592835648145</v>
      </c>
      <c r="U3" s="11"/>
      <c r="V3" s="11">
        <v>46285.592835648145</v>
      </c>
      <c r="W3" t="s">
        <v>1116</v>
      </c>
      <c r="X3" t="s">
        <v>295</v>
      </c>
      <c r="Y3" t="s">
        <v>1179</v>
      </c>
      <c r="Z3" t="s">
        <v>1125</v>
      </c>
      <c r="AA3" t="s">
        <v>1119</v>
      </c>
      <c r="AB3" s="41" t="s">
        <v>1603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5" ht="60" x14ac:dyDescent="0.25">
      <c r="A4" s="44" t="s">
        <v>1593</v>
      </c>
      <c r="B4" s="44" t="s">
        <v>33</v>
      </c>
      <c r="C4" s="44"/>
      <c r="D4" s="44" t="s">
        <v>1167</v>
      </c>
      <c r="E4" s="44" t="s">
        <v>1121</v>
      </c>
      <c r="F4" s="44" t="s">
        <v>33</v>
      </c>
      <c r="G4" s="44" t="s">
        <v>33</v>
      </c>
      <c r="H4" s="44" t="s">
        <v>33</v>
      </c>
      <c r="I4" s="44"/>
      <c r="J4" s="44">
        <v>2026</v>
      </c>
      <c r="K4" s="44" t="s">
        <v>1112</v>
      </c>
      <c r="L4" s="44" t="s">
        <v>889</v>
      </c>
      <c r="M4" s="44" t="s">
        <v>1594</v>
      </c>
      <c r="N4" s="44" t="s">
        <v>1595</v>
      </c>
      <c r="O4" s="44">
        <v>790866</v>
      </c>
      <c r="P4" s="44">
        <v>8875822</v>
      </c>
      <c r="Q4" s="44" t="s">
        <v>1596</v>
      </c>
      <c r="R4" s="44" t="s">
        <v>1115</v>
      </c>
      <c r="S4" s="44" t="s">
        <v>868</v>
      </c>
      <c r="T4" s="45">
        <v>46282.354537037034</v>
      </c>
      <c r="U4" s="45"/>
      <c r="V4" s="45">
        <v>46285.354537037034</v>
      </c>
      <c r="W4" s="44" t="s">
        <v>1597</v>
      </c>
      <c r="X4" s="44" t="s">
        <v>27</v>
      </c>
      <c r="Y4" s="44" t="s">
        <v>1254</v>
      </c>
      <c r="Z4" s="44" t="s">
        <v>1118</v>
      </c>
      <c r="AA4" s="44" t="s">
        <v>1119</v>
      </c>
      <c r="AB4" s="46" t="s">
        <v>1598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5" ht="135" x14ac:dyDescent="0.25">
      <c r="A5" t="s">
        <v>1589</v>
      </c>
      <c r="B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J5">
        <v>2026</v>
      </c>
      <c r="K5" t="s">
        <v>1137</v>
      </c>
      <c r="L5" t="s">
        <v>904</v>
      </c>
      <c r="M5" t="s">
        <v>1216</v>
      </c>
      <c r="N5" t="s">
        <v>56</v>
      </c>
      <c r="O5">
        <v>998978</v>
      </c>
      <c r="P5">
        <v>8589651</v>
      </c>
      <c r="Q5" t="s">
        <v>1217</v>
      </c>
      <c r="R5" t="s">
        <v>1140</v>
      </c>
      <c r="S5" t="s">
        <v>868</v>
      </c>
      <c r="T5" s="11">
        <v>46278.628796296296</v>
      </c>
      <c r="U5" s="11"/>
      <c r="V5" s="11">
        <v>46678.628796296296</v>
      </c>
      <c r="W5" t="s">
        <v>1116</v>
      </c>
      <c r="X5" t="s">
        <v>61</v>
      </c>
      <c r="Y5" t="s">
        <v>1218</v>
      </c>
      <c r="Z5" t="s">
        <v>1125</v>
      </c>
      <c r="AA5" t="s">
        <v>1119</v>
      </c>
      <c r="AB5" s="41" t="s">
        <v>1590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5" ht="60" x14ac:dyDescent="0.25">
      <c r="A6" t="s">
        <v>1582</v>
      </c>
      <c r="B6" t="s">
        <v>33</v>
      </c>
      <c r="D6" t="s">
        <v>1167</v>
      </c>
      <c r="E6" t="s">
        <v>1583</v>
      </c>
      <c r="F6" t="s">
        <v>33</v>
      </c>
      <c r="G6" t="s">
        <v>33</v>
      </c>
      <c r="H6" t="s">
        <v>33</v>
      </c>
      <c r="J6">
        <v>2026</v>
      </c>
      <c r="K6" t="s">
        <v>1112</v>
      </c>
      <c r="L6" t="s">
        <v>904</v>
      </c>
      <c r="M6" t="s">
        <v>1584</v>
      </c>
      <c r="N6" t="s">
        <v>1585</v>
      </c>
      <c r="O6">
        <v>717238</v>
      </c>
      <c r="P6">
        <v>9203805</v>
      </c>
      <c r="Q6" t="s">
        <v>1586</v>
      </c>
      <c r="R6" t="s">
        <v>1115</v>
      </c>
      <c r="S6" t="s">
        <v>868</v>
      </c>
      <c r="T6" s="11">
        <v>46274.355358796296</v>
      </c>
      <c r="U6" s="11"/>
      <c r="V6" s="11">
        <v>46277.355358796296</v>
      </c>
      <c r="W6" t="s">
        <v>1135</v>
      </c>
      <c r="X6" t="s">
        <v>138</v>
      </c>
      <c r="Y6" t="s">
        <v>1587</v>
      </c>
      <c r="Z6" t="s">
        <v>1125</v>
      </c>
      <c r="AA6" t="s">
        <v>1119</v>
      </c>
      <c r="AB6" s="41" t="s">
        <v>1588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5" ht="135" x14ac:dyDescent="0.25">
      <c r="A7" t="s">
        <v>1464</v>
      </c>
      <c r="B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J7">
        <v>2026</v>
      </c>
      <c r="K7" t="s">
        <v>1150</v>
      </c>
      <c r="L7" t="s">
        <v>904</v>
      </c>
      <c r="M7" t="s">
        <v>1465</v>
      </c>
      <c r="N7" t="s">
        <v>588</v>
      </c>
      <c r="O7">
        <v>797626</v>
      </c>
      <c r="P7">
        <v>9011795</v>
      </c>
      <c r="Q7" t="s">
        <v>1466</v>
      </c>
      <c r="R7" t="s">
        <v>1115</v>
      </c>
      <c r="S7" t="s">
        <v>868</v>
      </c>
      <c r="T7" s="11">
        <v>46261.397581018522</v>
      </c>
      <c r="U7" s="11"/>
      <c r="V7" s="11">
        <v>46264.397581018522</v>
      </c>
      <c r="W7" t="s">
        <v>1259</v>
      </c>
      <c r="X7" t="s">
        <v>915</v>
      </c>
      <c r="Y7" t="s">
        <v>1153</v>
      </c>
      <c r="Z7" t="s">
        <v>1125</v>
      </c>
      <c r="AA7" t="s">
        <v>1119</v>
      </c>
      <c r="AB7" s="41" t="s">
        <v>1467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5" ht="45" x14ac:dyDescent="0.25">
      <c r="A8" t="s">
        <v>205</v>
      </c>
      <c r="B8" t="s">
        <v>33</v>
      </c>
      <c r="D8" t="s">
        <v>1167</v>
      </c>
      <c r="E8" t="s">
        <v>33</v>
      </c>
      <c r="F8" t="s">
        <v>33</v>
      </c>
      <c r="G8" t="s">
        <v>33</v>
      </c>
      <c r="H8" t="s">
        <v>33</v>
      </c>
      <c r="J8">
        <v>2026</v>
      </c>
      <c r="K8" t="s">
        <v>1284</v>
      </c>
      <c r="L8" t="s">
        <v>904</v>
      </c>
      <c r="M8" t="s">
        <v>1294</v>
      </c>
      <c r="N8" t="s">
        <v>202</v>
      </c>
      <c r="O8">
        <v>698485</v>
      </c>
      <c r="P8">
        <v>8657287</v>
      </c>
      <c r="Q8" t="s">
        <v>1295</v>
      </c>
      <c r="R8" t="s">
        <v>1160</v>
      </c>
      <c r="S8" t="s">
        <v>868</v>
      </c>
      <c r="T8" s="11">
        <v>46237.704039351855</v>
      </c>
      <c r="U8" s="11"/>
      <c r="V8" s="11">
        <v>46297.704039351855</v>
      </c>
      <c r="W8" t="s">
        <v>1116</v>
      </c>
      <c r="X8" t="s">
        <v>207</v>
      </c>
      <c r="Y8" t="s">
        <v>1288</v>
      </c>
      <c r="Z8" t="s">
        <v>1125</v>
      </c>
      <c r="AA8" t="s">
        <v>1119</v>
      </c>
      <c r="AB8" s="41" t="s">
        <v>1296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5" ht="30" x14ac:dyDescent="0.25">
      <c r="A9" t="s">
        <v>276</v>
      </c>
      <c r="B9" t="s">
        <v>33</v>
      </c>
      <c r="D9" t="s">
        <v>1143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1284</v>
      </c>
      <c r="L9" t="s">
        <v>904</v>
      </c>
      <c r="M9" t="s">
        <v>1291</v>
      </c>
      <c r="N9" t="s">
        <v>273</v>
      </c>
      <c r="O9">
        <v>845266</v>
      </c>
      <c r="P9">
        <v>9339297</v>
      </c>
      <c r="Q9" t="s">
        <v>1292</v>
      </c>
      <c r="R9" t="s">
        <v>1160</v>
      </c>
      <c r="S9" t="s">
        <v>868</v>
      </c>
      <c r="T9" s="11">
        <v>46234.698171296295</v>
      </c>
      <c r="U9" s="11"/>
      <c r="V9" s="11">
        <v>46294.698171296295</v>
      </c>
      <c r="W9" t="s">
        <v>1147</v>
      </c>
      <c r="X9" t="s">
        <v>278</v>
      </c>
      <c r="Y9" t="s">
        <v>1293</v>
      </c>
      <c r="Z9" t="s">
        <v>1125</v>
      </c>
      <c r="AA9" t="s">
        <v>1119</v>
      </c>
      <c r="AB9" s="41" t="s">
        <v>1463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5" ht="90" x14ac:dyDescent="0.25">
      <c r="A10" t="s">
        <v>272</v>
      </c>
      <c r="B10" t="s">
        <v>33</v>
      </c>
      <c r="D10" t="s">
        <v>1143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1284</v>
      </c>
      <c r="L10" t="s">
        <v>904</v>
      </c>
      <c r="M10" t="s">
        <v>1273</v>
      </c>
      <c r="N10" t="s">
        <v>270</v>
      </c>
      <c r="O10">
        <v>899501</v>
      </c>
      <c r="P10">
        <v>8714782</v>
      </c>
      <c r="Q10" t="s">
        <v>1290</v>
      </c>
      <c r="R10" t="s">
        <v>1140</v>
      </c>
      <c r="S10" t="s">
        <v>868</v>
      </c>
      <c r="T10" s="11">
        <v>46230.870405092595</v>
      </c>
      <c r="U10" s="11"/>
      <c r="V10" s="11">
        <v>46630.870405092595</v>
      </c>
      <c r="W10" t="s">
        <v>1147</v>
      </c>
      <c r="X10" t="s">
        <v>41</v>
      </c>
      <c r="Y10" t="s">
        <v>1288</v>
      </c>
      <c r="Z10" t="s">
        <v>1125</v>
      </c>
      <c r="AA10" t="s">
        <v>1119</v>
      </c>
      <c r="AB10" s="41" t="s">
        <v>1462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5" ht="90" x14ac:dyDescent="0.25">
      <c r="A11" t="s">
        <v>258</v>
      </c>
      <c r="B11" t="s">
        <v>33</v>
      </c>
      <c r="D11" t="s">
        <v>1167</v>
      </c>
      <c r="E11" t="s">
        <v>33</v>
      </c>
      <c r="F11" t="s">
        <v>33</v>
      </c>
      <c r="G11" t="s">
        <v>33</v>
      </c>
      <c r="H11" t="s">
        <v>33</v>
      </c>
      <c r="J11">
        <v>2026</v>
      </c>
      <c r="K11" t="s">
        <v>1284</v>
      </c>
      <c r="L11" t="s">
        <v>904</v>
      </c>
      <c r="M11" t="s">
        <v>1285</v>
      </c>
      <c r="N11" t="s">
        <v>256</v>
      </c>
      <c r="O11">
        <v>617420</v>
      </c>
      <c r="P11">
        <v>8830790</v>
      </c>
      <c r="Q11" t="s">
        <v>1286</v>
      </c>
      <c r="R11" t="s">
        <v>1160</v>
      </c>
      <c r="S11" t="s">
        <v>868</v>
      </c>
      <c r="T11" s="11">
        <v>46230.863125000003</v>
      </c>
      <c r="U11" s="11"/>
      <c r="V11" s="11">
        <v>46290.863125000003</v>
      </c>
      <c r="W11" t="s">
        <v>1116</v>
      </c>
      <c r="X11" t="s">
        <v>1287</v>
      </c>
      <c r="Y11" t="s">
        <v>1288</v>
      </c>
      <c r="Z11" t="s">
        <v>1125</v>
      </c>
      <c r="AA11" t="s">
        <v>1119</v>
      </c>
      <c r="AB11" s="41" t="s">
        <v>1289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5" ht="75" x14ac:dyDescent="0.25">
      <c r="A12" t="s">
        <v>250</v>
      </c>
      <c r="B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1150</v>
      </c>
      <c r="L12" t="s">
        <v>904</v>
      </c>
      <c r="M12" t="s">
        <v>1282</v>
      </c>
      <c r="N12" t="s">
        <v>248</v>
      </c>
      <c r="O12">
        <v>914121</v>
      </c>
      <c r="P12">
        <v>8704596</v>
      </c>
      <c r="Q12" t="s">
        <v>1283</v>
      </c>
      <c r="R12" t="s">
        <v>1140</v>
      </c>
      <c r="S12" t="s">
        <v>868</v>
      </c>
      <c r="T12" s="11">
        <v>46230.858159722222</v>
      </c>
      <c r="U12" s="11"/>
      <c r="V12" s="11">
        <v>46630.858159722222</v>
      </c>
      <c r="W12" t="s">
        <v>1147</v>
      </c>
      <c r="X12" t="s">
        <v>41</v>
      </c>
      <c r="Y12" t="s">
        <v>1153</v>
      </c>
      <c r="Z12" t="s">
        <v>1125</v>
      </c>
      <c r="AA12" t="s">
        <v>1119</v>
      </c>
      <c r="AB12" s="41" t="s">
        <v>1581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5" ht="45" x14ac:dyDescent="0.25">
      <c r="A13" t="s">
        <v>141</v>
      </c>
      <c r="B13" t="s">
        <v>33</v>
      </c>
      <c r="D13" t="s">
        <v>1167</v>
      </c>
      <c r="E13" t="s">
        <v>1111</v>
      </c>
      <c r="F13" t="s">
        <v>33</v>
      </c>
      <c r="G13" t="s">
        <v>33</v>
      </c>
      <c r="H13" t="s">
        <v>33</v>
      </c>
      <c r="J13">
        <v>2026</v>
      </c>
      <c r="K13" t="s">
        <v>1112</v>
      </c>
      <c r="L13" t="s">
        <v>904</v>
      </c>
      <c r="M13" t="s">
        <v>1278</v>
      </c>
      <c r="N13" t="s">
        <v>139</v>
      </c>
      <c r="O13">
        <v>794667</v>
      </c>
      <c r="P13">
        <v>8603359</v>
      </c>
      <c r="Q13" t="s">
        <v>1279</v>
      </c>
      <c r="R13" t="s">
        <v>1115</v>
      </c>
      <c r="S13" t="s">
        <v>868</v>
      </c>
      <c r="T13" s="11">
        <v>46230.822870370372</v>
      </c>
      <c r="U13" s="11"/>
      <c r="V13" s="11">
        <v>46233.822870370372</v>
      </c>
      <c r="W13" t="s">
        <v>1116</v>
      </c>
      <c r="X13" t="s">
        <v>143</v>
      </c>
      <c r="Y13" t="s">
        <v>1280</v>
      </c>
      <c r="Z13" t="s">
        <v>1125</v>
      </c>
      <c r="AA13" t="s">
        <v>1119</v>
      </c>
      <c r="AB13" s="41" t="s">
        <v>1281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5" ht="75" x14ac:dyDescent="0.25">
      <c r="A14" t="s">
        <v>39</v>
      </c>
      <c r="B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J14">
        <v>2026</v>
      </c>
      <c r="K14" t="s">
        <v>1112</v>
      </c>
      <c r="L14" t="s">
        <v>875</v>
      </c>
      <c r="M14" t="s">
        <v>1273</v>
      </c>
      <c r="N14" t="s">
        <v>35</v>
      </c>
      <c r="O14">
        <v>905857</v>
      </c>
      <c r="P14">
        <v>8717852</v>
      </c>
      <c r="Q14" t="s">
        <v>1274</v>
      </c>
      <c r="R14" t="s">
        <v>1275</v>
      </c>
      <c r="S14" t="s">
        <v>868</v>
      </c>
      <c r="T14" s="11">
        <v>46230.725289351853</v>
      </c>
      <c r="U14" s="11"/>
      <c r="V14" s="11">
        <v>46410.725289351853</v>
      </c>
      <c r="W14" t="s">
        <v>1147</v>
      </c>
      <c r="X14" t="s">
        <v>41</v>
      </c>
      <c r="Y14" t="s">
        <v>1276</v>
      </c>
      <c r="Z14" t="s">
        <v>1125</v>
      </c>
      <c r="AA14" t="s">
        <v>1119</v>
      </c>
      <c r="AB14" s="41" t="s">
        <v>1277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5" ht="135" x14ac:dyDescent="0.25">
      <c r="A15" t="s">
        <v>199</v>
      </c>
      <c r="B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J15">
        <v>2026</v>
      </c>
      <c r="K15" t="s">
        <v>1112</v>
      </c>
      <c r="L15" t="s">
        <v>904</v>
      </c>
      <c r="M15" t="s">
        <v>1248</v>
      </c>
      <c r="N15" t="s">
        <v>195</v>
      </c>
      <c r="O15">
        <v>754714</v>
      </c>
      <c r="P15">
        <v>8906531</v>
      </c>
      <c r="Q15" t="s">
        <v>1272</v>
      </c>
      <c r="R15" t="s">
        <v>1115</v>
      </c>
      <c r="S15" t="s">
        <v>868</v>
      </c>
      <c r="T15" s="11">
        <v>46227.605300925927</v>
      </c>
      <c r="U15" s="11"/>
      <c r="V15" s="11">
        <v>46230.605300925927</v>
      </c>
      <c r="W15" t="s">
        <v>1259</v>
      </c>
      <c r="X15" t="s">
        <v>201</v>
      </c>
      <c r="Y15" t="s">
        <v>1148</v>
      </c>
      <c r="Z15" t="s">
        <v>1125</v>
      </c>
      <c r="AA15" t="s">
        <v>1119</v>
      </c>
      <c r="AB15" s="41" t="s">
        <v>1461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5" ht="150" x14ac:dyDescent="0.25">
      <c r="A16" t="s">
        <v>239</v>
      </c>
      <c r="B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J16">
        <v>2026</v>
      </c>
      <c r="K16" t="s">
        <v>1137</v>
      </c>
      <c r="L16" t="s">
        <v>904</v>
      </c>
      <c r="M16" t="s">
        <v>1256</v>
      </c>
      <c r="N16" t="s">
        <v>237</v>
      </c>
      <c r="O16">
        <v>876869</v>
      </c>
      <c r="P16">
        <v>8859703</v>
      </c>
      <c r="Q16" t="s">
        <v>1270</v>
      </c>
      <c r="R16" t="s">
        <v>1140</v>
      </c>
      <c r="S16" t="s">
        <v>868</v>
      </c>
      <c r="T16" s="11">
        <v>46225.337175925924</v>
      </c>
      <c r="U16" s="11"/>
      <c r="V16" s="11">
        <v>46625.337175925924</v>
      </c>
      <c r="W16" t="s">
        <v>1135</v>
      </c>
      <c r="X16" t="s">
        <v>240</v>
      </c>
      <c r="Y16" t="s">
        <v>1218</v>
      </c>
      <c r="Z16" t="s">
        <v>1118</v>
      </c>
      <c r="AA16" t="s">
        <v>1119</v>
      </c>
      <c r="AB16" s="41" t="s">
        <v>1271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105" x14ac:dyDescent="0.25">
      <c r="A17" t="s">
        <v>289</v>
      </c>
      <c r="B17" t="s">
        <v>33</v>
      </c>
      <c r="D17" t="s">
        <v>1267</v>
      </c>
      <c r="E17" t="s">
        <v>1127</v>
      </c>
      <c r="F17" t="s">
        <v>33</v>
      </c>
      <c r="G17" t="s">
        <v>33</v>
      </c>
      <c r="H17" t="s">
        <v>33</v>
      </c>
      <c r="J17">
        <v>2026</v>
      </c>
      <c r="K17" t="s">
        <v>1112</v>
      </c>
      <c r="L17" t="s">
        <v>904</v>
      </c>
      <c r="M17" t="s">
        <v>1268</v>
      </c>
      <c r="N17" t="s">
        <v>288</v>
      </c>
      <c r="O17">
        <v>778551</v>
      </c>
      <c r="P17">
        <v>9084968</v>
      </c>
      <c r="Q17" t="s">
        <v>1269</v>
      </c>
      <c r="R17" t="s">
        <v>1115</v>
      </c>
      <c r="S17" t="s">
        <v>868</v>
      </c>
      <c r="T17" s="11">
        <v>46224.732754629629</v>
      </c>
      <c r="U17" s="11"/>
      <c r="V17" s="11">
        <v>46227.732754629629</v>
      </c>
      <c r="W17" t="s">
        <v>1147</v>
      </c>
      <c r="X17" t="s">
        <v>291</v>
      </c>
      <c r="Y17" t="s">
        <v>1130</v>
      </c>
      <c r="Z17" t="s">
        <v>1125</v>
      </c>
      <c r="AA17" t="s">
        <v>1119</v>
      </c>
      <c r="AB17" s="41" t="s">
        <v>1460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90" x14ac:dyDescent="0.25">
      <c r="A18" t="s">
        <v>47</v>
      </c>
      <c r="B18" t="s">
        <v>33</v>
      </c>
      <c r="D18" t="s">
        <v>1167</v>
      </c>
      <c r="E18" t="s">
        <v>1111</v>
      </c>
      <c r="F18" t="s">
        <v>33</v>
      </c>
      <c r="G18" t="s">
        <v>33</v>
      </c>
      <c r="H18" t="s">
        <v>33</v>
      </c>
      <c r="J18">
        <v>2026</v>
      </c>
      <c r="K18" t="s">
        <v>1112</v>
      </c>
      <c r="L18" t="s">
        <v>904</v>
      </c>
      <c r="M18" t="s">
        <v>1265</v>
      </c>
      <c r="N18" t="s">
        <v>44</v>
      </c>
      <c r="O18">
        <v>807531</v>
      </c>
      <c r="P18">
        <v>9202999</v>
      </c>
      <c r="Q18" t="s">
        <v>1266</v>
      </c>
      <c r="R18" t="s">
        <v>1115</v>
      </c>
      <c r="S18" t="s">
        <v>868</v>
      </c>
      <c r="T18" s="11">
        <v>46223.801192129627</v>
      </c>
      <c r="U18" s="11"/>
      <c r="V18" s="11">
        <v>46226.801192129627</v>
      </c>
      <c r="W18" t="s">
        <v>1116</v>
      </c>
      <c r="X18" t="s">
        <v>20</v>
      </c>
      <c r="Y18" t="s">
        <v>1117</v>
      </c>
      <c r="Z18" t="s">
        <v>1118</v>
      </c>
      <c r="AA18" t="s">
        <v>1119</v>
      </c>
      <c r="AB18" s="41" t="s">
        <v>1580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60" x14ac:dyDescent="0.25">
      <c r="A19" t="s">
        <v>110</v>
      </c>
      <c r="B19" t="s">
        <v>33</v>
      </c>
      <c r="D19" t="s">
        <v>1225</v>
      </c>
      <c r="E19" t="s">
        <v>1190</v>
      </c>
      <c r="F19" t="s">
        <v>33</v>
      </c>
      <c r="G19" t="s">
        <v>33</v>
      </c>
      <c r="H19" t="s">
        <v>33</v>
      </c>
      <c r="J19">
        <v>2026</v>
      </c>
      <c r="K19" t="s">
        <v>1112</v>
      </c>
      <c r="L19" t="s">
        <v>904</v>
      </c>
      <c r="M19" t="s">
        <v>1263</v>
      </c>
      <c r="N19" t="s">
        <v>107</v>
      </c>
      <c r="O19">
        <v>779435</v>
      </c>
      <c r="P19">
        <v>9138624</v>
      </c>
      <c r="Q19" t="s">
        <v>1264</v>
      </c>
      <c r="R19" t="s">
        <v>1115</v>
      </c>
      <c r="S19" t="s">
        <v>868</v>
      </c>
      <c r="T19" s="11">
        <v>46223.584999999999</v>
      </c>
      <c r="U19" s="11"/>
      <c r="V19" s="11">
        <v>46226.584999999999</v>
      </c>
      <c r="W19" t="s">
        <v>1147</v>
      </c>
      <c r="X19" t="s">
        <v>934</v>
      </c>
      <c r="Y19" t="s">
        <v>1124</v>
      </c>
      <c r="Z19" t="s">
        <v>1125</v>
      </c>
      <c r="AA19" t="s">
        <v>1119</v>
      </c>
      <c r="AB19" s="41" t="s">
        <v>1459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135" x14ac:dyDescent="0.25">
      <c r="A20" t="s">
        <v>131</v>
      </c>
      <c r="B20" t="s">
        <v>33</v>
      </c>
      <c r="D20" t="s">
        <v>1167</v>
      </c>
      <c r="E20" t="s">
        <v>1111</v>
      </c>
      <c r="F20" t="s">
        <v>33</v>
      </c>
      <c r="G20" t="s">
        <v>33</v>
      </c>
      <c r="H20" t="s">
        <v>33</v>
      </c>
      <c r="J20">
        <v>2026</v>
      </c>
      <c r="K20" t="s">
        <v>1112</v>
      </c>
      <c r="L20" t="s">
        <v>904</v>
      </c>
      <c r="M20" t="s">
        <v>1260</v>
      </c>
      <c r="N20" t="s">
        <v>129</v>
      </c>
      <c r="O20">
        <v>793770</v>
      </c>
      <c r="P20">
        <v>8842597</v>
      </c>
      <c r="Q20" t="s">
        <v>1261</v>
      </c>
      <c r="R20" t="s">
        <v>1115</v>
      </c>
      <c r="S20" t="s">
        <v>868</v>
      </c>
      <c r="T20" s="11">
        <v>46223.430960648147</v>
      </c>
      <c r="U20" s="11"/>
      <c r="V20" s="11">
        <v>46226.430960648147</v>
      </c>
      <c r="W20" t="s">
        <v>1116</v>
      </c>
      <c r="X20" t="s">
        <v>67</v>
      </c>
      <c r="Y20" t="s">
        <v>1179</v>
      </c>
      <c r="Z20" t="s">
        <v>1125</v>
      </c>
      <c r="AA20" t="s">
        <v>1119</v>
      </c>
      <c r="AB20" s="41" t="s">
        <v>1262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75" x14ac:dyDescent="0.25">
      <c r="A21" t="s">
        <v>216</v>
      </c>
      <c r="B21" t="s">
        <v>33</v>
      </c>
      <c r="D21" t="s">
        <v>1167</v>
      </c>
      <c r="E21" t="s">
        <v>1127</v>
      </c>
      <c r="F21" t="s">
        <v>33</v>
      </c>
      <c r="G21" t="s">
        <v>33</v>
      </c>
      <c r="H21" t="s">
        <v>33</v>
      </c>
      <c r="J21">
        <v>2026</v>
      </c>
      <c r="K21" t="s">
        <v>1112</v>
      </c>
      <c r="L21" t="s">
        <v>904</v>
      </c>
      <c r="M21" t="s">
        <v>1256</v>
      </c>
      <c r="N21" t="s">
        <v>213</v>
      </c>
      <c r="O21">
        <v>798247</v>
      </c>
      <c r="P21">
        <v>8867579</v>
      </c>
      <c r="Q21" t="s">
        <v>1257</v>
      </c>
      <c r="R21" t="s">
        <v>1115</v>
      </c>
      <c r="S21" t="s">
        <v>868</v>
      </c>
      <c r="T21" s="11">
        <v>46219.453206018516</v>
      </c>
      <c r="U21" s="11"/>
      <c r="V21" s="11">
        <v>46222.453206018516</v>
      </c>
      <c r="W21" t="s">
        <v>1116</v>
      </c>
      <c r="X21" t="s">
        <v>27</v>
      </c>
      <c r="Y21" t="s">
        <v>1179</v>
      </c>
      <c r="Z21" t="s">
        <v>1125</v>
      </c>
      <c r="AA21" t="s">
        <v>1119</v>
      </c>
      <c r="AB21" s="41" t="s">
        <v>1258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30" x14ac:dyDescent="0.25">
      <c r="A22" t="s">
        <v>285</v>
      </c>
      <c r="B22" t="s">
        <v>33</v>
      </c>
      <c r="D22" t="s">
        <v>1110</v>
      </c>
      <c r="E22" t="s">
        <v>1121</v>
      </c>
      <c r="F22" t="s">
        <v>33</v>
      </c>
      <c r="G22" t="s">
        <v>33</v>
      </c>
      <c r="H22" t="s">
        <v>33</v>
      </c>
      <c r="J22">
        <v>2026</v>
      </c>
      <c r="K22" t="s">
        <v>1112</v>
      </c>
      <c r="L22" t="s">
        <v>904</v>
      </c>
      <c r="M22" t="s">
        <v>1252</v>
      </c>
      <c r="N22" t="s">
        <v>284</v>
      </c>
      <c r="O22">
        <v>819863</v>
      </c>
      <c r="P22">
        <v>9070549</v>
      </c>
      <c r="Q22" t="s">
        <v>1253</v>
      </c>
      <c r="R22" t="s">
        <v>1115</v>
      </c>
      <c r="S22" t="s">
        <v>868</v>
      </c>
      <c r="T22" s="11">
        <v>46219.382604166669</v>
      </c>
      <c r="U22" s="11"/>
      <c r="V22" s="11">
        <v>46222.382604166669</v>
      </c>
      <c r="W22" t="s">
        <v>1135</v>
      </c>
      <c r="X22" t="s">
        <v>287</v>
      </c>
      <c r="Y22" t="s">
        <v>1254</v>
      </c>
      <c r="Z22" t="s">
        <v>1118</v>
      </c>
      <c r="AA22" t="s">
        <v>1119</v>
      </c>
      <c r="AB22" s="41" t="s">
        <v>1255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105" x14ac:dyDescent="0.25">
      <c r="A23" t="s">
        <v>269</v>
      </c>
      <c r="B23" t="s">
        <v>33</v>
      </c>
      <c r="D23" t="s">
        <v>1167</v>
      </c>
      <c r="E23" t="s">
        <v>1127</v>
      </c>
      <c r="F23" t="s">
        <v>33</v>
      </c>
      <c r="G23" t="s">
        <v>33</v>
      </c>
      <c r="H23" t="s">
        <v>33</v>
      </c>
      <c r="J23">
        <v>2026</v>
      </c>
      <c r="K23" t="s">
        <v>1137</v>
      </c>
      <c r="L23" t="s">
        <v>904</v>
      </c>
      <c r="M23" t="s">
        <v>1248</v>
      </c>
      <c r="N23" t="s">
        <v>266</v>
      </c>
      <c r="O23">
        <v>765777</v>
      </c>
      <c r="P23">
        <v>8894217</v>
      </c>
      <c r="Q23" t="s">
        <v>1249</v>
      </c>
      <c r="R23" t="s">
        <v>1115</v>
      </c>
      <c r="S23" t="s">
        <v>868</v>
      </c>
      <c r="T23" s="11">
        <v>46218.457800925928</v>
      </c>
      <c r="U23" s="11"/>
      <c r="V23" s="11">
        <v>46221.457800925928</v>
      </c>
      <c r="W23" t="s">
        <v>1116</v>
      </c>
      <c r="X23" t="s">
        <v>106</v>
      </c>
      <c r="Y23" t="s">
        <v>1250</v>
      </c>
      <c r="Z23" t="s">
        <v>1125</v>
      </c>
      <c r="AA23" t="s">
        <v>1119</v>
      </c>
      <c r="AB23" s="41" t="s">
        <v>1251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120" x14ac:dyDescent="0.25">
      <c r="A24" t="s">
        <v>65</v>
      </c>
      <c r="B24" t="s">
        <v>33</v>
      </c>
      <c r="D24" t="s">
        <v>1110</v>
      </c>
      <c r="E24" t="s">
        <v>1184</v>
      </c>
      <c r="F24" t="s">
        <v>33</v>
      </c>
      <c r="G24" t="s">
        <v>33</v>
      </c>
      <c r="H24" t="s">
        <v>33</v>
      </c>
      <c r="J24">
        <v>2026</v>
      </c>
      <c r="K24" t="s">
        <v>1112</v>
      </c>
      <c r="L24" t="s">
        <v>904</v>
      </c>
      <c r="M24" t="s">
        <v>1244</v>
      </c>
      <c r="N24" t="s">
        <v>62</v>
      </c>
      <c r="O24">
        <v>787930</v>
      </c>
      <c r="P24">
        <v>8828052</v>
      </c>
      <c r="Q24" t="s">
        <v>1245</v>
      </c>
      <c r="R24" t="s">
        <v>1160</v>
      </c>
      <c r="S24" t="s">
        <v>868</v>
      </c>
      <c r="T24" s="11">
        <v>46216.799375000002</v>
      </c>
      <c r="U24" s="11"/>
      <c r="V24" s="11">
        <v>46276.799375000002</v>
      </c>
      <c r="W24" t="s">
        <v>1116</v>
      </c>
      <c r="X24" t="s">
        <v>67</v>
      </c>
      <c r="Y24" t="s">
        <v>1246</v>
      </c>
      <c r="Z24" t="s">
        <v>1125</v>
      </c>
      <c r="AA24" t="s">
        <v>1119</v>
      </c>
      <c r="AB24" s="41" t="s">
        <v>1247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60" x14ac:dyDescent="0.25">
      <c r="A25" t="s">
        <v>282</v>
      </c>
      <c r="B25" t="s">
        <v>33</v>
      </c>
      <c r="D25" t="s">
        <v>1167</v>
      </c>
      <c r="E25" t="s">
        <v>1111</v>
      </c>
      <c r="F25" t="s">
        <v>33</v>
      </c>
      <c r="G25" t="s">
        <v>33</v>
      </c>
      <c r="H25" t="s">
        <v>33</v>
      </c>
      <c r="J25">
        <v>2026</v>
      </c>
      <c r="K25" t="s">
        <v>1112</v>
      </c>
      <c r="L25" t="s">
        <v>904</v>
      </c>
      <c r="M25" t="s">
        <v>1240</v>
      </c>
      <c r="N25" t="s">
        <v>279</v>
      </c>
      <c r="O25">
        <v>623917</v>
      </c>
      <c r="P25">
        <v>8934104</v>
      </c>
      <c r="Q25" t="s">
        <v>1241</v>
      </c>
      <c r="R25" t="s">
        <v>1115</v>
      </c>
      <c r="S25" t="s">
        <v>868</v>
      </c>
      <c r="T25" s="11">
        <v>46216.483842592592</v>
      </c>
      <c r="U25" s="11"/>
      <c r="V25" s="11">
        <v>46219.483842592592</v>
      </c>
      <c r="W25" t="s">
        <v>1116</v>
      </c>
      <c r="X25" t="s">
        <v>155</v>
      </c>
      <c r="Y25" t="s">
        <v>1242</v>
      </c>
      <c r="Z25" t="s">
        <v>1125</v>
      </c>
      <c r="AA25" t="s">
        <v>1119</v>
      </c>
      <c r="AB25" s="41" t="s">
        <v>1243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60" x14ac:dyDescent="0.25">
      <c r="A26" t="s">
        <v>210</v>
      </c>
      <c r="B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J26">
        <v>2026</v>
      </c>
      <c r="K26" t="s">
        <v>1112</v>
      </c>
      <c r="L26" t="s">
        <v>904</v>
      </c>
      <c r="M26" t="s">
        <v>1235</v>
      </c>
      <c r="N26" t="s">
        <v>208</v>
      </c>
      <c r="Q26" t="s">
        <v>1236</v>
      </c>
      <c r="R26" t="s">
        <v>1115</v>
      </c>
      <c r="S26" t="s">
        <v>868</v>
      </c>
      <c r="T26" s="11">
        <v>46211.427233796298</v>
      </c>
      <c r="U26" s="11"/>
      <c r="V26" s="11">
        <v>46214.427233796298</v>
      </c>
      <c r="W26" t="s">
        <v>1237</v>
      </c>
      <c r="X26" t="s">
        <v>33</v>
      </c>
      <c r="Y26" t="s">
        <v>1238</v>
      </c>
      <c r="Z26" t="s">
        <v>33</v>
      </c>
      <c r="AA26" t="s">
        <v>1119</v>
      </c>
      <c r="AB26" s="41" t="s">
        <v>1239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90" x14ac:dyDescent="0.25">
      <c r="A27" t="s">
        <v>32</v>
      </c>
      <c r="B27" t="s">
        <v>33</v>
      </c>
      <c r="D27" t="s">
        <v>1167</v>
      </c>
      <c r="E27" t="s">
        <v>1111</v>
      </c>
      <c r="F27" t="s">
        <v>33</v>
      </c>
      <c r="G27" t="s">
        <v>33</v>
      </c>
      <c r="H27" t="s">
        <v>33</v>
      </c>
      <c r="J27">
        <v>2026</v>
      </c>
      <c r="K27" t="s">
        <v>1112</v>
      </c>
      <c r="L27" t="s">
        <v>904</v>
      </c>
      <c r="M27" t="s">
        <v>1226</v>
      </c>
      <c r="N27" t="s">
        <v>30</v>
      </c>
      <c r="O27">
        <v>851948</v>
      </c>
      <c r="P27">
        <v>8950905</v>
      </c>
      <c r="Q27" t="s">
        <v>1232</v>
      </c>
      <c r="R27" t="s">
        <v>1115</v>
      </c>
      <c r="S27" t="s">
        <v>868</v>
      </c>
      <c r="T27" s="11">
        <v>46211.425625000003</v>
      </c>
      <c r="U27" s="11"/>
      <c r="V27" s="11">
        <v>46214.425625000003</v>
      </c>
      <c r="W27" t="s">
        <v>1116</v>
      </c>
      <c r="X27" t="s">
        <v>34</v>
      </c>
      <c r="Y27" t="s">
        <v>1233</v>
      </c>
      <c r="Z27" t="s">
        <v>1125</v>
      </c>
      <c r="AA27" t="s">
        <v>1119</v>
      </c>
      <c r="AB27" s="41" t="s">
        <v>1234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75" x14ac:dyDescent="0.25">
      <c r="A28" t="s">
        <v>224</v>
      </c>
      <c r="B28" t="s">
        <v>33</v>
      </c>
      <c r="D28" t="s">
        <v>1167</v>
      </c>
      <c r="E28" t="s">
        <v>1121</v>
      </c>
      <c r="F28" t="s">
        <v>33</v>
      </c>
      <c r="G28" t="s">
        <v>33</v>
      </c>
      <c r="H28" t="s">
        <v>33</v>
      </c>
      <c r="J28">
        <v>2026</v>
      </c>
      <c r="K28" t="s">
        <v>1137</v>
      </c>
      <c r="L28" t="s">
        <v>904</v>
      </c>
      <c r="M28" t="s">
        <v>1229</v>
      </c>
      <c r="N28" t="s">
        <v>222</v>
      </c>
      <c r="O28">
        <v>794701</v>
      </c>
      <c r="P28">
        <v>8603487</v>
      </c>
      <c r="Q28" t="s">
        <v>1230</v>
      </c>
      <c r="R28" t="s">
        <v>1160</v>
      </c>
      <c r="S28" t="s">
        <v>868</v>
      </c>
      <c r="T28" s="11">
        <v>46210.655405092592</v>
      </c>
      <c r="U28" s="11"/>
      <c r="V28" s="11">
        <v>46270.655405092592</v>
      </c>
      <c r="W28" t="s">
        <v>1116</v>
      </c>
      <c r="X28" t="s">
        <v>143</v>
      </c>
      <c r="Y28" t="s">
        <v>1218</v>
      </c>
      <c r="Z28" t="s">
        <v>1125</v>
      </c>
      <c r="AA28" t="s">
        <v>1119</v>
      </c>
      <c r="AB28" s="41" t="s">
        <v>1231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120" x14ac:dyDescent="0.25">
      <c r="A29" t="s">
        <v>188</v>
      </c>
      <c r="B29" t="s">
        <v>33</v>
      </c>
      <c r="D29" t="s">
        <v>1225</v>
      </c>
      <c r="E29" t="s">
        <v>1127</v>
      </c>
      <c r="F29" t="s">
        <v>33</v>
      </c>
      <c r="G29" t="s">
        <v>33</v>
      </c>
      <c r="H29" t="s">
        <v>33</v>
      </c>
      <c r="J29">
        <v>2026</v>
      </c>
      <c r="K29" t="s">
        <v>1112</v>
      </c>
      <c r="L29" t="s">
        <v>904</v>
      </c>
      <c r="M29" t="s">
        <v>1226</v>
      </c>
      <c r="N29" t="s">
        <v>186</v>
      </c>
      <c r="O29">
        <v>835984</v>
      </c>
      <c r="P29">
        <v>8971402</v>
      </c>
      <c r="Q29" t="s">
        <v>1227</v>
      </c>
      <c r="R29" t="s">
        <v>1115</v>
      </c>
      <c r="S29" t="s">
        <v>868</v>
      </c>
      <c r="T29" s="11">
        <v>46210.644050925926</v>
      </c>
      <c r="U29" s="11"/>
      <c r="V29" s="11">
        <v>46213.644050925926</v>
      </c>
      <c r="W29" t="s">
        <v>1116</v>
      </c>
      <c r="X29" t="s">
        <v>170</v>
      </c>
      <c r="Y29" t="s">
        <v>1228</v>
      </c>
      <c r="Z29" t="s">
        <v>1125</v>
      </c>
      <c r="AA29" t="s">
        <v>1119</v>
      </c>
      <c r="AB29" s="41" t="s">
        <v>1579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60" x14ac:dyDescent="0.25">
      <c r="A30" t="s">
        <v>18</v>
      </c>
      <c r="B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J30">
        <v>2026</v>
      </c>
      <c r="K30" t="s">
        <v>1150</v>
      </c>
      <c r="L30" t="s">
        <v>904</v>
      </c>
      <c r="M30" t="s">
        <v>1222</v>
      </c>
      <c r="N30" t="s">
        <v>13</v>
      </c>
      <c r="O30">
        <v>808350</v>
      </c>
      <c r="P30">
        <v>9204335</v>
      </c>
      <c r="Q30" t="s">
        <v>1223</v>
      </c>
      <c r="R30" t="s">
        <v>1140</v>
      </c>
      <c r="S30" t="s">
        <v>868</v>
      </c>
      <c r="T30" s="11">
        <v>46210.64199074074</v>
      </c>
      <c r="U30" s="11"/>
      <c r="V30" s="11">
        <v>46610.64199074074</v>
      </c>
      <c r="W30" t="s">
        <v>1224</v>
      </c>
      <c r="X30" t="s">
        <v>20</v>
      </c>
      <c r="Y30" t="s">
        <v>1153</v>
      </c>
      <c r="Z30" t="s">
        <v>1118</v>
      </c>
      <c r="AA30" t="s">
        <v>1119</v>
      </c>
      <c r="AB30" s="41" t="s">
        <v>1578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120" x14ac:dyDescent="0.25">
      <c r="A31" t="s">
        <v>191</v>
      </c>
      <c r="B31" t="s">
        <v>33</v>
      </c>
      <c r="D31" t="s">
        <v>1167</v>
      </c>
      <c r="E31" t="s">
        <v>33</v>
      </c>
      <c r="F31" t="s">
        <v>33</v>
      </c>
      <c r="G31" t="s">
        <v>33</v>
      </c>
      <c r="H31" t="s">
        <v>33</v>
      </c>
      <c r="J31">
        <v>2026</v>
      </c>
      <c r="K31" t="s">
        <v>1137</v>
      </c>
      <c r="L31" t="s">
        <v>904</v>
      </c>
      <c r="M31" t="s">
        <v>1219</v>
      </c>
      <c r="N31" t="s">
        <v>189</v>
      </c>
      <c r="O31">
        <v>825557</v>
      </c>
      <c r="P31">
        <v>9381653</v>
      </c>
      <c r="Q31" t="s">
        <v>1220</v>
      </c>
      <c r="R31" t="s">
        <v>1160</v>
      </c>
      <c r="S31" t="s">
        <v>868</v>
      </c>
      <c r="T31" s="11">
        <v>46210.641493055555</v>
      </c>
      <c r="U31" s="11"/>
      <c r="V31" s="11">
        <v>46270.641493055555</v>
      </c>
      <c r="W31" t="s">
        <v>1135</v>
      </c>
      <c r="X31" t="s">
        <v>193</v>
      </c>
      <c r="Y31" t="s">
        <v>1141</v>
      </c>
      <c r="Z31" t="s">
        <v>1125</v>
      </c>
      <c r="AA31" t="s">
        <v>1119</v>
      </c>
      <c r="AB31" s="41" t="s">
        <v>1221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105" x14ac:dyDescent="0.25">
      <c r="A32" t="s">
        <v>244</v>
      </c>
      <c r="B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1112</v>
      </c>
      <c r="L32" t="s">
        <v>904</v>
      </c>
      <c r="M32" t="s">
        <v>1211</v>
      </c>
      <c r="N32" t="s">
        <v>241</v>
      </c>
      <c r="O32">
        <v>689369</v>
      </c>
      <c r="P32">
        <v>8746092</v>
      </c>
      <c r="Q32" t="s">
        <v>1212</v>
      </c>
      <c r="R32" t="s">
        <v>1115</v>
      </c>
      <c r="S32" t="s">
        <v>868</v>
      </c>
      <c r="T32" s="11">
        <v>46183.659733796296</v>
      </c>
      <c r="U32" s="11"/>
      <c r="V32" s="11">
        <v>46186.659733796296</v>
      </c>
      <c r="W32" t="s">
        <v>1213</v>
      </c>
      <c r="X32" t="s">
        <v>246</v>
      </c>
      <c r="Y32" t="s">
        <v>1214</v>
      </c>
      <c r="Z32" t="s">
        <v>1118</v>
      </c>
      <c r="AA32" t="s">
        <v>1119</v>
      </c>
      <c r="AB32" s="41" t="s">
        <v>1215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45" x14ac:dyDescent="0.25">
      <c r="A33" t="s">
        <v>255</v>
      </c>
      <c r="B33" t="s">
        <v>33</v>
      </c>
      <c r="D33" t="s">
        <v>1143</v>
      </c>
      <c r="E33" t="s">
        <v>1121</v>
      </c>
      <c r="F33" t="s">
        <v>33</v>
      </c>
      <c r="G33" t="s">
        <v>33</v>
      </c>
      <c r="H33" t="s">
        <v>33</v>
      </c>
      <c r="J33">
        <v>2026</v>
      </c>
      <c r="K33" t="s">
        <v>1112</v>
      </c>
      <c r="L33" t="s">
        <v>904</v>
      </c>
      <c r="M33" t="s">
        <v>1207</v>
      </c>
      <c r="N33" t="s">
        <v>252</v>
      </c>
      <c r="O33">
        <v>782353</v>
      </c>
      <c r="P33">
        <v>8664418</v>
      </c>
      <c r="Q33" t="s">
        <v>1208</v>
      </c>
      <c r="R33" t="s">
        <v>1115</v>
      </c>
      <c r="S33" t="s">
        <v>868</v>
      </c>
      <c r="T33" s="11">
        <v>46160.578229166669</v>
      </c>
      <c r="U33" s="11"/>
      <c r="V33" s="11">
        <v>46163.578229166669</v>
      </c>
      <c r="W33" t="s">
        <v>1147</v>
      </c>
      <c r="X33" t="s">
        <v>144</v>
      </c>
      <c r="Y33" t="s">
        <v>1209</v>
      </c>
      <c r="Z33" t="s">
        <v>1125</v>
      </c>
      <c r="AA33" t="s">
        <v>1119</v>
      </c>
      <c r="AB33" s="41" t="s">
        <v>1210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75" x14ac:dyDescent="0.25">
      <c r="A34" t="s">
        <v>78</v>
      </c>
      <c r="B34" t="s">
        <v>33</v>
      </c>
      <c r="D34" t="s">
        <v>1110</v>
      </c>
      <c r="E34" t="s">
        <v>1111</v>
      </c>
      <c r="F34" t="s">
        <v>33</v>
      </c>
      <c r="G34" t="s">
        <v>33</v>
      </c>
      <c r="H34" t="s">
        <v>33</v>
      </c>
      <c r="J34">
        <v>2026</v>
      </c>
      <c r="K34" t="s">
        <v>1112</v>
      </c>
      <c r="L34" t="s">
        <v>904</v>
      </c>
      <c r="M34" t="s">
        <v>1204</v>
      </c>
      <c r="N34" t="s">
        <v>75</v>
      </c>
      <c r="O34">
        <v>727212</v>
      </c>
      <c r="P34">
        <v>8773164</v>
      </c>
      <c r="Q34" t="s">
        <v>1205</v>
      </c>
      <c r="R34" t="s">
        <v>1115</v>
      </c>
      <c r="S34" t="s">
        <v>868</v>
      </c>
      <c r="T34" s="11">
        <v>46139.616099537037</v>
      </c>
      <c r="U34" s="11"/>
      <c r="V34" s="11">
        <v>46142.616099537037</v>
      </c>
      <c r="W34" t="s">
        <v>1116</v>
      </c>
      <c r="X34" t="s">
        <v>80</v>
      </c>
      <c r="Y34" t="s">
        <v>1117</v>
      </c>
      <c r="Z34" t="s">
        <v>1125</v>
      </c>
      <c r="AA34" t="s">
        <v>1119</v>
      </c>
      <c r="AB34" s="41" t="s">
        <v>1206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90" x14ac:dyDescent="0.25">
      <c r="A35" t="s">
        <v>97</v>
      </c>
      <c r="B35" t="s">
        <v>33</v>
      </c>
      <c r="D35" t="s">
        <v>1167</v>
      </c>
      <c r="E35" t="s">
        <v>1198</v>
      </c>
      <c r="F35" t="s">
        <v>33</v>
      </c>
      <c r="G35" t="s">
        <v>33</v>
      </c>
      <c r="H35" t="s">
        <v>33</v>
      </c>
      <c r="J35">
        <v>2026</v>
      </c>
      <c r="K35" t="s">
        <v>1199</v>
      </c>
      <c r="L35" t="s">
        <v>904</v>
      </c>
      <c r="M35" t="s">
        <v>1200</v>
      </c>
      <c r="N35" t="s">
        <v>94</v>
      </c>
      <c r="O35">
        <v>718799</v>
      </c>
      <c r="P35">
        <v>8867765</v>
      </c>
      <c r="Q35" t="s">
        <v>1201</v>
      </c>
      <c r="R35" t="s">
        <v>1160</v>
      </c>
      <c r="S35" t="s">
        <v>868</v>
      </c>
      <c r="T35" s="11">
        <v>46135.332002314812</v>
      </c>
      <c r="U35" s="11"/>
      <c r="V35" s="11">
        <v>46195.332002314812</v>
      </c>
      <c r="W35" t="s">
        <v>1135</v>
      </c>
      <c r="X35" t="s">
        <v>99</v>
      </c>
      <c r="Y35" t="s">
        <v>1202</v>
      </c>
      <c r="Z35" t="s">
        <v>1125</v>
      </c>
      <c r="AA35" t="s">
        <v>1119</v>
      </c>
      <c r="AB35" s="41" t="s">
        <v>1203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120" x14ac:dyDescent="0.25">
      <c r="A36" t="s">
        <v>153</v>
      </c>
      <c r="B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J36">
        <v>2026</v>
      </c>
      <c r="K36" t="s">
        <v>1137</v>
      </c>
      <c r="L36" t="s">
        <v>904</v>
      </c>
      <c r="M36" t="s">
        <v>1195</v>
      </c>
      <c r="N36" t="s">
        <v>150</v>
      </c>
      <c r="O36">
        <v>630275</v>
      </c>
      <c r="P36">
        <v>8986227</v>
      </c>
      <c r="Q36" t="s">
        <v>1196</v>
      </c>
      <c r="R36" t="s">
        <v>1140</v>
      </c>
      <c r="S36" t="s">
        <v>868</v>
      </c>
      <c r="T36" s="11">
        <v>46112.456828703704</v>
      </c>
      <c r="U36" s="11"/>
      <c r="V36" s="11">
        <v>46512.456828703704</v>
      </c>
      <c r="W36" t="s">
        <v>1135</v>
      </c>
      <c r="X36" t="s">
        <v>155</v>
      </c>
      <c r="Y36" t="s">
        <v>1161</v>
      </c>
      <c r="Z36" t="s">
        <v>1125</v>
      </c>
      <c r="AA36" t="s">
        <v>1119</v>
      </c>
      <c r="AB36" s="41" t="s">
        <v>1197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60" x14ac:dyDescent="0.25">
      <c r="A37" t="s">
        <v>236</v>
      </c>
      <c r="B37" t="s">
        <v>33</v>
      </c>
      <c r="D37" t="s">
        <v>1189</v>
      </c>
      <c r="E37" t="s">
        <v>1190</v>
      </c>
      <c r="F37" t="s">
        <v>33</v>
      </c>
      <c r="G37" t="s">
        <v>33</v>
      </c>
      <c r="H37" t="s">
        <v>33</v>
      </c>
      <c r="J37">
        <v>2026</v>
      </c>
      <c r="K37" t="s">
        <v>1112</v>
      </c>
      <c r="L37" t="s">
        <v>904</v>
      </c>
      <c r="M37" t="s">
        <v>1191</v>
      </c>
      <c r="N37" t="s">
        <v>234</v>
      </c>
      <c r="O37">
        <v>695579</v>
      </c>
      <c r="P37">
        <v>8916959</v>
      </c>
      <c r="Q37" t="s">
        <v>1192</v>
      </c>
      <c r="R37" t="s">
        <v>1115</v>
      </c>
      <c r="S37" t="s">
        <v>868</v>
      </c>
      <c r="T37" s="11">
        <v>46112.401701388888</v>
      </c>
      <c r="U37" s="11"/>
      <c r="V37" s="11">
        <v>46115.401701388888</v>
      </c>
      <c r="W37" t="s">
        <v>1116</v>
      </c>
      <c r="X37" t="s">
        <v>1193</v>
      </c>
      <c r="Y37" t="s">
        <v>1124</v>
      </c>
      <c r="Z37" t="s">
        <v>1125</v>
      </c>
      <c r="AA37" t="s">
        <v>1119</v>
      </c>
      <c r="AB37" s="41" t="s">
        <v>1194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105" x14ac:dyDescent="0.25">
      <c r="A38" t="s">
        <v>52</v>
      </c>
      <c r="B38" t="s">
        <v>33</v>
      </c>
      <c r="D38" t="s">
        <v>1110</v>
      </c>
      <c r="E38" t="s">
        <v>1184</v>
      </c>
      <c r="F38" t="s">
        <v>33</v>
      </c>
      <c r="G38" t="s">
        <v>33</v>
      </c>
      <c r="H38" t="s">
        <v>33</v>
      </c>
      <c r="J38">
        <v>2026</v>
      </c>
      <c r="K38" t="s">
        <v>1112</v>
      </c>
      <c r="L38" t="s">
        <v>904</v>
      </c>
      <c r="M38" t="s">
        <v>1185</v>
      </c>
      <c r="N38" t="s">
        <v>49</v>
      </c>
      <c r="O38">
        <v>727489</v>
      </c>
      <c r="P38">
        <v>9029671</v>
      </c>
      <c r="Q38" t="s">
        <v>1186</v>
      </c>
      <c r="R38" t="s">
        <v>1115</v>
      </c>
      <c r="S38" t="s">
        <v>868</v>
      </c>
      <c r="T38" s="11">
        <v>46111.432384259257</v>
      </c>
      <c r="U38" s="11"/>
      <c r="V38" s="11">
        <v>46114.432384259257</v>
      </c>
      <c r="W38" t="s">
        <v>1116</v>
      </c>
      <c r="X38" t="s">
        <v>54</v>
      </c>
      <c r="Y38" t="s">
        <v>1187</v>
      </c>
      <c r="Z38" t="s">
        <v>1118</v>
      </c>
      <c r="AA38" t="s">
        <v>1119</v>
      </c>
      <c r="AB38" s="41" t="s">
        <v>1188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135" x14ac:dyDescent="0.25">
      <c r="A39" t="s">
        <v>169</v>
      </c>
      <c r="B39" t="s">
        <v>33</v>
      </c>
      <c r="D39" t="s">
        <v>1167</v>
      </c>
      <c r="E39" t="s">
        <v>1127</v>
      </c>
      <c r="F39" t="s">
        <v>33</v>
      </c>
      <c r="G39" t="s">
        <v>33</v>
      </c>
      <c r="H39" t="s">
        <v>33</v>
      </c>
      <c r="J39">
        <v>2026</v>
      </c>
      <c r="K39" t="s">
        <v>1112</v>
      </c>
      <c r="L39" t="s">
        <v>904</v>
      </c>
      <c r="M39" t="s">
        <v>1181</v>
      </c>
      <c r="N39" t="s">
        <v>167</v>
      </c>
      <c r="O39">
        <v>813445</v>
      </c>
      <c r="P39">
        <v>8984037</v>
      </c>
      <c r="Q39" t="s">
        <v>1182</v>
      </c>
      <c r="R39" t="s">
        <v>1115</v>
      </c>
      <c r="S39" t="s">
        <v>868</v>
      </c>
      <c r="T39" s="11">
        <v>46111.41306712963</v>
      </c>
      <c r="U39" s="11"/>
      <c r="V39" s="11">
        <v>46114.41306712963</v>
      </c>
      <c r="W39" t="s">
        <v>1116</v>
      </c>
      <c r="X39" t="s">
        <v>170</v>
      </c>
      <c r="Y39" t="s">
        <v>1136</v>
      </c>
      <c r="Z39" t="s">
        <v>1125</v>
      </c>
      <c r="AA39" t="s">
        <v>1119</v>
      </c>
      <c r="AB39" s="41" t="s">
        <v>1183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120" x14ac:dyDescent="0.25">
      <c r="A40" t="s">
        <v>263</v>
      </c>
      <c r="B40" t="s">
        <v>33</v>
      </c>
      <c r="D40" t="s">
        <v>1167</v>
      </c>
      <c r="E40" t="s">
        <v>1175</v>
      </c>
      <c r="F40" t="s">
        <v>33</v>
      </c>
      <c r="G40" t="s">
        <v>33</v>
      </c>
      <c r="H40" t="s">
        <v>33</v>
      </c>
      <c r="J40">
        <v>2026</v>
      </c>
      <c r="K40" t="s">
        <v>1112</v>
      </c>
      <c r="L40" t="s">
        <v>904</v>
      </c>
      <c r="M40" t="s">
        <v>1176</v>
      </c>
      <c r="N40" t="s">
        <v>260</v>
      </c>
      <c r="O40">
        <v>819553</v>
      </c>
      <c r="P40">
        <v>8782076</v>
      </c>
      <c r="Q40" t="s">
        <v>1177</v>
      </c>
      <c r="R40" t="s">
        <v>1115</v>
      </c>
      <c r="S40" t="s">
        <v>868</v>
      </c>
      <c r="T40" s="11">
        <v>46099.677141203705</v>
      </c>
      <c r="U40" s="11"/>
      <c r="V40" s="11">
        <v>46102.677141203705</v>
      </c>
      <c r="W40" t="s">
        <v>1178</v>
      </c>
      <c r="X40" t="s">
        <v>265</v>
      </c>
      <c r="Y40" t="s">
        <v>1179</v>
      </c>
      <c r="Z40" t="s">
        <v>1125</v>
      </c>
      <c r="AA40" t="s">
        <v>1119</v>
      </c>
      <c r="AB40" s="41" t="s">
        <v>1180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195" x14ac:dyDescent="0.25">
      <c r="A41" t="s">
        <v>84</v>
      </c>
      <c r="B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J41">
        <v>2026</v>
      </c>
      <c r="K41" t="s">
        <v>1137</v>
      </c>
      <c r="L41" t="s">
        <v>904</v>
      </c>
      <c r="M41" t="s">
        <v>1172</v>
      </c>
      <c r="N41" t="s">
        <v>81</v>
      </c>
      <c r="O41">
        <v>905716</v>
      </c>
      <c r="P41">
        <v>9145475</v>
      </c>
      <c r="Q41" t="s">
        <v>1173</v>
      </c>
      <c r="R41" t="s">
        <v>1140</v>
      </c>
      <c r="S41" t="s">
        <v>868</v>
      </c>
      <c r="T41" s="11">
        <v>46097.58016203704</v>
      </c>
      <c r="U41" s="11"/>
      <c r="V41" s="11">
        <v>46497.58016203704</v>
      </c>
      <c r="W41" t="s">
        <v>1135</v>
      </c>
      <c r="X41" t="s">
        <v>86</v>
      </c>
      <c r="Y41" t="s">
        <v>1161</v>
      </c>
      <c r="Z41" t="s">
        <v>1118</v>
      </c>
      <c r="AA41" t="s">
        <v>1119</v>
      </c>
      <c r="AB41" s="41" t="s">
        <v>1174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45" x14ac:dyDescent="0.25">
      <c r="A42" t="s">
        <v>174</v>
      </c>
      <c r="B42" t="s">
        <v>33</v>
      </c>
      <c r="D42" t="s">
        <v>1167</v>
      </c>
      <c r="E42" t="s">
        <v>1111</v>
      </c>
      <c r="F42" t="s">
        <v>33</v>
      </c>
      <c r="G42" t="s">
        <v>33</v>
      </c>
      <c r="H42" t="s">
        <v>33</v>
      </c>
      <c r="J42">
        <v>2026</v>
      </c>
      <c r="K42" t="s">
        <v>1112</v>
      </c>
      <c r="L42" t="s">
        <v>904</v>
      </c>
      <c r="M42" t="s">
        <v>1168</v>
      </c>
      <c r="N42" t="s">
        <v>171</v>
      </c>
      <c r="O42">
        <v>645739</v>
      </c>
      <c r="P42">
        <v>8723116</v>
      </c>
      <c r="Q42" t="s">
        <v>1169</v>
      </c>
      <c r="R42" t="s">
        <v>1115</v>
      </c>
      <c r="S42" t="s">
        <v>868</v>
      </c>
      <c r="T42" s="11">
        <v>46083.89261574074</v>
      </c>
      <c r="U42" s="11"/>
      <c r="V42" s="11">
        <v>46086.89261574074</v>
      </c>
      <c r="W42" t="s">
        <v>1116</v>
      </c>
      <c r="X42" t="s">
        <v>176</v>
      </c>
      <c r="Y42" t="s">
        <v>1170</v>
      </c>
      <c r="Z42" t="s">
        <v>1125</v>
      </c>
      <c r="AA42" t="s">
        <v>1119</v>
      </c>
      <c r="AB42" s="41" t="s">
        <v>1171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120" x14ac:dyDescent="0.25">
      <c r="A43" t="s">
        <v>25</v>
      </c>
      <c r="B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J43">
        <v>2026</v>
      </c>
      <c r="K43" t="s">
        <v>1137</v>
      </c>
      <c r="L43" t="s">
        <v>904</v>
      </c>
      <c r="M43" t="s">
        <v>1163</v>
      </c>
      <c r="N43" t="s">
        <v>22</v>
      </c>
      <c r="O43">
        <v>796501</v>
      </c>
      <c r="P43">
        <v>8854562</v>
      </c>
      <c r="Q43" t="s">
        <v>1164</v>
      </c>
      <c r="R43" t="s">
        <v>1115</v>
      </c>
      <c r="S43" t="s">
        <v>868</v>
      </c>
      <c r="T43" s="11">
        <v>46077.48709490741</v>
      </c>
      <c r="U43" s="11"/>
      <c r="V43" s="11">
        <v>46080.48709490741</v>
      </c>
      <c r="W43" t="s">
        <v>1165</v>
      </c>
      <c r="X43" t="s">
        <v>27</v>
      </c>
      <c r="Y43" t="s">
        <v>1161</v>
      </c>
      <c r="Z43" t="s">
        <v>1118</v>
      </c>
      <c r="AA43" t="s">
        <v>1119</v>
      </c>
      <c r="AB43" s="41" t="s">
        <v>1166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210" x14ac:dyDescent="0.25">
      <c r="A44" t="s">
        <v>164</v>
      </c>
      <c r="B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J44">
        <v>2026</v>
      </c>
      <c r="K44" t="s">
        <v>1137</v>
      </c>
      <c r="L44" t="s">
        <v>904</v>
      </c>
      <c r="M44" t="s">
        <v>1122</v>
      </c>
      <c r="N44" t="s">
        <v>162</v>
      </c>
      <c r="O44">
        <v>805385</v>
      </c>
      <c r="P44">
        <v>8737798</v>
      </c>
      <c r="Q44" t="s">
        <v>1159</v>
      </c>
      <c r="R44" t="s">
        <v>1160</v>
      </c>
      <c r="S44" t="s">
        <v>868</v>
      </c>
      <c r="T44" s="11">
        <v>46077.477881944447</v>
      </c>
      <c r="U44" s="11"/>
      <c r="V44" s="11">
        <v>46137.477881944447</v>
      </c>
      <c r="W44" t="s">
        <v>1135</v>
      </c>
      <c r="X44" t="s">
        <v>166</v>
      </c>
      <c r="Y44" t="s">
        <v>1161</v>
      </c>
      <c r="Z44" t="s">
        <v>1125</v>
      </c>
      <c r="AA44" t="s">
        <v>1119</v>
      </c>
      <c r="AB44" s="41" t="s">
        <v>1162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180" x14ac:dyDescent="0.25">
      <c r="A45" t="s">
        <v>128</v>
      </c>
      <c r="B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J45">
        <v>2026</v>
      </c>
      <c r="K45" t="s">
        <v>1112</v>
      </c>
      <c r="L45" t="s">
        <v>904</v>
      </c>
      <c r="M45" t="s">
        <v>1128</v>
      </c>
      <c r="N45" t="s">
        <v>125</v>
      </c>
      <c r="O45">
        <v>918776</v>
      </c>
      <c r="P45">
        <v>8841819</v>
      </c>
      <c r="Q45" t="s">
        <v>1157</v>
      </c>
      <c r="R45" t="s">
        <v>1115</v>
      </c>
      <c r="S45" t="s">
        <v>868</v>
      </c>
      <c r="T45" s="11">
        <v>46057.369456018518</v>
      </c>
      <c r="U45" s="11"/>
      <c r="V45" s="11">
        <v>46060.369456018518</v>
      </c>
      <c r="W45" t="s">
        <v>1135</v>
      </c>
      <c r="X45" t="s">
        <v>927</v>
      </c>
      <c r="Y45" t="s">
        <v>1148</v>
      </c>
      <c r="Z45" t="s">
        <v>1125</v>
      </c>
      <c r="AA45" t="s">
        <v>1119</v>
      </c>
      <c r="AB45" s="41" t="s">
        <v>1158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195" x14ac:dyDescent="0.25">
      <c r="A46" t="s">
        <v>181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1150</v>
      </c>
      <c r="L46" t="s">
        <v>904</v>
      </c>
      <c r="M46" t="s">
        <v>1151</v>
      </c>
      <c r="N46" t="s">
        <v>178</v>
      </c>
      <c r="O46">
        <v>986342</v>
      </c>
      <c r="P46">
        <v>8726425</v>
      </c>
      <c r="Q46" t="s">
        <v>1155</v>
      </c>
      <c r="R46" t="s">
        <v>1115</v>
      </c>
      <c r="S46" t="s">
        <v>868</v>
      </c>
      <c r="T46" s="11">
        <v>46049.689664351848</v>
      </c>
      <c r="U46" s="11"/>
      <c r="V46" s="11">
        <v>46052.689664351848</v>
      </c>
      <c r="W46" t="s">
        <v>1135</v>
      </c>
      <c r="X46" t="s">
        <v>42</v>
      </c>
      <c r="Y46" t="s">
        <v>1153</v>
      </c>
      <c r="Z46" t="s">
        <v>1125</v>
      </c>
      <c r="AA46" t="s">
        <v>1119</v>
      </c>
      <c r="AB46" s="41" t="s">
        <v>1156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45" x14ac:dyDescent="0.25">
      <c r="A47" t="s">
        <v>160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2025</v>
      </c>
      <c r="K47" t="s">
        <v>1150</v>
      </c>
      <c r="L47" t="s">
        <v>904</v>
      </c>
      <c r="M47" t="s">
        <v>1151</v>
      </c>
      <c r="N47" t="s">
        <v>157</v>
      </c>
      <c r="O47">
        <v>971526</v>
      </c>
      <c r="P47">
        <v>8714400</v>
      </c>
      <c r="Q47" t="s">
        <v>1152</v>
      </c>
      <c r="R47" t="s">
        <v>1140</v>
      </c>
      <c r="S47" t="s">
        <v>868</v>
      </c>
      <c r="T47" s="11">
        <v>45996.663460648146</v>
      </c>
      <c r="U47" s="11"/>
      <c r="V47" s="11">
        <v>46396.663460648146</v>
      </c>
      <c r="W47" t="s">
        <v>1147</v>
      </c>
      <c r="X47" t="s">
        <v>42</v>
      </c>
      <c r="Y47" t="s">
        <v>1153</v>
      </c>
      <c r="Z47" t="s">
        <v>1125</v>
      </c>
      <c r="AA47" t="s">
        <v>1119</v>
      </c>
      <c r="AB47" s="41" t="s">
        <v>1154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135" x14ac:dyDescent="0.25">
      <c r="A48" t="s">
        <v>104</v>
      </c>
      <c r="B48" t="s">
        <v>33</v>
      </c>
      <c r="D48" t="s">
        <v>1143</v>
      </c>
      <c r="E48" t="s">
        <v>1144</v>
      </c>
      <c r="F48" t="s">
        <v>33</v>
      </c>
      <c r="G48" t="s">
        <v>33</v>
      </c>
      <c r="H48" t="s">
        <v>33</v>
      </c>
      <c r="J48">
        <v>2025</v>
      </c>
      <c r="K48" t="s">
        <v>1112</v>
      </c>
      <c r="L48" t="s">
        <v>918</v>
      </c>
      <c r="M48" t="s">
        <v>1145</v>
      </c>
      <c r="N48" t="s">
        <v>100</v>
      </c>
      <c r="O48">
        <v>782525</v>
      </c>
      <c r="P48">
        <v>8944001</v>
      </c>
      <c r="Q48" t="s">
        <v>1146</v>
      </c>
      <c r="R48" t="s">
        <v>1140</v>
      </c>
      <c r="S48" t="s">
        <v>868</v>
      </c>
      <c r="T48" s="11">
        <v>45946.701273148145</v>
      </c>
      <c r="U48" s="11"/>
      <c r="V48" s="11">
        <v>46346.701273148145</v>
      </c>
      <c r="W48" t="s">
        <v>1147</v>
      </c>
      <c r="X48" t="s">
        <v>106</v>
      </c>
      <c r="Y48" t="s">
        <v>1148</v>
      </c>
      <c r="Z48" t="s">
        <v>1125</v>
      </c>
      <c r="AA48" t="s">
        <v>1119</v>
      </c>
      <c r="AB48" s="41" t="s">
        <v>1149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5" ht="60" x14ac:dyDescent="0.25">
      <c r="A49" t="s">
        <v>116</v>
      </c>
      <c r="B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J49">
        <v>2025</v>
      </c>
      <c r="K49" t="s">
        <v>1137</v>
      </c>
      <c r="L49" t="s">
        <v>904</v>
      </c>
      <c r="M49" t="s">
        <v>1138</v>
      </c>
      <c r="N49" t="s">
        <v>113</v>
      </c>
      <c r="O49">
        <v>823110</v>
      </c>
      <c r="P49">
        <v>9189383</v>
      </c>
      <c r="Q49" t="s">
        <v>1139</v>
      </c>
      <c r="R49" t="s">
        <v>1140</v>
      </c>
      <c r="S49" t="s">
        <v>868</v>
      </c>
      <c r="T49" s="11">
        <v>45903.724606481483</v>
      </c>
      <c r="U49" s="11"/>
      <c r="V49" s="11">
        <v>46303.724606481483</v>
      </c>
      <c r="W49" t="s">
        <v>1135</v>
      </c>
      <c r="X49" t="s">
        <v>20</v>
      </c>
      <c r="Y49" t="s">
        <v>1141</v>
      </c>
      <c r="Z49" t="s">
        <v>1125</v>
      </c>
      <c r="AA49" t="s">
        <v>1119</v>
      </c>
      <c r="AB49" s="41" t="s">
        <v>1142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5" ht="135" x14ac:dyDescent="0.25">
      <c r="A50" t="s">
        <v>136</v>
      </c>
      <c r="B50" t="s">
        <v>33</v>
      </c>
      <c r="D50" t="s">
        <v>1110</v>
      </c>
      <c r="E50" t="s">
        <v>1132</v>
      </c>
      <c r="F50" t="s">
        <v>33</v>
      </c>
      <c r="G50" t="s">
        <v>33</v>
      </c>
      <c r="H50" t="s">
        <v>33</v>
      </c>
      <c r="J50">
        <v>2025</v>
      </c>
      <c r="K50" t="s">
        <v>1112</v>
      </c>
      <c r="L50" t="s">
        <v>904</v>
      </c>
      <c r="M50" t="s">
        <v>1133</v>
      </c>
      <c r="N50" t="s">
        <v>133</v>
      </c>
      <c r="O50">
        <v>750473</v>
      </c>
      <c r="P50">
        <v>9212030</v>
      </c>
      <c r="Q50" t="s">
        <v>1134</v>
      </c>
      <c r="R50" t="s">
        <v>1115</v>
      </c>
      <c r="S50" t="s">
        <v>868</v>
      </c>
      <c r="T50" s="11">
        <v>45894.367789351854</v>
      </c>
      <c r="U50" s="11"/>
      <c r="V50" s="11">
        <v>45897.367789351854</v>
      </c>
      <c r="W50" t="s">
        <v>1135</v>
      </c>
      <c r="X50" t="s">
        <v>138</v>
      </c>
      <c r="Y50" t="s">
        <v>1136</v>
      </c>
      <c r="Z50" t="s">
        <v>1125</v>
      </c>
      <c r="AA50" t="s">
        <v>1119</v>
      </c>
      <c r="AB50" s="41" t="s">
        <v>1577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5" ht="90" x14ac:dyDescent="0.25">
      <c r="A51" t="s">
        <v>229</v>
      </c>
      <c r="B51" t="s">
        <v>33</v>
      </c>
      <c r="D51" t="s">
        <v>1110</v>
      </c>
      <c r="E51" t="s">
        <v>1127</v>
      </c>
      <c r="F51" t="s">
        <v>33</v>
      </c>
      <c r="G51" t="s">
        <v>33</v>
      </c>
      <c r="H51" t="s">
        <v>33</v>
      </c>
      <c r="J51">
        <v>2025</v>
      </c>
      <c r="K51" t="s">
        <v>1112</v>
      </c>
      <c r="L51" t="s">
        <v>904</v>
      </c>
      <c r="M51" t="s">
        <v>1128</v>
      </c>
      <c r="N51" t="s">
        <v>226</v>
      </c>
      <c r="O51">
        <v>870890</v>
      </c>
      <c r="P51">
        <v>8743808</v>
      </c>
      <c r="Q51" t="s">
        <v>1129</v>
      </c>
      <c r="R51" t="s">
        <v>1115</v>
      </c>
      <c r="S51" t="s">
        <v>868</v>
      </c>
      <c r="T51" s="11">
        <v>45861.443530092591</v>
      </c>
      <c r="U51" s="11"/>
      <c r="V51" s="11">
        <v>45864.443530092591</v>
      </c>
      <c r="W51" t="s">
        <v>1116</v>
      </c>
      <c r="X51" t="s">
        <v>230</v>
      </c>
      <c r="Y51" t="s">
        <v>1130</v>
      </c>
      <c r="Z51" t="s">
        <v>1125</v>
      </c>
      <c r="AA51" t="s">
        <v>1119</v>
      </c>
      <c r="AB51" s="41" t="s">
        <v>1131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  <c r="BM51" t="s">
        <v>1602</v>
      </c>
    </row>
    <row r="52" spans="1:65" ht="105" x14ac:dyDescent="0.25">
      <c r="A52" t="s">
        <v>221</v>
      </c>
      <c r="B52" t="s">
        <v>33</v>
      </c>
      <c r="D52" t="s">
        <v>1110</v>
      </c>
      <c r="E52" t="s">
        <v>1121</v>
      </c>
      <c r="F52" t="s">
        <v>33</v>
      </c>
      <c r="G52" t="s">
        <v>33</v>
      </c>
      <c r="H52" t="s">
        <v>33</v>
      </c>
      <c r="J52">
        <v>2025</v>
      </c>
      <c r="K52" t="s">
        <v>1112</v>
      </c>
      <c r="L52" t="s">
        <v>904</v>
      </c>
      <c r="M52" t="s">
        <v>1122</v>
      </c>
      <c r="N52" t="s">
        <v>218</v>
      </c>
      <c r="O52">
        <v>792922</v>
      </c>
      <c r="P52">
        <v>8790506</v>
      </c>
      <c r="Q52" t="s">
        <v>1123</v>
      </c>
      <c r="R52" t="s">
        <v>1115</v>
      </c>
      <c r="S52" t="s">
        <v>868</v>
      </c>
      <c r="T52" s="11">
        <v>45846.727106481485</v>
      </c>
      <c r="U52" s="11"/>
      <c r="V52" s="11">
        <v>45849.727106481485</v>
      </c>
      <c r="W52" t="s">
        <v>1116</v>
      </c>
      <c r="X52" t="s">
        <v>67</v>
      </c>
      <c r="Y52" t="s">
        <v>1124</v>
      </c>
      <c r="Z52" t="s">
        <v>1125</v>
      </c>
      <c r="AA52" t="s">
        <v>1119</v>
      </c>
      <c r="AB52" s="41" t="s">
        <v>1126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5" ht="120" x14ac:dyDescent="0.25">
      <c r="A53" t="s">
        <v>121</v>
      </c>
      <c r="B53" t="s">
        <v>33</v>
      </c>
      <c r="D53" t="s">
        <v>1110</v>
      </c>
      <c r="E53" t="s">
        <v>1111</v>
      </c>
      <c r="F53" t="s">
        <v>33</v>
      </c>
      <c r="G53" t="s">
        <v>33</v>
      </c>
      <c r="H53" t="s">
        <v>33</v>
      </c>
      <c r="J53">
        <v>2025</v>
      </c>
      <c r="K53" t="s">
        <v>1112</v>
      </c>
      <c r="L53" t="s">
        <v>904</v>
      </c>
      <c r="M53" t="s">
        <v>1113</v>
      </c>
      <c r="N53" t="s">
        <v>118</v>
      </c>
      <c r="O53">
        <v>881575</v>
      </c>
      <c r="P53">
        <v>9268477</v>
      </c>
      <c r="Q53" t="s">
        <v>1114</v>
      </c>
      <c r="R53" t="s">
        <v>1115</v>
      </c>
      <c r="S53" t="s">
        <v>868</v>
      </c>
      <c r="T53" s="11">
        <v>45839.596631944441</v>
      </c>
      <c r="U53" s="11"/>
      <c r="V53" s="11">
        <v>45842.596631944441</v>
      </c>
      <c r="W53" t="s">
        <v>1116</v>
      </c>
      <c r="X53" t="s">
        <v>123</v>
      </c>
      <c r="Y53" t="s">
        <v>1117</v>
      </c>
      <c r="Z53" t="s">
        <v>1118</v>
      </c>
      <c r="AA53" t="s">
        <v>1119</v>
      </c>
      <c r="AB53" s="41" t="s">
        <v>1120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237F-2969-44A6-B0F8-4689911529EC}">
  <dimension ref="A1:P10"/>
  <sheetViews>
    <sheetView workbookViewId="0"/>
    <sheetView workbookViewId="1"/>
  </sheetViews>
  <sheetFormatPr defaultRowHeight="15" x14ac:dyDescent="0.25"/>
  <cols>
    <col min="1" max="1" width="18.7109375" bestFit="1" customWidth="1"/>
    <col min="2" max="2" width="4.28515625" bestFit="1" customWidth="1"/>
    <col min="3" max="3" width="7.28515625" bestFit="1" customWidth="1"/>
    <col min="4" max="4" width="12" bestFit="1" customWidth="1"/>
    <col min="5" max="5" width="12.7109375" bestFit="1" customWidth="1"/>
    <col min="6" max="6" width="13.285156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14.28515625" bestFit="1" customWidth="1"/>
    <col min="11" max="11" width="8.85546875" bestFit="1" customWidth="1"/>
    <col min="12" max="12" width="15.85546875" bestFit="1" customWidth="1"/>
    <col min="13" max="13" width="8.85546875" bestFit="1" customWidth="1"/>
    <col min="14" max="14" width="18" bestFit="1" customWidth="1"/>
    <col min="15" max="15" width="8.85546875" bestFit="1" customWidth="1"/>
    <col min="16" max="16" width="15.85546875" bestFit="1" customWidth="1"/>
  </cols>
  <sheetData>
    <row r="1" spans="1:16" x14ac:dyDescent="0.25">
      <c r="A1" s="113" t="s">
        <v>1398</v>
      </c>
      <c r="B1" s="119" t="s">
        <v>1387</v>
      </c>
      <c r="C1" s="119" t="s">
        <v>318</v>
      </c>
      <c r="D1" s="119" t="s">
        <v>1388</v>
      </c>
      <c r="E1" s="119" t="s">
        <v>1389</v>
      </c>
      <c r="F1" s="114" t="s">
        <v>1400</v>
      </c>
      <c r="G1" s="113" t="s">
        <v>1399</v>
      </c>
      <c r="H1" s="114" t="s">
        <v>1401</v>
      </c>
      <c r="I1" s="113" t="s">
        <v>1399</v>
      </c>
      <c r="J1" s="114" t="s">
        <v>1402</v>
      </c>
      <c r="K1" s="113" t="s">
        <v>1399</v>
      </c>
      <c r="L1" s="114" t="s">
        <v>1403</v>
      </c>
      <c r="M1" s="113" t="s">
        <v>1399</v>
      </c>
      <c r="N1" s="114" t="s">
        <v>1404</v>
      </c>
      <c r="O1" s="113" t="s">
        <v>1399</v>
      </c>
      <c r="P1" s="114" t="s">
        <v>1405</v>
      </c>
    </row>
    <row r="2" spans="1:16" x14ac:dyDescent="0.25">
      <c r="A2" s="115" t="s">
        <v>1390</v>
      </c>
      <c r="B2" s="3">
        <v>16</v>
      </c>
      <c r="C2" s="3">
        <v>1294</v>
      </c>
      <c r="D2" s="120">
        <f>B2/C2</f>
        <v>1.2364760432766615E-2</v>
      </c>
      <c r="E2" s="121">
        <f>B2/SUM($B$2:$B$9)</f>
        <v>0.35555555555555557</v>
      </c>
      <c r="F2" s="122">
        <v>38151.480000000003</v>
      </c>
      <c r="G2" s="115">
        <f>B2/8</f>
        <v>2</v>
      </c>
      <c r="H2" s="116">
        <f>G2*F2</f>
        <v>76302.960000000006</v>
      </c>
      <c r="I2" s="115">
        <f>G2*2</f>
        <v>4</v>
      </c>
      <c r="J2" s="116">
        <f>I2*F2</f>
        <v>152605.92000000001</v>
      </c>
      <c r="K2" s="115">
        <f>G2*3</f>
        <v>6</v>
      </c>
      <c r="L2" s="116">
        <f>K2*H2</f>
        <v>457817.76</v>
      </c>
      <c r="M2" s="115">
        <f>G2*4</f>
        <v>8</v>
      </c>
      <c r="N2" s="116">
        <f>M2*H2</f>
        <v>610423.68000000005</v>
      </c>
      <c r="O2" s="115">
        <f>G2*5</f>
        <v>10</v>
      </c>
      <c r="P2" s="116">
        <f>O2*H2</f>
        <v>763029.60000000009</v>
      </c>
    </row>
    <row r="3" spans="1:16" x14ac:dyDescent="0.25">
      <c r="A3" s="115" t="s">
        <v>1391</v>
      </c>
      <c r="B3" s="3">
        <v>12</v>
      </c>
      <c r="C3" s="3">
        <v>1294</v>
      </c>
      <c r="D3" s="120">
        <f t="shared" ref="D3:D9" si="0">B3/C3</f>
        <v>9.2735703245749607E-3</v>
      </c>
      <c r="E3" s="121">
        <f t="shared" ref="E3:E9" si="1">B3/SUM($B$2:$B$9)</f>
        <v>0.26666666666666666</v>
      </c>
      <c r="F3" s="122">
        <v>33816.82</v>
      </c>
      <c r="G3" s="115">
        <f t="shared" ref="G3:G9" si="2">B3/8</f>
        <v>1.5</v>
      </c>
      <c r="H3" s="116">
        <f t="shared" ref="H3:H9" si="3">G3*F3</f>
        <v>50725.229999999996</v>
      </c>
      <c r="I3" s="115">
        <f t="shared" ref="I3:I5" si="4">G3*2</f>
        <v>3</v>
      </c>
      <c r="J3" s="116">
        <f t="shared" ref="J3:J9" si="5">I3*F3</f>
        <v>101450.45999999999</v>
      </c>
      <c r="K3" s="115">
        <v>5</v>
      </c>
      <c r="L3" s="116">
        <f t="shared" ref="L3:L9" si="6">K3*H3</f>
        <v>253626.14999999997</v>
      </c>
      <c r="M3" s="115">
        <f t="shared" ref="M3:M8" si="7">G3*4</f>
        <v>6</v>
      </c>
      <c r="N3" s="116">
        <f t="shared" ref="N3:N9" si="8">M3*H3</f>
        <v>304351.38</v>
      </c>
      <c r="O3" s="115">
        <v>8</v>
      </c>
      <c r="P3" s="116">
        <f t="shared" ref="P3:P9" si="9">O3*H3</f>
        <v>405801.83999999997</v>
      </c>
    </row>
    <row r="4" spans="1:16" x14ac:dyDescent="0.25">
      <c r="A4" s="115" t="s">
        <v>1392</v>
      </c>
      <c r="B4" s="3">
        <v>4</v>
      </c>
      <c r="C4" s="3">
        <v>1294</v>
      </c>
      <c r="D4" s="120">
        <f t="shared" si="0"/>
        <v>3.0911901081916537E-3</v>
      </c>
      <c r="E4" s="121">
        <f t="shared" si="1"/>
        <v>8.8888888888888892E-2</v>
      </c>
      <c r="F4" s="122">
        <v>21785.72</v>
      </c>
      <c r="G4" s="115">
        <f t="shared" si="2"/>
        <v>0.5</v>
      </c>
      <c r="H4" s="116">
        <f t="shared" si="3"/>
        <v>10892.86</v>
      </c>
      <c r="I4" s="115">
        <f t="shared" si="4"/>
        <v>1</v>
      </c>
      <c r="J4" s="116">
        <f t="shared" si="5"/>
        <v>21785.72</v>
      </c>
      <c r="K4" s="115">
        <v>2</v>
      </c>
      <c r="L4" s="116">
        <f t="shared" si="6"/>
        <v>21785.72</v>
      </c>
      <c r="M4" s="115">
        <f t="shared" si="7"/>
        <v>2</v>
      </c>
      <c r="N4" s="116">
        <f t="shared" si="8"/>
        <v>21785.72</v>
      </c>
      <c r="O4" s="115">
        <v>3</v>
      </c>
      <c r="P4" s="116">
        <f t="shared" si="9"/>
        <v>32678.58</v>
      </c>
    </row>
    <row r="5" spans="1:16" x14ac:dyDescent="0.25">
      <c r="A5" s="115" t="s">
        <v>1393</v>
      </c>
      <c r="B5" s="3">
        <v>4</v>
      </c>
      <c r="C5" s="3">
        <v>190</v>
      </c>
      <c r="D5" s="120">
        <f t="shared" si="0"/>
        <v>2.1052631578947368E-2</v>
      </c>
      <c r="E5" s="121">
        <f t="shared" si="1"/>
        <v>8.8888888888888892E-2</v>
      </c>
      <c r="F5" s="122">
        <v>23259.599999999999</v>
      </c>
      <c r="G5" s="115">
        <f t="shared" si="2"/>
        <v>0.5</v>
      </c>
      <c r="H5" s="116">
        <f t="shared" si="3"/>
        <v>11629.8</v>
      </c>
      <c r="I5" s="115">
        <f t="shared" si="4"/>
        <v>1</v>
      </c>
      <c r="J5" s="116">
        <f t="shared" si="5"/>
        <v>23259.599999999999</v>
      </c>
      <c r="K5" s="115">
        <v>2</v>
      </c>
      <c r="L5" s="116">
        <f t="shared" si="6"/>
        <v>23259.599999999999</v>
      </c>
      <c r="M5" s="115">
        <f t="shared" si="7"/>
        <v>2</v>
      </c>
      <c r="N5" s="116">
        <f t="shared" si="8"/>
        <v>23259.599999999999</v>
      </c>
      <c r="O5" s="115">
        <v>3</v>
      </c>
      <c r="P5" s="116">
        <f t="shared" si="9"/>
        <v>34889.399999999994</v>
      </c>
    </row>
    <row r="6" spans="1:16" x14ac:dyDescent="0.25">
      <c r="A6" s="115" t="s">
        <v>1394</v>
      </c>
      <c r="B6" s="3">
        <v>3</v>
      </c>
      <c r="C6" s="3">
        <f>190*3</f>
        <v>570</v>
      </c>
      <c r="D6" s="120">
        <f t="shared" si="0"/>
        <v>5.263157894736842E-3</v>
      </c>
      <c r="E6" s="121">
        <f t="shared" si="1"/>
        <v>6.6666666666666666E-2</v>
      </c>
      <c r="F6" s="122">
        <v>51705.75</v>
      </c>
      <c r="G6" s="115">
        <f t="shared" si="2"/>
        <v>0.375</v>
      </c>
      <c r="H6" s="116">
        <f t="shared" si="3"/>
        <v>19389.65625</v>
      </c>
      <c r="I6" s="115">
        <v>1</v>
      </c>
      <c r="J6" s="116">
        <f t="shared" si="5"/>
        <v>51705.75</v>
      </c>
      <c r="K6" s="115">
        <v>2</v>
      </c>
      <c r="L6" s="116">
        <f t="shared" si="6"/>
        <v>38779.3125</v>
      </c>
      <c r="M6" s="115">
        <v>2</v>
      </c>
      <c r="N6" s="116">
        <f t="shared" si="8"/>
        <v>38779.3125</v>
      </c>
      <c r="O6" s="115">
        <v>2</v>
      </c>
      <c r="P6" s="116">
        <f t="shared" si="9"/>
        <v>38779.3125</v>
      </c>
    </row>
    <row r="7" spans="1:16" x14ac:dyDescent="0.25">
      <c r="A7" s="115" t="s">
        <v>1395</v>
      </c>
      <c r="B7" s="3">
        <v>3</v>
      </c>
      <c r="C7" s="3">
        <f>190*3</f>
        <v>570</v>
      </c>
      <c r="D7" s="120">
        <f t="shared" si="0"/>
        <v>5.263157894736842E-3</v>
      </c>
      <c r="E7" s="121">
        <f t="shared" si="1"/>
        <v>6.6666666666666666E-2</v>
      </c>
      <c r="F7" s="122">
        <v>90230</v>
      </c>
      <c r="G7" s="115">
        <f t="shared" si="2"/>
        <v>0.375</v>
      </c>
      <c r="H7" s="116">
        <f t="shared" si="3"/>
        <v>33836.25</v>
      </c>
      <c r="I7" s="115">
        <v>1</v>
      </c>
      <c r="J7" s="116">
        <f t="shared" si="5"/>
        <v>90230</v>
      </c>
      <c r="K7" s="115">
        <v>2</v>
      </c>
      <c r="L7" s="116">
        <f t="shared" si="6"/>
        <v>67672.5</v>
      </c>
      <c r="M7" s="115">
        <v>2</v>
      </c>
      <c r="N7" s="116">
        <f t="shared" si="8"/>
        <v>67672.5</v>
      </c>
      <c r="O7" s="115">
        <v>2</v>
      </c>
      <c r="P7" s="116">
        <f t="shared" si="9"/>
        <v>67672.5</v>
      </c>
    </row>
    <row r="8" spans="1:16" x14ac:dyDescent="0.25">
      <c r="A8" s="115" t="s">
        <v>1396</v>
      </c>
      <c r="B8" s="3">
        <v>2</v>
      </c>
      <c r="C8" s="3">
        <v>1294</v>
      </c>
      <c r="D8" s="120">
        <f t="shared" si="0"/>
        <v>1.5455950540958269E-3</v>
      </c>
      <c r="E8" s="121">
        <f t="shared" si="1"/>
        <v>4.4444444444444446E-2</v>
      </c>
      <c r="F8" s="122">
        <v>33816.82</v>
      </c>
      <c r="G8" s="115">
        <f t="shared" si="2"/>
        <v>0.25</v>
      </c>
      <c r="H8" s="116">
        <f t="shared" si="3"/>
        <v>8454.2049999999999</v>
      </c>
      <c r="I8" s="115">
        <v>1</v>
      </c>
      <c r="J8" s="116">
        <f t="shared" si="5"/>
        <v>33816.82</v>
      </c>
      <c r="K8" s="115">
        <v>1</v>
      </c>
      <c r="L8" s="116">
        <f t="shared" si="6"/>
        <v>8454.2049999999999</v>
      </c>
      <c r="M8" s="115">
        <f t="shared" si="7"/>
        <v>1</v>
      </c>
      <c r="N8" s="116">
        <f t="shared" si="8"/>
        <v>8454.2049999999999</v>
      </c>
      <c r="O8" s="115">
        <v>2</v>
      </c>
      <c r="P8" s="116">
        <f t="shared" si="9"/>
        <v>16908.41</v>
      </c>
    </row>
    <row r="9" spans="1:16" ht="15.75" thickBot="1" x14ac:dyDescent="0.3">
      <c r="A9" s="117" t="s">
        <v>1397</v>
      </c>
      <c r="B9" s="123">
        <v>1</v>
      </c>
      <c r="C9" s="123">
        <f>190*3</f>
        <v>570</v>
      </c>
      <c r="D9" s="124">
        <f t="shared" si="0"/>
        <v>1.7543859649122807E-3</v>
      </c>
      <c r="E9" s="125">
        <f t="shared" si="1"/>
        <v>2.2222222222222223E-2</v>
      </c>
      <c r="F9" s="126">
        <v>23259.599999999999</v>
      </c>
      <c r="G9" s="117">
        <f t="shared" si="2"/>
        <v>0.125</v>
      </c>
      <c r="H9" s="118">
        <f t="shared" si="3"/>
        <v>2907.45</v>
      </c>
      <c r="I9" s="117">
        <v>1</v>
      </c>
      <c r="J9" s="118">
        <f t="shared" si="5"/>
        <v>23259.599999999999</v>
      </c>
      <c r="K9" s="117">
        <v>1</v>
      </c>
      <c r="L9" s="118">
        <f t="shared" si="6"/>
        <v>2907.45</v>
      </c>
      <c r="M9" s="117">
        <v>1</v>
      </c>
      <c r="N9" s="118">
        <f t="shared" si="8"/>
        <v>2907.45</v>
      </c>
      <c r="O9" s="117">
        <v>1</v>
      </c>
      <c r="P9" s="118">
        <f t="shared" si="9"/>
        <v>2907.45</v>
      </c>
    </row>
    <row r="10" spans="1:16" x14ac:dyDescent="0.25">
      <c r="H10" s="10">
        <f>SUM(H2:H9)</f>
        <v>214138.41124999998</v>
      </c>
      <c r="J10" s="10">
        <f>SUM(J2:J9)</f>
        <v>498113.86999999994</v>
      </c>
      <c r="L10" s="10">
        <f>SUM(L2:L9)</f>
        <v>874302.69749999978</v>
      </c>
      <c r="N10" s="10">
        <f>SUM(N2:N9)</f>
        <v>1077633.8474999999</v>
      </c>
      <c r="P10" s="10">
        <f>SUM(P2:P9)</f>
        <v>1362667.0924999998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  <sheetView workbookViewId="1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B3ED475-CF3F-48D9-8EF2-5C1E719741B7}">
  <ds:schemaRefs>
    <ds:schemaRef ds:uri="http://www.w3.org/XML/1998/namespace"/>
    <ds:schemaRef ds:uri="http://schemas.microsoft.com/office/2006/documentManagement/types"/>
    <ds:schemaRef ds:uri="4e1108be-d15a-485d-8259-50667f8093fa"/>
    <ds:schemaRef ds:uri="d4b7c54a-c95c-45b1-a0ec-9f878b3f9d74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Orçamento</vt:lpstr>
      <vt:lpstr>Apresentação</vt:lpstr>
      <vt:lpstr>Gestão</vt:lpstr>
      <vt:lpstr>Base</vt:lpstr>
      <vt:lpstr>Estoque</vt:lpstr>
      <vt:lpstr>Taxa de Falha</vt:lpstr>
      <vt:lpstr>SLA por equipe</vt:lpstr>
      <vt:lpstr>Falha Equipamentos</vt:lpstr>
      <vt:lpstr>Planilha1</vt:lpstr>
      <vt:lpstr>Resolvidos</vt:lpstr>
      <vt:lpstr>BASE SS_OS</vt:lpstr>
      <vt:lpstr>Estoque min.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Joao Antonio Lagares Milhomem de Souza</cp:lastModifiedBy>
  <dcterms:created xsi:type="dcterms:W3CDTF">2016-07-06T08:22:49Z</dcterms:created>
  <dcterms:modified xsi:type="dcterms:W3CDTF">2026-09-21T16:58:55Z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
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nergisa-my.sharepoint.com/personal/joao_lagares_energisa_com_br/Documents/"/>
    </mc:Choice>
  </mc:AlternateContent>
  <xr:revisionPtr revIDLastSave="106" documentId="8_{C5CC8828-7A4D-4DA6-BB56-763ED19D8654}" xr6:coauthVersionLast="47" xr6:coauthVersionMax="47" xr10:uidLastSave="{909FC932-5115-44BD-9851-D31912A6636E}"/>
  <bookViews>
    <workbookView xWindow="-110" yWindow="-110" windowWidth="19420" windowHeight="11500" xr2:uid="{81BA2647-577D-4AE3-A02A-8FD16BD52AC6}"/>
  </bookViews>
  <sheets>
    <sheet name="Banco Capacitor" sheetId="2" r:id="rId1"/>
    <sheet name="Planilha3" sheetId="3" state="hidden" r:id="rId2"/>
  </sheets>
  <externalReferences>
    <externalReference r:id="rId3"/>
  </externalReferences>
  <definedNames>
    <definedName name="_xlnm._FilterDatabase" localSheetId="0" hidden="1">'Banco Capacitor'!$A$1:$K$132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30" i="2" l="1"/>
  <c r="H2" i="2" a="1"/>
  <c r="H2" i="2" s="1"/>
  <c r="H3" i="2" a="1"/>
  <c r="H3" i="2" s="1"/>
  <c r="H4" i="2" a="1"/>
  <c r="H4" i="2" s="1"/>
  <c r="H5" i="2" a="1"/>
  <c r="H5" i="2" s="1"/>
  <c r="H10" i="2" a="1"/>
  <c r="H10" i="2" s="1"/>
  <c r="H11" i="2" a="1"/>
  <c r="H11" i="2" s="1"/>
  <c r="H12" i="2" a="1"/>
  <c r="H12" i="2" s="1"/>
  <c r="H13" i="2" a="1"/>
  <c r="H13" i="2" s="1"/>
  <c r="H18" i="2" a="1"/>
  <c r="H18" i="2" s="1"/>
  <c r="H19" i="2" a="1"/>
  <c r="H19" i="2" s="1"/>
  <c r="H20" i="2" a="1"/>
  <c r="H20" i="2" s="1"/>
  <c r="H21" i="2" a="1"/>
  <c r="H21" i="2" s="1"/>
  <c r="H24" i="2" a="1"/>
  <c r="H24" i="2" s="1"/>
  <c r="H29" i="2" a="1"/>
  <c r="H29" i="2" s="1"/>
  <c r="H45" i="2" a="1"/>
  <c r="H45" i="2" s="1"/>
  <c r="H53" i="2" a="1"/>
  <c r="H53" i="2" s="1"/>
  <c r="H55" i="2" a="1"/>
  <c r="H55" i="2" s="1"/>
  <c r="H56" i="2" a="1"/>
  <c r="H56" i="2" s="1"/>
  <c r="H57" i="2" a="1"/>
  <c r="H57" i="2" s="1"/>
  <c r="H61" i="2" a="1"/>
  <c r="H61" i="2" s="1"/>
  <c r="H62" i="2" a="1"/>
  <c r="H62" i="2" s="1"/>
  <c r="H63" i="2" a="1"/>
  <c r="H63" i="2" s="1"/>
  <c r="H64" i="2" a="1"/>
  <c r="H64" i="2" s="1"/>
  <c r="H66" i="2" a="1"/>
  <c r="H66" i="2" s="1"/>
  <c r="H67" i="2" a="1"/>
  <c r="H67" i="2" s="1"/>
  <c r="H68" i="2" a="1"/>
  <c r="H68" i="2" s="1"/>
  <c r="H78" i="2" a="1"/>
  <c r="H78" i="2" s="1"/>
  <c r="H79" i="2" a="1"/>
  <c r="H79" i="2" s="1"/>
  <c r="H80" i="2" a="1"/>
  <c r="H80" i="2" s="1"/>
  <c r="H81" i="2" a="1"/>
  <c r="H81" i="2" s="1"/>
  <c r="H82" i="2" a="1"/>
  <c r="H82" i="2" s="1"/>
  <c r="H83" i="2" a="1"/>
  <c r="H83" i="2" s="1"/>
  <c r="H84" i="2" a="1"/>
  <c r="H84" i="2" s="1"/>
  <c r="H86" i="2" a="1"/>
  <c r="H86" i="2" s="1"/>
  <c r="H87" i="2" a="1"/>
  <c r="H87" i="2" s="1"/>
  <c r="H98" i="2" a="1"/>
  <c r="H98" i="2" s="1"/>
  <c r="H99" i="2" a="1"/>
  <c r="H99" i="2" s="1"/>
  <c r="H107" i="2" a="1"/>
  <c r="H107" i="2" s="1"/>
  <c r="H113" i="2" a="1"/>
  <c r="H113" i="2" s="1"/>
  <c r="H114" i="2" a="1"/>
  <c r="H114" i="2" s="1"/>
  <c r="H116" i="2" a="1"/>
  <c r="H116" i="2" s="1"/>
  <c r="H123" i="2" a="1"/>
  <c r="H123" i="2" s="1"/>
  <c r="H124" i="2" a="1"/>
  <c r="H124" i="2" s="1"/>
  <c r="H126" i="2" a="1"/>
  <c r="H126" i="2" s="1"/>
  <c r="H128" i="2" a="1"/>
  <c r="H128" i="2" s="1"/>
  <c r="H130" i="2" a="1"/>
  <c r="H13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<sst xmlns="http://schemas.openxmlformats.org/spreadsheetml/2006/main" count="973" uniqueCount="712">
  <si>
    <t>Código da Solicitação</t>
  </si>
  <si>
    <t>Ano</t>
  </si>
  <si>
    <t>Descrição</t>
  </si>
  <si>
    <t>DataOcorrência</t>
  </si>
  <si>
    <t>Abrangencia</t>
  </si>
  <si>
    <t>Instalação</t>
  </si>
  <si>
    <t>Localização</t>
  </si>
  <si>
    <t>POTENCIA</t>
  </si>
  <si>
    <t>DESCRIÇÃO</t>
  </si>
  <si>
    <t>Celulas</t>
  </si>
  <si>
    <t>Valor Total (Celula+Mão de obra)</t>
  </si>
  <si>
    <t>ETO-COEP 00060/2024</t>
  </si>
  <si>
    <t>2024</t>
  </si>
  <si>
    <t>Nota para manutenção substituir banco capacitor 5913313004 na RDU de Araguina o mesmo não aceitou fechamento</t>
  </si>
  <si>
    <t>26/04/2024 05:51:18</t>
  </si>
  <si>
    <t>0313313004</t>
  </si>
  <si>
    <t>AL05010004</t>
  </si>
  <si>
    <t>5913313004</t>
  </si>
  <si>
    <t>BD 7,96kV FIXO 50kVAR</t>
  </si>
  <si>
    <t>ETO-COEP 00146/2024</t>
  </si>
  <si>
    <t>bom dia,
segue Ss apara substituiçaõ da fase b do banco capacitor 5900003013 o mesmo não aceita.</t>
  </si>
  <si>
    <t>02/09/2024 08:05:35</t>
  </si>
  <si>
    <t>0300003013</t>
  </si>
  <si>
    <t>AL03062013</t>
  </si>
  <si>
    <t>5900003013</t>
  </si>
  <si>
    <t>ETO-COEP 00161/2026</t>
  </si>
  <si>
    <t>2026</t>
  </si>
  <si>
    <t>Banco de capacitor 5900785076 com defeito fase c não aceitou feito tentativa de colocar em operação 21/07/2026 as 06:25 verificar em campo possivel anomalia .
Tensao 13.8 kv rdu de Duere</t>
  </si>
  <si>
    <t>21/07/2026 06:50:12</t>
  </si>
  <si>
    <t>0300785076</t>
  </si>
  <si>
    <t>AL01031076</t>
  </si>
  <si>
    <t>5900785076</t>
  </si>
  <si>
    <t>ETO-COEP 00166/2026</t>
  </si>
  <si>
    <t>COCMS 02/08
REQUISICAR OS EQUIPAMENTOS
Segue SS aberta para tratativas com equipe de LINHA VIVA ! Defeito no BANCO CAPACITOR 5930560028 , equipamento não aceitou . RDU NATIVIDADE</t>
  </si>
  <si>
    <t>26/07/2026 07:36:18</t>
  </si>
  <si>
    <t>0330560028</t>
  </si>
  <si>
    <t>AL01052028</t>
  </si>
  <si>
    <t>5930560028</t>
  </si>
  <si>
    <t>ETO-COEP 00158/2025</t>
  </si>
  <si>
    <t>2025</t>
  </si>
  <si>
    <t>30/06 PARECER COEP: EQUIPAMENTO SELECIONADO PARA COMPRA
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</si>
  <si>
    <t>14/03/2025 18:55:23</t>
  </si>
  <si>
    <t>8800153096</t>
  </si>
  <si>
    <t>LD03046026</t>
  </si>
  <si>
    <t>7942485096</t>
  </si>
  <si>
    <t>ETO-COEP 00134/2025</t>
  </si>
  <si>
    <t>favo substituir 200 mts de  cabo multiplex 35MM  pois  o mesmo  esta deteriorado  sem condiçoes de uso</t>
  </si>
  <si>
    <t>17/04/2025 10:04:20</t>
  </si>
  <si>
    <t>5747384004</t>
  </si>
  <si>
    <t>AL03096004</t>
  </si>
  <si>
    <t>ETO-COEP 00093/2025</t>
  </si>
  <si>
    <t>acionar equipe de manutencao para troca de vao de rede deteriorada em Nova Olinda
trafo 5701907060
localidade Nova Olinda IND RUA GONCALVES DIAS, 301 - QDRA 07A.   LT 01A
equipe 060op01
OBS.: substiuir 350m de cabo de BT deteriorado na RDU de nova olinda</t>
  </si>
  <si>
    <t>18/04/2025 16:46:33</t>
  </si>
  <si>
    <t>5701907060</t>
  </si>
  <si>
    <t>AL02054060</t>
  </si>
  <si>
    <t>ETO-COEP 00145/2025</t>
  </si>
  <si>
    <t>Boa tarde
Segue SS
Senhores enviar equipe de manutenção para substituir  300 metros de cabo Multiplex 35mm
Entres os ID: 66956023 e 66955978
Trafo: 5703964004 
Equipe 004op01
Contato da equipe: 99125-5725
Endereço: Rua mamonas QDM18 LT25
Levar: 300 metros de cabo multiplex 35mm
OBS: equipe informou que é 6 vão de rede BT.</t>
  </si>
  <si>
    <t>22/04/2025 13:15:56</t>
  </si>
  <si>
    <t>8804228004</t>
  </si>
  <si>
    <t>AL04040004</t>
  </si>
  <si>
    <t>ETO-COEP 00165/2026</t>
  </si>
  <si>
    <t>Banco de capacitor 5904193001 fase B e C, com defeito.</t>
  </si>
  <si>
    <t>01/08/2026 06:57:33</t>
  </si>
  <si>
    <t>0300070001</t>
  </si>
  <si>
    <t>AL01072001</t>
  </si>
  <si>
    <t>5904193001</t>
  </si>
  <si>
    <t>ETO-COEP 00173/2026</t>
  </si>
  <si>
    <t>capacitor 5900037005 fase aberta A e B equipe 005OP05 entrou em contato falando que fases não aceita</t>
  </si>
  <si>
    <t>07/08/2026 15:45:30</t>
  </si>
  <si>
    <t>0301543005</t>
  </si>
  <si>
    <t>AL01013005</t>
  </si>
  <si>
    <t>5900037005</t>
  </si>
  <si>
    <t>ETO-COEP 00179/2026</t>
  </si>
  <si>
    <t>BANCO CAPACITOR COM CELULA DANIFICADA 
FASE B 
N° 5900066013
RDU PARAISO ACESSO LIVRE . MESMO ESTA FORA DE OPERAÇÃO</t>
  </si>
  <si>
    <t>13/08/2026 07:17:48</t>
  </si>
  <si>
    <t>0300066013</t>
  </si>
  <si>
    <t>AL02062013</t>
  </si>
  <si>
    <t>5900066013</t>
  </si>
  <si>
    <t>ETO-COEP 00175/2025</t>
  </si>
  <si>
    <t>Substituir  3 celula do Banco Capacitor-5900010002 - 100 KVAR, com defeito 03  fases em curto por gentileza substituir o mais breve possivél-RDU de Tocantinopolis</t>
  </si>
  <si>
    <t>12/07/2025 05:38:27</t>
  </si>
  <si>
    <t>0300010002</t>
  </si>
  <si>
    <t>AL01084002</t>
  </si>
  <si>
    <t>5900010002</t>
  </si>
  <si>
    <t>ETO-COEP 00146/2025</t>
  </si>
  <si>
    <t>Boa noite!
Senhores, enviar equipe de manutenção para substituir 6 Vãos de rede Bt cabo muitiplexado deteriorado, no circuito do trafo 5704169004, do ID 74894893 ao ID 74894891, Bairro cidade nova RDu de Araguaina.</t>
  </si>
  <si>
    <t>08/04/2025 21:03:15</t>
  </si>
  <si>
    <t>5704169004</t>
  </si>
  <si>
    <t>ETO-COEP 00089/2025</t>
  </si>
  <si>
    <t>SUBSTITUIR REDE BT DETERIORADA TODO CIRCUITO DO TR-5719217060 230MT BARRAMENTO DO TRAFO CABO MUTIPLEX 70MM TRIFÁSICO. 1.350,00mt DE CABOS MUTIPLEX 35MM TRIFÁSICO
RDU NOVA OLINDA</t>
  </si>
  <si>
    <t>18/03/2025 18:43:46</t>
  </si>
  <si>
    <t>5719217060</t>
  </si>
  <si>
    <t>ETO-COEP 00147/2025</t>
  </si>
  <si>
    <t>Boa tarde!
Senhores, enviar equipe de manutenção para substituir rede Bt circuito do trafo 5703750004 bairro costa esmeralda rdu de Araguaina, os cabos estão deteriorados, fotos em anexo,</t>
  </si>
  <si>
    <t>28/04/2025 14:24:55</t>
  </si>
  <si>
    <t>5703750004</t>
  </si>
  <si>
    <t>AL01040004</t>
  </si>
  <si>
    <t>ETO-COEP 00148/2025</t>
  </si>
  <si>
    <t>por favor deslocar equipe da manutenção pesada urgente no Trafo 57703627004 para substituir 
800 metros cabo BT danificado em campo as uc está dando choque no padrão dos clientes no local e 
cabo multiplex de 35mm oferecendo risco a população</t>
  </si>
  <si>
    <t>06/01/2024 14:58:40</t>
  </si>
  <si>
    <t>5703627004</t>
  </si>
  <si>
    <t>AL07010004</t>
  </si>
  <si>
    <t>ETO-COEP 00100/2026</t>
  </si>
  <si>
    <t>Realizar susbtituição de celula queimada fase A e C queimadas, realizado teste.</t>
  </si>
  <si>
    <t>21/05/2026 16:02:37</t>
  </si>
  <si>
    <t>0300109059</t>
  </si>
  <si>
    <t>AL05099059</t>
  </si>
  <si>
    <t>5900109059</t>
  </si>
  <si>
    <t>ETO-COEP 00181/2026</t>
  </si>
  <si>
    <t>Banco capacitor 5935581001, com defeito nas 3 Fases favor substituir 300 KVar RDU Porto Nacional</t>
  </si>
  <si>
    <t>18/08/2026 08:42:55</t>
  </si>
  <si>
    <t>0335581001</t>
  </si>
  <si>
    <t>AL03072001</t>
  </si>
  <si>
    <t>5935581001</t>
  </si>
  <si>
    <t>ETO-COEP 00083/2024</t>
  </si>
  <si>
    <t>Segue SS do banco de capacitor 5900064029 com defeito  
5900064029 
RDU de Palmeiropolis 
Fase A com vazamento de oleo 
FAse B e C tambem com defeito.
Por gentileza favor verificar a troca do mesmo</t>
  </si>
  <si>
    <t>20/05/2024 11:55:14</t>
  </si>
  <si>
    <t>0300064029</t>
  </si>
  <si>
    <t>AL01061029</t>
  </si>
  <si>
    <t>5900064029</t>
  </si>
  <si>
    <t>BD 7,96kV FIX 100KVAR</t>
  </si>
  <si>
    <t>ETO-COEP 00018/2024</t>
  </si>
  <si>
    <t>Favor enviar equipe para verificar banco de capacitor :5952243122 danificado fase B e C na quadra 606 Sul</t>
  </si>
  <si>
    <t>18/02/2024 05:44:18</t>
  </si>
  <si>
    <t>0352243122</t>
  </si>
  <si>
    <t>AL04059122</t>
  </si>
  <si>
    <t>5952243122</t>
  </si>
  <si>
    <t>ETO-COEP 00135/2025</t>
  </si>
  <si>
    <t>SUBSTITUIR CABOS DE BT DETERIORADO NO CIRCUITO DO TR-5703610004
7 VÃO DE REDES 290MT DE CABOS 35MM MUTIPLEX TRIFÁSICO. ENTRE OS ID-63216801 E ID-63216595</t>
  </si>
  <si>
    <t>02/06/2025 10:58:32</t>
  </si>
  <si>
    <t>8859685004</t>
  </si>
  <si>
    <t>AL06010004</t>
  </si>
  <si>
    <t>0303612004</t>
  </si>
  <si>
    <t>ETO-COEP 00120/2025</t>
  </si>
  <si>
    <t>30/06 PARECER COEP: AGUARDANDO O RETORNO DO DMSL , PARA ENTENDER SE O PROBLEMA É NA COMUNICAÇÃO OU PARTE ATIVA, JÁ QUE O EQUIPAMENTO EM QUESTÃO SEGUE COMUNICANDO
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</si>
  <si>
    <t>02/06/2025 08:09:17</t>
  </si>
  <si>
    <t>9001177127</t>
  </si>
  <si>
    <t>LD01084002</t>
  </si>
  <si>
    <t>7920024127</t>
  </si>
  <si>
    <t>ETO-COEP 00058/2024</t>
  </si>
  <si>
    <t>por favor deslocar equipe da manutenção pesada nos bancos capacitor 5900326004 , 5900383004 com vazamento de óleo
e os 5924849004 inspecionado com defeito nas fases A,B,C, e o 5900600004 fases A,C com defeito foi informado pela equipe DEC de Araguaína
telefone 6399250-4970</t>
  </si>
  <si>
    <t>24/04/2024 17:26:41</t>
  </si>
  <si>
    <t>0324849004</t>
  </si>
  <si>
    <t>AL03103004</t>
  </si>
  <si>
    <t>5924849004</t>
  </si>
  <si>
    <t>ETO-COEP 00131/2025</t>
  </si>
  <si>
    <t>SEGUE SS DE 07 VÃO DE REDE BT DETERIORADO NO CIRCUITO DO TRAFO 5700232011 EM TUPIRAMA. PARA AS DEVIDAS TRATATIVAS COM EQUIPE DE MANUTENÇÃO 
OBS: CABO BT DETERIORADO ESTA ENTRE OS ID'S 70764465 E ID 78898921</t>
  </si>
  <si>
    <t>07/06/2025 17:03:14</t>
  </si>
  <si>
    <t>5700232011</t>
  </si>
  <si>
    <t>AL01065015</t>
  </si>
  <si>
    <t>ETO-COEP 00143/2025</t>
  </si>
  <si>
    <t>30/06 PARECER COEP: EQUIPAMENTO COMPLETO
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</si>
  <si>
    <t>26/06/2025 02:10:15</t>
  </si>
  <si>
    <t>9027446001</t>
  </si>
  <si>
    <t>LD02072001</t>
  </si>
  <si>
    <t>7927446001</t>
  </si>
  <si>
    <t>ETO-COEP 00133/2025</t>
  </si>
  <si>
    <t>substituir 200 MTS de cabo convecional por cabo multiplex 35MM  do ID 63262275  ate o ID 63103854 para adequação de cabo deteriorado .</t>
  </si>
  <si>
    <t>13/03/2025 10:12:29</t>
  </si>
  <si>
    <t>5700008159</t>
  </si>
  <si>
    <t>LD04010004</t>
  </si>
  <si>
    <t>ETO-COEP 00136/2025</t>
  </si>
  <si>
    <t>favor substotuir  250 mts de cabo BT deteriorado  no circuito do trafo 5703964004  entre  os ID 72594019 e  o ID  75731651</t>
  </si>
  <si>
    <t>21/03/2025 10:44:01</t>
  </si>
  <si>
    <t>5703964004</t>
  </si>
  <si>
    <t>ETO-COEP 00075/2025</t>
  </si>
  <si>
    <t>Segue nota para envia equipe linha viva substituir às 3 células do BC-5952327122, Obs. Identificada fase A e C aberta e em campo e curto na fase B, Equipamento ficou isolado para substituição, Tensão 13.8kv, Local próximo QD-409 Norte.</t>
  </si>
  <si>
    <t>24/04/2025 05:10:24</t>
  </si>
  <si>
    <t>0352228122</t>
  </si>
  <si>
    <t>AL07060122</t>
  </si>
  <si>
    <t>5952327122</t>
  </si>
  <si>
    <t>ETO-COEP 00114/2026</t>
  </si>
  <si>
    <t>27/07 PARECER COEP: TANQUE DANIFICADO DA 13,5
Aberto nota para substituir tanque danificado e chave de entrada fase B danificada
PARECER DMSL: Foi confirmado pela equipe DMSL o defeito do tanque, favor seguir com a substituição e correção da chave de entrada fase B danificada.</t>
  </si>
  <si>
    <t>08/06/2026 15:48:55</t>
  </si>
  <si>
    <t>7913662076</t>
  </si>
  <si>
    <t>ETO-COEP 00170/2026</t>
  </si>
  <si>
    <t>TROCAR CABOS DO BARRAMENTO DO TRAFO.
6 VÃO DE REDE DE BT MULTIPLES 35 MM.
OBS CRUZAMENTOS SÃO DE REDE NU E JÁ ESTAO COM BALAÇINHO MAIS NÃO ESTA RESOLVENDO TROCAR TODO O CIRCUITO DO TRAFO</t>
  </si>
  <si>
    <t>16/06/2026 01:15:59</t>
  </si>
  <si>
    <t>8800200004</t>
  </si>
  <si>
    <t>AL07103004</t>
  </si>
  <si>
    <t>5700199004</t>
  </si>
  <si>
    <t>ETO-COEP 00151/2026</t>
  </si>
  <si>
    <t>PARECER COEP 27/07/2026 : EM PROCESSO DE AQUISIÇÃO
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</si>
  <si>
    <t>23/01/2026 21:12:03</t>
  </si>
  <si>
    <t>9040227063</t>
  </si>
  <si>
    <t>LD01054060</t>
  </si>
  <si>
    <t>5840227063</t>
  </si>
  <si>
    <t>ETO-COEP 00153/2026</t>
  </si>
  <si>
    <t>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</si>
  <si>
    <t>22/06/2026 21:53:25</t>
  </si>
  <si>
    <t>9000218064</t>
  </si>
  <si>
    <t>LD02020023</t>
  </si>
  <si>
    <t>5825703064</t>
  </si>
  <si>
    <t>ETO-COEP 00138/2026</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</si>
  <si>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</si>
  <si>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24/06/2026 16:37:55</t>
  </si>
  <si>
    <t>9030359149</t>
  </si>
  <si>
    <t>LD03414149</t>
  </si>
  <si>
    <t>7930359149</t>
  </si>
  <si>
    <t>ETO-COEP 00150/2026</t>
  </si>
  <si>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</si>
  <si>
    <t>01/07/2025 20:23:34</t>
  </si>
  <si>
    <t>9030428001</t>
  </si>
  <si>
    <t>LD01100001</t>
  </si>
  <si>
    <t>7930428001</t>
  </si>
  <si>
    <t>ETO-COEP 00131/2026</t>
  </si>
  <si>
    <t>13/07 PARECER COEP: SELECIONADO PARA COMPRA CONTROLE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</si>
  <si>
    <t>23/11/2025 21:48:23</t>
  </si>
  <si>
    <t>8800157070</t>
  </si>
  <si>
    <t>LD02424015</t>
  </si>
  <si>
    <t>7947203070</t>
  </si>
  <si>
    <t>ETO-COEP 00124/2026</t>
  </si>
  <si>
    <t>PARECER COEP: Verificar Disponibilidade de equipamento no Scada e enviar modelo e tensão para a compra.
RELIGADOR COM RELÉ DANIFICADO, REALIZAR SUBSTITUIÇÃO</t>
  </si>
  <si>
    <t>26/03/2026 15:48:39</t>
  </si>
  <si>
    <t>7923673004</t>
  </si>
  <si>
    <t>AL04010004</t>
  </si>
  <si>
    <t>ETO-COEP 00125/2026</t>
  </si>
  <si>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</si>
  <si>
    <t>13/04/2026 21:44:36</t>
  </si>
  <si>
    <t>9000526015</t>
  </si>
  <si>
    <t>7900525015</t>
  </si>
  <si>
    <t>ETO-COEP 00132/2026</t>
  </si>
  <si>
    <t>PARECER COEP: EQUIPAMENTO SELECIONADO PARA COMPRA , DEVERIA SER SUBSTITUIDO PARTE ATIVA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</si>
  <si>
    <t>15/02/2026 20:35:18</t>
  </si>
  <si>
    <t>7921202014</t>
  </si>
  <si>
    <t>LD01025012</t>
  </si>
  <si>
    <t>ETO-COEP 00128/2026</t>
  </si>
  <si>
    <t>PARECER COEP: EQUIPAMENTO SELECIONADO  PARA COMPRA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</si>
  <si>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04/07/2025 10:54:05</t>
  </si>
  <si>
    <t>9000422200</t>
  </si>
  <si>
    <t>LD02066094</t>
  </si>
  <si>
    <t>7928241200</t>
  </si>
  <si>
    <t>ETO-COEP 00123/2026</t>
  </si>
  <si>
    <t>PARECER COEP: EQUIPAMENTO SELECIONADO PARA COMPRA
Troca do sistema de comunicação do equipamento
DMSL 28/07/2025: Equipamento com tanque, modulo e rele com defeito, solicitar troca do equipamento ao DCMD.
Fotos vão ser enviadas por e-mail</t>
  </si>
  <si>
    <t>29/05/2025 10:52:07</t>
  </si>
  <si>
    <t>7928564039</t>
  </si>
  <si>
    <t>LD02109039</t>
  </si>
  <si>
    <t>ETO-COEP 00129/2026</t>
  </si>
  <si>
    <t>PARECER COEP: REAVALIAR DISPONIBILIDADE DO EQUIPAMENTO NO SCADA ASSIM COMO , FORNECER MODELO DO EQUIPAMENTO E FAIXA DE TENSÃO PARA COMPRA / AQUISIÇÃO
Tanque com defeito, realizar substituição do tanque.</t>
  </si>
  <si>
    <t>18/12/2025 13:34:34</t>
  </si>
  <si>
    <t>7937102148</t>
  </si>
  <si>
    <t>LD01066094</t>
  </si>
  <si>
    <t>ETO-COEP 00149/2026</t>
  </si>
  <si>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</si>
  <si>
    <t>04/09/2025 21:36:22</t>
  </si>
  <si>
    <t>8851077001</t>
  </si>
  <si>
    <t>AL01102271</t>
  </si>
  <si>
    <t>5803327001</t>
  </si>
  <si>
    <t>ETO-COEP 00155/2026</t>
  </si>
  <si>
    <t>Avaliar alteração da estrutura do Trafo da estrutura de  570004215, as chaves fusíveis só consegue ser manobradas por equipe de cesto áereo ou escada de centro. Por conta do toldo (loja ocupando a calçada). 
solicitação equipe de campo
Foto em anexo</t>
  </si>
  <si>
    <t>09/07/2026 14:45:58</t>
  </si>
  <si>
    <t>8838757015</t>
  </si>
  <si>
    <t>5700042015</t>
  </si>
  <si>
    <t>ETO-COEP 00074/2025</t>
  </si>
  <si>
    <t>Segue nota para envia equipe linha viva substituir fase A e B do BC-5952202122 de 300 kVAr, Tensão 13.8kv, Local AVE NS-02 Praça dos Girassóis.</t>
  </si>
  <si>
    <t>24/04/2025 04:38:59</t>
  </si>
  <si>
    <t>8800388122</t>
  </si>
  <si>
    <t>AL06059122</t>
  </si>
  <si>
    <t>5952202122</t>
  </si>
  <si>
    <t>ETO-COEP 00156/2026</t>
  </si>
  <si>
    <t>20/07 PARECER COCM: NÃO RECEBEMOS MATERIAL
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</si>
  <si>
    <t>03/09/2025 12:09:59</t>
  </si>
  <si>
    <t>0320187017</t>
  </si>
  <si>
    <t>AL02017017</t>
  </si>
  <si>
    <t>5855411017</t>
  </si>
  <si>
    <t>ETO-COEP 00154/2026</t>
  </si>
  <si>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t>
  </si>
  <si>
    <t>08/07/2026 10:31:44</t>
  </si>
  <si>
    <t>7910027196</t>
  </si>
  <si>
    <t>LD02059122</t>
  </si>
  <si>
    <t>ETO-COEP 00168/2026</t>
  </si>
  <si>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</si>
  <si>
    <t>29/09/2025 15:15:26</t>
  </si>
  <si>
    <t>8859726047</t>
  </si>
  <si>
    <t>AL02033047</t>
  </si>
  <si>
    <t>7908196047</t>
  </si>
  <si>
    <t>ETO-COEP 00144/2026</t>
  </si>
  <si>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 Material ainda não foi entregue para substituição 15/07/2026</t>
  </si>
  <si>
    <t>26/12/2025 18:06:25</t>
  </si>
  <si>
    <t>9002298007</t>
  </si>
  <si>
    <t>7938137007</t>
  </si>
  <si>
    <t>ETO-COEP 00148/2026</t>
  </si>
  <si>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</si>
  <si>
    <t>27/04/2025 11:04:53</t>
  </si>
  <si>
    <t>9023928122</t>
  </si>
  <si>
    <t>7923927122</t>
  </si>
  <si>
    <t>ETO-COEP 00147/2026</t>
  </si>
  <si>
    <t>20/07 PARECER COEP: EQUIPAMENTO SELECIONADO PARA COMPRA
Segue nota para substituir relé religador avariado marca noja , equipamento N: 7953211079 - Itapiratins .
Obs: informação repassado pelo técnico DMSL Bruno .</t>
  </si>
  <si>
    <t>15/07/2026 20:02:41</t>
  </si>
  <si>
    <t>7953211079</t>
  </si>
  <si>
    <t>LD03038009</t>
  </si>
  <si>
    <t>ETO-COEP 00158/2026</t>
  </si>
  <si>
    <t>27/07 PARECER COEP: PEÇAS REDIRECIONADAS 5856070091 PRIORIDADE MAIOR
20/07 PARECER COEP: EQUIPAMENTO ENTREGUE , FAVOR EDITAR A SS COM A DATA PREVISTA DE SUBSTITUIÇÃO NO PARECER DOS COCM´S 
Realizar substituição da FASE B.
Célula da fase B estava com a tampa do contador de tape aberta, pegou chuva e molhou os contatos danificando a peça toda.</t>
  </si>
  <si>
    <t>08/12/2025 10:56:23</t>
  </si>
  <si>
    <t>8800691091</t>
  </si>
  <si>
    <t>LD05002091</t>
  </si>
  <si>
    <t>5862236091</t>
  </si>
  <si>
    <t>ETO-COEP 00076/2025</t>
  </si>
  <si>
    <t>Segue SS para substituição do banco capacitor com defeito fase B,C 5951650122</t>
  </si>
  <si>
    <t>25/04/2025 05:42:35</t>
  </si>
  <si>
    <t>8800777122</t>
  </si>
  <si>
    <t>AL08059122</t>
  </si>
  <si>
    <t>5951650122</t>
  </si>
  <si>
    <t>ETO-COEP 00159/2026</t>
  </si>
  <si>
    <t>27/07/2026 PARECER COEP: EM PROCESSO DE AQUISIÇÃO , COMPLETO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</si>
  <si>
    <t>25/02/2026 10:44:37</t>
  </si>
  <si>
    <t>8801059073</t>
  </si>
  <si>
    <t>LD01047073</t>
  </si>
  <si>
    <t>7919270014</t>
  </si>
  <si>
    <t>ETO-COEP 00085/2025</t>
  </si>
  <si>
    <t>por favor deslocar equipe da manutenção nos bancos capacitor 5900470004 , 5903718004 , 5900668004 para 
faze manutenção eles esta com chave aberto em campo foi informado pela equipe do plantão 004op02</t>
  </si>
  <si>
    <t>17/05/2024 13:02:00</t>
  </si>
  <si>
    <t/>
  </si>
  <si>
    <t>AL01010004</t>
  </si>
  <si>
    <t>5903718004</t>
  </si>
  <si>
    <t>ETO-COEP 00095/2025</t>
  </si>
  <si>
    <t>Segue nota para envia equipe linha viva substituir célula no BC-5955192004 fase B danificada dando passa de tensão e corrente se possível refazer aterramento do equipamento, Tensão 13.8kv, Acesso livre, Local RDU de Araguaína Avenida Conego João Lima.</t>
  </si>
  <si>
    <t>13/05/2025 04:07:29</t>
  </si>
  <si>
    <t>0355192004</t>
  </si>
  <si>
    <t>AL02010004</t>
  </si>
  <si>
    <t>5955192004</t>
  </si>
  <si>
    <t>BD 7,96kV FIX 100kVAr</t>
  </si>
  <si>
    <t>ETO-COEP 00116/2026</t>
  </si>
  <si>
    <t>Segue nota para envia substituir fase A do BC-5944271122, 300 kVAr com celular em curto, Tensão 13.8kv, Acesso livre, Local 104 Norte.</t>
  </si>
  <si>
    <t>05/06/2026 01:44:30</t>
  </si>
  <si>
    <t>0344271122</t>
  </si>
  <si>
    <t>AL01059122</t>
  </si>
  <si>
    <t>5944271122</t>
  </si>
  <si>
    <t>ETO-COEP 00164/2026</t>
  </si>
  <si>
    <t>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</si>
  <si>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24/03/2025 13:40:20</t>
  </si>
  <si>
    <t>8800002119</t>
  </si>
  <si>
    <t>LD03005098</t>
  </si>
  <si>
    <t>5858783119</t>
  </si>
  <si>
    <t>ETO-COEP 00160/2026</t>
  </si>
  <si>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</si>
  <si>
    <t>16/06/2025 15:50:51</t>
  </si>
  <si>
    <t>8832258091</t>
  </si>
  <si>
    <t>LD04002091</t>
  </si>
  <si>
    <t>5856156091</t>
  </si>
  <si>
    <t>ETO-COEP 00169/2026</t>
  </si>
  <si>
    <t>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</si>
  <si>
    <t>27/07/2026 22:14:41</t>
  </si>
  <si>
    <t>9000441256</t>
  </si>
  <si>
    <t>5800440256</t>
  </si>
  <si>
    <t>ETO-COEP 00139/2026</t>
  </si>
  <si>
    <t>Favor enviar equipe de linha viva para verificar falhar em banco de capacitor 5900027065 foi feito a tentativa de fechamento porém o mesmo esta em curto com fugar de tensão para a terra, não foi possivel indentificar qual a celula esta com a fulga, favor verificar e substituir a celula defeituosa.</t>
  </si>
  <si>
    <t>09/07/2026 19:58:21</t>
  </si>
  <si>
    <t>3100027065</t>
  </si>
  <si>
    <t>AL01016065</t>
  </si>
  <si>
    <t>5900027065</t>
  </si>
  <si>
    <t>ETO-COEP 00162/2026</t>
  </si>
  <si>
    <t>Segue Ss e banco capacitor 5925072076 com defeito Fase A não aceitou apos tentativa de colocar o mesmo em operação. Verificar possivel anomalia em campo.</t>
  </si>
  <si>
    <t>22/07/2026 12:41:46</t>
  </si>
  <si>
    <t>0325072076</t>
  </si>
  <si>
    <t>5925072076</t>
  </si>
  <si>
    <t>ETO-COEP 00167/2026</t>
  </si>
  <si>
    <t>COCMS 02/08
REQUISITAR EQUIPAMENTOS
Segue SS aberta para tratativas com equipe de LINHA VIVA ! Verificar defeito no BANCO CAPACITOR 5900583028 , RDU NATIVIDADE , conforme informações da equipe 028op02 , o equipamento não aceita o fechamento e desarma a LD .</t>
  </si>
  <si>
    <t>26/07/2026 10:19:59</t>
  </si>
  <si>
    <t>0300583028</t>
  </si>
  <si>
    <t>5900583028</t>
  </si>
  <si>
    <t>BD 19,92kV FIX 100KVAR</t>
  </si>
  <si>
    <t>ETO-COEP 00183/2026</t>
  </si>
  <si>
    <t>capicitor 5930542005 fases A e c aberta equipe 005OP05 informou COD para abrir nota
PROVIDENCIA MATERIAL</t>
  </si>
  <si>
    <t>07/08/2026 16:57:14</t>
  </si>
  <si>
    <t>0330542005</t>
  </si>
  <si>
    <t>5930542005</t>
  </si>
  <si>
    <t>ETO-COEP 00178/2026</t>
  </si>
  <si>
    <t>FAVOR SUBSTITUIR CABOS MULTIPLEX  COMPLETAMENTE DETERIORADO E OFERENCENDO RISCO A EQUIPES POIS NAO HA CONDIÇOES DE EXECUTAR ATIVIDADES UNICO PONTO QUE ESTA EM BOAS CONDIÇOES E O BARRAMENTO DO TRAFO O RESTO DO CIRCUITO PRECISA SER TROCADO</t>
  </si>
  <si>
    <t>12/08/2026 13:55:54</t>
  </si>
  <si>
    <t>5704264004</t>
  </si>
  <si>
    <t>ETO-COEP 00182/2026</t>
  </si>
  <si>
    <t>Favor substituir celula do banco capacitor 5900105013 fase B com defeito.</t>
  </si>
  <si>
    <t>20/08/2026 07:01:49</t>
  </si>
  <si>
    <t>0300105013</t>
  </si>
  <si>
    <t>5900105013</t>
  </si>
  <si>
    <t>ETO-COEP 00090/2026</t>
  </si>
  <si>
    <t>banco capacitor com defeito 5948602003 não aceito fase a,e b favor verificar.
Substituir fazer A e B</t>
  </si>
  <si>
    <t>13/05/2026 00:15:32</t>
  </si>
  <si>
    <t>8802043003</t>
  </si>
  <si>
    <t>AL01041003</t>
  </si>
  <si>
    <t>5948602003</t>
  </si>
  <si>
    <t>ETO-COEP 00091/2026</t>
  </si>
  <si>
    <t>favor verificar Banco de Capacitor 5953586122com defeito na celula da fase A e C , 300KvA, Plano Av NS 01, proximo da Ulbra 1503 Sul -Palmas
Realizado teste, conformado equipamento quiemado.</t>
  </si>
  <si>
    <t>13/05/2026 04:47:42</t>
  </si>
  <si>
    <t>8807649122</t>
  </si>
  <si>
    <t>AL06097122</t>
  </si>
  <si>
    <t>5953586122</t>
  </si>
  <si>
    <t>ETO-COEP 00011/2026</t>
  </si>
  <si>
    <t>Remover chave 0306784122 para estrutura N4, poste ID#59387277 .
Ação oriunda ocorrências relevantes realizada em 16/01 ( desarme AL 4 SE Palmas II).
*********************************
PARECER COCM
COEP gentileza verificar solicitação da operação. Sendo interessante para ETO, gentileza direcionar atendimento ao COCM informando de onde o custo será debitado.</t>
  </si>
  <si>
    <t>16/01/2026 16:08:28</t>
  </si>
  <si>
    <t>8806782122</t>
  </si>
  <si>
    <t>ETO-COEP 00059/2026</t>
  </si>
  <si>
    <t>PARECER COEP: EQUIPAMENTO SELECIONADO PARA COMPRA
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</si>
  <si>
    <t>09/02/2026 23:47:44</t>
  </si>
  <si>
    <t>9025744087</t>
  </si>
  <si>
    <t>LD02022033</t>
  </si>
  <si>
    <t>7925744087</t>
  </si>
  <si>
    <t>ETO-COEP 00031/2026</t>
  </si>
  <si>
    <t>POR GENTILEZA PROGRAMAR PARA SUBSTITUIÇÃO DO BARRAMENTO DO TRAFO DEVIDO NÃO SER COMPATIVEL COM A POTÊNCIA DO MESMO, NECESSIDADE DE SUBSTITUIÇÃO SE 7 VÃOS</t>
  </si>
  <si>
    <t>10/02/2026 08:52:01</t>
  </si>
  <si>
    <t>8804224004</t>
  </si>
  <si>
    <t>AL03010004</t>
  </si>
  <si>
    <t>5701123004</t>
  </si>
  <si>
    <t>ETO-COEP 00035/2026</t>
  </si>
  <si>
    <t xml:space="preserve">NOTA PARA EQUIPE DE LINHA VIVA INSTALAR CHAVE FACA PARA MANOBRA ENTRE SANTAFE E DERIVAÇÃO PA COCALANDIA NO ID.: 63243178 EST N4 ACESSO BOM NECESSARIO URGENCIA
REFERENCIA AO LADO DA CH 8800521159- 
</t>
  </si>
  <si>
    <t>16/02/2026 05:35:05</t>
  </si>
  <si>
    <t>8800416159</t>
  </si>
  <si>
    <t>LD03010004</t>
  </si>
  <si>
    <t>ETO-COEP 00045/2026</t>
  </si>
  <si>
    <t>PARECER COEP: EQUIPAMENTO SELECIONADO PARA COMPRA
religador foi bay passado devido mesmo esta saindo fumaca do painel e sem comunicação 7927396052.
PARECER DMSL: Após testes, equipe DMSL constatou que apenas o tanque do RLG 7927396052 encontra-se queimado. Favor, substituir parte ativa do equipamento.
NS Tanque: 0320123040198</t>
  </si>
  <si>
    <t>17/02/2026 19:02:33</t>
  </si>
  <si>
    <t>9001632052</t>
  </si>
  <si>
    <t>LD03036052</t>
  </si>
  <si>
    <t>7927396052</t>
  </si>
  <si>
    <t>ETO-COEP 00051/2026</t>
  </si>
  <si>
    <t>PARECER COEP: EQUIPAMENTO SELECIONADO PARA COMPRA
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</si>
  <si>
    <t>18/02/2026 16:24:37</t>
  </si>
  <si>
    <t>7926442035</t>
  </si>
  <si>
    <t>LD01051035</t>
  </si>
  <si>
    <t>ETO-COEP 00095/2026</t>
  </si>
  <si>
    <t>24/07 PARECER COEP:EQUIPAMENTO EM LOGISTICA 
DE ENTREGA
Favor levar outro regulador de tensão, pois o mesmo foi furtado em campo.</t>
  </si>
  <si>
    <t>16/04/2026 11:31:45</t>
  </si>
  <si>
    <t>9002534094</t>
  </si>
  <si>
    <t>5836786094</t>
  </si>
  <si>
    <t>ETO-COEP 00141/2026</t>
  </si>
  <si>
    <t>22/07/2026 EQUIPAMENTO SLEECIONADO PARA COMPRA
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</si>
  <si>
    <t>30/03/2026 17:00:32</t>
  </si>
  <si>
    <t>9004985001</t>
  </si>
  <si>
    <t>LD01072001</t>
  </si>
  <si>
    <t>7927413001</t>
  </si>
  <si>
    <t>ETO-COEP 00087/2026</t>
  </si>
  <si>
    <t>10/07/2026 EQUIPAMENTO SELECIONADO PARA COMPRA PARTE ATIVA
30/06.PARECER COEP: ALINHADO COM O ALLAN REMANEJAMOS PARTE ATIVA PARA ATENDER 7933726256
PARECER COEP: Aproveitar controle cooper se possível em outro local, previsão de chegada do material dia 01/07 para substituição
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</si>
  <si>
    <t>22/04/2025 09:55:49</t>
  </si>
  <si>
    <t>9000453110</t>
  </si>
  <si>
    <t>LD03040003</t>
  </si>
  <si>
    <t>7900453110</t>
  </si>
  <si>
    <t>ETO-COEP 00092/2026</t>
  </si>
  <si>
    <t>Enviar equipe para substituir  celula capacitiva em curto  fase  C , na rdu de Araguaina
Realizado teste, equipamento com celula queimada.</t>
  </si>
  <si>
    <t>15/05/2026 05:09:37</t>
  </si>
  <si>
    <t>0300272004</t>
  </si>
  <si>
    <t>5900272004</t>
  </si>
  <si>
    <t>ETO-COEP 00099/2026</t>
  </si>
  <si>
    <t>Realizar substituição da celula fase A queimada.</t>
  </si>
  <si>
    <t>21/05/2026 15:57:39</t>
  </si>
  <si>
    <t>7961993059</t>
  </si>
  <si>
    <t>5961616059</t>
  </si>
  <si>
    <t>ETO-COEP 00101/2026</t>
  </si>
  <si>
    <t>Banco 5952342122 com fase A e C danificada, feito teste e nao aceitou</t>
  </si>
  <si>
    <t>22/05/2026 03:10:12</t>
  </si>
  <si>
    <t>0300975122</t>
  </si>
  <si>
    <t>5952342122</t>
  </si>
  <si>
    <t>ETO-COEP 00102/2026</t>
  </si>
  <si>
    <t>FEITO TESTE BANCO CAPACITOR 5952248122 E NÃO ACEITOU, ENVIAR EQUIPE PARA SUBSTITUIR CELULA DANIFICADA ABERTO FASE B e C</t>
  </si>
  <si>
    <t>26/05/2026 02:11:52</t>
  </si>
  <si>
    <t>0352248122</t>
  </si>
  <si>
    <t>5952248122</t>
  </si>
  <si>
    <t>ETO-COEP 00140/2025</t>
  </si>
  <si>
    <t>Banco de capacitor de numero 5900129052 celula fase A e B não  aceitou rdu de formoso do araguaia acesso livre tensão 13.8 kv .
verificar em campo possivel defeito ou troca do mesmo.</t>
  </si>
  <si>
    <t>07/07/2025 08:35:20</t>
  </si>
  <si>
    <t>0300129052</t>
  </si>
  <si>
    <t>AL01036052</t>
  </si>
  <si>
    <t>5900129052</t>
  </si>
  <si>
    <t>ETO-COEP 00047/2026</t>
  </si>
  <si>
    <t>favor verificar banco de capacitor 5950106122, com defeito interno, o mesmo nao foi indentificado aparentemente, porem foi a causa da ocorrencia 20253842360922</t>
  </si>
  <si>
    <t>20/09/2025 21:03:12</t>
  </si>
  <si>
    <t>0350106122</t>
  </si>
  <si>
    <t>AL05097122</t>
  </si>
  <si>
    <t>5950106122</t>
  </si>
  <si>
    <t>ETO-COEP 00184/2026</t>
  </si>
  <si>
    <t>Equipamento com celula fase A queimada</t>
  </si>
  <si>
    <t>20/08/2026 10:26:03</t>
  </si>
  <si>
    <t>0300364003</t>
  </si>
  <si>
    <t>AL02113003</t>
  </si>
  <si>
    <t>5900364003</t>
  </si>
  <si>
    <t>ETO-COEP 00104/2026</t>
  </si>
  <si>
    <t>Favor providenciar equipe de linha viva para realizar manutenção no BC 5944271122 devido vazamento na fase C, local fica na AV NS 4na quadra 104 Norte.</t>
  </si>
  <si>
    <t>25/05/2026 18:09:41</t>
  </si>
  <si>
    <t>8800063122</t>
  </si>
  <si>
    <t>ETO-COEP 00077/2025</t>
  </si>
  <si>
    <t>BC-5907243122  isolado mesmo assim feito teste porém fase B não aceitou 03:13 / 24/04/2025.
Favor verificar disponibilidade de equipamento e encaminhar novamente para subistituição do mesmo.</t>
  </si>
  <si>
    <t>28/04/2025 16:57:05</t>
  </si>
  <si>
    <t>0307243122</t>
  </si>
  <si>
    <t>AL05060122</t>
  </si>
  <si>
    <t>5907243122</t>
  </si>
  <si>
    <t>ETO-COEP 00171/2026</t>
  </si>
  <si>
    <t>Segue SS para tratativa ! VERIFICAR Defeito do BANCO CAPACITOR 5922317001 NA RDR DE PORTO NACIONAL , APOS FECHAMENTO  O MESMO NÃO ACEITA , ACESSO LIVRE TENSÃO 13,8 
SETOR INDUSTRIAL</t>
  </si>
  <si>
    <t>07/08/2026 13:31:07</t>
  </si>
  <si>
    <t>0361408001</t>
  </si>
  <si>
    <t>AL01071001</t>
  </si>
  <si>
    <t>5922317001</t>
  </si>
  <si>
    <t>ETO-COEP 00043/2026</t>
  </si>
  <si>
    <t>Por gentileza instalar Chave Faca com referência ao ID# E.O: 44271354;</t>
  </si>
  <si>
    <t>27/02/2026 14:53:22</t>
  </si>
  <si>
    <t>8801170015</t>
  </si>
  <si>
    <t>LD02065015</t>
  </si>
  <si>
    <t>ETO-COEP 00070/2026</t>
  </si>
  <si>
    <t>Segue ss de 06 chaves faca da rede de 34.500kv no id, 59408745 e no id, 59411689 
estrutura HT 
 para ser instalada  pela equipe de manutencão linha viva devido tratar se da LD de aparecida a novo acordo, trecho longo de 8 KM sem chaves na linha acesso bom equipe que atendeu 083op01 63992188010 marcelo 63991155898 Dielano favor agilizar o atendimento para facilitar as nossas manobras na LD obs, não tem clientes penalizados porém estamos precisando muito da instalacão desta chave na linha para energisar a fazenda do governador em menos tempo favor agilizar o atendimento</t>
  </si>
  <si>
    <t>01/03/2026 08:49:12</t>
  </si>
  <si>
    <t>8801094083</t>
  </si>
  <si>
    <t>LD01059122</t>
  </si>
  <si>
    <t>9000448083</t>
  </si>
  <si>
    <t>ETO-COEP 00046/2026</t>
  </si>
  <si>
    <t>Acionar equipe de manutencao para subsituir 2 vao de rede do trafo 5739148227 na RDU de Recurssolandia 
equipe 0227op01
obs. troca cabo por multiplex e inspecioar os flytap que estao com ponto quente nos conector na Rua 02 de outubro</t>
  </si>
  <si>
    <t>03/03/2026 20:21:49</t>
  </si>
  <si>
    <t>0300002227</t>
  </si>
  <si>
    <t>LD01065015</t>
  </si>
  <si>
    <t>5739148227</t>
  </si>
  <si>
    <t>ETO-COEP 00058/2026</t>
  </si>
  <si>
    <t>PARECER COEP: EQUIPAMENTO SELECIONADO PARA COMPRA
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</si>
  <si>
    <t>13/03/2026 20:07:30</t>
  </si>
  <si>
    <t>9001166015</t>
  </si>
  <si>
    <t>LD01414015</t>
  </si>
  <si>
    <t>7925733015</t>
  </si>
  <si>
    <t>ETO-COEP 00078/2026</t>
  </si>
  <si>
    <t>PARECER COEP: EQUIPAMENTO SELECIONADO PARA COMPRA
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</si>
  <si>
    <t>27/03/2026 15:42:46</t>
  </si>
  <si>
    <t>7926089013</t>
  </si>
  <si>
    <t>LD03062013</t>
  </si>
  <si>
    <t>ETO-COEP 00063/2026</t>
  </si>
  <si>
    <t>14/07/2026 PARECER COEP: EQUIPAMENTO SELECIONADO PARA COMPRA 
Equipamento ficou em operação?: Não
Pendência: Sim será necessário substituir a placa
Serviço Executado:  curto na placa foi tentando recuperar a mesma porém não teve sucesso!
Bateria(s)substituída(s)? NÃO
Equipe: Kaique e benvido</t>
  </si>
  <si>
    <t>17/03/2026 10:04:45</t>
  </si>
  <si>
    <t>7944559149</t>
  </si>
  <si>
    <t>LD01434149</t>
  </si>
  <si>
    <t>ETO-COEP 00225/2025</t>
  </si>
  <si>
    <t>Boa tarde!
Senhores, enviar equipe de manutenção para substituir 6 vãos de cabo mutiplex 35mm rede esta deteriorada, circuito do trafo 57003754004, avenida adolfo borge Bairro costa esmeralda rdu de Araguaina
clientes reclamado constantemente de oscilação e falta de energia.</t>
  </si>
  <si>
    <t>07/12/2025 17:16:58</t>
  </si>
  <si>
    <t>0303759004</t>
  </si>
  <si>
    <t>6803759004</t>
  </si>
  <si>
    <t>ETO-COEP 00061/2026</t>
  </si>
  <si>
    <t>PARECER COEP: EQUIPAMENTO SELECIONADO PARA COMPRA
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</si>
  <si>
    <t>17/12/2025 05:52:25</t>
  </si>
  <si>
    <t>9001107084</t>
  </si>
  <si>
    <t>LD04062013</t>
  </si>
  <si>
    <t>7901110084</t>
  </si>
  <si>
    <t>ETO-COEP 00029/2026</t>
  </si>
  <si>
    <t>PARECER COEP: EQUIPAMENTO SELECIONADO PARA COMPRA
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</si>
  <si>
    <t>09/01/2026 09:09:54</t>
  </si>
  <si>
    <t>7927646026</t>
  </si>
  <si>
    <t>ETO-COEP 00009/2026</t>
  </si>
  <si>
    <t>Segue SS para instalar chave faca para manobra na quadra 1203 Sul. 
ID 57429768
Estrutura N4 
Chave de referencia 0300953122. 
Serviço a ser executado com linha viva
*********************************
PARECER COCM
COEP gentileza verificar solicitação da operação. Sendo interessante para ETO, gentileza direcionar atendimento ao COCM informando de onde o custo será debitado.</t>
  </si>
  <si>
    <t>13/01/2026 22:44:13</t>
  </si>
  <si>
    <t>0300953122</t>
  </si>
  <si>
    <t>AL07097122</t>
  </si>
  <si>
    <t>6800953122</t>
  </si>
  <si>
    <t>ETO-COEP 00185/2026</t>
  </si>
  <si>
    <t>Realizad teste no banco e identificado celula fase C queimada.</t>
  </si>
  <si>
    <t>21/08/2026 10:57:56</t>
  </si>
  <si>
    <t>0300839013</t>
  </si>
  <si>
    <t>AL01062013</t>
  </si>
  <si>
    <t>5962028013</t>
  </si>
  <si>
    <t>ETO-COEP 00186/2026</t>
  </si>
  <si>
    <t>Favor substituir celula do banco capacitor 5962028013 fase C</t>
  </si>
  <si>
    <t>21/08/2026 10:47:36</t>
  </si>
  <si>
    <t>ETO-COEP 00200/2025</t>
  </si>
  <si>
    <t>acionar equipe de manutenção para substituir 450m de cabo de  BT na RDU de Arapoema no circuito do Trafo 5700026025.
equipe .: 025po02
Localidade.: Arapoema
acesso.: Livre
OBS.: cabo esta todo recozido e com trecho que esta deteriorado o cabo </t>
  </si>
  <si>
    <t>30/07/2025 21:36:49</t>
  </si>
  <si>
    <t>0300025025</t>
  </si>
  <si>
    <t>AL01012025</t>
  </si>
  <si>
    <t>5700026025</t>
  </si>
  <si>
    <t>ETO-COEP 00173/2025</t>
  </si>
  <si>
    <t>PARECER COEP: EQUIPAMENTO SELECIONADO PARA COMPRA
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</si>
  <si>
    <t>08/08/2025 17:22:52</t>
  </si>
  <si>
    <t>7900535058</t>
  </si>
  <si>
    <t>ETO-COEP 00193/2025</t>
  </si>
  <si>
    <t>acionar equipe de manutencao para substituir parte do cicuito do trafo 5719217060 com os cabo de bt deteriorado 
equipe 060po02
localidade Nova Olinda
acesso livre
tensao 13,8</t>
  </si>
  <si>
    <t>20/08/2025 16:29:01</t>
  </si>
  <si>
    <t>ETO-COEP 00192/2025</t>
  </si>
  <si>
    <t>FAVOR  SUSBTITUIR 400 MTS DE REDE BR COMPLETAMENTE DETERIORADO E  CO  RISCOD E CURTO CIRCUITO  ENTRE OS ID:75897819 AO ID :75897907</t>
  </si>
  <si>
    <t>01/09/2025 16:53:19</t>
  </si>
  <si>
    <t>5704256004</t>
  </si>
  <si>
    <t>ETO-COEP 00184/2025</t>
  </si>
  <si>
    <t>20/07 PARECER COEP: EQUIPAMENTO SELECIONADO PARA COMPRA
Após testes no RLG 7903112004 foi constatado defeito no mesmo e como se trata de um modelo COOPER FORM6 que está obsoleto e não possuímos peças sobressalentes, faz-se necessária substituição completa por modelo NOJA RC10.</t>
  </si>
  <si>
    <t>03/09/2025 16:19:58</t>
  </si>
  <si>
    <t>7903112004</t>
  </si>
  <si>
    <t>LD05010004</t>
  </si>
  <si>
    <t>ETO-COEP 00005/2026</t>
  </si>
  <si>
    <t>TROCAR BARRAMENTO DO TRAFO 5700440004 PARA 70MM</t>
  </si>
  <si>
    <t>05/09/2025 09:26:08</t>
  </si>
  <si>
    <t>5700440004</t>
  </si>
  <si>
    <t>ETO-COEP 00006/2026</t>
  </si>
  <si>
    <t>FAVOR SUBSTITUIR 150 MTS DE  CABO CONVENCIONAL  DETERIORADO E CHEIO DE EMENDAS POR CADO MULTIPLEX   NO TRAFO 5700244004  ENTRE OS ID : 63111183 AO ID :63239363 SEGUE FOTOS EM ANEXO</t>
  </si>
  <si>
    <t>10/09/2025 17:08:23</t>
  </si>
  <si>
    <t>5700244004</t>
  </si>
  <si>
    <t>ETO-COEP 00177/2026</t>
  </si>
  <si>
    <t>banco de capacitor de numero 5924619052 fase B com defeito não  aceitou tensao 13.8 kv acesso livre para raio bom local cobrape formoso</t>
  </si>
  <si>
    <t>10/08/2026 14:50:54</t>
  </si>
  <si>
    <t>0324619052</t>
  </si>
  <si>
    <t>AL01035052</t>
  </si>
  <si>
    <t>5924619052</t>
  </si>
  <si>
    <t>BD 7,96kV FIX 150kVAr</t>
  </si>
  <si>
    <t>ETO-COEP 00017/2026</t>
  </si>
  <si>
    <t>rdu Palmas proximo Unimed e hospital Cristo rei 
id 57403822 sj 57404949 estrutura N4 istalar jogo de chave faca 13,8 NF para manobra 
id 42151836 sj 57404952 estruutra N4/N3 ch 0300839122  substituir jogo chave lamina po jogo de chave faca 13,8
****************************
PARECER DO COCM
COEP favor analisar solicitação da operação de melhoria na rede e se validada retornar demanda ao COCM informando aonde será lançado o custo.</t>
  </si>
  <si>
    <t>26/09/2025 18:40:52</t>
  </si>
  <si>
    <t>8804511122</t>
  </si>
  <si>
    <t>AL08097122</t>
  </si>
  <si>
    <t>ETO-COEP 00007/2026</t>
  </si>
  <si>
    <t>Bom Dia
Segue SS
Senhores enviar equipe de manutenção para trocar cabo deteriorado a RDU de Araguaína
ID: 76492244
Trafo 5704265004
Instalar cabo entre os ID: 76492244 e 76492235
Endereço: Rua QE21 Lt 64 Jardim Boa sorte
Levar: 150 metros de cabo 35mm multiplex
Equipe: 004op07
Contato da equipe:99216-8451</t>
  </si>
  <si>
    <t>27/10/2025 11:12:10</t>
  </si>
  <si>
    <t>5704265004</t>
  </si>
  <si>
    <t>ETO-COEP 00218/2025</t>
  </si>
  <si>
    <t>Favor substituir chave fusível [0300839122] por chave faca.
PARECER COCM: Aguardando autorização da coordenação COEP.</t>
  </si>
  <si>
    <t>14/11/2025 10:39:32</t>
  </si>
  <si>
    <t>0300839122</t>
  </si>
  <si>
    <t>ETO-COEP 00015/2026</t>
  </si>
  <si>
    <t>Segue nota para envia equipe LV instala jogo de chave faca no poste ID-57357485 estrutura N4, Tensão 13.8kv, Cabo AA / 2/0, Acesso livre, Circuito do AL-01 de Luzimangues. Obs. CH para facilitar manobras no trecho. 
********************************
PARECER DO COCM
COEP favor analisar solicitação da operação de melhoria na rede e se validada retornar demanda ao COCM informando aonde será lançado o custo.</t>
  </si>
  <si>
    <t>18/11/2025 10:38:14</t>
  </si>
  <si>
    <t>8803678271</t>
  </si>
  <si>
    <t>AL01101271</t>
  </si>
  <si>
    <t>ETO-COEP 00157/2026</t>
  </si>
  <si>
    <t>segue SS para REALIZAR SUBSTITUIÇÃO DO TANQUE do RL 7927713200 danificado , com equipe de manutencao tensao 34,5kv mesmo atende Povoado retiro na rural de sao salvador  .</t>
  </si>
  <si>
    <t>27/07/2026 19:44:56</t>
  </si>
  <si>
    <t>9000421200</t>
  </si>
  <si>
    <t>LD02010021</t>
  </si>
  <si>
    <t>7927713200</t>
  </si>
  <si>
    <t>ETO-COEP 00084/2025</t>
  </si>
  <si>
    <t>5900470004</t>
  </si>
  <si>
    <t>BD 7,96kV FIX 200kVAr</t>
  </si>
  <si>
    <t>ETO-COEP 00109/2025</t>
  </si>
  <si>
    <t>Segue nota para envia equipe linha viva substituir célula no BC-5946472071 (300 kVAr) fase C danificada ou curto equipamento isolado para substituição e substituir também célula no BC-5946473071 fase B e C danificada ou curto ficou isolado, Tensão 13.8kv, Acesso local rural de Brejinho de Nazaré próximo CH-0300408071.</t>
  </si>
  <si>
    <t>05/06/2025 16:28:37</t>
  </si>
  <si>
    <t>AL01018071</t>
  </si>
  <si>
    <t>5946473071</t>
  </si>
  <si>
    <t>ETO-COEP 00038/2026</t>
  </si>
  <si>
    <t>14/07/2026 PARECER COEP: EQUIPAMENTO SELECIONADO PARA COMPRA
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</si>
  <si>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22/01/2026 11:28:09</t>
  </si>
  <si>
    <t>7908249152</t>
  </si>
  <si>
    <t>ETO-COEP 00180/2026</t>
  </si>
  <si>
    <t>Realizado teste fase A queimada.</t>
  </si>
  <si>
    <t>17/08/2026 13:38:27</t>
  </si>
  <si>
    <t>0300293123</t>
  </si>
  <si>
    <t>AL02055123</t>
  </si>
  <si>
    <t>5900293123</t>
  </si>
  <si>
    <t>ETO-COEP 00133/2026</t>
  </si>
  <si>
    <t>14/07/2026 PARECER COEP : SUBSTIUIR CONTROLE COMPLETO
PARECER DMSL: Equipamento com a placa de alimentação ca em curto, será necessário substituir a placa do equipamento. (Antiga nota era pra ter sido repassada porém foi baixada indevidamente pela equipe)</t>
  </si>
  <si>
    <t>08/07/2026 10:24:22</t>
  </si>
  <si>
    <t>7955986084</t>
  </si>
  <si>
    <t>ETO-COEP 00048/2026</t>
  </si>
  <si>
    <t>27/07 PARECER COEP: EM PROCESSO DE AQUISIÇÃO
PARECER DMSL: A PEDIDO DA PCM DO NORTE LARA SOARES REALIZEI A CRIAÇÃO DESSA SS, EM RAZAO DA ANTIGAETO-TELE 337/2026 QUE FOI BAIXADA POR ENGANO DE TAL FORMA SEGUE A MESMA PARA REALIZAR AS TRATATIVAS. 
PENDENCIA: Religador continua by passado
, equipamento está com defeito na parte ativa</t>
  </si>
  <si>
    <t>16/03/2026 13:55:26</t>
  </si>
  <si>
    <t>7925871077</t>
  </si>
  <si>
    <t>LD03105019</t>
  </si>
  <si>
    <t>ETO-COEP 00221/2025</t>
  </si>
  <si>
    <t>PARECER COEP: EQUIPAMENTO SELECIONADO PARA COMPRA
Substituir as 3 células
- Melhoria na malha de aterramento 
- Melhoria no circuito de aterramento qua aterra as células
.
- Substituir conectores paralelos</t>
  </si>
  <si>
    <t>05/12/2025 15:55:23</t>
  </si>
  <si>
    <t>9000973074</t>
  </si>
  <si>
    <t>LD03028074</t>
  </si>
  <si>
    <t>5800961074</t>
  </si>
  <si>
    <t>ETO-COEP 00040/2026</t>
  </si>
  <si>
    <t>PARECER COEP: EQUIPAMENTO SELECIONADO PARA COMPRA
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</si>
  <si>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28/01/2026 11:41:25</t>
  </si>
  <si>
    <t>7931608059</t>
  </si>
  <si>
    <t>ETO-COEP 00134/2026</t>
  </si>
  <si>
    <t>13/07/2026 PARECER COEP: SUBSTITUIR CONTOLE OU MANDAR MANUTENCIONAR EM CASO DE PRIORIDADE ALTA
PARECER DMSL: Necessário substituir a placa de alimentação ca, a mesma está em curto não conseguimos recuperar. (Antiga nota era pra ter sido repassada porém foi baixada indevidamente pela equipe)</t>
  </si>
  <si>
    <t>08/07/2026 10:28:04</t>
  </si>
  <si>
    <t>7955946007</t>
  </si>
  <si>
    <t>LD05050008</t>
  </si>
  <si>
    <t>ETO-COEP 00152/2026</t>
  </si>
  <si>
    <t>PARECER COEP 28/07/2026 : EQUIPAMENTO SELECIONADO PARA COMPRA
Equipamento baypassado PARECER DMSL em 12/03: Realizar substituição do equipamento todo e parte ativa.</t>
  </si>
  <si>
    <t>20/07/2026 19:13:43</t>
  </si>
  <si>
    <t>9004017004</t>
  </si>
  <si>
    <t>7903569004</t>
  </si>
  <si>
    <t>ETO-COEP 00093/2026</t>
  </si>
  <si>
    <t>Segue para tratativas eito teste na Fase A do banco de capacitor 5922361122, não aceitou.
Realizado teste equipamento com celula queimada Fase A.</t>
  </si>
  <si>
    <t>15/05/2026 04:07:21</t>
  </si>
  <si>
    <t>0322361122</t>
  </si>
  <si>
    <t>AL02060122</t>
  </si>
  <si>
    <t>5922361122</t>
  </si>
  <si>
    <t>ETO-COEP 00094/2026</t>
  </si>
  <si>
    <t>Segue para tratativas banco de capacitor 5959941122 feito teste não aceitou as fases B e C.</t>
  </si>
  <si>
    <t>16/05/2026 03:12:08</t>
  </si>
  <si>
    <t>0300787122</t>
  </si>
  <si>
    <t>AL09097122</t>
  </si>
  <si>
    <t>5959941122</t>
  </si>
  <si>
    <t>ETO-COEP 00174/2026</t>
  </si>
  <si>
    <t>12/08/2026 PARECER COEP:
ETO-TELE ABRIU ERRADO , MELHORIA DE ATERRAMENTO DEVERA SER ABERTO DIRETO PARA OS COCM´S ASSIM COMO AS DA CHAVE FACA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
Obs.: Fizeram melhoria na malha de terra, mas não está dentro do aceitável! As outras pendências continuam, favor corrigir, equipe esteve lá dia 06/08/2026.</t>
  </si>
  <si>
    <t>11/08/2026 14:06:31</t>
  </si>
  <si>
    <t>9000291035</t>
  </si>
  <si>
    <t>5800291035</t>
  </si>
  <si>
    <t>ETO-COEP 00103/2026</t>
  </si>
  <si>
    <t>segue ss para Enviar equipe para substituir  celula capacitiva em curto  fase  B do banco capacitor 5900358003 feito teste nao aceitou, na rdu de Gurupi</t>
  </si>
  <si>
    <t>26/05/2026 01:03:29</t>
  </si>
  <si>
    <t>0300358003</t>
  </si>
  <si>
    <t>5900358003</t>
  </si>
  <si>
    <t>ETO-COEP 00024/2026</t>
  </si>
  <si>
    <t>30/06 PARECER COEP: EQUIPAMENTO SELECIONADO PARA COMPRA
REALIZAR SUBSTITUIÇÃO DO TANQUE, O MESMO ESTÁ COM DEFEITO.</t>
  </si>
  <si>
    <t>27/01/2026 16:33:07</t>
  </si>
  <si>
    <t>7933585074</t>
  </si>
  <si>
    <t>ETO-COEP 00118/2026</t>
  </si>
  <si>
    <t>identificado BC com fases AC danificadas. Seguir com a substituição</t>
  </si>
  <si>
    <t>23/06/2026 12:11:46</t>
  </si>
  <si>
    <t>0300600004</t>
  </si>
  <si>
    <t>5900600004</t>
  </si>
  <si>
    <t>ETO-COEP 00176/2026</t>
  </si>
  <si>
    <t>Necessita substituição do RL 7954668084 , equipe esteve em campo em 14/07/2026.</t>
  </si>
  <si>
    <t>11/08/2026 15:22:15</t>
  </si>
  <si>
    <t>7954668084</t>
  </si>
  <si>
    <t>ETO-COEP 00073/2025</t>
  </si>
  <si>
    <t>Segue nota para envia equipe linha viva substituir às 3 células do BC-5900489122 de 600 kVAr, Tensão 13.8kv, Cabo AA / 4/0, Local AVE. NS-01, Obs. Foi identificado fase C com elo queimado após fechamento fase B queimou elo, não foi possível identificar qual celular está danificada devido mesmo ser muito antigos favor substituir às 3 do mesmo.</t>
  </si>
  <si>
    <t>23/04/2025 03:49:22</t>
  </si>
  <si>
    <t>5900489122</t>
  </si>
  <si>
    <t>BD 7,96kV FIX 300kVAR</t>
  </si>
  <si>
    <t>ETO-COEP 00175/2026</t>
  </si>
  <si>
    <t>Substituir a parte ativa, equipe esteve no local dia 06/08/2026.</t>
  </si>
  <si>
    <t>11/08/2026 14:33:14</t>
  </si>
  <si>
    <t>7908302256</t>
  </si>
  <si>
    <t>JULHO</t>
  </si>
  <si>
    <t>AGOSTO</t>
  </si>
  <si>
    <t>20 de SETEMBRO</t>
  </si>
  <si>
    <t>NOVEMBRO</t>
  </si>
  <si>
    <t>Saldo</t>
  </si>
  <si>
    <t>Gasto até agora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</si>
</sst>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0.0000"/>
  </numFmts>
  <fonts count="4" x14ac:knownFonts="1">
    <font>
      <sz val="11"/>
      <color theme="1"/>
      <name val="Aptos Narrow"/>
      <family val="2"/>
      <scheme val="minor"/>
    </font>
    <font>
      <sz val="11"/>
      <color theme="1"/>
      <name val="Aptos Narrow"/>
      <family val="2"/>
      <scheme val="minor"/>
    </font>
    <font>
      <sz val="11"/>
      <name val="Calibri"/>
      <charset val="1"/>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cellStyleXfs>
  <cellXfs count="7">
    <xf numFmtId="0" fontId="0" fillId="0" borderId="0" xfId="0"/>
    <xf numFmtId="0" fontId="2" fillId="0" borderId="0" xfId="2"/>
    <xf numFmtId="164" fontId="2" fillId="0" borderId="0" xfId="2" applyNumberFormat="1"/>
    <xf numFmtId="44" fontId="2" fillId="0" borderId="0" xfId="1" applyFont="1"/>
    <xf numFmtId="44" fontId="0" fillId="0" borderId="0" xfId="1" applyFont="1"/>
    <xf numFmtId="4" fontId="0" fillId="0" borderId="0" xfId="0" applyNumberFormat="1"/>
    <xf numFmtId="44" fontId="2" fillId="0" borderId="0" xfId="1" applyFont="1" applyAlignment="1">
      <alignment wrapText="1"/>
    </xf>
  </cellXfs>
  <cellStyles count="3">
    <cellStyle name="Moeda" xfId="1" builtinId="4"/>
    <cellStyle name="Normal" xfId="0" builtinId="0"/>
    <cellStyle name="Normal 2" xfId="2" xr:uid="{EDD35C49-4075-49E7-BF1E-3199D697DDF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alms2\Downloads\Jo&#227;o%20Antonio\FIS_ETO_2026_07_E_CAPACITORES_ID.csv" TargetMode="External"/><Relationship Id="rId1" Type="http://schemas.openxmlformats.org/officeDocument/2006/relationships/externalLinkPath" Target="file:///C:\Users\jalms2\Downloads\Jo&#227;o%20Antonio\FIS_ETO_2026_07_E_CAPACITORES_ID.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S_ETO_2026_07_E_CAPACITORES_I"/>
    </sheetNames>
    <sheetDataSet>
      <sheetData sheetId="0">
        <row r="1">
          <cell r="F1" t="str">
            <v>NUMERO_OPERATIVO</v>
          </cell>
          <cell r="AI1" t="str">
            <v>POTENCIA</v>
          </cell>
        </row>
        <row r="2">
          <cell r="F2">
            <v>5900085060</v>
          </cell>
          <cell r="AI2">
            <v>50</v>
          </cell>
        </row>
        <row r="3">
          <cell r="F3">
            <v>5961804122</v>
          </cell>
          <cell r="AI3">
            <v>100</v>
          </cell>
        </row>
        <row r="4">
          <cell r="F4">
            <v>5961840122</v>
          </cell>
          <cell r="AI4">
            <v>100</v>
          </cell>
        </row>
        <row r="5">
          <cell r="F5">
            <v>5961840122</v>
          </cell>
          <cell r="AI5">
            <v>100</v>
          </cell>
        </row>
        <row r="6">
          <cell r="F6">
            <v>5952217122</v>
          </cell>
          <cell r="AI6">
            <v>100</v>
          </cell>
        </row>
        <row r="7">
          <cell r="F7">
            <v>5953125122</v>
          </cell>
          <cell r="AI7">
            <v>100</v>
          </cell>
        </row>
        <row r="8">
          <cell r="F8">
            <v>5900049098</v>
          </cell>
          <cell r="AI8">
            <v>50</v>
          </cell>
        </row>
        <row r="9">
          <cell r="F9">
            <v>5900247034</v>
          </cell>
          <cell r="AI9">
            <v>50</v>
          </cell>
        </row>
        <row r="10">
          <cell r="F10">
            <v>5900247034</v>
          </cell>
          <cell r="AI10">
            <v>50</v>
          </cell>
        </row>
        <row r="11">
          <cell r="F11">
            <v>5944577073</v>
          </cell>
          <cell r="AI11">
            <v>100</v>
          </cell>
        </row>
        <row r="12">
          <cell r="F12">
            <v>5944577073</v>
          </cell>
          <cell r="AI12">
            <v>100</v>
          </cell>
        </row>
        <row r="13">
          <cell r="F13">
            <v>5952328122</v>
          </cell>
          <cell r="AI13">
            <v>100</v>
          </cell>
        </row>
        <row r="14">
          <cell r="F14">
            <v>5900425097</v>
          </cell>
          <cell r="AI14">
            <v>100</v>
          </cell>
        </row>
        <row r="15">
          <cell r="F15">
            <v>5900425097</v>
          </cell>
          <cell r="AI15">
            <v>100</v>
          </cell>
        </row>
        <row r="16">
          <cell r="F16">
            <v>5950588122</v>
          </cell>
          <cell r="AI16">
            <v>100</v>
          </cell>
        </row>
        <row r="17">
          <cell r="F17">
            <v>5951785013</v>
          </cell>
          <cell r="AI17">
            <v>100</v>
          </cell>
        </row>
        <row r="18">
          <cell r="F18">
            <v>5961774122</v>
          </cell>
          <cell r="AI18">
            <v>100</v>
          </cell>
        </row>
        <row r="19">
          <cell r="F19">
            <v>5961832122</v>
          </cell>
          <cell r="AI19">
            <v>100</v>
          </cell>
        </row>
        <row r="20">
          <cell r="F20">
            <v>5952327122</v>
          </cell>
          <cell r="AI20">
            <v>100</v>
          </cell>
        </row>
        <row r="21">
          <cell r="F21">
            <v>5950106122</v>
          </cell>
          <cell r="AI21">
            <v>100</v>
          </cell>
        </row>
        <row r="22">
          <cell r="F22">
            <v>5962031013</v>
          </cell>
          <cell r="AI22">
            <v>100</v>
          </cell>
        </row>
        <row r="23">
          <cell r="F23">
            <v>5900027065</v>
          </cell>
          <cell r="AI23">
            <v>100</v>
          </cell>
        </row>
        <row r="24">
          <cell r="F24">
            <v>5900027065</v>
          </cell>
          <cell r="AI24">
            <v>100</v>
          </cell>
        </row>
        <row r="25">
          <cell r="F25">
            <v>5900038039</v>
          </cell>
          <cell r="AI25">
            <v>50</v>
          </cell>
        </row>
        <row r="26">
          <cell r="F26">
            <v>5901886003</v>
          </cell>
          <cell r="AI26">
            <v>100</v>
          </cell>
        </row>
        <row r="27">
          <cell r="F27">
            <v>5901886003</v>
          </cell>
          <cell r="AI27">
            <v>100</v>
          </cell>
        </row>
        <row r="28">
          <cell r="F28">
            <v>5900064029</v>
          </cell>
          <cell r="AI28">
            <v>100</v>
          </cell>
        </row>
        <row r="29">
          <cell r="F29">
            <v>5900064029</v>
          </cell>
          <cell r="AI29">
            <v>100</v>
          </cell>
        </row>
        <row r="30">
          <cell r="F30">
            <v>5900064029</v>
          </cell>
          <cell r="AI30">
            <v>100</v>
          </cell>
        </row>
        <row r="31">
          <cell r="F31">
            <v>5927008122</v>
          </cell>
          <cell r="AI31">
            <v>200</v>
          </cell>
        </row>
        <row r="32">
          <cell r="F32">
            <v>5900056004</v>
          </cell>
          <cell r="AI32">
            <v>200</v>
          </cell>
        </row>
        <row r="33">
          <cell r="F33">
            <v>5931606059</v>
          </cell>
          <cell r="AI33">
            <v>100</v>
          </cell>
        </row>
        <row r="34">
          <cell r="F34">
            <v>5936329013</v>
          </cell>
          <cell r="AI34">
            <v>100</v>
          </cell>
        </row>
        <row r="35">
          <cell r="F35">
            <v>5900014038</v>
          </cell>
          <cell r="AI35">
            <v>50</v>
          </cell>
        </row>
        <row r="36">
          <cell r="F36">
            <v>5951799007</v>
          </cell>
          <cell r="AI36">
            <v>100</v>
          </cell>
        </row>
        <row r="37">
          <cell r="F37">
            <v>5955192004</v>
          </cell>
          <cell r="AI37">
            <v>100</v>
          </cell>
        </row>
        <row r="38">
          <cell r="F38">
            <v>5950334122</v>
          </cell>
          <cell r="AI38">
            <v>100</v>
          </cell>
        </row>
        <row r="39">
          <cell r="F39">
            <v>5950346122</v>
          </cell>
          <cell r="AI39">
            <v>100</v>
          </cell>
        </row>
        <row r="40">
          <cell r="F40">
            <v>5946101122</v>
          </cell>
          <cell r="AI40">
            <v>100</v>
          </cell>
        </row>
        <row r="41">
          <cell r="F41">
            <v>5944245122</v>
          </cell>
          <cell r="AI41">
            <v>100</v>
          </cell>
        </row>
        <row r="42">
          <cell r="F42">
            <v>5948003122</v>
          </cell>
          <cell r="AI42">
            <v>100</v>
          </cell>
        </row>
        <row r="43">
          <cell r="F43">
            <v>5931168013</v>
          </cell>
          <cell r="AI43">
            <v>100</v>
          </cell>
        </row>
        <row r="44">
          <cell r="F44">
            <v>5904193001</v>
          </cell>
          <cell r="AI44">
            <v>50</v>
          </cell>
        </row>
        <row r="45">
          <cell r="F45">
            <v>5900622016</v>
          </cell>
          <cell r="AI45">
            <v>50</v>
          </cell>
        </row>
        <row r="46">
          <cell r="F46">
            <v>5922328001</v>
          </cell>
          <cell r="AI46">
            <v>200</v>
          </cell>
        </row>
        <row r="47">
          <cell r="F47">
            <v>5900344122</v>
          </cell>
          <cell r="AI47">
            <v>200</v>
          </cell>
        </row>
        <row r="48">
          <cell r="F48">
            <v>5900344122</v>
          </cell>
          <cell r="AI48">
            <v>200</v>
          </cell>
        </row>
        <row r="49">
          <cell r="F49">
            <v>5901890060</v>
          </cell>
          <cell r="AI49">
            <v>200</v>
          </cell>
        </row>
        <row r="50">
          <cell r="F50">
            <v>5907244122</v>
          </cell>
          <cell r="AI50">
            <v>200</v>
          </cell>
        </row>
        <row r="51">
          <cell r="F51">
            <v>5900517071</v>
          </cell>
          <cell r="AI51">
            <v>50</v>
          </cell>
        </row>
        <row r="52">
          <cell r="F52">
            <v>5913314004</v>
          </cell>
          <cell r="AI52">
            <v>50</v>
          </cell>
        </row>
        <row r="53">
          <cell r="F53">
            <v>5923670090</v>
          </cell>
          <cell r="AI53">
            <v>50</v>
          </cell>
        </row>
        <row r="54">
          <cell r="F54">
            <v>5923842001</v>
          </cell>
          <cell r="AI54">
            <v>200</v>
          </cell>
        </row>
        <row r="55">
          <cell r="F55">
            <v>5900020074</v>
          </cell>
          <cell r="AI55">
            <v>50</v>
          </cell>
        </row>
        <row r="56">
          <cell r="F56">
            <v>5904192001</v>
          </cell>
          <cell r="AI56">
            <v>50</v>
          </cell>
        </row>
        <row r="57">
          <cell r="F57">
            <v>5900524136</v>
          </cell>
          <cell r="AI57">
            <v>100</v>
          </cell>
        </row>
        <row r="58">
          <cell r="F58">
            <v>5900524136</v>
          </cell>
          <cell r="AI58">
            <v>100</v>
          </cell>
        </row>
        <row r="59">
          <cell r="F59">
            <v>5900828030</v>
          </cell>
          <cell r="AI59">
            <v>100</v>
          </cell>
        </row>
        <row r="60">
          <cell r="F60">
            <v>5900066013</v>
          </cell>
          <cell r="AI60">
            <v>50</v>
          </cell>
        </row>
        <row r="61">
          <cell r="F61">
            <v>5900105013</v>
          </cell>
          <cell r="AI61">
            <v>100</v>
          </cell>
        </row>
        <row r="62">
          <cell r="F62">
            <v>5922361122</v>
          </cell>
          <cell r="AI62">
            <v>200</v>
          </cell>
        </row>
        <row r="63">
          <cell r="F63">
            <v>5900438097</v>
          </cell>
          <cell r="AI63">
            <v>200</v>
          </cell>
        </row>
        <row r="64">
          <cell r="F64">
            <v>5907243122</v>
          </cell>
          <cell r="AI64">
            <v>100</v>
          </cell>
        </row>
        <row r="65">
          <cell r="F65">
            <v>5925072076</v>
          </cell>
          <cell r="AI65">
            <v>100</v>
          </cell>
        </row>
        <row r="66">
          <cell r="F66">
            <v>5901181004</v>
          </cell>
          <cell r="AI66">
            <v>100</v>
          </cell>
        </row>
        <row r="67">
          <cell r="F67">
            <v>5920693073</v>
          </cell>
          <cell r="AI67">
            <v>100</v>
          </cell>
        </row>
        <row r="68">
          <cell r="F68">
            <v>5913313004</v>
          </cell>
          <cell r="AI68">
            <v>50</v>
          </cell>
        </row>
        <row r="69">
          <cell r="F69">
            <v>5913313004</v>
          </cell>
          <cell r="AI69">
            <v>50</v>
          </cell>
        </row>
        <row r="70">
          <cell r="F70">
            <v>5901003014</v>
          </cell>
          <cell r="AI70">
            <v>100</v>
          </cell>
        </row>
        <row r="71">
          <cell r="F71">
            <v>5900003013</v>
          </cell>
          <cell r="AI71">
            <v>50</v>
          </cell>
        </row>
        <row r="72">
          <cell r="F72">
            <v>5900293123</v>
          </cell>
          <cell r="AI72">
            <v>200</v>
          </cell>
        </row>
        <row r="73">
          <cell r="F73">
            <v>5900010002</v>
          </cell>
          <cell r="AI73">
            <v>50</v>
          </cell>
        </row>
        <row r="74">
          <cell r="F74">
            <v>5900010002</v>
          </cell>
          <cell r="AI74">
            <v>50</v>
          </cell>
        </row>
        <row r="75">
          <cell r="F75">
            <v>5900383004</v>
          </cell>
          <cell r="AI75">
            <v>100</v>
          </cell>
        </row>
        <row r="76">
          <cell r="F76">
            <v>5952342122</v>
          </cell>
          <cell r="AI76">
            <v>100</v>
          </cell>
        </row>
        <row r="77">
          <cell r="F77">
            <v>5900051023</v>
          </cell>
          <cell r="AI77">
            <v>50</v>
          </cell>
        </row>
        <row r="78">
          <cell r="F78">
            <v>5900067033</v>
          </cell>
          <cell r="AI78">
            <v>100</v>
          </cell>
        </row>
        <row r="79">
          <cell r="F79">
            <v>5952202122</v>
          </cell>
          <cell r="AI79">
            <v>100</v>
          </cell>
        </row>
        <row r="80">
          <cell r="F80">
            <v>5946472071</v>
          </cell>
          <cell r="AI80">
            <v>100</v>
          </cell>
        </row>
        <row r="81">
          <cell r="F81">
            <v>5944271122</v>
          </cell>
          <cell r="AI81">
            <v>100</v>
          </cell>
        </row>
        <row r="82">
          <cell r="F82">
            <v>5900038091</v>
          </cell>
          <cell r="AI82">
            <v>50</v>
          </cell>
        </row>
        <row r="83">
          <cell r="F83">
            <v>5900038091</v>
          </cell>
          <cell r="AI83">
            <v>50</v>
          </cell>
        </row>
        <row r="84">
          <cell r="F84">
            <v>5929152029</v>
          </cell>
          <cell r="AI84">
            <v>100</v>
          </cell>
        </row>
        <row r="85">
          <cell r="F85">
            <v>5900326004</v>
          </cell>
          <cell r="AI85">
            <v>200</v>
          </cell>
        </row>
        <row r="86">
          <cell r="F86">
            <v>590022202</v>
          </cell>
          <cell r="AI86">
            <v>100</v>
          </cell>
        </row>
        <row r="87">
          <cell r="F87">
            <v>5900085007</v>
          </cell>
          <cell r="AI87">
            <v>50</v>
          </cell>
        </row>
        <row r="88">
          <cell r="F88">
            <v>5966868004</v>
          </cell>
          <cell r="AI88">
            <v>100</v>
          </cell>
        </row>
        <row r="89">
          <cell r="F89">
            <v>5966877004</v>
          </cell>
          <cell r="AI89">
            <v>100</v>
          </cell>
        </row>
        <row r="90">
          <cell r="F90">
            <v>5966877004</v>
          </cell>
          <cell r="AI90">
            <v>100</v>
          </cell>
        </row>
        <row r="91">
          <cell r="F91">
            <v>5952231122</v>
          </cell>
          <cell r="AI91">
            <v>100</v>
          </cell>
        </row>
        <row r="92">
          <cell r="F92">
            <v>5900489122</v>
          </cell>
          <cell r="AI92">
            <v>300</v>
          </cell>
        </row>
        <row r="93">
          <cell r="F93">
            <v>5900085060</v>
          </cell>
          <cell r="AI93">
            <v>50</v>
          </cell>
        </row>
        <row r="94">
          <cell r="F94">
            <v>5961804122</v>
          </cell>
          <cell r="AI94">
            <v>100</v>
          </cell>
        </row>
        <row r="95">
          <cell r="F95">
            <v>5952217122</v>
          </cell>
          <cell r="AI95">
            <v>100</v>
          </cell>
        </row>
        <row r="96">
          <cell r="F96">
            <v>5952217122</v>
          </cell>
          <cell r="AI96">
            <v>100</v>
          </cell>
        </row>
        <row r="97">
          <cell r="F97">
            <v>5900350004</v>
          </cell>
          <cell r="AI97">
            <v>50</v>
          </cell>
        </row>
        <row r="98">
          <cell r="F98">
            <v>5945105036</v>
          </cell>
          <cell r="AI98">
            <v>100</v>
          </cell>
        </row>
        <row r="99">
          <cell r="F99">
            <v>5952328122</v>
          </cell>
          <cell r="AI99">
            <v>100</v>
          </cell>
        </row>
        <row r="100">
          <cell r="F100">
            <v>5952248122</v>
          </cell>
          <cell r="AI100">
            <v>100</v>
          </cell>
        </row>
        <row r="101">
          <cell r="F101">
            <v>5952248122</v>
          </cell>
          <cell r="AI101">
            <v>100</v>
          </cell>
        </row>
        <row r="102">
          <cell r="F102">
            <v>5900176003</v>
          </cell>
          <cell r="AI102">
            <v>200</v>
          </cell>
        </row>
        <row r="103">
          <cell r="F103">
            <v>5900668004</v>
          </cell>
          <cell r="AI103">
            <v>200</v>
          </cell>
        </row>
        <row r="104">
          <cell r="F104">
            <v>5900668004</v>
          </cell>
          <cell r="AI104">
            <v>200</v>
          </cell>
        </row>
        <row r="105">
          <cell r="F105">
            <v>5900047002</v>
          </cell>
          <cell r="AI105">
            <v>100</v>
          </cell>
        </row>
        <row r="106">
          <cell r="F106">
            <v>5900062007</v>
          </cell>
          <cell r="AI106">
            <v>100</v>
          </cell>
        </row>
        <row r="107">
          <cell r="F107">
            <v>5961832122</v>
          </cell>
          <cell r="AI107">
            <v>100</v>
          </cell>
        </row>
        <row r="108">
          <cell r="F108">
            <v>5949860003</v>
          </cell>
          <cell r="AI108">
            <v>100</v>
          </cell>
        </row>
        <row r="109">
          <cell r="F109">
            <v>5948976003</v>
          </cell>
          <cell r="AI109">
            <v>100</v>
          </cell>
        </row>
        <row r="110">
          <cell r="F110">
            <v>5948976003</v>
          </cell>
          <cell r="AI110">
            <v>100</v>
          </cell>
        </row>
        <row r="111">
          <cell r="F111">
            <v>5950081122</v>
          </cell>
          <cell r="AI111">
            <v>100</v>
          </cell>
        </row>
        <row r="112">
          <cell r="F112">
            <v>5950081122</v>
          </cell>
          <cell r="AI112">
            <v>100</v>
          </cell>
        </row>
        <row r="113">
          <cell r="F113">
            <v>5947454001</v>
          </cell>
          <cell r="AI113">
            <v>100</v>
          </cell>
        </row>
        <row r="114">
          <cell r="F114">
            <v>6012208006</v>
          </cell>
          <cell r="AI114">
            <v>300</v>
          </cell>
        </row>
        <row r="115">
          <cell r="F115">
            <v>5952242122</v>
          </cell>
          <cell r="AI115">
            <v>100</v>
          </cell>
        </row>
        <row r="116">
          <cell r="F116">
            <v>5941534122</v>
          </cell>
          <cell r="AI116">
            <v>100</v>
          </cell>
        </row>
        <row r="117">
          <cell r="F117">
            <v>5941534122</v>
          </cell>
          <cell r="AI117">
            <v>100</v>
          </cell>
        </row>
        <row r="118">
          <cell r="F118">
            <v>5927008122</v>
          </cell>
          <cell r="AI118">
            <v>200</v>
          </cell>
        </row>
        <row r="119">
          <cell r="F119">
            <v>5935581001</v>
          </cell>
          <cell r="AI119">
            <v>50</v>
          </cell>
        </row>
        <row r="120">
          <cell r="F120">
            <v>5931606059</v>
          </cell>
          <cell r="AI120">
            <v>100</v>
          </cell>
        </row>
        <row r="121">
          <cell r="F121">
            <v>5900091003</v>
          </cell>
          <cell r="AI121">
            <v>50</v>
          </cell>
        </row>
        <row r="122">
          <cell r="F122">
            <v>5900091003</v>
          </cell>
          <cell r="AI122">
            <v>100</v>
          </cell>
        </row>
        <row r="123">
          <cell r="F123">
            <v>5900364003</v>
          </cell>
          <cell r="AI123">
            <v>100</v>
          </cell>
        </row>
        <row r="124">
          <cell r="F124">
            <v>5900014038</v>
          </cell>
          <cell r="AI124">
            <v>50</v>
          </cell>
        </row>
        <row r="125">
          <cell r="F125">
            <v>5951799007</v>
          </cell>
          <cell r="AI125">
            <v>100</v>
          </cell>
        </row>
        <row r="126">
          <cell r="F126">
            <v>5900785076</v>
          </cell>
          <cell r="AI126">
            <v>50</v>
          </cell>
        </row>
        <row r="127">
          <cell r="F127">
            <v>5945479122</v>
          </cell>
          <cell r="AI127">
            <v>100</v>
          </cell>
        </row>
        <row r="128">
          <cell r="F128">
            <v>5944211122</v>
          </cell>
          <cell r="AI128">
            <v>100</v>
          </cell>
        </row>
        <row r="129">
          <cell r="F129">
            <v>5944245122</v>
          </cell>
          <cell r="AI129">
            <v>100</v>
          </cell>
        </row>
        <row r="130">
          <cell r="F130">
            <v>5948003122</v>
          </cell>
          <cell r="AI130">
            <v>100</v>
          </cell>
        </row>
        <row r="131">
          <cell r="F131">
            <v>5900587003</v>
          </cell>
          <cell r="AI131">
            <v>100</v>
          </cell>
        </row>
        <row r="132">
          <cell r="F132">
            <v>5904193001</v>
          </cell>
          <cell r="AI132">
            <v>100</v>
          </cell>
        </row>
        <row r="133">
          <cell r="F133">
            <v>5904193001</v>
          </cell>
          <cell r="AI133">
            <v>100</v>
          </cell>
        </row>
        <row r="134">
          <cell r="F134">
            <v>5900622016</v>
          </cell>
          <cell r="AI134">
            <v>50</v>
          </cell>
        </row>
        <row r="135">
          <cell r="F135">
            <v>5900090122</v>
          </cell>
          <cell r="AI135">
            <v>100</v>
          </cell>
        </row>
        <row r="136">
          <cell r="F136">
            <v>5900090122</v>
          </cell>
          <cell r="AI136">
            <v>100</v>
          </cell>
        </row>
        <row r="137">
          <cell r="F137">
            <v>5900074020</v>
          </cell>
          <cell r="AI137">
            <v>50</v>
          </cell>
        </row>
        <row r="138">
          <cell r="F138">
            <v>5901890060</v>
          </cell>
          <cell r="AI138">
            <v>200</v>
          </cell>
        </row>
        <row r="139">
          <cell r="F139">
            <v>5931607059</v>
          </cell>
          <cell r="AI139">
            <v>100</v>
          </cell>
        </row>
        <row r="140">
          <cell r="F140">
            <v>5907244122</v>
          </cell>
          <cell r="AI140">
            <v>200</v>
          </cell>
        </row>
        <row r="141">
          <cell r="F141">
            <v>5907244122</v>
          </cell>
          <cell r="AI141">
            <v>200</v>
          </cell>
        </row>
        <row r="142">
          <cell r="F142">
            <v>5900871122</v>
          </cell>
          <cell r="AI142">
            <v>200</v>
          </cell>
        </row>
        <row r="143">
          <cell r="F143">
            <v>5924619052</v>
          </cell>
          <cell r="AI143">
            <v>150</v>
          </cell>
        </row>
        <row r="144">
          <cell r="F144">
            <v>5913315004</v>
          </cell>
          <cell r="AI144">
            <v>50</v>
          </cell>
        </row>
        <row r="145">
          <cell r="F145">
            <v>5925237001</v>
          </cell>
          <cell r="AI145">
            <v>50</v>
          </cell>
        </row>
        <row r="146">
          <cell r="F146">
            <v>5914706086</v>
          </cell>
          <cell r="AI146">
            <v>450</v>
          </cell>
        </row>
        <row r="147">
          <cell r="F147">
            <v>5900583028</v>
          </cell>
          <cell r="AI147">
            <v>100</v>
          </cell>
        </row>
        <row r="148">
          <cell r="F148">
            <v>5900583028</v>
          </cell>
          <cell r="AI148">
            <v>100</v>
          </cell>
        </row>
        <row r="149">
          <cell r="F149">
            <v>5926722122</v>
          </cell>
          <cell r="AI149">
            <v>100</v>
          </cell>
        </row>
        <row r="150">
          <cell r="F150">
            <v>5926722122</v>
          </cell>
          <cell r="AI150">
            <v>100</v>
          </cell>
        </row>
        <row r="151">
          <cell r="F151">
            <v>5900004261</v>
          </cell>
          <cell r="AI151">
            <v>50</v>
          </cell>
        </row>
        <row r="152">
          <cell r="F152">
            <v>5900004261</v>
          </cell>
          <cell r="AI152">
            <v>50</v>
          </cell>
        </row>
        <row r="153">
          <cell r="F153">
            <v>5901589122</v>
          </cell>
          <cell r="AI153">
            <v>50</v>
          </cell>
        </row>
        <row r="154">
          <cell r="F154">
            <v>5900020074</v>
          </cell>
          <cell r="AI154">
            <v>50</v>
          </cell>
        </row>
        <row r="155">
          <cell r="F155">
            <v>5900324124</v>
          </cell>
          <cell r="AI155">
            <v>300</v>
          </cell>
        </row>
        <row r="156">
          <cell r="F156">
            <v>5900208001</v>
          </cell>
          <cell r="AI156">
            <v>50</v>
          </cell>
        </row>
        <row r="157">
          <cell r="F157">
            <v>5900066013</v>
          </cell>
          <cell r="AI157">
            <v>50</v>
          </cell>
        </row>
        <row r="158">
          <cell r="F158">
            <v>5905232100</v>
          </cell>
          <cell r="AI158">
            <v>50</v>
          </cell>
        </row>
        <row r="159">
          <cell r="F159">
            <v>5905232100</v>
          </cell>
          <cell r="AI159">
            <v>50</v>
          </cell>
        </row>
        <row r="160">
          <cell r="F160">
            <v>5930542005</v>
          </cell>
          <cell r="AI160">
            <v>100</v>
          </cell>
        </row>
        <row r="161">
          <cell r="F161">
            <v>5925321043</v>
          </cell>
          <cell r="AI161">
            <v>200</v>
          </cell>
        </row>
        <row r="162">
          <cell r="F162">
            <v>5925557008</v>
          </cell>
          <cell r="AI162">
            <v>50</v>
          </cell>
        </row>
        <row r="163">
          <cell r="F163">
            <v>5900858014</v>
          </cell>
          <cell r="AI163">
            <v>50</v>
          </cell>
        </row>
        <row r="164">
          <cell r="F164">
            <v>5902839004</v>
          </cell>
          <cell r="AI164">
            <v>100</v>
          </cell>
        </row>
        <row r="165">
          <cell r="F165">
            <v>5902839004</v>
          </cell>
          <cell r="AI165">
            <v>100</v>
          </cell>
        </row>
        <row r="166">
          <cell r="F166">
            <v>5913313004</v>
          </cell>
          <cell r="AI166">
            <v>50</v>
          </cell>
        </row>
        <row r="167">
          <cell r="F167">
            <v>5900119013</v>
          </cell>
          <cell r="AI167">
            <v>50</v>
          </cell>
        </row>
        <row r="168">
          <cell r="F168">
            <v>5900990014</v>
          </cell>
          <cell r="AI168">
            <v>100</v>
          </cell>
        </row>
        <row r="169">
          <cell r="F169">
            <v>5900126068</v>
          </cell>
          <cell r="AI169">
            <v>50</v>
          </cell>
        </row>
        <row r="170">
          <cell r="F170">
            <v>5902875004</v>
          </cell>
          <cell r="AI170">
            <v>50</v>
          </cell>
        </row>
        <row r="171">
          <cell r="F171">
            <v>5900051023</v>
          </cell>
          <cell r="AI171">
            <v>50</v>
          </cell>
        </row>
        <row r="172">
          <cell r="F172">
            <v>5900358003</v>
          </cell>
          <cell r="AI172">
            <v>200</v>
          </cell>
        </row>
        <row r="173">
          <cell r="F173">
            <v>5935743193</v>
          </cell>
          <cell r="AI173">
            <v>100</v>
          </cell>
        </row>
        <row r="174">
          <cell r="F174">
            <v>5944271122</v>
          </cell>
          <cell r="AI174">
            <v>100</v>
          </cell>
        </row>
        <row r="175">
          <cell r="F175">
            <v>5900475003</v>
          </cell>
          <cell r="AI175">
            <v>100</v>
          </cell>
        </row>
        <row r="176">
          <cell r="F176">
            <v>5900037005</v>
          </cell>
          <cell r="AI176">
            <v>50</v>
          </cell>
        </row>
        <row r="177">
          <cell r="F177">
            <v>590022202</v>
          </cell>
          <cell r="AI177">
            <v>100</v>
          </cell>
        </row>
        <row r="178">
          <cell r="F178">
            <v>5966877004</v>
          </cell>
          <cell r="AI178">
            <v>100</v>
          </cell>
        </row>
        <row r="179">
          <cell r="F179">
            <v>5966822004</v>
          </cell>
          <cell r="AI179">
            <v>100</v>
          </cell>
        </row>
        <row r="180">
          <cell r="F180">
            <v>5959941122</v>
          </cell>
          <cell r="AI180">
            <v>200</v>
          </cell>
        </row>
        <row r="181">
          <cell r="F181">
            <v>5964324122</v>
          </cell>
          <cell r="AI181">
            <v>100</v>
          </cell>
        </row>
        <row r="182">
          <cell r="F182">
            <v>5964322122</v>
          </cell>
          <cell r="AI182">
            <v>100</v>
          </cell>
        </row>
        <row r="183">
          <cell r="F183">
            <v>5961616059</v>
          </cell>
          <cell r="AI183">
            <v>100</v>
          </cell>
        </row>
        <row r="184">
          <cell r="F184">
            <v>5952231122</v>
          </cell>
          <cell r="AI184">
            <v>100</v>
          </cell>
        </row>
        <row r="185">
          <cell r="F185">
            <v>5900285088</v>
          </cell>
          <cell r="AI185">
            <v>50</v>
          </cell>
        </row>
        <row r="186">
          <cell r="F186">
            <v>5900109059</v>
          </cell>
          <cell r="AI186">
            <v>50</v>
          </cell>
        </row>
        <row r="187">
          <cell r="F187">
            <v>5900109059</v>
          </cell>
          <cell r="AI187">
            <v>50</v>
          </cell>
        </row>
        <row r="188">
          <cell r="F188">
            <v>5961847122</v>
          </cell>
          <cell r="AI188">
            <v>100</v>
          </cell>
        </row>
        <row r="189">
          <cell r="F189">
            <v>5961847122</v>
          </cell>
          <cell r="AI189">
            <v>100</v>
          </cell>
        </row>
        <row r="190">
          <cell r="F190">
            <v>5953280122</v>
          </cell>
          <cell r="AI190">
            <v>100</v>
          </cell>
        </row>
        <row r="191">
          <cell r="F191">
            <v>5953280122</v>
          </cell>
          <cell r="AI191">
            <v>100</v>
          </cell>
        </row>
        <row r="192">
          <cell r="F192">
            <v>5900049098</v>
          </cell>
          <cell r="AI192">
            <v>50</v>
          </cell>
        </row>
        <row r="193">
          <cell r="F193">
            <v>5951791007</v>
          </cell>
          <cell r="AI193">
            <v>100</v>
          </cell>
        </row>
        <row r="194">
          <cell r="F194">
            <v>5951650122</v>
          </cell>
          <cell r="AI194">
            <v>100</v>
          </cell>
        </row>
        <row r="195">
          <cell r="F195">
            <v>5951650122</v>
          </cell>
          <cell r="AI195">
            <v>100</v>
          </cell>
        </row>
        <row r="196">
          <cell r="F196">
            <v>5945104047</v>
          </cell>
          <cell r="AI196">
            <v>100</v>
          </cell>
        </row>
        <row r="197">
          <cell r="F197">
            <v>5945105036</v>
          </cell>
          <cell r="AI197">
            <v>100</v>
          </cell>
        </row>
        <row r="198">
          <cell r="F198">
            <v>5950588122</v>
          </cell>
          <cell r="AI198">
            <v>100</v>
          </cell>
        </row>
        <row r="199">
          <cell r="F199">
            <v>5951785013</v>
          </cell>
          <cell r="AI199">
            <v>100</v>
          </cell>
        </row>
        <row r="200">
          <cell r="F200">
            <v>5900176003</v>
          </cell>
          <cell r="AI200">
            <v>200</v>
          </cell>
        </row>
        <row r="201">
          <cell r="F201">
            <v>5900082004</v>
          </cell>
          <cell r="AI201">
            <v>100</v>
          </cell>
        </row>
        <row r="202">
          <cell r="F202">
            <v>5946374003</v>
          </cell>
          <cell r="AI202">
            <v>100</v>
          </cell>
        </row>
        <row r="203">
          <cell r="F203">
            <v>5961843122</v>
          </cell>
          <cell r="AI203">
            <v>100</v>
          </cell>
        </row>
        <row r="204">
          <cell r="F204">
            <v>5961843122</v>
          </cell>
          <cell r="AI204">
            <v>100</v>
          </cell>
        </row>
        <row r="205">
          <cell r="F205">
            <v>5952327122</v>
          </cell>
          <cell r="AI205">
            <v>100</v>
          </cell>
        </row>
        <row r="206">
          <cell r="F206">
            <v>5946862122</v>
          </cell>
          <cell r="AI206">
            <v>100</v>
          </cell>
        </row>
        <row r="207">
          <cell r="F207">
            <v>5951784013</v>
          </cell>
          <cell r="AI207">
            <v>100</v>
          </cell>
        </row>
        <row r="208">
          <cell r="F208">
            <v>5951790007</v>
          </cell>
          <cell r="AI208">
            <v>100</v>
          </cell>
        </row>
        <row r="209">
          <cell r="F209">
            <v>5952242122</v>
          </cell>
          <cell r="AI209">
            <v>100</v>
          </cell>
        </row>
        <row r="210">
          <cell r="F210">
            <v>5925551122</v>
          </cell>
          <cell r="AI210">
            <v>200</v>
          </cell>
        </row>
        <row r="211">
          <cell r="F211">
            <v>5900601047</v>
          </cell>
          <cell r="AI211">
            <v>900</v>
          </cell>
        </row>
        <row r="212">
          <cell r="F212">
            <v>5900091003</v>
          </cell>
          <cell r="AI212">
            <v>50</v>
          </cell>
        </row>
        <row r="213">
          <cell r="F213">
            <v>5924615042</v>
          </cell>
          <cell r="AI213">
            <v>100</v>
          </cell>
        </row>
        <row r="214">
          <cell r="F214">
            <v>5924615042</v>
          </cell>
          <cell r="AI214">
            <v>100</v>
          </cell>
        </row>
        <row r="215">
          <cell r="F215">
            <v>5900014038</v>
          </cell>
          <cell r="AI215">
            <v>50</v>
          </cell>
        </row>
        <row r="216">
          <cell r="F216">
            <v>5930560028</v>
          </cell>
          <cell r="AI216">
            <v>50</v>
          </cell>
        </row>
        <row r="217">
          <cell r="F217">
            <v>5951799007</v>
          </cell>
          <cell r="AI217">
            <v>100</v>
          </cell>
        </row>
        <row r="218">
          <cell r="F218">
            <v>5941479003</v>
          </cell>
          <cell r="AI218">
            <v>100</v>
          </cell>
        </row>
        <row r="219">
          <cell r="F219">
            <v>5941479003</v>
          </cell>
          <cell r="AI219">
            <v>100</v>
          </cell>
        </row>
        <row r="220">
          <cell r="F220">
            <v>5900785076</v>
          </cell>
          <cell r="AI220">
            <v>50</v>
          </cell>
        </row>
        <row r="221">
          <cell r="F221">
            <v>5950334122</v>
          </cell>
          <cell r="AI221">
            <v>100</v>
          </cell>
        </row>
        <row r="222">
          <cell r="F222">
            <v>5945479122</v>
          </cell>
          <cell r="AI222">
            <v>100</v>
          </cell>
        </row>
        <row r="223">
          <cell r="F223">
            <v>5946101122</v>
          </cell>
          <cell r="AI223">
            <v>100</v>
          </cell>
        </row>
        <row r="224">
          <cell r="F224">
            <v>5944245122</v>
          </cell>
          <cell r="AI224">
            <v>100</v>
          </cell>
        </row>
        <row r="225">
          <cell r="F225">
            <v>5900143001</v>
          </cell>
          <cell r="AI225">
            <v>50</v>
          </cell>
        </row>
        <row r="226">
          <cell r="F226">
            <v>5922328001</v>
          </cell>
          <cell r="AI226">
            <v>200</v>
          </cell>
        </row>
        <row r="227">
          <cell r="F227">
            <v>5900090122</v>
          </cell>
          <cell r="AI227">
            <v>100</v>
          </cell>
        </row>
        <row r="228">
          <cell r="F228">
            <v>5926763122</v>
          </cell>
          <cell r="AI228">
            <v>100</v>
          </cell>
        </row>
        <row r="229">
          <cell r="F229">
            <v>5900272004</v>
          </cell>
          <cell r="AI229">
            <v>100</v>
          </cell>
        </row>
        <row r="230">
          <cell r="F230">
            <v>5900349001</v>
          </cell>
          <cell r="AI230">
            <v>100</v>
          </cell>
        </row>
        <row r="231">
          <cell r="F231">
            <v>5901877003</v>
          </cell>
          <cell r="AI231">
            <v>100</v>
          </cell>
        </row>
        <row r="232">
          <cell r="F232">
            <v>5901877003</v>
          </cell>
          <cell r="AI232">
            <v>100</v>
          </cell>
        </row>
        <row r="233">
          <cell r="F233">
            <v>5925552122</v>
          </cell>
          <cell r="AI233">
            <v>200</v>
          </cell>
        </row>
        <row r="234">
          <cell r="F234">
            <v>5925237001</v>
          </cell>
          <cell r="AI234">
            <v>100</v>
          </cell>
        </row>
        <row r="235">
          <cell r="F235">
            <v>5900583028</v>
          </cell>
          <cell r="AI235">
            <v>100</v>
          </cell>
        </row>
        <row r="236">
          <cell r="F236">
            <v>5928378045</v>
          </cell>
          <cell r="AI236">
            <v>100</v>
          </cell>
        </row>
        <row r="237">
          <cell r="F237">
            <v>5928378045</v>
          </cell>
          <cell r="AI237">
            <v>100</v>
          </cell>
        </row>
        <row r="238">
          <cell r="F238">
            <v>5928379045</v>
          </cell>
          <cell r="AI238">
            <v>100</v>
          </cell>
        </row>
        <row r="239">
          <cell r="F239">
            <v>5900263050</v>
          </cell>
          <cell r="AI239">
            <v>50</v>
          </cell>
        </row>
        <row r="240">
          <cell r="F240">
            <v>5900473122</v>
          </cell>
          <cell r="AI240">
            <v>200</v>
          </cell>
        </row>
        <row r="241">
          <cell r="F241">
            <v>5922329001</v>
          </cell>
          <cell r="AI241">
            <v>200</v>
          </cell>
        </row>
        <row r="242">
          <cell r="F242">
            <v>5926799122</v>
          </cell>
          <cell r="AI242">
            <v>100</v>
          </cell>
        </row>
        <row r="243">
          <cell r="F243">
            <v>5927346122</v>
          </cell>
          <cell r="AI243">
            <v>200</v>
          </cell>
        </row>
        <row r="244">
          <cell r="F244">
            <v>5927346122</v>
          </cell>
          <cell r="AI244">
            <v>200</v>
          </cell>
        </row>
        <row r="245">
          <cell r="F245">
            <v>5900407025</v>
          </cell>
          <cell r="AI245">
            <v>50</v>
          </cell>
        </row>
        <row r="246">
          <cell r="F246">
            <v>5900105013</v>
          </cell>
          <cell r="AI246">
            <v>100</v>
          </cell>
        </row>
        <row r="247">
          <cell r="F247">
            <v>5930542005</v>
          </cell>
          <cell r="AI247">
            <v>100</v>
          </cell>
        </row>
        <row r="248">
          <cell r="F248">
            <v>5901123038</v>
          </cell>
          <cell r="AI248">
            <v>100</v>
          </cell>
        </row>
        <row r="249">
          <cell r="F249">
            <v>5922361122</v>
          </cell>
          <cell r="AI249">
            <v>200</v>
          </cell>
        </row>
        <row r="250">
          <cell r="F250">
            <v>5925321043</v>
          </cell>
          <cell r="AI250">
            <v>200</v>
          </cell>
        </row>
        <row r="251">
          <cell r="F251">
            <v>5900594017</v>
          </cell>
          <cell r="AI251">
            <v>50</v>
          </cell>
        </row>
        <row r="252">
          <cell r="F252">
            <v>5925072076</v>
          </cell>
          <cell r="AI252">
            <v>100</v>
          </cell>
        </row>
        <row r="253">
          <cell r="F253">
            <v>5901182004</v>
          </cell>
          <cell r="AI253">
            <v>200</v>
          </cell>
        </row>
        <row r="254">
          <cell r="F254">
            <v>5901181004</v>
          </cell>
          <cell r="AI254">
            <v>100</v>
          </cell>
        </row>
        <row r="255">
          <cell r="F255">
            <v>5913313004</v>
          </cell>
          <cell r="AI255">
            <v>50</v>
          </cell>
        </row>
        <row r="256">
          <cell r="F256">
            <v>5900003013</v>
          </cell>
          <cell r="AI256">
            <v>50</v>
          </cell>
        </row>
        <row r="257">
          <cell r="F257">
            <v>5900990014</v>
          </cell>
          <cell r="AI257">
            <v>100</v>
          </cell>
        </row>
        <row r="258">
          <cell r="F258">
            <v>5938754023</v>
          </cell>
          <cell r="AI258">
            <v>100</v>
          </cell>
        </row>
        <row r="259">
          <cell r="F259">
            <v>5921041034</v>
          </cell>
          <cell r="AI259">
            <v>50</v>
          </cell>
        </row>
        <row r="260">
          <cell r="F260">
            <v>5900126068</v>
          </cell>
          <cell r="AI260">
            <v>50</v>
          </cell>
        </row>
        <row r="261">
          <cell r="F261">
            <v>5900010002</v>
          </cell>
          <cell r="AI261">
            <v>50</v>
          </cell>
        </row>
        <row r="262">
          <cell r="F262">
            <v>5900383004</v>
          </cell>
          <cell r="AI262">
            <v>100</v>
          </cell>
        </row>
        <row r="263">
          <cell r="F263">
            <v>5900383004</v>
          </cell>
          <cell r="AI263">
            <v>100</v>
          </cell>
        </row>
        <row r="264">
          <cell r="F264">
            <v>5924849004</v>
          </cell>
          <cell r="AI264">
            <v>100</v>
          </cell>
        </row>
        <row r="265">
          <cell r="F265">
            <v>5924849004</v>
          </cell>
          <cell r="AI265">
            <v>100</v>
          </cell>
        </row>
        <row r="266">
          <cell r="F266">
            <v>5951643122</v>
          </cell>
          <cell r="AI266">
            <v>100</v>
          </cell>
        </row>
        <row r="267">
          <cell r="F267">
            <v>5900051023</v>
          </cell>
          <cell r="AI267">
            <v>50</v>
          </cell>
        </row>
        <row r="268">
          <cell r="F268">
            <v>5900067033</v>
          </cell>
          <cell r="AI268">
            <v>100</v>
          </cell>
        </row>
        <row r="269">
          <cell r="F269">
            <v>5946472071</v>
          </cell>
          <cell r="AI269">
            <v>100</v>
          </cell>
        </row>
        <row r="270">
          <cell r="F270">
            <v>5900358003</v>
          </cell>
          <cell r="AI270">
            <v>200</v>
          </cell>
        </row>
        <row r="271">
          <cell r="F271">
            <v>5935743193</v>
          </cell>
          <cell r="AI271">
            <v>100</v>
          </cell>
        </row>
        <row r="272">
          <cell r="F272">
            <v>5944271122</v>
          </cell>
          <cell r="AI272">
            <v>100</v>
          </cell>
        </row>
        <row r="273">
          <cell r="F273">
            <v>5900038091</v>
          </cell>
          <cell r="AI273">
            <v>50</v>
          </cell>
        </row>
        <row r="274">
          <cell r="F274">
            <v>5922994039</v>
          </cell>
          <cell r="AI274">
            <v>50</v>
          </cell>
        </row>
        <row r="275">
          <cell r="F275">
            <v>5922994039</v>
          </cell>
          <cell r="AI275">
            <v>50</v>
          </cell>
        </row>
        <row r="276">
          <cell r="F276">
            <v>5900037005</v>
          </cell>
          <cell r="AI276">
            <v>50</v>
          </cell>
        </row>
        <row r="277">
          <cell r="F277">
            <v>5900037005</v>
          </cell>
          <cell r="AI277">
            <v>50</v>
          </cell>
        </row>
        <row r="278">
          <cell r="F278">
            <v>5900042012</v>
          </cell>
          <cell r="AI278">
            <v>100</v>
          </cell>
        </row>
        <row r="279">
          <cell r="F279">
            <v>5900470004</v>
          </cell>
          <cell r="AI279">
            <v>200</v>
          </cell>
        </row>
        <row r="280">
          <cell r="F280">
            <v>5966876004</v>
          </cell>
          <cell r="AI280">
            <v>200</v>
          </cell>
        </row>
        <row r="281">
          <cell r="F281">
            <v>5966876004</v>
          </cell>
          <cell r="AI281">
            <v>200</v>
          </cell>
        </row>
        <row r="282">
          <cell r="F282">
            <v>5959941122</v>
          </cell>
          <cell r="AI282">
            <v>200</v>
          </cell>
        </row>
        <row r="283">
          <cell r="F283">
            <v>5964324122</v>
          </cell>
          <cell r="AI283">
            <v>100</v>
          </cell>
        </row>
        <row r="284">
          <cell r="F284">
            <v>5959040122</v>
          </cell>
          <cell r="AI284">
            <v>100</v>
          </cell>
        </row>
        <row r="285">
          <cell r="F285">
            <v>5959040122</v>
          </cell>
          <cell r="AI285">
            <v>100</v>
          </cell>
        </row>
        <row r="286">
          <cell r="F286">
            <v>5952231122</v>
          </cell>
          <cell r="AI286">
            <v>100</v>
          </cell>
        </row>
        <row r="287">
          <cell r="F287">
            <v>5923490003</v>
          </cell>
          <cell r="AI287">
            <v>50</v>
          </cell>
        </row>
        <row r="288">
          <cell r="F288">
            <v>5900285088</v>
          </cell>
          <cell r="AI288">
            <v>50</v>
          </cell>
        </row>
        <row r="289">
          <cell r="F289">
            <v>5961684122</v>
          </cell>
          <cell r="AI289">
            <v>100</v>
          </cell>
        </row>
        <row r="290">
          <cell r="F290">
            <v>5961840122</v>
          </cell>
          <cell r="AI290">
            <v>100</v>
          </cell>
        </row>
        <row r="291">
          <cell r="F291">
            <v>5900247034</v>
          </cell>
          <cell r="AI291">
            <v>50</v>
          </cell>
        </row>
        <row r="292">
          <cell r="F292">
            <v>5951791007</v>
          </cell>
          <cell r="AI292">
            <v>100</v>
          </cell>
        </row>
        <row r="293">
          <cell r="F293">
            <v>5951791007</v>
          </cell>
          <cell r="AI293">
            <v>100</v>
          </cell>
        </row>
        <row r="294">
          <cell r="F294">
            <v>5900220023</v>
          </cell>
          <cell r="AI294">
            <v>100</v>
          </cell>
        </row>
        <row r="295">
          <cell r="F295">
            <v>5948168002</v>
          </cell>
          <cell r="AI295">
            <v>100</v>
          </cell>
        </row>
        <row r="296">
          <cell r="F296">
            <v>5951650122</v>
          </cell>
          <cell r="AI296">
            <v>100</v>
          </cell>
        </row>
        <row r="297">
          <cell r="F297">
            <v>5945112047</v>
          </cell>
          <cell r="AI297">
            <v>100</v>
          </cell>
        </row>
        <row r="298">
          <cell r="F298">
            <v>5945104047</v>
          </cell>
          <cell r="AI298">
            <v>100</v>
          </cell>
        </row>
        <row r="299">
          <cell r="F299">
            <v>5944577073</v>
          </cell>
          <cell r="AI299">
            <v>100</v>
          </cell>
        </row>
        <row r="300">
          <cell r="F300">
            <v>5944577073</v>
          </cell>
          <cell r="AI300">
            <v>100</v>
          </cell>
        </row>
        <row r="301">
          <cell r="F301">
            <v>5900198003</v>
          </cell>
          <cell r="AI301">
            <v>100</v>
          </cell>
        </row>
        <row r="302">
          <cell r="F302">
            <v>5900047002</v>
          </cell>
          <cell r="AI302">
            <v>100</v>
          </cell>
        </row>
        <row r="303">
          <cell r="F303">
            <v>5900047002</v>
          </cell>
          <cell r="AI303">
            <v>100</v>
          </cell>
        </row>
        <row r="304">
          <cell r="F304">
            <v>5946374003</v>
          </cell>
          <cell r="AI304">
            <v>100</v>
          </cell>
        </row>
        <row r="305">
          <cell r="F305">
            <v>5953583122</v>
          </cell>
          <cell r="AI305">
            <v>100</v>
          </cell>
        </row>
        <row r="306">
          <cell r="F306">
            <v>5961773122</v>
          </cell>
          <cell r="AI306">
            <v>100</v>
          </cell>
        </row>
        <row r="307">
          <cell r="F307">
            <v>5961773122</v>
          </cell>
          <cell r="AI307">
            <v>100</v>
          </cell>
        </row>
        <row r="308">
          <cell r="F308">
            <v>5961774122</v>
          </cell>
          <cell r="AI308">
            <v>100</v>
          </cell>
        </row>
        <row r="309">
          <cell r="F309">
            <v>5962028013</v>
          </cell>
          <cell r="AI309">
            <v>100</v>
          </cell>
        </row>
        <row r="310">
          <cell r="F310">
            <v>5961832122</v>
          </cell>
          <cell r="AI310">
            <v>100</v>
          </cell>
        </row>
        <row r="311">
          <cell r="F311">
            <v>5948602003</v>
          </cell>
          <cell r="AI311">
            <v>100</v>
          </cell>
        </row>
        <row r="312">
          <cell r="F312">
            <v>5946473071</v>
          </cell>
          <cell r="AI312">
            <v>200</v>
          </cell>
        </row>
        <row r="313">
          <cell r="F313">
            <v>5947960001</v>
          </cell>
          <cell r="AI313">
            <v>100</v>
          </cell>
        </row>
        <row r="314">
          <cell r="F314">
            <v>5951790007</v>
          </cell>
          <cell r="AI314">
            <v>100</v>
          </cell>
        </row>
        <row r="315">
          <cell r="F315">
            <v>5968209013</v>
          </cell>
          <cell r="AI315">
            <v>100</v>
          </cell>
        </row>
        <row r="316">
          <cell r="F316">
            <v>5925551122</v>
          </cell>
          <cell r="AI316">
            <v>200</v>
          </cell>
        </row>
        <row r="317">
          <cell r="F317">
            <v>5925551122</v>
          </cell>
          <cell r="AI317">
            <v>200</v>
          </cell>
        </row>
        <row r="318">
          <cell r="F318">
            <v>5900044094</v>
          </cell>
          <cell r="AI318">
            <v>100</v>
          </cell>
        </row>
        <row r="319">
          <cell r="F319">
            <v>5935581001</v>
          </cell>
          <cell r="AI319">
            <v>50</v>
          </cell>
        </row>
        <row r="320">
          <cell r="F320">
            <v>5935581001</v>
          </cell>
          <cell r="AI320">
            <v>50</v>
          </cell>
        </row>
        <row r="321">
          <cell r="F321">
            <v>5924615042</v>
          </cell>
          <cell r="AI321">
            <v>100</v>
          </cell>
        </row>
        <row r="322">
          <cell r="F322">
            <v>5936329013</v>
          </cell>
          <cell r="AI322">
            <v>100</v>
          </cell>
        </row>
        <row r="323">
          <cell r="F323">
            <v>5941479003</v>
          </cell>
          <cell r="AI323">
            <v>100</v>
          </cell>
        </row>
        <row r="324">
          <cell r="F324">
            <v>5900038036</v>
          </cell>
          <cell r="AI324">
            <v>100</v>
          </cell>
        </row>
        <row r="325">
          <cell r="F325">
            <v>5950334122</v>
          </cell>
          <cell r="AI325">
            <v>100</v>
          </cell>
        </row>
        <row r="326">
          <cell r="F326">
            <v>5944211122</v>
          </cell>
          <cell r="AI326">
            <v>100</v>
          </cell>
        </row>
        <row r="327">
          <cell r="F327">
            <v>5944211122</v>
          </cell>
          <cell r="AI327">
            <v>100</v>
          </cell>
        </row>
        <row r="328">
          <cell r="F328">
            <v>5944245122</v>
          </cell>
          <cell r="AI328">
            <v>100</v>
          </cell>
        </row>
        <row r="329">
          <cell r="F329">
            <v>5962029013</v>
          </cell>
          <cell r="AI329">
            <v>100</v>
          </cell>
        </row>
        <row r="330">
          <cell r="F330">
            <v>5923843043</v>
          </cell>
          <cell r="AI330">
            <v>50</v>
          </cell>
        </row>
        <row r="331">
          <cell r="F331">
            <v>5900587003</v>
          </cell>
          <cell r="AI331">
            <v>100</v>
          </cell>
        </row>
        <row r="332">
          <cell r="F332">
            <v>5931168013</v>
          </cell>
          <cell r="AI332">
            <v>200</v>
          </cell>
        </row>
        <row r="333">
          <cell r="F333">
            <v>5900622016</v>
          </cell>
          <cell r="AI333">
            <v>50</v>
          </cell>
        </row>
        <row r="334">
          <cell r="F334">
            <v>5900344122</v>
          </cell>
          <cell r="AI334">
            <v>200</v>
          </cell>
        </row>
        <row r="335">
          <cell r="F335">
            <v>5900090122</v>
          </cell>
          <cell r="AI335">
            <v>100</v>
          </cell>
        </row>
        <row r="336">
          <cell r="F336">
            <v>5900074020</v>
          </cell>
          <cell r="AI336">
            <v>50</v>
          </cell>
        </row>
        <row r="337">
          <cell r="F337">
            <v>5931607059</v>
          </cell>
          <cell r="AI337">
            <v>100</v>
          </cell>
        </row>
        <row r="338">
          <cell r="F338">
            <v>5926763122</v>
          </cell>
          <cell r="AI338">
            <v>100</v>
          </cell>
        </row>
        <row r="339">
          <cell r="F339">
            <v>5900272004</v>
          </cell>
          <cell r="AI339">
            <v>100</v>
          </cell>
        </row>
        <row r="340">
          <cell r="F340">
            <v>5900272004</v>
          </cell>
          <cell r="AI340">
            <v>100</v>
          </cell>
        </row>
        <row r="341">
          <cell r="F341">
            <v>5900871122</v>
          </cell>
          <cell r="AI341">
            <v>200</v>
          </cell>
        </row>
        <row r="342">
          <cell r="F342">
            <v>5900349001</v>
          </cell>
          <cell r="AI342">
            <v>50</v>
          </cell>
        </row>
        <row r="343">
          <cell r="F343">
            <v>5925556122</v>
          </cell>
          <cell r="AI343">
            <v>100</v>
          </cell>
        </row>
        <row r="344">
          <cell r="F344">
            <v>5901877003</v>
          </cell>
          <cell r="AI344">
            <v>100</v>
          </cell>
        </row>
        <row r="345">
          <cell r="F345">
            <v>5925552122</v>
          </cell>
          <cell r="AI345">
            <v>200</v>
          </cell>
        </row>
        <row r="346">
          <cell r="F346">
            <v>5913315004</v>
          </cell>
          <cell r="AI346">
            <v>50</v>
          </cell>
        </row>
        <row r="347">
          <cell r="F347">
            <v>5930902068</v>
          </cell>
          <cell r="AI347">
            <v>50</v>
          </cell>
        </row>
        <row r="348">
          <cell r="F348">
            <v>5928379045</v>
          </cell>
          <cell r="AI348">
            <v>100</v>
          </cell>
        </row>
        <row r="349">
          <cell r="F349">
            <v>5900263050</v>
          </cell>
          <cell r="AI349">
            <v>50</v>
          </cell>
        </row>
        <row r="350">
          <cell r="F350">
            <v>5904192001</v>
          </cell>
          <cell r="AI350">
            <v>50</v>
          </cell>
        </row>
        <row r="351">
          <cell r="F351">
            <v>5927346122</v>
          </cell>
          <cell r="AI351">
            <v>200</v>
          </cell>
        </row>
        <row r="352">
          <cell r="F352">
            <v>5900105013</v>
          </cell>
          <cell r="AI352">
            <v>100</v>
          </cell>
        </row>
        <row r="353">
          <cell r="F353">
            <v>5925321043</v>
          </cell>
          <cell r="AI353">
            <v>200</v>
          </cell>
        </row>
        <row r="354">
          <cell r="F354">
            <v>5900431019</v>
          </cell>
          <cell r="AI354">
            <v>50</v>
          </cell>
        </row>
        <row r="355">
          <cell r="F355">
            <v>5900431019</v>
          </cell>
          <cell r="AI355">
            <v>50</v>
          </cell>
        </row>
        <row r="356">
          <cell r="F356">
            <v>5925557008</v>
          </cell>
          <cell r="AI356">
            <v>50</v>
          </cell>
        </row>
        <row r="357">
          <cell r="F357">
            <v>5925072076</v>
          </cell>
          <cell r="AI357">
            <v>100</v>
          </cell>
        </row>
        <row r="358">
          <cell r="F358">
            <v>5903718004</v>
          </cell>
          <cell r="AI358">
            <v>100</v>
          </cell>
        </row>
        <row r="359">
          <cell r="F359">
            <v>5913313004</v>
          </cell>
          <cell r="AI359">
            <v>50</v>
          </cell>
        </row>
        <row r="360">
          <cell r="F360">
            <v>5901003014</v>
          </cell>
          <cell r="AI360">
            <v>100</v>
          </cell>
        </row>
        <row r="361">
          <cell r="F361">
            <v>5902588003</v>
          </cell>
          <cell r="AI361">
            <v>100</v>
          </cell>
        </row>
        <row r="362">
          <cell r="F362">
            <v>5900115009</v>
          </cell>
          <cell r="AI362">
            <v>50</v>
          </cell>
        </row>
        <row r="363">
          <cell r="F363">
            <v>5900113039</v>
          </cell>
          <cell r="AI363">
            <v>100</v>
          </cell>
        </row>
        <row r="364">
          <cell r="F364">
            <v>5900113039</v>
          </cell>
          <cell r="AI364">
            <v>100</v>
          </cell>
        </row>
        <row r="365">
          <cell r="F365">
            <v>5900383004</v>
          </cell>
          <cell r="AI365">
            <v>100</v>
          </cell>
        </row>
        <row r="366">
          <cell r="F366">
            <v>5902875004</v>
          </cell>
          <cell r="AI366">
            <v>50</v>
          </cell>
        </row>
        <row r="367">
          <cell r="F367">
            <v>5952342122</v>
          </cell>
          <cell r="AI367">
            <v>100</v>
          </cell>
        </row>
        <row r="368">
          <cell r="F368">
            <v>5962091013</v>
          </cell>
          <cell r="AI368">
            <v>100</v>
          </cell>
        </row>
        <row r="369">
          <cell r="F369">
            <v>5922994039</v>
          </cell>
          <cell r="AI369">
            <v>50</v>
          </cell>
        </row>
        <row r="370">
          <cell r="F370">
            <v>5900326004</v>
          </cell>
          <cell r="AI370">
            <v>200</v>
          </cell>
        </row>
        <row r="371">
          <cell r="F371">
            <v>5900326004</v>
          </cell>
          <cell r="AI371">
            <v>200</v>
          </cell>
        </row>
        <row r="372">
          <cell r="F372">
            <v>5900042012</v>
          </cell>
          <cell r="AI372">
            <v>100</v>
          </cell>
        </row>
        <row r="373">
          <cell r="F373">
            <v>5900083002</v>
          </cell>
          <cell r="AI373">
            <v>100</v>
          </cell>
        </row>
        <row r="374">
          <cell r="F374">
            <v>5900083002</v>
          </cell>
          <cell r="AI374">
            <v>100</v>
          </cell>
        </row>
        <row r="375">
          <cell r="F375">
            <v>5900470004</v>
          </cell>
          <cell r="AI375">
            <v>200</v>
          </cell>
        </row>
        <row r="376">
          <cell r="F376">
            <v>5900129052</v>
          </cell>
          <cell r="AI376">
            <v>100</v>
          </cell>
        </row>
        <row r="377">
          <cell r="F377">
            <v>5952201122</v>
          </cell>
          <cell r="AI377">
            <v>100</v>
          </cell>
        </row>
        <row r="378">
          <cell r="F378">
            <v>5966868004</v>
          </cell>
          <cell r="AI378">
            <v>100</v>
          </cell>
        </row>
        <row r="379">
          <cell r="F379">
            <v>5966822004</v>
          </cell>
          <cell r="AI379">
            <v>100</v>
          </cell>
        </row>
        <row r="380">
          <cell r="F380">
            <v>5966878004</v>
          </cell>
          <cell r="AI380">
            <v>100</v>
          </cell>
        </row>
        <row r="381">
          <cell r="F381">
            <v>5966878004</v>
          </cell>
          <cell r="AI381">
            <v>100</v>
          </cell>
        </row>
        <row r="382">
          <cell r="F382">
            <v>5966878004</v>
          </cell>
          <cell r="AI382">
            <v>100</v>
          </cell>
        </row>
        <row r="383">
          <cell r="F383">
            <v>5959941122</v>
          </cell>
          <cell r="AI383">
            <v>200</v>
          </cell>
        </row>
        <row r="384">
          <cell r="F384">
            <v>5964324122</v>
          </cell>
          <cell r="AI384">
            <v>100</v>
          </cell>
        </row>
        <row r="385">
          <cell r="F385">
            <v>5961419001</v>
          </cell>
          <cell r="AI385">
            <v>100</v>
          </cell>
        </row>
        <row r="386">
          <cell r="F386">
            <v>5961419001</v>
          </cell>
          <cell r="AI386">
            <v>100</v>
          </cell>
        </row>
        <row r="387">
          <cell r="F387">
            <v>5900073015</v>
          </cell>
          <cell r="AI387">
            <v>50</v>
          </cell>
        </row>
        <row r="388">
          <cell r="F388">
            <v>5923490003</v>
          </cell>
          <cell r="AI388">
            <v>50</v>
          </cell>
        </row>
        <row r="389">
          <cell r="F389">
            <v>5961847122</v>
          </cell>
          <cell r="AI389">
            <v>100</v>
          </cell>
        </row>
        <row r="390">
          <cell r="F390">
            <v>5900220023</v>
          </cell>
          <cell r="AI390">
            <v>100</v>
          </cell>
        </row>
        <row r="391">
          <cell r="F391">
            <v>5948168002</v>
          </cell>
          <cell r="AI391">
            <v>100</v>
          </cell>
        </row>
        <row r="392">
          <cell r="F392">
            <v>5951785013</v>
          </cell>
          <cell r="AI392">
            <v>100</v>
          </cell>
        </row>
        <row r="393">
          <cell r="F393">
            <v>5900668004</v>
          </cell>
          <cell r="AI393">
            <v>200</v>
          </cell>
        </row>
        <row r="394">
          <cell r="F394">
            <v>5900006032</v>
          </cell>
          <cell r="AI394">
            <v>100</v>
          </cell>
        </row>
        <row r="395">
          <cell r="F395">
            <v>5900006032</v>
          </cell>
          <cell r="AI395">
            <v>100</v>
          </cell>
        </row>
        <row r="396">
          <cell r="F396">
            <v>5900082004</v>
          </cell>
          <cell r="AI396">
            <v>100</v>
          </cell>
        </row>
        <row r="397">
          <cell r="F397">
            <v>5953583122</v>
          </cell>
          <cell r="AI397">
            <v>100</v>
          </cell>
        </row>
        <row r="398">
          <cell r="F398">
            <v>5953583122</v>
          </cell>
          <cell r="AI398">
            <v>100</v>
          </cell>
        </row>
        <row r="399">
          <cell r="F399">
            <v>5961774122</v>
          </cell>
          <cell r="AI399">
            <v>100</v>
          </cell>
        </row>
        <row r="400">
          <cell r="F400">
            <v>5962028013</v>
          </cell>
          <cell r="AI400">
            <v>100</v>
          </cell>
        </row>
        <row r="401">
          <cell r="F401">
            <v>5949860003</v>
          </cell>
          <cell r="AI401">
            <v>100</v>
          </cell>
        </row>
        <row r="402">
          <cell r="F402">
            <v>5948601003</v>
          </cell>
          <cell r="AI402">
            <v>100</v>
          </cell>
        </row>
        <row r="403">
          <cell r="F403">
            <v>5948976003</v>
          </cell>
          <cell r="AI403">
            <v>100</v>
          </cell>
        </row>
        <row r="404">
          <cell r="F404">
            <v>5950106122</v>
          </cell>
          <cell r="AI404">
            <v>100</v>
          </cell>
        </row>
        <row r="405">
          <cell r="F405">
            <v>5947960001</v>
          </cell>
          <cell r="AI405">
            <v>100</v>
          </cell>
        </row>
        <row r="406">
          <cell r="F406">
            <v>5947454001</v>
          </cell>
          <cell r="AI406">
            <v>100</v>
          </cell>
        </row>
        <row r="407">
          <cell r="F407">
            <v>5947454001</v>
          </cell>
          <cell r="AI407">
            <v>100</v>
          </cell>
        </row>
        <row r="408">
          <cell r="F408">
            <v>5951790007</v>
          </cell>
          <cell r="AI408">
            <v>100</v>
          </cell>
        </row>
        <row r="409">
          <cell r="F409">
            <v>5962031013</v>
          </cell>
          <cell r="AI409">
            <v>100</v>
          </cell>
        </row>
        <row r="410">
          <cell r="F410">
            <v>5953586122</v>
          </cell>
          <cell r="AI410">
            <v>100</v>
          </cell>
        </row>
        <row r="411">
          <cell r="F411">
            <v>5968209013</v>
          </cell>
          <cell r="AI411">
            <v>100</v>
          </cell>
        </row>
        <row r="412">
          <cell r="F412">
            <v>5900600004</v>
          </cell>
          <cell r="AI412">
            <v>200</v>
          </cell>
        </row>
        <row r="413">
          <cell r="F413">
            <v>5900058098</v>
          </cell>
          <cell r="AI413">
            <v>50</v>
          </cell>
        </row>
        <row r="414">
          <cell r="F414">
            <v>5931606059</v>
          </cell>
          <cell r="AI414">
            <v>100</v>
          </cell>
        </row>
        <row r="415">
          <cell r="F415">
            <v>5900364003</v>
          </cell>
          <cell r="AI415">
            <v>200</v>
          </cell>
        </row>
        <row r="416">
          <cell r="F416">
            <v>5900014038</v>
          </cell>
          <cell r="AI416">
            <v>50</v>
          </cell>
        </row>
        <row r="417">
          <cell r="F417">
            <v>5900037037</v>
          </cell>
          <cell r="AI417">
            <v>50</v>
          </cell>
        </row>
        <row r="418">
          <cell r="F418">
            <v>5955192004</v>
          </cell>
          <cell r="AI418">
            <v>100</v>
          </cell>
        </row>
        <row r="419">
          <cell r="F419">
            <v>5922317001</v>
          </cell>
          <cell r="AI419">
            <v>100</v>
          </cell>
        </row>
        <row r="420">
          <cell r="F420">
            <v>5950346122</v>
          </cell>
          <cell r="AI420">
            <v>100</v>
          </cell>
        </row>
        <row r="421">
          <cell r="F421">
            <v>5945479122</v>
          </cell>
          <cell r="AI421">
            <v>100</v>
          </cell>
        </row>
        <row r="422">
          <cell r="F422">
            <v>5945479122</v>
          </cell>
          <cell r="AI422">
            <v>100</v>
          </cell>
        </row>
        <row r="423">
          <cell r="F423">
            <v>5944245122</v>
          </cell>
          <cell r="AI423">
            <v>100</v>
          </cell>
        </row>
        <row r="424">
          <cell r="F424">
            <v>5944245122</v>
          </cell>
          <cell r="AI424">
            <v>100</v>
          </cell>
        </row>
        <row r="425">
          <cell r="F425">
            <v>5962029013</v>
          </cell>
          <cell r="AI425">
            <v>100</v>
          </cell>
        </row>
        <row r="426">
          <cell r="F426">
            <v>5962029013</v>
          </cell>
          <cell r="AI426">
            <v>100</v>
          </cell>
        </row>
        <row r="427">
          <cell r="F427">
            <v>5900143001</v>
          </cell>
          <cell r="AI427">
            <v>50</v>
          </cell>
        </row>
        <row r="428">
          <cell r="F428">
            <v>5900090122</v>
          </cell>
          <cell r="AI428">
            <v>100</v>
          </cell>
        </row>
        <row r="429">
          <cell r="F429">
            <v>5900090122</v>
          </cell>
          <cell r="AI429">
            <v>100</v>
          </cell>
        </row>
        <row r="430">
          <cell r="F430">
            <v>5900090122</v>
          </cell>
          <cell r="AI430">
            <v>100</v>
          </cell>
        </row>
        <row r="431">
          <cell r="F431">
            <v>5901890060</v>
          </cell>
          <cell r="AI431">
            <v>100</v>
          </cell>
        </row>
        <row r="432">
          <cell r="F432">
            <v>5901890060</v>
          </cell>
          <cell r="AI432">
            <v>100</v>
          </cell>
        </row>
        <row r="433">
          <cell r="F433">
            <v>5931607059</v>
          </cell>
          <cell r="AI433">
            <v>100</v>
          </cell>
        </row>
        <row r="434">
          <cell r="F434">
            <v>5907244122</v>
          </cell>
          <cell r="AI434">
            <v>200</v>
          </cell>
        </row>
        <row r="435">
          <cell r="F435">
            <v>5900349001</v>
          </cell>
          <cell r="AI435">
            <v>100</v>
          </cell>
        </row>
        <row r="436">
          <cell r="F436">
            <v>5925556122</v>
          </cell>
          <cell r="AI436">
            <v>100</v>
          </cell>
        </row>
        <row r="437">
          <cell r="F437">
            <v>5923670090</v>
          </cell>
          <cell r="AI437">
            <v>50</v>
          </cell>
        </row>
        <row r="438">
          <cell r="F438">
            <v>5925237001</v>
          </cell>
          <cell r="AI438">
            <v>50</v>
          </cell>
        </row>
        <row r="439">
          <cell r="F439">
            <v>5926722122</v>
          </cell>
          <cell r="AI439">
            <v>100</v>
          </cell>
        </row>
        <row r="440">
          <cell r="F440">
            <v>5900004261</v>
          </cell>
          <cell r="AI440">
            <v>50</v>
          </cell>
        </row>
        <row r="441">
          <cell r="F441">
            <v>5901589122</v>
          </cell>
          <cell r="AI441">
            <v>50</v>
          </cell>
        </row>
        <row r="442">
          <cell r="F442">
            <v>5928378045</v>
          </cell>
          <cell r="AI442">
            <v>100</v>
          </cell>
        </row>
        <row r="443">
          <cell r="F443">
            <v>5900020074</v>
          </cell>
          <cell r="AI443">
            <v>50</v>
          </cell>
        </row>
        <row r="444">
          <cell r="F444">
            <v>5900324124</v>
          </cell>
          <cell r="AI444">
            <v>300</v>
          </cell>
        </row>
        <row r="445">
          <cell r="F445">
            <v>5900324124</v>
          </cell>
          <cell r="AI445">
            <v>300</v>
          </cell>
        </row>
        <row r="446">
          <cell r="F446">
            <v>5900263050</v>
          </cell>
          <cell r="AI446">
            <v>50</v>
          </cell>
        </row>
        <row r="447">
          <cell r="F447">
            <v>5925121016</v>
          </cell>
          <cell r="AI447">
            <v>50</v>
          </cell>
        </row>
        <row r="448">
          <cell r="F448">
            <v>5925121016</v>
          </cell>
          <cell r="AI448">
            <v>50</v>
          </cell>
        </row>
        <row r="449">
          <cell r="F449">
            <v>5926799122</v>
          </cell>
          <cell r="AI449">
            <v>100</v>
          </cell>
        </row>
        <row r="450">
          <cell r="F450">
            <v>5900828030</v>
          </cell>
          <cell r="AI450">
            <v>100</v>
          </cell>
        </row>
        <row r="451">
          <cell r="F451">
            <v>5900407025</v>
          </cell>
          <cell r="AI451">
            <v>50</v>
          </cell>
        </row>
        <row r="452">
          <cell r="F452">
            <v>5900043059</v>
          </cell>
          <cell r="AI452">
            <v>100</v>
          </cell>
        </row>
        <row r="453">
          <cell r="F453">
            <v>5900161013</v>
          </cell>
          <cell r="AI453">
            <v>50</v>
          </cell>
        </row>
        <row r="454">
          <cell r="F454">
            <v>5901123038</v>
          </cell>
          <cell r="AI454">
            <v>100</v>
          </cell>
        </row>
        <row r="455">
          <cell r="F455">
            <v>5922361122</v>
          </cell>
          <cell r="AI455">
            <v>200</v>
          </cell>
        </row>
        <row r="456">
          <cell r="F456">
            <v>5900594017</v>
          </cell>
          <cell r="AI456">
            <v>50</v>
          </cell>
        </row>
        <row r="457">
          <cell r="F457">
            <v>5900431019</v>
          </cell>
          <cell r="AI457">
            <v>50</v>
          </cell>
        </row>
        <row r="458">
          <cell r="F458">
            <v>5925557008</v>
          </cell>
          <cell r="AI458">
            <v>50</v>
          </cell>
        </row>
        <row r="459">
          <cell r="F459">
            <v>5901182004</v>
          </cell>
          <cell r="AI459">
            <v>200</v>
          </cell>
        </row>
        <row r="460">
          <cell r="F460">
            <v>5904575271</v>
          </cell>
          <cell r="AI460">
            <v>200</v>
          </cell>
        </row>
        <row r="461">
          <cell r="F461">
            <v>5920693073</v>
          </cell>
          <cell r="AI461">
            <v>100</v>
          </cell>
        </row>
        <row r="462">
          <cell r="F462">
            <v>5900003013</v>
          </cell>
          <cell r="AI462">
            <v>50</v>
          </cell>
        </row>
        <row r="463">
          <cell r="F463">
            <v>5900119013</v>
          </cell>
          <cell r="AI463">
            <v>50</v>
          </cell>
        </row>
        <row r="464">
          <cell r="F464">
            <v>5902588003</v>
          </cell>
          <cell r="AI464">
            <v>100</v>
          </cell>
        </row>
        <row r="465">
          <cell r="F465">
            <v>5938754023</v>
          </cell>
          <cell r="AI465">
            <v>100</v>
          </cell>
        </row>
        <row r="466">
          <cell r="F466">
            <v>5938754023</v>
          </cell>
          <cell r="AI466">
            <v>100</v>
          </cell>
        </row>
        <row r="467">
          <cell r="F467">
            <v>5900115009</v>
          </cell>
          <cell r="AI467">
            <v>50</v>
          </cell>
        </row>
        <row r="468">
          <cell r="F468">
            <v>5952202122</v>
          </cell>
          <cell r="AI468">
            <v>100</v>
          </cell>
        </row>
        <row r="469">
          <cell r="F469">
            <v>5900042012</v>
          </cell>
          <cell r="AI469">
            <v>100</v>
          </cell>
        </row>
        <row r="470">
          <cell r="F470">
            <v>5900085007</v>
          </cell>
          <cell r="AI470">
            <v>50</v>
          </cell>
        </row>
        <row r="471">
          <cell r="F471">
            <v>5900033003</v>
          </cell>
          <cell r="AI471">
            <v>100</v>
          </cell>
        </row>
        <row r="472">
          <cell r="F472">
            <v>5964322122</v>
          </cell>
          <cell r="AI472">
            <v>100</v>
          </cell>
        </row>
        <row r="473">
          <cell r="F473">
            <v>5961616059</v>
          </cell>
          <cell r="AI473">
            <v>100</v>
          </cell>
        </row>
        <row r="474">
          <cell r="F474">
            <v>5900285088</v>
          </cell>
          <cell r="AI474">
            <v>50</v>
          </cell>
        </row>
        <row r="475">
          <cell r="F475">
            <v>5900015008</v>
          </cell>
          <cell r="AI475">
            <v>100</v>
          </cell>
        </row>
        <row r="476">
          <cell r="F476">
            <v>5900015008</v>
          </cell>
          <cell r="AI476">
            <v>100</v>
          </cell>
        </row>
        <row r="477">
          <cell r="F477">
            <v>5900085060</v>
          </cell>
          <cell r="AI477">
            <v>50</v>
          </cell>
        </row>
        <row r="478">
          <cell r="F478">
            <v>5900109059</v>
          </cell>
          <cell r="AI478">
            <v>50</v>
          </cell>
        </row>
        <row r="479">
          <cell r="F479">
            <v>5961684122</v>
          </cell>
          <cell r="AI479">
            <v>100</v>
          </cell>
        </row>
        <row r="480">
          <cell r="F480">
            <v>5953125122</v>
          </cell>
          <cell r="AI480">
            <v>100</v>
          </cell>
        </row>
        <row r="481">
          <cell r="F481">
            <v>5900049098</v>
          </cell>
          <cell r="AI481">
            <v>50</v>
          </cell>
        </row>
        <row r="482">
          <cell r="F482">
            <v>5900350004</v>
          </cell>
          <cell r="AI482">
            <v>50</v>
          </cell>
        </row>
        <row r="483">
          <cell r="F483">
            <v>5944577073</v>
          </cell>
          <cell r="AI483">
            <v>100</v>
          </cell>
        </row>
        <row r="484">
          <cell r="F484">
            <v>5900198003</v>
          </cell>
          <cell r="AI484">
            <v>100</v>
          </cell>
        </row>
        <row r="485">
          <cell r="F485">
            <v>5900176003</v>
          </cell>
          <cell r="AI485">
            <v>200</v>
          </cell>
        </row>
        <row r="486">
          <cell r="F486">
            <v>5900435006</v>
          </cell>
          <cell r="AI486">
            <v>50</v>
          </cell>
        </row>
        <row r="487">
          <cell r="F487">
            <v>5900006032</v>
          </cell>
          <cell r="AI487">
            <v>100</v>
          </cell>
        </row>
        <row r="488">
          <cell r="F488">
            <v>5900082004</v>
          </cell>
          <cell r="AI488">
            <v>100</v>
          </cell>
        </row>
        <row r="489">
          <cell r="F489">
            <v>5946374003</v>
          </cell>
          <cell r="AI489">
            <v>100</v>
          </cell>
        </row>
        <row r="490">
          <cell r="F490">
            <v>5950589122</v>
          </cell>
          <cell r="AI490">
            <v>100</v>
          </cell>
        </row>
        <row r="491">
          <cell r="F491">
            <v>5961773122</v>
          </cell>
          <cell r="AI491">
            <v>100</v>
          </cell>
        </row>
        <row r="492">
          <cell r="F492">
            <v>5962028013</v>
          </cell>
          <cell r="AI492">
            <v>100</v>
          </cell>
        </row>
        <row r="493">
          <cell r="F493">
            <v>5949860003</v>
          </cell>
          <cell r="AI493">
            <v>100</v>
          </cell>
        </row>
        <row r="494">
          <cell r="F494">
            <v>5948601003</v>
          </cell>
          <cell r="AI494">
            <v>100</v>
          </cell>
        </row>
        <row r="495">
          <cell r="F495">
            <v>5948601003</v>
          </cell>
          <cell r="AI495">
            <v>100</v>
          </cell>
        </row>
        <row r="496">
          <cell r="F496">
            <v>5948602003</v>
          </cell>
          <cell r="AI496">
            <v>100</v>
          </cell>
        </row>
        <row r="497">
          <cell r="F497">
            <v>5948602003</v>
          </cell>
          <cell r="AI497">
            <v>100</v>
          </cell>
        </row>
        <row r="498">
          <cell r="F498">
            <v>5961843122</v>
          </cell>
          <cell r="AI498">
            <v>100</v>
          </cell>
        </row>
        <row r="499">
          <cell r="F499">
            <v>5950106122</v>
          </cell>
          <cell r="AI499">
            <v>100</v>
          </cell>
        </row>
        <row r="500">
          <cell r="F500">
            <v>5946862122</v>
          </cell>
          <cell r="AI500">
            <v>100</v>
          </cell>
        </row>
        <row r="501">
          <cell r="F501">
            <v>5962031013</v>
          </cell>
          <cell r="AI501">
            <v>100</v>
          </cell>
        </row>
        <row r="502">
          <cell r="F502">
            <v>5952243122</v>
          </cell>
          <cell r="AI502">
            <v>100</v>
          </cell>
        </row>
        <row r="503">
          <cell r="F503">
            <v>5952243122</v>
          </cell>
          <cell r="AI503">
            <v>100</v>
          </cell>
        </row>
        <row r="504">
          <cell r="F504">
            <v>5900044094</v>
          </cell>
          <cell r="AI504">
            <v>100</v>
          </cell>
        </row>
        <row r="505">
          <cell r="F505">
            <v>5900600004</v>
          </cell>
          <cell r="AI505">
            <v>200</v>
          </cell>
        </row>
        <row r="506">
          <cell r="F506">
            <v>5900600004</v>
          </cell>
          <cell r="AI506">
            <v>200</v>
          </cell>
        </row>
        <row r="507">
          <cell r="F507">
            <v>5901886003</v>
          </cell>
          <cell r="AI507">
            <v>100</v>
          </cell>
        </row>
        <row r="508">
          <cell r="F508">
            <v>5935581001</v>
          </cell>
          <cell r="AI508">
            <v>50</v>
          </cell>
        </row>
        <row r="509">
          <cell r="F509">
            <v>5935581001</v>
          </cell>
          <cell r="AI509">
            <v>50</v>
          </cell>
        </row>
        <row r="510">
          <cell r="F510">
            <v>5900056004</v>
          </cell>
          <cell r="AI510">
            <v>200</v>
          </cell>
        </row>
        <row r="511">
          <cell r="F511">
            <v>5900058098</v>
          </cell>
          <cell r="AI511">
            <v>50</v>
          </cell>
        </row>
        <row r="512">
          <cell r="F512">
            <v>5900058098</v>
          </cell>
          <cell r="AI512">
            <v>50</v>
          </cell>
        </row>
        <row r="513">
          <cell r="F513">
            <v>5922317001</v>
          </cell>
          <cell r="AI513">
            <v>100</v>
          </cell>
        </row>
        <row r="514">
          <cell r="F514">
            <v>5922317001</v>
          </cell>
          <cell r="AI514">
            <v>100</v>
          </cell>
        </row>
        <row r="515">
          <cell r="F515">
            <v>5945479122</v>
          </cell>
          <cell r="AI515">
            <v>100</v>
          </cell>
        </row>
        <row r="516">
          <cell r="F516">
            <v>5950742122</v>
          </cell>
          <cell r="AI516">
            <v>100</v>
          </cell>
        </row>
        <row r="517">
          <cell r="F517">
            <v>5900090122</v>
          </cell>
          <cell r="AI517">
            <v>100</v>
          </cell>
        </row>
        <row r="518">
          <cell r="F518">
            <v>5926763122</v>
          </cell>
          <cell r="AI518">
            <v>100</v>
          </cell>
        </row>
        <row r="519">
          <cell r="F519">
            <v>5907244122</v>
          </cell>
          <cell r="AI519">
            <v>200</v>
          </cell>
        </row>
        <row r="520">
          <cell r="F520">
            <v>5907244122</v>
          </cell>
          <cell r="AI520">
            <v>200</v>
          </cell>
        </row>
        <row r="521">
          <cell r="F521">
            <v>5900517071</v>
          </cell>
          <cell r="AI521">
            <v>50</v>
          </cell>
        </row>
        <row r="522">
          <cell r="F522">
            <v>5900871122</v>
          </cell>
          <cell r="AI522">
            <v>200</v>
          </cell>
        </row>
        <row r="523">
          <cell r="F523">
            <v>5924619052</v>
          </cell>
          <cell r="AI523">
            <v>150</v>
          </cell>
        </row>
        <row r="524">
          <cell r="F524">
            <v>5913314004</v>
          </cell>
          <cell r="AI524">
            <v>50</v>
          </cell>
        </row>
        <row r="525">
          <cell r="F525">
            <v>5913314004</v>
          </cell>
          <cell r="AI525">
            <v>50</v>
          </cell>
        </row>
        <row r="526">
          <cell r="F526">
            <v>5925552122</v>
          </cell>
          <cell r="AI526">
            <v>200</v>
          </cell>
        </row>
        <row r="527">
          <cell r="F527">
            <v>5923842001</v>
          </cell>
          <cell r="AI527">
            <v>200</v>
          </cell>
        </row>
        <row r="528">
          <cell r="F528">
            <v>5930902068</v>
          </cell>
          <cell r="AI528">
            <v>100</v>
          </cell>
        </row>
        <row r="529">
          <cell r="F529">
            <v>5928383081</v>
          </cell>
          <cell r="AI529">
            <v>50</v>
          </cell>
        </row>
        <row r="530">
          <cell r="F530">
            <v>5928383081</v>
          </cell>
          <cell r="AI530">
            <v>50</v>
          </cell>
        </row>
        <row r="531">
          <cell r="F531">
            <v>5900583028</v>
          </cell>
          <cell r="AI531">
            <v>100</v>
          </cell>
        </row>
        <row r="532">
          <cell r="F532">
            <v>5900372044</v>
          </cell>
          <cell r="AI532">
            <v>50</v>
          </cell>
        </row>
        <row r="533">
          <cell r="F533">
            <v>5900403122</v>
          </cell>
          <cell r="AI533">
            <v>200</v>
          </cell>
        </row>
        <row r="534">
          <cell r="F534">
            <v>5928379045</v>
          </cell>
          <cell r="AI534">
            <v>100</v>
          </cell>
        </row>
        <row r="535">
          <cell r="F535">
            <v>5900473122</v>
          </cell>
          <cell r="AI535">
            <v>200</v>
          </cell>
        </row>
        <row r="536">
          <cell r="F536">
            <v>5900208001</v>
          </cell>
          <cell r="AI536">
            <v>50</v>
          </cell>
        </row>
        <row r="537">
          <cell r="F537">
            <v>5900208001</v>
          </cell>
          <cell r="AI537">
            <v>50</v>
          </cell>
        </row>
        <row r="538">
          <cell r="F538">
            <v>5901069122</v>
          </cell>
          <cell r="AI538">
            <v>200</v>
          </cell>
        </row>
        <row r="539">
          <cell r="F539">
            <v>5901069122</v>
          </cell>
          <cell r="AI539">
            <v>200</v>
          </cell>
        </row>
        <row r="540">
          <cell r="F540">
            <v>5900043059</v>
          </cell>
          <cell r="AI540">
            <v>100</v>
          </cell>
        </row>
        <row r="541">
          <cell r="F541">
            <v>5900043059</v>
          </cell>
          <cell r="AI541">
            <v>100</v>
          </cell>
        </row>
        <row r="542">
          <cell r="F542">
            <v>5930542005</v>
          </cell>
          <cell r="AI542">
            <v>100</v>
          </cell>
        </row>
        <row r="543">
          <cell r="F543">
            <v>5900161013</v>
          </cell>
          <cell r="AI543">
            <v>50</v>
          </cell>
        </row>
        <row r="544">
          <cell r="F544">
            <v>5900161013</v>
          </cell>
          <cell r="AI544">
            <v>50</v>
          </cell>
        </row>
        <row r="545">
          <cell r="F545">
            <v>5901123038</v>
          </cell>
          <cell r="AI545">
            <v>100</v>
          </cell>
        </row>
        <row r="546">
          <cell r="F546">
            <v>5901123038</v>
          </cell>
          <cell r="AI546">
            <v>100</v>
          </cell>
        </row>
        <row r="547">
          <cell r="F547">
            <v>5922361122</v>
          </cell>
          <cell r="AI547">
            <v>200</v>
          </cell>
        </row>
        <row r="548">
          <cell r="F548">
            <v>5900594017</v>
          </cell>
          <cell r="AI548">
            <v>50</v>
          </cell>
        </row>
        <row r="549">
          <cell r="F549">
            <v>5900438097</v>
          </cell>
          <cell r="AI549">
            <v>200</v>
          </cell>
        </row>
        <row r="550">
          <cell r="F550">
            <v>5907243122</v>
          </cell>
          <cell r="AI550">
            <v>100</v>
          </cell>
        </row>
        <row r="551">
          <cell r="F551">
            <v>5903718004</v>
          </cell>
          <cell r="AI551">
            <v>100</v>
          </cell>
        </row>
        <row r="552">
          <cell r="F552">
            <v>5901182004</v>
          </cell>
          <cell r="AI552">
            <v>200</v>
          </cell>
        </row>
        <row r="553">
          <cell r="F553">
            <v>5901181004</v>
          </cell>
          <cell r="AI553">
            <v>100</v>
          </cell>
        </row>
        <row r="554">
          <cell r="F554">
            <v>5900858014</v>
          </cell>
          <cell r="AI554">
            <v>50</v>
          </cell>
        </row>
        <row r="555">
          <cell r="F555">
            <v>5904575271</v>
          </cell>
          <cell r="AI555">
            <v>200</v>
          </cell>
        </row>
        <row r="556">
          <cell r="F556">
            <v>5904575271</v>
          </cell>
          <cell r="AI556">
            <v>200</v>
          </cell>
        </row>
        <row r="557">
          <cell r="F557">
            <v>5913313004</v>
          </cell>
          <cell r="AI557">
            <v>50</v>
          </cell>
        </row>
        <row r="558">
          <cell r="F558">
            <v>5900119013</v>
          </cell>
          <cell r="AI558">
            <v>50</v>
          </cell>
        </row>
        <row r="559">
          <cell r="F559">
            <v>5900990014</v>
          </cell>
          <cell r="AI559">
            <v>100</v>
          </cell>
        </row>
        <row r="560">
          <cell r="F560">
            <v>5938754023</v>
          </cell>
          <cell r="AI560">
            <v>100</v>
          </cell>
        </row>
        <row r="561">
          <cell r="F561">
            <v>5900115009</v>
          </cell>
          <cell r="AI561">
            <v>50</v>
          </cell>
        </row>
        <row r="562">
          <cell r="F562">
            <v>5900126068</v>
          </cell>
          <cell r="AI562">
            <v>50</v>
          </cell>
        </row>
        <row r="563">
          <cell r="F563">
            <v>5900293123</v>
          </cell>
          <cell r="AI563">
            <v>200</v>
          </cell>
        </row>
        <row r="564">
          <cell r="F564">
            <v>5900383004</v>
          </cell>
          <cell r="AI564">
            <v>100</v>
          </cell>
        </row>
        <row r="565">
          <cell r="F565">
            <v>5924849004</v>
          </cell>
          <cell r="AI565">
            <v>100</v>
          </cell>
        </row>
        <row r="566">
          <cell r="F566">
            <v>5924849004</v>
          </cell>
          <cell r="AI566">
            <v>100</v>
          </cell>
        </row>
        <row r="567">
          <cell r="F567">
            <v>5924849004</v>
          </cell>
          <cell r="AI567">
            <v>100</v>
          </cell>
        </row>
        <row r="568">
          <cell r="F568">
            <v>5951643122</v>
          </cell>
          <cell r="AI568">
            <v>100</v>
          </cell>
        </row>
        <row r="569">
          <cell r="F569">
            <v>5900067033</v>
          </cell>
          <cell r="AI569">
            <v>100</v>
          </cell>
        </row>
        <row r="570">
          <cell r="F570">
            <v>5952202122</v>
          </cell>
          <cell r="AI570">
            <v>100</v>
          </cell>
        </row>
        <row r="571">
          <cell r="F571">
            <v>5946472071</v>
          </cell>
          <cell r="AI571">
            <v>100</v>
          </cell>
        </row>
        <row r="572">
          <cell r="F572">
            <v>5946863122</v>
          </cell>
          <cell r="AI572">
            <v>100</v>
          </cell>
        </row>
        <row r="573">
          <cell r="F573">
            <v>5900358003</v>
          </cell>
          <cell r="AI573">
            <v>200</v>
          </cell>
        </row>
        <row r="574">
          <cell r="F574">
            <v>5935743193</v>
          </cell>
          <cell r="AI574">
            <v>100</v>
          </cell>
        </row>
        <row r="575">
          <cell r="F575">
            <v>5900475003</v>
          </cell>
          <cell r="AI575">
            <v>100</v>
          </cell>
        </row>
        <row r="576">
          <cell r="F576">
            <v>5900475003</v>
          </cell>
          <cell r="AI576">
            <v>100</v>
          </cell>
        </row>
        <row r="577">
          <cell r="F577">
            <v>5962091013</v>
          </cell>
          <cell r="AI577">
            <v>100</v>
          </cell>
        </row>
        <row r="578">
          <cell r="F578">
            <v>5900033003</v>
          </cell>
          <cell r="AI578">
            <v>100</v>
          </cell>
        </row>
        <row r="579">
          <cell r="F579">
            <v>5966876004</v>
          </cell>
          <cell r="AI579">
            <v>200</v>
          </cell>
        </row>
        <row r="580">
          <cell r="F580">
            <v>5964322122</v>
          </cell>
          <cell r="AI580">
            <v>100</v>
          </cell>
        </row>
        <row r="581">
          <cell r="F581">
            <v>5961616059</v>
          </cell>
          <cell r="AI581">
            <v>100</v>
          </cell>
        </row>
        <row r="582">
          <cell r="F582">
            <v>5900073015</v>
          </cell>
          <cell r="AI582">
            <v>50</v>
          </cell>
        </row>
        <row r="583">
          <cell r="F583">
            <v>5900489122</v>
          </cell>
          <cell r="AI583">
            <v>300</v>
          </cell>
        </row>
        <row r="584">
          <cell r="F584">
            <v>5953280122</v>
          </cell>
          <cell r="AI584">
            <v>100</v>
          </cell>
        </row>
        <row r="585">
          <cell r="F585">
            <v>5900350004</v>
          </cell>
          <cell r="AI585">
            <v>50</v>
          </cell>
        </row>
        <row r="586">
          <cell r="F586">
            <v>5945112047</v>
          </cell>
          <cell r="AI586">
            <v>100</v>
          </cell>
        </row>
        <row r="587">
          <cell r="F587">
            <v>5945112047</v>
          </cell>
          <cell r="AI587">
            <v>100</v>
          </cell>
        </row>
        <row r="588">
          <cell r="F588">
            <v>5945104047</v>
          </cell>
          <cell r="AI588">
            <v>100</v>
          </cell>
        </row>
        <row r="589">
          <cell r="F589">
            <v>5944577073</v>
          </cell>
          <cell r="AI589">
            <v>100</v>
          </cell>
        </row>
        <row r="590">
          <cell r="F590">
            <v>5900198003</v>
          </cell>
          <cell r="AI590">
            <v>100</v>
          </cell>
        </row>
        <row r="591">
          <cell r="F591">
            <v>5900435006</v>
          </cell>
          <cell r="AI591">
            <v>50</v>
          </cell>
        </row>
        <row r="592">
          <cell r="F592">
            <v>5900062007</v>
          </cell>
          <cell r="AI592">
            <v>100</v>
          </cell>
        </row>
        <row r="593">
          <cell r="F593">
            <v>5950589122</v>
          </cell>
          <cell r="AI593">
            <v>100</v>
          </cell>
        </row>
        <row r="594">
          <cell r="F594">
            <v>5952327122</v>
          </cell>
          <cell r="AI594">
            <v>100</v>
          </cell>
        </row>
        <row r="595">
          <cell r="F595">
            <v>5951784013</v>
          </cell>
          <cell r="AI595">
            <v>100</v>
          </cell>
        </row>
        <row r="596">
          <cell r="F596">
            <v>5900027065</v>
          </cell>
          <cell r="AI596">
            <v>100</v>
          </cell>
        </row>
        <row r="597">
          <cell r="F597">
            <v>5935649122</v>
          </cell>
          <cell r="AI597">
            <v>45</v>
          </cell>
        </row>
        <row r="598">
          <cell r="F598">
            <v>5900044094</v>
          </cell>
          <cell r="AI598">
            <v>100</v>
          </cell>
        </row>
        <row r="599">
          <cell r="F599">
            <v>5941534122</v>
          </cell>
          <cell r="AI599">
            <v>100</v>
          </cell>
        </row>
        <row r="600">
          <cell r="F600">
            <v>5935581001</v>
          </cell>
          <cell r="AI600">
            <v>50</v>
          </cell>
        </row>
        <row r="601">
          <cell r="F601">
            <v>5900056004</v>
          </cell>
          <cell r="AI601">
            <v>200</v>
          </cell>
        </row>
        <row r="602">
          <cell r="F602">
            <v>5936329013</v>
          </cell>
          <cell r="AI602">
            <v>100</v>
          </cell>
        </row>
        <row r="603">
          <cell r="F603">
            <v>5900014038</v>
          </cell>
          <cell r="AI603">
            <v>50</v>
          </cell>
        </row>
        <row r="604">
          <cell r="F604">
            <v>5930560028</v>
          </cell>
          <cell r="AI604">
            <v>50</v>
          </cell>
        </row>
        <row r="605">
          <cell r="F605">
            <v>5900037037</v>
          </cell>
          <cell r="AI605">
            <v>50</v>
          </cell>
        </row>
        <row r="606">
          <cell r="F606">
            <v>5945479122</v>
          </cell>
          <cell r="AI606">
            <v>100</v>
          </cell>
        </row>
        <row r="607">
          <cell r="F607">
            <v>5944211122</v>
          </cell>
          <cell r="AI607">
            <v>100</v>
          </cell>
        </row>
        <row r="608">
          <cell r="F608">
            <v>5950742122</v>
          </cell>
          <cell r="AI608">
            <v>100</v>
          </cell>
        </row>
        <row r="609">
          <cell r="F609">
            <v>5900143001</v>
          </cell>
          <cell r="AI609">
            <v>100</v>
          </cell>
        </row>
        <row r="610">
          <cell r="F610">
            <v>5900143001</v>
          </cell>
          <cell r="AI610">
            <v>50</v>
          </cell>
        </row>
        <row r="611">
          <cell r="F611">
            <v>5900090122</v>
          </cell>
          <cell r="AI611">
            <v>100</v>
          </cell>
        </row>
        <row r="612">
          <cell r="F612">
            <v>5900074020</v>
          </cell>
          <cell r="AI612">
            <v>50</v>
          </cell>
        </row>
        <row r="613">
          <cell r="F613">
            <v>5923670090</v>
          </cell>
          <cell r="AI613">
            <v>50</v>
          </cell>
        </row>
        <row r="614">
          <cell r="F614">
            <v>5923842001</v>
          </cell>
          <cell r="AI614">
            <v>200</v>
          </cell>
        </row>
        <row r="615">
          <cell r="F615">
            <v>5930902068</v>
          </cell>
          <cell r="AI615">
            <v>100</v>
          </cell>
        </row>
        <row r="616">
          <cell r="F616">
            <v>5928383081</v>
          </cell>
          <cell r="AI616">
            <v>50</v>
          </cell>
        </row>
        <row r="617">
          <cell r="F617">
            <v>5925237001</v>
          </cell>
          <cell r="AI617">
            <v>100</v>
          </cell>
        </row>
        <row r="618">
          <cell r="F618">
            <v>5925237001</v>
          </cell>
          <cell r="AI618">
            <v>50</v>
          </cell>
        </row>
        <row r="619">
          <cell r="F619">
            <v>5900372044</v>
          </cell>
          <cell r="AI619">
            <v>50</v>
          </cell>
        </row>
        <row r="620">
          <cell r="F620">
            <v>5900372044</v>
          </cell>
          <cell r="AI620">
            <v>50</v>
          </cell>
        </row>
        <row r="621">
          <cell r="F621">
            <v>5900403122</v>
          </cell>
          <cell r="AI621">
            <v>200</v>
          </cell>
        </row>
        <row r="622">
          <cell r="F622">
            <v>5900403122</v>
          </cell>
          <cell r="AI622">
            <v>200</v>
          </cell>
        </row>
        <row r="623">
          <cell r="F623">
            <v>5901589122</v>
          </cell>
          <cell r="AI623">
            <v>50</v>
          </cell>
        </row>
        <row r="624">
          <cell r="F624">
            <v>5900473122</v>
          </cell>
          <cell r="AI624">
            <v>200</v>
          </cell>
        </row>
        <row r="625">
          <cell r="F625">
            <v>5904192001</v>
          </cell>
          <cell r="AI625">
            <v>50</v>
          </cell>
        </row>
        <row r="626">
          <cell r="F626">
            <v>5925121016</v>
          </cell>
          <cell r="AI626">
            <v>50</v>
          </cell>
        </row>
        <row r="627">
          <cell r="F627">
            <v>5900357078</v>
          </cell>
          <cell r="AI627">
            <v>100</v>
          </cell>
        </row>
        <row r="628">
          <cell r="F628">
            <v>5901069122</v>
          </cell>
          <cell r="AI628">
            <v>200</v>
          </cell>
        </row>
        <row r="629">
          <cell r="F629">
            <v>5900828030</v>
          </cell>
          <cell r="AI629">
            <v>100</v>
          </cell>
        </row>
        <row r="630">
          <cell r="F630">
            <v>5901123038</v>
          </cell>
          <cell r="AI630">
            <v>100</v>
          </cell>
        </row>
        <row r="631">
          <cell r="F631">
            <v>5922361122</v>
          </cell>
          <cell r="AI631">
            <v>200</v>
          </cell>
        </row>
        <row r="632">
          <cell r="F632">
            <v>5922361122</v>
          </cell>
          <cell r="AI632">
            <v>200</v>
          </cell>
        </row>
        <row r="633">
          <cell r="F633">
            <v>5903718004</v>
          </cell>
          <cell r="AI633">
            <v>100</v>
          </cell>
        </row>
        <row r="634">
          <cell r="F634">
            <v>5900858014</v>
          </cell>
          <cell r="AI634">
            <v>50</v>
          </cell>
        </row>
        <row r="635">
          <cell r="F635">
            <v>5902588003</v>
          </cell>
          <cell r="AI635">
            <v>100</v>
          </cell>
        </row>
        <row r="636">
          <cell r="F636">
            <v>5900113039</v>
          </cell>
          <cell r="AI636">
            <v>100</v>
          </cell>
        </row>
        <row r="637">
          <cell r="F637">
            <v>5900383004</v>
          </cell>
          <cell r="AI637">
            <v>100</v>
          </cell>
        </row>
        <row r="638">
          <cell r="F638">
            <v>5924849004</v>
          </cell>
          <cell r="AI638">
            <v>100</v>
          </cell>
        </row>
        <row r="639">
          <cell r="F639">
            <v>5902875004</v>
          </cell>
          <cell r="AI639">
            <v>50</v>
          </cell>
        </row>
        <row r="640">
          <cell r="F640">
            <v>5946863122</v>
          </cell>
          <cell r="AI640">
            <v>100</v>
          </cell>
        </row>
        <row r="641">
          <cell r="F641">
            <v>5946863122</v>
          </cell>
          <cell r="AI641">
            <v>100</v>
          </cell>
        </row>
        <row r="642">
          <cell r="F642">
            <v>5900038047</v>
          </cell>
          <cell r="AI642">
            <v>450</v>
          </cell>
        </row>
        <row r="643">
          <cell r="F643">
            <v>5900083002</v>
          </cell>
          <cell r="AI643">
            <v>100</v>
          </cell>
        </row>
        <row r="644">
          <cell r="F644">
            <v>5900470004</v>
          </cell>
          <cell r="AI644">
            <v>200</v>
          </cell>
        </row>
        <row r="645">
          <cell r="F645">
            <v>5900129052</v>
          </cell>
          <cell r="AI645">
            <v>100</v>
          </cell>
        </row>
        <row r="646">
          <cell r="F646">
            <v>5952201122</v>
          </cell>
          <cell r="AI646">
            <v>100</v>
          </cell>
        </row>
        <row r="647">
          <cell r="F647">
            <v>5961419001</v>
          </cell>
          <cell r="AI647">
            <v>100</v>
          </cell>
        </row>
        <row r="648">
          <cell r="F648">
            <v>5900073015</v>
          </cell>
          <cell r="AI648">
            <v>50</v>
          </cell>
        </row>
        <row r="649">
          <cell r="F649">
            <v>5900489122</v>
          </cell>
          <cell r="AI649">
            <v>300</v>
          </cell>
        </row>
        <row r="650">
          <cell r="F650">
            <v>5923490003</v>
          </cell>
          <cell r="AI650">
            <v>50</v>
          </cell>
        </row>
        <row r="651">
          <cell r="F651">
            <v>5900015008</v>
          </cell>
          <cell r="AI651">
            <v>100</v>
          </cell>
        </row>
        <row r="652">
          <cell r="F652">
            <v>5961684122</v>
          </cell>
          <cell r="AI652">
            <v>100</v>
          </cell>
        </row>
        <row r="653">
          <cell r="F653">
            <v>5961804122</v>
          </cell>
          <cell r="AI653">
            <v>100</v>
          </cell>
        </row>
        <row r="654">
          <cell r="F654">
            <v>5953125122</v>
          </cell>
          <cell r="AI654">
            <v>100</v>
          </cell>
        </row>
        <row r="655">
          <cell r="F655">
            <v>5900220023</v>
          </cell>
          <cell r="AI655">
            <v>100</v>
          </cell>
        </row>
        <row r="656">
          <cell r="F656">
            <v>5948168002</v>
          </cell>
          <cell r="AI656">
            <v>100</v>
          </cell>
        </row>
        <row r="657">
          <cell r="F657">
            <v>5945105036</v>
          </cell>
          <cell r="AI657">
            <v>100</v>
          </cell>
        </row>
        <row r="658">
          <cell r="F658">
            <v>5952328122</v>
          </cell>
          <cell r="AI658">
            <v>100</v>
          </cell>
        </row>
        <row r="659">
          <cell r="F659">
            <v>5952248122</v>
          </cell>
          <cell r="AI659">
            <v>100</v>
          </cell>
        </row>
        <row r="660">
          <cell r="F660">
            <v>5900425097</v>
          </cell>
          <cell r="AI660">
            <v>100</v>
          </cell>
        </row>
        <row r="661">
          <cell r="F661">
            <v>5950588122</v>
          </cell>
          <cell r="AI661">
            <v>100</v>
          </cell>
        </row>
        <row r="662">
          <cell r="F662">
            <v>5900435006</v>
          </cell>
          <cell r="AI662">
            <v>50</v>
          </cell>
        </row>
        <row r="663">
          <cell r="F663">
            <v>5900062007</v>
          </cell>
          <cell r="AI663">
            <v>100</v>
          </cell>
        </row>
        <row r="664">
          <cell r="F664">
            <v>5950589122</v>
          </cell>
          <cell r="AI664">
            <v>100</v>
          </cell>
        </row>
        <row r="665">
          <cell r="F665">
            <v>5950081122</v>
          </cell>
          <cell r="AI665">
            <v>100</v>
          </cell>
        </row>
        <row r="666">
          <cell r="F666">
            <v>5946862122</v>
          </cell>
          <cell r="AI666">
            <v>100</v>
          </cell>
        </row>
        <row r="667">
          <cell r="F667">
            <v>5946473071</v>
          </cell>
          <cell r="AI667">
            <v>200</v>
          </cell>
        </row>
        <row r="668">
          <cell r="F668">
            <v>5946473071</v>
          </cell>
          <cell r="AI668">
            <v>200</v>
          </cell>
        </row>
        <row r="669">
          <cell r="F669">
            <v>5947960001</v>
          </cell>
          <cell r="AI669">
            <v>100</v>
          </cell>
        </row>
        <row r="670">
          <cell r="F670">
            <v>5951784013</v>
          </cell>
          <cell r="AI670">
            <v>100</v>
          </cell>
        </row>
        <row r="671">
          <cell r="F671">
            <v>5953586122</v>
          </cell>
          <cell r="AI671">
            <v>100</v>
          </cell>
        </row>
        <row r="672">
          <cell r="F672">
            <v>5953586122</v>
          </cell>
          <cell r="AI672">
            <v>100</v>
          </cell>
        </row>
        <row r="673">
          <cell r="F673">
            <v>5968209013</v>
          </cell>
          <cell r="AI673">
            <v>100</v>
          </cell>
        </row>
        <row r="674">
          <cell r="F674">
            <v>5952243122</v>
          </cell>
          <cell r="AI674">
            <v>100</v>
          </cell>
        </row>
        <row r="675">
          <cell r="F675">
            <v>5952242122</v>
          </cell>
          <cell r="AI675">
            <v>100</v>
          </cell>
        </row>
        <row r="676">
          <cell r="F676">
            <v>5900038039</v>
          </cell>
          <cell r="AI676">
            <v>100</v>
          </cell>
        </row>
        <row r="677">
          <cell r="F677">
            <v>5900038039</v>
          </cell>
          <cell r="AI677">
            <v>50</v>
          </cell>
        </row>
        <row r="678">
          <cell r="F678">
            <v>5927008122</v>
          </cell>
          <cell r="AI678">
            <v>200</v>
          </cell>
        </row>
        <row r="679">
          <cell r="F679">
            <v>5900364003</v>
          </cell>
          <cell r="AI679">
            <v>100</v>
          </cell>
        </row>
        <row r="680">
          <cell r="F680">
            <v>5900014038</v>
          </cell>
          <cell r="AI680">
            <v>50</v>
          </cell>
        </row>
        <row r="681">
          <cell r="F681">
            <v>5930560028</v>
          </cell>
          <cell r="AI681">
            <v>50</v>
          </cell>
        </row>
        <row r="682">
          <cell r="F682">
            <v>5900785076</v>
          </cell>
          <cell r="AI682">
            <v>50</v>
          </cell>
        </row>
        <row r="683">
          <cell r="F683">
            <v>5900037037</v>
          </cell>
          <cell r="AI683">
            <v>50</v>
          </cell>
        </row>
        <row r="684">
          <cell r="F684">
            <v>5955192004</v>
          </cell>
          <cell r="AI684">
            <v>100</v>
          </cell>
        </row>
        <row r="685">
          <cell r="F685">
            <v>5950346122</v>
          </cell>
          <cell r="AI685">
            <v>100</v>
          </cell>
        </row>
        <row r="686">
          <cell r="F686">
            <v>5946101122</v>
          </cell>
          <cell r="AI686">
            <v>100</v>
          </cell>
        </row>
        <row r="687">
          <cell r="F687">
            <v>5944211122</v>
          </cell>
          <cell r="AI687">
            <v>100</v>
          </cell>
        </row>
        <row r="688">
          <cell r="F688">
            <v>5944211122</v>
          </cell>
          <cell r="AI688">
            <v>100</v>
          </cell>
        </row>
        <row r="689">
          <cell r="F689">
            <v>5950742122</v>
          </cell>
          <cell r="AI689">
            <v>100</v>
          </cell>
        </row>
        <row r="690">
          <cell r="F690">
            <v>5948003122</v>
          </cell>
          <cell r="AI690">
            <v>100</v>
          </cell>
        </row>
        <row r="691">
          <cell r="F691">
            <v>5900587003</v>
          </cell>
          <cell r="AI691">
            <v>100</v>
          </cell>
        </row>
        <row r="692">
          <cell r="F692">
            <v>5931168013</v>
          </cell>
          <cell r="AI692">
            <v>200</v>
          </cell>
        </row>
        <row r="693">
          <cell r="F693">
            <v>5931168013</v>
          </cell>
          <cell r="AI693">
            <v>100</v>
          </cell>
        </row>
        <row r="694">
          <cell r="F694">
            <v>5904193001</v>
          </cell>
          <cell r="AI694">
            <v>50</v>
          </cell>
        </row>
        <row r="695">
          <cell r="F695">
            <v>5900143001</v>
          </cell>
          <cell r="AI695">
            <v>50</v>
          </cell>
        </row>
        <row r="696">
          <cell r="F696">
            <v>5922328001</v>
          </cell>
          <cell r="AI696">
            <v>200</v>
          </cell>
        </row>
        <row r="697">
          <cell r="F697">
            <v>5901890060</v>
          </cell>
          <cell r="AI697">
            <v>100</v>
          </cell>
        </row>
        <row r="698">
          <cell r="F698">
            <v>5901890060</v>
          </cell>
          <cell r="AI698">
            <v>200</v>
          </cell>
        </row>
        <row r="699">
          <cell r="F699">
            <v>5900517071</v>
          </cell>
          <cell r="AI699">
            <v>50</v>
          </cell>
        </row>
        <row r="700">
          <cell r="F700">
            <v>5924619052</v>
          </cell>
          <cell r="AI700">
            <v>150</v>
          </cell>
        </row>
        <row r="701">
          <cell r="F701">
            <v>5925556122</v>
          </cell>
          <cell r="AI701">
            <v>100</v>
          </cell>
        </row>
        <row r="702">
          <cell r="F702">
            <v>5913315004</v>
          </cell>
          <cell r="AI702">
            <v>50</v>
          </cell>
        </row>
        <row r="703">
          <cell r="F703">
            <v>5925237001</v>
          </cell>
          <cell r="AI703">
            <v>100</v>
          </cell>
        </row>
        <row r="704">
          <cell r="F704">
            <v>5900583028</v>
          </cell>
          <cell r="AI704">
            <v>100</v>
          </cell>
        </row>
        <row r="705">
          <cell r="F705">
            <v>5900583028</v>
          </cell>
          <cell r="AI705">
            <v>100</v>
          </cell>
        </row>
        <row r="706">
          <cell r="F706">
            <v>5922329001</v>
          </cell>
          <cell r="AI706">
            <v>200</v>
          </cell>
        </row>
        <row r="707">
          <cell r="F707">
            <v>5922329001</v>
          </cell>
          <cell r="AI707">
            <v>200</v>
          </cell>
        </row>
        <row r="708">
          <cell r="F708">
            <v>5900357078</v>
          </cell>
          <cell r="AI708">
            <v>100</v>
          </cell>
        </row>
        <row r="709">
          <cell r="F709">
            <v>5900357078</v>
          </cell>
          <cell r="AI709">
            <v>100</v>
          </cell>
        </row>
        <row r="710">
          <cell r="F710">
            <v>5900524136</v>
          </cell>
          <cell r="AI710">
            <v>100</v>
          </cell>
        </row>
        <row r="711">
          <cell r="F711">
            <v>5926799122</v>
          </cell>
          <cell r="AI711">
            <v>100</v>
          </cell>
        </row>
        <row r="712">
          <cell r="F712">
            <v>5900407025</v>
          </cell>
          <cell r="AI712">
            <v>50</v>
          </cell>
        </row>
        <row r="713">
          <cell r="F713">
            <v>5900066013</v>
          </cell>
          <cell r="AI713">
            <v>50</v>
          </cell>
        </row>
        <row r="714">
          <cell r="F714">
            <v>5905232100</v>
          </cell>
          <cell r="AI714">
            <v>50</v>
          </cell>
        </row>
        <row r="715">
          <cell r="F715">
            <v>5901123038</v>
          </cell>
          <cell r="AI715">
            <v>100</v>
          </cell>
        </row>
        <row r="716">
          <cell r="F716">
            <v>5900438097</v>
          </cell>
          <cell r="AI716">
            <v>200</v>
          </cell>
        </row>
        <row r="717">
          <cell r="F717">
            <v>5907243122</v>
          </cell>
          <cell r="AI717">
            <v>100</v>
          </cell>
        </row>
        <row r="718">
          <cell r="F718">
            <v>5920693073</v>
          </cell>
          <cell r="AI718">
            <v>100</v>
          </cell>
        </row>
        <row r="719">
          <cell r="F719">
            <v>5902839004</v>
          </cell>
          <cell r="AI719">
            <v>100</v>
          </cell>
        </row>
        <row r="720">
          <cell r="F720">
            <v>5901003014</v>
          </cell>
          <cell r="AI720">
            <v>100</v>
          </cell>
        </row>
        <row r="721">
          <cell r="F721">
            <v>5938754023</v>
          </cell>
          <cell r="AI721">
            <v>100</v>
          </cell>
        </row>
        <row r="722">
          <cell r="F722">
            <v>5938754023</v>
          </cell>
          <cell r="AI722">
            <v>100</v>
          </cell>
        </row>
        <row r="723">
          <cell r="F723">
            <v>5921041034</v>
          </cell>
          <cell r="AI723">
            <v>50</v>
          </cell>
        </row>
        <row r="724">
          <cell r="F724">
            <v>5921041034</v>
          </cell>
          <cell r="AI724">
            <v>50</v>
          </cell>
        </row>
        <row r="725">
          <cell r="F725">
            <v>5900293123</v>
          </cell>
          <cell r="AI725">
            <v>200</v>
          </cell>
        </row>
        <row r="726">
          <cell r="F726">
            <v>5952342122</v>
          </cell>
          <cell r="AI726">
            <v>100</v>
          </cell>
        </row>
        <row r="727">
          <cell r="F727">
            <v>5951643122</v>
          </cell>
          <cell r="AI727">
            <v>100</v>
          </cell>
        </row>
        <row r="728">
          <cell r="F728">
            <v>5962091013</v>
          </cell>
          <cell r="AI728">
            <v>100</v>
          </cell>
        </row>
        <row r="729">
          <cell r="F729">
            <v>590022202</v>
          </cell>
          <cell r="AI729">
            <v>100</v>
          </cell>
        </row>
        <row r="730">
          <cell r="F730">
            <v>5900085007</v>
          </cell>
          <cell r="AI730">
            <v>50</v>
          </cell>
        </row>
        <row r="731">
          <cell r="F731">
            <v>5900033003</v>
          </cell>
          <cell r="AI731">
            <v>100</v>
          </cell>
        </row>
        <row r="732">
          <cell r="F732">
            <v>5900129052</v>
          </cell>
          <cell r="AI732">
            <v>100</v>
          </cell>
        </row>
        <row r="733">
          <cell r="F733">
            <v>5952201122</v>
          </cell>
          <cell r="AI733">
            <v>100</v>
          </cell>
        </row>
        <row r="734">
          <cell r="F734">
            <v>5966868004</v>
          </cell>
          <cell r="AI734">
            <v>100</v>
          </cell>
        </row>
        <row r="735">
          <cell r="F735">
            <v>5966822004</v>
          </cell>
          <cell r="AI735">
            <v>100</v>
          </cell>
        </row>
        <row r="736">
          <cell r="F736">
            <v>5959040122</v>
          </cell>
          <cell r="AI736">
            <v>100</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680E-139F-4375-89C5-87183F3A680A}">
  <dimension ref="A1:K132"/>
  <sheetViews>
    <sheetView tabSelected="1" topLeftCell="C1" zoomScale="85" zoomScaleNormal="85" workbookViewId="0">
      <selection activeCell="G4" sqref="G4"/>
    </sheetView>
  </sheetViews>
  <sheetFormatPr defaultRowHeight="15" x14ac:dyDescent="0.25"/>
  <cols>
    <col min="1" max="1" width="22.140625" style="1" bestFit="1" customWidth="1"/>
    <col min="2" max="2" width="9.140625" style="1"/>
    <col min="3" max="3" width="255.7109375" style="1" bestFit="1" customWidth="1"/>
    <col min="4" max="4" width="18.85546875" style="1" bestFit="1" customWidth="1"/>
    <col min="5" max="5" width="15.28515625" style="1" bestFit="1" customWidth="1"/>
    <col min="6" max="6" width="13.5703125" style="1" bestFit="1" customWidth="1"/>
    <col min="7" max="7" width="14.42578125" style="2" bestFit="1" customWidth="1"/>
    <col min="8" max="8" width="9.140625" style="1"/>
    <col min="9" max="9" width="22.7109375" style="1" bestFit="1" customWidth="1"/>
    <col min="10" max="10" width="9.140625" style="1"/>
    <col min="11" max="11" width="14.42578125" style="3" bestFit="1" customWidth="1"/>
    <col min="12" max="16384" width="9.140625" style="1"/>
  </cols>
  <sheetData>
    <row r="1" spans="1:11" ht="15" customHeight="1" x14ac:dyDescent="0.25">
      <c r="A1" s="1" t="s">
        <v>0</v>
      </c>
      <c r="B1" s="1" t="s">
        <v>1</v>
      </c>
      <c r="C1" s="1" t="s">
        <v>2</v>
      </c>
      <c r="D1" s="1" t="s">
        <v>3</v>
      </c>
      <c r="E1" s="1" t="s">
        <v>4</v>
      </c>
      <c r="F1" s="1" t="s">
        <v>5</v>
      </c>
      <c r="G1" s="2" t="s">
        <v>6</v>
      </c>
      <c r="H1" s="1" t="s">
        <v>7</v>
      </c>
      <c r="I1" s="1" t="s">
        <v>8</v>
      </c>
      <c r="J1" s="1" t="s">
        <v>9</v>
      </c>
      <c r="K1" s="6" t="s">
        <v>10</v>
      </c>
    </row>
    <row r="2" spans="1:11" x14ac:dyDescent="0.25">
      <c r="A2" s="1" t="s">
        <v>11</v>
      </c>
      <c r="B2" s="1" t="s">
        <v>12</v>
      </c>
      <c r="C2" s="1" t="s">
        <v>13</v>
      </c>
      <c r="D2" s="1" t="s">
        <v>14</v>
      </c>
      <c r="E2" s="1" t="s">
        <v>15</v>
      </c>
      <c r="F2" s="1" t="s">
        <v>16</v>
      </c>
      <c r="G2" s="2" t="s">
        <v>17</v>
      </c>
      <c r="H2" s="1" cm="1">
        <f t="array" ref="H2">_xlfn.XLOOKUP(_xlfn.NUMBERVALUE(G2),_xlfn.NUMBERVALUE([1]FIS_ETO_2026_07_E_CAPACITORES_I!$F:$F),_xlfn.NUMBERVALUE([1]FIS_ETO_2026_07_E_CAPACITORES_I!$AI:$AI))</f>
        <v>50</v>
      </c>
      <c r="I2" s="1" t="s">
        <v>18</v>
      </c>
      <c r="J2" s="1">
        <v>2</v>
      </c>
      <c r="K2" s="3">
        <v>6169</v>
      </c>
    </row>
    <row r="3" spans="1:11" x14ac:dyDescent="0.25">
      <c r="A3" s="1" t="s">
        <v>19</v>
      </c>
      <c r="B3" s="1" t="s">
        <v>12</v>
      </c>
      <c r="C3" s="1" t="s">
        <v>20</v>
      </c>
      <c r="D3" s="1" t="s">
        <v>21</v>
      </c>
      <c r="E3" s="1" t="s">
        <v>22</v>
      </c>
      <c r="F3" s="1" t="s">
        <v>23</v>
      </c>
      <c r="G3" s="2" t="s">
        <v>24</v>
      </c>
      <c r="H3" s="1" cm="1">
        <f t="array" ref="H3">_xlfn.XLOOKUP(_xlfn.NUMBERVALUE(G3),_xlfn.NUMBERVALUE([1]FIS_ETO_2026_07_E_CAPACITORES_I!$F:$F),_xlfn.NUMBERVALUE([1]FIS_ETO_2026_07_E_CAPACITORES_I!$AI:$AI))</f>
        <v>50</v>
      </c>
      <c r="I3" s="1" t="s">
        <v>18</v>
      </c>
      <c r="J3" s="1">
        <v>2</v>
      </c>
      <c r="K3" s="3">
        <v>6169</v>
      </c>
    </row>
    <row r="4" spans="1:11" x14ac:dyDescent="0.25">
      <c r="A4" s="1" t="s">
        <v>25</v>
      </c>
      <c r="B4" s="1" t="s">
        <v>26</v>
      </c>
      <c r="C4" s="1" t="s">
        <v>27</v>
      </c>
      <c r="D4" s="1" t="s">
        <v>28</v>
      </c>
      <c r="E4" s="1" t="s">
        <v>29</v>
      </c>
      <c r="F4" s="1" t="s">
        <v>30</v>
      </c>
      <c r="G4" s="2" t="s">
        <v>31</v>
      </c>
      <c r="H4" s="1" cm="1">
        <f t="array" ref="H4">_xlfn.XLOOKUP(_xlfn.NUMBERVALUE(G4),_xlfn.NUMBERVALUE([1]FIS_ETO_2026_07_E_CAPACITORES_I!$F:$F),_xlfn.NUMBERVALUE([1]FIS_ETO_2026_07_E_CAPACITORES_I!$AI:$AI))</f>
        <v>50</v>
      </c>
      <c r="I4" s="1" t="s">
        <v>18</v>
      </c>
      <c r="J4" s="1">
        <v>2</v>
      </c>
      <c r="K4" s="3">
        <v>6169</v>
      </c>
    </row>
    <row r="5" spans="1:11" x14ac:dyDescent="0.25">
      <c r="A5" s="1" t="s">
        <v>32</v>
      </c>
      <c r="B5" s="1" t="s">
        <v>26</v>
      </c>
      <c r="C5" s="1" t="s">
        <v>33</v>
      </c>
      <c r="D5" s="1" t="s">
        <v>34</v>
      </c>
      <c r="E5" s="1" t="s">
        <v>35</v>
      </c>
      <c r="F5" s="1" t="s">
        <v>36</v>
      </c>
      <c r="G5" s="2" t="s">
        <v>37</v>
      </c>
      <c r="H5" s="1" cm="1">
        <f t="array" ref="H5">_xlfn.XLOOKUP(_xlfn.NUMBERVALUE(G5),_xlfn.NUMBERVALUE([1]FIS_ETO_2026_07_E_CAPACITORES_I!$F:$F),_xlfn.NUMBERVALUE([1]FIS_ETO_2026_07_E_CAPACITORES_I!$AI:$AI))</f>
        <v>50</v>
      </c>
      <c r="I5" s="1" t="s">
        <v>18</v>
      </c>
      <c r="J5" s="1">
        <v>2</v>
      </c>
      <c r="K5" s="3">
        <v>6169</v>
      </c>
    </row>
    <row r="6" spans="1:11" x14ac:dyDescent="0.25">
      <c r="A6" s="1" t="s">
        <v>38</v>
      </c>
      <c r="B6" s="1" t="s">
        <v>39</v>
      </c>
      <c r="C6" s="1" t="s">
        <v>40</v>
      </c>
      <c r="D6" s="1" t="s">
        <v>41</v>
      </c>
      <c r="E6" s="1" t="s">
        <v>42</v>
      </c>
      <c r="F6" s="1" t="s">
        <v>43</v>
      </c>
      <c r="G6" s="1" t="s">
        <v>44</v>
      </c>
    </row>
    <row r="7" spans="1:11" x14ac:dyDescent="0.25">
      <c r="A7" s="1" t="s">
        <v>45</v>
      </c>
      <c r="B7" s="1" t="s">
        <v>39</v>
      </c>
      <c r="C7" s="1" t="s">
        <v>46</v>
      </c>
      <c r="D7" s="1" t="s">
        <v>47</v>
      </c>
      <c r="E7" s="1" t="s">
        <v>48</v>
      </c>
      <c r="F7" s="1" t="s">
        <v>49</v>
      </c>
      <c r="G7" s="1" t="s">
        <v>48</v>
      </c>
    </row>
    <row r="8" spans="1:11" x14ac:dyDescent="0.25">
      <c r="A8" s="1" t="s">
        <v>50</v>
      </c>
      <c r="B8" s="1" t="s">
        <v>39</v>
      </c>
      <c r="C8" s="1" t="s">
        <v>51</v>
      </c>
      <c r="D8" s="1" t="s">
        <v>52</v>
      </c>
      <c r="E8" s="1" t="s">
        <v>53</v>
      </c>
      <c r="F8" s="1" t="s">
        <v>54</v>
      </c>
      <c r="G8" s="1" t="s">
        <v>53</v>
      </c>
    </row>
    <row r="9" spans="1:11" x14ac:dyDescent="0.25">
      <c r="A9" s="1" t="s">
        <v>55</v>
      </c>
      <c r="B9" s="1" t="s">
        <v>39</v>
      </c>
      <c r="C9" s="1" t="s">
        <v>56</v>
      </c>
      <c r="D9" s="1" t="s">
        <v>57</v>
      </c>
      <c r="E9" s="1" t="s">
        <v>58</v>
      </c>
      <c r="F9" s="1" t="s">
        <v>59</v>
      </c>
      <c r="G9" s="1" t="s">
        <v>58</v>
      </c>
    </row>
    <row r="10" spans="1:11" x14ac:dyDescent="0.25">
      <c r="A10" s="1" t="s">
        <v>60</v>
      </c>
      <c r="B10" s="1" t="s">
        <v>26</v>
      </c>
      <c r="C10" s="1" t="s">
        <v>61</v>
      </c>
      <c r="D10" s="1" t="s">
        <v>62</v>
      </c>
      <c r="E10" s="1" t="s">
        <v>63</v>
      </c>
      <c r="F10" s="1" t="s">
        <v>64</v>
      </c>
      <c r="G10" s="2" t="s">
        <v>65</v>
      </c>
      <c r="H10" s="1" cm="1">
        <f t="array" ref="H10">_xlfn.XLOOKUP(_xlfn.NUMBERVALUE(G10),_xlfn.NUMBERVALUE([1]FIS_ETO_2026_07_E_CAPACITORES_I!$F:$F),_xlfn.NUMBERVALUE([1]FIS_ETO_2026_07_E_CAPACITORES_I!$AI:$AI))</f>
        <v>50</v>
      </c>
      <c r="I10" s="1" t="s">
        <v>18</v>
      </c>
      <c r="J10" s="1">
        <v>2</v>
      </c>
      <c r="K10" s="3">
        <v>6169</v>
      </c>
    </row>
    <row r="11" spans="1:11" x14ac:dyDescent="0.25">
      <c r="A11" s="1" t="s">
        <v>66</v>
      </c>
      <c r="B11" s="1" t="s">
        <v>26</v>
      </c>
      <c r="C11" s="1" t="s">
        <v>67</v>
      </c>
      <c r="D11" s="1" t="s">
        <v>68</v>
      </c>
      <c r="E11" s="1" t="s">
        <v>69</v>
      </c>
      <c r="F11" s="1" t="s">
        <v>70</v>
      </c>
      <c r="G11" s="2" t="s">
        <v>71</v>
      </c>
      <c r="H11" s="1" cm="1">
        <f t="array" ref="H11">_xlfn.XLOOKUP(_xlfn.NUMBERVALUE(G11),_xlfn.NUMBERVALUE([1]FIS_ETO_2026_07_E_CAPACITORES_I!$F:$F),_xlfn.NUMBERVALUE([1]FIS_ETO_2026_07_E_CAPACITORES_I!$AI:$AI))</f>
        <v>50</v>
      </c>
      <c r="I11" s="1" t="s">
        <v>18</v>
      </c>
      <c r="J11" s="1">
        <v>2</v>
      </c>
      <c r="K11" s="3">
        <v>6169</v>
      </c>
    </row>
    <row r="12" spans="1:11" x14ac:dyDescent="0.25">
      <c r="A12" s="1" t="s">
        <v>72</v>
      </c>
      <c r="B12" s="1" t="s">
        <v>26</v>
      </c>
      <c r="C12" s="1" t="s">
        <v>73</v>
      </c>
      <c r="D12" s="1" t="s">
        <v>74</v>
      </c>
      <c r="E12" s="1" t="s">
        <v>75</v>
      </c>
      <c r="F12" s="1" t="s">
        <v>76</v>
      </c>
      <c r="G12" s="2" t="s">
        <v>77</v>
      </c>
      <c r="H12" s="1" cm="1">
        <f t="array" ref="H12">_xlfn.XLOOKUP(_xlfn.NUMBERVALUE(G12),_xlfn.NUMBERVALUE([1]FIS_ETO_2026_07_E_CAPACITORES_I!$F:$F),_xlfn.NUMBERVALUE([1]FIS_ETO_2026_07_E_CAPACITORES_I!$AI:$AI))</f>
        <v>50</v>
      </c>
      <c r="I12" s="1" t="s">
        <v>18</v>
      </c>
      <c r="J12" s="1">
        <v>2</v>
      </c>
      <c r="K12" s="3">
        <v>6169</v>
      </c>
    </row>
    <row r="13" spans="1:11" x14ac:dyDescent="0.25">
      <c r="A13" s="1" t="s">
        <v>78</v>
      </c>
      <c r="B13" s="1" t="s">
        <v>39</v>
      </c>
      <c r="C13" s="1" t="s">
        <v>79</v>
      </c>
      <c r="D13" s="1" t="s">
        <v>80</v>
      </c>
      <c r="E13" s="1" t="s">
        <v>81</v>
      </c>
      <c r="F13" s="1" t="s">
        <v>82</v>
      </c>
      <c r="G13" s="2" t="s">
        <v>83</v>
      </c>
      <c r="H13" s="1" cm="1">
        <f t="array" ref="H13">_xlfn.XLOOKUP(_xlfn.NUMBERVALUE(G13),_xlfn.NUMBERVALUE([1]FIS_ETO_2026_07_E_CAPACITORES_I!$F:$F),_xlfn.NUMBERVALUE([1]FIS_ETO_2026_07_E_CAPACITORES_I!$AI:$AI))</f>
        <v>50</v>
      </c>
      <c r="I13" s="1" t="s">
        <v>18</v>
      </c>
      <c r="J13" s="1">
        <v>2</v>
      </c>
      <c r="K13" s="3">
        <v>6169</v>
      </c>
    </row>
    <row r="14" spans="1:11" x14ac:dyDescent="0.25">
      <c r="A14" s="1" t="s">
        <v>84</v>
      </c>
      <c r="B14" s="1" t="s">
        <v>39</v>
      </c>
      <c r="C14" s="1" t="s">
        <v>85</v>
      </c>
      <c r="D14" s="1" t="s">
        <v>86</v>
      </c>
      <c r="E14" s="1" t="s">
        <v>87</v>
      </c>
      <c r="F14" s="1" t="s">
        <v>49</v>
      </c>
      <c r="G14" s="1" t="s">
        <v>87</v>
      </c>
    </row>
    <row r="15" spans="1:11" x14ac:dyDescent="0.25">
      <c r="A15" s="1" t="s">
        <v>88</v>
      </c>
      <c r="B15" s="1" t="s">
        <v>39</v>
      </c>
      <c r="C15" s="1" t="s">
        <v>89</v>
      </c>
      <c r="D15" s="1" t="s">
        <v>90</v>
      </c>
      <c r="E15" s="1" t="s">
        <v>91</v>
      </c>
      <c r="F15" s="1" t="s">
        <v>54</v>
      </c>
      <c r="G15" s="1" t="s">
        <v>91</v>
      </c>
    </row>
    <row r="16" spans="1:11" x14ac:dyDescent="0.25">
      <c r="A16" s="1" t="s">
        <v>92</v>
      </c>
      <c r="B16" s="1" t="s">
        <v>39</v>
      </c>
      <c r="C16" s="1" t="s">
        <v>93</v>
      </c>
      <c r="D16" s="1" t="s">
        <v>94</v>
      </c>
      <c r="E16" s="1" t="s">
        <v>95</v>
      </c>
      <c r="F16" s="1" t="s">
        <v>96</v>
      </c>
      <c r="G16" s="1" t="s">
        <v>95</v>
      </c>
    </row>
    <row r="17" spans="1:11" x14ac:dyDescent="0.25">
      <c r="A17" s="1" t="s">
        <v>97</v>
      </c>
      <c r="B17" s="1" t="s">
        <v>39</v>
      </c>
      <c r="C17" s="1" t="s">
        <v>98</v>
      </c>
      <c r="D17" s="1" t="s">
        <v>99</v>
      </c>
      <c r="E17" s="1" t="s">
        <v>100</v>
      </c>
      <c r="F17" s="1" t="s">
        <v>101</v>
      </c>
      <c r="G17" s="1" t="s">
        <v>100</v>
      </c>
    </row>
    <row r="18" spans="1:11" x14ac:dyDescent="0.25">
      <c r="A18" s="1" t="s">
        <v>102</v>
      </c>
      <c r="B18" s="1" t="s">
        <v>26</v>
      </c>
      <c r="C18" s="1" t="s">
        <v>103</v>
      </c>
      <c r="D18" s="1" t="s">
        <v>104</v>
      </c>
      <c r="E18" s="1" t="s">
        <v>105</v>
      </c>
      <c r="F18" s="1" t="s">
        <v>106</v>
      </c>
      <c r="G18" s="2" t="s">
        <v>107</v>
      </c>
      <c r="H18" s="1" cm="1">
        <f t="array" ref="H18">_xlfn.XLOOKUP(_xlfn.NUMBERVALUE(G18),_xlfn.NUMBERVALUE([1]FIS_ETO_2026_07_E_CAPACITORES_I!$F:$F),_xlfn.NUMBERVALUE([1]FIS_ETO_2026_07_E_CAPACITORES_I!$AI:$AI))</f>
        <v>50</v>
      </c>
      <c r="I18" s="1" t="s">
        <v>18</v>
      </c>
      <c r="J18" s="1">
        <v>2</v>
      </c>
      <c r="K18" s="3">
        <v>6169</v>
      </c>
    </row>
    <row r="19" spans="1:11" x14ac:dyDescent="0.25">
      <c r="A19" s="1" t="s">
        <v>108</v>
      </c>
      <c r="B19" s="1" t="s">
        <v>26</v>
      </c>
      <c r="C19" s="1" t="s">
        <v>109</v>
      </c>
      <c r="D19" s="1" t="s">
        <v>110</v>
      </c>
      <c r="E19" s="1" t="s">
        <v>111</v>
      </c>
      <c r="F19" s="1" t="s">
        <v>112</v>
      </c>
      <c r="G19" s="2" t="s">
        <v>113</v>
      </c>
      <c r="H19" s="1" cm="1">
        <f t="array" ref="H19">_xlfn.XLOOKUP(_xlfn.NUMBERVALUE(G19),_xlfn.NUMBERVALUE([1]FIS_ETO_2026_07_E_CAPACITORES_I!$F:$F),_xlfn.NUMBERVALUE([1]FIS_ETO_2026_07_E_CAPACITORES_I!$AI:$AI))</f>
        <v>50</v>
      </c>
      <c r="I19" s="1" t="s">
        <v>18</v>
      </c>
      <c r="J19" s="1">
        <v>2</v>
      </c>
      <c r="K19" s="3">
        <v>6169</v>
      </c>
    </row>
    <row r="20" spans="1:11" x14ac:dyDescent="0.25">
      <c r="A20" s="1" t="s">
        <v>114</v>
      </c>
      <c r="B20" s="1" t="s">
        <v>12</v>
      </c>
      <c r="C20" s="1" t="s">
        <v>115</v>
      </c>
      <c r="D20" s="1" t="s">
        <v>116</v>
      </c>
      <c r="E20" s="1" t="s">
        <v>117</v>
      </c>
      <c r="F20" s="1" t="s">
        <v>118</v>
      </c>
      <c r="G20" s="2" t="s">
        <v>119</v>
      </c>
      <c r="H20" s="1" cm="1">
        <f t="array" ref="H20">_xlfn.XLOOKUP(_xlfn.NUMBERVALUE(G20),_xlfn.NUMBERVALUE([1]FIS_ETO_2026_07_E_CAPACITORES_I!$F:$F),_xlfn.NUMBERVALUE([1]FIS_ETO_2026_07_E_CAPACITORES_I!$AI:$AI))</f>
        <v>100</v>
      </c>
      <c r="I20" s="1" t="s">
        <v>120</v>
      </c>
      <c r="J20" s="1">
        <v>2</v>
      </c>
      <c r="K20" s="3">
        <v>10126.33</v>
      </c>
    </row>
    <row r="21" spans="1:11" x14ac:dyDescent="0.25">
      <c r="A21" s="1" t="s">
        <v>121</v>
      </c>
      <c r="B21" s="1" t="s">
        <v>12</v>
      </c>
      <c r="C21" s="1" t="s">
        <v>122</v>
      </c>
      <c r="D21" s="1" t="s">
        <v>123</v>
      </c>
      <c r="E21" s="1" t="s">
        <v>124</v>
      </c>
      <c r="F21" s="1" t="s">
        <v>125</v>
      </c>
      <c r="G21" s="2" t="s">
        <v>126</v>
      </c>
      <c r="H21" s="1" cm="1">
        <f t="array" ref="H21">_xlfn.XLOOKUP(_xlfn.NUMBERVALUE(G21),_xlfn.NUMBERVALUE([1]FIS_ETO_2026_07_E_CAPACITORES_I!$F:$F),_xlfn.NUMBERVALUE([1]FIS_ETO_2026_07_E_CAPACITORES_I!$AI:$AI))</f>
        <v>100</v>
      </c>
      <c r="I21" s="1" t="s">
        <v>120</v>
      </c>
      <c r="J21" s="1">
        <v>2</v>
      </c>
      <c r="K21" s="3">
        <v>10126.33</v>
      </c>
    </row>
    <row r="22" spans="1:11" x14ac:dyDescent="0.25">
      <c r="A22" s="1" t="s">
        <v>127</v>
      </c>
      <c r="B22" s="1" t="s">
        <v>39</v>
      </c>
      <c r="C22" s="1" t="s">
        <v>128</v>
      </c>
      <c r="D22" s="1" t="s">
        <v>129</v>
      </c>
      <c r="E22" s="1" t="s">
        <v>130</v>
      </c>
      <c r="F22" s="1" t="s">
        <v>131</v>
      </c>
      <c r="G22" s="1" t="s">
        <v>132</v>
      </c>
    </row>
    <row r="23" spans="1:11" x14ac:dyDescent="0.25">
      <c r="A23" s="1" t="s">
        <v>133</v>
      </c>
      <c r="B23" s="1" t="s">
        <v>39</v>
      </c>
      <c r="C23" s="1" t="s">
        <v>134</v>
      </c>
      <c r="D23" s="1" t="s">
        <v>135</v>
      </c>
      <c r="E23" s="1" t="s">
        <v>136</v>
      </c>
      <c r="F23" s="1" t="s">
        <v>137</v>
      </c>
      <c r="G23" s="1" t="s">
        <v>138</v>
      </c>
    </row>
    <row r="24" spans="1:11" x14ac:dyDescent="0.25">
      <c r="A24" s="1" t="s">
        <v>139</v>
      </c>
      <c r="B24" s="1" t="s">
        <v>12</v>
      </c>
      <c r="C24" s="1" t="s">
        <v>140</v>
      </c>
      <c r="D24" s="1" t="s">
        <v>141</v>
      </c>
      <c r="E24" s="1" t="s">
        <v>142</v>
      </c>
      <c r="F24" s="1" t="s">
        <v>143</v>
      </c>
      <c r="G24" s="2" t="s">
        <v>144</v>
      </c>
      <c r="H24" s="1" cm="1">
        <f t="array" ref="H24">_xlfn.XLOOKUP(_xlfn.NUMBERVALUE(G24),_xlfn.NUMBERVALUE([1]FIS_ETO_2026_07_E_CAPACITORES_I!$F:$F),_xlfn.NUMBERVALUE([1]FIS_ETO_2026_07_E_CAPACITORES_I!$AI:$AI))</f>
        <v>100</v>
      </c>
      <c r="I24" s="1" t="s">
        <v>120</v>
      </c>
      <c r="J24" s="1">
        <v>2</v>
      </c>
      <c r="K24" s="3">
        <v>10126.33</v>
      </c>
    </row>
    <row r="25" spans="1:11" x14ac:dyDescent="0.25">
      <c r="A25" s="1" t="s">
        <v>145</v>
      </c>
      <c r="B25" s="1" t="s">
        <v>39</v>
      </c>
      <c r="C25" s="1" t="s">
        <v>146</v>
      </c>
      <c r="D25" s="1" t="s">
        <v>147</v>
      </c>
      <c r="E25" s="1" t="s">
        <v>148</v>
      </c>
      <c r="F25" s="1" t="s">
        <v>149</v>
      </c>
      <c r="G25" s="1" t="s">
        <v>148</v>
      </c>
    </row>
    <row r="26" spans="1:11" x14ac:dyDescent="0.25">
      <c r="A26" s="1" t="s">
        <v>150</v>
      </c>
      <c r="B26" s="1" t="s">
        <v>39</v>
      </c>
      <c r="C26" s="1" t="s">
        <v>151</v>
      </c>
      <c r="D26" s="1" t="s">
        <v>152</v>
      </c>
      <c r="E26" s="1" t="s">
        <v>153</v>
      </c>
      <c r="F26" s="1" t="s">
        <v>154</v>
      </c>
      <c r="G26" s="1" t="s">
        <v>155</v>
      </c>
    </row>
    <row r="27" spans="1:11" x14ac:dyDescent="0.25">
      <c r="A27" s="1" t="s">
        <v>156</v>
      </c>
      <c r="B27" s="1" t="s">
        <v>39</v>
      </c>
      <c r="C27" s="1" t="s">
        <v>157</v>
      </c>
      <c r="D27" s="1" t="s">
        <v>158</v>
      </c>
      <c r="E27" s="1" t="s">
        <v>159</v>
      </c>
      <c r="F27" s="1" t="s">
        <v>160</v>
      </c>
      <c r="G27" s="1" t="s">
        <v>159</v>
      </c>
    </row>
    <row r="28" spans="1:11" x14ac:dyDescent="0.25">
      <c r="A28" s="1" t="s">
        <v>161</v>
      </c>
      <c r="B28" s="1" t="s">
        <v>39</v>
      </c>
      <c r="C28" s="1" t="s">
        <v>162</v>
      </c>
      <c r="D28" s="1" t="s">
        <v>163</v>
      </c>
      <c r="E28" s="1" t="s">
        <v>164</v>
      </c>
      <c r="F28" s="1" t="s">
        <v>59</v>
      </c>
      <c r="G28" s="1" t="s">
        <v>164</v>
      </c>
    </row>
    <row r="29" spans="1:11" x14ac:dyDescent="0.25">
      <c r="A29" s="1" t="s">
        <v>165</v>
      </c>
      <c r="B29" s="1" t="s">
        <v>39</v>
      </c>
      <c r="C29" s="1" t="s">
        <v>166</v>
      </c>
      <c r="D29" s="1" t="s">
        <v>167</v>
      </c>
      <c r="E29" s="1" t="s">
        <v>168</v>
      </c>
      <c r="F29" s="1" t="s">
        <v>169</v>
      </c>
      <c r="G29" s="2" t="s">
        <v>170</v>
      </c>
      <c r="H29" s="1" cm="1">
        <f t="array" ref="H29">_xlfn.XLOOKUP(_xlfn.NUMBERVALUE(G29),_xlfn.NUMBERVALUE([1]FIS_ETO_2026_07_E_CAPACITORES_I!$F:$F),_xlfn.NUMBERVALUE([1]FIS_ETO_2026_07_E_CAPACITORES_I!$AI:$AI))</f>
        <v>100</v>
      </c>
      <c r="I29" s="1" t="s">
        <v>120</v>
      </c>
      <c r="J29" s="1">
        <v>2</v>
      </c>
      <c r="K29" s="3">
        <v>10126.33</v>
      </c>
    </row>
    <row r="30" spans="1:11" x14ac:dyDescent="0.25">
      <c r="A30" s="1" t="s">
        <v>171</v>
      </c>
      <c r="B30" s="1" t="s">
        <v>26</v>
      </c>
      <c r="C30" s="1" t="s">
        <v>172</v>
      </c>
      <c r="D30" s="1" t="s">
        <v>173</v>
      </c>
      <c r="E30" s="1" t="s">
        <v>174</v>
      </c>
      <c r="F30" s="1" t="s">
        <v>30</v>
      </c>
      <c r="G30" s="1" t="s">
        <v>174</v>
      </c>
    </row>
    <row r="31" spans="1:11" x14ac:dyDescent="0.25">
      <c r="A31" s="1" t="s">
        <v>175</v>
      </c>
      <c r="B31" s="1" t="s">
        <v>26</v>
      </c>
      <c r="C31" s="1" t="s">
        <v>176</v>
      </c>
      <c r="D31" s="1" t="s">
        <v>177</v>
      </c>
      <c r="E31" s="1" t="s">
        <v>178</v>
      </c>
      <c r="F31" s="1" t="s">
        <v>179</v>
      </c>
      <c r="G31" s="1" t="s">
        <v>180</v>
      </c>
    </row>
    <row r="32" spans="1:11" x14ac:dyDescent="0.25">
      <c r="A32" s="1" t="s">
        <v>181</v>
      </c>
      <c r="B32" s="1" t="s">
        <v>26</v>
      </c>
      <c r="C32" s="1" t="s">
        <v>182</v>
      </c>
      <c r="D32" s="1" t="s">
        <v>183</v>
      </c>
      <c r="E32" s="1" t="s">
        <v>184</v>
      </c>
      <c r="F32" s="1" t="s">
        <v>185</v>
      </c>
      <c r="G32" s="1" t="s">
        <v>186</v>
      </c>
    </row>
    <row r="33" spans="1:11" x14ac:dyDescent="0.25">
      <c r="A33" s="1" t="s">
        <v>187</v>
      </c>
      <c r="B33" s="1" t="s">
        <v>26</v>
      </c>
      <c r="C33" s="1" t="s">
        <v>188</v>
      </c>
      <c r="D33" s="1" t="s">
        <v>189</v>
      </c>
      <c r="E33" s="1" t="s">
        <v>190</v>
      </c>
      <c r="F33" s="1" t="s">
        <v>191</v>
      </c>
      <c r="G33" s="1" t="s">
        <v>192</v>
      </c>
    </row>
    <row r="34" spans="1:11" x14ac:dyDescent="0.25">
      <c r="A34" s="1" t="s">
        <v>193</v>
      </c>
      <c r="B34" s="1" t="s">
        <v>26</v>
      </c>
      <c r="C34" s="1" t="s">
        <v>194</v>
      </c>
      <c r="D34" s="1" t="s">
        <v>195</v>
      </c>
      <c r="E34" s="1" t="s">
        <v>196</v>
      </c>
      <c r="F34" s="1" t="s">
        <v>197</v>
      </c>
      <c r="G34" s="1" t="s">
        <v>198</v>
      </c>
    </row>
    <row r="35" spans="1:11" x14ac:dyDescent="0.25">
      <c r="A35" s="1" t="s">
        <v>199</v>
      </c>
      <c r="B35" s="1" t="s">
        <v>26</v>
      </c>
      <c r="C35" s="1" t="s">
        <v>200</v>
      </c>
      <c r="D35" s="1" t="s">
        <v>201</v>
      </c>
      <c r="E35" s="1" t="s">
        <v>202</v>
      </c>
      <c r="F35" s="1" t="s">
        <v>203</v>
      </c>
      <c r="G35" s="1" t="s">
        <v>204</v>
      </c>
    </row>
    <row r="36" spans="1:11" x14ac:dyDescent="0.25">
      <c r="A36" s="1" t="s">
        <v>205</v>
      </c>
      <c r="B36" s="1" t="s">
        <v>26</v>
      </c>
      <c r="C36" s="1" t="s">
        <v>206</v>
      </c>
      <c r="D36" s="1" t="s">
        <v>207</v>
      </c>
      <c r="E36" s="1" t="s">
        <v>208</v>
      </c>
      <c r="F36" s="1" t="s">
        <v>209</v>
      </c>
      <c r="G36" s="1" t="s">
        <v>210</v>
      </c>
    </row>
    <row r="37" spans="1:11" x14ac:dyDescent="0.25">
      <c r="A37" s="1" t="s">
        <v>211</v>
      </c>
      <c r="B37" s="1" t="s">
        <v>26</v>
      </c>
      <c r="C37" s="1" t="s">
        <v>212</v>
      </c>
      <c r="D37" s="1" t="s">
        <v>213</v>
      </c>
      <c r="E37" s="1" t="s">
        <v>214</v>
      </c>
      <c r="F37" s="1" t="s">
        <v>215</v>
      </c>
      <c r="G37" s="1" t="s">
        <v>214</v>
      </c>
    </row>
    <row r="38" spans="1:11" x14ac:dyDescent="0.25">
      <c r="A38" s="1" t="s">
        <v>216</v>
      </c>
      <c r="B38" s="1" t="s">
        <v>26</v>
      </c>
      <c r="C38" s="1" t="s">
        <v>217</v>
      </c>
      <c r="D38" s="1" t="s">
        <v>218</v>
      </c>
      <c r="E38" s="1" t="s">
        <v>219</v>
      </c>
      <c r="F38" s="1" t="s">
        <v>209</v>
      </c>
      <c r="G38" s="1" t="s">
        <v>220</v>
      </c>
    </row>
    <row r="39" spans="1:11" x14ac:dyDescent="0.25">
      <c r="A39" s="1" t="s">
        <v>221</v>
      </c>
      <c r="B39" s="1" t="s">
        <v>26</v>
      </c>
      <c r="C39" s="1" t="s">
        <v>222</v>
      </c>
      <c r="D39" s="1" t="s">
        <v>223</v>
      </c>
      <c r="E39" s="1" t="s">
        <v>224</v>
      </c>
      <c r="F39" s="1" t="s">
        <v>225</v>
      </c>
      <c r="G39" s="1" t="s">
        <v>224</v>
      </c>
    </row>
    <row r="40" spans="1:11" x14ac:dyDescent="0.25">
      <c r="A40" s="1" t="s">
        <v>226</v>
      </c>
      <c r="B40" s="1" t="s">
        <v>26</v>
      </c>
      <c r="C40" s="1" t="s">
        <v>227</v>
      </c>
      <c r="D40" s="1" t="s">
        <v>228</v>
      </c>
      <c r="E40" s="1" t="s">
        <v>229</v>
      </c>
      <c r="F40" s="1" t="s">
        <v>230</v>
      </c>
      <c r="G40" s="1" t="s">
        <v>231</v>
      </c>
    </row>
    <row r="41" spans="1:11" x14ac:dyDescent="0.25">
      <c r="A41" s="1" t="s">
        <v>232</v>
      </c>
      <c r="B41" s="1" t="s">
        <v>26</v>
      </c>
      <c r="C41" s="1" t="s">
        <v>233</v>
      </c>
      <c r="D41" s="1" t="s">
        <v>234</v>
      </c>
      <c r="E41" s="1" t="s">
        <v>235</v>
      </c>
      <c r="F41" s="1" t="s">
        <v>236</v>
      </c>
      <c r="G41" s="1" t="s">
        <v>235</v>
      </c>
    </row>
    <row r="42" spans="1:11" x14ac:dyDescent="0.25">
      <c r="A42" s="1" t="s">
        <v>237</v>
      </c>
      <c r="B42" s="1" t="s">
        <v>26</v>
      </c>
      <c r="C42" s="1" t="s">
        <v>238</v>
      </c>
      <c r="D42" s="1" t="s">
        <v>239</v>
      </c>
      <c r="E42" s="1" t="s">
        <v>240</v>
      </c>
      <c r="F42" s="1" t="s">
        <v>241</v>
      </c>
      <c r="G42" s="1" t="s">
        <v>240</v>
      </c>
    </row>
    <row r="43" spans="1:11" x14ac:dyDescent="0.25">
      <c r="A43" s="1" t="s">
        <v>242</v>
      </c>
      <c r="B43" s="1" t="s">
        <v>26</v>
      </c>
      <c r="C43" s="1" t="s">
        <v>243</v>
      </c>
      <c r="D43" s="1" t="s">
        <v>244</v>
      </c>
      <c r="E43" s="1" t="s">
        <v>245</v>
      </c>
      <c r="F43" s="1" t="s">
        <v>246</v>
      </c>
      <c r="G43" s="1" t="s">
        <v>247</v>
      </c>
    </row>
    <row r="44" spans="1:11" x14ac:dyDescent="0.25">
      <c r="A44" s="1" t="s">
        <v>248</v>
      </c>
      <c r="B44" s="1" t="s">
        <v>26</v>
      </c>
      <c r="C44" s="1" t="s">
        <v>249</v>
      </c>
      <c r="D44" s="1" t="s">
        <v>250</v>
      </c>
      <c r="E44" s="1" t="s">
        <v>251</v>
      </c>
      <c r="F44" s="1" t="s">
        <v>149</v>
      </c>
      <c r="G44" s="1" t="s">
        <v>252</v>
      </c>
    </row>
    <row r="45" spans="1:11" x14ac:dyDescent="0.25">
      <c r="A45" s="1" t="s">
        <v>253</v>
      </c>
      <c r="B45" s="1" t="s">
        <v>39</v>
      </c>
      <c r="C45" s="1" t="s">
        <v>254</v>
      </c>
      <c r="D45" s="1" t="s">
        <v>255</v>
      </c>
      <c r="E45" s="1" t="s">
        <v>256</v>
      </c>
      <c r="F45" s="1" t="s">
        <v>257</v>
      </c>
      <c r="G45" s="2" t="s">
        <v>258</v>
      </c>
      <c r="H45" s="1" cm="1">
        <f t="array" ref="H45">_xlfn.XLOOKUP(_xlfn.NUMBERVALUE(G45),_xlfn.NUMBERVALUE([1]FIS_ETO_2026_07_E_CAPACITORES_I!$F:$F),_xlfn.NUMBERVALUE([1]FIS_ETO_2026_07_E_CAPACITORES_I!$AI:$AI))</f>
        <v>100</v>
      </c>
      <c r="I45" s="1" t="s">
        <v>120</v>
      </c>
      <c r="J45" s="1">
        <v>2</v>
      </c>
      <c r="K45" s="3">
        <v>10126.33</v>
      </c>
    </row>
    <row r="46" spans="1:11" x14ac:dyDescent="0.25">
      <c r="A46" s="1" t="s">
        <v>259</v>
      </c>
      <c r="B46" s="1" t="s">
        <v>26</v>
      </c>
      <c r="C46" s="1" t="s">
        <v>260</v>
      </c>
      <c r="D46" s="1" t="s">
        <v>261</v>
      </c>
      <c r="E46" s="1" t="s">
        <v>262</v>
      </c>
      <c r="F46" s="1" t="s">
        <v>263</v>
      </c>
      <c r="G46" s="1" t="s">
        <v>264</v>
      </c>
    </row>
    <row r="47" spans="1:11" x14ac:dyDescent="0.25">
      <c r="A47" s="1" t="s">
        <v>265</v>
      </c>
      <c r="B47" s="1" t="s">
        <v>26</v>
      </c>
      <c r="C47" s="1" t="s">
        <v>266</v>
      </c>
      <c r="D47" s="1" t="s">
        <v>267</v>
      </c>
      <c r="E47" s="1" t="s">
        <v>268</v>
      </c>
      <c r="F47" s="1" t="s">
        <v>269</v>
      </c>
      <c r="G47" s="1" t="s">
        <v>268</v>
      </c>
    </row>
    <row r="48" spans="1:11" x14ac:dyDescent="0.25">
      <c r="A48" s="1" t="s">
        <v>270</v>
      </c>
      <c r="B48" s="1" t="s">
        <v>26</v>
      </c>
      <c r="C48" s="1" t="s">
        <v>271</v>
      </c>
      <c r="D48" s="1" t="s">
        <v>272</v>
      </c>
      <c r="E48" s="1" t="s">
        <v>273</v>
      </c>
      <c r="F48" s="1" t="s">
        <v>274</v>
      </c>
      <c r="G48" s="1" t="s">
        <v>275</v>
      </c>
    </row>
    <row r="49" spans="1:11" x14ac:dyDescent="0.25">
      <c r="A49" s="1" t="s">
        <v>276</v>
      </c>
      <c r="B49" s="1" t="s">
        <v>26</v>
      </c>
      <c r="C49" s="1" t="s">
        <v>277</v>
      </c>
      <c r="D49" s="1" t="s">
        <v>278</v>
      </c>
      <c r="E49" s="1" t="s">
        <v>279</v>
      </c>
      <c r="F49" s="1" t="s">
        <v>263</v>
      </c>
      <c r="G49" s="1" t="s">
        <v>280</v>
      </c>
    </row>
    <row r="50" spans="1:11" x14ac:dyDescent="0.25">
      <c r="A50" s="1" t="s">
        <v>281</v>
      </c>
      <c r="B50" s="1" t="s">
        <v>26</v>
      </c>
      <c r="C50" s="1" t="s">
        <v>282</v>
      </c>
      <c r="D50" s="1" t="s">
        <v>283</v>
      </c>
      <c r="E50" s="1" t="s">
        <v>284</v>
      </c>
      <c r="F50" s="1" t="s">
        <v>269</v>
      </c>
      <c r="G50" s="1" t="s">
        <v>285</v>
      </c>
    </row>
    <row r="51" spans="1:11" x14ac:dyDescent="0.25">
      <c r="A51" s="1" t="s">
        <v>286</v>
      </c>
      <c r="B51" s="1" t="s">
        <v>26</v>
      </c>
      <c r="C51" s="1" t="s">
        <v>287</v>
      </c>
      <c r="D51" s="1" t="s">
        <v>288</v>
      </c>
      <c r="E51" s="1" t="s">
        <v>289</v>
      </c>
      <c r="F51" s="1" t="s">
        <v>290</v>
      </c>
      <c r="G51" s="1" t="s">
        <v>289</v>
      </c>
    </row>
    <row r="52" spans="1:11" x14ac:dyDescent="0.25">
      <c r="A52" s="1" t="s">
        <v>291</v>
      </c>
      <c r="B52" s="1" t="s">
        <v>26</v>
      </c>
      <c r="C52" s="1" t="s">
        <v>292</v>
      </c>
      <c r="D52" s="1" t="s">
        <v>293</v>
      </c>
      <c r="E52" s="1" t="s">
        <v>294</v>
      </c>
      <c r="F52" s="1" t="s">
        <v>295</v>
      </c>
      <c r="G52" s="1" t="s">
        <v>296</v>
      </c>
    </row>
    <row r="53" spans="1:11" x14ac:dyDescent="0.25">
      <c r="A53" s="1" t="s">
        <v>297</v>
      </c>
      <c r="B53" s="1" t="s">
        <v>39</v>
      </c>
      <c r="C53" s="1" t="s">
        <v>298</v>
      </c>
      <c r="D53" s="1" t="s">
        <v>299</v>
      </c>
      <c r="E53" s="1" t="s">
        <v>300</v>
      </c>
      <c r="F53" s="1" t="s">
        <v>301</v>
      </c>
      <c r="G53" s="2" t="s">
        <v>302</v>
      </c>
      <c r="H53" s="1" cm="1">
        <f t="array" ref="H53">_xlfn.XLOOKUP(_xlfn.NUMBERVALUE(G53),_xlfn.NUMBERVALUE([1]FIS_ETO_2026_07_E_CAPACITORES_I!$F:$F),_xlfn.NUMBERVALUE([1]FIS_ETO_2026_07_E_CAPACITORES_I!$AI:$AI))</f>
        <v>100</v>
      </c>
      <c r="I53" s="1" t="s">
        <v>120</v>
      </c>
      <c r="J53" s="1">
        <v>2</v>
      </c>
      <c r="K53" s="3">
        <v>10126.33</v>
      </c>
    </row>
    <row r="54" spans="1:11" x14ac:dyDescent="0.25">
      <c r="A54" s="1" t="s">
        <v>303</v>
      </c>
      <c r="B54" s="1" t="s">
        <v>26</v>
      </c>
      <c r="C54" s="1" t="s">
        <v>304</v>
      </c>
      <c r="D54" s="1" t="s">
        <v>305</v>
      </c>
      <c r="E54" s="1" t="s">
        <v>306</v>
      </c>
      <c r="F54" s="1" t="s">
        <v>307</v>
      </c>
      <c r="G54" s="1" t="s">
        <v>308</v>
      </c>
    </row>
    <row r="55" spans="1:11" x14ac:dyDescent="0.25">
      <c r="A55" s="1" t="s">
        <v>309</v>
      </c>
      <c r="B55" s="1" t="s">
        <v>39</v>
      </c>
      <c r="C55" s="1" t="s">
        <v>310</v>
      </c>
      <c r="D55" s="1" t="s">
        <v>311</v>
      </c>
      <c r="E55" s="1" t="s">
        <v>312</v>
      </c>
      <c r="F55" s="1" t="s">
        <v>313</v>
      </c>
      <c r="G55" s="2" t="s">
        <v>314</v>
      </c>
      <c r="H55" s="1" cm="1">
        <f t="array" ref="H55">_xlfn.XLOOKUP(_xlfn.NUMBERVALUE(G55),_xlfn.NUMBERVALUE([1]FIS_ETO_2026_07_E_CAPACITORES_I!$F:$F),_xlfn.NUMBERVALUE([1]FIS_ETO_2026_07_E_CAPACITORES_I!$AI:$AI))</f>
        <v>100</v>
      </c>
      <c r="I55" s="1" t="s">
        <v>120</v>
      </c>
      <c r="J55" s="1">
        <v>2</v>
      </c>
      <c r="K55" s="3">
        <v>10126.33</v>
      </c>
    </row>
    <row r="56" spans="1:11" x14ac:dyDescent="0.25">
      <c r="A56" s="1" t="s">
        <v>315</v>
      </c>
      <c r="B56" s="1" t="s">
        <v>39</v>
      </c>
      <c r="C56" s="1" t="s">
        <v>316</v>
      </c>
      <c r="D56" s="1" t="s">
        <v>317</v>
      </c>
      <c r="E56" s="1" t="s">
        <v>318</v>
      </c>
      <c r="F56" s="1" t="s">
        <v>319</v>
      </c>
      <c r="G56" s="2" t="s">
        <v>320</v>
      </c>
      <c r="H56" s="1" cm="1">
        <f t="array" ref="H56">_xlfn.XLOOKUP(_xlfn.NUMBERVALUE(G56),_xlfn.NUMBERVALUE([1]FIS_ETO_2026_07_E_CAPACITORES_I!$F:$F),_xlfn.NUMBERVALUE([1]FIS_ETO_2026_07_E_CAPACITORES_I!$AI:$AI))</f>
        <v>100</v>
      </c>
      <c r="I56" s="1" t="s">
        <v>321</v>
      </c>
      <c r="J56" s="1">
        <v>2</v>
      </c>
      <c r="K56" s="3">
        <v>10126.33</v>
      </c>
    </row>
    <row r="57" spans="1:11" x14ac:dyDescent="0.25">
      <c r="A57" s="1" t="s">
        <v>322</v>
      </c>
      <c r="B57" s="1" t="s">
        <v>26</v>
      </c>
      <c r="C57" s="1" t="s">
        <v>323</v>
      </c>
      <c r="D57" s="1" t="s">
        <v>324</v>
      </c>
      <c r="E57" s="1" t="s">
        <v>325</v>
      </c>
      <c r="F57" s="1" t="s">
        <v>326</v>
      </c>
      <c r="G57" s="2" t="s">
        <v>327</v>
      </c>
      <c r="H57" s="1" cm="1">
        <f t="array" ref="H57">_xlfn.XLOOKUP(_xlfn.NUMBERVALUE(G57),_xlfn.NUMBERVALUE([1]FIS_ETO_2026_07_E_CAPACITORES_I!$F:$F),_xlfn.NUMBERVALUE([1]FIS_ETO_2026_07_E_CAPACITORES_I!$AI:$AI))</f>
        <v>100</v>
      </c>
      <c r="I57" s="1" t="s">
        <v>120</v>
      </c>
      <c r="J57" s="1">
        <v>2</v>
      </c>
      <c r="K57" s="3">
        <v>10126.33</v>
      </c>
    </row>
    <row r="58" spans="1:11" x14ac:dyDescent="0.25">
      <c r="A58" s="1" t="s">
        <v>328</v>
      </c>
      <c r="B58" s="1" t="s">
        <v>26</v>
      </c>
      <c r="C58" s="1" t="s">
        <v>329</v>
      </c>
      <c r="D58" s="1" t="s">
        <v>330</v>
      </c>
      <c r="E58" s="1" t="s">
        <v>331</v>
      </c>
      <c r="F58" s="1" t="s">
        <v>332</v>
      </c>
      <c r="G58" s="1" t="s">
        <v>333</v>
      </c>
    </row>
    <row r="59" spans="1:11" x14ac:dyDescent="0.25">
      <c r="A59" s="1" t="s">
        <v>334</v>
      </c>
      <c r="B59" s="1" t="s">
        <v>26</v>
      </c>
      <c r="C59" s="1" t="s">
        <v>335</v>
      </c>
      <c r="D59" s="1" t="s">
        <v>336</v>
      </c>
      <c r="E59" s="1" t="s">
        <v>337</v>
      </c>
      <c r="F59" s="1" t="s">
        <v>338</v>
      </c>
      <c r="G59" s="1" t="s">
        <v>339</v>
      </c>
    </row>
    <row r="60" spans="1:11" x14ac:dyDescent="0.25">
      <c r="A60" s="1" t="s">
        <v>340</v>
      </c>
      <c r="B60" s="1" t="s">
        <v>26</v>
      </c>
      <c r="C60" s="1" t="s">
        <v>341</v>
      </c>
      <c r="D60" s="1" t="s">
        <v>342</v>
      </c>
      <c r="E60" s="1" t="s">
        <v>343</v>
      </c>
      <c r="F60" s="1" t="s">
        <v>43</v>
      </c>
      <c r="G60" s="1" t="s">
        <v>344</v>
      </c>
    </row>
    <row r="61" spans="1:11" x14ac:dyDescent="0.25">
      <c r="A61" s="1" t="s">
        <v>345</v>
      </c>
      <c r="B61" s="1" t="s">
        <v>26</v>
      </c>
      <c r="C61" s="1" t="s">
        <v>346</v>
      </c>
      <c r="D61" s="1" t="s">
        <v>347</v>
      </c>
      <c r="E61" s="1" t="s">
        <v>348</v>
      </c>
      <c r="F61" s="1" t="s">
        <v>349</v>
      </c>
      <c r="G61" s="2" t="s">
        <v>350</v>
      </c>
      <c r="H61" s="1" cm="1">
        <f t="array" ref="H61">_xlfn.XLOOKUP(_xlfn.NUMBERVALUE(G61),_xlfn.NUMBERVALUE([1]FIS_ETO_2026_07_E_CAPACITORES_I!$F:$F),_xlfn.NUMBERVALUE([1]FIS_ETO_2026_07_E_CAPACITORES_I!$AI:$AI))</f>
        <v>100</v>
      </c>
      <c r="I61" s="1" t="s">
        <v>120</v>
      </c>
      <c r="J61" s="1">
        <v>2</v>
      </c>
      <c r="K61" s="3">
        <v>10126.33</v>
      </c>
    </row>
    <row r="62" spans="1:11" x14ac:dyDescent="0.25">
      <c r="A62" s="1" t="s">
        <v>351</v>
      </c>
      <c r="B62" s="1" t="s">
        <v>26</v>
      </c>
      <c r="C62" s="1" t="s">
        <v>352</v>
      </c>
      <c r="D62" s="1" t="s">
        <v>353</v>
      </c>
      <c r="E62" s="1" t="s">
        <v>354</v>
      </c>
      <c r="F62" s="1" t="s">
        <v>30</v>
      </c>
      <c r="G62" s="2" t="s">
        <v>355</v>
      </c>
      <c r="H62" s="1" cm="1">
        <f t="array" ref="H62">_xlfn.XLOOKUP(_xlfn.NUMBERVALUE(G62),_xlfn.NUMBERVALUE([1]FIS_ETO_2026_07_E_CAPACITORES_I!$F:$F),_xlfn.NUMBERVALUE([1]FIS_ETO_2026_07_E_CAPACITORES_I!$AI:$AI))</f>
        <v>100</v>
      </c>
      <c r="I62" s="1" t="s">
        <v>120</v>
      </c>
      <c r="J62" s="1">
        <v>2</v>
      </c>
      <c r="K62" s="3">
        <v>10126.33</v>
      </c>
    </row>
    <row r="63" spans="1:11" x14ac:dyDescent="0.25">
      <c r="A63" s="1" t="s">
        <v>356</v>
      </c>
      <c r="B63" s="1" t="s">
        <v>26</v>
      </c>
      <c r="C63" s="1" t="s">
        <v>357</v>
      </c>
      <c r="D63" s="1" t="s">
        <v>358</v>
      </c>
      <c r="E63" s="1" t="s">
        <v>359</v>
      </c>
      <c r="F63" s="1" t="s">
        <v>338</v>
      </c>
      <c r="G63" s="2" t="s">
        <v>360</v>
      </c>
      <c r="H63" s="1" cm="1">
        <f t="array" ref="H63">_xlfn.XLOOKUP(_xlfn.NUMBERVALUE(G63),_xlfn.NUMBERVALUE([1]FIS_ETO_2026_07_E_CAPACITORES_I!$F:$F),_xlfn.NUMBERVALUE([1]FIS_ETO_2026_07_E_CAPACITORES_I!$AI:$AI))</f>
        <v>100</v>
      </c>
      <c r="I63" s="1" t="s">
        <v>361</v>
      </c>
      <c r="J63" s="1">
        <v>2</v>
      </c>
      <c r="K63" s="3">
        <v>10126.33</v>
      </c>
    </row>
    <row r="64" spans="1:11" x14ac:dyDescent="0.25">
      <c r="A64" s="1" t="s">
        <v>362</v>
      </c>
      <c r="B64" s="1" t="s">
        <v>26</v>
      </c>
      <c r="C64" s="1" t="s">
        <v>363</v>
      </c>
      <c r="D64" s="1" t="s">
        <v>364</v>
      </c>
      <c r="E64" s="1" t="s">
        <v>365</v>
      </c>
      <c r="F64" s="1" t="s">
        <v>70</v>
      </c>
      <c r="G64" s="2" t="s">
        <v>366</v>
      </c>
      <c r="H64" s="1" cm="1">
        <f t="array" ref="H64">_xlfn.XLOOKUP(_xlfn.NUMBERVALUE(G64),_xlfn.NUMBERVALUE([1]FIS_ETO_2026_07_E_CAPACITORES_I!$F:$F),_xlfn.NUMBERVALUE([1]FIS_ETO_2026_07_E_CAPACITORES_I!$AI:$AI))</f>
        <v>100</v>
      </c>
      <c r="I64" s="1" t="s">
        <v>120</v>
      </c>
      <c r="J64" s="1">
        <v>2</v>
      </c>
      <c r="K64" s="3">
        <v>10126.33</v>
      </c>
    </row>
    <row r="65" spans="1:11" x14ac:dyDescent="0.25">
      <c r="A65" s="1" t="s">
        <v>367</v>
      </c>
      <c r="B65" s="1" t="s">
        <v>26</v>
      </c>
      <c r="C65" s="1" t="s">
        <v>368</v>
      </c>
      <c r="D65" s="1" t="s">
        <v>369</v>
      </c>
      <c r="E65" s="1" t="s">
        <v>370</v>
      </c>
      <c r="F65" s="1" t="s">
        <v>101</v>
      </c>
      <c r="G65" s="1" t="s">
        <v>370</v>
      </c>
    </row>
    <row r="66" spans="1:11" x14ac:dyDescent="0.25">
      <c r="A66" s="1" t="s">
        <v>371</v>
      </c>
      <c r="B66" s="1" t="s">
        <v>26</v>
      </c>
      <c r="C66" s="1" t="s">
        <v>372</v>
      </c>
      <c r="D66" s="1" t="s">
        <v>373</v>
      </c>
      <c r="E66" s="1" t="s">
        <v>374</v>
      </c>
      <c r="F66" s="1" t="s">
        <v>76</v>
      </c>
      <c r="G66" s="2" t="s">
        <v>375</v>
      </c>
      <c r="H66" s="1" cm="1">
        <f t="array" ref="H66">_xlfn.XLOOKUP(_xlfn.NUMBERVALUE(G66),_xlfn.NUMBERVALUE([1]FIS_ETO_2026_07_E_CAPACITORES_I!$F:$F),_xlfn.NUMBERVALUE([1]FIS_ETO_2026_07_E_CAPACITORES_I!$AI:$AI))</f>
        <v>100</v>
      </c>
      <c r="I66" s="1" t="s">
        <v>321</v>
      </c>
      <c r="J66" s="1">
        <v>2</v>
      </c>
      <c r="K66" s="3">
        <v>10126.33</v>
      </c>
    </row>
    <row r="67" spans="1:11" x14ac:dyDescent="0.25">
      <c r="A67" s="1" t="s">
        <v>376</v>
      </c>
      <c r="B67" s="1" t="s">
        <v>26</v>
      </c>
      <c r="C67" s="1" t="s">
        <v>377</v>
      </c>
      <c r="D67" s="1" t="s">
        <v>378</v>
      </c>
      <c r="E67" s="1" t="s">
        <v>379</v>
      </c>
      <c r="F67" s="1" t="s">
        <v>380</v>
      </c>
      <c r="G67" s="2" t="s">
        <v>381</v>
      </c>
      <c r="H67" s="1" cm="1">
        <f t="array" ref="H67">_xlfn.XLOOKUP(_xlfn.NUMBERVALUE(G67),_xlfn.NUMBERVALUE([1]FIS_ETO_2026_07_E_CAPACITORES_I!$F:$F),_xlfn.NUMBERVALUE([1]FIS_ETO_2026_07_E_CAPACITORES_I!$AI:$AI))</f>
        <v>100</v>
      </c>
      <c r="I67" s="1" t="s">
        <v>120</v>
      </c>
      <c r="J67" s="1">
        <v>2</v>
      </c>
      <c r="K67" s="3">
        <v>10126.33</v>
      </c>
    </row>
    <row r="68" spans="1:11" x14ac:dyDescent="0.25">
      <c r="A68" s="1" t="s">
        <v>382</v>
      </c>
      <c r="B68" s="1" t="s">
        <v>26</v>
      </c>
      <c r="C68" s="1" t="s">
        <v>383</v>
      </c>
      <c r="D68" s="1" t="s">
        <v>384</v>
      </c>
      <c r="E68" s="1" t="s">
        <v>385</v>
      </c>
      <c r="F68" s="1" t="s">
        <v>386</v>
      </c>
      <c r="G68" s="2" t="s">
        <v>387</v>
      </c>
      <c r="H68" s="1" cm="1">
        <f t="array" ref="H68">_xlfn.XLOOKUP(_xlfn.NUMBERVALUE(G68),_xlfn.NUMBERVALUE([1]FIS_ETO_2026_07_E_CAPACITORES_I!$F:$F),_xlfn.NUMBERVALUE([1]FIS_ETO_2026_07_E_CAPACITORES_I!$AI:$AI))</f>
        <v>100</v>
      </c>
      <c r="I68" s="1" t="s">
        <v>321</v>
      </c>
      <c r="J68" s="1">
        <v>2</v>
      </c>
      <c r="K68" s="3">
        <v>10126.33</v>
      </c>
    </row>
    <row r="69" spans="1:11" x14ac:dyDescent="0.25">
      <c r="A69" s="1" t="s">
        <v>388</v>
      </c>
      <c r="B69" s="1" t="s">
        <v>26</v>
      </c>
      <c r="C69" s="1" t="s">
        <v>389</v>
      </c>
      <c r="D69" s="1" t="s">
        <v>390</v>
      </c>
      <c r="E69" s="1" t="s">
        <v>391</v>
      </c>
      <c r="F69" s="1" t="s">
        <v>125</v>
      </c>
      <c r="G69" s="1" t="s">
        <v>391</v>
      </c>
    </row>
    <row r="70" spans="1:11" x14ac:dyDescent="0.25">
      <c r="A70" s="1" t="s">
        <v>392</v>
      </c>
      <c r="B70" s="1" t="s">
        <v>26</v>
      </c>
      <c r="C70" s="1" t="s">
        <v>393</v>
      </c>
      <c r="D70" s="1" t="s">
        <v>394</v>
      </c>
      <c r="E70" s="1" t="s">
        <v>395</v>
      </c>
      <c r="F70" s="1" t="s">
        <v>396</v>
      </c>
      <c r="G70" s="1" t="s">
        <v>397</v>
      </c>
    </row>
    <row r="71" spans="1:11" x14ac:dyDescent="0.25">
      <c r="A71" s="1" t="s">
        <v>398</v>
      </c>
      <c r="B71" s="1" t="s">
        <v>26</v>
      </c>
      <c r="C71" s="1" t="s">
        <v>399</v>
      </c>
      <c r="D71" s="1" t="s">
        <v>400</v>
      </c>
      <c r="E71" s="1" t="s">
        <v>401</v>
      </c>
      <c r="F71" s="1" t="s">
        <v>402</v>
      </c>
      <c r="G71" s="1" t="s">
        <v>403</v>
      </c>
    </row>
    <row r="72" spans="1:11" x14ac:dyDescent="0.25">
      <c r="A72" s="1" t="s">
        <v>404</v>
      </c>
      <c r="B72" s="1" t="s">
        <v>26</v>
      </c>
      <c r="C72" s="1" t="s">
        <v>405</v>
      </c>
      <c r="D72" s="1" t="s">
        <v>406</v>
      </c>
      <c r="E72" s="1" t="s">
        <v>407</v>
      </c>
      <c r="F72" s="1" t="s">
        <v>408</v>
      </c>
      <c r="G72" s="1" t="s">
        <v>407</v>
      </c>
    </row>
    <row r="73" spans="1:11" x14ac:dyDescent="0.25">
      <c r="A73" s="1" t="s">
        <v>409</v>
      </c>
      <c r="B73" s="1" t="s">
        <v>26</v>
      </c>
      <c r="C73" s="1" t="s">
        <v>410</v>
      </c>
      <c r="D73" s="1" t="s">
        <v>411</v>
      </c>
      <c r="E73" s="1" t="s">
        <v>412</v>
      </c>
      <c r="F73" s="1" t="s">
        <v>413</v>
      </c>
      <c r="G73" s="1" t="s">
        <v>414</v>
      </c>
    </row>
    <row r="74" spans="1:11" x14ac:dyDescent="0.25">
      <c r="A74" s="1" t="s">
        <v>415</v>
      </c>
      <c r="B74" s="1" t="s">
        <v>26</v>
      </c>
      <c r="C74" s="1" t="s">
        <v>416</v>
      </c>
      <c r="D74" s="1" t="s">
        <v>417</v>
      </c>
      <c r="E74" s="1" t="s">
        <v>418</v>
      </c>
      <c r="F74" s="1" t="s">
        <v>419</v>
      </c>
      <c r="G74" s="1" t="s">
        <v>418</v>
      </c>
    </row>
    <row r="75" spans="1:11" x14ac:dyDescent="0.25">
      <c r="A75" s="1" t="s">
        <v>420</v>
      </c>
      <c r="B75" s="1" t="s">
        <v>26</v>
      </c>
      <c r="C75" s="1" t="s">
        <v>421</v>
      </c>
      <c r="D75" s="1" t="s">
        <v>422</v>
      </c>
      <c r="E75" s="1" t="s">
        <v>423</v>
      </c>
      <c r="F75" s="1" t="s">
        <v>241</v>
      </c>
      <c r="G75" s="1" t="s">
        <v>424</v>
      </c>
    </row>
    <row r="76" spans="1:11" x14ac:dyDescent="0.25">
      <c r="A76" s="1" t="s">
        <v>425</v>
      </c>
      <c r="B76" s="1" t="s">
        <v>26</v>
      </c>
      <c r="C76" s="1" t="s">
        <v>426</v>
      </c>
      <c r="D76" s="1" t="s">
        <v>427</v>
      </c>
      <c r="E76" s="1" t="s">
        <v>428</v>
      </c>
      <c r="F76" s="1" t="s">
        <v>429</v>
      </c>
      <c r="G76" s="1" t="s">
        <v>430</v>
      </c>
    </row>
    <row r="77" spans="1:11" x14ac:dyDescent="0.25">
      <c r="A77" s="1" t="s">
        <v>431</v>
      </c>
      <c r="B77" s="1" t="s">
        <v>26</v>
      </c>
      <c r="C77" s="1" t="s">
        <v>432</v>
      </c>
      <c r="D77" s="1" t="s">
        <v>433</v>
      </c>
      <c r="E77" s="1" t="s">
        <v>434</v>
      </c>
      <c r="F77" s="1" t="s">
        <v>435</v>
      </c>
      <c r="G77" s="1" t="s">
        <v>436</v>
      </c>
    </row>
    <row r="78" spans="1:11" x14ac:dyDescent="0.25">
      <c r="A78" s="1" t="s">
        <v>437</v>
      </c>
      <c r="B78" s="1" t="s">
        <v>26</v>
      </c>
      <c r="C78" s="1" t="s">
        <v>438</v>
      </c>
      <c r="D78" s="1" t="s">
        <v>439</v>
      </c>
      <c r="E78" s="1" t="s">
        <v>440</v>
      </c>
      <c r="F78" s="1" t="s">
        <v>402</v>
      </c>
      <c r="G78" s="2" t="s">
        <v>441</v>
      </c>
      <c r="H78" s="1" cm="1">
        <f t="array" ref="H78">_xlfn.XLOOKUP(_xlfn.NUMBERVALUE(G78),_xlfn.NUMBERVALUE([1]FIS_ETO_2026_07_E_CAPACITORES_I!$F:$F),_xlfn.NUMBERVALUE([1]FIS_ETO_2026_07_E_CAPACITORES_I!$AI:$AI))</f>
        <v>100</v>
      </c>
      <c r="I78" s="1" t="s">
        <v>120</v>
      </c>
      <c r="J78" s="1">
        <v>2</v>
      </c>
      <c r="K78" s="3">
        <v>10126.33</v>
      </c>
    </row>
    <row r="79" spans="1:11" x14ac:dyDescent="0.25">
      <c r="A79" s="1" t="s">
        <v>442</v>
      </c>
      <c r="B79" s="1" t="s">
        <v>26</v>
      </c>
      <c r="C79" s="1" t="s">
        <v>443</v>
      </c>
      <c r="D79" s="1" t="s">
        <v>444</v>
      </c>
      <c r="E79" s="1" t="s">
        <v>445</v>
      </c>
      <c r="F79" s="1" t="s">
        <v>106</v>
      </c>
      <c r="G79" s="2" t="s">
        <v>446</v>
      </c>
      <c r="H79" s="1" cm="1">
        <f t="array" ref="H79">_xlfn.XLOOKUP(_xlfn.NUMBERVALUE(G79),_xlfn.NUMBERVALUE([1]FIS_ETO_2026_07_E_CAPACITORES_I!$F:$F),_xlfn.NUMBERVALUE([1]FIS_ETO_2026_07_E_CAPACITORES_I!$AI:$AI))</f>
        <v>100</v>
      </c>
      <c r="I79" s="1" t="s">
        <v>321</v>
      </c>
      <c r="J79" s="1">
        <v>2</v>
      </c>
      <c r="K79" s="3">
        <v>10126.33</v>
      </c>
    </row>
    <row r="80" spans="1:11" x14ac:dyDescent="0.25">
      <c r="A80" s="1" t="s">
        <v>447</v>
      </c>
      <c r="B80" s="1" t="s">
        <v>26</v>
      </c>
      <c r="C80" s="1" t="s">
        <v>448</v>
      </c>
      <c r="D80" s="1" t="s">
        <v>449</v>
      </c>
      <c r="E80" s="1" t="s">
        <v>450</v>
      </c>
      <c r="F80" s="1" t="s">
        <v>301</v>
      </c>
      <c r="G80" s="2" t="s">
        <v>451</v>
      </c>
      <c r="H80" s="1" cm="1">
        <f t="array" ref="H80">_xlfn.XLOOKUP(_xlfn.NUMBERVALUE(G80),_xlfn.NUMBERVALUE([1]FIS_ETO_2026_07_E_CAPACITORES_I!$F:$F),_xlfn.NUMBERVALUE([1]FIS_ETO_2026_07_E_CAPACITORES_I!$AI:$AI))</f>
        <v>100</v>
      </c>
      <c r="I80" s="1" t="s">
        <v>120</v>
      </c>
      <c r="J80" s="1">
        <v>2</v>
      </c>
      <c r="K80" s="3">
        <v>10126.33</v>
      </c>
    </row>
    <row r="81" spans="1:11" x14ac:dyDescent="0.25">
      <c r="A81" s="1" t="s">
        <v>452</v>
      </c>
      <c r="B81" s="1" t="s">
        <v>26</v>
      </c>
      <c r="C81" s="1" t="s">
        <v>453</v>
      </c>
      <c r="D81" s="1" t="s">
        <v>454</v>
      </c>
      <c r="E81" s="1" t="s">
        <v>455</v>
      </c>
      <c r="F81" s="1" t="s">
        <v>125</v>
      </c>
      <c r="G81" s="2" t="s">
        <v>456</v>
      </c>
      <c r="H81" s="1" cm="1">
        <f t="array" ref="H81">_xlfn.XLOOKUP(_xlfn.NUMBERVALUE(G81),_xlfn.NUMBERVALUE([1]FIS_ETO_2026_07_E_CAPACITORES_I!$F:$F),_xlfn.NUMBERVALUE([1]FIS_ETO_2026_07_E_CAPACITORES_I!$AI:$AI))</f>
        <v>100</v>
      </c>
      <c r="I81" s="1" t="s">
        <v>120</v>
      </c>
      <c r="J81" s="1">
        <v>2</v>
      </c>
      <c r="K81" s="3">
        <v>10126.33</v>
      </c>
    </row>
    <row r="82" spans="1:11" x14ac:dyDescent="0.25">
      <c r="A82" s="1" t="s">
        <v>457</v>
      </c>
      <c r="B82" s="1" t="s">
        <v>39</v>
      </c>
      <c r="C82" s="1" t="s">
        <v>458</v>
      </c>
      <c r="D82" s="1" t="s">
        <v>459</v>
      </c>
      <c r="E82" s="1" t="s">
        <v>460</v>
      </c>
      <c r="F82" s="1" t="s">
        <v>461</v>
      </c>
      <c r="G82" s="2" t="s">
        <v>462</v>
      </c>
      <c r="H82" s="1" cm="1">
        <f t="array" ref="H82">_xlfn.XLOOKUP(_xlfn.NUMBERVALUE(G82),_xlfn.NUMBERVALUE([1]FIS_ETO_2026_07_E_CAPACITORES_I!$F:$F),_xlfn.NUMBERVALUE([1]FIS_ETO_2026_07_E_CAPACITORES_I!$AI:$AI))</f>
        <v>100</v>
      </c>
      <c r="I82" s="1" t="s">
        <v>120</v>
      </c>
      <c r="J82" s="1">
        <v>2</v>
      </c>
      <c r="K82" s="3">
        <v>10126.33</v>
      </c>
    </row>
    <row r="83" spans="1:11" x14ac:dyDescent="0.25">
      <c r="A83" s="1" t="s">
        <v>463</v>
      </c>
      <c r="B83" s="1" t="s">
        <v>26</v>
      </c>
      <c r="C83" s="1" t="s">
        <v>464</v>
      </c>
      <c r="D83" s="1" t="s">
        <v>465</v>
      </c>
      <c r="E83" s="1" t="s">
        <v>466</v>
      </c>
      <c r="F83" s="1" t="s">
        <v>467</v>
      </c>
      <c r="G83" s="2" t="s">
        <v>468</v>
      </c>
      <c r="H83" s="1" cm="1">
        <f t="array" ref="H83">_xlfn.XLOOKUP(_xlfn.NUMBERVALUE(G83),_xlfn.NUMBERVALUE([1]FIS_ETO_2026_07_E_CAPACITORES_I!$F:$F),_xlfn.NUMBERVALUE([1]FIS_ETO_2026_07_E_CAPACITORES_I!$AI:$AI))</f>
        <v>100</v>
      </c>
      <c r="I83" s="1" t="s">
        <v>120</v>
      </c>
      <c r="J83" s="1">
        <v>2</v>
      </c>
      <c r="K83" s="3">
        <v>10126.33</v>
      </c>
    </row>
    <row r="84" spans="1:11" x14ac:dyDescent="0.25">
      <c r="A84" s="1" t="s">
        <v>469</v>
      </c>
      <c r="B84" s="1" t="s">
        <v>26</v>
      </c>
      <c r="C84" s="1" t="s">
        <v>470</v>
      </c>
      <c r="D84" s="1" t="s">
        <v>471</v>
      </c>
      <c r="E84" s="1" t="s">
        <v>472</v>
      </c>
      <c r="F84" s="1" t="s">
        <v>473</v>
      </c>
      <c r="G84" s="2" t="s">
        <v>474</v>
      </c>
      <c r="H84" s="1" cm="1">
        <f t="array" ref="H84">_xlfn.XLOOKUP(_xlfn.NUMBERVALUE(G84),_xlfn.NUMBERVALUE([1]FIS_ETO_2026_07_E_CAPACITORES_I!$F:$F),_xlfn.NUMBERVALUE([1]FIS_ETO_2026_07_E_CAPACITORES_I!$AI:$AI))</f>
        <v>100</v>
      </c>
      <c r="I84" s="1" t="s">
        <v>120</v>
      </c>
      <c r="J84" s="1">
        <v>2</v>
      </c>
      <c r="K84" s="3">
        <v>10126.33</v>
      </c>
    </row>
    <row r="85" spans="1:11" x14ac:dyDescent="0.25">
      <c r="A85" s="1" t="s">
        <v>475</v>
      </c>
      <c r="B85" s="1" t="s">
        <v>26</v>
      </c>
      <c r="C85" s="1" t="s">
        <v>476</v>
      </c>
      <c r="D85" s="1" t="s">
        <v>477</v>
      </c>
      <c r="E85" s="1" t="s">
        <v>478</v>
      </c>
      <c r="F85" s="1" t="s">
        <v>326</v>
      </c>
      <c r="G85" s="1" t="s">
        <v>478</v>
      </c>
    </row>
    <row r="86" spans="1:11" x14ac:dyDescent="0.25">
      <c r="A86" s="1" t="s">
        <v>479</v>
      </c>
      <c r="B86" s="1" t="s">
        <v>39</v>
      </c>
      <c r="C86" s="1" t="s">
        <v>480</v>
      </c>
      <c r="D86" s="1" t="s">
        <v>481</v>
      </c>
      <c r="E86" s="1" t="s">
        <v>482</v>
      </c>
      <c r="F86" s="1" t="s">
        <v>483</v>
      </c>
      <c r="G86" s="2" t="s">
        <v>484</v>
      </c>
      <c r="H86" s="1" cm="1">
        <f t="array" ref="H86">_xlfn.XLOOKUP(_xlfn.NUMBERVALUE(G86),_xlfn.NUMBERVALUE([1]FIS_ETO_2026_07_E_CAPACITORES_I!$F:$F),_xlfn.NUMBERVALUE([1]FIS_ETO_2026_07_E_CAPACITORES_I!$AI:$AI))</f>
        <v>100</v>
      </c>
      <c r="I86" s="1" t="s">
        <v>120</v>
      </c>
      <c r="J86" s="1">
        <v>2</v>
      </c>
      <c r="K86" s="3">
        <v>10126.33</v>
      </c>
    </row>
    <row r="87" spans="1:11" x14ac:dyDescent="0.25">
      <c r="A87" s="1" t="s">
        <v>485</v>
      </c>
      <c r="B87" s="1" t="s">
        <v>26</v>
      </c>
      <c r="C87" s="1" t="s">
        <v>486</v>
      </c>
      <c r="D87" s="1" t="s">
        <v>487</v>
      </c>
      <c r="E87" s="1" t="s">
        <v>488</v>
      </c>
      <c r="F87" s="1" t="s">
        <v>489</v>
      </c>
      <c r="G87" s="2" t="s">
        <v>490</v>
      </c>
      <c r="H87" s="1" cm="1">
        <f t="array" ref="H87">_xlfn.XLOOKUP(_xlfn.NUMBERVALUE(G87),_xlfn.NUMBERVALUE([1]FIS_ETO_2026_07_E_CAPACITORES_I!$F:$F),_xlfn.NUMBERVALUE([1]FIS_ETO_2026_07_E_CAPACITORES_I!$AI:$AI))</f>
        <v>100</v>
      </c>
      <c r="I87" s="1" t="s">
        <v>120</v>
      </c>
      <c r="J87" s="1">
        <v>2</v>
      </c>
      <c r="K87" s="3">
        <v>10126.33</v>
      </c>
    </row>
    <row r="88" spans="1:11" x14ac:dyDescent="0.25">
      <c r="A88" s="1" t="s">
        <v>491</v>
      </c>
      <c r="B88" s="1" t="s">
        <v>26</v>
      </c>
      <c r="C88" s="1" t="s">
        <v>492</v>
      </c>
      <c r="D88" s="1" t="s">
        <v>493</v>
      </c>
      <c r="E88" s="1" t="s">
        <v>494</v>
      </c>
      <c r="F88" s="1" t="s">
        <v>495</v>
      </c>
      <c r="G88" s="1" t="s">
        <v>494</v>
      </c>
    </row>
    <row r="89" spans="1:11" x14ac:dyDescent="0.25">
      <c r="A89" s="1" t="s">
        <v>496</v>
      </c>
      <c r="B89" s="1" t="s">
        <v>26</v>
      </c>
      <c r="C89" s="1" t="s">
        <v>497</v>
      </c>
      <c r="D89" s="1" t="s">
        <v>498</v>
      </c>
      <c r="E89" s="1" t="s">
        <v>499</v>
      </c>
      <c r="F89" s="1" t="s">
        <v>500</v>
      </c>
      <c r="G89" s="1" t="s">
        <v>501</v>
      </c>
    </row>
    <row r="90" spans="1:11" x14ac:dyDescent="0.25">
      <c r="A90" s="1" t="s">
        <v>502</v>
      </c>
      <c r="B90" s="1" t="s">
        <v>26</v>
      </c>
      <c r="C90" s="1" t="s">
        <v>503</v>
      </c>
      <c r="D90" s="1" t="s">
        <v>504</v>
      </c>
      <c r="E90" s="1" t="s">
        <v>505</v>
      </c>
      <c r="F90" s="1" t="s">
        <v>506</v>
      </c>
      <c r="G90" s="1" t="s">
        <v>507</v>
      </c>
    </row>
    <row r="91" spans="1:11" x14ac:dyDescent="0.25">
      <c r="A91" s="1" t="s">
        <v>508</v>
      </c>
      <c r="B91" s="1" t="s">
        <v>26</v>
      </c>
      <c r="C91" s="1" t="s">
        <v>509</v>
      </c>
      <c r="D91" s="1" t="s">
        <v>510</v>
      </c>
      <c r="E91" s="1" t="s">
        <v>511</v>
      </c>
      <c r="F91" s="1" t="s">
        <v>512</v>
      </c>
      <c r="G91" s="1" t="s">
        <v>513</v>
      </c>
    </row>
    <row r="92" spans="1:11" x14ac:dyDescent="0.25">
      <c r="A92" s="1" t="s">
        <v>514</v>
      </c>
      <c r="B92" s="1" t="s">
        <v>26</v>
      </c>
      <c r="C92" s="1" t="s">
        <v>515</v>
      </c>
      <c r="D92" s="1" t="s">
        <v>516</v>
      </c>
      <c r="E92" s="1" t="s">
        <v>517</v>
      </c>
      <c r="F92" s="1" t="s">
        <v>518</v>
      </c>
      <c r="G92" s="1" t="s">
        <v>517</v>
      </c>
    </row>
    <row r="93" spans="1:11" x14ac:dyDescent="0.25">
      <c r="A93" s="1" t="s">
        <v>519</v>
      </c>
      <c r="B93" s="1" t="s">
        <v>26</v>
      </c>
      <c r="C93" s="1" t="s">
        <v>520</v>
      </c>
      <c r="D93" s="1" t="s">
        <v>521</v>
      </c>
      <c r="E93" s="1" t="s">
        <v>522</v>
      </c>
      <c r="F93" s="1" t="s">
        <v>523</v>
      </c>
      <c r="G93" s="1" t="s">
        <v>522</v>
      </c>
    </row>
    <row r="94" spans="1:11" x14ac:dyDescent="0.25">
      <c r="A94" s="1" t="s">
        <v>524</v>
      </c>
      <c r="B94" s="1" t="s">
        <v>39</v>
      </c>
      <c r="C94" s="1" t="s">
        <v>525</v>
      </c>
      <c r="D94" s="1" t="s">
        <v>526</v>
      </c>
      <c r="E94" s="1" t="s">
        <v>527</v>
      </c>
      <c r="F94" s="1" t="s">
        <v>96</v>
      </c>
      <c r="G94" s="1" t="s">
        <v>528</v>
      </c>
    </row>
    <row r="95" spans="1:11" x14ac:dyDescent="0.25">
      <c r="A95" s="1" t="s">
        <v>529</v>
      </c>
      <c r="B95" s="1" t="s">
        <v>26</v>
      </c>
      <c r="C95" s="1" t="s">
        <v>530</v>
      </c>
      <c r="D95" s="1" t="s">
        <v>531</v>
      </c>
      <c r="E95" s="1" t="s">
        <v>532</v>
      </c>
      <c r="F95" s="1" t="s">
        <v>533</v>
      </c>
      <c r="G95" s="1" t="s">
        <v>534</v>
      </c>
    </row>
    <row r="96" spans="1:11" x14ac:dyDescent="0.25">
      <c r="A96" s="1" t="s">
        <v>535</v>
      </c>
      <c r="B96" s="1" t="s">
        <v>26</v>
      </c>
      <c r="C96" s="1" t="s">
        <v>536</v>
      </c>
      <c r="D96" s="1" t="s">
        <v>537</v>
      </c>
      <c r="E96" s="1" t="s">
        <v>538</v>
      </c>
      <c r="F96" s="1" t="s">
        <v>43</v>
      </c>
      <c r="G96" s="1" t="s">
        <v>538</v>
      </c>
    </row>
    <row r="97" spans="1:11" x14ac:dyDescent="0.25">
      <c r="A97" s="1" t="s">
        <v>539</v>
      </c>
      <c r="B97" s="1" t="s">
        <v>26</v>
      </c>
      <c r="C97" s="1" t="s">
        <v>540</v>
      </c>
      <c r="D97" s="1" t="s">
        <v>541</v>
      </c>
      <c r="E97" s="1" t="s">
        <v>542</v>
      </c>
      <c r="F97" s="1" t="s">
        <v>543</v>
      </c>
      <c r="G97" s="1" t="s">
        <v>544</v>
      </c>
    </row>
    <row r="98" spans="1:11" x14ac:dyDescent="0.25">
      <c r="A98" s="1" t="s">
        <v>545</v>
      </c>
      <c r="B98" s="1" t="s">
        <v>26</v>
      </c>
      <c r="C98" s="1" t="s">
        <v>546</v>
      </c>
      <c r="D98" s="1" t="s">
        <v>547</v>
      </c>
      <c r="E98" s="1" t="s">
        <v>548</v>
      </c>
      <c r="F98" s="1" t="s">
        <v>549</v>
      </c>
      <c r="G98" s="2" t="s">
        <v>550</v>
      </c>
      <c r="H98" s="1" cm="1">
        <f t="array" ref="H98">_xlfn.XLOOKUP(_xlfn.NUMBERVALUE(G98),_xlfn.NUMBERVALUE([1]FIS_ETO_2026_07_E_CAPACITORES_I!$F:$F),_xlfn.NUMBERVALUE([1]FIS_ETO_2026_07_E_CAPACITORES_I!$AI:$AI))</f>
        <v>100</v>
      </c>
      <c r="I98" s="1" t="s">
        <v>120</v>
      </c>
      <c r="J98" s="1">
        <v>2</v>
      </c>
      <c r="K98" s="3">
        <v>10126.33</v>
      </c>
    </row>
    <row r="99" spans="1:11" x14ac:dyDescent="0.25">
      <c r="A99" s="1" t="s">
        <v>551</v>
      </c>
      <c r="B99" s="1" t="s">
        <v>26</v>
      </c>
      <c r="C99" s="1" t="s">
        <v>552</v>
      </c>
      <c r="D99" s="1" t="s">
        <v>553</v>
      </c>
      <c r="E99" s="1" t="s">
        <v>548</v>
      </c>
      <c r="F99" s="1" t="s">
        <v>549</v>
      </c>
      <c r="G99" s="2" t="s">
        <v>550</v>
      </c>
      <c r="H99" s="1" cm="1">
        <f t="array" ref="H99">_xlfn.XLOOKUP(_xlfn.NUMBERVALUE(G99),_xlfn.NUMBERVALUE([1]FIS_ETO_2026_07_E_CAPACITORES_I!$F:$F),_xlfn.NUMBERVALUE([1]FIS_ETO_2026_07_E_CAPACITORES_I!$AI:$AI))</f>
        <v>100</v>
      </c>
      <c r="I99" s="1" t="s">
        <v>120</v>
      </c>
      <c r="J99" s="1">
        <v>2</v>
      </c>
      <c r="K99" s="3">
        <v>10126.33</v>
      </c>
    </row>
    <row r="100" spans="1:11" x14ac:dyDescent="0.25">
      <c r="A100" s="1" t="s">
        <v>554</v>
      </c>
      <c r="B100" s="1" t="s">
        <v>39</v>
      </c>
      <c r="C100" s="1" t="s">
        <v>555</v>
      </c>
      <c r="D100" s="1" t="s">
        <v>556</v>
      </c>
      <c r="E100" s="1" t="s">
        <v>557</v>
      </c>
      <c r="F100" s="1" t="s">
        <v>558</v>
      </c>
      <c r="G100" s="1" t="s">
        <v>559</v>
      </c>
    </row>
    <row r="101" spans="1:11" x14ac:dyDescent="0.25">
      <c r="A101" s="1" t="s">
        <v>560</v>
      </c>
      <c r="B101" s="1" t="s">
        <v>39</v>
      </c>
      <c r="C101" s="1" t="s">
        <v>561</v>
      </c>
      <c r="D101" s="1" t="s">
        <v>562</v>
      </c>
      <c r="E101" s="1" t="s">
        <v>563</v>
      </c>
      <c r="F101" s="1" t="s">
        <v>408</v>
      </c>
      <c r="G101" s="1" t="s">
        <v>563</v>
      </c>
    </row>
    <row r="102" spans="1:11" x14ac:dyDescent="0.25">
      <c r="A102" s="1" t="s">
        <v>564</v>
      </c>
      <c r="B102" s="1" t="s">
        <v>39</v>
      </c>
      <c r="C102" s="1" t="s">
        <v>565</v>
      </c>
      <c r="D102" s="1" t="s">
        <v>566</v>
      </c>
      <c r="E102" s="1" t="s">
        <v>91</v>
      </c>
      <c r="F102" s="1" t="s">
        <v>54</v>
      </c>
      <c r="G102" s="1" t="s">
        <v>91</v>
      </c>
    </row>
    <row r="103" spans="1:11" x14ac:dyDescent="0.25">
      <c r="A103" s="1" t="s">
        <v>567</v>
      </c>
      <c r="B103" s="1" t="s">
        <v>39</v>
      </c>
      <c r="C103" s="1" t="s">
        <v>568</v>
      </c>
      <c r="D103" s="1" t="s">
        <v>569</v>
      </c>
      <c r="E103" s="1" t="s">
        <v>570</v>
      </c>
      <c r="F103" s="1" t="s">
        <v>101</v>
      </c>
      <c r="G103" s="1" t="s">
        <v>570</v>
      </c>
    </row>
    <row r="104" spans="1:11" x14ac:dyDescent="0.25">
      <c r="A104" s="1" t="s">
        <v>571</v>
      </c>
      <c r="B104" s="1" t="s">
        <v>39</v>
      </c>
      <c r="C104" s="1" t="s">
        <v>572</v>
      </c>
      <c r="D104" s="1" t="s">
        <v>573</v>
      </c>
      <c r="E104" s="1" t="s">
        <v>574</v>
      </c>
      <c r="F104" s="1" t="s">
        <v>575</v>
      </c>
      <c r="G104" s="1" t="s">
        <v>574</v>
      </c>
    </row>
    <row r="105" spans="1:11" x14ac:dyDescent="0.25">
      <c r="A105" s="1" t="s">
        <v>576</v>
      </c>
      <c r="B105" s="1" t="s">
        <v>26</v>
      </c>
      <c r="C105" s="1" t="s">
        <v>577</v>
      </c>
      <c r="D105" s="1" t="s">
        <v>578</v>
      </c>
      <c r="E105" s="1" t="s">
        <v>579</v>
      </c>
      <c r="F105" s="1" t="s">
        <v>319</v>
      </c>
      <c r="G105" s="1" t="s">
        <v>579</v>
      </c>
    </row>
    <row r="106" spans="1:11" x14ac:dyDescent="0.25">
      <c r="A106" s="1" t="s">
        <v>580</v>
      </c>
      <c r="B106" s="1" t="s">
        <v>26</v>
      </c>
      <c r="C106" s="1" t="s">
        <v>581</v>
      </c>
      <c r="D106" s="1" t="s">
        <v>582</v>
      </c>
      <c r="E106" s="1" t="s">
        <v>583</v>
      </c>
      <c r="F106" s="1" t="s">
        <v>402</v>
      </c>
      <c r="G106" s="1" t="s">
        <v>583</v>
      </c>
    </row>
    <row r="107" spans="1:11" x14ac:dyDescent="0.25">
      <c r="A107" s="1" t="s">
        <v>584</v>
      </c>
      <c r="B107" s="1" t="s">
        <v>26</v>
      </c>
      <c r="C107" s="1" t="s">
        <v>585</v>
      </c>
      <c r="D107" s="1" t="s">
        <v>586</v>
      </c>
      <c r="E107" s="1" t="s">
        <v>587</v>
      </c>
      <c r="F107" s="1" t="s">
        <v>588</v>
      </c>
      <c r="G107" s="2" t="s">
        <v>589</v>
      </c>
      <c r="H107" s="1" cm="1">
        <f t="array" ref="H107">_xlfn.XLOOKUP(_xlfn.NUMBERVALUE(G107),_xlfn.NUMBERVALUE([1]FIS_ETO_2026_07_E_CAPACITORES_I!$F:$F),_xlfn.NUMBERVALUE([1]FIS_ETO_2026_07_E_CAPACITORES_I!$AI:$AI))</f>
        <v>150</v>
      </c>
      <c r="I107" s="1" t="s">
        <v>590</v>
      </c>
      <c r="J107" s="1">
        <v>2</v>
      </c>
      <c r="K107" s="3">
        <v>11558.305</v>
      </c>
    </row>
    <row r="108" spans="1:11" x14ac:dyDescent="0.25">
      <c r="A108" s="1" t="s">
        <v>591</v>
      </c>
      <c r="B108" s="1" t="s">
        <v>26</v>
      </c>
      <c r="C108" s="1" t="s">
        <v>592</v>
      </c>
      <c r="D108" s="1" t="s">
        <v>593</v>
      </c>
      <c r="E108" s="1" t="s">
        <v>594</v>
      </c>
      <c r="F108" s="1" t="s">
        <v>595</v>
      </c>
      <c r="G108" s="1" t="s">
        <v>594</v>
      </c>
      <c r="K108" s="3">
        <v>11558.305</v>
      </c>
    </row>
    <row r="109" spans="1:11" x14ac:dyDescent="0.25">
      <c r="A109" s="1" t="s">
        <v>596</v>
      </c>
      <c r="B109" s="1" t="s">
        <v>26</v>
      </c>
      <c r="C109" s="1" t="s">
        <v>597</v>
      </c>
      <c r="D109" s="1" t="s">
        <v>598</v>
      </c>
      <c r="E109" s="1" t="s">
        <v>599</v>
      </c>
      <c r="F109" s="1" t="s">
        <v>101</v>
      </c>
      <c r="G109" s="1" t="s">
        <v>599</v>
      </c>
      <c r="K109" s="3">
        <v>11558.305</v>
      </c>
    </row>
    <row r="110" spans="1:11" x14ac:dyDescent="0.25">
      <c r="A110" s="1" t="s">
        <v>600</v>
      </c>
      <c r="B110" s="1" t="s">
        <v>39</v>
      </c>
      <c r="C110" s="1" t="s">
        <v>601</v>
      </c>
      <c r="D110" s="1" t="s">
        <v>602</v>
      </c>
      <c r="E110" s="1" t="s">
        <v>603</v>
      </c>
      <c r="F110" s="1" t="s">
        <v>595</v>
      </c>
      <c r="G110" s="1" t="s">
        <v>603</v>
      </c>
      <c r="K110" s="3">
        <v>11558.305</v>
      </c>
    </row>
    <row r="111" spans="1:11" x14ac:dyDescent="0.25">
      <c r="A111" s="1" t="s">
        <v>604</v>
      </c>
      <c r="B111" s="1" t="s">
        <v>26</v>
      </c>
      <c r="C111" s="1" t="s">
        <v>605</v>
      </c>
      <c r="D111" s="1" t="s">
        <v>606</v>
      </c>
      <c r="E111" s="1" t="s">
        <v>607</v>
      </c>
      <c r="F111" s="1" t="s">
        <v>608</v>
      </c>
      <c r="G111" s="1" t="s">
        <v>607</v>
      </c>
      <c r="K111" s="3">
        <v>11558.305</v>
      </c>
    </row>
    <row r="112" spans="1:11" x14ac:dyDescent="0.25">
      <c r="A112" s="1" t="s">
        <v>609</v>
      </c>
      <c r="B112" s="1" t="s">
        <v>26</v>
      </c>
      <c r="C112" s="1" t="s">
        <v>610</v>
      </c>
      <c r="D112" s="1" t="s">
        <v>611</v>
      </c>
      <c r="E112" s="1" t="s">
        <v>612</v>
      </c>
      <c r="F112" s="1" t="s">
        <v>613</v>
      </c>
      <c r="G112" s="1" t="s">
        <v>614</v>
      </c>
      <c r="K112" s="3">
        <v>11558.305</v>
      </c>
    </row>
    <row r="113" spans="1:11" x14ac:dyDescent="0.25">
      <c r="A113" s="1" t="s">
        <v>615</v>
      </c>
      <c r="B113" s="1" t="s">
        <v>39</v>
      </c>
      <c r="C113" s="1" t="s">
        <v>310</v>
      </c>
      <c r="D113" s="1" t="s">
        <v>311</v>
      </c>
      <c r="E113" s="1" t="s">
        <v>312</v>
      </c>
      <c r="F113" s="1" t="s">
        <v>319</v>
      </c>
      <c r="G113" s="2" t="s">
        <v>616</v>
      </c>
      <c r="H113" s="1" cm="1">
        <f t="array" ref="H113">_xlfn.XLOOKUP(_xlfn.NUMBERVALUE(G113),_xlfn.NUMBERVALUE([1]FIS_ETO_2026_07_E_CAPACITORES_I!$F:$F),_xlfn.NUMBERVALUE([1]FIS_ETO_2026_07_E_CAPACITORES_I!$AI:$AI))</f>
        <v>200</v>
      </c>
      <c r="I113" s="1" t="s">
        <v>617</v>
      </c>
      <c r="J113" s="1">
        <v>2</v>
      </c>
      <c r="K113" s="3">
        <v>11558.305</v>
      </c>
    </row>
    <row r="114" spans="1:11" x14ac:dyDescent="0.25">
      <c r="A114" s="1" t="s">
        <v>618</v>
      </c>
      <c r="B114" s="1" t="s">
        <v>39</v>
      </c>
      <c r="C114" s="1" t="s">
        <v>619</v>
      </c>
      <c r="D114" s="1" t="s">
        <v>620</v>
      </c>
      <c r="E114" s="1" t="s">
        <v>312</v>
      </c>
      <c r="F114" s="1" t="s">
        <v>621</v>
      </c>
      <c r="G114" s="2" t="s">
        <v>622</v>
      </c>
      <c r="H114" s="1" cm="1">
        <f t="array" ref="H114">_xlfn.XLOOKUP(_xlfn.NUMBERVALUE(G114),_xlfn.NUMBERVALUE([1]FIS_ETO_2026_07_E_CAPACITORES_I!$F:$F),_xlfn.NUMBERVALUE([1]FIS_ETO_2026_07_E_CAPACITORES_I!$AI:$AI))</f>
        <v>200</v>
      </c>
      <c r="I114" s="1" t="s">
        <v>617</v>
      </c>
      <c r="J114" s="1">
        <v>2</v>
      </c>
      <c r="K114" s="3">
        <v>11558.305</v>
      </c>
    </row>
    <row r="115" spans="1:11" x14ac:dyDescent="0.25">
      <c r="A115" s="1" t="s">
        <v>623</v>
      </c>
      <c r="B115" s="1" t="s">
        <v>26</v>
      </c>
      <c r="C115" s="1" t="s">
        <v>624</v>
      </c>
      <c r="D115" s="1" t="s">
        <v>625</v>
      </c>
      <c r="E115" s="1" t="s">
        <v>626</v>
      </c>
      <c r="F115" s="1" t="s">
        <v>154</v>
      </c>
      <c r="G115" s="1" t="s">
        <v>626</v>
      </c>
      <c r="K115" s="3">
        <v>11558.305</v>
      </c>
    </row>
    <row r="116" spans="1:11" x14ac:dyDescent="0.25">
      <c r="A116" s="1" t="s">
        <v>627</v>
      </c>
      <c r="B116" s="1" t="s">
        <v>26</v>
      </c>
      <c r="C116" s="1" t="s">
        <v>628</v>
      </c>
      <c r="D116" s="1" t="s">
        <v>629</v>
      </c>
      <c r="E116" s="1" t="s">
        <v>630</v>
      </c>
      <c r="F116" s="1" t="s">
        <v>631</v>
      </c>
      <c r="G116" s="2" t="s">
        <v>632</v>
      </c>
      <c r="H116" s="1" cm="1">
        <f t="array" ref="H116">_xlfn.XLOOKUP(_xlfn.NUMBERVALUE(G116),_xlfn.NUMBERVALUE([1]FIS_ETO_2026_07_E_CAPACITORES_I!$F:$F),_xlfn.NUMBERVALUE([1]FIS_ETO_2026_07_E_CAPACITORES_I!$AI:$AI))</f>
        <v>200</v>
      </c>
      <c r="I116" s="1" t="s">
        <v>617</v>
      </c>
      <c r="J116" s="1">
        <v>2</v>
      </c>
      <c r="K116" s="3">
        <v>11558.305</v>
      </c>
    </row>
    <row r="117" spans="1:11" x14ac:dyDescent="0.25">
      <c r="A117" s="1" t="s">
        <v>633</v>
      </c>
      <c r="B117" s="1" t="s">
        <v>26</v>
      </c>
      <c r="C117" s="1" t="s">
        <v>634</v>
      </c>
      <c r="D117" s="1" t="s">
        <v>635</v>
      </c>
      <c r="E117" s="1" t="s">
        <v>636</v>
      </c>
      <c r="F117" s="1" t="s">
        <v>533</v>
      </c>
      <c r="G117" s="1" t="s">
        <v>636</v>
      </c>
      <c r="K117" s="3">
        <v>11558.305</v>
      </c>
    </row>
    <row r="118" spans="1:11" x14ac:dyDescent="0.25">
      <c r="A118" s="1" t="s">
        <v>637</v>
      </c>
      <c r="B118" s="1" t="s">
        <v>26</v>
      </c>
      <c r="C118" s="1" t="s">
        <v>638</v>
      </c>
      <c r="D118" s="1" t="s">
        <v>639</v>
      </c>
      <c r="E118" s="1" t="s">
        <v>640</v>
      </c>
      <c r="F118" s="1" t="s">
        <v>641</v>
      </c>
      <c r="G118" s="1" t="s">
        <v>640</v>
      </c>
      <c r="K118" s="3">
        <v>11558.305</v>
      </c>
    </row>
    <row r="119" spans="1:11" x14ac:dyDescent="0.25">
      <c r="A119" s="1" t="s">
        <v>642</v>
      </c>
      <c r="B119" s="1" t="s">
        <v>39</v>
      </c>
      <c r="C119" s="1" t="s">
        <v>643</v>
      </c>
      <c r="D119" s="1" t="s">
        <v>644</v>
      </c>
      <c r="E119" s="1" t="s">
        <v>645</v>
      </c>
      <c r="F119" s="1" t="s">
        <v>646</v>
      </c>
      <c r="G119" s="1" t="s">
        <v>647</v>
      </c>
      <c r="K119" s="3">
        <v>11558.305</v>
      </c>
    </row>
    <row r="120" spans="1:11" x14ac:dyDescent="0.25">
      <c r="A120" s="1" t="s">
        <v>648</v>
      </c>
      <c r="B120" s="1" t="s">
        <v>26</v>
      </c>
      <c r="C120" s="1" t="s">
        <v>649</v>
      </c>
      <c r="D120" s="1" t="s">
        <v>650</v>
      </c>
      <c r="E120" s="1" t="s">
        <v>651</v>
      </c>
      <c r="F120" s="1" t="s">
        <v>106</v>
      </c>
      <c r="G120" s="1" t="s">
        <v>651</v>
      </c>
      <c r="K120" s="3">
        <v>11558.305</v>
      </c>
    </row>
    <row r="121" spans="1:11" x14ac:dyDescent="0.25">
      <c r="A121" s="1" t="s">
        <v>652</v>
      </c>
      <c r="B121" s="1" t="s">
        <v>26</v>
      </c>
      <c r="C121" s="1" t="s">
        <v>653</v>
      </c>
      <c r="D121" s="1" t="s">
        <v>654</v>
      </c>
      <c r="E121" s="1" t="s">
        <v>655</v>
      </c>
      <c r="F121" s="1" t="s">
        <v>656</v>
      </c>
      <c r="G121" s="1" t="s">
        <v>655</v>
      </c>
      <c r="K121" s="3">
        <v>11558.305</v>
      </c>
    </row>
    <row r="122" spans="1:11" x14ac:dyDescent="0.25">
      <c r="A122" s="1" t="s">
        <v>657</v>
      </c>
      <c r="B122" s="1" t="s">
        <v>26</v>
      </c>
      <c r="C122" s="1" t="s">
        <v>658</v>
      </c>
      <c r="D122" s="1" t="s">
        <v>659</v>
      </c>
      <c r="E122" s="1" t="s">
        <v>660</v>
      </c>
      <c r="F122" s="1" t="s">
        <v>16</v>
      </c>
      <c r="G122" s="1" t="s">
        <v>661</v>
      </c>
      <c r="K122" s="3">
        <v>11558.305</v>
      </c>
    </row>
    <row r="123" spans="1:11" x14ac:dyDescent="0.25">
      <c r="A123" s="1" t="s">
        <v>662</v>
      </c>
      <c r="B123" s="1" t="s">
        <v>26</v>
      </c>
      <c r="C123" s="1" t="s">
        <v>663</v>
      </c>
      <c r="D123" s="1" t="s">
        <v>664</v>
      </c>
      <c r="E123" s="1" t="s">
        <v>665</v>
      </c>
      <c r="F123" s="1" t="s">
        <v>666</v>
      </c>
      <c r="G123" s="2" t="s">
        <v>667</v>
      </c>
      <c r="H123" s="1" cm="1">
        <f t="array" ref="H123">_xlfn.XLOOKUP(_xlfn.NUMBERVALUE(G123),_xlfn.NUMBERVALUE([1]FIS_ETO_2026_07_E_CAPACITORES_I!$F:$F),_xlfn.NUMBERVALUE([1]FIS_ETO_2026_07_E_CAPACITORES_I!$AI:$AI))</f>
        <v>200</v>
      </c>
      <c r="I123" s="1" t="s">
        <v>617</v>
      </c>
      <c r="J123" s="1">
        <v>2</v>
      </c>
      <c r="K123" s="3">
        <v>11558.305</v>
      </c>
    </row>
    <row r="124" spans="1:11" x14ac:dyDescent="0.25">
      <c r="A124" s="1" t="s">
        <v>668</v>
      </c>
      <c r="B124" s="1" t="s">
        <v>26</v>
      </c>
      <c r="C124" s="1" t="s">
        <v>669</v>
      </c>
      <c r="D124" s="1" t="s">
        <v>670</v>
      </c>
      <c r="E124" s="1" t="s">
        <v>671</v>
      </c>
      <c r="F124" s="1" t="s">
        <v>672</v>
      </c>
      <c r="G124" s="2" t="s">
        <v>673</v>
      </c>
      <c r="H124" s="1" cm="1">
        <f t="array" ref="H124">_xlfn.XLOOKUP(_xlfn.NUMBERVALUE(G124),_xlfn.NUMBERVALUE([1]FIS_ETO_2026_07_E_CAPACITORES_I!$F:$F),_xlfn.NUMBERVALUE([1]FIS_ETO_2026_07_E_CAPACITORES_I!$AI:$AI))</f>
        <v>200</v>
      </c>
      <c r="I124" s="1" t="s">
        <v>617</v>
      </c>
      <c r="J124" s="1">
        <v>2</v>
      </c>
      <c r="K124" s="3">
        <v>11558.305</v>
      </c>
    </row>
    <row r="125" spans="1:11" x14ac:dyDescent="0.25">
      <c r="A125" s="1" t="s">
        <v>674</v>
      </c>
      <c r="B125" s="1" t="s">
        <v>26</v>
      </c>
      <c r="C125" s="1" t="s">
        <v>675</v>
      </c>
      <c r="D125" s="1" t="s">
        <v>676</v>
      </c>
      <c r="E125" s="1" t="s">
        <v>677</v>
      </c>
      <c r="F125" s="1" t="s">
        <v>419</v>
      </c>
      <c r="G125" s="1" t="s">
        <v>678</v>
      </c>
      <c r="K125" s="3">
        <v>11558.305</v>
      </c>
    </row>
    <row r="126" spans="1:11" x14ac:dyDescent="0.25">
      <c r="A126" s="1" t="s">
        <v>679</v>
      </c>
      <c r="B126" s="1" t="s">
        <v>26</v>
      </c>
      <c r="C126" s="1" t="s">
        <v>680</v>
      </c>
      <c r="D126" s="1" t="s">
        <v>681</v>
      </c>
      <c r="E126" s="1" t="s">
        <v>682</v>
      </c>
      <c r="F126" s="1" t="s">
        <v>473</v>
      </c>
      <c r="G126" s="2" t="s">
        <v>683</v>
      </c>
      <c r="H126" s="1" cm="1">
        <f t="array" ref="H126">_xlfn.XLOOKUP(_xlfn.NUMBERVALUE(G126),_xlfn.NUMBERVALUE([1]FIS_ETO_2026_07_E_CAPACITORES_I!$F:$F),_xlfn.NUMBERVALUE([1]FIS_ETO_2026_07_E_CAPACITORES_I!$AI:$AI))</f>
        <v>200</v>
      </c>
      <c r="I126" s="1" t="s">
        <v>617</v>
      </c>
      <c r="J126" s="1">
        <v>2</v>
      </c>
      <c r="K126" s="3">
        <v>11558.305</v>
      </c>
    </row>
    <row r="127" spans="1:11" x14ac:dyDescent="0.25">
      <c r="A127" s="1" t="s">
        <v>684</v>
      </c>
      <c r="B127" s="1" t="s">
        <v>26</v>
      </c>
      <c r="C127" s="1" t="s">
        <v>685</v>
      </c>
      <c r="D127" s="1" t="s">
        <v>686</v>
      </c>
      <c r="E127" s="1" t="s">
        <v>687</v>
      </c>
      <c r="F127" s="1" t="s">
        <v>646</v>
      </c>
      <c r="G127" s="1" t="s">
        <v>687</v>
      </c>
      <c r="K127" s="3">
        <v>11558.305</v>
      </c>
    </row>
    <row r="128" spans="1:11" x14ac:dyDescent="0.25">
      <c r="A128" s="1" t="s">
        <v>688</v>
      </c>
      <c r="B128" s="1" t="s">
        <v>26</v>
      </c>
      <c r="C128" s="1" t="s">
        <v>689</v>
      </c>
      <c r="D128" s="1" t="s">
        <v>690</v>
      </c>
      <c r="E128" s="1" t="s">
        <v>691</v>
      </c>
      <c r="F128" s="1" t="s">
        <v>215</v>
      </c>
      <c r="G128" s="2" t="s">
        <v>692</v>
      </c>
      <c r="H128" s="1" cm="1">
        <f t="array" ref="H128">_xlfn.XLOOKUP(_xlfn.NUMBERVALUE(G128),_xlfn.NUMBERVALUE([1]FIS_ETO_2026_07_E_CAPACITORES_I!$F:$F),_xlfn.NUMBERVALUE([1]FIS_ETO_2026_07_E_CAPACITORES_I!$AI:$AI))</f>
        <v>200</v>
      </c>
      <c r="I128" s="1" t="s">
        <v>617</v>
      </c>
      <c r="J128" s="1">
        <v>2</v>
      </c>
      <c r="K128" s="3">
        <v>11558.305</v>
      </c>
    </row>
    <row r="129" spans="1:11" x14ac:dyDescent="0.25">
      <c r="A129" s="1" t="s">
        <v>693</v>
      </c>
      <c r="B129" s="1" t="s">
        <v>26</v>
      </c>
      <c r="C129" s="1" t="s">
        <v>694</v>
      </c>
      <c r="D129" s="1" t="s">
        <v>695</v>
      </c>
      <c r="E129" s="1" t="s">
        <v>696</v>
      </c>
      <c r="F129" s="1" t="s">
        <v>533</v>
      </c>
      <c r="G129" s="1" t="s">
        <v>696</v>
      </c>
    </row>
    <row r="130" spans="1:11" x14ac:dyDescent="0.25">
      <c r="A130" s="1" t="s">
        <v>697</v>
      </c>
      <c r="B130" s="1" t="s">
        <v>39</v>
      </c>
      <c r="C130" s="1" t="s">
        <v>698</v>
      </c>
      <c r="D130" s="1" t="s">
        <v>699</v>
      </c>
      <c r="E130" s="1" t="s">
        <v>312</v>
      </c>
      <c r="F130" s="1" t="s">
        <v>666</v>
      </c>
      <c r="G130" s="2" t="s">
        <v>700</v>
      </c>
      <c r="H130" s="1" cm="1">
        <f t="array" ref="H130">_xlfn.XLOOKUP(_xlfn.NUMBERVALUE(G130),_xlfn.NUMBERVALUE([1]FIS_ETO_2026_07_E_CAPACITORES_I!$F:$F),_xlfn.NUMBERVALUE([1]FIS_ETO_2026_07_E_CAPACITORES_I!$AI:$AI))</f>
        <v>300</v>
      </c>
      <c r="I130" s="1" t="s">
        <v>701</v>
      </c>
      <c r="J130" s="1">
        <v>2</v>
      </c>
      <c r="K130" s="3">
        <f>6495.14*2</f>
        <v>12990.28</v>
      </c>
    </row>
    <row r="131" spans="1:11" x14ac:dyDescent="0.25">
      <c r="A131" s="1" t="s">
        <v>702</v>
      </c>
      <c r="B131" s="1" t="s">
        <v>26</v>
      </c>
      <c r="C131" s="1" t="s">
        <v>703</v>
      </c>
      <c r="D131" s="1" t="s">
        <v>704</v>
      </c>
      <c r="E131" s="1" t="s">
        <v>705</v>
      </c>
      <c r="F131" s="1" t="s">
        <v>43</v>
      </c>
      <c r="G131" s="1" t="s">
        <v>705</v>
      </c>
    </row>
    <row r="132" spans="1:11" x14ac:dyDescent="0.25">
      <c r="K132" s="3">
        <v>301186.95000000007</v>
      </c>
    </row>
  </sheetData>
  <autoFilter ref="A1:K132" xr:uid="{865C680E-139F-4375-89C5-87183F3A680A}"/>
  <conditionalFormatting sqref="C1:C1048576">
    <cfRule type="duplicateValues" dxfId="1" priority="2"/>
  </conditionalFormatting>
  <conditionalFormatting sqref="G1:G1048576">
    <cfRule type="duplicateValues" dxfId="0" priority="1"/>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0AC0-E354-445D-8540-456A37090281}">
  <dimension ref="A3:E6"/>
  <sheetViews>
    <sheetView workbookViewId="0">
      <selection activeCell="E6" sqref="E6"/>
    </sheetView>
  </sheetViews>
  <sheetFormatPr defaultRowHeight="15" x14ac:dyDescent="0.25"/>
  <cols>
    <col min="2" max="2" width="16.85546875" bestFit="1" customWidth="1"/>
    <col min="3" max="3" width="15.85546875" bestFit="1" customWidth="1"/>
    <col min="4" max="4" width="15.42578125" bestFit="1" customWidth="1"/>
    <col min="5" max="5" width="15.85546875" bestFit="1" customWidth="1"/>
  </cols>
  <sheetData>
    <row r="3" spans="1:5" x14ac:dyDescent="0.25">
      <c r="B3" t="s">
        <v>706</v>
      </c>
      <c r="C3" t="s">
        <v>707</v>
      </c>
      <c r="D3" t="s">
        <v>708</v>
      </c>
      <c r="E3" t="s">
        <v>709</v>
      </c>
    </row>
    <row r="4" spans="1:5" x14ac:dyDescent="0.25">
      <c r="A4" t="s">
        <v>710</v>
      </c>
      <c r="C4" s="4">
        <v>6000000</v>
      </c>
      <c r="D4" s="4">
        <v>6000000</v>
      </c>
      <c r="E4" s="4">
        <v>6000000</v>
      </c>
    </row>
    <row r="5" spans="1:5" x14ac:dyDescent="0.25">
      <c r="B5" t="s">
        <v>711</v>
      </c>
      <c r="C5" s="4">
        <v>1500000</v>
      </c>
      <c r="E5" s="4">
        <v>313000</v>
      </c>
    </row>
    <row r="6" spans="1:5" x14ac:dyDescent="0.25">
      <c r="D6" s="4">
        <v>500000</v>
      </c>
      <c r="E6" s="5">
        <v>1106002.1399999999</v>
      </c>
    </row>
  </sheetData>
  <phoneticPr fontId="3"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Banco Capacitor</vt:lpstr>
      <vt:lpstr>Planilha3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Antonio Lagares Milhomem de Souza</dc:creator>
  <cp:keywords/>
  <dc:description/>
  <cp:lastModifiedBy>Karoline Dias Medeiros</cp:lastModifiedBy>
  <cp:revision/>
  <dcterms:created xsi:type="dcterms:W3CDTF">2026-08-24T13:26:25Z</dcterms:created>
  <dcterms:modified xsi:type="dcterms:W3CDTF">2026-09-01T19:40:45Z</dcterms:modified>
  <cp:category/>
  <cp:contentStatus/>
</cp:coreProperties>
</file>
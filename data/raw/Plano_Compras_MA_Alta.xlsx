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xr:revisionPtr revIDLastSave="4" documentId="11_636E967F28291E15E9D050049529A97532A9CC0F" xr6:coauthVersionLast="47" xr6:coauthVersionMax="47" xr10:uidLastSave="{9536DDFC-8068-4804-AEC7-2AB99B08217C}"/>
  <bookViews>
    <workbookView xWindow="0" yWindow="0" windowWidth="16384" windowHeight="8192" tabRatio="500" activeTab="2" xr2:uid="{00000000-000D-0000-FFFF-FFFF00000000}"/>
  </bookViews>
  <sheets>
    <sheet name="Compra MA+Alta" sheetId="1" r:id="rId1"/>
    <sheet name="Base Compra" sheetId="2" r:id="rId2"/>
    <sheet name="Compra (estático)" sheetId="3" r:id="rId3"/>
  </sheets>
  <calcPr calcId="191028" iterateDelta="1E-4"/>
  <pivotCaches>
    <pivotCache cacheId="6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<sst xmlns="http://schemas.openxmlformats.org/spreadsheetml/2006/main" count="502" uniqueCount="147">
  <si>
    <t>PLANO DE COMPRAS — Criticidade Muito Alta + Alta</t>
  </si>
  <si>
    <t>Tabela dinâmica do Excel. Clique duas vezes em qualquer número para ver o detalhamento. Arraste campos (Tipo, Status, Posto, Localidade, Tensão…) no painel à direita. Elaboração 16/07/2026.</t>
  </si>
  <si>
    <t>Data</t>
  </si>
  <si>
    <t>Material</t>
  </si>
  <si>
    <t>Qtd de peças</t>
  </si>
  <si>
    <t>Valor total (R$)</t>
  </si>
  <si>
    <t>647877+649399 · Bateria + rádio</t>
  </si>
  <si>
    <t>651638 · Controle de regulador c/ nobreak</t>
  </si>
  <si>
    <t>690001 · Tanque / Parte ativa — Religador 13,8 kV</t>
  </si>
  <si>
    <t>690005 · Tanque / Parte ativa — Religador 34,5 kV</t>
  </si>
  <si>
    <t>690241 · Célula — Regulador 34,5 kV / 400 kVA</t>
  </si>
  <si>
    <t>690916 · Controle — Religador 13,8 kV</t>
  </si>
  <si>
    <t>692263 · Controle — Religador 34,5 kV</t>
  </si>
  <si>
    <t>90556 · Chave faca</t>
  </si>
  <si>
    <t>Total Result</t>
  </si>
  <si>
    <t>Ativo</t>
  </si>
  <si>
    <t>Tipo</t>
  </si>
  <si>
    <t>Localidade</t>
  </si>
  <si>
    <t>Posto</t>
  </si>
  <si>
    <t>Criticidade</t>
  </si>
  <si>
    <t>Status</t>
  </si>
  <si>
    <t>SS</t>
  </si>
  <si>
    <t>Tensão</t>
  </si>
  <si>
    <t>Marca</t>
  </si>
  <si>
    <t>Código</t>
  </si>
  <si>
    <t>Qtd</t>
  </si>
  <si>
    <t>Valor Unitário</t>
  </si>
  <si>
    <t>Valor Total</t>
  </si>
  <si>
    <t>7900117013</t>
  </si>
  <si>
    <t>Religador</t>
  </si>
  <si>
    <t>PARAISO DO TOCANTINS</t>
  </si>
  <si>
    <t>ETO-COEP</t>
  </si>
  <si>
    <t>Muito Alta</t>
  </si>
  <si>
    <t>Equipamento entregue ao COCM</t>
  </si>
  <si>
    <t>ETO-COEP 00084/2026</t>
  </si>
  <si>
    <t>13,8</t>
  </si>
  <si>
    <t>COOPER F6</t>
  </si>
  <si>
    <t>690001</t>
  </si>
  <si>
    <t>690916</t>
  </si>
  <si>
    <t>7900453110</t>
  </si>
  <si>
    <t>SANTA RITA DO TOCANTINS</t>
  </si>
  <si>
    <t>Em processo de aquisição</t>
  </si>
  <si>
    <t>ETO-COEP 00087/2026</t>
  </si>
  <si>
    <t>34,5</t>
  </si>
  <si>
    <t>690005</t>
  </si>
  <si>
    <t>692263</t>
  </si>
  <si>
    <t>7900573047</t>
  </si>
  <si>
    <t>FIGUEIROPOLIS</t>
  </si>
  <si>
    <t>ETO-RD-GU</t>
  </si>
  <si>
    <t>Alta</t>
  </si>
  <si>
    <t>ETO-RD-GU 00712/2026</t>
  </si>
  <si>
    <t>7900594026</t>
  </si>
  <si>
    <t>PONTE ALTA TOCANTINS</t>
  </si>
  <si>
    <t>ETO-RD-PO</t>
  </si>
  <si>
    <t>ETO-PROT  000148/2026</t>
  </si>
  <si>
    <t>7903112004</t>
  </si>
  <si>
    <t>ARAGUAINA</t>
  </si>
  <si>
    <t>Em processo logístico</t>
  </si>
  <si>
    <t>ETO-COEP 00184/2025</t>
  </si>
  <si>
    <t>7908686014</t>
  </si>
  <si>
    <t>PIUM</t>
  </si>
  <si>
    <t>ETO-RD-PS</t>
  </si>
  <si>
    <t>ETO-RD-PS 00302/2026</t>
  </si>
  <si>
    <t>NOJA RC10</t>
  </si>
  <si>
    <t>7908705049</t>
  </si>
  <si>
    <t>AURORA DO TOCANTINS</t>
  </si>
  <si>
    <t>ETO-RD-DP</t>
  </si>
  <si>
    <t>ETO-RD-DP 00409/2026</t>
  </si>
  <si>
    <t>7920024127</t>
  </si>
  <si>
    <t>PALMEIRAS DO TOCANTINS</t>
  </si>
  <si>
    <t>ETO-COEP 00120/2025</t>
  </si>
  <si>
    <t>SCHNEIDER ADVC</t>
  </si>
  <si>
    <t>90556</t>
  </si>
  <si>
    <t>7923673004</t>
  </si>
  <si>
    <t>ETO-COEP 00124/2026</t>
  </si>
  <si>
    <t>ARTECHE P500</t>
  </si>
  <si>
    <t>7925087021</t>
  </si>
  <si>
    <t>PARANA</t>
  </si>
  <si>
    <t>ETO-RD-GU 00711/2026</t>
  </si>
  <si>
    <t>7925744087</t>
  </si>
  <si>
    <t>GOIANORTE</t>
  </si>
  <si>
    <t>ETO-COEP 00059/2026</t>
  </si>
  <si>
    <t>7925871077</t>
  </si>
  <si>
    <t>GOIATINS</t>
  </si>
  <si>
    <t>ETO-COEP 00048/2026</t>
  </si>
  <si>
    <t>7926089013</t>
  </si>
  <si>
    <t>ETO-COEP 00078/2026</t>
  </si>
  <si>
    <t>7927169001</t>
  </si>
  <si>
    <t>PORTO NACIONAL</t>
  </si>
  <si>
    <t>ETO-RD-PA</t>
  </si>
  <si>
    <t>ETO-RD-PA 00432/2026</t>
  </si>
  <si>
    <t>7927413001</t>
  </si>
  <si>
    <t>ETO-COEP 00141/2026</t>
  </si>
  <si>
    <t>7927646026</t>
  </si>
  <si>
    <t>ETO-COEP 00029/2026</t>
  </si>
  <si>
    <t>7929376022</t>
  </si>
  <si>
    <t>BABACULANDIA</t>
  </si>
  <si>
    <t>ETO-COEP 00120/2026</t>
  </si>
  <si>
    <t>7931608059</t>
  </si>
  <si>
    <t>TAQUARALTO</t>
  </si>
  <si>
    <t>ETO-COEP 00040/2026</t>
  </si>
  <si>
    <t>647877+649399</t>
  </si>
  <si>
    <t>7931610122</t>
  </si>
  <si>
    <t>PALMAS</t>
  </si>
  <si>
    <t>ETO-RD-PA 00433/2026</t>
  </si>
  <si>
    <t>7933766059</t>
  </si>
  <si>
    <t>ETO-RD-PA 00431/2026</t>
  </si>
  <si>
    <t>7947203070</t>
  </si>
  <si>
    <t>RIO SONO</t>
  </si>
  <si>
    <t>ETO-COEP 00131/2026</t>
  </si>
  <si>
    <t>TAVRIDA</t>
  </si>
  <si>
    <t>7953610256</t>
  </si>
  <si>
    <t>MATEIROS</t>
  </si>
  <si>
    <t>ETO-COEP 00050/2026</t>
  </si>
  <si>
    <t>5800371025</t>
  </si>
  <si>
    <t>Regulador</t>
  </si>
  <si>
    <t>ARAPOEMA</t>
  </si>
  <si>
    <t>ETO-COEP 00187/2025</t>
  </si>
  <si>
    <t>ITB / RUA (controle a enviar)</t>
  </si>
  <si>
    <t>651638</t>
  </si>
  <si>
    <t>5800859011</t>
  </si>
  <si>
    <t>TUPIRAMA</t>
  </si>
  <si>
    <t>ETO-COEP 00115/2026</t>
  </si>
  <si>
    <t>ITB / RUA</t>
  </si>
  <si>
    <t>5803327001</t>
  </si>
  <si>
    <t>ETO-RD-PA 00434/2026</t>
  </si>
  <si>
    <t>TOSHIBA / RUA</t>
  </si>
  <si>
    <t>5854566043</t>
  </si>
  <si>
    <t>SILVANOPOLIS</t>
  </si>
  <si>
    <t>ETO-COEP 00160/2025</t>
  </si>
  <si>
    <t>690241</t>
  </si>
  <si>
    <t>5856070091</t>
  </si>
  <si>
    <t>ALMAS</t>
  </si>
  <si>
    <t>ETO-COEP 00130/2026</t>
  </si>
  <si>
    <t>PLANO DE COMPRAS — consolidado por código (Muito Alta + Alta)</t>
  </si>
  <si>
    <t>Cópia estática, caso a tabela dinâmica não abra. Mesmos números. Elaboração 16/07/2026.</t>
  </si>
  <si>
    <t>Descrição do material</t>
  </si>
  <si>
    <t>Valor unitário (R$)</t>
  </si>
  <si>
    <t>Célula — Regulador 34,5 kV / 400 kVA</t>
  </si>
  <si>
    <t>Controle de regulador c/ nobreak</t>
  </si>
  <si>
    <t>Tanque / Parte ativa — Religador 34,5 kV</t>
  </si>
  <si>
    <t>Controle — Religador 34,5 kV</t>
  </si>
  <si>
    <t>Tanque / Parte ativa — Religador 13,8 kV</t>
  </si>
  <si>
    <t>Controle — Religador 13,8 kV</t>
  </si>
  <si>
    <t>Bateria + rádio</t>
  </si>
  <si>
    <t>Chave faca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</si>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</sst>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&quot;R$ &quot;#,##0.00;;\-"/>
  </numFmts>
  <fonts count="14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8"/>
      <color rgb="FF595959"/>
      <name val="Arial"/>
      <charset val="1"/>
    </font>
    <font>
      <b/>
      <sz val="9"/>
      <color rgb="FFFFFFFF"/>
      <name val="Arial"/>
      <charset val="1"/>
    </font>
    <font>
      <sz val="8"/>
      <name val="Arial"/>
      <charset val="1"/>
    </font>
    <font>
      <b/>
      <sz val="13"/>
      <color rgb="FF1F3864"/>
      <name val="Arial"/>
      <charset val="1"/>
    </font>
    <font>
      <b/>
      <sz val="9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3"/>
      <name val="Arial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DDEBF7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DDEBF7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7">
    <xf numFmtId="0" fontId="0" fillId="0" borderId="0"/>
    <xf numFmtId="0" fontId="13" fillId="0" borderId="0" applyBorder="0" applyProtection="0"/>
    <xf numFmtId="0" fontId="13" fillId="0" borderId="0" applyBorder="0" applyProtection="0"/>
    <xf numFmtId="0" fontId="13" fillId="0" borderId="0" applyBorder="0" applyProtection="0"/>
    <xf numFmtId="0" fontId="13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13" fillId="0" borderId="1" xfId="1" applyBorder="1"/>
    <xf numFmtId="0" fontId="13" fillId="0" borderId="2" xfId="3" applyBorder="1"/>
    <xf numFmtId="0" fontId="13" fillId="0" borderId="3" xfId="1" applyBorder="1"/>
    <xf numFmtId="0" fontId="13" fillId="0" borderId="4" xfId="3" applyBorder="1"/>
    <xf numFmtId="0" fontId="13" fillId="0" borderId="5" xfId="4" applyBorder="1">
      <alignment horizontal="left"/>
    </xf>
    <xf numFmtId="0" fontId="13" fillId="0" borderId="6" xfId="4" applyBorder="1">
      <alignment horizontal="left"/>
    </xf>
    <xf numFmtId="0" fontId="13" fillId="0" borderId="7" xfId="4" applyBorder="1">
      <alignment horizontal="left"/>
    </xf>
    <xf numFmtId="0" fontId="13" fillId="0" borderId="8" xfId="2" applyBorder="1"/>
    <xf numFmtId="164" fontId="13" fillId="0" borderId="9" xfId="2" applyNumberFormat="1" applyBorder="1"/>
    <xf numFmtId="0" fontId="13" fillId="0" borderId="10" xfId="4" applyBorder="1">
      <alignment horizontal="left"/>
    </xf>
    <xf numFmtId="0" fontId="13" fillId="0" borderId="11" xfId="2" applyBorder="1"/>
    <xf numFmtId="164" fontId="13" fillId="0" borderId="12" xfId="2" applyNumberFormat="1" applyBorder="1"/>
    <xf numFmtId="0" fontId="13" fillId="0" borderId="5" xfId="2" applyBorder="1"/>
    <xf numFmtId="164" fontId="13" fillId="0" borderId="6" xfId="2" applyNumberFormat="1" applyBorder="1"/>
    <xf numFmtId="0" fontId="1" fillId="0" borderId="13" xfId="5" applyBorder="1">
      <alignment horizontal="left"/>
    </xf>
    <xf numFmtId="0" fontId="1" fillId="0" borderId="14" xfId="6" applyBorder="1"/>
    <xf numFmtId="164" fontId="1" fillId="0" borderId="15" xfId="6" applyNumberFormat="1" applyBorder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6" fillId="0" borderId="0" xfId="0" applyFont="1"/>
    <xf numFmtId="0" fontId="4" fillId="2" borderId="16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 wrapText="1"/>
    </xf>
    <xf numFmtId="165" fontId="9" fillId="0" borderId="16" xfId="0" applyNumberFormat="1" applyFont="1" applyBorder="1" applyAlignment="1">
      <alignment horizontal="right" vertical="center" wrapText="1"/>
    </xf>
    <xf numFmtId="165" fontId="8" fillId="0" borderId="16" xfId="0" applyNumberFormat="1" applyFont="1" applyBorder="1" applyAlignment="1">
      <alignment horizontal="right" vertical="center" wrapText="1"/>
    </xf>
    <xf numFmtId="0" fontId="7" fillId="4" borderId="16" xfId="0" applyFont="1" applyFill="1" applyBorder="1" applyAlignment="1">
      <alignment horizontal="left" vertical="center" wrapText="1"/>
    </xf>
    <xf numFmtId="0" fontId="8" fillId="5" borderId="16" xfId="0" applyFont="1" applyFill="1" applyBorder="1" applyAlignment="1">
      <alignment horizontal="left" vertical="center" wrapText="1"/>
    </xf>
    <xf numFmtId="0" fontId="11" fillId="5" borderId="16" xfId="0" applyFont="1" applyFill="1" applyBorder="1" applyAlignment="1">
      <alignment horizontal="left" vertical="center" wrapText="1"/>
    </xf>
    <xf numFmtId="0" fontId="12" fillId="5" borderId="16" xfId="0" applyFont="1" applyFill="1" applyBorder="1" applyAlignment="1">
      <alignment horizontal="center" vertical="center" wrapText="1"/>
    </xf>
    <xf numFmtId="165" fontId="10" fillId="5" borderId="16" xfId="0" applyNumberFormat="1" applyFont="1" applyFill="1" applyBorder="1" applyAlignment="1">
      <alignment horizontal="right" vertical="center" wrapText="1"/>
    </xf>
    <xf numFmtId="0" fontId="8" fillId="0" borderId="16" xfId="0" applyFont="1" applyBorder="1" applyAlignment="1">
      <alignment horizontal="center" vertical="center"/>
    </xf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40" xr:uid="{00000000-000A-0000-FFFF-FFFF01000000}">
  <cacheSource type="worksheet">
    <worksheetSource ref="A1:N41" sheet="Base Compra"/>
  </cacheSource>
  <cacheFields count="14">
    <cacheField name="Ativo" numFmtId="0">
      <sharedItems count="27">
        <s v="5800371025"/>
        <s v="5800859011"/>
        <s v="5803327001"/>
        <s v="5854566043"/>
        <s v="5856070091"/>
        <s v="7900117013"/>
        <s v="7900453110"/>
        <s v="7900573047"/>
        <s v="7900594026"/>
        <s v="7903112004"/>
        <s v="7908686014"/>
        <s v="7908705049"/>
        <s v="7920024127"/>
        <s v="7923673004"/>
        <s v="7925087021"/>
        <s v="7925744087"/>
        <s v="7925871077"/>
        <s v="7926089013"/>
        <s v="7927169001"/>
        <s v="7927413001"/>
        <s v="7927646026"/>
        <s v="7929376022"/>
        <s v="7931608059"/>
        <s v="7931610122"/>
        <s v="7933766059"/>
        <s v="7947203070"/>
        <s v="7953610256"/>
      </sharedItems>
    </cacheField>
    <cacheField name="Tipo" numFmtId="0">
      <sharedItems count="2">
        <s v="Regulador"/>
        <s v="Religador"/>
      </sharedItems>
    </cacheField>
    <cacheField name="Localidade" numFmtId="0">
      <sharedItems count="21">
        <s v="ALMAS"/>
        <s v="ARAGUAINA"/>
        <s v="ARAPOEMA"/>
        <s v="AURORA DO TOCANTINS"/>
        <s v="BABACULANDIA"/>
        <s v="FIGUEIROPOLIS"/>
        <s v="GOIANORTE"/>
        <s v="GOIATINS"/>
        <s v="MATEIROS"/>
        <s v="PALMAS"/>
        <s v="PALMEIRAS DO TOCANTINS"/>
        <s v="PARAISO DO TOCANTINS"/>
        <s v="PARANA"/>
        <s v="PIUM"/>
        <s v="PONTE ALTA TOCANTINS"/>
        <s v="PORTO NACIONAL"/>
        <s v="RIO SONO"/>
        <s v="SANTA RITA DO TOCANTINS"/>
        <s v="SILVANOPOLIS"/>
        <s v="TAQUARALTO"/>
        <s v="TUPIRAMA"/>
      </sharedItems>
    </cacheField>
    <cacheField name="Posto" numFmtId="0">
      <sharedItems count="6">
        <s v="ETO-COEP"/>
        <s v="ETO-RD-DP"/>
        <s v="ETO-RD-GU"/>
        <s v="ETO-RD-PA"/>
        <s v="ETO-RD-PO"/>
        <s v="ETO-RD-PS"/>
      </sharedItems>
    </cacheField>
    <cacheField name="Criticidade" numFmtId="0">
      <sharedItems count="2">
        <s v="Alta"/>
        <s v="Muito Alta"/>
      </sharedItems>
    </cacheField>
    <cacheField name="Status" numFmtId="0">
      <sharedItems count="3">
        <s v="Em processo de aquisição"/>
        <s v="Em processo logístico"/>
        <s v="Equipamento entregue ao COCM"/>
      </sharedItems>
    </cacheField>
    <cacheField name="SS" numFmtId="0">
      <sharedItems count="27">
        <s v="ETO-COEP 00029/2026"/>
        <s v="ETO-COEP 00040/2026"/>
        <s v="ETO-COEP 00048/2026"/>
        <s v="ETO-COEP 00050/2026"/>
        <s v="ETO-COEP 00059/2026"/>
        <s v="ETO-COEP 00078/2026"/>
        <s v="ETO-COEP 00084/2026"/>
        <s v="ETO-COEP 00087/2026"/>
        <s v="ETO-COEP 00115/2026"/>
        <s v="ETO-COEP 00120/2025"/>
        <s v="ETO-COEP 00120/2026"/>
        <s v="ETO-COEP 00124/2026"/>
        <s v="ETO-COEP 00130/2026"/>
        <s v="ETO-COEP 00131/2026"/>
        <s v="ETO-COEP 00141/2026"/>
        <s v="ETO-COEP 00160/2025"/>
        <s v="ETO-COEP 00184/2025"/>
        <s v="ETO-COEP 00187/2025"/>
        <s v="ETO-PROT  000148/2026"/>
        <s v="ETO-RD-DP 00409/2026"/>
        <s v="ETO-RD-GU 00711/2026"/>
        <s v="ETO-RD-GU 00712/2026"/>
        <s v="ETO-RD-PA 00431/2026"/>
        <s v="ETO-RD-PA 00432/2026"/>
        <s v="ETO-RD-PA 00433/2026"/>
        <s v="ETO-RD-PA 00434/2026"/>
        <s v="ETO-RD-PS 00302/2026"/>
      </sharedItems>
    </cacheField>
    <cacheField name="Tensão" numFmtId="0">
      <sharedItems count="2">
        <s v="13,8"/>
        <s v="34,5"/>
      </sharedItems>
    </cacheField>
    <cacheField name="Marca" numFmtId="0">
      <sharedItems count="8">
        <s v="ARTECHE P500"/>
        <s v="COOPER F6"/>
        <s v="ITB / RUA"/>
        <s v="ITB / RUA (controle a enviar)"/>
        <s v="NOJA RC10"/>
        <s v="SCHNEIDER ADVC"/>
        <s v="TAVRIDA"/>
        <s v="TOSHIBA / RUA"/>
      </sharedItems>
    </cacheField>
    <cacheField name="Material" numFmtId="0">
      <sharedItems count="8">
        <s v="647877+649399 · Bateria + rádio"/>
        <s v="651638 · Controle de regulador c/ nobreak"/>
        <s v="690001 · Tanque / Parte ativa — Religador 13,8 kV"/>
        <s v="690005 · Tanque / Parte ativa — Religador 34,5 kV"/>
        <s v="690241 · Célula — Regulador 34,5 kV / 400 kVA"/>
        <s v="690916 · Controle — Religador 13,8 kV"/>
        <s v="692263 · Controle — Religador 34,5 kV"/>
        <s v="90556 · Chave faca"/>
      </sharedItems>
    </cacheField>
    <cacheField name="Código" numFmtId="0">
      <sharedItems count="8">
        <s v="647877+649399"/>
        <s v="651638"/>
        <s v="690001"/>
        <s v="690005"/>
        <s v="690241"/>
        <s v="690916"/>
        <s v="692263"/>
        <s v="90556"/>
      </sharedItems>
    </cacheField>
    <cacheField name="Qtd" numFmtId="0">
      <sharedItems containsSemiMixedTypes="0" containsString="0" containsNumber="1" containsInteger="1" minValue="1" maxValue="3" count="2">
        <n v="1"/>
        <n v="3"/>
      </sharedItems>
    </cacheField>
    <cacheField name="Valor Unitário" numFmtId="0">
      <sharedItems containsSemiMixedTypes="0" containsString="0" containsNumber="1" minValue="736.43" maxValue="126893.8" count="8">
        <n v="736.43"/>
        <n v="14612.08"/>
        <n v="21785.72"/>
        <n v="29445.39"/>
        <n v="33816.82"/>
        <n v="38094.720000000001"/>
        <n v="38151.480000000003"/>
        <n v="126893.8"/>
      </sharedItems>
    </cacheField>
    <cacheField name="Valor Total" numFmtId="0">
      <sharedItems containsSemiMixedTypes="0" containsString="0" containsNumber="1" minValue="736.43" maxValue="380681.4" count="9">
        <n v="736.43"/>
        <n v="14612.08"/>
        <n v="21785.72"/>
        <n v="29445.39"/>
        <n v="33816.82"/>
        <n v="38094.720000000001"/>
        <n v="38151.480000000003"/>
        <n v="126893.8"/>
        <n v="380681.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5"/>
    <x v="1"/>
    <x v="11"/>
    <x v="0"/>
    <x v="1"/>
    <x v="2"/>
    <x v="6"/>
    <x v="0"/>
    <x v="1"/>
    <x v="2"/>
    <x v="2"/>
    <x v="0"/>
    <x v="2"/>
    <x v="2"/>
  </r>
  <r>
    <x v="5"/>
    <x v="1"/>
    <x v="11"/>
    <x v="0"/>
    <x v="1"/>
    <x v="2"/>
    <x v="6"/>
    <x v="0"/>
    <x v="1"/>
    <x v="5"/>
    <x v="5"/>
    <x v="0"/>
    <x v="4"/>
    <x v="4"/>
  </r>
  <r>
    <x v="6"/>
    <x v="1"/>
    <x v="17"/>
    <x v="0"/>
    <x v="1"/>
    <x v="0"/>
    <x v="7"/>
    <x v="1"/>
    <x v="1"/>
    <x v="3"/>
    <x v="3"/>
    <x v="0"/>
    <x v="6"/>
    <x v="6"/>
  </r>
  <r>
    <x v="6"/>
    <x v="1"/>
    <x v="17"/>
    <x v="0"/>
    <x v="1"/>
    <x v="0"/>
    <x v="7"/>
    <x v="1"/>
    <x v="1"/>
    <x v="6"/>
    <x v="6"/>
    <x v="0"/>
    <x v="5"/>
    <x v="5"/>
  </r>
  <r>
    <x v="7"/>
    <x v="1"/>
    <x v="5"/>
    <x v="2"/>
    <x v="0"/>
    <x v="2"/>
    <x v="21"/>
    <x v="0"/>
    <x v="1"/>
    <x v="2"/>
    <x v="2"/>
    <x v="0"/>
    <x v="2"/>
    <x v="2"/>
  </r>
  <r>
    <x v="7"/>
    <x v="1"/>
    <x v="5"/>
    <x v="2"/>
    <x v="0"/>
    <x v="2"/>
    <x v="21"/>
    <x v="0"/>
    <x v="1"/>
    <x v="5"/>
    <x v="5"/>
    <x v="0"/>
    <x v="4"/>
    <x v="4"/>
  </r>
  <r>
    <x v="8"/>
    <x v="1"/>
    <x v="14"/>
    <x v="4"/>
    <x v="1"/>
    <x v="2"/>
    <x v="18"/>
    <x v="1"/>
    <x v="1"/>
    <x v="3"/>
    <x v="3"/>
    <x v="0"/>
    <x v="6"/>
    <x v="6"/>
  </r>
  <r>
    <x v="8"/>
    <x v="1"/>
    <x v="14"/>
    <x v="4"/>
    <x v="1"/>
    <x v="2"/>
    <x v="18"/>
    <x v="1"/>
    <x v="1"/>
    <x v="6"/>
    <x v="6"/>
    <x v="0"/>
    <x v="5"/>
    <x v="5"/>
  </r>
  <r>
    <x v="9"/>
    <x v="1"/>
    <x v="1"/>
    <x v="0"/>
    <x v="0"/>
    <x v="1"/>
    <x v="16"/>
    <x v="1"/>
    <x v="1"/>
    <x v="3"/>
    <x v="3"/>
    <x v="0"/>
    <x v="6"/>
    <x v="6"/>
  </r>
  <r>
    <x v="9"/>
    <x v="1"/>
    <x v="1"/>
    <x v="0"/>
    <x v="0"/>
    <x v="1"/>
    <x v="16"/>
    <x v="1"/>
    <x v="1"/>
    <x v="6"/>
    <x v="6"/>
    <x v="0"/>
    <x v="5"/>
    <x v="5"/>
  </r>
  <r>
    <x v="10"/>
    <x v="1"/>
    <x v="13"/>
    <x v="5"/>
    <x v="1"/>
    <x v="2"/>
    <x v="26"/>
    <x v="1"/>
    <x v="4"/>
    <x v="3"/>
    <x v="3"/>
    <x v="0"/>
    <x v="6"/>
    <x v="6"/>
  </r>
  <r>
    <x v="11"/>
    <x v="1"/>
    <x v="3"/>
    <x v="1"/>
    <x v="1"/>
    <x v="2"/>
    <x v="19"/>
    <x v="0"/>
    <x v="1"/>
    <x v="2"/>
    <x v="2"/>
    <x v="0"/>
    <x v="2"/>
    <x v="2"/>
  </r>
  <r>
    <x v="11"/>
    <x v="1"/>
    <x v="3"/>
    <x v="1"/>
    <x v="1"/>
    <x v="2"/>
    <x v="19"/>
    <x v="0"/>
    <x v="1"/>
    <x v="5"/>
    <x v="5"/>
    <x v="0"/>
    <x v="4"/>
    <x v="4"/>
  </r>
  <r>
    <x v="12"/>
    <x v="1"/>
    <x v="10"/>
    <x v="0"/>
    <x v="0"/>
    <x v="0"/>
    <x v="9"/>
    <x v="1"/>
    <x v="5"/>
    <x v="3"/>
    <x v="3"/>
    <x v="0"/>
    <x v="6"/>
    <x v="6"/>
  </r>
  <r>
    <x v="12"/>
    <x v="1"/>
    <x v="10"/>
    <x v="0"/>
    <x v="0"/>
    <x v="0"/>
    <x v="9"/>
    <x v="1"/>
    <x v="5"/>
    <x v="6"/>
    <x v="6"/>
    <x v="0"/>
    <x v="5"/>
    <x v="5"/>
  </r>
  <r>
    <x v="12"/>
    <x v="1"/>
    <x v="10"/>
    <x v="0"/>
    <x v="0"/>
    <x v="0"/>
    <x v="9"/>
    <x v="1"/>
    <x v="5"/>
    <x v="7"/>
    <x v="7"/>
    <x v="0"/>
    <x v="0"/>
    <x v="0"/>
  </r>
  <r>
    <x v="13"/>
    <x v="1"/>
    <x v="1"/>
    <x v="0"/>
    <x v="1"/>
    <x v="0"/>
    <x v="11"/>
    <x v="0"/>
    <x v="0"/>
    <x v="2"/>
    <x v="2"/>
    <x v="0"/>
    <x v="2"/>
    <x v="2"/>
  </r>
  <r>
    <x v="13"/>
    <x v="1"/>
    <x v="1"/>
    <x v="0"/>
    <x v="1"/>
    <x v="0"/>
    <x v="11"/>
    <x v="0"/>
    <x v="0"/>
    <x v="5"/>
    <x v="5"/>
    <x v="0"/>
    <x v="4"/>
    <x v="4"/>
  </r>
  <r>
    <x v="14"/>
    <x v="1"/>
    <x v="12"/>
    <x v="2"/>
    <x v="0"/>
    <x v="2"/>
    <x v="20"/>
    <x v="1"/>
    <x v="4"/>
    <x v="3"/>
    <x v="3"/>
    <x v="0"/>
    <x v="6"/>
    <x v="6"/>
  </r>
  <r>
    <x v="15"/>
    <x v="1"/>
    <x v="6"/>
    <x v="0"/>
    <x v="1"/>
    <x v="0"/>
    <x v="4"/>
    <x v="1"/>
    <x v="4"/>
    <x v="3"/>
    <x v="3"/>
    <x v="0"/>
    <x v="6"/>
    <x v="6"/>
  </r>
  <r>
    <x v="16"/>
    <x v="1"/>
    <x v="7"/>
    <x v="0"/>
    <x v="1"/>
    <x v="0"/>
    <x v="2"/>
    <x v="1"/>
    <x v="4"/>
    <x v="3"/>
    <x v="3"/>
    <x v="0"/>
    <x v="6"/>
    <x v="6"/>
  </r>
  <r>
    <x v="17"/>
    <x v="1"/>
    <x v="11"/>
    <x v="0"/>
    <x v="0"/>
    <x v="0"/>
    <x v="5"/>
    <x v="1"/>
    <x v="4"/>
    <x v="3"/>
    <x v="3"/>
    <x v="0"/>
    <x v="6"/>
    <x v="6"/>
  </r>
  <r>
    <x v="18"/>
    <x v="1"/>
    <x v="15"/>
    <x v="3"/>
    <x v="0"/>
    <x v="2"/>
    <x v="23"/>
    <x v="0"/>
    <x v="4"/>
    <x v="2"/>
    <x v="2"/>
    <x v="0"/>
    <x v="2"/>
    <x v="2"/>
  </r>
  <r>
    <x v="18"/>
    <x v="1"/>
    <x v="15"/>
    <x v="3"/>
    <x v="0"/>
    <x v="2"/>
    <x v="23"/>
    <x v="0"/>
    <x v="4"/>
    <x v="5"/>
    <x v="5"/>
    <x v="0"/>
    <x v="4"/>
    <x v="4"/>
  </r>
  <r>
    <x v="19"/>
    <x v="1"/>
    <x v="15"/>
    <x v="0"/>
    <x v="1"/>
    <x v="0"/>
    <x v="14"/>
    <x v="1"/>
    <x v="4"/>
    <x v="3"/>
    <x v="3"/>
    <x v="0"/>
    <x v="6"/>
    <x v="6"/>
  </r>
  <r>
    <x v="19"/>
    <x v="1"/>
    <x v="15"/>
    <x v="0"/>
    <x v="1"/>
    <x v="0"/>
    <x v="14"/>
    <x v="1"/>
    <x v="4"/>
    <x v="6"/>
    <x v="6"/>
    <x v="0"/>
    <x v="5"/>
    <x v="5"/>
  </r>
  <r>
    <x v="20"/>
    <x v="1"/>
    <x v="14"/>
    <x v="0"/>
    <x v="0"/>
    <x v="0"/>
    <x v="0"/>
    <x v="1"/>
    <x v="4"/>
    <x v="3"/>
    <x v="3"/>
    <x v="0"/>
    <x v="6"/>
    <x v="6"/>
  </r>
  <r>
    <x v="21"/>
    <x v="1"/>
    <x v="4"/>
    <x v="0"/>
    <x v="1"/>
    <x v="1"/>
    <x v="10"/>
    <x v="1"/>
    <x v="4"/>
    <x v="6"/>
    <x v="6"/>
    <x v="0"/>
    <x v="5"/>
    <x v="5"/>
  </r>
  <r>
    <x v="22"/>
    <x v="1"/>
    <x v="19"/>
    <x v="0"/>
    <x v="1"/>
    <x v="0"/>
    <x v="1"/>
    <x v="0"/>
    <x v="4"/>
    <x v="2"/>
    <x v="2"/>
    <x v="0"/>
    <x v="2"/>
    <x v="2"/>
  </r>
  <r>
    <x v="22"/>
    <x v="1"/>
    <x v="19"/>
    <x v="0"/>
    <x v="1"/>
    <x v="0"/>
    <x v="1"/>
    <x v="0"/>
    <x v="4"/>
    <x v="0"/>
    <x v="0"/>
    <x v="0"/>
    <x v="1"/>
    <x v="1"/>
  </r>
  <r>
    <x v="23"/>
    <x v="1"/>
    <x v="9"/>
    <x v="3"/>
    <x v="1"/>
    <x v="2"/>
    <x v="24"/>
    <x v="0"/>
    <x v="4"/>
    <x v="2"/>
    <x v="2"/>
    <x v="0"/>
    <x v="2"/>
    <x v="2"/>
  </r>
  <r>
    <x v="24"/>
    <x v="1"/>
    <x v="19"/>
    <x v="3"/>
    <x v="1"/>
    <x v="2"/>
    <x v="22"/>
    <x v="0"/>
    <x v="4"/>
    <x v="2"/>
    <x v="2"/>
    <x v="0"/>
    <x v="2"/>
    <x v="2"/>
  </r>
  <r>
    <x v="25"/>
    <x v="1"/>
    <x v="16"/>
    <x v="0"/>
    <x v="1"/>
    <x v="0"/>
    <x v="13"/>
    <x v="1"/>
    <x v="6"/>
    <x v="3"/>
    <x v="3"/>
    <x v="0"/>
    <x v="6"/>
    <x v="6"/>
  </r>
  <r>
    <x v="25"/>
    <x v="1"/>
    <x v="16"/>
    <x v="0"/>
    <x v="1"/>
    <x v="0"/>
    <x v="13"/>
    <x v="1"/>
    <x v="6"/>
    <x v="6"/>
    <x v="6"/>
    <x v="0"/>
    <x v="5"/>
    <x v="5"/>
  </r>
  <r>
    <x v="26"/>
    <x v="1"/>
    <x v="8"/>
    <x v="0"/>
    <x v="0"/>
    <x v="1"/>
    <x v="3"/>
    <x v="1"/>
    <x v="4"/>
    <x v="3"/>
    <x v="3"/>
    <x v="0"/>
    <x v="6"/>
    <x v="6"/>
  </r>
  <r>
    <x v="0"/>
    <x v="0"/>
    <x v="2"/>
    <x v="0"/>
    <x v="0"/>
    <x v="2"/>
    <x v="17"/>
    <x v="1"/>
    <x v="3"/>
    <x v="1"/>
    <x v="1"/>
    <x v="0"/>
    <x v="3"/>
    <x v="3"/>
  </r>
  <r>
    <x v="1"/>
    <x v="0"/>
    <x v="20"/>
    <x v="0"/>
    <x v="1"/>
    <x v="1"/>
    <x v="8"/>
    <x v="0"/>
    <x v="2"/>
    <x v="1"/>
    <x v="1"/>
    <x v="0"/>
    <x v="3"/>
    <x v="3"/>
  </r>
  <r>
    <x v="2"/>
    <x v="0"/>
    <x v="15"/>
    <x v="3"/>
    <x v="0"/>
    <x v="2"/>
    <x v="25"/>
    <x v="0"/>
    <x v="7"/>
    <x v="1"/>
    <x v="1"/>
    <x v="0"/>
    <x v="3"/>
    <x v="3"/>
  </r>
  <r>
    <x v="3"/>
    <x v="0"/>
    <x v="18"/>
    <x v="0"/>
    <x v="1"/>
    <x v="1"/>
    <x v="15"/>
    <x v="1"/>
    <x v="2"/>
    <x v="4"/>
    <x v="4"/>
    <x v="0"/>
    <x v="7"/>
    <x v="7"/>
  </r>
  <r>
    <x v="4"/>
    <x v="0"/>
    <x v="0"/>
    <x v="0"/>
    <x v="1"/>
    <x v="0"/>
    <x v="12"/>
    <x v="1"/>
    <x v="2"/>
    <x v="4"/>
    <x v="4"/>
    <x v="1"/>
    <x v="7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lanoCompras" cacheId="68" applyNumberFormats="0" applyBorderFormats="0" applyFontFormats="0" applyPatternFormats="0" applyAlignmentFormats="0" applyWidthHeightFormats="0" dataCaption="Values" itemPrintTitles="1" indent="0" outline="1" outlineData="1">
  <location ref="A4:C14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dataField="1" showAll="0"/>
  </pivotFields>
  <rowFields count="1">
    <field x="9"/>
  </rowFields>
  <colFields count="1">
    <field x="-2"/>
  </colFields>
  <dataFields count="2">
    <dataField name="Qtd de peças" fld="11" baseField="0" baseItem="0"/>
    <dataField name="Valor total (R$)" fld="13" baseField="0" baseItem="0" numFmtId="164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mpra" displayName="tblCompra" ref="A1:N41" totalsRowShown="0">
  <autoFilter ref="A1:N41" xr:uid="{00000000-0009-0000-0100-000001000000}"/>
  <tableColumns count="14">
    <tableColumn id="1" xr3:uid="{00000000-0010-0000-0000-000001000000}" name="Ativo"/>
    <tableColumn id="2" xr3:uid="{00000000-0010-0000-0000-000002000000}" name="Tipo"/>
    <tableColumn id="3" xr3:uid="{00000000-0010-0000-0000-000003000000}" name="Localidade"/>
    <tableColumn id="4" xr3:uid="{00000000-0010-0000-0000-000004000000}" name="Posto"/>
    <tableColumn id="5" xr3:uid="{00000000-0010-0000-0000-000005000000}" name="Criticidade"/>
    <tableColumn id="6" xr3:uid="{00000000-0010-0000-0000-000006000000}" name="Status"/>
    <tableColumn id="7" xr3:uid="{00000000-0010-0000-0000-000007000000}" name="SS"/>
    <tableColumn id="8" xr3:uid="{00000000-0010-0000-0000-000008000000}" name="Tensão"/>
    <tableColumn id="9" xr3:uid="{00000000-0010-0000-0000-000009000000}" name="Marca"/>
    <tableColumn id="10" xr3:uid="{00000000-0010-0000-0000-00000A000000}" name="Material"/>
    <tableColumn id="11" xr3:uid="{00000000-0010-0000-0000-00000B000000}" name="Código"/>
    <tableColumn id="12" xr3:uid="{00000000-0010-0000-0000-00000C000000}" name="Qtd"/>
    <tableColumn id="13" xr3:uid="{00000000-0010-0000-0000-00000D000000}" name="Valor Unitário"/>
    <tableColumn id="14" xr3:uid="{00000000-0010-0000-0000-00000E000000}" name="Valor 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showGridLines="0" zoomScaleNormal="100" workbookViewId="0"/>
  </sheetViews>
  <sheetFormatPr defaultColWidth="8.7109375" defaultRowHeight="15"/>
  <cols>
    <col min="1" max="1" width="46" customWidth="1"/>
    <col min="2" max="6" width="16" customWidth="1"/>
  </cols>
  <sheetData>
    <row r="1" spans="1:3" ht="17.45">
      <c r="A1" s="1" t="s">
        <v>0</v>
      </c>
    </row>
    <row r="2" spans="1:3">
      <c r="A2" s="2" t="s">
        <v>1</v>
      </c>
    </row>
    <row r="4" spans="1:3">
      <c r="A4" s="3"/>
      <c r="B4" s="4" t="s">
        <v>2</v>
      </c>
      <c r="C4" s="5"/>
    </row>
    <row r="5" spans="1:3">
      <c r="A5" s="6" t="s">
        <v>3</v>
      </c>
      <c r="B5" s="7" t="s">
        <v>4</v>
      </c>
      <c r="C5" s="8" t="s">
        <v>5</v>
      </c>
    </row>
    <row r="6" spans="1:3">
      <c r="A6" s="9" t="s">
        <v>6</v>
      </c>
      <c r="B6" s="10">
        <v>1</v>
      </c>
      <c r="C6" s="11">
        <v>14612.08</v>
      </c>
    </row>
    <row r="7" spans="1:3">
      <c r="A7" s="12" t="s">
        <v>7</v>
      </c>
      <c r="B7" s="13">
        <v>3</v>
      </c>
      <c r="C7" s="14">
        <v>88336.17</v>
      </c>
    </row>
    <row r="8" spans="1:3">
      <c r="A8" s="12" t="s">
        <v>8</v>
      </c>
      <c r="B8" s="13">
        <v>8</v>
      </c>
      <c r="C8" s="14">
        <v>174285.76</v>
      </c>
    </row>
    <row r="9" spans="1:3">
      <c r="A9" s="12" t="s">
        <v>9</v>
      </c>
      <c r="B9" s="13">
        <v>13</v>
      </c>
      <c r="C9" s="14">
        <v>495969.24</v>
      </c>
    </row>
    <row r="10" spans="1:3">
      <c r="A10" s="12" t="s">
        <v>10</v>
      </c>
      <c r="B10" s="13">
        <v>4</v>
      </c>
      <c r="C10" s="14">
        <v>507575.2</v>
      </c>
    </row>
    <row r="11" spans="1:3">
      <c r="A11" s="12" t="s">
        <v>11</v>
      </c>
      <c r="B11" s="13">
        <v>5</v>
      </c>
      <c r="C11" s="14">
        <v>169084.1</v>
      </c>
    </row>
    <row r="12" spans="1:3">
      <c r="A12" s="12" t="s">
        <v>12</v>
      </c>
      <c r="B12" s="13">
        <v>7</v>
      </c>
      <c r="C12" s="14">
        <v>266663.03999999998</v>
      </c>
    </row>
    <row r="13" spans="1:3">
      <c r="A13" s="12" t="s">
        <v>13</v>
      </c>
      <c r="B13" s="15">
        <v>1</v>
      </c>
      <c r="C13" s="16">
        <v>736.43</v>
      </c>
    </row>
    <row r="14" spans="1:3">
      <c r="A14" s="17" t="s">
        <v>14</v>
      </c>
      <c r="B14" s="18">
        <v>42</v>
      </c>
      <c r="C14" s="19">
        <v>1717262.02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2" width="11" customWidth="1"/>
    <col min="3" max="3" width="17" customWidth="1"/>
    <col min="4" max="5" width="12" customWidth="1"/>
    <col min="6" max="6" width="26" customWidth="1"/>
    <col min="7" max="7" width="19" customWidth="1"/>
    <col min="8" max="8" width="7" customWidth="1"/>
    <col min="9" max="9" width="15" customWidth="1"/>
    <col min="10" max="10" width="42" customWidth="1"/>
    <col min="11" max="11" width="14" customWidth="1"/>
    <col min="12" max="12" width="6" customWidth="1"/>
    <col min="13" max="14" width="14" customWidth="1"/>
  </cols>
  <sheetData>
    <row r="1" spans="1:14">
      <c r="A1" s="20" t="s">
        <v>15</v>
      </c>
      <c r="B1" s="20" t="s">
        <v>16</v>
      </c>
      <c r="C1" s="20" t="s">
        <v>17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  <c r="I1" s="20" t="s">
        <v>23</v>
      </c>
      <c r="J1" s="20" t="s">
        <v>3</v>
      </c>
      <c r="K1" s="20" t="s">
        <v>24</v>
      </c>
      <c r="L1" s="20" t="s">
        <v>25</v>
      </c>
      <c r="M1" s="20" t="s">
        <v>26</v>
      </c>
      <c r="N1" s="20" t="s">
        <v>27</v>
      </c>
    </row>
    <row r="2" spans="1:14">
      <c r="A2" s="21" t="s">
        <v>28</v>
      </c>
      <c r="B2" s="21" t="s">
        <v>29</v>
      </c>
      <c r="C2" s="21" t="s">
        <v>30</v>
      </c>
      <c r="D2" s="21" t="s">
        <v>31</v>
      </c>
      <c r="E2" s="21" t="s">
        <v>32</v>
      </c>
      <c r="F2" s="21" t="s">
        <v>33</v>
      </c>
      <c r="G2" s="21" t="s">
        <v>34</v>
      </c>
      <c r="H2" s="21" t="s">
        <v>35</v>
      </c>
      <c r="I2" s="21" t="s">
        <v>36</v>
      </c>
      <c r="J2" s="21" t="s">
        <v>8</v>
      </c>
      <c r="K2" s="21" t="s">
        <v>37</v>
      </c>
      <c r="L2" s="22">
        <v>1</v>
      </c>
      <c r="M2" s="23">
        <v>21785.72</v>
      </c>
      <c r="N2" s="23">
        <v>21785.72</v>
      </c>
    </row>
    <row r="3" spans="1:14">
      <c r="A3" s="21" t="s">
        <v>28</v>
      </c>
      <c r="B3" s="21" t="s">
        <v>29</v>
      </c>
      <c r="C3" s="21" t="s">
        <v>30</v>
      </c>
      <c r="D3" s="21" t="s">
        <v>31</v>
      </c>
      <c r="E3" s="21" t="s">
        <v>32</v>
      </c>
      <c r="F3" s="21" t="s">
        <v>33</v>
      </c>
      <c r="G3" s="21" t="s">
        <v>34</v>
      </c>
      <c r="H3" s="21" t="s">
        <v>35</v>
      </c>
      <c r="I3" s="21" t="s">
        <v>36</v>
      </c>
      <c r="J3" s="21" t="s">
        <v>11</v>
      </c>
      <c r="K3" s="21" t="s">
        <v>38</v>
      </c>
      <c r="L3" s="22">
        <v>1</v>
      </c>
      <c r="M3" s="23">
        <v>33816.82</v>
      </c>
      <c r="N3" s="23">
        <v>33816.82</v>
      </c>
    </row>
    <row r="4" spans="1:14">
      <c r="A4" s="21" t="s">
        <v>39</v>
      </c>
      <c r="B4" s="21" t="s">
        <v>29</v>
      </c>
      <c r="C4" s="21" t="s">
        <v>40</v>
      </c>
      <c r="D4" s="21" t="s">
        <v>31</v>
      </c>
      <c r="E4" s="21" t="s">
        <v>32</v>
      </c>
      <c r="F4" s="21" t="s">
        <v>41</v>
      </c>
      <c r="G4" s="21" t="s">
        <v>42</v>
      </c>
      <c r="H4" s="21" t="s">
        <v>43</v>
      </c>
      <c r="I4" s="21" t="s">
        <v>36</v>
      </c>
      <c r="J4" s="21" t="s">
        <v>9</v>
      </c>
      <c r="K4" s="21" t="s">
        <v>44</v>
      </c>
      <c r="L4" s="22">
        <v>1</v>
      </c>
      <c r="M4" s="23">
        <v>38151.480000000003</v>
      </c>
      <c r="N4" s="23">
        <v>38151.480000000003</v>
      </c>
    </row>
    <row r="5" spans="1:14">
      <c r="A5" s="21" t="s">
        <v>39</v>
      </c>
      <c r="B5" s="21" t="s">
        <v>29</v>
      </c>
      <c r="C5" s="21" t="s">
        <v>40</v>
      </c>
      <c r="D5" s="21" t="s">
        <v>31</v>
      </c>
      <c r="E5" s="21" t="s">
        <v>32</v>
      </c>
      <c r="F5" s="21" t="s">
        <v>41</v>
      </c>
      <c r="G5" s="21" t="s">
        <v>42</v>
      </c>
      <c r="H5" s="21" t="s">
        <v>43</v>
      </c>
      <c r="I5" s="21" t="s">
        <v>36</v>
      </c>
      <c r="J5" s="21" t="s">
        <v>12</v>
      </c>
      <c r="K5" s="21" t="s">
        <v>45</v>
      </c>
      <c r="L5" s="22">
        <v>1</v>
      </c>
      <c r="M5" s="23">
        <v>38094.720000000001</v>
      </c>
      <c r="N5" s="23">
        <v>38094.720000000001</v>
      </c>
    </row>
    <row r="6" spans="1:14">
      <c r="A6" s="21" t="s">
        <v>46</v>
      </c>
      <c r="B6" s="21" t="s">
        <v>29</v>
      </c>
      <c r="C6" s="21" t="s">
        <v>47</v>
      </c>
      <c r="D6" s="21" t="s">
        <v>48</v>
      </c>
      <c r="E6" s="21" t="s">
        <v>49</v>
      </c>
      <c r="F6" s="21" t="s">
        <v>33</v>
      </c>
      <c r="G6" s="21" t="s">
        <v>50</v>
      </c>
      <c r="H6" s="21" t="s">
        <v>35</v>
      </c>
      <c r="I6" s="21" t="s">
        <v>36</v>
      </c>
      <c r="J6" s="21" t="s">
        <v>8</v>
      </c>
      <c r="K6" s="21" t="s">
        <v>37</v>
      </c>
      <c r="L6" s="22">
        <v>1</v>
      </c>
      <c r="M6" s="23">
        <v>21785.72</v>
      </c>
      <c r="N6" s="23">
        <v>21785.72</v>
      </c>
    </row>
    <row r="7" spans="1:14">
      <c r="A7" s="21" t="s">
        <v>46</v>
      </c>
      <c r="B7" s="21" t="s">
        <v>29</v>
      </c>
      <c r="C7" s="21" t="s">
        <v>47</v>
      </c>
      <c r="D7" s="21" t="s">
        <v>48</v>
      </c>
      <c r="E7" s="21" t="s">
        <v>49</v>
      </c>
      <c r="F7" s="21" t="s">
        <v>33</v>
      </c>
      <c r="G7" s="21" t="s">
        <v>50</v>
      </c>
      <c r="H7" s="21" t="s">
        <v>35</v>
      </c>
      <c r="I7" s="21" t="s">
        <v>36</v>
      </c>
      <c r="J7" s="21" t="s">
        <v>11</v>
      </c>
      <c r="K7" s="21" t="s">
        <v>38</v>
      </c>
      <c r="L7" s="22">
        <v>1</v>
      </c>
      <c r="M7" s="23">
        <v>33816.82</v>
      </c>
      <c r="N7" s="23">
        <v>33816.82</v>
      </c>
    </row>
    <row r="8" spans="1:14">
      <c r="A8" s="21" t="s">
        <v>51</v>
      </c>
      <c r="B8" s="21" t="s">
        <v>29</v>
      </c>
      <c r="C8" s="21" t="s">
        <v>52</v>
      </c>
      <c r="D8" s="21" t="s">
        <v>53</v>
      </c>
      <c r="E8" s="21" t="s">
        <v>32</v>
      </c>
      <c r="F8" s="21" t="s">
        <v>33</v>
      </c>
      <c r="G8" s="21" t="s">
        <v>54</v>
      </c>
      <c r="H8" s="21" t="s">
        <v>43</v>
      </c>
      <c r="I8" s="21" t="s">
        <v>36</v>
      </c>
      <c r="J8" s="21" t="s">
        <v>9</v>
      </c>
      <c r="K8" s="21" t="s">
        <v>44</v>
      </c>
      <c r="L8" s="22">
        <v>1</v>
      </c>
      <c r="M8" s="23">
        <v>38151.480000000003</v>
      </c>
      <c r="N8" s="23">
        <v>38151.480000000003</v>
      </c>
    </row>
    <row r="9" spans="1:14">
      <c r="A9" s="21" t="s">
        <v>51</v>
      </c>
      <c r="B9" s="21" t="s">
        <v>29</v>
      </c>
      <c r="C9" s="21" t="s">
        <v>52</v>
      </c>
      <c r="D9" s="21" t="s">
        <v>53</v>
      </c>
      <c r="E9" s="21" t="s">
        <v>32</v>
      </c>
      <c r="F9" s="21" t="s">
        <v>33</v>
      </c>
      <c r="G9" s="21" t="s">
        <v>54</v>
      </c>
      <c r="H9" s="21" t="s">
        <v>43</v>
      </c>
      <c r="I9" s="21" t="s">
        <v>36</v>
      </c>
      <c r="J9" s="21" t="s">
        <v>12</v>
      </c>
      <c r="K9" s="21" t="s">
        <v>45</v>
      </c>
      <c r="L9" s="22">
        <v>1</v>
      </c>
      <c r="M9" s="23">
        <v>38094.720000000001</v>
      </c>
      <c r="N9" s="23">
        <v>38094.720000000001</v>
      </c>
    </row>
    <row r="10" spans="1:14">
      <c r="A10" s="21" t="s">
        <v>55</v>
      </c>
      <c r="B10" s="21" t="s">
        <v>29</v>
      </c>
      <c r="C10" s="21" t="s">
        <v>56</v>
      </c>
      <c r="D10" s="21" t="s">
        <v>31</v>
      </c>
      <c r="E10" s="21" t="s">
        <v>49</v>
      </c>
      <c r="F10" s="21" t="s">
        <v>57</v>
      </c>
      <c r="G10" s="21" t="s">
        <v>58</v>
      </c>
      <c r="H10" s="21" t="s">
        <v>43</v>
      </c>
      <c r="I10" s="21" t="s">
        <v>36</v>
      </c>
      <c r="J10" s="21" t="s">
        <v>9</v>
      </c>
      <c r="K10" s="21" t="s">
        <v>44</v>
      </c>
      <c r="L10" s="22">
        <v>1</v>
      </c>
      <c r="M10" s="23">
        <v>38151.480000000003</v>
      </c>
      <c r="N10" s="23">
        <v>38151.480000000003</v>
      </c>
    </row>
    <row r="11" spans="1:14">
      <c r="A11" s="21" t="s">
        <v>55</v>
      </c>
      <c r="B11" s="21" t="s">
        <v>29</v>
      </c>
      <c r="C11" s="21" t="s">
        <v>56</v>
      </c>
      <c r="D11" s="21" t="s">
        <v>31</v>
      </c>
      <c r="E11" s="21" t="s">
        <v>49</v>
      </c>
      <c r="F11" s="21" t="s">
        <v>57</v>
      </c>
      <c r="G11" s="21" t="s">
        <v>58</v>
      </c>
      <c r="H11" s="21" t="s">
        <v>43</v>
      </c>
      <c r="I11" s="21" t="s">
        <v>36</v>
      </c>
      <c r="J11" s="21" t="s">
        <v>12</v>
      </c>
      <c r="K11" s="21" t="s">
        <v>45</v>
      </c>
      <c r="L11" s="22">
        <v>1</v>
      </c>
      <c r="M11" s="23">
        <v>38094.720000000001</v>
      </c>
      <c r="N11" s="23">
        <v>38094.720000000001</v>
      </c>
    </row>
    <row r="12" spans="1:14">
      <c r="A12" s="21" t="s">
        <v>59</v>
      </c>
      <c r="B12" s="21" t="s">
        <v>29</v>
      </c>
      <c r="C12" s="21" t="s">
        <v>60</v>
      </c>
      <c r="D12" s="21" t="s">
        <v>61</v>
      </c>
      <c r="E12" s="21" t="s">
        <v>32</v>
      </c>
      <c r="F12" s="21" t="s">
        <v>33</v>
      </c>
      <c r="G12" s="21" t="s">
        <v>62</v>
      </c>
      <c r="H12" s="21" t="s">
        <v>43</v>
      </c>
      <c r="I12" s="21" t="s">
        <v>63</v>
      </c>
      <c r="J12" s="21" t="s">
        <v>9</v>
      </c>
      <c r="K12" s="21" t="s">
        <v>44</v>
      </c>
      <c r="L12" s="22">
        <v>1</v>
      </c>
      <c r="M12" s="23">
        <v>38151.480000000003</v>
      </c>
      <c r="N12" s="23">
        <v>38151.480000000003</v>
      </c>
    </row>
    <row r="13" spans="1:14">
      <c r="A13" s="21" t="s">
        <v>64</v>
      </c>
      <c r="B13" s="21" t="s">
        <v>29</v>
      </c>
      <c r="C13" s="21" t="s">
        <v>65</v>
      </c>
      <c r="D13" s="21" t="s">
        <v>66</v>
      </c>
      <c r="E13" s="21" t="s">
        <v>32</v>
      </c>
      <c r="F13" s="21" t="s">
        <v>33</v>
      </c>
      <c r="G13" s="21" t="s">
        <v>67</v>
      </c>
      <c r="H13" s="21" t="s">
        <v>35</v>
      </c>
      <c r="I13" s="21" t="s">
        <v>36</v>
      </c>
      <c r="J13" s="21" t="s">
        <v>8</v>
      </c>
      <c r="K13" s="21" t="s">
        <v>37</v>
      </c>
      <c r="L13" s="22">
        <v>1</v>
      </c>
      <c r="M13" s="23">
        <v>21785.72</v>
      </c>
      <c r="N13" s="23">
        <v>21785.72</v>
      </c>
    </row>
    <row r="14" spans="1:14">
      <c r="A14" s="21" t="s">
        <v>64</v>
      </c>
      <c r="B14" s="21" t="s">
        <v>29</v>
      </c>
      <c r="C14" s="21" t="s">
        <v>65</v>
      </c>
      <c r="D14" s="21" t="s">
        <v>66</v>
      </c>
      <c r="E14" s="21" t="s">
        <v>32</v>
      </c>
      <c r="F14" s="21" t="s">
        <v>33</v>
      </c>
      <c r="G14" s="21" t="s">
        <v>67</v>
      </c>
      <c r="H14" s="21" t="s">
        <v>35</v>
      </c>
      <c r="I14" s="21" t="s">
        <v>36</v>
      </c>
      <c r="J14" s="21" t="s">
        <v>11</v>
      </c>
      <c r="K14" s="21" t="s">
        <v>38</v>
      </c>
      <c r="L14" s="22">
        <v>1</v>
      </c>
      <c r="M14" s="23">
        <v>33816.82</v>
      </c>
      <c r="N14" s="23">
        <v>33816.82</v>
      </c>
    </row>
    <row r="15" spans="1:14">
      <c r="A15" s="21" t="s">
        <v>68</v>
      </c>
      <c r="B15" s="21" t="s">
        <v>29</v>
      </c>
      <c r="C15" s="21" t="s">
        <v>69</v>
      </c>
      <c r="D15" s="21" t="s">
        <v>31</v>
      </c>
      <c r="E15" s="21" t="s">
        <v>49</v>
      </c>
      <c r="F15" s="21" t="s">
        <v>41</v>
      </c>
      <c r="G15" s="21" t="s">
        <v>70</v>
      </c>
      <c r="H15" s="21" t="s">
        <v>43</v>
      </c>
      <c r="I15" s="21" t="s">
        <v>71</v>
      </c>
      <c r="J15" s="21" t="s">
        <v>9</v>
      </c>
      <c r="K15" s="21" t="s">
        <v>44</v>
      </c>
      <c r="L15" s="22">
        <v>1</v>
      </c>
      <c r="M15" s="23">
        <v>38151.480000000003</v>
      </c>
      <c r="N15" s="23">
        <v>38151.480000000003</v>
      </c>
    </row>
    <row r="16" spans="1:14">
      <c r="A16" s="21" t="s">
        <v>68</v>
      </c>
      <c r="B16" s="21" t="s">
        <v>29</v>
      </c>
      <c r="C16" s="21" t="s">
        <v>69</v>
      </c>
      <c r="D16" s="21" t="s">
        <v>31</v>
      </c>
      <c r="E16" s="21" t="s">
        <v>49</v>
      </c>
      <c r="F16" s="21" t="s">
        <v>41</v>
      </c>
      <c r="G16" s="21" t="s">
        <v>70</v>
      </c>
      <c r="H16" s="21" t="s">
        <v>43</v>
      </c>
      <c r="I16" s="21" t="s">
        <v>71</v>
      </c>
      <c r="J16" s="21" t="s">
        <v>12</v>
      </c>
      <c r="K16" s="21" t="s">
        <v>45</v>
      </c>
      <c r="L16" s="22">
        <v>1</v>
      </c>
      <c r="M16" s="23">
        <v>38094.720000000001</v>
      </c>
      <c r="N16" s="23">
        <v>38094.720000000001</v>
      </c>
    </row>
    <row r="17" spans="1:14">
      <c r="A17" s="21" t="s">
        <v>68</v>
      </c>
      <c r="B17" s="21" t="s">
        <v>29</v>
      </c>
      <c r="C17" s="21" t="s">
        <v>69</v>
      </c>
      <c r="D17" s="21" t="s">
        <v>31</v>
      </c>
      <c r="E17" s="21" t="s">
        <v>49</v>
      </c>
      <c r="F17" s="21" t="s">
        <v>41</v>
      </c>
      <c r="G17" s="21" t="s">
        <v>70</v>
      </c>
      <c r="H17" s="21" t="s">
        <v>43</v>
      </c>
      <c r="I17" s="21" t="s">
        <v>71</v>
      </c>
      <c r="J17" s="21" t="s">
        <v>13</v>
      </c>
      <c r="K17" s="21" t="s">
        <v>72</v>
      </c>
      <c r="L17" s="22">
        <v>1</v>
      </c>
      <c r="M17" s="23">
        <v>736.43</v>
      </c>
      <c r="N17" s="23">
        <v>736.43</v>
      </c>
    </row>
    <row r="18" spans="1:14">
      <c r="A18" s="21" t="s">
        <v>73</v>
      </c>
      <c r="B18" s="21" t="s">
        <v>29</v>
      </c>
      <c r="C18" s="21" t="s">
        <v>56</v>
      </c>
      <c r="D18" s="21" t="s">
        <v>31</v>
      </c>
      <c r="E18" s="21" t="s">
        <v>32</v>
      </c>
      <c r="F18" s="21" t="s">
        <v>41</v>
      </c>
      <c r="G18" s="21" t="s">
        <v>74</v>
      </c>
      <c r="H18" s="21" t="s">
        <v>35</v>
      </c>
      <c r="I18" s="21" t="s">
        <v>75</v>
      </c>
      <c r="J18" s="21" t="s">
        <v>8</v>
      </c>
      <c r="K18" s="21" t="s">
        <v>37</v>
      </c>
      <c r="L18" s="22">
        <v>1</v>
      </c>
      <c r="M18" s="23">
        <v>21785.72</v>
      </c>
      <c r="N18" s="23">
        <v>21785.72</v>
      </c>
    </row>
    <row r="19" spans="1:14">
      <c r="A19" s="21" t="s">
        <v>73</v>
      </c>
      <c r="B19" s="21" t="s">
        <v>29</v>
      </c>
      <c r="C19" s="21" t="s">
        <v>56</v>
      </c>
      <c r="D19" s="21" t="s">
        <v>31</v>
      </c>
      <c r="E19" s="21" t="s">
        <v>32</v>
      </c>
      <c r="F19" s="21" t="s">
        <v>41</v>
      </c>
      <c r="G19" s="21" t="s">
        <v>74</v>
      </c>
      <c r="H19" s="21" t="s">
        <v>35</v>
      </c>
      <c r="I19" s="21" t="s">
        <v>75</v>
      </c>
      <c r="J19" s="21" t="s">
        <v>11</v>
      </c>
      <c r="K19" s="21" t="s">
        <v>38</v>
      </c>
      <c r="L19" s="22">
        <v>1</v>
      </c>
      <c r="M19" s="23">
        <v>33816.82</v>
      </c>
      <c r="N19" s="23">
        <v>33816.82</v>
      </c>
    </row>
    <row r="20" spans="1:14">
      <c r="A20" s="21" t="s">
        <v>76</v>
      </c>
      <c r="B20" s="21" t="s">
        <v>29</v>
      </c>
      <c r="C20" s="21" t="s">
        <v>77</v>
      </c>
      <c r="D20" s="21" t="s">
        <v>48</v>
      </c>
      <c r="E20" s="21" t="s">
        <v>49</v>
      </c>
      <c r="F20" s="21" t="s">
        <v>33</v>
      </c>
      <c r="G20" s="21" t="s">
        <v>78</v>
      </c>
      <c r="H20" s="21" t="s">
        <v>43</v>
      </c>
      <c r="I20" s="21" t="s">
        <v>63</v>
      </c>
      <c r="J20" s="21" t="s">
        <v>9</v>
      </c>
      <c r="K20" s="21" t="s">
        <v>44</v>
      </c>
      <c r="L20" s="22">
        <v>1</v>
      </c>
      <c r="M20" s="23">
        <v>38151.480000000003</v>
      </c>
      <c r="N20" s="23">
        <v>38151.480000000003</v>
      </c>
    </row>
    <row r="21" spans="1:14">
      <c r="A21" s="21" t="s">
        <v>79</v>
      </c>
      <c r="B21" s="21" t="s">
        <v>29</v>
      </c>
      <c r="C21" s="21" t="s">
        <v>80</v>
      </c>
      <c r="D21" s="21" t="s">
        <v>31</v>
      </c>
      <c r="E21" s="21" t="s">
        <v>32</v>
      </c>
      <c r="F21" s="21" t="s">
        <v>41</v>
      </c>
      <c r="G21" s="21" t="s">
        <v>81</v>
      </c>
      <c r="H21" s="21" t="s">
        <v>43</v>
      </c>
      <c r="I21" s="21" t="s">
        <v>63</v>
      </c>
      <c r="J21" s="21" t="s">
        <v>9</v>
      </c>
      <c r="K21" s="21" t="s">
        <v>44</v>
      </c>
      <c r="L21" s="22">
        <v>1</v>
      </c>
      <c r="M21" s="23">
        <v>38151.480000000003</v>
      </c>
      <c r="N21" s="23">
        <v>38151.480000000003</v>
      </c>
    </row>
    <row r="22" spans="1:14">
      <c r="A22" s="21" t="s">
        <v>82</v>
      </c>
      <c r="B22" s="21" t="s">
        <v>29</v>
      </c>
      <c r="C22" s="21" t="s">
        <v>83</v>
      </c>
      <c r="D22" s="21" t="s">
        <v>31</v>
      </c>
      <c r="E22" s="21" t="s">
        <v>32</v>
      </c>
      <c r="F22" s="21" t="s">
        <v>41</v>
      </c>
      <c r="G22" s="21" t="s">
        <v>84</v>
      </c>
      <c r="H22" s="21" t="s">
        <v>43</v>
      </c>
      <c r="I22" s="21" t="s">
        <v>63</v>
      </c>
      <c r="J22" s="21" t="s">
        <v>9</v>
      </c>
      <c r="K22" s="21" t="s">
        <v>44</v>
      </c>
      <c r="L22" s="22">
        <v>1</v>
      </c>
      <c r="M22" s="23">
        <v>38151.480000000003</v>
      </c>
      <c r="N22" s="23">
        <v>38151.480000000003</v>
      </c>
    </row>
    <row r="23" spans="1:14">
      <c r="A23" s="21" t="s">
        <v>85</v>
      </c>
      <c r="B23" s="21" t="s">
        <v>29</v>
      </c>
      <c r="C23" s="21" t="s">
        <v>30</v>
      </c>
      <c r="D23" s="21" t="s">
        <v>31</v>
      </c>
      <c r="E23" s="21" t="s">
        <v>49</v>
      </c>
      <c r="F23" s="21" t="s">
        <v>41</v>
      </c>
      <c r="G23" s="21" t="s">
        <v>86</v>
      </c>
      <c r="H23" s="21" t="s">
        <v>43</v>
      </c>
      <c r="I23" s="21" t="s">
        <v>63</v>
      </c>
      <c r="J23" s="21" t="s">
        <v>9</v>
      </c>
      <c r="K23" s="21" t="s">
        <v>44</v>
      </c>
      <c r="L23" s="22">
        <v>1</v>
      </c>
      <c r="M23" s="23">
        <v>38151.480000000003</v>
      </c>
      <c r="N23" s="23">
        <v>38151.480000000003</v>
      </c>
    </row>
    <row r="24" spans="1:14">
      <c r="A24" s="21" t="s">
        <v>87</v>
      </c>
      <c r="B24" s="21" t="s">
        <v>29</v>
      </c>
      <c r="C24" s="21" t="s">
        <v>88</v>
      </c>
      <c r="D24" s="21" t="s">
        <v>89</v>
      </c>
      <c r="E24" s="21" t="s">
        <v>49</v>
      </c>
      <c r="F24" s="21" t="s">
        <v>33</v>
      </c>
      <c r="G24" s="21" t="s">
        <v>90</v>
      </c>
      <c r="H24" s="21" t="s">
        <v>35</v>
      </c>
      <c r="I24" s="21" t="s">
        <v>63</v>
      </c>
      <c r="J24" s="21" t="s">
        <v>8</v>
      </c>
      <c r="K24" s="21" t="s">
        <v>37</v>
      </c>
      <c r="L24" s="22">
        <v>1</v>
      </c>
      <c r="M24" s="23">
        <v>21785.72</v>
      </c>
      <c r="N24" s="23">
        <v>21785.72</v>
      </c>
    </row>
    <row r="25" spans="1:14">
      <c r="A25" s="21" t="s">
        <v>87</v>
      </c>
      <c r="B25" s="21" t="s">
        <v>29</v>
      </c>
      <c r="C25" s="21" t="s">
        <v>88</v>
      </c>
      <c r="D25" s="21" t="s">
        <v>89</v>
      </c>
      <c r="E25" s="21" t="s">
        <v>49</v>
      </c>
      <c r="F25" s="21" t="s">
        <v>33</v>
      </c>
      <c r="G25" s="21" t="s">
        <v>90</v>
      </c>
      <c r="H25" s="21" t="s">
        <v>35</v>
      </c>
      <c r="I25" s="21" t="s">
        <v>63</v>
      </c>
      <c r="J25" s="21" t="s">
        <v>11</v>
      </c>
      <c r="K25" s="21" t="s">
        <v>38</v>
      </c>
      <c r="L25" s="22">
        <v>1</v>
      </c>
      <c r="M25" s="23">
        <v>33816.82</v>
      </c>
      <c r="N25" s="23">
        <v>33816.82</v>
      </c>
    </row>
    <row r="26" spans="1:14">
      <c r="A26" s="21" t="s">
        <v>91</v>
      </c>
      <c r="B26" s="21" t="s">
        <v>29</v>
      </c>
      <c r="C26" s="21" t="s">
        <v>88</v>
      </c>
      <c r="D26" s="21" t="s">
        <v>31</v>
      </c>
      <c r="E26" s="21" t="s">
        <v>32</v>
      </c>
      <c r="F26" s="21" t="s">
        <v>41</v>
      </c>
      <c r="G26" s="21" t="s">
        <v>92</v>
      </c>
      <c r="H26" s="21" t="s">
        <v>43</v>
      </c>
      <c r="I26" s="21" t="s">
        <v>63</v>
      </c>
      <c r="J26" s="21" t="s">
        <v>9</v>
      </c>
      <c r="K26" s="21" t="s">
        <v>44</v>
      </c>
      <c r="L26" s="22">
        <v>1</v>
      </c>
      <c r="M26" s="23">
        <v>38151.480000000003</v>
      </c>
      <c r="N26" s="23">
        <v>38151.480000000003</v>
      </c>
    </row>
    <row r="27" spans="1:14">
      <c r="A27" s="21" t="s">
        <v>91</v>
      </c>
      <c r="B27" s="21" t="s">
        <v>29</v>
      </c>
      <c r="C27" s="21" t="s">
        <v>88</v>
      </c>
      <c r="D27" s="21" t="s">
        <v>31</v>
      </c>
      <c r="E27" s="21" t="s">
        <v>32</v>
      </c>
      <c r="F27" s="21" t="s">
        <v>41</v>
      </c>
      <c r="G27" s="21" t="s">
        <v>92</v>
      </c>
      <c r="H27" s="21" t="s">
        <v>43</v>
      </c>
      <c r="I27" s="21" t="s">
        <v>63</v>
      </c>
      <c r="J27" s="21" t="s">
        <v>12</v>
      </c>
      <c r="K27" s="21" t="s">
        <v>45</v>
      </c>
      <c r="L27" s="22">
        <v>1</v>
      </c>
      <c r="M27" s="23">
        <v>38094.720000000001</v>
      </c>
      <c r="N27" s="23">
        <v>38094.720000000001</v>
      </c>
    </row>
    <row r="28" spans="1:14">
      <c r="A28" s="21" t="s">
        <v>93</v>
      </c>
      <c r="B28" s="21" t="s">
        <v>29</v>
      </c>
      <c r="C28" s="21" t="s">
        <v>52</v>
      </c>
      <c r="D28" s="21" t="s">
        <v>31</v>
      </c>
      <c r="E28" s="21" t="s">
        <v>49</v>
      </c>
      <c r="F28" s="21" t="s">
        <v>41</v>
      </c>
      <c r="G28" s="21" t="s">
        <v>94</v>
      </c>
      <c r="H28" s="21" t="s">
        <v>43</v>
      </c>
      <c r="I28" s="21" t="s">
        <v>63</v>
      </c>
      <c r="J28" s="21" t="s">
        <v>9</v>
      </c>
      <c r="K28" s="21" t="s">
        <v>44</v>
      </c>
      <c r="L28" s="22">
        <v>1</v>
      </c>
      <c r="M28" s="23">
        <v>38151.480000000003</v>
      </c>
      <c r="N28" s="23">
        <v>38151.480000000003</v>
      </c>
    </row>
    <row r="29" spans="1:14">
      <c r="A29" s="21" t="s">
        <v>95</v>
      </c>
      <c r="B29" s="21" t="s">
        <v>29</v>
      </c>
      <c r="C29" s="21" t="s">
        <v>96</v>
      </c>
      <c r="D29" s="21" t="s">
        <v>31</v>
      </c>
      <c r="E29" s="21" t="s">
        <v>32</v>
      </c>
      <c r="F29" s="21" t="s">
        <v>57</v>
      </c>
      <c r="G29" s="21" t="s">
        <v>97</v>
      </c>
      <c r="H29" s="21" t="s">
        <v>43</v>
      </c>
      <c r="I29" s="21" t="s">
        <v>63</v>
      </c>
      <c r="J29" s="21" t="s">
        <v>12</v>
      </c>
      <c r="K29" s="21" t="s">
        <v>45</v>
      </c>
      <c r="L29" s="22">
        <v>1</v>
      </c>
      <c r="M29" s="23">
        <v>38094.720000000001</v>
      </c>
      <c r="N29" s="23">
        <v>38094.720000000001</v>
      </c>
    </row>
    <row r="30" spans="1:14">
      <c r="A30" s="21" t="s">
        <v>98</v>
      </c>
      <c r="B30" s="21" t="s">
        <v>29</v>
      </c>
      <c r="C30" s="21" t="s">
        <v>99</v>
      </c>
      <c r="D30" s="21" t="s">
        <v>31</v>
      </c>
      <c r="E30" s="21" t="s">
        <v>32</v>
      </c>
      <c r="F30" s="21" t="s">
        <v>41</v>
      </c>
      <c r="G30" s="21" t="s">
        <v>100</v>
      </c>
      <c r="H30" s="21" t="s">
        <v>35</v>
      </c>
      <c r="I30" s="21" t="s">
        <v>63</v>
      </c>
      <c r="J30" s="21" t="s">
        <v>8</v>
      </c>
      <c r="K30" s="21" t="s">
        <v>37</v>
      </c>
      <c r="L30" s="22">
        <v>1</v>
      </c>
      <c r="M30" s="23">
        <v>21785.72</v>
      </c>
      <c r="N30" s="23">
        <v>21785.72</v>
      </c>
    </row>
    <row r="31" spans="1:14">
      <c r="A31" s="21" t="s">
        <v>98</v>
      </c>
      <c r="B31" s="21" t="s">
        <v>29</v>
      </c>
      <c r="C31" s="21" t="s">
        <v>99</v>
      </c>
      <c r="D31" s="21" t="s">
        <v>31</v>
      </c>
      <c r="E31" s="21" t="s">
        <v>32</v>
      </c>
      <c r="F31" s="21" t="s">
        <v>41</v>
      </c>
      <c r="G31" s="21" t="s">
        <v>100</v>
      </c>
      <c r="H31" s="21" t="s">
        <v>35</v>
      </c>
      <c r="I31" s="21" t="s">
        <v>63</v>
      </c>
      <c r="J31" s="21" t="s">
        <v>6</v>
      </c>
      <c r="K31" s="21" t="s">
        <v>101</v>
      </c>
      <c r="L31" s="22">
        <v>1</v>
      </c>
      <c r="M31" s="23">
        <v>14612.08</v>
      </c>
      <c r="N31" s="23">
        <v>14612.08</v>
      </c>
    </row>
    <row r="32" spans="1:14">
      <c r="A32" s="21" t="s">
        <v>102</v>
      </c>
      <c r="B32" s="21" t="s">
        <v>29</v>
      </c>
      <c r="C32" s="21" t="s">
        <v>103</v>
      </c>
      <c r="D32" s="21" t="s">
        <v>89</v>
      </c>
      <c r="E32" s="21" t="s">
        <v>32</v>
      </c>
      <c r="F32" s="21" t="s">
        <v>33</v>
      </c>
      <c r="G32" s="21" t="s">
        <v>104</v>
      </c>
      <c r="H32" s="21" t="s">
        <v>35</v>
      </c>
      <c r="I32" s="21" t="s">
        <v>63</v>
      </c>
      <c r="J32" s="21" t="s">
        <v>8</v>
      </c>
      <c r="K32" s="21" t="s">
        <v>37</v>
      </c>
      <c r="L32" s="22">
        <v>1</v>
      </c>
      <c r="M32" s="23">
        <v>21785.72</v>
      </c>
      <c r="N32" s="23">
        <v>21785.72</v>
      </c>
    </row>
    <row r="33" spans="1:14">
      <c r="A33" s="21" t="s">
        <v>105</v>
      </c>
      <c r="B33" s="21" t="s">
        <v>29</v>
      </c>
      <c r="C33" s="21" t="s">
        <v>99</v>
      </c>
      <c r="D33" s="21" t="s">
        <v>89</v>
      </c>
      <c r="E33" s="21" t="s">
        <v>32</v>
      </c>
      <c r="F33" s="21" t="s">
        <v>33</v>
      </c>
      <c r="G33" s="21" t="s">
        <v>106</v>
      </c>
      <c r="H33" s="21" t="s">
        <v>35</v>
      </c>
      <c r="I33" s="21" t="s">
        <v>63</v>
      </c>
      <c r="J33" s="21" t="s">
        <v>8</v>
      </c>
      <c r="K33" s="21" t="s">
        <v>37</v>
      </c>
      <c r="L33" s="22">
        <v>1</v>
      </c>
      <c r="M33" s="23">
        <v>21785.72</v>
      </c>
      <c r="N33" s="23">
        <v>21785.72</v>
      </c>
    </row>
    <row r="34" spans="1:14">
      <c r="A34" s="21" t="s">
        <v>107</v>
      </c>
      <c r="B34" s="21" t="s">
        <v>29</v>
      </c>
      <c r="C34" s="21" t="s">
        <v>108</v>
      </c>
      <c r="D34" s="21" t="s">
        <v>31</v>
      </c>
      <c r="E34" s="21" t="s">
        <v>32</v>
      </c>
      <c r="F34" s="21" t="s">
        <v>41</v>
      </c>
      <c r="G34" s="21" t="s">
        <v>109</v>
      </c>
      <c r="H34" s="21" t="s">
        <v>43</v>
      </c>
      <c r="I34" s="21" t="s">
        <v>110</v>
      </c>
      <c r="J34" s="21" t="s">
        <v>9</v>
      </c>
      <c r="K34" s="21" t="s">
        <v>44</v>
      </c>
      <c r="L34" s="22">
        <v>1</v>
      </c>
      <c r="M34" s="23">
        <v>38151.480000000003</v>
      </c>
      <c r="N34" s="23">
        <v>38151.480000000003</v>
      </c>
    </row>
    <row r="35" spans="1:14">
      <c r="A35" s="21" t="s">
        <v>107</v>
      </c>
      <c r="B35" s="21" t="s">
        <v>29</v>
      </c>
      <c r="C35" s="21" t="s">
        <v>108</v>
      </c>
      <c r="D35" s="21" t="s">
        <v>31</v>
      </c>
      <c r="E35" s="21" t="s">
        <v>32</v>
      </c>
      <c r="F35" s="21" t="s">
        <v>41</v>
      </c>
      <c r="G35" s="21" t="s">
        <v>109</v>
      </c>
      <c r="H35" s="21" t="s">
        <v>43</v>
      </c>
      <c r="I35" s="21" t="s">
        <v>110</v>
      </c>
      <c r="J35" s="21" t="s">
        <v>12</v>
      </c>
      <c r="K35" s="21" t="s">
        <v>45</v>
      </c>
      <c r="L35" s="22">
        <v>1</v>
      </c>
      <c r="M35" s="23">
        <v>38094.720000000001</v>
      </c>
      <c r="N35" s="23">
        <v>38094.720000000001</v>
      </c>
    </row>
    <row r="36" spans="1:14">
      <c r="A36" s="21" t="s">
        <v>111</v>
      </c>
      <c r="B36" s="21" t="s">
        <v>29</v>
      </c>
      <c r="C36" s="21" t="s">
        <v>112</v>
      </c>
      <c r="D36" s="21" t="s">
        <v>31</v>
      </c>
      <c r="E36" s="21" t="s">
        <v>49</v>
      </c>
      <c r="F36" s="21" t="s">
        <v>57</v>
      </c>
      <c r="G36" s="21" t="s">
        <v>113</v>
      </c>
      <c r="H36" s="21" t="s">
        <v>43</v>
      </c>
      <c r="I36" s="21" t="s">
        <v>63</v>
      </c>
      <c r="J36" s="21" t="s">
        <v>9</v>
      </c>
      <c r="K36" s="21" t="s">
        <v>44</v>
      </c>
      <c r="L36" s="22">
        <v>1</v>
      </c>
      <c r="M36" s="23">
        <v>38151.480000000003</v>
      </c>
      <c r="N36" s="23">
        <v>38151.480000000003</v>
      </c>
    </row>
    <row r="37" spans="1:14">
      <c r="A37" s="21" t="s">
        <v>114</v>
      </c>
      <c r="B37" s="21" t="s">
        <v>115</v>
      </c>
      <c r="C37" s="21" t="s">
        <v>116</v>
      </c>
      <c r="D37" s="21" t="s">
        <v>31</v>
      </c>
      <c r="E37" s="21" t="s">
        <v>49</v>
      </c>
      <c r="F37" s="21" t="s">
        <v>33</v>
      </c>
      <c r="G37" s="21" t="s">
        <v>117</v>
      </c>
      <c r="H37" s="21" t="s">
        <v>43</v>
      </c>
      <c r="I37" s="21" t="s">
        <v>118</v>
      </c>
      <c r="J37" s="21" t="s">
        <v>7</v>
      </c>
      <c r="K37" s="21" t="s">
        <v>119</v>
      </c>
      <c r="L37" s="22">
        <v>1</v>
      </c>
      <c r="M37" s="23">
        <v>29445.39</v>
      </c>
      <c r="N37" s="23">
        <v>29445.39</v>
      </c>
    </row>
    <row r="38" spans="1:14">
      <c r="A38" s="21" t="s">
        <v>120</v>
      </c>
      <c r="B38" s="21" t="s">
        <v>115</v>
      </c>
      <c r="C38" s="21" t="s">
        <v>121</v>
      </c>
      <c r="D38" s="21" t="s">
        <v>31</v>
      </c>
      <c r="E38" s="21" t="s">
        <v>32</v>
      </c>
      <c r="F38" s="21" t="s">
        <v>57</v>
      </c>
      <c r="G38" s="21" t="s">
        <v>122</v>
      </c>
      <c r="H38" s="21" t="s">
        <v>35</v>
      </c>
      <c r="I38" s="21" t="s">
        <v>123</v>
      </c>
      <c r="J38" s="21" t="s">
        <v>7</v>
      </c>
      <c r="K38" s="21" t="s">
        <v>119</v>
      </c>
      <c r="L38" s="22">
        <v>1</v>
      </c>
      <c r="M38" s="23">
        <v>29445.39</v>
      </c>
      <c r="N38" s="23">
        <v>29445.39</v>
      </c>
    </row>
    <row r="39" spans="1:14">
      <c r="A39" s="21" t="s">
        <v>124</v>
      </c>
      <c r="B39" s="21" t="s">
        <v>115</v>
      </c>
      <c r="C39" s="21" t="s">
        <v>88</v>
      </c>
      <c r="D39" s="21" t="s">
        <v>89</v>
      </c>
      <c r="E39" s="21" t="s">
        <v>49</v>
      </c>
      <c r="F39" s="21" t="s">
        <v>33</v>
      </c>
      <c r="G39" s="21" t="s">
        <v>125</v>
      </c>
      <c r="H39" s="21" t="s">
        <v>35</v>
      </c>
      <c r="I39" s="21" t="s">
        <v>126</v>
      </c>
      <c r="J39" s="21" t="s">
        <v>7</v>
      </c>
      <c r="K39" s="21" t="s">
        <v>119</v>
      </c>
      <c r="L39" s="22">
        <v>1</v>
      </c>
      <c r="M39" s="23">
        <v>29445.39</v>
      </c>
      <c r="N39" s="23">
        <v>29445.39</v>
      </c>
    </row>
    <row r="40" spans="1:14">
      <c r="A40" s="21" t="s">
        <v>127</v>
      </c>
      <c r="B40" s="21" t="s">
        <v>115</v>
      </c>
      <c r="C40" s="21" t="s">
        <v>128</v>
      </c>
      <c r="D40" s="21" t="s">
        <v>31</v>
      </c>
      <c r="E40" s="21" t="s">
        <v>32</v>
      </c>
      <c r="F40" s="21" t="s">
        <v>57</v>
      </c>
      <c r="G40" s="21" t="s">
        <v>129</v>
      </c>
      <c r="H40" s="21" t="s">
        <v>43</v>
      </c>
      <c r="I40" s="21" t="s">
        <v>123</v>
      </c>
      <c r="J40" s="21" t="s">
        <v>10</v>
      </c>
      <c r="K40" s="21" t="s">
        <v>130</v>
      </c>
      <c r="L40" s="22">
        <v>1</v>
      </c>
      <c r="M40" s="23">
        <v>126893.8</v>
      </c>
      <c r="N40" s="23">
        <v>126893.8</v>
      </c>
    </row>
    <row r="41" spans="1:14">
      <c r="A41" s="21" t="s">
        <v>131</v>
      </c>
      <c r="B41" s="21" t="s">
        <v>115</v>
      </c>
      <c r="C41" s="21" t="s">
        <v>132</v>
      </c>
      <c r="D41" s="21" t="s">
        <v>31</v>
      </c>
      <c r="E41" s="21" t="s">
        <v>32</v>
      </c>
      <c r="F41" s="21" t="s">
        <v>41</v>
      </c>
      <c r="G41" s="21" t="s">
        <v>133</v>
      </c>
      <c r="H41" s="21" t="s">
        <v>43</v>
      </c>
      <c r="I41" s="21" t="s">
        <v>123</v>
      </c>
      <c r="J41" s="21" t="s">
        <v>10</v>
      </c>
      <c r="K41" s="21" t="s">
        <v>130</v>
      </c>
      <c r="L41" s="22">
        <v>3</v>
      </c>
      <c r="M41" s="23">
        <v>126893.8</v>
      </c>
      <c r="N41" s="23">
        <v>380681.4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tabSelected="1" zoomScaleNormal="100" workbookViewId="0">
      <selection activeCell="B11" sqref="B11"/>
    </sheetView>
  </sheetViews>
  <sheetFormatPr defaultColWidth="8.7109375" defaultRowHeight="15"/>
  <cols>
    <col min="1" max="1" width="13" customWidth="1"/>
    <col min="2" max="2" width="14" customWidth="1"/>
    <col min="3" max="3" width="42" customWidth="1"/>
    <col min="4" max="4" width="7" customWidth="1"/>
    <col min="5" max="5" width="17" customWidth="1"/>
    <col min="6" max="6" width="24.5703125" customWidth="1"/>
  </cols>
  <sheetData>
    <row r="1" spans="1:6" ht="16.149999999999999">
      <c r="A1" s="24" t="s">
        <v>134</v>
      </c>
    </row>
    <row r="2" spans="1:6">
      <c r="A2" s="2" t="s">
        <v>135</v>
      </c>
    </row>
    <row r="4" spans="1:6">
      <c r="A4" s="25" t="s">
        <v>16</v>
      </c>
      <c r="B4" s="25" t="s">
        <v>24</v>
      </c>
      <c r="C4" s="25" t="s">
        <v>136</v>
      </c>
      <c r="D4" s="25" t="s">
        <v>25</v>
      </c>
      <c r="E4" s="25" t="s">
        <v>137</v>
      </c>
      <c r="F4" s="25" t="s">
        <v>5</v>
      </c>
    </row>
    <row r="5" spans="1:6">
      <c r="A5" s="26" t="s">
        <v>115</v>
      </c>
      <c r="B5" s="27" t="s">
        <v>130</v>
      </c>
      <c r="C5" s="28" t="s">
        <v>138</v>
      </c>
      <c r="D5" s="29">
        <v>4</v>
      </c>
      <c r="E5" s="30">
        <v>126893.8</v>
      </c>
      <c r="F5" s="31">
        <v>507575.2</v>
      </c>
    </row>
    <row r="6" spans="1:6">
      <c r="A6" s="26" t="s">
        <v>115</v>
      </c>
      <c r="B6" s="27" t="s">
        <v>119</v>
      </c>
      <c r="C6" s="28" t="s">
        <v>139</v>
      </c>
      <c r="D6" s="29">
        <v>3</v>
      </c>
      <c r="E6" s="30">
        <v>29445.39</v>
      </c>
      <c r="F6" s="31">
        <v>88336.17</v>
      </c>
    </row>
    <row r="7" spans="1:6">
      <c r="A7" s="32" t="s">
        <v>29</v>
      </c>
      <c r="B7" s="27" t="s">
        <v>44</v>
      </c>
      <c r="C7" s="28" t="s">
        <v>140</v>
      </c>
      <c r="D7" s="29">
        <v>13</v>
      </c>
      <c r="E7" s="30">
        <v>38151.480000000003</v>
      </c>
      <c r="F7" s="31">
        <v>495969.24</v>
      </c>
    </row>
    <row r="8" spans="1:6">
      <c r="A8" s="32" t="s">
        <v>29</v>
      </c>
      <c r="B8" s="27" t="s">
        <v>45</v>
      </c>
      <c r="C8" s="28" t="s">
        <v>141</v>
      </c>
      <c r="D8" s="29">
        <v>7</v>
      </c>
      <c r="E8" s="30">
        <v>38094.720000000001</v>
      </c>
      <c r="F8" s="31">
        <v>266663.03999999998</v>
      </c>
    </row>
    <row r="9" spans="1:6">
      <c r="A9" s="32" t="s">
        <v>29</v>
      </c>
      <c r="B9" s="27" t="s">
        <v>37</v>
      </c>
      <c r="C9" s="28" t="s">
        <v>142</v>
      </c>
      <c r="D9" s="29">
        <v>8</v>
      </c>
      <c r="E9" s="30">
        <v>21785.72</v>
      </c>
      <c r="F9" s="31">
        <v>174285.76</v>
      </c>
    </row>
    <row r="10" spans="1:6" ht="15.75">
      <c r="A10" s="32" t="s">
        <v>29</v>
      </c>
      <c r="B10" s="27" t="s">
        <v>38</v>
      </c>
      <c r="C10" s="28" t="s">
        <v>143</v>
      </c>
      <c r="D10" s="29">
        <v>5</v>
      </c>
      <c r="E10" s="30">
        <v>33816.82</v>
      </c>
      <c r="F10" s="31">
        <v>169084.1</v>
      </c>
    </row>
    <row r="11" spans="1:6" ht="15.75">
      <c r="A11" s="32" t="s">
        <v>29</v>
      </c>
      <c r="B11" s="37" t="s">
        <v>101</v>
      </c>
      <c r="C11" s="28" t="s">
        <v>144</v>
      </c>
      <c r="D11" s="29">
        <v>1</v>
      </c>
      <c r="E11" s="30">
        <v>14612.08</v>
      </c>
      <c r="F11" s="31">
        <v>14612.08</v>
      </c>
    </row>
    <row r="12" spans="1:6">
      <c r="A12" s="32" t="s">
        <v>29</v>
      </c>
      <c r="B12" s="27" t="s">
        <v>72</v>
      </c>
      <c r="C12" s="28" t="s">
        <v>145</v>
      </c>
      <c r="D12" s="29">
        <v>1</v>
      </c>
      <c r="E12" s="30">
        <v>736.43</v>
      </c>
      <c r="F12" s="31">
        <v>736.43</v>
      </c>
    </row>
    <row r="13" spans="1:6" ht="16.149999999999999">
      <c r="A13" s="33" t="s">
        <v>146</v>
      </c>
      <c r="B13" s="34"/>
      <c r="C13" s="34"/>
      <c r="D13" s="35">
        <v>42</v>
      </c>
      <c r="E13" s="34"/>
      <c r="F13" s="36">
        <v>1717262.02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Ruan Carlos Rodrigues Paiva Araujo</cp:lastModifiedBy>
  <cp:revision>0</cp:revision>
  <dcterms:created xsi:type="dcterms:W3CDTF">2026-07-16T17:20:20Z</dcterms:created>
  <dcterms:modified xsi:type="dcterms:W3CDTF">2026-07-17T12:32:37Z</dcterms:modified>
  <cp:category/>
  <cp:contentStatus/>
</cp:coreProperties>
</file>
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5.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6.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hidePivotFieldList="1"/>
  <mc:AlternateContent xmlns:mc="http://schemas.openxmlformats.org/markup-compatibility/2006">
    <mc:Choice Requires="x15">
      <x15ac:absPath xmlns:x15ac="http://schemas.microsoft.com/office/spreadsheetml/2010/11/ac" url="https://energisa-my.sharepoint.com/personal/allan_souza_energisa_com_br1/Documents/"/>
    </mc:Choice>
  </mc:AlternateContent>
  <xr:revisionPtr revIDLastSave="0" documentId="8_{297088AD-F4F7-4044-B982-C0F03731F4A4}" xr6:coauthVersionLast="47" xr6:coauthVersionMax="47" xr10:uidLastSave="{00000000-0000-0000-0000-000000000000}"/>
  <bookViews>
    <workbookView xWindow="20370" yWindow="-120" windowWidth="29040" windowHeight="15720" firstSheet="5" activeTab="5" xr2:uid="{00000000-000D-0000-FFFF-FFFF00000000}"/>
  </bookViews>
  <sheets>
    <sheet name="Gerencial" sheetId="19" state="hidden" r:id="rId1"/>
    <sheet name="Pendentes" sheetId="14" r:id="rId2"/>
    <sheet name="Premissas por Equipamento" sheetId="16" state="hidden" r:id="rId3"/>
    <sheet name="Planilha1" sheetId="23" r:id="rId4"/>
    <sheet name="Concluídas" sheetId="17" r:id="rId5"/>
    <sheet name="Criticidade por Equipamento Joa" sheetId="24" r:id="rId6"/>
    <sheet name="Joao" sheetId="25" r:id="rId7"/>
    <sheet name="Criticidade por Equipamento" sheetId="13" r:id="rId8"/>
    <sheet name="Planilha2" sheetId="22" r:id="rId9"/>
    <sheet name="Localidades" sheetId="15" state="hidden" r:id="rId10"/>
    <sheet name="Premissas" sheetId="3" r:id="rId11"/>
    <sheet name="Matriz de Criticidade" sheetId="10" r:id="rId12"/>
  </sheets>
  <externalReferences>
    <externalReference r:id="rId13"/>
    <externalReference r:id="rId14"/>
    <externalReference r:id="rId15"/>
    <externalReference r:id="rId16"/>
    <externalReference r:id="rId17"/>
  </externalReferences>
  <definedNames>
    <definedName name="_xlnm._FilterDatabase" localSheetId="8" hidden="1">Planilha2!$A$1:$AA$117</definedName>
    <definedName name="DadosExternos_1" localSheetId="1" hidden="1">Pendentes!$A$1:$W$94</definedName>
    <definedName name="DadosExternos_2" localSheetId="9" hidden="1">Localidades!$A$1:$G$276</definedName>
    <definedName name="DadosExternos_3" localSheetId="2" hidden="1">'Premissas por Equipamento'!$A$1:$W$117</definedName>
    <definedName name="DadosExternos_4" localSheetId="4" hidden="1">'Concluídas'!$A$1:$L$40</definedName>
  </definedNames>
  <calcPr calcId="191028"/>
  <pivotCaches>
    <pivotCache cacheId="8" r:id="rId18"/>
    <pivotCache cacheId="9"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7" i="24" l="1"/>
  <c r="B23" i="24"/>
  <c r="B4" i="24"/>
  <c r="B26" i="24"/>
  <c r="B9" i="24"/>
  <c r="B15" i="24"/>
  <c r="B73" i="24"/>
  <c r="B95" i="24"/>
  <c r="B96" i="24"/>
  <c r="B47" i="24"/>
  <c r="B110" i="24"/>
  <c r="B28" i="24"/>
  <c r="B53" i="24"/>
  <c r="B78" i="24"/>
  <c r="B35" i="24"/>
  <c r="B90" i="24"/>
  <c r="B61" i="24"/>
  <c r="B98" i="24"/>
  <c r="B99" i="24"/>
  <c r="B46" i="24"/>
  <c r="B69" i="24"/>
  <c r="B84" i="24"/>
  <c r="B60" i="24"/>
  <c r="B8" i="24"/>
  <c r="B107" i="24"/>
  <c r="B39" i="24"/>
  <c r="B79" i="24"/>
  <c r="B12" i="24"/>
  <c r="B36" i="24"/>
  <c r="B44" i="24"/>
  <c r="B49" i="24"/>
  <c r="B94" i="24"/>
  <c r="B58" i="24"/>
  <c r="B6" i="24"/>
  <c r="B80" i="24"/>
  <c r="B75" i="24"/>
  <c r="B11" i="24"/>
  <c r="B32" i="24"/>
  <c r="B25" i="24"/>
  <c r="B5" i="24"/>
  <c r="B119" i="24"/>
  <c r="B45" i="24"/>
  <c r="B115" i="24"/>
  <c r="B7" i="24"/>
  <c r="B2" i="24"/>
  <c r="B18" i="24"/>
  <c r="B21" i="24"/>
  <c r="B24" i="24"/>
  <c r="B52" i="24"/>
  <c r="B68" i="24"/>
  <c r="B86" i="24"/>
  <c r="B82" i="24"/>
  <c r="B34" i="24"/>
  <c r="B101" i="24"/>
  <c r="B93" i="24"/>
  <c r="B102" i="24"/>
  <c r="B118" i="24"/>
  <c r="B3" i="24"/>
  <c r="B14" i="24"/>
  <c r="B43" i="24"/>
  <c r="B87" i="24"/>
  <c r="B103" i="24"/>
  <c r="B109" i="24"/>
  <c r="B10" i="24"/>
  <c r="B56" i="24"/>
  <c r="B71" i="24"/>
  <c r="B77" i="24"/>
  <c r="B83" i="24"/>
  <c r="B97" i="24"/>
  <c r="B106" i="24"/>
  <c r="B108" i="24"/>
  <c r="B124" i="24"/>
  <c r="B130" i="24"/>
  <c r="B41" i="24"/>
  <c r="B89" i="24"/>
  <c r="B19" i="24"/>
  <c r="B20" i="24"/>
  <c r="B27" i="24"/>
  <c r="B40" i="24"/>
  <c r="B54" i="24"/>
  <c r="B70" i="24"/>
  <c r="B74" i="24"/>
  <c r="B85" i="24"/>
  <c r="B88" i="24"/>
  <c r="B105" i="24"/>
  <c r="B117" i="24"/>
  <c r="B120" i="24"/>
  <c r="B123" i="24"/>
  <c r="B50" i="24"/>
  <c r="B55" i="24"/>
  <c r="B62" i="24"/>
  <c r="B64" i="24"/>
  <c r="B66" i="24"/>
  <c r="B31" i="24"/>
  <c r="B16" i="24"/>
  <c r="B67" i="24"/>
  <c r="B81" i="24"/>
  <c r="B116" i="24"/>
  <c r="B104" i="24"/>
  <c r="B29" i="24"/>
  <c r="B30" i="24"/>
  <c r="B42" i="24"/>
  <c r="B76" i="24"/>
  <c r="B111" i="24"/>
  <c r="B122" i="24"/>
  <c r="B92" i="24"/>
  <c r="B51" i="24"/>
  <c r="B113" i="24"/>
  <c r="B112" i="24"/>
  <c r="B125" i="24"/>
  <c r="B57" i="24"/>
  <c r="B114" i="24"/>
  <c r="B65" i="24"/>
  <c r="B13" i="24"/>
  <c r="B100" i="24"/>
  <c r="B63" i="24"/>
  <c r="B22" i="24"/>
  <c r="B128" i="24"/>
  <c r="B91" i="24"/>
  <c r="B48" i="24"/>
  <c r="B121" i="24"/>
  <c r="B17" i="24"/>
  <c r="B59" i="24"/>
  <c r="B72" i="24"/>
  <c r="B33" i="24"/>
  <c r="B38" i="24"/>
  <c r="B37" i="24"/>
  <c r="B129" i="24"/>
  <c r="G37" i="25"/>
  <c r="G35" i="25"/>
  <c r="C34" i="25"/>
  <c r="G33" i="25"/>
  <c r="G32" i="25"/>
  <c r="AA31" i="25"/>
  <c r="G31" i="25"/>
  <c r="C31" i="25"/>
  <c r="N30" i="25"/>
  <c r="G30" i="25"/>
  <c r="C30" i="25"/>
  <c r="AA29" i="25"/>
  <c r="G29" i="25"/>
  <c r="C29" i="25"/>
  <c r="G28" i="25"/>
  <c r="C28" i="25"/>
  <c r="G27" i="25"/>
  <c r="C27" i="25"/>
  <c r="G26" i="25"/>
  <c r="C26" i="25"/>
  <c r="C25" i="25"/>
  <c r="AA24" i="25"/>
  <c r="G24" i="25"/>
  <c r="C24" i="25"/>
  <c r="G23" i="25"/>
  <c r="C23" i="25"/>
  <c r="AA22" i="25"/>
  <c r="G22" i="25"/>
  <c r="C22" i="25"/>
  <c r="AA21" i="25"/>
  <c r="G21" i="25"/>
  <c r="C21" i="25"/>
  <c r="G20" i="25"/>
  <c r="C20" i="25"/>
  <c r="AA19" i="25"/>
  <c r="G19" i="25"/>
  <c r="C19" i="25"/>
  <c r="AA18" i="25"/>
  <c r="C18" i="25"/>
  <c r="AA17" i="25"/>
  <c r="G17" i="25"/>
  <c r="C17" i="25"/>
  <c r="AA16" i="25"/>
  <c r="C16" i="25"/>
  <c r="AA15" i="25"/>
  <c r="G15" i="25"/>
  <c r="C15" i="25"/>
  <c r="AA14" i="25"/>
  <c r="G14" i="25"/>
  <c r="C14" i="25"/>
  <c r="G13" i="25"/>
  <c r="C13" i="25"/>
  <c r="AA12" i="25"/>
  <c r="G12" i="25"/>
  <c r="C12" i="25"/>
  <c r="G11" i="25"/>
  <c r="C11" i="25"/>
  <c r="AA10" i="25"/>
  <c r="G10" i="25"/>
  <c r="C10" i="25"/>
  <c r="AA9" i="25"/>
  <c r="G9" i="25"/>
  <c r="C9" i="25"/>
  <c r="AA8" i="25"/>
  <c r="G8" i="25"/>
  <c r="C8" i="25"/>
  <c r="G7" i="25"/>
  <c r="C7" i="25"/>
  <c r="C6" i="25"/>
  <c r="C5" i="25"/>
  <c r="C4" i="25"/>
  <c r="G3" i="25"/>
  <c r="C3" i="25"/>
  <c r="W129" i="24"/>
  <c r="N129" i="24"/>
  <c r="G129" i="24"/>
  <c r="C129" i="24"/>
  <c r="W37" i="24"/>
  <c r="N37" i="24"/>
  <c r="G37" i="24"/>
  <c r="C37" i="24"/>
  <c r="W38" i="24"/>
  <c r="N38" i="24"/>
  <c r="G38" i="24"/>
  <c r="C38" i="24"/>
  <c r="W33" i="24"/>
  <c r="N33" i="24"/>
  <c r="G33" i="24"/>
  <c r="C33" i="24"/>
  <c r="W72" i="24"/>
  <c r="N72" i="24"/>
  <c r="G72" i="24"/>
  <c r="C72" i="24"/>
  <c r="W59" i="24"/>
  <c r="N59" i="24"/>
  <c r="G59" i="24"/>
  <c r="C59" i="24"/>
  <c r="W17" i="24"/>
  <c r="N17" i="24"/>
  <c r="G17" i="24"/>
  <c r="C17" i="24"/>
  <c r="W121" i="24"/>
  <c r="N121" i="24"/>
  <c r="G121" i="24"/>
  <c r="C121" i="24"/>
  <c r="W48" i="24"/>
  <c r="N48" i="24"/>
  <c r="G48" i="24"/>
  <c r="C48" i="24"/>
  <c r="W91" i="24"/>
  <c r="N91" i="24"/>
  <c r="G91" i="24"/>
  <c r="C91" i="24"/>
  <c r="W128" i="24"/>
  <c r="N128" i="24"/>
  <c r="G128" i="24"/>
  <c r="C128" i="24"/>
  <c r="W22" i="24"/>
  <c r="N22" i="24"/>
  <c r="G22" i="24"/>
  <c r="C22" i="24"/>
  <c r="W63" i="24"/>
  <c r="N63" i="24"/>
  <c r="G63" i="24"/>
  <c r="C63" i="24"/>
  <c r="W100" i="24"/>
  <c r="N100" i="24"/>
  <c r="G100" i="24"/>
  <c r="C100" i="24"/>
  <c r="W13" i="24"/>
  <c r="N13" i="24"/>
  <c r="G13" i="24"/>
  <c r="C13" i="24"/>
  <c r="W65" i="24"/>
  <c r="N65" i="24"/>
  <c r="G65" i="24"/>
  <c r="C65" i="24"/>
  <c r="W114" i="24"/>
  <c r="N114" i="24"/>
  <c r="G114" i="24"/>
  <c r="C114" i="24"/>
  <c r="W57" i="24"/>
  <c r="N57" i="24"/>
  <c r="G57" i="24"/>
  <c r="C57" i="24"/>
  <c r="W125" i="24"/>
  <c r="N125" i="24"/>
  <c r="G125" i="24"/>
  <c r="C125" i="24"/>
  <c r="W112" i="24"/>
  <c r="N112" i="24"/>
  <c r="G112" i="24"/>
  <c r="C112" i="24"/>
  <c r="W113" i="24"/>
  <c r="N113" i="24"/>
  <c r="G113" i="24"/>
  <c r="C113" i="24"/>
  <c r="W51" i="24"/>
  <c r="N51" i="24"/>
  <c r="G51" i="24"/>
  <c r="C51" i="24"/>
  <c r="W92" i="24"/>
  <c r="N92" i="24"/>
  <c r="G92" i="24"/>
  <c r="C92" i="24"/>
  <c r="W122" i="24"/>
  <c r="N122" i="24"/>
  <c r="G122" i="24"/>
  <c r="C122" i="24"/>
  <c r="W111" i="24"/>
  <c r="N111" i="24"/>
  <c r="G111" i="24"/>
  <c r="C111" i="24"/>
  <c r="W76" i="24"/>
  <c r="N76" i="24"/>
  <c r="G76" i="24"/>
  <c r="C76" i="24"/>
  <c r="W42" i="24"/>
  <c r="N42" i="24"/>
  <c r="G42" i="24"/>
  <c r="C42" i="24"/>
  <c r="W30" i="24"/>
  <c r="N30" i="24"/>
  <c r="G30" i="24"/>
  <c r="C30" i="24"/>
  <c r="W29" i="24"/>
  <c r="N29" i="24"/>
  <c r="G29" i="24"/>
  <c r="C29" i="24"/>
  <c r="W104" i="24"/>
  <c r="N104" i="24"/>
  <c r="G104" i="24"/>
  <c r="C104" i="24"/>
  <c r="W116" i="24"/>
  <c r="N116" i="24"/>
  <c r="G116" i="24"/>
  <c r="C116" i="24"/>
  <c r="W81" i="24"/>
  <c r="N81" i="24"/>
  <c r="G81" i="24"/>
  <c r="C81" i="24"/>
  <c r="W67" i="24"/>
  <c r="N67" i="24"/>
  <c r="G67" i="24"/>
  <c r="C67" i="24"/>
  <c r="W16" i="24"/>
  <c r="N16" i="24"/>
  <c r="G16" i="24"/>
  <c r="C16" i="24"/>
  <c r="W31" i="24"/>
  <c r="N31" i="24"/>
  <c r="G31" i="24"/>
  <c r="C31" i="24"/>
  <c r="W66" i="24"/>
  <c r="N66" i="24"/>
  <c r="G66" i="24"/>
  <c r="C66" i="24"/>
  <c r="W64" i="24"/>
  <c r="N64" i="24"/>
  <c r="G64" i="24"/>
  <c r="C64" i="24"/>
  <c r="W62" i="24"/>
  <c r="N62" i="24"/>
  <c r="G62" i="24"/>
  <c r="C62" i="24"/>
  <c r="W55" i="24"/>
  <c r="N55" i="24"/>
  <c r="G55" i="24"/>
  <c r="C55" i="24"/>
  <c r="W50" i="24"/>
  <c r="N50" i="24"/>
  <c r="G50" i="24"/>
  <c r="C50" i="24"/>
  <c r="W123" i="24"/>
  <c r="N123" i="24"/>
  <c r="G123" i="24"/>
  <c r="C123" i="24"/>
  <c r="W120" i="24"/>
  <c r="N120" i="24"/>
  <c r="G120" i="24"/>
  <c r="C120" i="24"/>
  <c r="W117" i="24"/>
  <c r="N117" i="24"/>
  <c r="G117" i="24"/>
  <c r="C117" i="24"/>
  <c r="W105" i="24"/>
  <c r="N105" i="24"/>
  <c r="G105" i="24"/>
  <c r="C105" i="24"/>
  <c r="W88" i="24"/>
  <c r="N88" i="24"/>
  <c r="G88" i="24"/>
  <c r="C88" i="24"/>
  <c r="W85" i="24"/>
  <c r="N85" i="24"/>
  <c r="G85" i="24"/>
  <c r="C85" i="24"/>
  <c r="W74" i="24"/>
  <c r="N74" i="24"/>
  <c r="G74" i="24"/>
  <c r="C74" i="24"/>
  <c r="W70" i="24"/>
  <c r="N70" i="24"/>
  <c r="G70" i="24"/>
  <c r="C70" i="24"/>
  <c r="W54" i="24"/>
  <c r="N54" i="24"/>
  <c r="G54" i="24"/>
  <c r="C54" i="24"/>
  <c r="W40" i="24"/>
  <c r="N40" i="24"/>
  <c r="G40" i="24"/>
  <c r="C40" i="24"/>
  <c r="W27" i="24"/>
  <c r="N27" i="24"/>
  <c r="G27" i="24"/>
  <c r="C27" i="24"/>
  <c r="W20" i="24"/>
  <c r="N20" i="24"/>
  <c r="G20" i="24"/>
  <c r="C20" i="24"/>
  <c r="W19" i="24"/>
  <c r="N19" i="24"/>
  <c r="G19" i="24"/>
  <c r="C19" i="24"/>
  <c r="W126" i="24"/>
  <c r="N126" i="24"/>
  <c r="G126" i="24"/>
  <c r="C126" i="24"/>
  <c r="W89" i="24"/>
  <c r="N89" i="24"/>
  <c r="G89" i="24"/>
  <c r="C89" i="24"/>
  <c r="W41" i="24"/>
  <c r="N41" i="24"/>
  <c r="G41" i="24"/>
  <c r="C41" i="24"/>
  <c r="W130" i="24"/>
  <c r="N130" i="24"/>
  <c r="G130" i="24"/>
  <c r="C130" i="24"/>
  <c r="W124" i="24"/>
  <c r="N124" i="24"/>
  <c r="G124" i="24"/>
  <c r="C124" i="24"/>
  <c r="W108" i="24"/>
  <c r="N108" i="24"/>
  <c r="G108" i="24"/>
  <c r="C108" i="24"/>
  <c r="W106" i="24"/>
  <c r="N106" i="24"/>
  <c r="G106" i="24"/>
  <c r="C106" i="24"/>
  <c r="W97" i="24"/>
  <c r="N97" i="24"/>
  <c r="G97" i="24"/>
  <c r="C97" i="24"/>
  <c r="W83" i="24"/>
  <c r="N83" i="24"/>
  <c r="G83" i="24"/>
  <c r="C83" i="24"/>
  <c r="W77" i="24"/>
  <c r="N77" i="24"/>
  <c r="G77" i="24"/>
  <c r="C77" i="24"/>
  <c r="W71" i="24"/>
  <c r="N71" i="24"/>
  <c r="G71" i="24"/>
  <c r="C71" i="24"/>
  <c r="W56" i="24"/>
  <c r="N56" i="24"/>
  <c r="G56" i="24"/>
  <c r="C56" i="24"/>
  <c r="W10" i="24"/>
  <c r="N10" i="24"/>
  <c r="G10" i="24"/>
  <c r="C10" i="24"/>
  <c r="W109" i="24"/>
  <c r="N109" i="24"/>
  <c r="G109" i="24"/>
  <c r="C109" i="24"/>
  <c r="W103" i="24"/>
  <c r="N103" i="24"/>
  <c r="G103" i="24"/>
  <c r="C103" i="24"/>
  <c r="W87" i="24"/>
  <c r="N87" i="24"/>
  <c r="G87" i="24"/>
  <c r="C87" i="24"/>
  <c r="W43" i="24"/>
  <c r="N43" i="24"/>
  <c r="G43" i="24"/>
  <c r="C43" i="24"/>
  <c r="W23" i="24"/>
  <c r="N23" i="24"/>
  <c r="G23" i="24"/>
  <c r="C23" i="24"/>
  <c r="W14" i="24"/>
  <c r="N14" i="24"/>
  <c r="G14" i="24"/>
  <c r="C14" i="24"/>
  <c r="W3" i="24"/>
  <c r="G3" i="24"/>
  <c r="C3" i="24"/>
  <c r="W118" i="24"/>
  <c r="N118" i="24"/>
  <c r="G118" i="24"/>
  <c r="C118" i="24"/>
  <c r="W102" i="24"/>
  <c r="N102" i="24"/>
  <c r="G102" i="24"/>
  <c r="C102" i="24"/>
  <c r="W93" i="24"/>
  <c r="N93" i="24"/>
  <c r="G93" i="24"/>
  <c r="C93" i="24"/>
  <c r="W101" i="24"/>
  <c r="N101" i="24"/>
  <c r="G101" i="24"/>
  <c r="C101" i="24"/>
  <c r="W34" i="24"/>
  <c r="N34" i="24"/>
  <c r="G34" i="24"/>
  <c r="C34" i="24"/>
  <c r="W82" i="24"/>
  <c r="N82" i="24"/>
  <c r="G82" i="24"/>
  <c r="C82" i="24"/>
  <c r="W86" i="24"/>
  <c r="N86" i="24"/>
  <c r="G86" i="24"/>
  <c r="C86" i="24"/>
  <c r="W68" i="24"/>
  <c r="N68" i="24"/>
  <c r="G68" i="24"/>
  <c r="C68" i="24"/>
  <c r="W52" i="24"/>
  <c r="N52" i="24"/>
  <c r="G52" i="24"/>
  <c r="C52" i="24"/>
  <c r="W24" i="24"/>
  <c r="N24" i="24"/>
  <c r="G24" i="24"/>
  <c r="C24" i="24"/>
  <c r="W21" i="24"/>
  <c r="N21" i="24"/>
  <c r="G21" i="24"/>
  <c r="C21" i="24"/>
  <c r="W18" i="24"/>
  <c r="N18" i="24"/>
  <c r="G18" i="24"/>
  <c r="C18" i="24"/>
  <c r="W2" i="24"/>
  <c r="N2" i="24"/>
  <c r="G2" i="24"/>
  <c r="C2" i="24"/>
  <c r="W7" i="24"/>
  <c r="N7" i="24"/>
  <c r="G7" i="24"/>
  <c r="C7" i="24"/>
  <c r="W115" i="24"/>
  <c r="N115" i="24"/>
  <c r="G115" i="24"/>
  <c r="C115" i="24"/>
  <c r="W45" i="24"/>
  <c r="N45" i="24"/>
  <c r="G45" i="24"/>
  <c r="C45" i="24"/>
  <c r="W119" i="24"/>
  <c r="N119" i="24"/>
  <c r="G119" i="24"/>
  <c r="C119" i="24"/>
  <c r="W5" i="24"/>
  <c r="N5" i="24"/>
  <c r="G5" i="24"/>
  <c r="C5" i="24"/>
  <c r="W25" i="24"/>
  <c r="N25" i="24"/>
  <c r="G25" i="24"/>
  <c r="C25" i="24"/>
  <c r="W32" i="24"/>
  <c r="N32" i="24"/>
  <c r="G32" i="24"/>
  <c r="C32" i="24"/>
  <c r="W11" i="24"/>
  <c r="N11" i="24"/>
  <c r="G11" i="24"/>
  <c r="C11" i="24"/>
  <c r="W75" i="24"/>
  <c r="N75" i="24"/>
  <c r="G75" i="24"/>
  <c r="C75" i="24"/>
  <c r="W80" i="24"/>
  <c r="N80" i="24"/>
  <c r="G80" i="24"/>
  <c r="C80" i="24"/>
  <c r="W6" i="24"/>
  <c r="N6" i="24"/>
  <c r="G6" i="24"/>
  <c r="C6" i="24"/>
  <c r="W58" i="24"/>
  <c r="N58" i="24"/>
  <c r="G58" i="24"/>
  <c r="C58" i="24"/>
  <c r="W94" i="24"/>
  <c r="N94" i="24"/>
  <c r="G94" i="24"/>
  <c r="C94" i="24"/>
  <c r="W49" i="24"/>
  <c r="N49" i="24"/>
  <c r="G49" i="24"/>
  <c r="C49" i="24"/>
  <c r="W44" i="24"/>
  <c r="N44" i="24"/>
  <c r="C44" i="24"/>
  <c r="W36" i="24"/>
  <c r="N36" i="24"/>
  <c r="G36" i="24"/>
  <c r="C36" i="24"/>
  <c r="W12" i="24"/>
  <c r="N12" i="24"/>
  <c r="G12" i="24"/>
  <c r="C12" i="24"/>
  <c r="W79" i="24"/>
  <c r="N79" i="24"/>
  <c r="G79" i="24"/>
  <c r="C79" i="24"/>
  <c r="W39" i="24"/>
  <c r="N39" i="24"/>
  <c r="G39" i="24"/>
  <c r="C39" i="24"/>
  <c r="W107" i="24"/>
  <c r="N107" i="24"/>
  <c r="G107" i="24"/>
  <c r="C107" i="24"/>
  <c r="W8" i="24"/>
  <c r="N8" i="24"/>
  <c r="G8" i="24"/>
  <c r="C8" i="24"/>
  <c r="W60" i="24"/>
  <c r="N60" i="24"/>
  <c r="G60" i="24"/>
  <c r="C60" i="24"/>
  <c r="W84" i="24"/>
  <c r="N84" i="24"/>
  <c r="G84" i="24"/>
  <c r="C84" i="24"/>
  <c r="W127" i="24"/>
  <c r="N127" i="24"/>
  <c r="G127" i="24"/>
  <c r="C127" i="24"/>
  <c r="W69" i="24"/>
  <c r="N69" i="24"/>
  <c r="G69" i="24"/>
  <c r="C69" i="24"/>
  <c r="W46" i="24"/>
  <c r="N46" i="24"/>
  <c r="G46" i="24"/>
  <c r="C46" i="24"/>
  <c r="W99" i="24"/>
  <c r="N99" i="24"/>
  <c r="G99" i="24"/>
  <c r="C99" i="24"/>
  <c r="W98" i="24"/>
  <c r="N98" i="24"/>
  <c r="G98" i="24"/>
  <c r="C98" i="24"/>
  <c r="W61" i="24"/>
  <c r="N61" i="24"/>
  <c r="G61" i="24"/>
  <c r="C61" i="24"/>
  <c r="W90" i="24"/>
  <c r="N90" i="24"/>
  <c r="G90" i="24"/>
  <c r="C90" i="24"/>
  <c r="W35" i="24"/>
  <c r="N35" i="24"/>
  <c r="G35" i="24"/>
  <c r="C35" i="24"/>
  <c r="W78" i="24"/>
  <c r="N78" i="24"/>
  <c r="G78" i="24"/>
  <c r="C78" i="24"/>
  <c r="W53" i="24"/>
  <c r="N53" i="24"/>
  <c r="G53" i="24"/>
  <c r="C53" i="24"/>
  <c r="W28" i="24"/>
  <c r="N28" i="24"/>
  <c r="G28" i="24"/>
  <c r="C28" i="24"/>
  <c r="W110" i="24"/>
  <c r="N110" i="24"/>
  <c r="G110" i="24"/>
  <c r="C110" i="24"/>
  <c r="W47" i="24"/>
  <c r="N47" i="24"/>
  <c r="G47" i="24"/>
  <c r="C47" i="24"/>
  <c r="W96" i="24"/>
  <c r="N96" i="24"/>
  <c r="G96" i="24"/>
  <c r="C96" i="24"/>
  <c r="W95" i="24"/>
  <c r="N95" i="24"/>
  <c r="G95" i="24"/>
  <c r="C95" i="24"/>
  <c r="W73" i="24"/>
  <c r="N73" i="24"/>
  <c r="G73" i="24"/>
  <c r="C73" i="24"/>
  <c r="W15" i="24"/>
  <c r="N15" i="24"/>
  <c r="G15" i="24"/>
  <c r="C15" i="24"/>
  <c r="W9" i="24"/>
  <c r="N9" i="24"/>
  <c r="G9" i="24"/>
  <c r="C9" i="24"/>
  <c r="W26" i="24"/>
  <c r="N26" i="24"/>
  <c r="G26" i="24"/>
  <c r="C26" i="24"/>
  <c r="W4" i="24"/>
  <c r="N4" i="24"/>
  <c r="G4" i="24"/>
  <c r="C4" i="24"/>
  <c r="B131" i="13"/>
  <c r="L131" i="13"/>
  <c r="U131" i="13"/>
  <c r="B118" i="13"/>
  <c r="B119" i="13"/>
  <c r="B120" i="13"/>
  <c r="B121" i="13"/>
  <c r="B122" i="13"/>
  <c r="B123" i="13"/>
  <c r="B124" i="13"/>
  <c r="B125" i="13"/>
  <c r="B126" i="13"/>
  <c r="B127" i="13"/>
  <c r="B128" i="13"/>
  <c r="B129" i="13"/>
  <c r="B130" i="13"/>
  <c r="F118" i="13"/>
  <c r="F119" i="13"/>
  <c r="F120" i="13"/>
  <c r="F121" i="13"/>
  <c r="F122" i="13"/>
  <c r="F123" i="13"/>
  <c r="F124" i="13"/>
  <c r="F125" i="13"/>
  <c r="F126" i="13"/>
  <c r="F127" i="13"/>
  <c r="F128" i="13"/>
  <c r="F129" i="13"/>
  <c r="F130" i="13"/>
  <c r="L118" i="13"/>
  <c r="L119" i="13"/>
  <c r="L120" i="13"/>
  <c r="L121" i="13"/>
  <c r="L122" i="13"/>
  <c r="L123" i="13"/>
  <c r="L124" i="13"/>
  <c r="L125" i="13"/>
  <c r="L126" i="13"/>
  <c r="L127" i="13"/>
  <c r="L128" i="13"/>
  <c r="L129" i="13"/>
  <c r="L130" i="13"/>
  <c r="U118" i="13"/>
  <c r="U119" i="13"/>
  <c r="U120" i="13"/>
  <c r="U121" i="13"/>
  <c r="U122" i="13"/>
  <c r="U123" i="13"/>
  <c r="U124" i="13"/>
  <c r="U125" i="13"/>
  <c r="U126" i="13"/>
  <c r="U127" i="13"/>
  <c r="U128" i="13"/>
  <c r="U129" i="13"/>
  <c r="U130" i="13"/>
  <c r="L101" i="13"/>
  <c r="L99" i="13"/>
  <c r="L98" i="13"/>
  <c r="L97" i="13"/>
  <c r="L95" i="13"/>
  <c r="L91"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L59" i="13"/>
  <c r="L55" i="13"/>
  <c r="L46" i="13"/>
  <c r="L3" i="13"/>
  <c r="L4" i="13"/>
  <c r="L5" i="13"/>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7" i="13"/>
  <c r="L48" i="13"/>
  <c r="L49" i="13"/>
  <c r="L50" i="13"/>
  <c r="L51" i="13"/>
  <c r="L52" i="13"/>
  <c r="L53" i="13"/>
  <c r="L54" i="13"/>
  <c r="L56" i="13"/>
  <c r="L57"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2" i="13"/>
  <c r="L93" i="13"/>
  <c r="L94" i="13"/>
  <c r="L96" i="13"/>
  <c r="L100" i="13"/>
  <c r="L102" i="13"/>
  <c r="L103" i="13"/>
  <c r="L104" i="13"/>
  <c r="L105" i="13"/>
  <c r="L106" i="13"/>
  <c r="L107" i="13"/>
  <c r="L108" i="13"/>
  <c r="L109" i="13"/>
  <c r="L110" i="13"/>
  <c r="L111" i="13"/>
  <c r="L112" i="13"/>
  <c r="L113" i="13"/>
  <c r="L114" i="13"/>
  <c r="L115" i="13"/>
  <c r="L116" i="13"/>
  <c r="L117" i="13"/>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U59" i="13" l="1"/>
  <c r="D98" i="22" l="1" a="1"/>
  <c r="D98" i="22" s="1"/>
  <c r="D83" i="22" a="1"/>
  <c r="D83" i="22" s="1"/>
  <c r="D77" i="22" a="1"/>
  <c r="D77" i="22" s="1"/>
  <c r="D59" i="22" a="1"/>
  <c r="D59" i="22" s="1"/>
  <c r="D37" i="22" a="1"/>
  <c r="D37" i="22" s="1"/>
  <c r="D35" i="22" a="1"/>
  <c r="D35" i="22" s="1"/>
  <c r="D23" i="22" a="1"/>
  <c r="D23" i="22" s="1"/>
  <c r="D14" i="22" a="1"/>
  <c r="D14" i="22" s="1"/>
  <c r="U105" i="13" l="1"/>
  <c r="U106" i="13"/>
  <c r="U107" i="13"/>
  <c r="U108" i="13"/>
  <c r="U109" i="13"/>
  <c r="U110" i="13"/>
  <c r="U111" i="13"/>
  <c r="U112" i="13"/>
  <c r="U113" i="13"/>
  <c r="U114" i="13"/>
  <c r="U115" i="13"/>
  <c r="U116" i="13"/>
  <c r="U117" i="13"/>
  <c r="I4" i="19" l="1"/>
  <c r="I5" i="19"/>
  <c r="I6" i="19"/>
  <c r="I7" i="19"/>
  <c r="I3" i="19"/>
  <c r="I8" i="19" s="1"/>
  <c r="U9" i="13" l="1"/>
  <c r="U46" i="13"/>
  <c r="U38" i="13"/>
  <c r="U95" i="13"/>
  <c r="U48" i="13"/>
  <c r="U17" i="13"/>
  <c r="U97" i="13"/>
  <c r="U47" i="13"/>
  <c r="U19" i="13"/>
  <c r="U45" i="13"/>
  <c r="U71" i="13"/>
  <c r="U4" i="13"/>
  <c r="U12" i="13" l="1"/>
  <c r="U6" i="13"/>
  <c r="U15" i="13"/>
  <c r="U64" i="13"/>
  <c r="U91" i="13"/>
  <c r="U73" i="13"/>
  <c r="U13" i="13"/>
  <c r="U27" i="13"/>
  <c r="U43" i="13"/>
  <c r="U33" i="13"/>
  <c r="U90" i="13"/>
  <c r="U99" i="13"/>
  <c r="U74" i="13"/>
  <c r="U37" i="13"/>
  <c r="U68" i="13"/>
  <c r="U75" i="13"/>
  <c r="U83" i="13"/>
  <c r="U98" i="13"/>
  <c r="U22" i="13"/>
  <c r="L2" i="13" l="1"/>
  <c r="F2" i="13"/>
  <c r="U7" i="13" l="1"/>
  <c r="U10" i="13"/>
  <c r="U104" i="13"/>
  <c r="U35" i="13"/>
  <c r="U41" i="13"/>
  <c r="U94" i="13"/>
  <c r="U60" i="13"/>
  <c r="U2" i="13"/>
  <c r="B2" i="13"/>
  <c r="U69" i="13"/>
  <c r="U89" i="13"/>
  <c r="U56" i="13"/>
  <c r="U100" i="13"/>
  <c r="U70" i="13"/>
  <c r="U65" i="13"/>
  <c r="U92" i="13"/>
  <c r="U72" i="13"/>
  <c r="U93" i="13"/>
  <c r="U31" i="13"/>
  <c r="U67" i="13"/>
  <c r="U30" i="13"/>
  <c r="U102" i="13"/>
  <c r="U103" i="13"/>
  <c r="U101" i="13"/>
  <c r="U96" i="13"/>
  <c r="U81" i="13"/>
  <c r="U88" i="13"/>
  <c r="U87" i="13"/>
  <c r="U86" i="13"/>
  <c r="U85" i="13"/>
  <c r="U84" i="13"/>
  <c r="U82" i="13"/>
  <c r="U80" i="13"/>
  <c r="U79" i="13"/>
  <c r="U78" i="13"/>
  <c r="U77" i="13"/>
  <c r="U76" i="13"/>
  <c r="U66" i="13"/>
  <c r="U63" i="13"/>
  <c r="U62" i="13"/>
  <c r="U61" i="13"/>
  <c r="U58" i="13"/>
  <c r="U57" i="13"/>
  <c r="U55" i="13"/>
  <c r="U52" i="13"/>
  <c r="U51" i="13"/>
  <c r="U54" i="13"/>
  <c r="U49" i="13"/>
  <c r="U53" i="13"/>
  <c r="U50" i="13"/>
  <c r="U44" i="13"/>
  <c r="U42" i="13"/>
  <c r="U34" i="13"/>
  <c r="U40" i="13"/>
  <c r="U39" i="13"/>
  <c r="U36" i="13"/>
  <c r="U25" i="13"/>
  <c r="U29" i="13"/>
  <c r="U28" i="13"/>
  <c r="U32" i="13"/>
  <c r="U26" i="13"/>
  <c r="U24" i="13"/>
  <c r="U23" i="13"/>
  <c r="U21" i="13"/>
  <c r="U18" i="13"/>
  <c r="U20" i="13"/>
  <c r="U16" i="13"/>
  <c r="U14" i="13"/>
  <c r="U11" i="13"/>
  <c r="U8" i="13"/>
  <c r="U3" i="13"/>
  <c r="U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tc={6E139C2E-CDD2-4D41-B3DB-7E6D67770E02}</author>
    <author>tc={B9554FAB-B93A-4A33-A94A-18003134722F}</author>
    <author>tc={D708458E-3082-42BE-BA9C-FB76140F8A89}</author>
    <author>tc={5E0A5B36-30BA-4785-9EC7-D9E59F1B16CE}</author>
    <author>tc={2832532F-3601-467A-AD62-C3A497EF3F2F}</author>
    <author>tc={59C5E8B4-950F-4728-A552-4F68E2A85566}</author>
    <author>tc={C67DE103-245C-480C-AFF1-8C8083938B75}</author>
    <author>tc={2058EF75-2506-49C6-943C-0BAF81E854D5}</author>
    <author>tc={2A646E23-7359-4DAA-8D67-66CEB4A83557}</author>
    <author>tc={B310DD81-FDB4-4F35-8D41-78710C9E81A3}</author>
    <author>tc={4B850DF9-9D81-4FD5-8455-43E1F38C3E1F}</author>
    <author>tc={9AD85768-E606-4DBC-95DD-02B1E72530BC}</author>
    <author>tc={F375E268-C2EA-4FF1-BEB3-31A2F451652F}</author>
    <author>tc={CD0B1590-A453-4743-B7D1-8AF3FB367521}</author>
    <author>tc={535E2C4F-7CF7-4D1A-BED5-6155ADC108E2}</author>
    <author>tc={DC2E55DF-8169-487D-A11A-15E83A494C0F}</author>
    <author>tc={0325A06D-7BE0-4393-AAAC-8D5E8037A023}</author>
    <author>tc={1E8F91FD-46BF-4C84-BBB2-1D5735B92A8E}</author>
    <author>tc={15EA5A79-A9E3-4B39-958F-C93A8E6CC1DA}</author>
    <author>tc={2AF65545-6B4E-4DD7-9198-31E0C1B096EA}</author>
    <author>tc={255CB460-5F6C-4BF8-8027-E4F6AD6F6B58}</author>
    <author>tc={D704E761-0AD8-4A99-B919-33F6BAC9A363}</author>
  </authors>
  <commentList>
    <comment ref="A6" authorId="0" shapeId="0" xr:uid="{6E139C2E-CDD2-4D41-B3DB-7E6D67770E02}">
      <text>
        <t>[Threaded comment]
Your version of Excel allows you to read this threaded comment; however, any edits to it will get removed if the file is opened in a newer version of Excel. Learn more: https://go.microsoft.com/fwlink/?linkid=870924
Comment:
    Equipamento alinhado com o Jean para colocar os cabos compatibilizadores</t>
      </text>
    </comment>
    <comment ref="H7" authorId="1" shapeId="0" xr:uid="{B9554FAB-B93A-4A33-A94A-18003134722F}">
      <text>
        <t>[Threaded comment]
Your version of Excel allows you to read this threaded comment; however, any edits to it will get removed if the file is opened in a newer version of Excel. Learn more: https://go.microsoft.com/fwlink/?linkid=870924
Comment:
    Ocorreu simultaneo era caso de furto</t>
      </text>
    </comment>
    <comment ref="A9" authorId="2" shapeId="0" xr:uid="{D708458E-3082-42BE-BA9C-FB76140F8A89}">
      <text>
        <t>[Threaded comment]
Your version of Excel allows you to read this threaded comment; however, any edits to it will get removed if the file is opened in a newer version of Excel. Learn more: https://go.microsoft.com/fwlink/?linkid=870924
Comment:
    Equipamento alinhado com o Jean para colocar os cabos compatibilizadores , vamos só instalar o controle e o suporte</t>
      </text>
    </comment>
    <comment ref="A16" authorId="3" shapeId="0" xr:uid="{5E0A5B36-30BA-4785-9EC7-D9E59F1B16CE}">
      <text>
        <t>[Threaded comment]
Your version of Excel allows you to read this threaded comment; however, any edits to it will get removed if the file is opened in a newer version of Excel. Learn more: https://go.microsoft.com/fwlink/?linkid=870924
Comment:
    Equipamento não abre a tela de controle de sinais, Zenilson verificar.</t>
      </text>
    </comment>
    <comment ref="A20" authorId="4" shapeId="0" xr:uid="{2832532F-3601-467A-AD62-C3A497EF3F2F}">
      <text>
        <t>[Threaded comment]
Your version of Excel allows you to read this threaded comment; however, any edits to it will get removed if the file is opened in a newer version of Excel. Learn more: https://go.microsoft.com/fwlink/?linkid=870924
Comment:
    Equipamento fora de operação, baixada erroneamente pelo COCM.</t>
      </text>
    </comment>
    <comment ref="A25" authorId="5" shapeId="0" xr:uid="{59C5E8B4-950F-4728-A552-4F68E2A85566}">
      <text>
        <t>[Threaded comment]
Your version of Excel allows you to read this threaded comment; however, any edits to it will get removed if the file is opened in a newer version of Excel. Learn more: https://go.microsoft.com/fwlink/?linkid=870924
Comment:
    Joelson vai mandar uma equipe de campo ver</t>
      </text>
    </comment>
    <comment ref="H25" authorId="6" shapeId="0" xr:uid="{C67DE103-245C-480C-AFF1-8C8083938B75}">
      <text>
        <t>[Threaded comment]
Your version of Excel allows you to read this threaded comment; however, any edits to it will get removed if the file is opened in a newer version of Excel. Learn more: https://go.microsoft.com/fwlink/?linkid=870924
Comment:
    Conversar Com o Sandro Para Podermos mandar o e-mail para o Juridico</t>
      </text>
    </comment>
    <comment ref="I28" authorId="7" shapeId="0" xr:uid="{2058EF75-2506-49C6-943C-0BAF81E854D5}">
      <text>
        <t>[Threaded comment]
Your version of Excel allows you to read this threaded comment; however, any edits to it will get removed if the file is opened in a newer version of Excel. Learn more: https://go.microsoft.com/fwlink/?linkid=870924
Comment:
    21/08 Se a DB Machado for pro Sul</t>
      </text>
    </comment>
    <comment ref="A29" authorId="8" shapeId="0" xr:uid="{2A646E23-7359-4DAA-8D67-66CEB4A83557}">
      <text>
        <t>[Threaded comment]
Your version of Excel allows you to read this threaded comment; however, any edits to it will get removed if the file is opened in a newer version of Excel. Learn more: https://go.microsoft.com/fwlink/?linkid=870924
Comment:
    Equipamento não abre a tela de controle de sinais, Zenilson verificar.</t>
      </text>
    </comment>
    <comment ref="A39" authorId="9" shapeId="0" xr:uid="{B310DD81-FDB4-4F35-8D41-78710C9E81A3}">
      <text>
        <t xml:space="preserve">[Threaded comment]
Your version of Excel allows you to read this threaded comment; however, any edits to it will get removed if the file is opened in a newer version of Excel. Learn more: https://go.microsoft.com/fwlink/?linkid=870924
Comment:
    Foi redirecionado para priorizar o RL 7933726256 </t>
      </text>
    </comment>
    <comment ref="A42" authorId="10" shapeId="0" xr:uid="{4B850DF9-9D81-4FD5-8455-43E1F38C3E1F}">
      <text>
        <t>[Threaded comment]
Your version of Excel allows you to read this threaded comment; however, any edits to it will get removed if the file is opened in a newer version of Excel. Learn more: https://go.microsoft.com/fwlink/?linkid=870924
Comment:
    Paramos aqui</t>
      </text>
    </comment>
    <comment ref="A54" authorId="11" shapeId="0" xr:uid="{9AD85768-E606-4DBC-95DD-02B1E72530BC}">
      <text>
        <t>[Threaded comment]
Your version of Excel allows you to read this threaded comment; however, any edits to it will get removed if the file is opened in a newer version of Excel. Learn more: https://go.microsoft.com/fwlink/?linkid=870924
Comment:
    Confirmar informação de remanejamento inserida na SS.</t>
      </text>
    </comment>
    <comment ref="I61" authorId="12" shapeId="0" xr:uid="{F375E268-C2EA-4FF1-BEB3-31A2F451652F}">
      <text>
        <t>[Threaded comment]
Your version of Excel allows you to read this threaded comment; however, any edits to it will get removed if the file is opened in a newer version of Excel. Learn more: https://go.microsoft.com/fwlink/?linkid=870924
Comment:
    22/08 Se a DB Machado for pro Sul</t>
      </text>
    </comment>
    <comment ref="A62" authorId="13" shapeId="0" xr:uid="{CD0B1590-A453-4743-B7D1-8AF3FB367521}">
      <text>
        <t>[Threaded comment]
Your version of Excel allows you to read this threaded comment; however, any edits to it will get removed if the file is opened in a newer version of Excel. Learn more: https://go.microsoft.com/fwlink/?linkid=870924
Comment:
    Nota baixada erroneamente pelo DMSL, aguardando retorno da Lorrane.</t>
      </text>
    </comment>
    <comment ref="A71" authorId="14" shapeId="0" xr:uid="{535E2C4F-7CF7-4D1A-BED5-6155ADC108E2}">
      <text>
        <t>[Threaded comment]
Your version of Excel allows you to read this threaded comment; however, any edits to it will get removed if the file is opened in a newer version of Excel. Learn more: https://go.microsoft.com/fwlink/?linkid=870924
Comment:
    Verificar com a PROT sobre os ajustes, equipamento já em operação.</t>
      </text>
    </comment>
    <comment ref="L73" authorId="15" shapeId="0" xr:uid="{DC2E55DF-8169-487D-A11A-15E83A494C0F}">
      <text>
        <t>[Threaded comment]
Your version of Excel allows you to read this threaded comment; however, any edits to it will get removed if the file is opened in a newer version of Excel. Learn more: https://go.microsoft.com/fwlink/?linkid=870924
Comment:
    Artech</t>
      </text>
    </comment>
    <comment ref="L95" authorId="16" shapeId="0" xr:uid="{0325A06D-7BE0-4393-AAAC-8D5E8037A023}">
      <text>
        <t>[Threaded comment]
Your version of Excel allows you to read this threaded comment; however, any edits to it will get removed if the file is opened in a newer version of Excel. Learn more: https://go.microsoft.com/fwlink/?linkid=870924
Comment:
    Redirecionar tanque do 7955946007 
Reply:
    7955520116 - Redirecionar para esse</t>
      </text>
    </comment>
    <comment ref="A102" authorId="17" shapeId="0" xr:uid="{1E8F91FD-46BF-4C84-BBB2-1D5735B92A8E}">
      <text>
        <t>[Threaded comment]
Your version of Excel allows you to read this threaded comment; however, any edits to it will get removed if the file is opened in a newer version of Excel. Learn more: https://go.microsoft.com/fwlink/?linkid=870924
Comment:
    Nota baixada erroneamente pelo DMSL, aguardando retorno da Lorrane.</t>
      </text>
    </comment>
    <comment ref="A106" authorId="18" shapeId="0" xr:uid="{15EA5A79-A9E3-4B39-958F-C93A8E6CC1DA}">
      <text>
        <t>[Threaded comment]
Your version of Excel allows you to read this threaded comment; however, any edits to it will get removed if the file is opened in a newer version of Excel. Learn more: https://go.microsoft.com/fwlink/?linkid=870924
Comment:
    Equipamento em operação, necessário confirmar com o COCM Palmas</t>
      </text>
    </comment>
    <comment ref="L110" authorId="19" shapeId="0" xr:uid="{2AF65545-6B4E-4DD7-9198-31E0C1B096EA}">
      <text>
        <t>[Threaded comment]
Your version of Excel allows you to read this threaded comment; however, any edits to it will get removed if the file is opened in a newer version of Excel. Learn more: https://go.microsoft.com/fwlink/?linkid=870924
Comment:
    Tanque de Caseara e o Controle do Estoque Sono</t>
      </text>
    </comment>
    <comment ref="H113" authorId="20" shapeId="0" xr:uid="{255CB460-5F6C-4BF8-8027-E4F6AD6F6B58}">
      <text>
        <t>[Threaded comment]
Your version of Excel allows you to read this threaded comment; however, any edits to it will get removed if the file is opened in a newer version of Excel. Learn more: https://go.microsoft.com/fwlink/?linkid=870924
Comment:
    Tenho um Controle ou consigo reaproveitar o tanque em outro, dependendo da criticidade</t>
      </text>
    </comment>
    <comment ref="A130" authorId="21" shapeId="0" xr:uid="{D704E761-0AD8-4A99-B919-33F6BAC9A363}">
      <text>
        <t>[Threaded comment]
Your version of Excel allows you to read this threaded comment; however, any edits to it will get removed if the file is opened in a newer version of Excel. Learn more: https://go.microsoft.com/fwlink/?linkid=870924
Comment:
    Linha viva substituiu a CH danificada, confirmar com o Zenilson se esta em operação.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tc={FA3BD34B-2A07-467F-8B11-22E1D1AB5C33}</author>
    <author>tc={15DCDDF5-AEE2-4B96-AD0E-11D15B25A282}</author>
    <author>tc={6D07E0F6-4DF0-4ADE-9949-3A718B5AFBAE}</author>
    <author>tc={D5B2FBD9-7E55-4394-8714-701EBCC35144}</author>
    <author>tc={B1C788A8-7A79-44EE-A54B-CBC5AFDBD9F4}</author>
    <author>tc={92D052E1-98AB-486D-9A79-11DA2A2DACF3}</author>
    <author>tc={E8206474-6697-48E9-A31E-69138945C5CA}</author>
    <author>tc={0041C59C-F9F9-4C83-993D-D122C9399368}</author>
    <author>tc={72850F46-6F99-4AE9-AA9C-0D35C56ACC60}</author>
    <author>tc={390B3EE9-C964-4BBF-8A8C-EF83FE61AE2A}</author>
    <author>tc={824C3832-6F9A-4886-A556-58C556E545B8}</author>
    <author>tc={9EFFF02E-E71A-4EAA-B7B0-BDEC52ED4DEF}</author>
    <author>tc={08741313-3F60-4F2B-856E-7E8FFB04A879}</author>
    <author>tc={A5CAD942-B372-4B9A-8A2D-F37251F74BF3}</author>
    <author>tc={272641DD-DFB7-4672-8214-D86F06479939}</author>
    <author>tc={6F55BA77-480E-40E4-B08D-D74D81B7284E}</author>
    <author>tc={D0D64B82-4998-4C28-9AD4-CD7B13F39588}</author>
    <author>tc={60FB343E-7068-4516-969E-F4791E8E04F1}</author>
    <author>tc={715334F1-1F6D-435D-BF76-109CE1206DB1}</author>
    <author>tc={C907F8D6-B9B1-4147-8FED-064820BD0B3A}</author>
    <author>tc={E94CBFE0-6B9E-4BC2-A75F-87CF5CC98DEC}</author>
    <author>tc={87BE34AA-9A33-499D-A2AA-B55D8E797EF8}</author>
  </authors>
  <commentList>
    <comment ref="A4" authorId="0" shapeId="0" xr:uid="{FA3BD34B-2A07-467F-8B11-22E1D1AB5C33}">
      <text>
        <t>[Threaded comment]
Your version of Excel allows you to read this threaded comment; however, any edits to it will get removed if the file is opened in a newer version of Excel. Learn more: https://go.microsoft.com/fwlink/?linkid=870924
Comment:
    Equipamento alinhado com o Jean para colocar os cabos compatibilizadores , vamos só instalar o controle e o suporte</t>
      </text>
    </comment>
    <comment ref="J6" authorId="1" shapeId="0" xr:uid="{15DCDDF5-AEE2-4B96-AD0E-11D15B25A282}">
      <text>
        <t>[Threaded comment]
Your version of Excel allows you to read this threaded comment; however, any edits to it will get removed if the file is opened in a newer version of Excel. Learn more: https://go.microsoft.com/fwlink/?linkid=870924
Comment:
    Artech</t>
      </text>
    </comment>
    <comment ref="J7" authorId="2" shapeId="0" xr:uid="{6D07E0F6-4DF0-4ADE-9949-3A718B5AFBAE}">
      <text>
        <t>[Threaded comment]
Your version of Excel allows you to read this threaded comment; however, any edits to it will get removed if the file is opened in a newer version of Excel. Learn more: https://go.microsoft.com/fwlink/?linkid=870924
Comment:
    Redirecionar tanque do 7955946007 
Reply:
    7955520116 - Redirecionar para esse</t>
      </text>
    </comment>
    <comment ref="J10" authorId="3" shapeId="0" xr:uid="{D5B2FBD9-7E55-4394-8714-701EBCC35144}">
      <text>
        <t>[Threaded comment]
Your version of Excel allows you to read this threaded comment; however, any edits to it will get removed if the file is opened in a newer version of Excel. Learn more: https://go.microsoft.com/fwlink/?linkid=870924
Comment:
    Tanque de Caseara e o Controle do Estoque Sono</t>
      </text>
    </comment>
    <comment ref="H11" authorId="4" shapeId="0" xr:uid="{B1C788A8-7A79-44EE-A54B-CBC5AFDBD9F4}">
      <text>
        <t>[Threaded comment]
Your version of Excel allows you to read this threaded comment; however, any edits to it will get removed if the file is opened in a newer version of Excel. Learn more: https://go.microsoft.com/fwlink/?linkid=870924
Comment:
    21/08 Se a DB Machado for pro Sul</t>
      </text>
    </comment>
    <comment ref="H16" authorId="5" shapeId="0" xr:uid="{92D052E1-98AB-486D-9A79-11DA2A2DACF3}">
      <text>
        <t>[Threaded comment]
Your version of Excel allows you to read this threaded comment; however, any edits to it will get removed if the file is opened in a newer version of Excel. Learn more: https://go.microsoft.com/fwlink/?linkid=870924
Comment:
    22/08 Se a DB Machado for pro Sul</t>
      </text>
    </comment>
    <comment ref="A26" authorId="6" shapeId="0" xr:uid="{E8206474-6697-48E9-A31E-69138945C5CA}">
      <text>
        <t xml:space="preserve">[Threaded comment]
Your version of Excel allows you to read this threaded comment; however, any edits to it will get removed if the file is opened in a newer version of Excel. Learn more: https://go.microsoft.com/fwlink/?linkid=870924
Comment:
    Foi redirecionado para priorizar o RL 7933726256 </t>
      </text>
    </comment>
    <comment ref="A34" authorId="7" shapeId="0" xr:uid="{0041C59C-F9F9-4C83-993D-D122C9399368}">
      <text>
        <t>[Threaded comment]
Your version of Excel allows you to read this threaded comment; however, any edits to it will get removed if the file is opened in a newer version of Excel. Learn more: https://go.microsoft.com/fwlink/?linkid=870924
Comment:
    Equipamento alinhado com o Jean para colocar os cabos compatibilizadores</t>
      </text>
    </comment>
    <comment ref="A39" authorId="8" shapeId="0" xr:uid="{72850F46-6F99-4AE9-AA9C-0D35C56ACC60}">
      <text>
        <t>[Threaded comment]
Your version of Excel allows you to read this threaded comment; however, any edits to it will get removed if the file is opened in a newer version of Excel. Learn more: https://go.microsoft.com/fwlink/?linkid=870924
Comment:
    Joelson vai mandar uma equipe de campo ver</t>
      </text>
    </comment>
    <comment ref="G39" authorId="9" shapeId="0" xr:uid="{390B3EE9-C964-4BBF-8A8C-EF83FE61AE2A}">
      <text>
        <t>[Threaded comment]
Your version of Excel allows you to read this threaded comment; however, any edits to it will get removed if the file is opened in a newer version of Excel. Learn more: https://go.microsoft.com/fwlink/?linkid=870924
Comment:
    Conversar Com o Sandro Para Podermos mandar o e-mail para o Juridico</t>
      </text>
    </comment>
    <comment ref="G44" authorId="10" shapeId="0" xr:uid="{824C3832-6F9A-4886-A556-58C556E545B8}">
      <text>
        <t>[Threaded comment]
Your version of Excel allows you to read this threaded comment; however, any edits to it will get removed if the file is opened in a newer version of Excel. Learn more: https://go.microsoft.com/fwlink/?linkid=870924
Comment:
    Ocorreu simultaneo era caso de furto</t>
      </text>
    </comment>
    <comment ref="A56" authorId="11" shapeId="0" xr:uid="{9EFFF02E-E71A-4EAA-B7B0-BDEC52ED4DEF}">
      <text>
        <t>[Threaded comment]
Your version of Excel allows you to read this threaded comment; however, any edits to it will get removed if the file is opened in a newer version of Excel. Learn more: https://go.microsoft.com/fwlink/?linkid=870924
Comment:
    Nota baixada erroneamente pelo DMSL, aguardando retorno da Lorrane.</t>
      </text>
    </comment>
    <comment ref="A67" authorId="12" shapeId="0" xr:uid="{08741313-3F60-4F2B-856E-7E8FFB04A879}">
      <text>
        <t>[Threaded comment]
Your version of Excel allows you to read this threaded comment; however, any edits to it will get removed if the file is opened in a newer version of Excel. Learn more: https://go.microsoft.com/fwlink/?linkid=870924
Comment:
    Verificar com a PROT sobre os ajustes, equipamento já em operação.</t>
      </text>
    </comment>
    <comment ref="A71" authorId="13" shapeId="0" xr:uid="{A5CAD942-B372-4B9A-8A2D-F37251F74BF3}">
      <text>
        <t>[Threaded comment]
Your version of Excel allows you to read this threaded comment; however, any edits to it will get removed if the file is opened in a newer version of Excel. Learn more: https://go.microsoft.com/fwlink/?linkid=870924
Comment:
    Equipamento em operação, necessário confirmar com o COCM Palmas</t>
      </text>
    </comment>
    <comment ref="A74" authorId="14" shapeId="0" xr:uid="{272641DD-DFB7-4672-8214-D86F06479939}">
      <text>
        <t>[Threaded comment]
Your version of Excel allows you to read this threaded comment; however, any edits to it will get removed if the file is opened in a newer version of Excel. Learn more: https://go.microsoft.com/fwlink/?linkid=870924
Comment:
    Linha viva substituiu a CH danificada, confirmar com o Zenilson se esta em operação.</t>
      </text>
    </comment>
    <comment ref="A79" authorId="15" shapeId="0" xr:uid="{6F55BA77-480E-40E4-B08D-D74D81B7284E}">
      <text>
        <t>[Threaded comment]
Your version of Excel allows you to read this threaded comment; however, any edits to it will get removed if the file is opened in a newer version of Excel. Learn more: https://go.microsoft.com/fwlink/?linkid=870924
Comment:
    Equipamento fora de operação, baixada erroneamente pelo COCM.</t>
      </text>
    </comment>
    <comment ref="A82" authorId="16" shapeId="0" xr:uid="{D0D64B82-4998-4C28-9AD4-CD7B13F39588}">
      <text>
        <t>[Threaded comment]
Your version of Excel allows you to read this threaded comment; however, any edits to it will get removed if the file is opened in a newer version of Excel. Learn more: https://go.microsoft.com/fwlink/?linkid=870924
Comment:
    Confirmar informação de remanejamento inserida na SS.</t>
      </text>
    </comment>
    <comment ref="A93" authorId="17" shapeId="0" xr:uid="{60FB343E-7068-4516-969E-F4791E8E04F1}">
      <text>
        <t>[Threaded comment]
Your version of Excel allows you to read this threaded comment; however, any edits to it will get removed if the file is opened in a newer version of Excel. Learn more: https://go.microsoft.com/fwlink/?linkid=870924
Comment:
    Nota baixada erroneamente pelo DMSL, aguardando retorno da Lorrane.</t>
      </text>
    </comment>
    <comment ref="A97" authorId="18" shapeId="0" xr:uid="{715334F1-1F6D-435D-BF76-109CE1206DB1}">
      <text>
        <t>[Threaded comment]
Your version of Excel allows you to read this threaded comment; however, any edits to it will get removed if the file is opened in a newer version of Excel. Learn more: https://go.microsoft.com/fwlink/?linkid=870924
Comment:
    Equipamento não abre a tela de controle de sinais, Zenilson verificar.</t>
      </text>
    </comment>
    <comment ref="A102" authorId="19" shapeId="0" xr:uid="{C907F8D6-B9B1-4147-8FED-064820BD0B3A}">
      <text>
        <t>[Threaded comment]
Your version of Excel allows you to read this threaded comment; however, any edits to it will get removed if the file is opened in a newer version of Excel. Learn more: https://go.microsoft.com/fwlink/?linkid=870924
Comment:
    Equipamento não abre a tela de controle de sinais, Zenilson verificar.</t>
      </text>
    </comment>
    <comment ref="A104" authorId="20" shapeId="0" xr:uid="{E94CBFE0-6B9E-4BC2-A75F-87CF5CC98DEC}">
      <text>
        <t>[Threaded comment]
Your version of Excel allows you to read this threaded comment; however, any edits to it will get removed if the file is opened in a newer version of Excel. Learn more: https://go.microsoft.com/fwlink/?linkid=870924
Comment:
    Paramos aqui</t>
      </text>
    </comment>
    <comment ref="G110" authorId="21" shapeId="0" xr:uid="{87BE34AA-9A33-499D-A2AA-B55D8E797EF8}">
      <text>
        <t>[Threaded comment]
Your version of Excel allows you to read this threaded comment; however, any edits to it will get removed if the file is opened in a newer version of Excel. Learn more: https://go.microsoft.com/fwlink/?linkid=870924
Comment:
    Tenho um Controle ou consigo reaproveitar o tanque em outro, dependendo da criticidade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tc={DF772875-8A42-4BAA-AFB3-6FFE8C3AB7EB}</author>
  </authors>
  <commentList>
    <comment ref="B14" authorId="0" shapeId="0" xr:uid="{DF772875-8A42-4BAA-AFB3-6FFE8C3AB7EB}">
      <text>
        <t>[Threaded comment]
Your version of Excel allows you to read this threaded comment; however, any edits to it will get removed if the file is opened in a newer version of Excel. Learn more: https://go.microsoft.com/fwlink/?linkid=870924
Comment:
    02125725
Reply:
    17/07/2026</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119C98-B38C-4879-9A70-4A9FB72408C1}" keepAlive="1" name="Consulta - Concluídas" description="Conexão com a consulta 'Concluídas' na pasta de trabalho." type="5" refreshedVersion="8" background="1" saveData="1">
    <dbPr connection="Provider=Microsoft.Mashup.OleDb.1;Data Source=$Workbook$;Location=Concluídas;Extended Properties=&quot;&quot;" command="SELECT * FROM [Concluídas]"/>
  </connection>
  <connection id="2" xr16:uid="{8CBBA375-42DC-4BE9-AE7B-8E9721924E16}" keepAlive="1" name="Consulta - Localidades" description="Conexão com a consulta 'Localidades' na pasta de trabalho." type="5" refreshedVersion="8" background="1" saveData="1">
    <dbPr connection="Provider=Microsoft.Mashup.OleDb.1;Data Source=$Workbook$;Location=Localidades;Extended Properties=&quot;&quot;" command="SELECT * FROM [Localidades]"/>
  </connection>
  <connection id="3" xr16:uid="{D51265C0-A74B-4CFC-83FE-479C8A514C75}" keepAlive="1" name="Consulta - Pendentes" description="Conexão com a consulta 'Pendentes' na pasta de trabalho." type="5" refreshedVersion="8" background="1" saveData="1">
    <dbPr connection="Provider=Microsoft.Mashup.OleDb.1;Data Source=$Workbook$;Location=Pendentes;Extended Properties=&quot;&quot;" command="SELECT * FROM [Pendentes]"/>
  </connection>
  <connection id="4" xr16:uid="{7061224A-39BD-48A6-8A1C-47547A22151D}" keepAlive="1" name="Consulta - Premissas por Equipamento" description="Conexão com a consulta 'Premissas por Equipamento' na pasta de trabalho." type="5" refreshedVersion="8" background="1" saveData="1">
    <dbPr connection="Provider=Microsoft.Mashup.OleDb.1;Data Source=$Workbook$;Location=&quot;Premissas por Equipamento&quot;;Extended Properties=&quot;&quot;" command="SELECT * FROM [Premissas por Equipamento]"/>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<sst xmlns="http://schemas.openxmlformats.org/spreadsheetml/2006/main" count="8212" uniqueCount="1469">
  <si>
    <t>DESTINO_SS</t>
  </si>
  <si>
    <t>(Vários itens)</t>
  </si>
  <si>
    <t>Criticidade</t>
  </si>
  <si>
    <t>Quantidade</t>
  </si>
  <si>
    <t>Total</t>
  </si>
  <si>
    <t>RL</t>
  </si>
  <si>
    <t>RT</t>
  </si>
  <si>
    <t>Qtd</t>
  </si>
  <si>
    <t>Cód</t>
  </si>
  <si>
    <t>Muito Alta</t>
  </si>
  <si>
    <t>58</t>
  </si>
  <si>
    <t>79</t>
  </si>
  <si>
    <t>Total Geral</t>
  </si>
  <si>
    <t>Alta</t>
  </si>
  <si>
    <t>Média</t>
  </si>
  <si>
    <t>Baixa</t>
  </si>
  <si>
    <t>Em definição</t>
  </si>
  <si>
    <t>ANO_SS</t>
  </si>
  <si>
    <t>SS_ORIGINAL</t>
  </si>
  <si>
    <t>COD_RELIGADOR</t>
  </si>
  <si>
    <t>TIPO</t>
  </si>
  <si>
    <t>DTA_ABERTURA</t>
  </si>
  <si>
    <t>COD_LOC</t>
  </si>
  <si>
    <t>LOCALIDADE</t>
  </si>
  <si>
    <t>POLO</t>
  </si>
  <si>
    <t>REGIONAL</t>
  </si>
  <si>
    <t>ALIMENTADOR</t>
  </si>
  <si>
    <t>DESCRICAO</t>
  </si>
  <si>
    <t>Premissa 1</t>
  </si>
  <si>
    <t>Premissa 2</t>
  </si>
  <si>
    <t>Premissa 3</t>
  </si>
  <si>
    <t>Premissa 4</t>
  </si>
  <si>
    <t>Premissa 5</t>
  </si>
  <si>
    <t>Premissa 6</t>
  </si>
  <si>
    <t>Premissa 7</t>
  </si>
  <si>
    <t>Premissa 8</t>
  </si>
  <si>
    <t>Priorização</t>
  </si>
  <si>
    <t>Observação após análise</t>
  </si>
  <si>
    <t>ETO-RD-PO 00213/2026</t>
  </si>
  <si>
    <t>ETO-RD-PO</t>
  </si>
  <si>
    <t>SILVANOPOLIS</t>
  </si>
  <si>
    <t>PORTO NACIONAL</t>
  </si>
  <si>
    <t>CENTRO</t>
  </si>
  <si>
    <t>LD02072001</t>
  </si>
  <si>
    <t>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</si>
  <si>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t>
  </si>
  <si>
    <t>Aumento de reclamações no atendimento de Silvanópolis por Porto Nacional no período seco (Outra fonte com defeito também)</t>
  </si>
  <si>
    <t>ETO-RD-GR 00735/2026</t>
  </si>
  <si>
    <t>ETO-RD-GR</t>
  </si>
  <si>
    <t>TUPIRAMA</t>
  </si>
  <si>
    <t>GUARAI</t>
  </si>
  <si>
    <t>NORTE</t>
  </si>
  <si>
    <t>AL01065015</t>
  </si>
  <si>
    <t>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t>
  </si>
  <si>
    <t>Atendimento de parte da RDU Guaraí por fonte alternativa</t>
  </si>
  <si>
    <t>ETO-COEP 00124/2026</t>
  </si>
  <si>
    <t>ETO-COEP</t>
  </si>
  <si>
    <t>ARAGUAINA</t>
  </si>
  <si>
    <t>AL04010004</t>
  </si>
  <si>
    <t>PARECER COEP: Verificar Disponibilidade de equipamento no Scada e enviar modelo e tensão para a compra.RELIGADOR COM RELÉ DANIFICADO, REALIZAR SUBSTITUIÇÃO</t>
  </si>
  <si>
    <t>Transferência de cargas na RDU de Araguaína (2797 UCs)</t>
  </si>
  <si>
    <t>ETO-COEP 00040/2026</t>
  </si>
  <si>
    <t>TAQUARALTO</t>
  </si>
  <si>
    <t>AL05099059</t>
  </si>
  <si>
    <t>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t>
  </si>
  <si>
    <t>Transferência dos bairros Morada do Sol, Vale do Sol, Morada do Sol II, Nova Esperança, Sõa João, Araras I e II e Jardim Laila em Taquaralto (6033 UCs)</t>
  </si>
  <si>
    <t>ETO-TELE 01025/2026</t>
  </si>
  <si>
    <t>ETO-TELE</t>
  </si>
  <si>
    <t>PALMAS</t>
  </si>
  <si>
    <t>AL08060122</t>
  </si>
  <si>
    <t>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t>
  </si>
  <si>
    <t>Transferência entre 284R SE Palmas IV e 2294R SE Palmas II</t>
  </si>
  <si>
    <t>ETO-RD-DP 00479/2026</t>
  </si>
  <si>
    <t>ETO-RD-DP</t>
  </si>
  <si>
    <t>ALMAS</t>
  </si>
  <si>
    <t>DIANOPOLIS</t>
  </si>
  <si>
    <t>SUL</t>
  </si>
  <si>
    <t>LD04002091</t>
  </si>
  <si>
    <t>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</si>
  <si>
    <t>Atendimento da região da Engegold, Nativa, cidade Natividade e Chapada da Natividade</t>
  </si>
  <si>
    <t>ETO-COEP 00131/2026</t>
  </si>
  <si>
    <t>RIO SONO</t>
  </si>
  <si>
    <t>LD02424015</t>
  </si>
  <si>
    <t>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t>
  </si>
  <si>
    <t>Transferência da RDU de Lizarda (1650 UCs) para fonte alternativa</t>
  </si>
  <si>
    <t>ETO-RD-DP 00409/2026</t>
  </si>
  <si>
    <t>AURORA DO TOCANTINS</t>
  </si>
  <si>
    <t>AL01015049</t>
  </si>
  <si>
    <t>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t>
  </si>
  <si>
    <t>Proteção da baixa do TF de força da SE Aurora</t>
  </si>
  <si>
    <t>ETO-COEP 00059/2026</t>
  </si>
  <si>
    <t>GOIANORTE</t>
  </si>
  <si>
    <t>LD02022033</t>
  </si>
  <si>
    <t>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t>
  </si>
  <si>
    <t>Transferência de Goianorte, fonte principal operando</t>
  </si>
  <si>
    <t>ETO-PROT 00154/2026</t>
  </si>
  <si>
    <t>ETO-PROT</t>
  </si>
  <si>
    <t>PARAISO DO TOCANTINS</t>
  </si>
  <si>
    <t>AL01062013</t>
  </si>
  <si>
    <t>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t>
  </si>
  <si>
    <t>Transferência do 214R de Paraíso I, Centro Comercial de Paraíso</t>
  </si>
  <si>
    <t>ETO-COEP 00120/2026</t>
  </si>
  <si>
    <t>BABACULANDIA</t>
  </si>
  <si>
    <t>LD05010004</t>
  </si>
  <si>
    <t>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t>
  </si>
  <si>
    <t>Transferência de Babaçulândia, fonte principal operando</t>
  </si>
  <si>
    <t>ETO-PROT 00145/2026</t>
  </si>
  <si>
    <t>MATEIROS</t>
  </si>
  <si>
    <t>PONTE ALTA TOCANTINS</t>
  </si>
  <si>
    <t>LD03046026</t>
  </si>
  <si>
    <t>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t>
  </si>
  <si>
    <t>Transferência da cidade de Mateiros (733 UCs) para o gerador</t>
  </si>
  <si>
    <t>ETO-TELE 01024/2026</t>
  </si>
  <si>
    <t>AL01099059</t>
  </si>
  <si>
    <t>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t>
  </si>
  <si>
    <t>Seccionamento de trecho do Setor Taquari</t>
  </si>
  <si>
    <t>ETO-SE-PA 00107/2026</t>
  </si>
  <si>
    <t>ETO-SE-PA</t>
  </si>
  <si>
    <t>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t>
  </si>
  <si>
    <t>Religador responsável pela proteção da barra da SE Ponte Alta (2381 UCs)</t>
  </si>
  <si>
    <t>ETO-COEP 00141/2026</t>
  </si>
  <si>
    <t>LD01072001</t>
  </si>
  <si>
    <t>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t>
  </si>
  <si>
    <t>Transferência do Distrito Ind de Porto Nacional e GAs</t>
  </si>
  <si>
    <t>ETO-RD-PS 00302/2026</t>
  </si>
  <si>
    <t>ETO-RD-PS</t>
  </si>
  <si>
    <t>PIUM</t>
  </si>
  <si>
    <t>LD02025012</t>
  </si>
  <si>
    <t>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t>
  </si>
  <si>
    <t>Fonte principal de Pium, RL de transferência operando</t>
  </si>
  <si>
    <t>ETO-TELE 00896/2026</t>
  </si>
  <si>
    <t>ESPERANTINA</t>
  </si>
  <si>
    <t>AUGUSTINOPOLIS</t>
  </si>
  <si>
    <t>LD02109039</t>
  </si>
  <si>
    <t>PARECER DCMD:Serviço realizado , substituição da parte ativa  do RELIGADOR 7943790134 - Favor realizar comissionamento</t>
  </si>
  <si>
    <t>Transferência de Esperantina, fonte principal operando</t>
  </si>
  <si>
    <t>ETO-COEP 00087/2026</t>
  </si>
  <si>
    <t>SANTA RITA DO TOCANTINS</t>
  </si>
  <si>
    <t>LD03040003</t>
  </si>
  <si>
    <t>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t>
  </si>
  <si>
    <t>Transferência de Santa Rita, fonte principal operando</t>
  </si>
  <si>
    <t>ETO-COEP 00143/2026</t>
  </si>
  <si>
    <t>PARECER DMSL: Análise técnica realizada. Constatado que o equipamento está em Bypass. Foi aberta nota para substituição da parte ativa,  abri nota para substituir completo  o equipamento</t>
  </si>
  <si>
    <t>ETO-COEP 00048/2026</t>
  </si>
  <si>
    <t>GOIATINS</t>
  </si>
  <si>
    <t>LD03105019</t>
  </si>
  <si>
    <t>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t>
  </si>
  <si>
    <t>Transferência de Goiatins e GAs (2492 UCs)</t>
  </si>
  <si>
    <t>ETO-COEP 00149/2026</t>
  </si>
  <si>
    <t>AL01102271</t>
  </si>
  <si>
    <t>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t>
  </si>
  <si>
    <t>Em caso de perca da fonte principal é necessário esse RT para alimentação da Frísia</t>
  </si>
  <si>
    <t>ETO-PROT 00143/2026</t>
  </si>
  <si>
    <t>PALMEIRANTE</t>
  </si>
  <si>
    <t>COLINAS DO TOCANTINS</t>
  </si>
  <si>
    <t>LD02105019</t>
  </si>
  <si>
    <t>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t>
  </si>
  <si>
    <t>Fonte principal de Palmeirante, RL de transferência operando</t>
  </si>
  <si>
    <t>ETO-TELE 00997/2026</t>
  </si>
  <si>
    <t>RL teve nota baixada (ETO-TELE 970/2026) pore´m eqp continua fora de operação, solicito programação para equipe verificar em campo</t>
  </si>
  <si>
    <t>Isolação de trecho e transferência das cidades de São Felix e Mateiros para gerador, além de atendimento de clientes rurais</t>
  </si>
  <si>
    <t>ETO-RD-GR 00766/2026</t>
  </si>
  <si>
    <t>ARAPOEMA</t>
  </si>
  <si>
    <t>LD02010153</t>
  </si>
  <si>
    <t>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t>
  </si>
  <si>
    <t>Aumento de reclamações no atendimento de Arapoema no período seco</t>
  </si>
  <si>
    <t>ETO-PROT 00144/2026</t>
  </si>
  <si>
    <t>CENTENARIO</t>
  </si>
  <si>
    <t>LD01065015</t>
  </si>
  <si>
    <t>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t>
  </si>
  <si>
    <t>Atendimento das RDUs de Centenário, Recursolândia e clientes rurais</t>
  </si>
  <si>
    <t>ETO-COEP 00078/2026</t>
  </si>
  <si>
    <t>LD03062013</t>
  </si>
  <si>
    <t>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t>
  </si>
  <si>
    <t>Transferência da RDU de Chapada de Areia (937 UCs) para fonte alternativa</t>
  </si>
  <si>
    <t>ETO-PROT 00152/2026</t>
  </si>
  <si>
    <t>PARANA</t>
  </si>
  <si>
    <t>PEIXE</t>
  </si>
  <si>
    <t>LD01010021</t>
  </si>
  <si>
    <t>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t>
  </si>
  <si>
    <t>Primeiro RL do 414R de Paranã, RL a jusante na LD também está bay-passado (630 UCs)</t>
  </si>
  <si>
    <t>ETO-PROT 00151/2026</t>
  </si>
  <si>
    <t>AL03062013</t>
  </si>
  <si>
    <t>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t>
  </si>
  <si>
    <t>Atendimento da RDU Luzimangues Industrial por fonte alternativa</t>
  </si>
  <si>
    <t>ETO-RD-PS 00323/2025</t>
  </si>
  <si>
    <t>MIRACEMA DO TOCANTINS</t>
  </si>
  <si>
    <t>LD05050008</t>
  </si>
  <si>
    <t>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t>
  </si>
  <si>
    <t>Aumento de reclamações no atendimento de Miracema no período seco</t>
  </si>
  <si>
    <t>ETO-PROT 00153/2026</t>
  </si>
  <si>
    <t>FIGUEIROPOLIS</t>
  </si>
  <si>
    <t>FORMOSO DO ARAGUAIA</t>
  </si>
  <si>
    <t>AL02033047</t>
  </si>
  <si>
    <t>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t>
  </si>
  <si>
    <t>Transferência da Bunge, Saneatins e secadora</t>
  </si>
  <si>
    <t>ETO-RD-PO 00208/2026</t>
  </si>
  <si>
    <t>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t>
  </si>
  <si>
    <t>Atenidmento da COELBA (Alto potencial de compensação)</t>
  </si>
  <si>
    <t>ETO-RD-DP 00404/2026</t>
  </si>
  <si>
    <t>CHAPADA DA NATIVIDADE</t>
  </si>
  <si>
    <t>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t>
  </si>
  <si>
    <t>Atendimento da região da Engegold, Nativa, cidade Natividade e Chapada da Natividade (Fonte alternativa)</t>
  </si>
  <si>
    <t>ETO-COEP 00151/2026</t>
  </si>
  <si>
    <t>BANDEIRANTES DO TOCANTINS</t>
  </si>
  <si>
    <t>LD01054060</t>
  </si>
  <si>
    <t>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t>
  </si>
  <si>
    <t>Atendimento da RDU Bandeirantes e clientes rurais</t>
  </si>
  <si>
    <t>ETO-TELE 00881/2026</t>
  </si>
  <si>
    <t>MARIANOPOLIS</t>
  </si>
  <si>
    <t>DIVINOPOLIS</t>
  </si>
  <si>
    <t>LD05062013</t>
  </si>
  <si>
    <t>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t>
  </si>
  <si>
    <t>Atendimento da RDU Marianópolis e clientes rurais</t>
  </si>
  <si>
    <t>ETO-TELE 00986/2026</t>
  </si>
  <si>
    <t>LD04040003</t>
  </si>
  <si>
    <t>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t>
  </si>
  <si>
    <t>Atendimento da RDU Sucupira e clientes rurais</t>
  </si>
  <si>
    <t>ETO-COEP 00184/2025</t>
  </si>
  <si>
    <t>20/07 PARECER COEP: EQUIPAMENTO SELECIONADO PARA COMPRAApós testes no RLG 7903112004 foi constatado defeito no mesmo e como se trata de um modelo COOPER FORM6 que está obsoleto e não possuímos peças sobressalentes, faz-se necessária substituição completa por modelo NOJA RC10.</t>
  </si>
  <si>
    <t>Transferência de Babaçulândia, 4 RLs sendo 2 operando</t>
  </si>
  <si>
    <t>ETO-COEP 00120/2025</t>
  </si>
  <si>
    <t>PALMEIRAS DO TOCANTINS</t>
  </si>
  <si>
    <t>TOCANTINOPOLIS</t>
  </si>
  <si>
    <t>LD01084002</t>
  </si>
  <si>
    <t>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t>
  </si>
  <si>
    <t>Transferência de Palmeiras, 3 fontes operando</t>
  </si>
  <si>
    <t>ETO-COEP 00029/2026</t>
  </si>
  <si>
    <t>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t>
  </si>
  <si>
    <t>Opção de isolação de São Félix e Mateiros para alimentação por gerador</t>
  </si>
  <si>
    <t>ETO-PROT 00156/2026</t>
  </si>
  <si>
    <t>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t>
  </si>
  <si>
    <t>Transferência dos Grupos A -  VLI e Frisia</t>
  </si>
  <si>
    <t>ETO-RD-PO 00097/2026</t>
  </si>
  <si>
    <t>MONTE DO CARMO</t>
  </si>
  <si>
    <t>LD01051035</t>
  </si>
  <si>
    <t>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t>
  </si>
  <si>
    <t>Aumento de reclamações no atendimento de Silvanópolis por Monte do Carmo no período seco</t>
  </si>
  <si>
    <t>ETO-COEP 00150/2026</t>
  </si>
  <si>
    <t>LD01100001</t>
  </si>
  <si>
    <t>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t>
  </si>
  <si>
    <t>Transferência dos Grupos A -  Ramal do Rossato (TF 225kVA e TF 750kVA)</t>
  </si>
  <si>
    <t>ETO-RD-PS 00289/2026</t>
  </si>
  <si>
    <t>PUGMIL</t>
  </si>
  <si>
    <t>LD01062013</t>
  </si>
  <si>
    <t>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t>
  </si>
  <si>
    <t>Aumento de reclamações no atendimento de Pugmil no período seco</t>
  </si>
  <si>
    <t>ETO-COEP 00173/2025</t>
  </si>
  <si>
    <t>SANTA FE DO ARAGUAIA</t>
  </si>
  <si>
    <t>LD03010004</t>
  </si>
  <si>
    <t>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t>
  </si>
  <si>
    <t>Atendimento 3 povoados, na perca 4 ficam fora (900 UCs)</t>
  </si>
  <si>
    <t>ETO-COEP 00221/2025</t>
  </si>
  <si>
    <t>LD03028074</t>
  </si>
  <si>
    <t>PARECER COEP: EQUIPAMENTO SELECIONADO PARA COMPRASubstituir as 3 células- Melhoria na malha de aterramento - Melhoria no circuito de aterramento qua aterra as células.- Substituir conectores paralelos</t>
  </si>
  <si>
    <t>Atendimento da COELBA e GA Alessandro Maurício (1600 kVA)</t>
  </si>
  <si>
    <t>ETO-COEP 00063/2026</t>
  </si>
  <si>
    <t>CASEARA</t>
  </si>
  <si>
    <t>LD01434149</t>
  </si>
  <si>
    <t>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t>
  </si>
  <si>
    <t>Atendimento de cargas rurais entre Caseaarra e Araguacema (221 UCs)</t>
  </si>
  <si>
    <t>ETO-COEP 00129/2026</t>
  </si>
  <si>
    <t>SAO VALERIO DA NATIVIDADE</t>
  </si>
  <si>
    <t>LD01066094</t>
  </si>
  <si>
    <t>PARECER COEP: REAVALIAR DISPONIBILIDADE DO EQUIPAMENTO NO SCADA ASSIM COMO , FORNECER MODELO DO EQUIPAMENTO E FAIXA DE TENSÃO PARA COMPRA / AQUISIÇÃOTanque com defeito, realizar substituição do tanque.</t>
  </si>
  <si>
    <t>Fonte principal do Ramal Serranópolis (181 UCs), RL de transferência operando</t>
  </si>
  <si>
    <t>ETO-PROT 00135/2026</t>
  </si>
  <si>
    <t>ARAGUATINS</t>
  </si>
  <si>
    <t>AL03109039</t>
  </si>
  <si>
    <t>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t>
  </si>
  <si>
    <t>Atendimento do PA Esperança Viva (396 UCs)</t>
  </si>
  <si>
    <t>ETO-COEP 00024/2026</t>
  </si>
  <si>
    <t>30/06 PARECER COEP: EQUIPAMENTO SELECIONADO PARA COMPRAREALIZAR SUBSTITUIÇÃO DO TANQUE, O MESMO ESTÁ COM DEFEITO.</t>
  </si>
  <si>
    <t>Atendimento da COELBA</t>
  </si>
  <si>
    <t>ETO-COEP 00133/2026</t>
  </si>
  <si>
    <t>LD04062013</t>
  </si>
  <si>
    <t>14/07/2026 PARECER COEP : SUBSTIUIR CONTROLE COMPLETOPARECER DMSL: Equipamento com a placa de alimentação ca em curto, será necessário substituir a placa do equipamento. (Antiga nota era pra ter sido repassada porém foi baixada indevidamente pela equipe)</t>
  </si>
  <si>
    <t>Transferência de cargas do 444R da SE Paraíso I</t>
  </si>
  <si>
    <t>ETO-COEP 00045/2026</t>
  </si>
  <si>
    <t>LD03036052</t>
  </si>
  <si>
    <t>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t>
  </si>
  <si>
    <t>Equipamento localizado Fonte principal de atendimento a SE Cobrape</t>
  </si>
  <si>
    <t>ETO-COEP 00058/2026</t>
  </si>
  <si>
    <t>PEDRO AFONSO</t>
  </si>
  <si>
    <t>LD01414015</t>
  </si>
  <si>
    <t>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t>
  </si>
  <si>
    <t>Transferência do Ramal Agrovila (73 UCs)</t>
  </si>
  <si>
    <t>ETO-COEP 00125/2026</t>
  </si>
  <si>
    <t>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t>
  </si>
  <si>
    <t>Tranferência do Ramal do Chaparral (251 UCs)</t>
  </si>
  <si>
    <t>ETO-COEP 00038/2026</t>
  </si>
  <si>
    <t>SANTA ROSA DO TOCANTINS</t>
  </si>
  <si>
    <t>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t>
  </si>
  <si>
    <t>Atendimento de zona rural em Santa Rosa (160 UCs)</t>
  </si>
  <si>
    <t>ETO-PROT 00155/2026</t>
  </si>
  <si>
    <t>LD02059122</t>
  </si>
  <si>
    <t>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t>
  </si>
  <si>
    <t>Atendimento do Ramal do Marasca e GAs (108 UCs)</t>
  </si>
  <si>
    <t>ETO-COEP 00123/2026</t>
  </si>
  <si>
    <t>PARECER COEP: EQUIPAMENTO SELECIONADO PARA COMPRATroca do sistema de comunicação do equipamentoDMSL 28/07/2025: Equipamento com tanque, modulo e rele com defeito, solicitar troca do equipamento ao DCMD.Fotos vão ser enviadas por e-mail</t>
  </si>
  <si>
    <t>Transferência entre 424R Araguatins e 434R Augustinópolis</t>
  </si>
  <si>
    <t>ETO-COEP 00156/2026</t>
  </si>
  <si>
    <t>BARROLANDIA</t>
  </si>
  <si>
    <t>AL02017017</t>
  </si>
  <si>
    <t>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t>
  </si>
  <si>
    <t>Atendimento do Assentamento Irmã Adelaide</t>
  </si>
  <si>
    <t>ETO-TELE 01002/2026</t>
  </si>
  <si>
    <t>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t>
  </si>
  <si>
    <t>Seccionamento do Rural e energização do 224R</t>
  </si>
  <si>
    <t>ETO-COEP 00134/2026</t>
  </si>
  <si>
    <t>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t>
  </si>
  <si>
    <t>Alimentação do serviço auxiliar da Investco e clientes rurais (260 UCs)</t>
  </si>
  <si>
    <t>ETO-COEP 00148/2026</t>
  </si>
  <si>
    <t>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t>
  </si>
  <si>
    <t>Transferência entre 414R e 424R SE Palmas II</t>
  </si>
  <si>
    <t>ETO-COEP 00158/2025</t>
  </si>
  <si>
    <t>PINDORAMA DO TOCANTINS</t>
  </si>
  <si>
    <t>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t>
  </si>
  <si>
    <t>Transferência da PCH Bagagem</t>
  </si>
  <si>
    <t>ETO-COEP 00132/2026</t>
  </si>
  <si>
    <t>LD01025012</t>
  </si>
  <si>
    <t>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t>
  </si>
  <si>
    <t>Atendimento de Clientes rurais (483 UCs)</t>
  </si>
  <si>
    <t>ETO-COEP 00143/2025</t>
  </si>
  <si>
    <t>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t>
  </si>
  <si>
    <t>Alimentação de Monte do Carmo por Porto Nacional</t>
  </si>
  <si>
    <t>ETO-COEP 00128/2026</t>
  </si>
  <si>
    <t>SAO SALVADOR DO TOCANTINS</t>
  </si>
  <si>
    <t>LD02066094</t>
  </si>
  <si>
    <t>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</si>
  <si>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Fonte principal do Ramal do Retiro (246UCs), RL transferência by-passado</t>
  </si>
  <si>
    <t>ETO-COEP 00061/2026</t>
  </si>
  <si>
    <t>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t>
  </si>
  <si>
    <t>Localizado na fonte principal de atendimento de Divinópolis e Abreulândia</t>
  </si>
  <si>
    <t>ETO-COEP 00114/2026</t>
  </si>
  <si>
    <t>DUERE</t>
  </si>
  <si>
    <t>GURUPI</t>
  </si>
  <si>
    <t>AL01031076</t>
  </si>
  <si>
    <t>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t>
  </si>
  <si>
    <t>Atendimento do Ramal do Bacuri (168 UCs)</t>
  </si>
  <si>
    <t>ETO-RD-DP 00457/2026</t>
  </si>
  <si>
    <t>LD05002091</t>
  </si>
  <si>
    <t>20/07 PARECER COEP: EQUIPAMENTO ENTREGUE , FAVOR EDITAR A SS COM A DATA PREVISTA DE SUBSTITUIÇÃO NO PARECER DOS COCM´S Realizar substituição da FASE B.Célula da fase B estava com a tampa do contador de tape aberta, pegou chuva e molhou os contatos danificando a peça toda.</t>
  </si>
  <si>
    <t>Atendimento da LD Vale Rio Doce (Nova Aura Mineradora)</t>
  </si>
  <si>
    <t>ETO-COEP 00095/2026</t>
  </si>
  <si>
    <t>24/07 PARECER COEP:EQUIPAMENTO EM LOGISTICA DE ENTREGA Favor levar outro regulador de tensão, pois o mesmo foi furtado em campo.</t>
  </si>
  <si>
    <t>Atendimento de clientes rurais na LD Peixe Angical - Peixe</t>
  </si>
  <si>
    <t>ETO-RD-PS 00327/2026</t>
  </si>
  <si>
    <t>LD01047073</t>
  </si>
  <si>
    <t>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t>
  </si>
  <si>
    <t>Atendimento de Clientes rurais (48 UCs)</t>
  </si>
  <si>
    <t>ETO-COEP 00051/2026</t>
  </si>
  <si>
    <t>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t>
  </si>
  <si>
    <t>Atenidmento do PA Principado (200 UCs)</t>
  </si>
  <si>
    <t>ETO-COEP 00144/2026</t>
  </si>
  <si>
    <t>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t>
  </si>
  <si>
    <t>Transferência do Irmã Adelaide (470 UCs)</t>
  </si>
  <si>
    <t>ETO-RD-DP 00403/2026</t>
  </si>
  <si>
    <t>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t>
  </si>
  <si>
    <t>Equipamento novo furtado antes de ser colocado em operação</t>
  </si>
  <si>
    <t>ETO-TELE 01032/2026</t>
  </si>
  <si>
    <t>SAO BENTO DO TOCANTINS</t>
  </si>
  <si>
    <t>LD03005098</t>
  </si>
  <si>
    <t>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</si>
  <si>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Equipamento novo furtado antes de ser colocado em operação, não inserido no SCADA</t>
  </si>
  <si>
    <t>ETO-TELE 00982/2026</t>
  </si>
  <si>
    <t>LD01035052</t>
  </si>
  <si>
    <t>SEGUE SOLICITAÇÃO DE SERVIÇO PARA REALIZAR VERIFICAÇÃO DO RL 7955832052 EQUIPAMENTO DE INTEELIGAÇÃO O MESMO ESTA SEM COMUNICAÇÃO ...FOI REALIZADO PRIMEIRO ATAQUE COM EQUIPE SINERGIA DE FORMOSO EO EQUIPAMENTO NÃO VOLTOU</t>
  </si>
  <si>
    <t>Falta definir</t>
  </si>
  <si>
    <t>ETO-COEP 00138/2026</t>
  </si>
  <si>
    <t>LD03414149</t>
  </si>
  <si>
    <t>PARECER DMSL 07/07/2026: equipamento tem que ser subistuido pois não faz comando, parte ativa com defeito FEITO O PRIMEIRO ATAQUE NO RELIGADOR 7930359149 E MESMO NÃO ACEITA COMANDO NEM LOCAL E NEM REMOTO SEGUNDO EQUIPE 149OP02 E PLACA DO RL ESTA CARBONIZADA COM SINAL DE CURTO.</t>
  </si>
  <si>
    <t>ETO-TELE 00932/2026</t>
  </si>
  <si>
    <t>AL01041003</t>
  </si>
  <si>
    <t>Segue SS de religador 7902098003 sem comunicação. Foi realizado o primeiro ataque porem o mesmo não retornou a comunicação.</t>
  </si>
  <si>
    <t>ETO-COEP 00147/2026</t>
  </si>
  <si>
    <t>ITAPIRATINS</t>
  </si>
  <si>
    <t>LD03038009</t>
  </si>
  <si>
    <t>20/07 PARECER COEP: EQUIPAMENTO SELECIONADO PARA COMPRASegue nota para substituir relé religador avariado marca noja , equipamento N: 7953211079 - Itapiratins .Obs: informação repassado pelo técnico DMSL Bruno .</t>
  </si>
  <si>
    <t>ETO-TELE 00929/2026</t>
  </si>
  <si>
    <t>MAURILANDIA DO TOCANTINS</t>
  </si>
  <si>
    <t>AL02043081</t>
  </si>
  <si>
    <t>FEITO PRIMEIRO ATAQUE COM A EQUIPE LOCAL E NÃO VOLTOU A COMUNICAR. PROVIDENCIAR MANUTENÇÃO PARA O MESMO.</t>
  </si>
  <si>
    <t>ETO-TELE 00938/2026</t>
  </si>
  <si>
    <t>Segue nota para verificar falha intermitência na comunicação RL 7908300096 RDU- Pindorama .</t>
  </si>
  <si>
    <t>ETO-TELE 00892/2026</t>
  </si>
  <si>
    <t>Segue RL 7953570026 O MESMO FOI FEITO PRIMEIRO ATAQUE, painel do religador acendeu porem não voltou a comunicação junto ao SCADA, equipe fez teste em comando local, tudo normal porem sem retorno de comunicação, rl na SE DE PONTE ALTA</t>
  </si>
  <si>
    <t>DG-RD-PO 00444/2026</t>
  </si>
  <si>
    <t>DG-RD-PO</t>
  </si>
  <si>
    <t>Segue nota para recuperar malha de aterramento no RL 7911120026 RDU- Ponte Alta .OBS: Provavelmente foi furtado cabos de aterramento   .</t>
  </si>
  <si>
    <t>ETO-TELE 01019/2026</t>
  </si>
  <si>
    <t>Segue nota para verificar falha de comunicação no religador 7908716091 - Rural -  Almas  .Equipamento perdeu a comunicação quando faltou CA , porém mesmo ao retorna o CA não retornou à comunicação !</t>
  </si>
  <si>
    <t>ETO-TELE 01005/2026</t>
  </si>
  <si>
    <t>Segue nota para verificar falha e constantes travamento no regulador de tensão 5848305116 - chapada da Natividade .Foi identificado que regulador está com divergência em TAP"S analógico e digital .Foi executado comandos no relé para comutar TAP na fase AB foi executado no relé , porém não alterou analógico e nem fez barulho algum , a princípio a fase C está normal .</t>
  </si>
  <si>
    <t>ETO-TELE 01007/2026</t>
  </si>
  <si>
    <t>ARRAIAS</t>
  </si>
  <si>
    <t>LD01110005</t>
  </si>
  <si>
    <t>Favor verifcar Religador 7961368005 , equipamento sem comunicação , feito primeiro ataque com equipe operacional , porem não ouve retorno .</t>
  </si>
  <si>
    <t>ETO-TELE 01026/2026</t>
  </si>
  <si>
    <t>LD05028074</t>
  </si>
  <si>
    <t>Segue nota para verificar falha de comunicação no religador 7929663074  rural - Dianópolis  .Equipamento perde a comunicação quando falta CA !</t>
  </si>
  <si>
    <t>ETO-TELE 01029/2026</t>
  </si>
  <si>
    <t>CAMPOS LINDOS</t>
  </si>
  <si>
    <t>PS01112193</t>
  </si>
  <si>
    <t>Religador sem comunicação, apos primeiro ataque não retornou a comunicação.</t>
  </si>
  <si>
    <t>ETO-TELE 00999/2026</t>
  </si>
  <si>
    <t>LD02040003</t>
  </si>
  <si>
    <t>RELIGADOR DE POSTE 7955792076 SEM COMUNIÇÃO COM COI ,FEITO PRIMEIRO ATAQUE COM EQUIPE OPERACIONAL O MESMO NÃO RETORNOU A COMUNICAÇÃO ENVIAR EQUIPE ESPECIAL VERIFICAR EM CAMPO</t>
  </si>
  <si>
    <t>ETO-TELE 00985/2026</t>
  </si>
  <si>
    <t>COUTO MAGALHAES</t>
  </si>
  <si>
    <t>AL01024113</t>
  </si>
  <si>
    <t>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t>
  </si>
  <si>
    <t>ETO-TELE 00998/2026</t>
  </si>
  <si>
    <t>AL10059122</t>
  </si>
  <si>
    <t>rl 7908683122  retirado de operaçao devido falha na base do rele  equipamento.</t>
  </si>
  <si>
    <t>ETO-TELE 01027/2026</t>
  </si>
  <si>
    <t>LD03010021</t>
  </si>
  <si>
    <t>Segue SS para verificar falha de comunicação no religador 7923110021. Equipe foi no local realizar primeiro ataque e informou que o radio de comunicação encontra-se com defeito</t>
  </si>
  <si>
    <t>ETO-TELE 01018/2026</t>
  </si>
  <si>
    <t>Segue nota para falha de comunicação no religador 7900001096 - Rural - Pindorama .Equipamento perdeu a comunicação quando faltou CA , porém mesmo ao retorna o CA não retornou a comunicação !Feito primeiro ataque sem sucesso !</t>
  </si>
  <si>
    <t>ETO-TELE 01020/2026</t>
  </si>
  <si>
    <t>Segue nota para verificar falha de comunicação no religador 7900451096 - Rural -  Pindorama  .Equipamento perde a comunicação quando falta CA !</t>
  </si>
  <si>
    <t>ETO-TELE 01021/2026</t>
  </si>
  <si>
    <t>Boa noite .Segue nota para verificar falha de comunicação no religador 7900259096 -  Pindorama .Equipamento perde a comunicação quando falta CA !</t>
  </si>
  <si>
    <t>ETO-TELE 01008/2026</t>
  </si>
  <si>
    <t>por favor deslocar equipe da manutenção no RL 7962734119 por que foi feito o primeiro ataque no mesmo mais não voltou comunção no sistema escada</t>
  </si>
  <si>
    <t>Ativo</t>
  </si>
  <si>
    <t>Tipo</t>
  </si>
  <si>
    <t>Localidade</t>
  </si>
  <si>
    <t>Polo</t>
  </si>
  <si>
    <t>Regional</t>
  </si>
  <si>
    <t>SS aberta</t>
  </si>
  <si>
    <t>Parecer COEP</t>
  </si>
  <si>
    <t>Observação</t>
  </si>
  <si>
    <t>Check de concluídas</t>
  </si>
  <si>
    <t>Defeito identificado</t>
  </si>
  <si>
    <t>Descrição SS</t>
  </si>
  <si>
    <t>CONCLUÍDA</t>
  </si>
  <si>
    <t>Ok</t>
  </si>
  <si>
    <t/>
  </si>
  <si>
    <t>Aumento de reclamações no atendimento de Goiatins e GAs relevantes na região</t>
  </si>
  <si>
    <t>Substituido 24/07/2026</t>
  </si>
  <si>
    <t>Laudo da empreteira</t>
  </si>
  <si>
    <t>Em andamento</t>
  </si>
  <si>
    <t>Célula</t>
  </si>
  <si>
    <t>Equipamento entregue ao COCM</t>
  </si>
  <si>
    <t>Previsão de Substituição 28/07</t>
  </si>
  <si>
    <t xml:space="preserve">Controle </t>
  </si>
  <si>
    <t>ARAGUACU</t>
  </si>
  <si>
    <t>ALVORADA</t>
  </si>
  <si>
    <t>Aumento de reclamações no atendimento de Araguaçu no período seco</t>
  </si>
  <si>
    <t>Em processo de aquisição</t>
  </si>
  <si>
    <t>Estava aguardando retorno DMSL</t>
  </si>
  <si>
    <t>Completo</t>
  </si>
  <si>
    <t>Tanque e rádio</t>
  </si>
  <si>
    <t>Concluído DCMD</t>
  </si>
  <si>
    <t>Previsão de substituição 16/07</t>
  </si>
  <si>
    <t>Tanque e antena</t>
  </si>
  <si>
    <t>ARAGUACEMA</t>
  </si>
  <si>
    <t>Transferência da RDU de Araguacema (1506 UCs)</t>
  </si>
  <si>
    <t>Controle</t>
  </si>
  <si>
    <t>Previsão de instalação 30/07/2026</t>
  </si>
  <si>
    <t>Células + controle</t>
  </si>
  <si>
    <t>Transferência dos bairros JD Santa Helena, Jd Filadelfiae Setor Caraja em Araguaína (2053 UCs), AL 254R de AR I e AL 214R de AR III</t>
  </si>
  <si>
    <t>Mandar reformar</t>
  </si>
  <si>
    <t>Tanque e cabo umbilical</t>
  </si>
  <si>
    <t>Previsão de entrega 15/07</t>
  </si>
  <si>
    <t>Em processo logístico</t>
  </si>
  <si>
    <t>Previsão de entrega 16/07</t>
  </si>
  <si>
    <t>Tanque + controle</t>
  </si>
  <si>
    <t>Previsão de substituição 20/07</t>
  </si>
  <si>
    <t>Em fase de ajustes</t>
  </si>
  <si>
    <t>Destinada parte ativa do RL 7900453110</t>
  </si>
  <si>
    <t xml:space="preserve">Tanque </t>
  </si>
  <si>
    <t>ETO-PROT  000148/2026</t>
  </si>
  <si>
    <t>Previsão de substituição 10/07</t>
  </si>
  <si>
    <t>RIO DOS BOIS</t>
  </si>
  <si>
    <t>Fonte principal de Rio dos Bois, RL de transferência operando</t>
  </si>
  <si>
    <t xml:space="preserve">Atendimento da RDU de Bom Jesus e parcial da RDU de Pedro Afonso </t>
  </si>
  <si>
    <t>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t>
  </si>
  <si>
    <t>Tanque</t>
  </si>
  <si>
    <t>Aumento de reclamações no atendimento de São Felix e Mateiros no período seco</t>
  </si>
  <si>
    <t>Aguardando comissionamento</t>
  </si>
  <si>
    <t>Previsão de chegada 20/10/2026</t>
  </si>
  <si>
    <t>Aguardando atualização de informação DMSL</t>
  </si>
  <si>
    <t>Aguardando confirmação em campo sobre o equipamento</t>
  </si>
  <si>
    <t>Foi realizado os serviços apontados pelo DMSL?</t>
  </si>
  <si>
    <t>Controle e aterramento</t>
  </si>
  <si>
    <t>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aterrament2o da bucha FC.* Tranques  muito alto e próximo da rede  não permitindo o comissionamento com segurança.* Controle alto  demais tem que baixar Equipamento ficou em operação?: nãoPendência: sim, precisa comissionar completoOBS</t>
  </si>
  <si>
    <t>Tanque e PR do trafo e chave</t>
  </si>
  <si>
    <t>APARECIDA DO RIO NEGRO</t>
  </si>
  <si>
    <t>Atendimento da RDU de Aparecida do Rio Negro</t>
  </si>
  <si>
    <t>ARAGOMINAS</t>
  </si>
  <si>
    <t>Proteção da baixa do TF de força da SE Aragominas</t>
  </si>
  <si>
    <t>Fonte principal de Marianópolis, RL transferência operando</t>
  </si>
  <si>
    <t>Primeiro ataque DMSL</t>
  </si>
  <si>
    <t>Aguardando previsão de substituição</t>
  </si>
  <si>
    <t>Melhoria de aterramento</t>
  </si>
  <si>
    <t>Problema na autorização de passagem</t>
  </si>
  <si>
    <t xml:space="preserve">Cliente não autorizou entrar na propriedade </t>
  </si>
  <si>
    <t>WANDERLANDIA</t>
  </si>
  <si>
    <t>Aumento de reclamações no atendimento de Wanderlândia no período seco</t>
  </si>
  <si>
    <t>NATIVIDADE</t>
  </si>
  <si>
    <t>Equipamento para apoio na transferência de cargas na região de Natividade</t>
  </si>
  <si>
    <t>Aguardando obra COCM</t>
  </si>
  <si>
    <t>Previsão de substituição 30/07 (Falta confirmar conm Dener e a empreteira)</t>
  </si>
  <si>
    <t>TAIPAS DO TOCANTINS</t>
  </si>
  <si>
    <t>Atendimento de Taipas</t>
  </si>
  <si>
    <t>SEGUE PARA O DMSL AVALIAR ANTES DE SEGUIRMOS COM O SERVIÇOSEGUE PARA REALIZAR TROCA---------------------------------------------------------Boa noite,Segue SS para tratativas regulador de tensão 5840227063 fase C em curto</t>
  </si>
  <si>
    <t>Previsão de entrega 16/07, 1 tanque NOJA sobrando</t>
  </si>
  <si>
    <t>Tanque + controle e chave</t>
  </si>
  <si>
    <t>Transferência de Aragominas, 3 fontes operando</t>
  </si>
  <si>
    <t>Atendimento do PA Mumbuca (106 UCs), no desarme a jusante penaliza parte da RDU de Tocantinópolis (1384 UCs)</t>
  </si>
  <si>
    <t>Transferência do Grupo A - Xavante (TF 1087,5 kVA) e outros GA menores</t>
  </si>
  <si>
    <t>Em processo de Aquisição</t>
  </si>
  <si>
    <t>Transferência do Grupo A - Engegold (TF 7500 kVA)</t>
  </si>
  <si>
    <t>Vai ser feito um poço para realizar a melhoria de aterramento 28/07/2026</t>
  </si>
  <si>
    <t>Atendimento de parte da RDU de Guaraí e ramal da PRF/Repetidora</t>
  </si>
  <si>
    <t>Transferência do Ramal do Retiro (246UCs), fonte principal by-passado</t>
  </si>
  <si>
    <t>Aguardando desativação do Regulador da Obra de Construção</t>
  </si>
  <si>
    <t>Previsão até dia 20/08</t>
  </si>
  <si>
    <t>Células + melhoria de aterramento</t>
  </si>
  <si>
    <t>Em operação</t>
  </si>
  <si>
    <t>30/06 PARECER COEP: AGUARDANDO RETORNO DO DMSL.REALIZAR SUBSTITUIÇÃO DO TANQUE, O MESMO ESTÁ COM DEFEITO.</t>
  </si>
  <si>
    <t>Atendimento do Grupo A - Matosul (TF 1500 kVA)</t>
  </si>
  <si>
    <t>ETO-RD-AR 1070/2026</t>
  </si>
  <si>
    <t>Confirmar com o DMSL</t>
  </si>
  <si>
    <t>Transferência de Palmeiras, 3 RLs sendo 2 operando</t>
  </si>
  <si>
    <t>MONTE SANTO DO TOCANTINS</t>
  </si>
  <si>
    <t>444R de Paraíso I, atendimento de Monte Santo, devido defeito a RDU está manobrada para o 454R</t>
  </si>
  <si>
    <t>NOVO JARDIM</t>
  </si>
  <si>
    <t>Desmobilizado</t>
  </si>
  <si>
    <t>Equipamento obsoleto com a entrada da SE Serras Gerais</t>
  </si>
  <si>
    <t>NOVA OLINDA</t>
  </si>
  <si>
    <t>Previsão de entrega 20/07</t>
  </si>
  <si>
    <t>Atendimento dos ramais PA Remansão e Água Branca</t>
  </si>
  <si>
    <t>Equipamento Em operação Confimardo com o Operador com Joelson</t>
  </si>
  <si>
    <t>Aguardando confirmação sobre execução do COCM</t>
  </si>
  <si>
    <t>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t>
  </si>
  <si>
    <t>Atendimento do Ramal do Gato (288 UCs) e UFV Videira, no desarme a jusante penaliza a cidade de Pindorama</t>
  </si>
  <si>
    <t>DOIS IRMAOS DO TOCANTINS</t>
  </si>
  <si>
    <t>Atendimento do Ramal do Boleu (13 UCs), no desarme a jusante penaliza parte 303 UCs rurais</t>
  </si>
  <si>
    <t>Fonte alternativa de atendimento do Ramal Bacuri (217 UCs)</t>
  </si>
  <si>
    <t>Atendimento do PA Novo Plano (102 UCs)</t>
  </si>
  <si>
    <t>Tanque e controle</t>
  </si>
  <si>
    <t>Atendimento do PA Xobo (194 UCs)</t>
  </si>
  <si>
    <t>LAGOA DO TOCANTINS</t>
  </si>
  <si>
    <t>ETO-TELE 973/2026</t>
  </si>
  <si>
    <t>Completo sem o radio</t>
  </si>
  <si>
    <t>Atendimento do Ramal do Rio Preto (197 UCs)</t>
  </si>
  <si>
    <t>(REPASSAR PARA ANALISE DMSL)</t>
  </si>
  <si>
    <t>PARECER COEP: AGUARDANDO COCM´s GERAREM A OBRA COM ABERTURA CONTABIL DENER SOARESRealizar substituição da FASE B.Célula da fase B estava com a tampa do contador de tape aberta, pegou chuva e molhou os contatos danificando a peça toda.</t>
  </si>
  <si>
    <t>Levar para analise de reguladores furtados no Sul</t>
  </si>
  <si>
    <t>Display</t>
  </si>
  <si>
    <t>Atendimento do PA Piedade (125 UCs)</t>
  </si>
  <si>
    <t>Problema no envio do Material</t>
  </si>
  <si>
    <t>bateria, rádio,Tanque</t>
  </si>
  <si>
    <t>Furtado novamente</t>
  </si>
  <si>
    <t>Por estrategia não será enviado neste momento equipamento, iremos utilizar em outros reguladores, alinhado com Allan casos de 400 KVA</t>
  </si>
  <si>
    <t>3 celula</t>
  </si>
  <si>
    <t>PIRAQUE</t>
  </si>
  <si>
    <t>REPASSAR O DMSL (EQUIPAMENTO OPERANDO NO SCADA)</t>
  </si>
  <si>
    <t>Equipamento não identificado no SCADA e Mapa TS</t>
  </si>
  <si>
    <t>BRASILANDIA DO TOCANTINS</t>
  </si>
  <si>
    <t>TAGUATINGA</t>
  </si>
  <si>
    <t>Rótulos de Linha</t>
  </si>
  <si>
    <t>Contagem de Ativo</t>
  </si>
  <si>
    <t>Previsão de substituição 07/08</t>
  </si>
  <si>
    <t>Previsão de substituição 27/08</t>
  </si>
  <si>
    <t>Previsão de substituição 28/07</t>
  </si>
  <si>
    <t>Substituido 24/07, pendente laudo</t>
  </si>
  <si>
    <t>Concluído</t>
  </si>
  <si>
    <t>Previsão de entrega 10/08</t>
  </si>
  <si>
    <t>Substituido 27/07, pendente laudo</t>
  </si>
  <si>
    <t>Previsão de entrega 10/08, 1 tanque NOJA sobrando</t>
  </si>
  <si>
    <t>Previsão de entrega 16/08</t>
  </si>
  <si>
    <t>Aguardando parecer DMSL</t>
  </si>
  <si>
    <t>DTA_CONCLUSAO</t>
  </si>
  <si>
    <t>ETO-TELE 00829/2026</t>
  </si>
  <si>
    <t>Segue nota para verificar falha de comunicação no regulador 5833578028 - Rural - Natividade.equipe operacional foi no local, feito reset , porém não conseguiram normalizar sua comunicação .</t>
  </si>
  <si>
    <t>ETO-TELE 00814/2026</t>
  </si>
  <si>
    <t>favor verificar religador 7913657147 foi feito primeiro ataque ja duas vezes e encontra disjuntor desligado liga em seguida desarma.</t>
  </si>
  <si>
    <t>ETO-TELE 00511/2026</t>
  </si>
  <si>
    <t>Foi feito primeiro ataque no RL 7944353028 e a equipe repassou que o dusjuntor estava desarmado. Foi feito rearme do disjuntor e so voltou a comunicção apos uns 50 minutos , o mesmo ficou bay passado em campo .</t>
  </si>
  <si>
    <t>ETO-TELE 00785/2026</t>
  </si>
  <si>
    <t>AL01028074</t>
  </si>
  <si>
    <t>Religador  7931863074  sem comunicação , feito primeiro ataque o mesmo não  retornou a comunicar.  favor disponibilizar equipe para devidas tratativas</t>
  </si>
  <si>
    <t>ETO-TELE 00768/2026</t>
  </si>
  <si>
    <t>CONCEICAO DO TOCANTINS</t>
  </si>
  <si>
    <t>senhores religador 7964803072 sem comunicaçao feito primeiro ataque sem sucesso , mesmo atende rdu de conceiçao</t>
  </si>
  <si>
    <t>ETO-TELE 00877/2026</t>
  </si>
  <si>
    <t>segue rl 7903572004 sem comunicação equipe fez primeiro ataque e identificou cabos PP DE ALIMENTAÇÃO  C/A oxidado e rompido, display apagado, enviar equipe para fazer correções, RL N/A urgencia devido ser de transferencia de cargas do dj 244R ARA 1 e 224R ARA 3</t>
  </si>
  <si>
    <t>ETO-COEP 00181/2025</t>
  </si>
  <si>
    <t>PARECER DMSL: Após testes realizados, foi constado que o RLG 7943790134 encontra-se com a parte ativa danificada. Favor, realizar substituição do mesmo.Troca do sistema de comunicação do equipamento</t>
  </si>
  <si>
    <t>ETO-TELE 00856/2026</t>
  </si>
  <si>
    <t>AL01008032</t>
  </si>
  <si>
    <t>Verificar situação de equipamento by passado, falta comissionamento ???</t>
  </si>
  <si>
    <t>ETO-TELE 00818/2026</t>
  </si>
  <si>
    <t>REGULADOR COM RELÉ APAGADO - REALIZADO PRIMEIRO ATAQUE COORDENADO COM DMSL, PORÉM NÃO FOI POSSÍVEL RESOLVER PROBLEMA.</t>
  </si>
  <si>
    <t>ETO-TELE 00835/2026</t>
  </si>
  <si>
    <t>PEQUIZEIRO</t>
  </si>
  <si>
    <t>LD03020023</t>
  </si>
  <si>
    <t>REALIZADO PRIMEIRO ATAQUE O MESMO RETORNOU A FICAR SEM COMUNICAÇÃO, EQUIPE RELATA QUE NÃO ESTA CHEGANDO TENSÃO NO PAINEL, PROVAVEL FALTA DE NEUTRO DENTRO DO COMANDO.</t>
  </si>
  <si>
    <t>ETO-TELE 00879/2026</t>
  </si>
  <si>
    <t>AL02065015</t>
  </si>
  <si>
    <t>PARECER DCMD:Servio realizado , favor comissionar Obra: 0712600316PARECER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danos.rl 7957620015 com anomalia na antena de comunicação do mesmo, e painel não acende equipe fez primeira ataque e o mesmo não retornou comunicação, rl ficou by passado NECESSITA URGENCIA O MESMO PERTENCE CIRCUITO DO ALIMENTADOR 2 DE PEDRO AFONSO ATEDE RDU DE BOM JESUS</t>
  </si>
  <si>
    <t>ETO-TELE 00609/2026</t>
  </si>
  <si>
    <t>religador 7964802072 sem comunicaçao foi feito primeiro ataque sem sucesso . rural de conceiçao</t>
  </si>
  <si>
    <t>ETO-RD-DP 00359/2026</t>
  </si>
  <si>
    <t>Foi  Constatado RL 7955635116 Em curto Quando fechado com cargas ou faz alguma manobra .   equipe informou que o problema a na chave de entrada quando faz manobra o mesmo da arco , favor verificar as conexoes de entrada e saida do do mesmo .PARECER DMSL: REALIZAR MANUTENÇÃO NOS PARA-RAIO RETIRANDO DE PRÓXIMO DA MÃO FRANCESA, POIS ESTÁ CAUSANDO CURTO DEVIDO A PASSARASOS. O EQUIPAMENTO FICOU BYPASSADO, APÓS MANUTENÇÃO, FAVOR COLOCAR O EQUIPAMENTO EM OPERAÇÃO.</t>
  </si>
  <si>
    <t>ETO-TELE 00771/2026</t>
  </si>
  <si>
    <t>NOVO ACORDO</t>
  </si>
  <si>
    <t>LD01059122</t>
  </si>
  <si>
    <t>Por favor Deslocar equipe DMSL para substituir disjuntor danificado do religador 7907536092 que esta sem condiçoes de receber comandos remoto</t>
  </si>
  <si>
    <t>ETO-TELE 00973/2026</t>
  </si>
  <si>
    <t>PARECER COEP: FAVOR AVALIAR SE REALMENTE SERÁ A SUBSTITUIÇÃO DO EQUIPAMENTO COMPLETO JÁ QUE O PROBLEMA OCORRE NA FASE B E O EQUIPAMENTO PARECE ESTAR EM OPERAÇÃO E COMUNICANDO COM O SCADAVerificar RL 7910027196- sem comunicaçãoEquipe foi no local e realizou primeiro ataque sem suscesso   PARECER DMSL EQUIPOAMENTO FICOU EM OPERACAO, RESTABELCIDO PELA KAROL  ação remota com a velp Porém ele também DEVE SER REALIZADO substituição por conta da fase B 7910027196 ta com a leitura incorreta na tensão da fase B.( Subsituição do Equipamento Completo exceto o Radio)Time do COEP, Assim que Tiver Compra do Equipamento, Favor Tranferir a SS Posto ETO RD PA, para que Possamos seguir com a Substituição!</t>
  </si>
  <si>
    <t>ETO-TELE 00897/2026</t>
  </si>
  <si>
    <t>AL09059122</t>
  </si>
  <si>
    <t>Segue nota para envia equipe colocar RL-7931604122 em operação e verificar constante falha de comunicação e automação no equipamento, Obs. RL foi isolador após abalroamento na sua estrutura pela ocorrência Int-20264460073558 dia 30/05/2026</t>
  </si>
  <si>
    <t>ETO-TELE 00836/2026</t>
  </si>
  <si>
    <t>PONTE ALTA BOM JESUS</t>
  </si>
  <si>
    <t>AL01070027</t>
  </si>
  <si>
    <t>favor veriifcar religador 7929763027 foi feito primeiro ataque voltaou a comunicar logo depois perdeu a comunicação novamente.atende rdu de ponte alta do abom jesus.</t>
  </si>
  <si>
    <t>ETO-TELE 00895/2026</t>
  </si>
  <si>
    <t>LD06002091</t>
  </si>
  <si>
    <t>FOI CONSTATADO RL 7908203091, SEM COMUNICAÇÃO EM CURTO AO LIGAR O DISJUNTOR , FAVOR DISPONIBILIZAR EQUIPE PARA DEVIDAS TRATATIVAS</t>
  </si>
  <si>
    <t>ETO-TELE 00872/2026</t>
  </si>
  <si>
    <t>LD04010004</t>
  </si>
  <si>
    <t>PARECER DCMD: EQUIPAMENTO SUBSTITUIDO DIA 27/05/2026 LAUDO EM ANEXOPARECER DMSL: RLG 7900018004 encontra-se com defeito no controle. Por se tratar de modelo obsoleto e não termos peça de reposição para religador cooper, se faz necessário a substituição completa por um modelo NOJA RC10.Religador 7900018004 sem comunicação, feito o primeiro ataque não retornou as comunicação.</t>
  </si>
  <si>
    <t>ETO-TELE 00876/2026</t>
  </si>
  <si>
    <t>AL01078038</t>
  </si>
  <si>
    <t>segue religador 7929658038 sem comunicçao feito primeiro ataque , sem sucesso obs. mesmo estar sinalizando falaha na bateria com led vermelho, na rdu de taguatinga</t>
  </si>
  <si>
    <t>ETO-TELE 00834/2026</t>
  </si>
  <si>
    <t>COLMEIA</t>
  </si>
  <si>
    <t>LD04038009</t>
  </si>
  <si>
    <t>feito o primeiro ataque e dijuntor esta em curto enviar equipe para recuperar religador que esta sem comunicao 033po01</t>
  </si>
  <si>
    <t>ETO-TELE 00875/2026</t>
  </si>
  <si>
    <t>segue nota do RL 7926785070 o mesmo esta sem comunicaçao, RL esta com uma mancha escura no visor. equipe 070op01 fez o primeiro ataque porem a comunicaçao nao voltou</t>
  </si>
  <si>
    <t>ETO-TELE 00930/2026</t>
  </si>
  <si>
    <t>LD03014045</t>
  </si>
  <si>
    <t>FEITO O PRIMEIRO ATAQUE NO RL 7900510045 E O MESMO NÃO RETORNOU A COMUNICAR. PROVIDENCIAR A MANUTENÇÃO DO MESMO</t>
  </si>
  <si>
    <t>ETO-TELE 00947/2026</t>
  </si>
  <si>
    <t>favor enviar equipe no Regulador 5800440256, o mesmo esta travado e com a comunicaçao intermitente</t>
  </si>
  <si>
    <t>ETO-TELE 00936/2026</t>
  </si>
  <si>
    <t>AL01054060</t>
  </si>
  <si>
    <t>PARECER COEP:TRAFO FURTADO JÁ INSTALADO, FAVOR REALIZAR COMISSIONAMENTO-------------------------------------------------------PARECER DMSL:Realizar a substituição do transformador. (Furtado)Equipe: Adeilton e EdicleberSID 1874/202617/04/2026______________________________________PARECER DMSL: Chamado de desenvolvimento 30484170 criado. Favor, programar comissionamento a partir do dia 20/02/26. POLOCOLPARECER DA PROTEÇÃO:Planilha com as informações anexada. É sugerido que sejam conferidas as medições da malha de aterramento do equipamento antes da sua inserção no sistema. Isso é fundamental para garantir a segurança e a eficiência do equipamento.Os ajustes estão disponíveis no APP da proteção.Estagiário Rafael Pereira Marques._____________________RELIGADOR N° 7962635060 INSTALADO NA OBRA 0602401143 GENTILEZA, REALIZAR O COMISSIONAMENTO. LAUDO EM ANEXO. COORD EO: 789405, 9172143</t>
  </si>
  <si>
    <t>ETO-TELE 00963/2026</t>
  </si>
  <si>
    <t>AL05010004</t>
  </si>
  <si>
    <t>PARECER COEP: Equipamento está em operação no Scada, preciso da especificação do modelo do equipamento para realizar a compraPARECER DMSL:Realizar substituição do equipamento todo e parte ativa.Equipe: Adeilton e EdicleberData: 12/03-----------------------------------------------------------------------------Religador sem comunicação, apos  primeiro ataque o mesmo não retornou as comunicação.</t>
  </si>
  <si>
    <t>ETO-TELE 00941/2026</t>
  </si>
  <si>
    <t>FEITO O PRIMEIRO ATAQUE NO RL 7954668084 E O DISPLAY ESTÁ QUEIMADO, NÃO LIGA.OS (99) 106230846PRECISA SER FEITO A ANÀLISE DO DMSL, PARA A COMPRA DO EQUIPAMENTO</t>
  </si>
  <si>
    <t>ETO-TELE 00960/2026</t>
  </si>
  <si>
    <t>LD02010021</t>
  </si>
  <si>
    <t>PARECER COEP: Equipamento em operação no SCADA, favor reavaliar necessidade de substituição ,assim como especificar modelo das peças a serem substituidas e os defeitos.REALIZAR SUBSTITUIÇÃO DO TANQUE.</t>
  </si>
  <si>
    <t>ETO-TELE 00962/2026</t>
  </si>
  <si>
    <t>PARECER COEP: Equipamento em operação no SCADA, se for necessário , favor especificar peça e modelo para substituiçãoTanque do RLG 7936038076 queimado, favor substituir o mesmo.NS do tanque: 0320118112616</t>
  </si>
  <si>
    <t>ETO-TELE 00959/2026</t>
  </si>
  <si>
    <t>PARECER COEP: Equipamento em operação no SCADA, favor revisitar ou explicar defeito e modelo do equipamento.Substituição de tanque e controle, os mesmos estão com defeitos.</t>
  </si>
  <si>
    <t>ETO-TELE 00961/2026</t>
  </si>
  <si>
    <t>PARECER COEP: Equipamento em operação no Scada, além de não especificar o defeito, ainda não especificou marca e modelo para substituiçãoSolicitação de serviço para substituição de parte ativa de RL [7955520116] danificada conforme imagens anexadas.</t>
  </si>
  <si>
    <t>ETO-TELE 00861/2026</t>
  </si>
  <si>
    <t>SEGUE SS DE RELIGADOR COM CURTO INTERNO, DJUNTOR DE BT NÃO ACEITA.</t>
  </si>
  <si>
    <t>ETO-PROT 00134/2026</t>
  </si>
  <si>
    <t>LD01414027</t>
  </si>
  <si>
    <t>Segue nota para verificar falha em regulador de tensão N: 5820790038- Rural - Taguatinga .A mineradora Nativo está constantemente reclamando de tensão baixa, porém equipamento está regulando inserindo taps negativosE tensão ficando entorno de 19,7 kv .Favor analisar ajustes , ou possíveis falhas como aterramento . Parecer da proteção:Alterado a tensão de referência de 20.120 para 21.000.Eng° Irlley Castelo Branco.</t>
  </si>
  <si>
    <t>ETO-TELE 00978/2026</t>
  </si>
  <si>
    <t>LD02020023</t>
  </si>
  <si>
    <t>FOI REALIZADO O PRIMEIRO ATAQUE E O MESMO NÃO RETORNOU A COMUNICAÇÃO</t>
  </si>
  <si>
    <t>ETO-PROT 00147/2026</t>
  </si>
  <si>
    <t>Segue nota para verificar ajustes no regulador de tensão 5800657026 S/E Ponte Alta , motivo constantes reclamações de tensão na LD , foi identificado que no período das 17:30 às 22:00 a tensão reduz muito , os reguladores de tensão na LD não conseguem controlar o nivel de tensão ficando a tensão entorno de 18,5 KV ,  principalmente na fase A no regulador 5864441026 . No regulador 5800440256 a fase que fica mais baixa e a fase C .Obs: Nesse período crítico o nível de tensão no Dj 414 da S/E Ponte alta fica entorno de 33 KV , porém o regulador de tensão da S/E ponte Alta N: 5800657026 foi identificado que estava em Tap's  abaixo do 4 , tendo possibilidade de melhorar o nível de tensão .Foi feito testes reguladores comutou normal , porém não ficou no nível ideal !Parecer da proteção:Qualquer alteração no Regulador de Tensão (RT) da SE Ponte Alta impactará diretamente o barramento de 13,8 kV. Atualmente, o transformador encontra-se ajustado no TAP 4 (33,638 kV), e uma mudança nesse ajuste poderá ocasionar novas reclamações de tensão por parte dos consumidores atendidos nesse nível de tensão.Por outro lado, caso o transformador 34,5/13,8 kV seja ajustado para a posição nominal, poderemos ter reclamações de tensão baixa na rede de distribuição urbana (RDU), considerando que não possuímos controle sobre os TAPs dos transformadores de distribuição. Em contrapartida, essa alteração proporcionaria maior margem operacional para o ajuste do RT do sistema de 34,5 kV.Diante desse cenário, é imprescindível embasar qualquer tomada de decisão em dados de campo. Como primeira etapa, sugiro realizar um levantamento amostral dos TAPs dos transformadores de distribuição localizados na região central da cidade de Ponte Alta, de forma a identificar a posição em que atualmente estão operando.Além disso, considero importante realizarmos uma reunião técnica para conduzir um estudo de engenharia mais aprofundado. As decisões relativas aos ajustes operacionais devem ser</t>
  </si>
  <si>
    <t>ETO-RD-PS 00303/2026</t>
  </si>
  <si>
    <t>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t>
  </si>
  <si>
    <t>ETO-TELE 00924/2026</t>
  </si>
  <si>
    <t>SEGUE SS PARA REGULARIZAR FALTA DE COMUNICAÇÃO DO RELIGADOR 7925713040</t>
  </si>
  <si>
    <t>ETO-TELE 00954/2026</t>
  </si>
  <si>
    <t>AL02084002</t>
  </si>
  <si>
    <t>FEITO PRIMEIRO ATAQUE E RELIGADOR 7934697002, NÃO REALIZA COMANDOS. FOI BY PASSADO.PROVIDENCIAR MANUTENÇÃO.</t>
  </si>
  <si>
    <t>ETO-RD-AR 01131/2026</t>
  </si>
  <si>
    <t>ETO-RD-AR</t>
  </si>
  <si>
    <t>20/07 PARECER COEP: EQUIPAMENTO ENTREGUE AOS COCM´S , AGUARDO A PREVISÃO DE SUSBTITUIÇÃO NA PLANILHA E SUBSTIUIÇÃO DEPOIS SEGUIR COM O FLUXO , DESCREVER A ATIVIDADE REALIZADA E DATA, PASSAR PARA A PROTEÇÃO COM LAUDO EM ANEXO E DEPOIS COMISSIONAR14/07 PARECER COEP: EQUIPAMENTO EM ROTA DE ENTREGAPARECER DMSL: Célula da fase A encontra-se com vazamento de óleo no pé da torneira. Necessário substituição da célula.Aberto nota para verificar vazamento de óleo fase A no RT 5844630060 - RDU Nova Olinda</t>
  </si>
  <si>
    <t>Coluna1</t>
  </si>
  <si>
    <t>Coluna2</t>
  </si>
  <si>
    <t>Legenda</t>
  </si>
  <si>
    <t>Cancelada em operação</t>
  </si>
  <si>
    <t>(*)</t>
  </si>
  <si>
    <t>Não houve ataque do DMSL</t>
  </si>
  <si>
    <t>Concluído Melhoria de aterramento</t>
  </si>
  <si>
    <t>Concluído Reporte Kelliton</t>
  </si>
  <si>
    <t>Concluído DCMD e DMSL</t>
  </si>
  <si>
    <t>Reporte Dener</t>
  </si>
  <si>
    <t>Equipamento alinhado com o Jean para colocar os cabos compatibilizadores , vamos só instalar o controle e o suporte</t>
  </si>
  <si>
    <t>Report Kelliton</t>
  </si>
  <si>
    <t>Equipamento em Logistica</t>
  </si>
  <si>
    <t>Vamos retirar de uma obra de construção de uma linha antiga e usar na manutenção</t>
  </si>
  <si>
    <t>Pendente</t>
  </si>
  <si>
    <t>Aguardando o Marcelo Primo gerar a obra em abertura contabil</t>
  </si>
  <si>
    <t xml:space="preserve"> </t>
  </si>
  <si>
    <t>Concluído poço para melhoria de aterramento aberto</t>
  </si>
  <si>
    <t xml:space="preserve">Desmobilizado </t>
  </si>
  <si>
    <t>Tratativas do Allan</t>
  </si>
  <si>
    <t>Equipamento entregue aos COCM's</t>
  </si>
  <si>
    <t>Previsão de entrega 20/07 // Foi entregue a eles verificar o porque eles baixaram</t>
  </si>
  <si>
    <t>Concluído DCMD24/07</t>
  </si>
  <si>
    <t>Report Edson</t>
  </si>
  <si>
    <t>Previsão de substituição 07/08// Nova previsão de entrega 21/08 se a DB Machado for para o Sul</t>
  </si>
  <si>
    <t>Furtado 2 vezes</t>
  </si>
  <si>
    <t>Equipamento não inserido no SCADA</t>
  </si>
  <si>
    <t>Reporte do Wander</t>
  </si>
  <si>
    <t>Reporte Wandersson</t>
  </si>
  <si>
    <t>Equipamento entregue, redirecionaremos para o Caso 7933726256</t>
  </si>
  <si>
    <t xml:space="preserve">Concluído DCMD </t>
  </si>
  <si>
    <t>Verificar se já foi repassado</t>
  </si>
  <si>
    <t>Verificar se já foi repassado// Reporte Joelson</t>
  </si>
  <si>
    <t>Previsão de substituição 07/08 // 22/08 Se a DB Machado for pro Sul</t>
  </si>
  <si>
    <t>Equipamento Fora de operação</t>
  </si>
  <si>
    <t>Cancelada errada pelo DMSL</t>
  </si>
  <si>
    <t>Melhoria de aterramento concluída</t>
  </si>
  <si>
    <t>1 controle NOJA sobrando</t>
  </si>
  <si>
    <t>Estava aguardando análise DMSL</t>
  </si>
  <si>
    <t>Trafo auxiliar e tanque</t>
  </si>
  <si>
    <t>Concuído DCMD</t>
  </si>
  <si>
    <t>Construir Reporte Leonardo</t>
  </si>
  <si>
    <t>Report Marcelo Primo ou Edson</t>
  </si>
  <si>
    <t xml:space="preserve">Tanque e antena </t>
  </si>
  <si>
    <t xml:space="preserve">Destinada parte ativa do RL 7900453110 </t>
  </si>
  <si>
    <t>Em análise</t>
  </si>
  <si>
    <t>Reporte do Luanderson</t>
  </si>
  <si>
    <t>Trafo auxiliar e completo</t>
  </si>
  <si>
    <t>Atendimento de cargas rurais entre Caseara e Araguacema (221 UCs)</t>
  </si>
  <si>
    <t>Reporte Edson Cursino</t>
  </si>
  <si>
    <t>Equipamento em operação no SCADA, favor enviar tanque enviado para Porto Nacional e cancelar a Obra. Utilizaremos tanque para Porto7953610256</t>
  </si>
  <si>
    <t>Executado realmente concluído todos os passos</t>
  </si>
  <si>
    <t>Linha viva substiui as chaves pode ser que esteja dentro de operação</t>
  </si>
  <si>
    <t>Campo deve ser prenchido pelo COEP</t>
  </si>
  <si>
    <t>Campo deve ser prenchido pelo COCM</t>
  </si>
  <si>
    <t>Equipamento</t>
  </si>
  <si>
    <t>MODELO</t>
  </si>
  <si>
    <t>Tensão</t>
  </si>
  <si>
    <t>Potencia</t>
  </si>
  <si>
    <t>OS Associada</t>
  </si>
  <si>
    <t>Necessário COEP Requisitar material</t>
  </si>
  <si>
    <t>Cod Material P/ Requisitar</t>
  </si>
  <si>
    <t>Tecnico Responsável</t>
  </si>
  <si>
    <t>Previsão de Regularização COCM</t>
  </si>
  <si>
    <t>Status da Substituição</t>
  </si>
  <si>
    <t>Equipamento Entregue ?</t>
  </si>
  <si>
    <t>Data da Substituição</t>
  </si>
  <si>
    <t>OBRA</t>
  </si>
  <si>
    <t>SIGCCO</t>
  </si>
  <si>
    <t>Deposito</t>
  </si>
  <si>
    <t>EMD</t>
  </si>
  <si>
    <t>Status Entrega</t>
  </si>
  <si>
    <t>Previsão de entrega</t>
  </si>
  <si>
    <t>Data Entrega</t>
  </si>
  <si>
    <t>Posto COEP</t>
  </si>
  <si>
    <t>EL NINO</t>
  </si>
  <si>
    <t>Religador</t>
  </si>
  <si>
    <t>ETO-COEP 00104/2025</t>
  </si>
  <si>
    <t>ETO-RD-GR 00472/2026</t>
  </si>
  <si>
    <t>Rádio, antena, controle</t>
  </si>
  <si>
    <t>Sim</t>
  </si>
  <si>
    <t>WANDER DA SILVA LEITE</t>
  </si>
  <si>
    <t>Concluída</t>
  </si>
  <si>
    <t>0712600316</t>
  </si>
  <si>
    <t>7902</t>
  </si>
  <si>
    <t>Concluido</t>
  </si>
  <si>
    <t>DIANÓPOLIS</t>
  </si>
  <si>
    <t>ETO-RD-DP 01344/2026</t>
  </si>
  <si>
    <t>7955520116</t>
  </si>
  <si>
    <t>Tanque (parte ativa)</t>
  </si>
  <si>
    <t>Não</t>
  </si>
  <si>
    <t>Dener Soares</t>
  </si>
  <si>
    <t>NA</t>
  </si>
  <si>
    <t>0512600178</t>
  </si>
  <si>
    <t>8495</t>
  </si>
  <si>
    <t>ETO-RD-DP 1344/2026</t>
  </si>
  <si>
    <t>PONTE ALTA DO TOCANTINS</t>
  </si>
  <si>
    <t>ETO-COEP 00113/2026</t>
  </si>
  <si>
    <t>ETO-RD-PO 01860/2026</t>
  </si>
  <si>
    <t>Parte Ativa e o Tanque</t>
  </si>
  <si>
    <t>Edson Curcino</t>
  </si>
  <si>
    <t>0312600354</t>
  </si>
  <si>
    <t>Indeferir a obra</t>
  </si>
  <si>
    <t>Deslocamento  da ASPO Alinhado com o Allan de Guaraí para Pedro Afonso</t>
  </si>
  <si>
    <t>ETO-RD-PO 185/2026</t>
  </si>
  <si>
    <t>ETO-COEP 50/2026</t>
  </si>
  <si>
    <t>ETO-RD-PO 2020/2026</t>
  </si>
  <si>
    <t>Utilizaremos o que foi direcionado para o Polo Paraíso que já estava em operação e enviar para esse caso</t>
  </si>
  <si>
    <t>ETO-RD-PO 208/2026</t>
  </si>
  <si>
    <t>ETO-RD-AG 365/2026</t>
  </si>
  <si>
    <t>Luanderson</t>
  </si>
  <si>
    <t>0662600266</t>
  </si>
  <si>
    <t>6905</t>
  </si>
  <si>
    <t>Ainda no nosso posto , mas de acordo com o Luanderson vai disponibilizar a equipe na terça-feira 03/06</t>
  </si>
  <si>
    <t>ETO-TELE 00869/2026</t>
  </si>
  <si>
    <t>ETO-COEP 00034/2026</t>
  </si>
  <si>
    <t>ETO-RD-PS 00193/2026</t>
  </si>
  <si>
    <t>Rádio, trafo,Tanque e Controle</t>
  </si>
  <si>
    <t>Vinicius Camargo Costa</t>
  </si>
  <si>
    <t>Não podermos atender agora, rádio foi requisitado para obra do PN</t>
  </si>
  <si>
    <t>0212600423</t>
  </si>
  <si>
    <t>Não Houve entrega do Material</t>
  </si>
  <si>
    <t>ETO-COEP 00094/2025</t>
  </si>
  <si>
    <t>ETO-RD-AG 364/2026</t>
  </si>
  <si>
    <t>0662600265</t>
  </si>
  <si>
    <t>ETO - RD-AG 549/2025</t>
  </si>
  <si>
    <t>ETO-COEP 00211/2025</t>
  </si>
  <si>
    <t>ETO-RD-PA 00283/2026</t>
  </si>
  <si>
    <t>Marcelo Primo</t>
  </si>
  <si>
    <t>0112600424</t>
  </si>
  <si>
    <t>1905</t>
  </si>
  <si>
    <t>SS ETO-RD-PA 00431/2026</t>
  </si>
  <si>
    <t>ETO-COEP 00108/2026</t>
  </si>
  <si>
    <t>ETO-RD-PO 1859/2026</t>
  </si>
  <si>
    <t>0312600351</t>
  </si>
  <si>
    <t>Utilizaremos o que foi direcionado para Santa Rita , Favor Cancelar a obra COCM´S</t>
  </si>
  <si>
    <t>ETO-RD-PO 181/2026</t>
  </si>
  <si>
    <t>ETO-COEP 00206/2025</t>
  </si>
  <si>
    <t>ETO-RD-PA 00282/2026</t>
  </si>
  <si>
    <t>0112600383</t>
  </si>
  <si>
    <t>SS ETO-RD-PA 433/2026</t>
  </si>
  <si>
    <t>Controle Completo</t>
  </si>
  <si>
    <t>Leonardo Santos da Silva</t>
  </si>
  <si>
    <t>Aguardando entrega do Equipamento</t>
  </si>
  <si>
    <t>0612600565</t>
  </si>
  <si>
    <t>6903</t>
  </si>
  <si>
    <t>510069 , 515116</t>
  </si>
  <si>
    <t>PROBLEMA NO ENVIO DO CONTROLE</t>
  </si>
  <si>
    <t>ETO-COEP 00036/2026</t>
  </si>
  <si>
    <t>0112600425</t>
  </si>
  <si>
    <t>SS ETO-RD-PA 432/2026</t>
  </si>
  <si>
    <t>ETO-COEP 00222/2025</t>
  </si>
  <si>
    <t>Julio Cesar</t>
  </si>
  <si>
    <t>0412600392</t>
  </si>
  <si>
    <t>4906</t>
  </si>
  <si>
    <t>ETO-RD-GU 1391/2026 (atrasada) Aguardando previsão de substituição</t>
  </si>
  <si>
    <t>ETO-RD-AG 697/2026</t>
  </si>
  <si>
    <t>ETO-COEP 00177/2025</t>
  </si>
  <si>
    <t>ETO-RD-DP 00271/2026</t>
  </si>
  <si>
    <t>0512600135</t>
  </si>
  <si>
    <t>5908</t>
  </si>
  <si>
    <t>ETO-RD-DP 788/2026</t>
  </si>
  <si>
    <t>ETO-COEP 00174/2024</t>
  </si>
  <si>
    <t>ETO-RD-PS 00194/2026</t>
  </si>
  <si>
    <t>Joelson Silva de Souza</t>
  </si>
  <si>
    <t>0212600425</t>
  </si>
  <si>
    <t>2903</t>
  </si>
  <si>
    <t>Previsão de Substiuição atrasada</t>
  </si>
  <si>
    <t>ETO-RD-OS 302/2026</t>
  </si>
  <si>
    <t>Tanque - cooper - Aproveitar do 7900018004</t>
  </si>
  <si>
    <t>CONTROLE NOJA ENVIADO</t>
  </si>
  <si>
    <t>ETO-COEP 00169/2025</t>
  </si>
  <si>
    <t>ETO-RD-PO 00121/2026</t>
  </si>
  <si>
    <t>0312600264</t>
  </si>
  <si>
    <t>3905</t>
  </si>
  <si>
    <t>Regulador</t>
  </si>
  <si>
    <t>ETO-COEP 00160/2025</t>
  </si>
  <si>
    <t>ETO-RD-PO 01873/2026</t>
  </si>
  <si>
    <t>Celula Fase B</t>
  </si>
  <si>
    <t>0312600352</t>
  </si>
  <si>
    <t>ETO-COEP 00156/2025</t>
  </si>
  <si>
    <t>ETO-RD-PS  001001/2026</t>
  </si>
  <si>
    <t>Controle e ajuste</t>
  </si>
  <si>
    <t>0212600428</t>
  </si>
  <si>
    <t>510216</t>
  </si>
  <si>
    <t>ETO-RD-PS 301/2026</t>
  </si>
  <si>
    <t>ETO-COEP 00122/2025</t>
  </si>
  <si>
    <t>ETO-RD-PS 00192/2026</t>
  </si>
  <si>
    <t>Completo - Relé Cooper</t>
  </si>
  <si>
    <t>Equipamento Entregue</t>
  </si>
  <si>
    <t>0212600422</t>
  </si>
  <si>
    <t>Calendário logistco vai sair hoje 29/05/2026, assim que tiver rota de entrga avisamos</t>
  </si>
  <si>
    <t>ETO-RD-OS 325/2026</t>
  </si>
  <si>
    <t>ETO-COEP 00199/2025</t>
  </si>
  <si>
    <t>5855411017</t>
  </si>
  <si>
    <t>Vamos requisitar 1 controle</t>
  </si>
  <si>
    <t>0212600536</t>
  </si>
  <si>
    <t>8389</t>
  </si>
  <si>
    <t>ETO-RD-PS 304/2026</t>
  </si>
  <si>
    <t>ETO-COEP 00178/2025</t>
  </si>
  <si>
    <t>Completo (Controle - cooper)</t>
  </si>
  <si>
    <t>0612600439</t>
  </si>
  <si>
    <t>ETO-COEP 00223/2025</t>
  </si>
  <si>
    <t>3 celulas</t>
  </si>
  <si>
    <t>Requisição</t>
  </si>
  <si>
    <t>0512600177</t>
  </si>
  <si>
    <t>8481</t>
  </si>
  <si>
    <t>REQUISITAR 03 PEÇAS POIS 02  PÇ FOI RETIRADA PARA INSTALAÇÃO EM OBRA DE CONSTRUÇÃO.</t>
  </si>
  <si>
    <t>ETO-RD-DP 479/2026</t>
  </si>
  <si>
    <t>ETO-COEP 00123/2025</t>
  </si>
  <si>
    <t>Vamos requisitar , 3 celulas</t>
  </si>
  <si>
    <t>LUANDERSON</t>
  </si>
  <si>
    <t>Selecionado Para Aquisição</t>
  </si>
  <si>
    <t>0662600361</t>
  </si>
  <si>
    <t>Por estrategia não será enviado neste momento equipamento, iremos utilizar em outros reguladores</t>
  </si>
  <si>
    <t>Redirecionado para atender 5854566043 e 5862236091</t>
  </si>
  <si>
    <t>ETO-TELE 1032/2026</t>
  </si>
  <si>
    <t>ETO-COEP 00216/2025</t>
  </si>
  <si>
    <t>ETO-RD-PS  001614/2026</t>
  </si>
  <si>
    <t>5827102054</t>
  </si>
  <si>
    <t>Transferir para o COMC, corrigir o aterramento e verificar a possibilidade de corrigir a infiltração do controle com a cola utilizada para vedar vazamento no transformadores</t>
  </si>
  <si>
    <t>0212600537</t>
  </si>
  <si>
    <t>Repasse COCM´s</t>
  </si>
  <si>
    <t>Cancelar a obra tentar vedação do equipamento Melhoria de aterramento</t>
  </si>
  <si>
    <t>Media</t>
  </si>
  <si>
    <t>ETO-COEP 00077/2026</t>
  </si>
  <si>
    <t>ETO-RD-PS  001616/2026</t>
  </si>
  <si>
    <t>5801866013</t>
  </si>
  <si>
    <t>Vamos requisitar, 1 celula</t>
  </si>
  <si>
    <t>Aguardando a criação da obra para abrir a requisição</t>
  </si>
  <si>
    <t>0212600539</t>
  </si>
  <si>
    <t>ETO-RD-OS 303/2026</t>
  </si>
  <si>
    <t>ETO-COEP 00209/2025</t>
  </si>
  <si>
    <t>ETO-RD-GU 00493/2026</t>
  </si>
  <si>
    <t>0412600391</t>
  </si>
  <si>
    <t>511539, 511541</t>
  </si>
  <si>
    <t>ATRASO COCM´S</t>
  </si>
  <si>
    <t>ETO-RD-AG 696/2026</t>
  </si>
  <si>
    <t>ETO-COEP 00167/2025</t>
  </si>
  <si>
    <t>Vamos requisitar 1 celula fase A</t>
  </si>
  <si>
    <t>0612600626</t>
  </si>
  <si>
    <t>Entrega 16/07</t>
  </si>
  <si>
    <t>ETO-RD-AR 1131/2026</t>
  </si>
  <si>
    <t>ETO-COEP 00106/2025</t>
  </si>
  <si>
    <t>SEM OBRA</t>
  </si>
  <si>
    <t>ETO-COEP 00180/2025</t>
  </si>
  <si>
    <t>5850308009</t>
  </si>
  <si>
    <t>Aguardando equipamento ser entregue</t>
  </si>
  <si>
    <t>0712600418</t>
  </si>
  <si>
    <t>Equipamento em operação em campo de acordo com a visita do Luanderson tem fotos
Equipamento já em operação , realocar controle de Regulador para Arapoema 5800371025</t>
  </si>
  <si>
    <t>ETO-COEP 00115/2026</t>
  </si>
  <si>
    <t>0712600419</t>
  </si>
  <si>
    <t>514632 , 516125</t>
  </si>
  <si>
    <t>ETO-COEP 00171/2025</t>
  </si>
  <si>
    <t>ETO-RD-DP 1548/2026</t>
  </si>
  <si>
    <t>5800438116</t>
  </si>
  <si>
    <t>Vamos requisitar , fase B e C</t>
  </si>
  <si>
    <t>Será utilizado regulador retirado de obra de construção</t>
  </si>
  <si>
    <t>0512600179</t>
  </si>
  <si>
    <t>Peças no Polo sobressalentes</t>
  </si>
  <si>
    <t>NÃO PRECISA REQUISITAR EQUIPAMENTO, VAMOS UTILIZAR EQ RETIRADO DE OBRA DE CONSTRUÇÃO.</t>
  </si>
  <si>
    <t>TOSCHIBA</t>
  </si>
  <si>
    <t>ETO-COEP 00187/2025</t>
  </si>
  <si>
    <t>SIm</t>
  </si>
  <si>
    <t>0712600318</t>
  </si>
  <si>
    <t>20/07/026</t>
  </si>
  <si>
    <t>ITB</t>
  </si>
  <si>
    <t>PEIXES</t>
  </si>
  <si>
    <t>ETO-RD-GU 3374/2026</t>
  </si>
  <si>
    <t>1 Celula</t>
  </si>
  <si>
    <t>690240</t>
  </si>
  <si>
    <t>DIONE SOUSA MARQUES</t>
  </si>
  <si>
    <t>0412600550</t>
  </si>
  <si>
    <t>Aguardando criação da Obra</t>
  </si>
  <si>
    <t>ETO-RD-PS 323/2025</t>
  </si>
  <si>
    <t>Melhoria de Aterramento</t>
  </si>
  <si>
    <t>JOELSON SILVA DE SOUZA</t>
  </si>
  <si>
    <t>5803327001</t>
  </si>
  <si>
    <t>LUZIMANGUES</t>
  </si>
  <si>
    <t>1 Controle</t>
  </si>
  <si>
    <t>CONTROLE RUA QUE VOLTOU DE DIANÓPOLIS</t>
  </si>
  <si>
    <t>Pendente laudo da empreteira</t>
  </si>
  <si>
    <t>Construir Reporte</t>
  </si>
  <si>
    <t>Previsão de entrega 20/10</t>
  </si>
  <si>
    <t>Novo</t>
  </si>
  <si>
    <t>x</t>
  </si>
  <si>
    <t>SOBRANDO</t>
  </si>
  <si>
    <t>EDSON CURCINO/PORTO NACIONAL</t>
  </si>
  <si>
    <t>Conferir EMD</t>
  </si>
  <si>
    <t>PARECER COEP: EQUIPAMENTO SELECIONADO PARA COMPRAboa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</si>
  <si>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PARECER COEP: PREVISÃO DE ENTREGA 16/07/2026PEÇA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t>
  </si>
  <si>
    <t>ETO-RD-PA 00433/2026</t>
  </si>
  <si>
    <t>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t>
  </si>
  <si>
    <t>ETO-COEP 00130/2026</t>
  </si>
  <si>
    <t>JOELSON SILVA DE SOUZA/ PARAÍSO</t>
  </si>
  <si>
    <t xml:space="preserve">PROBLEMA NA REQUISIÇÃO DO TANQUE QUE FOI DA 34,5 E NÃO FOI PEDIDO O CONTROLE </t>
  </si>
  <si>
    <t>ETO-COEP 00084/2026</t>
  </si>
  <si>
    <t>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t>
  </si>
  <si>
    <t>Previsão para substituição 20/07</t>
  </si>
  <si>
    <t>Ajuste de Proteção</t>
  </si>
  <si>
    <t>ETO-RD-PA 00431/2026</t>
  </si>
  <si>
    <t>Previsão de substituição 15/07</t>
  </si>
  <si>
    <t>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t>
  </si>
  <si>
    <t>Já foi realizado vai ser passado para proteção até 15/07</t>
  </si>
  <si>
    <t>ETO-RD-PO 00185/2026</t>
  </si>
  <si>
    <t>Previsão para substituição 10/07</t>
  </si>
  <si>
    <t>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t>
  </si>
  <si>
    <t>Em processo de compra , precisou de analise nova DMSL</t>
  </si>
  <si>
    <t>ETO-RD-PO 00118/2026</t>
  </si>
  <si>
    <t xml:space="preserve"> PREVISAO DE SUBSTITUIÇÃO 23/07/2026</t>
  </si>
  <si>
    <t>Compra</t>
  </si>
  <si>
    <t>Foi redirecionado para priorizar o RL 7933726256</t>
  </si>
  <si>
    <t>Aguardando confirmação</t>
  </si>
  <si>
    <t>ETO-RD-PA 00434/2026</t>
  </si>
  <si>
    <t>ETO-TELE 970/2026 concluída e equipamento fora de operação</t>
  </si>
  <si>
    <t>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t>
  </si>
  <si>
    <t xml:space="preserve">(INICIALMENTE PARA AQUISIÇÃO) MAS PODEMOS UTILIZAR O TANQUE NELE </t>
  </si>
  <si>
    <t>ETO-RD-GU 00711/2026</t>
  </si>
  <si>
    <t>CONCLUÍDO</t>
  </si>
  <si>
    <t>EDSON CURCINOPORTO NACIONAL 14/07/2026</t>
  </si>
  <si>
    <t>ETO-RD-GR 00712/2026</t>
  </si>
  <si>
    <t>(Tanque da 34,5 Faltando)</t>
  </si>
  <si>
    <t>ETO-COEP 00050/2026</t>
  </si>
  <si>
    <t>PARECER COEP: AGUARDANDO COCM'S GERAREM A OBRA PARA ENTREGA DO MATERIALPARECER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t>
  </si>
  <si>
    <t>ETO-COEP 00117/2026</t>
  </si>
  <si>
    <t>PARECER COEP: AGUARDANDO RETORNO DO DMSLREGULADOR 5800090147 SEM COMUNICAÇÃO E TRAVANDO TAP´S - REALIZAO PRIMEIRO ATAQUE SEM SUCESSO.PARECER DMSL: Favor, substituir a célula da fase C do RT 5800090147 pois o microswitch que renconhece o neutro do regulador está com defeito.Equipamento ficou operando devido ser possível manobrar de forma manual.</t>
  </si>
  <si>
    <t>ETO-TELE 00942/2026</t>
  </si>
  <si>
    <t>PARECER COEP: AGUARAR RETORNo RETORNO DMSLApós testes no RLG 7903112004 foi constatado defeito no mesmo e como se trata de um modelo COOPER FORM6 que está obsoleto e não possuímos peças sobressalentes, faz-se necessária substituição completa por modelo NOJA RC10.</t>
  </si>
  <si>
    <t>Cobrar Marcelo ou Felipe</t>
  </si>
  <si>
    <t>ETO-RD-PA 00432/2026</t>
  </si>
  <si>
    <t>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t>
  </si>
  <si>
    <t>TELE</t>
  </si>
  <si>
    <t>ETO-TELE 00965/2026</t>
  </si>
  <si>
    <t>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t>
  </si>
  <si>
    <t>Aguardando obra COCM e PARECER DO DMSL</t>
  </si>
  <si>
    <t>MELHORIA DE ATERRAMENTO +11MIL (PRAZO SUSTITUIÇÃO)</t>
  </si>
  <si>
    <t>Melhoria de aterramento, controle precisa de aquisição</t>
  </si>
  <si>
    <t>Controle e melhoria de aterramento</t>
  </si>
  <si>
    <t>ETO-COEP 00127/2026</t>
  </si>
  <si>
    <t>PARECER COEP: Equipamento em operaçãpo no SCADAPARECER DMSL: Após testes, foi constatado que o RT  5850308009 encontra-se com controle danificado, sendo necessária substituição do mesmo.Regulador de tensão 5850308009 quando esta em Automatico esta deixa um fase muito baixa. foi deixado uma fase Manual e transferida parte do alimentaor.</t>
  </si>
  <si>
    <t>ETO-TELE 977/2026</t>
  </si>
  <si>
    <t>(EQUIPAMENTO PARA ANALISE DO DMSL)</t>
  </si>
  <si>
    <t>30/06 PARECER COEP: AGUARDANDO RETORNO DO DMSL , PARA VIABILIZAR TROCA APENAS DA PLACA , POIS EXISTEM 5 NO SALDO DE ESTOQUEEquipamento ficou em operação?: NãoPendência: Sim será necessário substituir a placaServiço Executado:  curto na placa foi tentando recuperar a mesma porém não teve sucesso!Bateria(s)substituída(s)? NÃOEquipe: Kaique e benvido</t>
  </si>
  <si>
    <t>(COMPRA)</t>
  </si>
  <si>
    <t>3 células e conectores</t>
  </si>
  <si>
    <t>Em Análise DMSL</t>
  </si>
  <si>
    <t>PARECER COEP: AGUARDANDO RETORNO DMSL, SERIA A COMPRA DA PARTE ATIVA+ CONTROLE+RADIO +RELE?DMSL:Serviço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t>
  </si>
  <si>
    <t>Concluído , em operação repassado ETO-PROT 135/2026</t>
  </si>
  <si>
    <t>ETO-RD-PA 00427/2026</t>
  </si>
  <si>
    <t>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t>
  </si>
  <si>
    <t>ETO-TELE 968/2026</t>
  </si>
  <si>
    <t>ETO-TELE 971/2026</t>
  </si>
  <si>
    <t>ETO- TELE 967/2026</t>
  </si>
  <si>
    <t>Tanque, relé e modulo</t>
  </si>
  <si>
    <t>PARECER COEP: QUAL O MODELO DO EQUIPAMENTO? QUAL A FAIXA DE TENSÃO ? O QUE SERIA SISTEMA DE COMUNICAÇÃO COMPLETO?Troca do sistema de comunicação do equipamentoDMSL 28/07/2025: Equipamento com tanque, modulo e rele com defeito, solicitar troca do equipamento ao DCMD.Fotos vão ser enviadas por e-mail</t>
  </si>
  <si>
    <t>Data entrega 10/07 , ENVIOU UM TANQUE AO INVES DO CONTROLE, ENVIAR CONTROLE DA 24 NOJA</t>
  </si>
  <si>
    <t xml:space="preserve">SOBRA TANQUE 34,5 </t>
  </si>
  <si>
    <t>ETO-RD-PS 00301/2026</t>
  </si>
  <si>
    <t>Previsão de entrega aos COCM's 01/07</t>
  </si>
  <si>
    <t>Relé, controle e ajuste</t>
  </si>
  <si>
    <t>10/07 PARECER COEP: EQUIPAMENTO ENTREGUE , FAVOR REALIZAR SUBSTIUIÇÃO, DEPOIS ENCAMINHAR PARA PROTEÇÃO REALIZAR OS AJUSTES E DEPOIS PARA COMISSIONAMENTO, FAVOR INFORMAR O PRAZO DA PREVISÃO DMSL PARA IREM JUNTOS20/06PARECER COEP: EMD 510216PREVISÃO DE CHEGADA COCM'S 01/07RELIGADOR COM RELÉ QUEIMADO - EQUIPAMENTO BY PASSADO. PARECER DMSL:N° do Equipamento: 7957126085Data: 17/06/2025Localidade: RDU Monte SantoServiço Executado:"Os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danificados."Ana Maria e Rayr já tinha ido no local anteriormente, na data 14/05/25 e fizeram o diagnostico acima. Equipamento ficou em operação?: NÃO</t>
  </si>
  <si>
    <t>1 celula</t>
  </si>
  <si>
    <t>PARECER COEP: EQUIPAMENTO EM ROTA DE ENTREGAPARECER DMSL: Célula da fase A encontra-se com vazamento de óleo no pé da torneira. Necessário substituição da célula.Aberto nota para verificar vazamento de óleo fase A no RT 5844630060 - RDU Nova Olinda</t>
  </si>
  <si>
    <t>ETO-RD-PS 00304/2026</t>
  </si>
  <si>
    <t>Aguardando a criação da Obra para abrir a requisição</t>
  </si>
  <si>
    <t>ETO-PROT 00136</t>
  </si>
  <si>
    <t>PARA AQUISIÇÃO</t>
  </si>
  <si>
    <t>ETO-TELE 972/2026</t>
  </si>
  <si>
    <t>PARECER COEP: PROBLEMA IDENTIFICADO É NA PARTE ATIVA? OU NO RELIGADOR? FAVOR VERIFICAR SE EQUIPAMENTO ESTÁ EM OPERAÇÃO NO SCADA, OU SE É NECESSARIO APENAS A MELHORIA DE ATERRAMENTO 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t>
  </si>
  <si>
    <t>ETO-COEP 00079/2025</t>
  </si>
  <si>
    <t>SEM PARECER TÉCNICO DMSL</t>
  </si>
  <si>
    <t>tanque</t>
  </si>
  <si>
    <t>30/06 PARECER COEP: EQUIPAMENTO SEM PARECER TECNICO DO DMSLSegue nota para envia manutenção substituir tanque do RL-7923927122 em curto, Anomalia identificada desarme das LD, s Palmas / Aparecida e Palmas Taquaruçu, Acesso livre, Tensão 34,5kv, Local RL de Interligação entre 424R / 414R.</t>
  </si>
  <si>
    <t>Revisar</t>
  </si>
  <si>
    <t>(REPASSAR NOVAMENTE A ANÁLISE DO DMSL)</t>
  </si>
  <si>
    <t>Parte ativa danificada</t>
  </si>
  <si>
    <t>ETO-TELE 974/2026</t>
  </si>
  <si>
    <t>PARECER COEP: FAVOR REAVALIAR DISPONIBILIDADE DO EQUIPAMENTO DO SCADA E DIZER MARCA ,MODELO E TENSÃO DO EQUIPAMENTOPARECER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</si>
  <si>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Parte ativa danificada (tanque)</t>
  </si>
  <si>
    <t>ETO-TELE 964/2026</t>
  </si>
  <si>
    <t>ETO-TELE 969/2026</t>
  </si>
  <si>
    <t>Em proceso de Aquisição</t>
  </si>
  <si>
    <t>Em Operação confirmado com os COCM's</t>
  </si>
  <si>
    <t>Em processo logistico</t>
  </si>
  <si>
    <t>Aguardando geração da EMD</t>
  </si>
  <si>
    <t>Levar para analise de religadores furtados no Sul</t>
  </si>
  <si>
    <t>PARECER COEP: EQUIPAMENTO FURTADO LEVAR PARA ANÁLISE COM O LEANDRO, NO ENTANTO SEGUE NA CATEGORIA DE COMPRA.Favor levar outro regulador de tensão, pois o mesmo foi furtado em campo.</t>
  </si>
  <si>
    <t>ETO-TELE 01001/2026</t>
  </si>
  <si>
    <t>13/07/2026 PARECER COEP: SUBSTITUIÇÃO REALZIADA , FAVOR COMISSIONARPARECER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Benvindo----------------------------------------------PARECER DA PROTEÇÃO: Prosseguir com o comissionamento. Ajustes de religador permanecem os mesmos, disponíveis no APP da Proteção.********************************RELIGADOR N°7919270014 REMANEJADO NA OBRA 0212501060 GENTILEZA, REALIZAR O COMISSIONAMENTO. LAUDO EM ANEXO. COORD EO: 617422, 8830787</t>
  </si>
  <si>
    <t>JOELSON PARA´SIO 14/07/2026</t>
  </si>
  <si>
    <t>ETO-RD-PA 00452/2026</t>
  </si>
  <si>
    <t>PROBLEMA NO ENVIO DO MATERIAL</t>
  </si>
  <si>
    <t>TANQUE DA 13,8 + RÁDIO</t>
  </si>
  <si>
    <t>bateria, rádio, trafo (entender sobre bucha da fase A)</t>
  </si>
  <si>
    <t>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t>
  </si>
  <si>
    <t>ETO-RD-DP 403/2025, AGUARDO DO RETORNO</t>
  </si>
  <si>
    <t>Comissionar</t>
  </si>
  <si>
    <t>PARECER COEP: ERRO NA INSTALAÇÃO EQUIPAMENTO SELECIONADO PARA COMPRAPARECER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</si>
  <si>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ETO-TELE 00940/2026</t>
  </si>
  <si>
    <t>Enviar equipe verificar relé 79, de religamento do Religador 7953211079, o mesmo  não está executando o seu clclo de religamento, desde modo penalizando cargas desnecessariamente, um total de 1438 Clientes penalizados</t>
  </si>
  <si>
    <t>Previsão de Substiuição17/07/2026</t>
  </si>
  <si>
    <t>NumLocal</t>
  </si>
  <si>
    <t>SiglaLocal</t>
  </si>
  <si>
    <t>NomeLocal</t>
  </si>
  <si>
    <t>SiglaPolo</t>
  </si>
  <si>
    <t>NomePoloDEOP</t>
  </si>
  <si>
    <t>NomePoloDESC</t>
  </si>
  <si>
    <t>SiglaRegional</t>
  </si>
  <si>
    <t>ABR</t>
  </si>
  <si>
    <t>ABREULANDIA</t>
  </si>
  <si>
    <t>DIV</t>
  </si>
  <si>
    <t>AGU</t>
  </si>
  <si>
    <t>AGUIARNOPOLIS</t>
  </si>
  <si>
    <t>TOC</t>
  </si>
  <si>
    <t>ALI</t>
  </si>
  <si>
    <t>ALIANCA DO TOCANTINS</t>
  </si>
  <si>
    <t>GUR</t>
  </si>
  <si>
    <t>ALM</t>
  </si>
  <si>
    <t>DIA</t>
  </si>
  <si>
    <t>ALT</t>
  </si>
  <si>
    <t>ALTAMIRA</t>
  </si>
  <si>
    <t>ALTO DO ZUMBI</t>
  </si>
  <si>
    <t>AUG</t>
  </si>
  <si>
    <t>ALTO LINDO</t>
  </si>
  <si>
    <t>GUA</t>
  </si>
  <si>
    <t>ALV</t>
  </si>
  <si>
    <t>FOR</t>
  </si>
  <si>
    <t>AMA</t>
  </si>
  <si>
    <t>AMARALINA</t>
  </si>
  <si>
    <t>ANA</t>
  </si>
  <si>
    <t>ANANAS</t>
  </si>
  <si>
    <t>ANG</t>
  </si>
  <si>
    <t>ANGICO</t>
  </si>
  <si>
    <t>APA</t>
  </si>
  <si>
    <t>TAQ</t>
  </si>
  <si>
    <t>API</t>
  </si>
  <si>
    <t>APINAJE</t>
  </si>
  <si>
    <t>PEI</t>
  </si>
  <si>
    <t>ARA</t>
  </si>
  <si>
    <t>ARACULANDIA</t>
  </si>
  <si>
    <t>ARAGUANA</t>
  </si>
  <si>
    <t>COL</t>
  </si>
  <si>
    <t>ARR</t>
  </si>
  <si>
    <t>AUR</t>
  </si>
  <si>
    <t>AXI</t>
  </si>
  <si>
    <t>AXIXA DO TOCANTINS</t>
  </si>
  <si>
    <t>AZU</t>
  </si>
  <si>
    <t>AZUIS</t>
  </si>
  <si>
    <t>BAB</t>
  </si>
  <si>
    <t>BAI</t>
  </si>
  <si>
    <t>BAIANOPOLIS</t>
  </si>
  <si>
    <t>BAN</t>
  </si>
  <si>
    <t>BAR</t>
  </si>
  <si>
    <t>BARRA DA AROEIRA</t>
  </si>
  <si>
    <t>BARRA DA GROTA</t>
  </si>
  <si>
    <t>BARRA DO OURO</t>
  </si>
  <si>
    <t>MIR</t>
  </si>
  <si>
    <t>BEL</t>
  </si>
  <si>
    <t>BELA VISTA</t>
  </si>
  <si>
    <t>BER</t>
  </si>
  <si>
    <t>BERNARDO SAYAO</t>
  </si>
  <si>
    <t>BIE</t>
  </si>
  <si>
    <t>BIELANDIA</t>
  </si>
  <si>
    <t>BOA</t>
  </si>
  <si>
    <t>BOA ESPERANCA</t>
  </si>
  <si>
    <t>BOM</t>
  </si>
  <si>
    <t>BOM JESUS DO TOCANTINS</t>
  </si>
  <si>
    <t>BON</t>
  </si>
  <si>
    <t>BONFIM</t>
  </si>
  <si>
    <t>BRA</t>
  </si>
  <si>
    <t>BRASILENE</t>
  </si>
  <si>
    <t>BRE</t>
  </si>
  <si>
    <t>BREJINHO</t>
  </si>
  <si>
    <t>BREJINHO DE NAZARE</t>
  </si>
  <si>
    <t>POR</t>
  </si>
  <si>
    <t>BUR</t>
  </si>
  <si>
    <t>BURITI DO TOCANTINS</t>
  </si>
  <si>
    <t>BURITIRANA</t>
  </si>
  <si>
    <t>CAC</t>
  </si>
  <si>
    <t>CACHOEIRINHA</t>
  </si>
  <si>
    <t>CAM</t>
  </si>
  <si>
    <t>CAMPINA VERDE</t>
  </si>
  <si>
    <t>PAR</t>
  </si>
  <si>
    <t>CAMPO MAIOR</t>
  </si>
  <si>
    <t>CAN</t>
  </si>
  <si>
    <t>CANELAS</t>
  </si>
  <si>
    <t>PAL</t>
  </si>
  <si>
    <t>CANTO DA VAZANTE</t>
  </si>
  <si>
    <t>CAR</t>
  </si>
  <si>
    <t>CARIRI DO TOCANTINS</t>
  </si>
  <si>
    <t>CARMOLANDIA</t>
  </si>
  <si>
    <t>CARRASCO BONITO</t>
  </si>
  <si>
    <t>CAS</t>
  </si>
  <si>
    <t>CAT</t>
  </si>
  <si>
    <t>CATINGUEIRO</t>
  </si>
  <si>
    <t>CEN</t>
  </si>
  <si>
    <t>CENTRO DE URUE</t>
  </si>
  <si>
    <t>CENTRO DO ZE MULATO</t>
  </si>
  <si>
    <t>CENTRO DOS FERREIRAS</t>
  </si>
  <si>
    <t>CENTRO DOS FIRMINOS</t>
  </si>
  <si>
    <t>CENTRO DOS MAMEDES</t>
  </si>
  <si>
    <t>CENTRO JOSE ESTEVES</t>
  </si>
  <si>
    <t>CHA</t>
  </si>
  <si>
    <t>CHAPADA DE AREIA</t>
  </si>
  <si>
    <t>COM</t>
  </si>
  <si>
    <t>COMBINADO</t>
  </si>
  <si>
    <t>CON</t>
  </si>
  <si>
    <t>COU</t>
  </si>
  <si>
    <t>COUTO VELHO</t>
  </si>
  <si>
    <t>CRI</t>
  </si>
  <si>
    <t>CRISTALANDIA</t>
  </si>
  <si>
    <t>CRIXAS DO TOCANTINS</t>
  </si>
  <si>
    <t>DAR</t>
  </si>
  <si>
    <t>DARCINOPOLIS</t>
  </si>
  <si>
    <t>DOI</t>
  </si>
  <si>
    <t>DOR</t>
  </si>
  <si>
    <t>DORILANDIA</t>
  </si>
  <si>
    <t>DUE</t>
  </si>
  <si>
    <t>ESC</t>
  </si>
  <si>
    <t>ESCOLA BRASIL</t>
  </si>
  <si>
    <t>ESP</t>
  </si>
  <si>
    <t>FAT</t>
  </si>
  <si>
    <t>FATIMA</t>
  </si>
  <si>
    <t>FIG</t>
  </si>
  <si>
    <t>FIL</t>
  </si>
  <si>
    <t>FILADELFIA</t>
  </si>
  <si>
    <t>FLO</t>
  </si>
  <si>
    <t>FLORESTA</t>
  </si>
  <si>
    <t>FOL</t>
  </si>
  <si>
    <t>FOLHA GROSSA</t>
  </si>
  <si>
    <t>FOLHA SECA</t>
  </si>
  <si>
    <t>FORTALEZA DO TABOCAO</t>
  </si>
  <si>
    <t>FRA</t>
  </si>
  <si>
    <t>FRANCOESA</t>
  </si>
  <si>
    <t>GOI</t>
  </si>
  <si>
    <t>GOIANY DOS CAMPOS</t>
  </si>
  <si>
    <t>GRO</t>
  </si>
  <si>
    <t>GROTA D'AGUA</t>
  </si>
  <si>
    <t>GROTA DO MEIO</t>
  </si>
  <si>
    <t>GROTAO</t>
  </si>
  <si>
    <t>GROTAO DE AXIXA</t>
  </si>
  <si>
    <t>ILH</t>
  </si>
  <si>
    <t>ILHA DO BANANAL</t>
  </si>
  <si>
    <t>IPU</t>
  </si>
  <si>
    <t>IPUEIRAS</t>
  </si>
  <si>
    <t>ITA</t>
  </si>
  <si>
    <t>ITACAJA</t>
  </si>
  <si>
    <t>ITAGUATINS</t>
  </si>
  <si>
    <t>ITAPORA DO TOCANTINS</t>
  </si>
  <si>
    <t>ITAUBA</t>
  </si>
  <si>
    <t>JAC</t>
  </si>
  <si>
    <t>JACILANDIA</t>
  </si>
  <si>
    <t>JAU</t>
  </si>
  <si>
    <t>JAU DO TOCANTINS</t>
  </si>
  <si>
    <t>JUA</t>
  </si>
  <si>
    <t>JUARINA</t>
  </si>
  <si>
    <t>JUV</t>
  </si>
  <si>
    <t>JUVERLANDIA</t>
  </si>
  <si>
    <t>LAG</t>
  </si>
  <si>
    <t>LAGO VERDE</t>
  </si>
  <si>
    <t>LAGOA DA CONFUSAO</t>
  </si>
  <si>
    <t>LAGOA DA PEDRA</t>
  </si>
  <si>
    <t>LAGOA DO ROMAO</t>
  </si>
  <si>
    <t>LAGOA SAO SALVADOR</t>
  </si>
  <si>
    <t>LAJ</t>
  </si>
  <si>
    <t>LAJEADO</t>
  </si>
  <si>
    <t>LAV</t>
  </si>
  <si>
    <t>LAVANDEIRA</t>
  </si>
  <si>
    <t>LIZ</t>
  </si>
  <si>
    <t>LIZARDA</t>
  </si>
  <si>
    <t>LUZ</t>
  </si>
  <si>
    <t>LUZINOPOLIS</t>
  </si>
  <si>
    <t>MAC</t>
  </si>
  <si>
    <t>MACAUBA</t>
  </si>
  <si>
    <t>MAN</t>
  </si>
  <si>
    <t>MANGUEIRA</t>
  </si>
  <si>
    <t>MANSINHA</t>
  </si>
  <si>
    <t>MAR</t>
  </si>
  <si>
    <t>MARAJA</t>
  </si>
  <si>
    <t>MARILANDIA</t>
  </si>
  <si>
    <t>MARTINOPOLIS</t>
  </si>
  <si>
    <t>MAT</t>
  </si>
  <si>
    <t>PON</t>
  </si>
  <si>
    <t>MATO REDONDO</t>
  </si>
  <si>
    <t>MAU</t>
  </si>
  <si>
    <t>MIM</t>
  </si>
  <si>
    <t>MIMOSA DOS MOREIRA</t>
  </si>
  <si>
    <t>MIN</t>
  </si>
  <si>
    <t>MINEIROPOLIS</t>
  </si>
  <si>
    <t>MIRANDOPOLIS</t>
  </si>
  <si>
    <t>MIRANORTE</t>
  </si>
  <si>
    <t>MON</t>
  </si>
  <si>
    <t>MOR</t>
  </si>
  <si>
    <t>MORADA NOVA</t>
  </si>
  <si>
    <t>MORRO SAO JOAO</t>
  </si>
  <si>
    <t>MUR</t>
  </si>
  <si>
    <t>MURICILANDIA</t>
  </si>
  <si>
    <t>NAT</t>
  </si>
  <si>
    <t>NAZ</t>
  </si>
  <si>
    <t>NAZARE</t>
  </si>
  <si>
    <t>NOV</t>
  </si>
  <si>
    <t>NOVA PINHEROPOLIS</t>
  </si>
  <si>
    <t>NOVA ROSALANDIA</t>
  </si>
  <si>
    <t>NOVO ALEGRE</t>
  </si>
  <si>
    <t>NOVO HORIZONTE</t>
  </si>
  <si>
    <t>NOVO HORIZONTE DO TOCANTINS</t>
  </si>
  <si>
    <t>NOVO HORIZONTE DO TOCANTINS I</t>
  </si>
  <si>
    <t>NOVO PLANO</t>
  </si>
  <si>
    <t>OLH</t>
  </si>
  <si>
    <t>OLHO D'AGUA</t>
  </si>
  <si>
    <t>OLI</t>
  </si>
  <si>
    <t>OLIVEIRA DE FATIMA</t>
  </si>
  <si>
    <t>PALMEIROPOLIS</t>
  </si>
  <si>
    <t>PAU</t>
  </si>
  <si>
    <t>PAU D'ARCO</t>
  </si>
  <si>
    <t>PED</t>
  </si>
  <si>
    <t>PEDRA DE AMOLAR</t>
  </si>
  <si>
    <t>PEIXELANDIA</t>
  </si>
  <si>
    <t>PEQ</t>
  </si>
  <si>
    <t>PEQUIZEIRO DO AXIXA</t>
  </si>
  <si>
    <t>PIA</t>
  </si>
  <si>
    <t>PIACAVA</t>
  </si>
  <si>
    <t>PIN</t>
  </si>
  <si>
    <t>PIR</t>
  </si>
  <si>
    <t>PIU</t>
  </si>
  <si>
    <t>PONTA DO ASFALTO</t>
  </si>
  <si>
    <t>PORTO ALEGRE DO TOCANTINS</t>
  </si>
  <si>
    <t>PORTO LEMOS</t>
  </si>
  <si>
    <t>POV</t>
  </si>
  <si>
    <t>POVOADO BANDEIRA</t>
  </si>
  <si>
    <t>POVOADO BURITI SAO MIGUEL</t>
  </si>
  <si>
    <t>POVOADO CACHOEIRINHA</t>
  </si>
  <si>
    <t>POVOADO CANA BRAVA</t>
  </si>
  <si>
    <t>POVOADO CENTRO DOS BORGES</t>
  </si>
  <si>
    <t>POVOADO CENTRO NOVO</t>
  </si>
  <si>
    <t>POVOADO CEORTA</t>
  </si>
  <si>
    <t>POVOADO CHAPADINHA</t>
  </si>
  <si>
    <t>POVOADO DEZENOVE</t>
  </si>
  <si>
    <t>POVOADO DO BROCO</t>
  </si>
  <si>
    <t>POVOADO DO RODEADORO</t>
  </si>
  <si>
    <t>POVOADO DOS BARROS</t>
  </si>
  <si>
    <t>POVOADO GENIPAPO</t>
  </si>
  <si>
    <t>POVOADO IMBURANA</t>
  </si>
  <si>
    <t>POVOADO JACARE</t>
  </si>
  <si>
    <t>POVOADO MATA GRANDE</t>
  </si>
  <si>
    <t>POVOADO MATINHA</t>
  </si>
  <si>
    <t>POVOADO MUMBUCA</t>
  </si>
  <si>
    <t>POVOADO OLHO D'AGUA</t>
  </si>
  <si>
    <t>POVOADO OLHO D'AGUA MEIO</t>
  </si>
  <si>
    <t>POVOADO PAPACONHA</t>
  </si>
  <si>
    <t>POVOADO PASSARINHO</t>
  </si>
  <si>
    <t>POVOADO PONTES</t>
  </si>
  <si>
    <t>POVOADO RIBEIRAO GRANDE II</t>
  </si>
  <si>
    <t>POVOADO RIBEIRAO GRANDE III</t>
  </si>
  <si>
    <t>POVOADO RIBEIRAOZINHO</t>
  </si>
  <si>
    <t>POVOADO SAO FRANCISCO</t>
  </si>
  <si>
    <t>POVOADO SAO JOAO</t>
  </si>
  <si>
    <t>POVOADO SAO PEDRO</t>
  </si>
  <si>
    <t>POVOADO SOROROCA</t>
  </si>
  <si>
    <t>PRA</t>
  </si>
  <si>
    <t>PRAIA NORTE</t>
  </si>
  <si>
    <t>PRE</t>
  </si>
  <si>
    <t>PRESIDENTE KENNEDY</t>
  </si>
  <si>
    <t>PRI</t>
  </si>
  <si>
    <t>PRINCIPE</t>
  </si>
  <si>
    <t>PUG</t>
  </si>
  <si>
    <t>QUI</t>
  </si>
  <si>
    <t>QUIXABEIRA</t>
  </si>
  <si>
    <t>REC</t>
  </si>
  <si>
    <t>RECURSOLANDIA</t>
  </si>
  <si>
    <t>RET</t>
  </si>
  <si>
    <t>RETIRO</t>
  </si>
  <si>
    <t>RIA</t>
  </si>
  <si>
    <t>RIACHINHO</t>
  </si>
  <si>
    <t>RIB</t>
  </si>
  <si>
    <t>RIBEIRAO GRANDE</t>
  </si>
  <si>
    <t>RIO</t>
  </si>
  <si>
    <t>RIO DA CONCEICAO</t>
  </si>
  <si>
    <t>ROS</t>
  </si>
  <si>
    <t>ROSALANDIA</t>
  </si>
  <si>
    <t>SAL</t>
  </si>
  <si>
    <t>SALVACAO</t>
  </si>
  <si>
    <t>SAM</t>
  </si>
  <si>
    <t>SAMPAIO</t>
  </si>
  <si>
    <t>SAN</t>
  </si>
  <si>
    <t>SANDOLANDIA</t>
  </si>
  <si>
    <t>SANTA CECILIA</t>
  </si>
  <si>
    <t>SANTA INEZ</t>
  </si>
  <si>
    <t>SANTA MARIA DO TOCANTINS</t>
  </si>
  <si>
    <t>SANTA ROSA PARAISO</t>
  </si>
  <si>
    <t>SANTA TEREZA DO TOCANTINS</t>
  </si>
  <si>
    <t>SANTA TEREZINHA DO TOCANTINS</t>
  </si>
  <si>
    <t>SANTANA</t>
  </si>
  <si>
    <t>SAO</t>
  </si>
  <si>
    <t>SAO FELIX DO TOCANTINS</t>
  </si>
  <si>
    <t>SAO FRANCISCO</t>
  </si>
  <si>
    <t>SAO JOAO</t>
  </si>
  <si>
    <t>SAO JOAO DO ARAGUAIA</t>
  </si>
  <si>
    <t>SAO JOAO DO JAVAE</t>
  </si>
  <si>
    <t>SAO LUIZ DAS PALMEIRAS</t>
  </si>
  <si>
    <t>SAO MIGUEL DO TOCANTINS</t>
  </si>
  <si>
    <t>SAO RAIMUNDO</t>
  </si>
  <si>
    <t>SAO SEBASTIAO</t>
  </si>
  <si>
    <t>SAO SEBASTIAO DO TOCANTINS</t>
  </si>
  <si>
    <t>SER</t>
  </si>
  <si>
    <t>SERRANOPOLIS</t>
  </si>
  <si>
    <t>SIL</t>
  </si>
  <si>
    <t>SIT</t>
  </si>
  <si>
    <t>SITIO NOVO DO TOCANTINS</t>
  </si>
  <si>
    <t>SOB</t>
  </si>
  <si>
    <t>SOBRADINHO</t>
  </si>
  <si>
    <t>SUC</t>
  </si>
  <si>
    <t>SUCUPIRA</t>
  </si>
  <si>
    <t>SUM</t>
  </si>
  <si>
    <t>SUMAUMA</t>
  </si>
  <si>
    <t>TAG</t>
  </si>
  <si>
    <t>TAI</t>
  </si>
  <si>
    <t>TAL</t>
  </si>
  <si>
    <t>TALISMA</t>
  </si>
  <si>
    <t>TAQUARUSSU DO PORTO</t>
  </si>
  <si>
    <t>TOCANTINIA</t>
  </si>
  <si>
    <t>TRA</t>
  </si>
  <si>
    <t>TRANSARAGUAIA</t>
  </si>
  <si>
    <t>TRE</t>
  </si>
  <si>
    <t>TREVO DA PRAIA</t>
  </si>
  <si>
    <t>TUC</t>
  </si>
  <si>
    <t>TUCUNS</t>
  </si>
  <si>
    <t>TUP</t>
  </si>
  <si>
    <t>TUPIRATA</t>
  </si>
  <si>
    <t>TUPIRATINS</t>
  </si>
  <si>
    <t>VIL</t>
  </si>
  <si>
    <t>VILA DEPASA</t>
  </si>
  <si>
    <t>VILA LUZIMANGUES</t>
  </si>
  <si>
    <t>VILA SAO MIGUEL</t>
  </si>
  <si>
    <t>VILA UNIAO</t>
  </si>
  <si>
    <t>VILA UNIAO-TALISMA</t>
  </si>
  <si>
    <t>VIN</t>
  </si>
  <si>
    <t>VINTE MIL</t>
  </si>
  <si>
    <t>VINTE MIL - AUGUSTINOPOLIS</t>
  </si>
  <si>
    <t>VINTE MIL - AUGUSTINOPOLIS.</t>
  </si>
  <si>
    <t>WAN</t>
  </si>
  <si>
    <t>XAM</t>
  </si>
  <si>
    <t>XAMBIOA</t>
  </si>
  <si>
    <t>RELIGADOR</t>
  </si>
  <si>
    <t>REGULADOR</t>
  </si>
  <si>
    <t>1º critério</t>
  </si>
  <si>
    <t>Localização</t>
  </si>
  <si>
    <t>Funcionamento por fonte alternativa</t>
  </si>
  <si>
    <t>condições</t>
  </si>
  <si>
    <t>Clientes UB</t>
  </si>
  <si>
    <t>Clientes RR</t>
  </si>
  <si>
    <t xml:space="preserve">Não </t>
  </si>
  <si>
    <t>Não tem</t>
  </si>
  <si>
    <t>pesos</t>
  </si>
  <si>
    <t>2º critério</t>
  </si>
  <si>
    <t>Quantidade de clientes</t>
  </si>
  <si>
    <t>Atendimento de RDU</t>
  </si>
  <si>
    <t>Acima de 1000</t>
  </si>
  <si>
    <t>Até 1000</t>
  </si>
  <si>
    <t>Outro RL (RDU)</t>
  </si>
  <si>
    <t>Até 500</t>
  </si>
  <si>
    <t>3º critério</t>
  </si>
  <si>
    <t>Clientes Grupo A</t>
  </si>
  <si>
    <t>Risco do Imagem</t>
  </si>
  <si>
    <t>GA relevante</t>
  </si>
  <si>
    <t>Não relevante</t>
  </si>
  <si>
    <t>Não tem GA</t>
  </si>
  <si>
    <t>4º critério</t>
  </si>
  <si>
    <t>Risco de imagem</t>
  </si>
  <si>
    <t>5º critério</t>
  </si>
  <si>
    <t>Contém fonte alternativa</t>
  </si>
  <si>
    <t>Sensibilidade da operação</t>
  </si>
  <si>
    <t>Tem transferência</t>
  </si>
  <si>
    <t>6º critério</t>
  </si>
  <si>
    <t>Religador de Transferência</t>
  </si>
  <si>
    <t>7º critério</t>
  </si>
  <si>
    <t>Ramal radial</t>
  </si>
  <si>
    <t>8º critério</t>
  </si>
  <si>
    <t>Matriz de criticidade</t>
  </si>
  <si>
    <t>Nível</t>
  </si>
  <si>
    <t>Tipo de equipamento</t>
  </si>
  <si>
    <t>X &gt;= 80</t>
  </si>
  <si>
    <t>X &gt; 80</t>
  </si>
  <si>
    <t>50 &lt;= X &lt; 80</t>
  </si>
  <si>
    <t>60 &lt;= X &lt;= 80</t>
  </si>
  <si>
    <t>30 &lt;= X &lt; 50</t>
  </si>
  <si>
    <t>30 &lt; X &lt; 60</t>
  </si>
  <si>
    <t>X &lt; 30</t>
  </si>
  <si>
    <t>X &lt;=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</si>
</sst>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b/>
      <sz val="10"/>
      <color theme="0"/>
      <name val="Calibri"/>
      <family val="2"/>
    </font>
    <font>
      <b/>
      <sz val="10"/>
      <color theme="1"/>
      <name val="Calibri"/>
      <family val="2"/>
      <scheme val="minor"/>
    </font>
    <font>
      <sz val="10"/>
      <name val="Calibri"/>
      <family val="2"/>
    </font>
    <font>
      <sz val="11"/>
      <color rgb="FFFF0000"/>
      <name val="Calibri"/>
      <family val="2"/>
      <scheme val="minor"/>
    </font>
    <font>
      <sz val="9"/>
      <color theme="1"/>
      <name val="Segoe UI"/>
      <family val="2"/>
    </font>
    <font>
      <u/>
      <sz val="11"/>
      <color theme="10"/>
      <name val="Calibri"/>
      <family val="2"/>
      <scheme val="minor"/>
    </font>
    <font>
      <b/>
      <sz val="11"/>
      <color theme="0"/>
      <name val="Aptos Narrow"/>
      <family val="2"/>
      <scheme val="minor"/>
    </font>
    <font>
      <b/>
      <sz val="11"/>
      <color theme="9"/>
      <name val="Aptos Narrow"/>
      <family val="2"/>
      <scheme val="minor"/>
    </font>
    <font>
      <sz val="11"/>
      <name val="Aptos Narrow"/>
      <family val="2"/>
      <scheme val="minor"/>
    </font>
    <font>
      <sz val="11"/>
      <color rgb="FF000000"/>
      <name val="Aptos Narrow"/>
      <family val="2"/>
      <scheme val="minor"/>
    </font>
    <font>
      <sz val="11"/>
      <color rgb="FFFF0000"/>
      <name val="Aptos Narrow"/>
      <family val="2"/>
      <scheme val="minor"/>
    </font>
    <font>
      <b/>
      <sz val="11"/>
      <color rgb="FFFF0000"/>
      <name val="Aptos Narrow"/>
      <family val="2"/>
      <scheme val="minor"/>
    </font>
  </fonts>
  <fills count="20">
    <fill>
      <patternFill patternType="none"/>
    </fill>
    <fill>
      <patternFill patternType="gray125"/>
    </fill>
    <fill>
      <patternFill patternType="solid">
        <fgColor theme="3" tint="9.9978637043366805E-2"/>
        <bgColor indexed="64"/>
      </patternFill>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rgb="FFFFC000"/>
        <bgColor indexed="64"/>
      </patternFill>
    </fill>
    <fill>
      <patternFill patternType="solid">
        <fgColor rgb="FF009FC2"/>
        <bgColor indexed="64"/>
      </patternFill>
    </fill>
    <fill>
      <patternFill patternType="solid">
        <fgColor theme="0" tint="-0.34998626667073579"/>
        <bgColor indexed="64"/>
      </patternFill>
    </fill>
    <fill>
      <patternFill patternType="solid">
        <fgColor theme="9"/>
        <bgColor indexed="64"/>
      </patternFill>
    </fill>
    <fill>
      <patternFill patternType="solid">
        <fgColor rgb="FFFF0000"/>
        <bgColor indexed="64"/>
      </patternFill>
    </fill>
    <fill>
      <patternFill patternType="solid">
        <fgColor theme="0"/>
        <bgColor indexed="64"/>
      </patternFill>
    </fill>
    <fill>
      <patternFill patternType="solid">
        <fgColor theme="7"/>
        <bgColor indexed="64"/>
      </patternFill>
    </fill>
    <fill>
      <patternFill patternType="solid">
        <fgColor rgb="FF00B0F0"/>
        <bgColor indexed="64"/>
      </patternFill>
    </fill>
    <fill>
      <patternFill patternType="solid">
        <fgColor rgb="FF0070C0"/>
        <bgColor indexed="64"/>
      </patternFill>
    </fill>
    <fill>
      <patternFill patternType="solid">
        <fgColor theme="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249977111117893"/>
        <bgColor indexed="64"/>
      </patternFill>
    </fill>
  </fills>
  <borders count="23">
    <border>
      <left/>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0" tint="-0.14999847407452621"/>
      </right>
      <top style="thin">
        <color theme="0" tint="-0.14999847407452621"/>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style="thin">
        <color theme="0"/>
      </right>
      <top style="thin">
        <color theme="0"/>
      </top>
      <bottom/>
      <diagonal/>
    </border>
    <border>
      <left/>
      <right style="thin">
        <color theme="0" tint="-0.14999847407452621"/>
      </right>
      <top/>
      <bottom/>
      <diagonal/>
    </border>
    <border>
      <left/>
      <right style="thin">
        <color theme="0" tint="-0.14999847407452621"/>
      </right>
      <top style="thin">
        <color theme="0"/>
      </top>
      <bottom/>
      <diagonal/>
    </border>
    <border>
      <left style="thin">
        <color theme="0" tint="-0.14999847407452621"/>
      </left>
      <right style="thin">
        <color theme="0"/>
      </right>
      <top style="thin">
        <color theme="0"/>
      </top>
      <bottom style="thin">
        <color theme="0"/>
      </bottom>
      <diagonal/>
    </border>
    <border>
      <left style="thin">
        <color theme="0"/>
      </left>
      <right style="thin">
        <color theme="0" tint="-0.14999847407452621"/>
      </right>
      <top style="thin">
        <color theme="0"/>
      </top>
      <bottom style="thin">
        <color theme="0"/>
      </bottom>
      <diagonal/>
    </border>
    <border>
      <left/>
      <right style="thin">
        <color theme="0" tint="-0.14999847407452621"/>
      </right>
      <top style="thin">
        <color theme="0" tint="-0.14999847407452621"/>
      </top>
      <bottom style="thin">
        <color theme="0"/>
      </bottom>
      <diagonal/>
    </border>
    <border>
      <left style="thin">
        <color theme="0"/>
      </left>
      <right style="thin">
        <color theme="0" tint="-0.14999847407452621"/>
      </right>
      <top/>
      <bottom style="thin">
        <color theme="0"/>
      </bottom>
      <diagonal/>
    </border>
    <border>
      <left style="thin">
        <color theme="0"/>
      </left>
      <right/>
      <top/>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123">
    <xf numFmtId="0" fontId="0" fillId="0" borderId="0" xfId="0"/>
    <xf numFmtId="0" fontId="1" fillId="2" borderId="0" xfId="0" applyFont="1" applyFill="1"/>
    <xf numFmtId="0" fontId="2" fillId="0" borderId="0" xfId="0" applyFont="1"/>
    <xf numFmtId="0" fontId="1" fillId="3" borderId="0" xfId="0" applyFont="1" applyFill="1"/>
    <xf numFmtId="0" fontId="0" fillId="0" borderId="0" xfId="0" applyAlignment="1">
      <alignment horizontal="center"/>
    </xf>
    <xf numFmtId="0" fontId="0" fillId="0" borderId="0" xfId="0" applyAlignment="1">
      <alignment horizontal="center" vertical="center"/>
    </xf>
    <xf numFmtId="0" fontId="2" fillId="4" borderId="1" xfId="0" applyFont="1" applyFill="1" applyBorder="1" applyAlignment="1">
      <alignment horizontal="center"/>
    </xf>
    <xf numFmtId="14" fontId="0" fillId="0" borderId="0" xfId="0" applyNumberFormat="1"/>
    <xf numFmtId="0" fontId="0" fillId="0" borderId="3" xfId="0" applyBorder="1" applyAlignment="1">
      <alignment horizontal="center"/>
    </xf>
    <xf numFmtId="14" fontId="0" fillId="0" borderId="0" xfId="0" applyNumberFormat="1" applyAlignment="1">
      <alignment horizontal="center"/>
    </xf>
    <xf numFmtId="0" fontId="0" fillId="0" borderId="0" xfId="0" applyAlignment="1">
      <alignment horizontal="left"/>
    </xf>
    <xf numFmtId="0" fontId="3" fillId="0" borderId="0" xfId="0" applyFont="1" applyAlignment="1">
      <alignment horizontal="center"/>
    </xf>
    <xf numFmtId="0" fontId="0" fillId="7" borderId="0" xfId="0" applyFill="1" applyAlignment="1">
      <alignment horizontal="center"/>
    </xf>
    <xf numFmtId="0" fontId="0" fillId="0" borderId="0" xfId="0" pivotButton="1"/>
    <xf numFmtId="0" fontId="4" fillId="8" borderId="6" xfId="0" applyFont="1" applyFill="1" applyBorder="1" applyAlignment="1">
      <alignment horizontal="center" vertical="center"/>
    </xf>
    <xf numFmtId="0" fontId="5" fillId="0" borderId="9" xfId="0" applyFont="1" applyBorder="1" applyAlignment="1">
      <alignment horizontal="center"/>
    </xf>
    <xf numFmtId="0" fontId="5" fillId="0" borderId="8" xfId="0" applyFont="1" applyBorder="1" applyAlignment="1">
      <alignment horizontal="center"/>
    </xf>
    <xf numFmtId="0" fontId="4" fillId="8" borderId="10" xfId="0" applyFont="1" applyFill="1" applyBorder="1" applyAlignment="1">
      <alignment horizontal="center" vertical="center"/>
    </xf>
    <xf numFmtId="0" fontId="4" fillId="8" borderId="11" xfId="0" applyFont="1" applyFill="1" applyBorder="1" applyAlignment="1">
      <alignment horizontal="center" vertical="center"/>
    </xf>
    <xf numFmtId="0" fontId="4" fillId="8" borderId="13" xfId="0" applyFont="1" applyFill="1" applyBorder="1" applyAlignment="1">
      <alignment horizontal="center" vertical="center"/>
    </xf>
    <xf numFmtId="0" fontId="0" fillId="0" borderId="14" xfId="0" applyBorder="1"/>
    <xf numFmtId="0" fontId="4" fillId="8" borderId="15" xfId="0" applyFont="1" applyFill="1" applyBorder="1" applyAlignment="1">
      <alignment horizontal="center" vertical="center"/>
    </xf>
    <xf numFmtId="0" fontId="4" fillId="9" borderId="15" xfId="0" applyFont="1" applyFill="1" applyBorder="1" applyAlignment="1">
      <alignment horizontal="center" vertical="center"/>
    </xf>
    <xf numFmtId="0" fontId="6" fillId="0" borderId="9" xfId="0" applyFont="1" applyBorder="1" applyAlignment="1">
      <alignment horizontal="center" vertical="center" wrapText="1"/>
    </xf>
    <xf numFmtId="0" fontId="6" fillId="0" borderId="8"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2" xfId="0" applyFont="1" applyBorder="1" applyAlignment="1">
      <alignment horizontal="center" vertical="center" wrapText="1"/>
    </xf>
    <xf numFmtId="0" fontId="2" fillId="6" borderId="0" xfId="0" applyFont="1" applyFill="1"/>
    <xf numFmtId="0" fontId="0" fillId="11" borderId="0" xfId="0" applyFill="1" applyAlignment="1">
      <alignment horizontal="center"/>
    </xf>
    <xf numFmtId="0" fontId="0" fillId="0" borderId="0" xfId="0" applyAlignment="1">
      <alignment horizontal="left" vertical="center"/>
    </xf>
    <xf numFmtId="0" fontId="0" fillId="0" borderId="0" xfId="0" applyAlignment="1">
      <alignment horizontal="right"/>
    </xf>
    <xf numFmtId="0" fontId="0" fillId="0" borderId="0" xfId="0" applyAlignment="1">
      <alignment horizontal="right" vertical="center"/>
    </xf>
    <xf numFmtId="0" fontId="0" fillId="12" borderId="0" xfId="0" applyFill="1"/>
    <xf numFmtId="0" fontId="0" fillId="13" borderId="0" xfId="0" applyFill="1"/>
    <xf numFmtId="0" fontId="0" fillId="10" borderId="0" xfId="0" applyFill="1"/>
    <xf numFmtId="0" fontId="7" fillId="11" borderId="0" xfId="0" applyFont="1" applyFill="1"/>
    <xf numFmtId="0" fontId="0" fillId="11" borderId="0" xfId="0" applyFill="1"/>
    <xf numFmtId="49" fontId="0" fillId="11" borderId="17" xfId="0" applyNumberFormat="1" applyFill="1" applyBorder="1" applyAlignment="1">
      <alignment horizontal="center" vertical="center"/>
    </xf>
    <xf numFmtId="14" fontId="0" fillId="0" borderId="0" xfId="0" applyNumberFormat="1" applyAlignment="1">
      <alignment horizontal="center" vertical="center"/>
    </xf>
    <xf numFmtId="0" fontId="0" fillId="14" borderId="0" xfId="0" applyFill="1" applyAlignment="1">
      <alignment horizontal="center"/>
    </xf>
    <xf numFmtId="0" fontId="0" fillId="12" borderId="0" xfId="0" applyFill="1" applyAlignment="1">
      <alignment horizontal="center"/>
    </xf>
    <xf numFmtId="16" fontId="0" fillId="0" borderId="0" xfId="0" applyNumberFormat="1" applyAlignment="1">
      <alignment horizontal="center"/>
    </xf>
    <xf numFmtId="0" fontId="0" fillId="0" borderId="0" xfId="0" applyAlignment="1">
      <alignment horizontal="left" wrapText="1"/>
    </xf>
    <xf numFmtId="0" fontId="0" fillId="7" borderId="0" xfId="0" applyFill="1" applyAlignment="1">
      <alignment horizontal="center" vertical="center"/>
    </xf>
    <xf numFmtId="0" fontId="0" fillId="7" borderId="0" xfId="0" applyFill="1" applyAlignment="1">
      <alignment horizontal="left" vertical="center"/>
    </xf>
    <xf numFmtId="0" fontId="0" fillId="7" borderId="0" xfId="0" applyFill="1" applyAlignment="1">
      <alignment horizontal="right" vertical="center"/>
    </xf>
    <xf numFmtId="0" fontId="0" fillId="7" borderId="0" xfId="0" applyFill="1"/>
    <xf numFmtId="0" fontId="8" fillId="0" borderId="0" xfId="0" applyFont="1"/>
    <xf numFmtId="0" fontId="0" fillId="0" borderId="0" xfId="0" applyAlignment="1">
      <alignment horizontal="left" indent="1"/>
    </xf>
    <xf numFmtId="0" fontId="9" fillId="0" borderId="0" xfId="1" applyAlignment="1">
      <alignment horizontal="center"/>
    </xf>
    <xf numFmtId="0" fontId="0" fillId="0" borderId="0" xfId="0" applyAlignment="1">
      <alignment horizontal="center" wrapText="1"/>
    </xf>
    <xf numFmtId="0" fontId="10" fillId="15" borderId="17" xfId="0" applyFont="1" applyFill="1" applyBorder="1" applyAlignment="1">
      <alignment horizontal="center" vertical="center"/>
    </xf>
    <xf numFmtId="0" fontId="10" fillId="15" borderId="17" xfId="0" applyFont="1" applyFill="1" applyBorder="1" applyAlignment="1">
      <alignment horizontal="center" vertical="center" wrapText="1"/>
    </xf>
    <xf numFmtId="0" fontId="10" fillId="16" borderId="17" xfId="0" applyFont="1" applyFill="1" applyBorder="1" applyAlignment="1">
      <alignment horizontal="center" vertical="center" wrapText="1"/>
    </xf>
    <xf numFmtId="49" fontId="10" fillId="16" borderId="17" xfId="0" applyNumberFormat="1" applyFont="1" applyFill="1"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14" fontId="0" fillId="0" borderId="17" xfId="0" applyNumberFormat="1" applyBorder="1" applyAlignment="1">
      <alignment horizontal="center" vertical="center"/>
    </xf>
    <xf numFmtId="49" fontId="0" fillId="10" borderId="17" xfId="0" applyNumberFormat="1" applyFill="1" applyBorder="1" applyAlignment="1">
      <alignment horizontal="center" vertical="center"/>
    </xf>
    <xf numFmtId="49" fontId="0" fillId="0" borderId="17" xfId="0" applyNumberFormat="1" applyBorder="1" applyAlignment="1">
      <alignment horizontal="center" vertical="center"/>
    </xf>
    <xf numFmtId="0" fontId="0" fillId="17" borderId="17" xfId="0" applyFill="1" applyBorder="1" applyAlignment="1">
      <alignment horizontal="center" vertical="center"/>
    </xf>
    <xf numFmtId="0" fontId="11" fillId="0" borderId="17" xfId="0" applyFont="1" applyBorder="1" applyAlignment="1">
      <alignment horizontal="center" vertical="center"/>
    </xf>
    <xf numFmtId="0" fontId="12" fillId="0" borderId="17" xfId="0" applyFont="1" applyBorder="1" applyAlignment="1">
      <alignment horizontal="center" vertical="center" wrapText="1"/>
    </xf>
    <xf numFmtId="0" fontId="0" fillId="11" borderId="17" xfId="0" applyFill="1" applyBorder="1" applyAlignment="1">
      <alignment horizontal="center" vertical="center"/>
    </xf>
    <xf numFmtId="14" fontId="0" fillId="10" borderId="17" xfId="0" applyNumberFormat="1" applyFill="1" applyBorder="1" applyAlignment="1">
      <alignment horizontal="center" vertical="center"/>
    </xf>
    <xf numFmtId="0" fontId="13" fillId="0" borderId="17" xfId="0" applyFont="1" applyBorder="1" applyAlignment="1">
      <alignment horizontal="center" vertical="center" wrapText="1"/>
    </xf>
    <xf numFmtId="0" fontId="13" fillId="0" borderId="17" xfId="0" applyFont="1" applyBorder="1" applyAlignment="1">
      <alignment horizontal="center" vertical="center"/>
    </xf>
    <xf numFmtId="14" fontId="13" fillId="0" borderId="17" xfId="0" applyNumberFormat="1" applyFont="1" applyBorder="1" applyAlignment="1">
      <alignment horizontal="center" vertical="center"/>
    </xf>
    <xf numFmtId="49" fontId="13" fillId="6" borderId="17" xfId="0" applyNumberFormat="1" applyFont="1" applyFill="1" applyBorder="1" applyAlignment="1">
      <alignment horizontal="center" vertical="center"/>
    </xf>
    <xf numFmtId="49" fontId="13" fillId="0" borderId="17" xfId="0" applyNumberFormat="1" applyFont="1" applyBorder="1" applyAlignment="1">
      <alignment horizontal="center" vertical="center"/>
    </xf>
    <xf numFmtId="0" fontId="14" fillId="0" borderId="17" xfId="0" applyFont="1" applyBorder="1" applyAlignment="1">
      <alignment horizontal="center" vertical="center"/>
    </xf>
    <xf numFmtId="0" fontId="13" fillId="18" borderId="17" xfId="0" applyFont="1" applyFill="1" applyBorder="1" applyAlignment="1">
      <alignment horizontal="center" vertical="center"/>
    </xf>
    <xf numFmtId="14" fontId="0" fillId="19" borderId="17" xfId="0" applyNumberFormat="1" applyFill="1" applyBorder="1" applyAlignment="1">
      <alignment horizontal="center" vertical="center"/>
    </xf>
    <xf numFmtId="49" fontId="0" fillId="6" borderId="17" xfId="0" applyNumberFormat="1" applyFill="1" applyBorder="1" applyAlignment="1">
      <alignment horizontal="center" vertical="center"/>
    </xf>
    <xf numFmtId="0" fontId="12" fillId="0" borderId="17" xfId="0" applyFont="1" applyBorder="1" applyAlignment="1">
      <alignment horizontal="center" vertical="center"/>
    </xf>
    <xf numFmtId="14" fontId="0" fillId="7" borderId="17" xfId="0" applyNumberFormat="1" applyFill="1" applyBorder="1" applyAlignment="1">
      <alignment horizontal="center" vertical="center"/>
    </xf>
    <xf numFmtId="49" fontId="0" fillId="7" borderId="17" xfId="0" applyNumberFormat="1" applyFill="1" applyBorder="1" applyAlignment="1">
      <alignment horizontal="center" vertical="center"/>
    </xf>
    <xf numFmtId="0" fontId="0" fillId="18" borderId="17" xfId="0" applyFill="1" applyBorder="1" applyAlignment="1">
      <alignment horizontal="center" vertical="center"/>
    </xf>
    <xf numFmtId="49" fontId="0" fillId="7" borderId="17" xfId="0" quotePrefix="1" applyNumberFormat="1" applyFill="1" applyBorder="1" applyAlignment="1">
      <alignment horizontal="center" vertical="center"/>
    </xf>
    <xf numFmtId="49" fontId="0" fillId="0" borderId="17" xfId="0" quotePrefix="1" applyNumberFormat="1" applyBorder="1" applyAlignment="1">
      <alignment horizontal="center" vertical="center"/>
    </xf>
    <xf numFmtId="0" fontId="0" fillId="0" borderId="17" xfId="0" quotePrefix="1" applyBorder="1" applyAlignment="1">
      <alignment horizontal="center" vertical="center"/>
    </xf>
    <xf numFmtId="0" fontId="0" fillId="7" borderId="17" xfId="0" applyFill="1" applyBorder="1" applyAlignment="1">
      <alignment horizontal="center" vertical="center" wrapText="1"/>
    </xf>
    <xf numFmtId="0" fontId="11" fillId="0" borderId="17" xfId="0" applyFont="1" applyBorder="1" applyAlignment="1">
      <alignment horizontal="center" vertical="center" wrapText="1"/>
    </xf>
    <xf numFmtId="0" fontId="0" fillId="7" borderId="17" xfId="0" applyFill="1" applyBorder="1" applyAlignment="1">
      <alignment horizontal="center" vertical="center"/>
    </xf>
    <xf numFmtId="0" fontId="0" fillId="12" borderId="17" xfId="0" applyFill="1" applyBorder="1" applyAlignment="1">
      <alignment horizontal="center" vertical="center" wrapText="1"/>
    </xf>
    <xf numFmtId="49" fontId="0" fillId="11" borderId="0" xfId="0" applyNumberFormat="1" applyFill="1" applyAlignment="1">
      <alignment horizontal="center" vertical="center"/>
    </xf>
    <xf numFmtId="0" fontId="15" fillId="0" borderId="17" xfId="0" applyFont="1" applyBorder="1" applyAlignment="1">
      <alignment horizontal="center" vertical="center"/>
    </xf>
    <xf numFmtId="49" fontId="0" fillId="7" borderId="18" xfId="0" applyNumberFormat="1" applyFill="1" applyBorder="1" applyAlignment="1">
      <alignment horizontal="center" vertical="center"/>
    </xf>
    <xf numFmtId="49" fontId="0" fillId="10" borderId="18" xfId="0" applyNumberFormat="1" applyFill="1" applyBorder="1" applyAlignment="1">
      <alignment horizontal="center" vertical="center"/>
    </xf>
    <xf numFmtId="0" fontId="0" fillId="12" borderId="17" xfId="0" applyFill="1" applyBorder="1" applyAlignment="1">
      <alignment horizontal="center" vertical="center"/>
    </xf>
    <xf numFmtId="14" fontId="0" fillId="12" borderId="17" xfId="0" applyNumberFormat="1" applyFill="1" applyBorder="1" applyAlignment="1">
      <alignment horizontal="center" vertical="center"/>
    </xf>
    <xf numFmtId="14" fontId="0" fillId="12" borderId="19" xfId="0" applyNumberFormat="1" applyFill="1" applyBorder="1" applyAlignment="1">
      <alignment horizontal="center" vertical="center"/>
    </xf>
    <xf numFmtId="49" fontId="0" fillId="11" borderId="17" xfId="0" applyNumberFormat="1" applyFill="1" applyBorder="1" applyAlignment="1">
      <alignment horizontal="center" vertical="center" wrapText="1"/>
    </xf>
    <xf numFmtId="49" fontId="0" fillId="10" borderId="20" xfId="0" applyNumberFormat="1" applyFill="1" applyBorder="1" applyAlignment="1">
      <alignment horizontal="center" vertical="center" wrapText="1"/>
    </xf>
    <xf numFmtId="0" fontId="0" fillId="12" borderId="20" xfId="0" applyFill="1" applyBorder="1" applyAlignment="1">
      <alignment horizontal="center" vertical="center" wrapText="1"/>
    </xf>
    <xf numFmtId="49" fontId="0" fillId="7" borderId="21" xfId="0" applyNumberFormat="1" applyFill="1" applyBorder="1" applyAlignment="1">
      <alignment horizontal="center" vertical="center"/>
    </xf>
    <xf numFmtId="49" fontId="0" fillId="11" borderId="21" xfId="0" applyNumberFormat="1" applyFill="1" applyBorder="1" applyAlignment="1">
      <alignment horizontal="center" vertical="center"/>
    </xf>
    <xf numFmtId="49" fontId="0" fillId="11" borderId="17" xfId="0" quotePrefix="1" applyNumberFormat="1" applyFill="1" applyBorder="1" applyAlignment="1">
      <alignment horizontal="center" vertical="center"/>
    </xf>
    <xf numFmtId="0" fontId="0" fillId="0" borderId="0" xfId="0" quotePrefix="1" applyAlignment="1">
      <alignment horizontal="center" vertical="center"/>
    </xf>
    <xf numFmtId="49" fontId="0" fillId="7" borderId="17" xfId="0" applyNumberFormat="1" applyFill="1" applyBorder="1" applyAlignment="1">
      <alignment horizontal="center"/>
    </xf>
    <xf numFmtId="49" fontId="0" fillId="10" borderId="17" xfId="0" applyNumberFormat="1" applyFill="1" applyBorder="1" applyAlignment="1">
      <alignment horizontal="center"/>
    </xf>
    <xf numFmtId="14" fontId="0" fillId="11" borderId="17" xfId="0" applyNumberFormat="1" applyFill="1" applyBorder="1" applyAlignment="1">
      <alignment horizontal="center" vertical="center"/>
    </xf>
    <xf numFmtId="0" fontId="12" fillId="12" borderId="17" xfId="0" applyFont="1" applyFill="1" applyBorder="1" applyAlignment="1">
      <alignment horizontal="center" vertical="center" wrapText="1"/>
    </xf>
    <xf numFmtId="0" fontId="0" fillId="0" borderId="22" xfId="0" applyBorder="1" applyAlignment="1">
      <alignment horizontal="center"/>
    </xf>
    <xf numFmtId="0" fontId="0" fillId="0" borderId="22" xfId="0" applyBorder="1" applyAlignment="1">
      <alignment horizontal="center" vertical="center"/>
    </xf>
    <xf numFmtId="0" fontId="0" fillId="0" borderId="22" xfId="0" applyBorder="1"/>
    <xf numFmtId="14" fontId="0" fillId="0" borderId="22" xfId="0" applyNumberFormat="1" applyBorder="1" applyAlignment="1">
      <alignment horizontal="center"/>
    </xf>
    <xf numFmtId="0" fontId="0" fillId="0" borderId="22" xfId="0" quotePrefix="1" applyBorder="1" applyAlignment="1">
      <alignment horizontal="center"/>
    </xf>
    <xf numFmtId="0" fontId="0" fillId="10" borderId="22" xfId="0" quotePrefix="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4" fillId="8" borderId="5" xfId="0" applyFont="1" applyFill="1" applyBorder="1" applyAlignment="1">
      <alignment horizontal="center" vertical="center"/>
    </xf>
    <xf numFmtId="0" fontId="4" fillId="9" borderId="7" xfId="0" applyFont="1" applyFill="1" applyBorder="1" applyAlignment="1">
      <alignment horizontal="center" vertical="center"/>
    </xf>
    <xf numFmtId="0" fontId="4" fillId="9" borderId="16" xfId="0" applyFont="1" applyFill="1" applyBorder="1" applyAlignment="1">
      <alignment horizontal="center" vertical="center"/>
    </xf>
    <xf numFmtId="0" fontId="4" fillId="8" borderId="14" xfId="0" applyFont="1" applyFill="1" applyBorder="1" applyAlignment="1">
      <alignment horizontal="center" vertical="center"/>
    </xf>
    <xf numFmtId="0" fontId="4" fillId="8" borderId="6" xfId="0" applyFont="1" applyFill="1" applyBorder="1" applyAlignment="1">
      <alignment horizontal="center" vertical="center"/>
    </xf>
    <xf numFmtId="0" fontId="10" fillId="15" borderId="17" xfId="0" applyFont="1" applyFill="1" applyBorder="1" applyAlignment="1">
      <alignment horizontal="center" vertical="center"/>
    </xf>
    <xf numFmtId="0" fontId="10" fillId="16" borderId="17" xfId="0" applyFont="1" applyFill="1" applyBorder="1" applyAlignment="1">
      <alignment horizontal="center" vertical="center"/>
    </xf>
    <xf numFmtId="49" fontId="10" fillId="16" borderId="17" xfId="0" applyNumberFormat="1" applyFont="1" applyFill="1" applyBorder="1" applyAlignment="1">
      <alignment horizontal="center" vertical="center"/>
    </xf>
    <xf numFmtId="0" fontId="1" fillId="2" borderId="0" xfId="0" applyFont="1" applyFill="1" applyAlignment="1">
      <alignment horizontal="center"/>
    </xf>
    <xf numFmtId="0" fontId="2" fillId="4" borderId="0" xfId="0" applyFont="1" applyFill="1" applyAlignment="1">
      <alignment horizontal="center"/>
    </xf>
    <xf numFmtId="0" fontId="2" fillId="4" borderId="0" xfId="0" applyFont="1" applyFill="1" applyAlignment="1">
      <alignment horizontal="center" vertical="center"/>
    </xf>
    <xf numFmtId="0" fontId="2" fillId="4" borderId="1" xfId="0" applyFont="1" applyFill="1" applyBorder="1" applyAlignment="1">
      <alignment horizontal="center" vertical="center"/>
    </xf>
  </cellXfs>
  <cellStyles count="2">
    <cellStyle name="Hyperlink" xfId="1" xr:uid="{00000000-000B-0000-0000-000008000000}"/>
    <cellStyle name="Normal" xfId="0" builtinId="0"/>
  </cellStyles>
  <dxfs count="10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bottom"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bottom"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bottom"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left"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vertical="center"/>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22</xdr:col>
      <xdr:colOff>219635</xdr:colOff>
      <xdr:row>131</xdr:row>
      <xdr:rowOff>79081</xdr:rowOff>
    </xdr:from>
    <xdr:to>
      <xdr:col>24</xdr:col>
      <xdr:colOff>3283484</xdr:colOff>
      <xdr:row>179</xdr:row>
      <xdr:rowOff>88606</xdr:rowOff>
    </xdr:to>
    <xdr:pic>
      <xdr:nvPicPr>
        <xdr:cNvPr id="2" name="Imagem 1">
          <a:extLst>
            <a:ext uri="{FF2B5EF4-FFF2-40B4-BE49-F238E27FC236}">
              <a16:creationId xmlns:a16="http://schemas.microsoft.com/office/drawing/2014/main" id="{4CE5B968-A6F3-4297-9AE7-2F5A7DBF9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987510" y="25472731"/>
          <a:ext cx="4759299" cy="915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4027715</xdr:colOff>
      <xdr:row>131</xdr:row>
      <xdr:rowOff>84846</xdr:rowOff>
    </xdr:from>
    <xdr:to>
      <xdr:col>24</xdr:col>
      <xdr:colOff>8708572</xdr:colOff>
      <xdr:row>164</xdr:row>
      <xdr:rowOff>95250</xdr:rowOff>
    </xdr:to>
    <xdr:pic>
      <xdr:nvPicPr>
        <xdr:cNvPr id="3" name="Imagem 2">
          <a:extLst>
            <a:ext uri="{FF2B5EF4-FFF2-40B4-BE49-F238E27FC236}">
              <a16:creationId xmlns:a16="http://schemas.microsoft.com/office/drawing/2014/main" id="{AED64EA5-9357-4776-A73C-E27A420F62DC}"/>
            </a:ext>
            <a:ext uri="{147F2762-F138-4A5C-976F-8EAC2B608ADB}">
              <a16:predDERef xmlns:a16="http://schemas.microsoft.com/office/drawing/2014/main" pred="{4CE5B968-A6F3-4297-9AE7-2F5A7DBF96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491040" y="25478496"/>
          <a:ext cx="4680857" cy="6296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219635</xdr:colOff>
      <xdr:row>132</xdr:row>
      <xdr:rowOff>79081</xdr:rowOff>
    </xdr:from>
    <xdr:to>
      <xdr:col>22</xdr:col>
      <xdr:colOff>3283484</xdr:colOff>
      <xdr:row>180</xdr:row>
      <xdr:rowOff>88606</xdr:rowOff>
    </xdr:to>
    <xdr:pic>
      <xdr:nvPicPr>
        <xdr:cNvPr id="2" name="Imagem 1">
          <a:extLst>
            <a:ext uri="{FF2B5EF4-FFF2-40B4-BE49-F238E27FC236}">
              <a16:creationId xmlns:a16="http://schemas.microsoft.com/office/drawing/2014/main" id="{326ECA2D-1DD7-1CA4-1D42-AD2E7971A8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994314" y="25034581"/>
          <a:ext cx="4751134" cy="915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4027715</xdr:colOff>
      <xdr:row>132</xdr:row>
      <xdr:rowOff>84846</xdr:rowOff>
    </xdr:from>
    <xdr:to>
      <xdr:col>22</xdr:col>
      <xdr:colOff>8708572</xdr:colOff>
      <xdr:row>165</xdr:row>
      <xdr:rowOff>95250</xdr:rowOff>
    </xdr:to>
    <xdr:pic>
      <xdr:nvPicPr>
        <xdr:cNvPr id="9" name="Imagem 2">
          <a:extLst>
            <a:ext uri="{FF2B5EF4-FFF2-40B4-BE49-F238E27FC236}">
              <a16:creationId xmlns:a16="http://schemas.microsoft.com/office/drawing/2014/main" id="{9818471B-1CA5-1BBA-9446-A03FE2C820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489679" y="25040346"/>
          <a:ext cx="4680857" cy="6296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joao_lagares_energisa_com_br/Documents/BAse%20Joao.xlsx" TargetMode="External"/><Relationship Id="rId1" Type="http://schemas.openxmlformats.org/officeDocument/2006/relationships/externalLinkPath" Target="/personal/joao_lagares_energisa_com_br/Documents/BAse%20Joa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lms2\Downloads\ORCAMENTO_RELIGADORES_N1_N3%20(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zenilson_santos_energisa_com_br/Documents/Arquivos%20de%20Chat%20do%20Microsoft%20Teams/Rela&#231;&#227;o%20dos%20Equipamentos%20Indispon&#237;veis%20-%20ETO%20(ATUALIZADA).xlsx" TargetMode="External"/><Relationship Id="rId1" Type="http://schemas.openxmlformats.org/officeDocument/2006/relationships/externalLinkPath" Target="/personal/zenilson_santos_energisa_com_br/Documents/Arquivos%20de%20Chat%20do%20Microsoft%20Teams/Rela&#231;&#227;o%20dos%20Equipamentos%20Indispon&#237;veis%20-%20ETO%20(ATUALIZADA).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joao_lagares_energisa_com_br/Documents/responsaveis_por_polo.xlsx" TargetMode="External"/><Relationship Id="rId1" Type="http://schemas.openxmlformats.org/officeDocument/2006/relationships/externalLinkPath" Target="/personal/joao_lagares_energisa_com_br/Documents/responsaveis_por_polo.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matheus_groliveira_energisa_com_br/Documents/OBRAS%20EQ%20ESPECIAL.xlsx" TargetMode="External"/><Relationship Id="rId2" Type="http://schemas.openxmlformats.org/officeDocument/2006/relationships/externalLinkPath" Target="https://energisa-my.sharepoint.com/personal/matheus_groliveira_energisa_com_br/Documents/OBRAS%20EQ%20ESPECIAL.xlsx" TargetMode="External"/><Relationship Id="rId1" Type="http://schemas.openxmlformats.org/officeDocument/2006/relationships/externalLinkPath" Target="/personal/matheus_groliveira_energisa_com_br/Documents/OBRAS%20EQ%20ESPECI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justes RL Poste"/>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ponsávei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endentes"/>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Seg_Territorial (2)"/>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lanilha1"/>
    </sheetNames>
    <sheetDataSet>
      <sheetData sheetId="0">
        <row r="2">
          <cell r="C2" t="str">
            <v>Ativo</v>
          </cell>
        </row>
        <row r="3">
          <cell r="C3">
            <v>7957620015</v>
          </cell>
          <cell r="T3" t="str">
            <v>0712600316</v>
          </cell>
        </row>
        <row r="4">
          <cell r="C4">
            <v>7955520116</v>
          </cell>
          <cell r="T4" t="str">
            <v>0512600178</v>
          </cell>
        </row>
        <row r="5">
          <cell r="C5">
            <v>7900594026</v>
          </cell>
          <cell r="T5" t="str">
            <v>0312600354</v>
          </cell>
        </row>
        <row r="6">
          <cell r="C6">
            <v>7953610256</v>
          </cell>
        </row>
        <row r="7">
          <cell r="C7">
            <v>7943790134</v>
          </cell>
          <cell r="T7" t="str">
            <v>0662600266</v>
          </cell>
        </row>
        <row r="8">
          <cell r="C8">
            <v>7938137007</v>
          </cell>
          <cell r="T8" t="str">
            <v>0212600423</v>
          </cell>
        </row>
        <row r="9">
          <cell r="C9">
            <v>7934698002</v>
          </cell>
          <cell r="T9" t="str">
            <v>0662600265</v>
          </cell>
        </row>
        <row r="10">
          <cell r="C10">
            <v>7933766059</v>
          </cell>
          <cell r="T10" t="str">
            <v>0112600424</v>
          </cell>
        </row>
        <row r="11">
          <cell r="C11">
            <v>7933726256</v>
          </cell>
          <cell r="T11" t="str">
            <v>0312600351</v>
          </cell>
        </row>
        <row r="12">
          <cell r="C12">
            <v>7931610122</v>
          </cell>
          <cell r="T12" t="str">
            <v>0112600383</v>
          </cell>
        </row>
        <row r="13">
          <cell r="C13">
            <v>7929376022</v>
          </cell>
          <cell r="T13" t="str">
            <v>0612600565</v>
          </cell>
        </row>
        <row r="14">
          <cell r="C14">
            <v>7927169001</v>
          </cell>
          <cell r="T14" t="str">
            <v>0112600425</v>
          </cell>
        </row>
        <row r="15">
          <cell r="C15">
            <v>7925087021</v>
          </cell>
          <cell r="T15" t="str">
            <v>0412600392</v>
          </cell>
        </row>
        <row r="16">
          <cell r="C16">
            <v>7908705049</v>
          </cell>
          <cell r="T16" t="str">
            <v>0512600135</v>
          </cell>
        </row>
        <row r="17">
          <cell r="C17">
            <v>7908686014</v>
          </cell>
          <cell r="T17" t="str">
            <v>0212600425</v>
          </cell>
        </row>
        <row r="18">
          <cell r="C18">
            <v>7903112004</v>
          </cell>
        </row>
        <row r="19">
          <cell r="C19">
            <v>7900453110</v>
          </cell>
          <cell r="T19" t="str">
            <v>0312600264</v>
          </cell>
        </row>
        <row r="20">
          <cell r="C20">
            <v>5854566043</v>
          </cell>
          <cell r="T20" t="str">
            <v>0312600352</v>
          </cell>
        </row>
        <row r="21">
          <cell r="C21">
            <v>7957126085</v>
          </cell>
          <cell r="T21" t="str">
            <v>0212600428</v>
          </cell>
        </row>
        <row r="22">
          <cell r="C22">
            <v>7900117013</v>
          </cell>
          <cell r="T22" t="str">
            <v>0212600422</v>
          </cell>
        </row>
        <row r="23">
          <cell r="C23">
            <v>5855411017</v>
          </cell>
          <cell r="T23" t="str">
            <v>0212600536</v>
          </cell>
        </row>
        <row r="24">
          <cell r="C24">
            <v>7900018004</v>
          </cell>
          <cell r="T24" t="str">
            <v>0612600439</v>
          </cell>
        </row>
        <row r="25">
          <cell r="C25">
            <v>5856070091</v>
          </cell>
          <cell r="T25" t="str">
            <v>0512600177</v>
          </cell>
        </row>
        <row r="26">
          <cell r="C26">
            <v>5858783119</v>
          </cell>
          <cell r="T26" t="str">
            <v>0662600361</v>
          </cell>
        </row>
        <row r="27">
          <cell r="C27">
            <v>5827102054</v>
          </cell>
          <cell r="T27" t="str">
            <v>0212600537</v>
          </cell>
        </row>
        <row r="28">
          <cell r="C28">
            <v>5801866013</v>
          </cell>
          <cell r="T28" t="str">
            <v>0212600539</v>
          </cell>
        </row>
        <row r="29">
          <cell r="C29">
            <v>7900573047</v>
          </cell>
          <cell r="T29" t="str">
            <v>0412600391</v>
          </cell>
        </row>
        <row r="30">
          <cell r="C30">
            <v>5844630060</v>
          </cell>
          <cell r="T30" t="str">
            <v>0612600626</v>
          </cell>
        </row>
        <row r="31">
          <cell r="C31">
            <v>7900230155</v>
          </cell>
          <cell r="T31" t="str">
            <v>SEM OBRA</v>
          </cell>
        </row>
        <row r="32">
          <cell r="C32">
            <v>5850308009</v>
          </cell>
          <cell r="T32" t="str">
            <v>0712600418</v>
          </cell>
        </row>
        <row r="33">
          <cell r="C33">
            <v>5800859011</v>
          </cell>
          <cell r="T33" t="str">
            <v>0712600419</v>
          </cell>
        </row>
        <row r="34">
          <cell r="C34">
            <v>5800438116</v>
          </cell>
          <cell r="T34" t="str">
            <v>0512600179</v>
          </cell>
        </row>
      </sheetData>
    </sheetDataSet>
  </externalBook>
</externalLink>
</file>

<file path=xl/persons/person.xml><?xml version="1.0" encoding="utf-8"?>
<personList xmlns="http://schemas.microsoft.com/office/spreadsheetml/2018/threadedcomments" xmlns:x="http://schemas.openxmlformats.org/spreadsheetml/2006/main">
  <person displayName="Allan Pereira de Souza" id="{2CA1750F-6264-42FE-A0B9-B3DEE7C271DA}" userId="S::allan.souza@energisa.com.br::a7fa3ebd-5911-4698-9bd5-79f3a413ac43" providerId="AD"/>
  <person displayName="Joao Antonio Lagares Milhomem de Souza" id="{6564218A-E088-4662-9D46-DA31EA88AA31}" userId="S::joao.lagares@energisa.com.br::398807df-e4d5-412e-a012-70e82e4b539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an Pereira de Souza" refreshedDate="46230.769645023145" createdVersion="8" refreshedVersion="8" minRefreshableVersion="3" recordCount="93" xr:uid="{B1A6946C-52CD-45E2-876B-898ED1DBAEF3}">
  <cacheSource type="worksheet">
    <worksheetSource name="Pendentes"/>
  </cacheSource>
  <cacheFields count="23">
    <cacheField name="ANO_SS" numFmtId="0">
      <sharedItems containsSemiMixedTypes="0" containsString="0" containsNumber="1" containsInteger="1" minValue="2025" maxValue="2026"/>
    </cacheField>
    <cacheField name="SS_ORIGINAL" numFmtId="0">
      <sharedItems/>
    </cacheField>
    <cacheField name="DESTINO_SS" numFmtId="0">
      <sharedItems count="13">
        <s v="ETO-RD-PO"/>
        <s v="ETO-RD-GR"/>
        <s v="ETO-COEP"/>
        <s v="ETO-TELE"/>
        <s v="ETO-RD-DP"/>
        <s v="ETO-PROT"/>
        <s v="ETO-SE-PA"/>
        <s v="ETO-RD-PS"/>
        <s v="DG-RD-PO"/>
        <s v="ETO-SE-PCM" u="1"/>
        <s v="ETO-RD-GU" u="1"/>
        <s v="ETO-RD-PA" u="1"/>
        <s v="ETO-RD-AR" u="1"/>
      </sharedItems>
    </cacheField>
    <cacheField name="COD_RELIGADOR" numFmtId="0">
      <sharedItems containsSemiMixedTypes="0" containsString="0" containsNumber="1" containsInteger="1" minValue="5800291035" maxValue="7962734119"/>
    </cacheField>
    <cacheField name="TIPO" numFmtId="0">
      <sharedItems count="2">
        <s v="58"/>
        <s v="79"/>
      </sharedItems>
    </cacheField>
    <cacheField name="DTA_ABERTURA" numFmtId="14">
      <sharedItems containsSemiMixedTypes="0" containsNonDate="0" containsDate="1" containsString="0" minDate="2025-07-01T00:00:00" maxDate="2026-07-28T00:00:00"/>
    </cacheField>
    <cacheField name="COD_LOC" numFmtId="0">
      <sharedItems containsSemiMixedTypes="0" containsString="0" containsNumber="1" containsInteger="1" minValue="1" maxValue="256"/>
    </cacheField>
    <cacheField name="LOCALIDADE" numFmtId="0">
      <sharedItems/>
    </cacheField>
    <cacheField name="POLO" numFmtId="0">
      <sharedItems/>
    </cacheField>
    <cacheField name="REGIONAL" numFmtId="0">
      <sharedItems/>
    </cacheField>
    <cacheField name="ALIMENTADOR" numFmtId="0">
      <sharedItems/>
    </cacheField>
    <cacheField name="DESCRICAO" numFmtId="0">
      <sharedItems longText="1"/>
    </cacheField>
    <cacheField name="Premissa 1" numFmtId="0">
      <sharedItems containsString="0" containsBlank="1" containsNumber="1" containsInteger="1" minValue="0" maxValue="40"/>
    </cacheField>
    <cacheField name="Premissa 2" numFmtId="0">
      <sharedItems containsString="0" containsBlank="1" containsNumber="1" containsInteger="1" minValue="0" maxValue="20"/>
    </cacheField>
    <cacheField name="Premissa 3" numFmtId="0">
      <sharedItems containsString="0" containsBlank="1" containsNumber="1" containsInteger="1" minValue="0" maxValue="20"/>
    </cacheField>
    <cacheField name="Premissa 4" numFmtId="0">
      <sharedItems containsString="0" containsBlank="1" containsNumber="1" containsInteger="1" minValue="0" maxValue="20"/>
    </cacheField>
    <cacheField name="Premissa 5" numFmtId="0">
      <sharedItems containsString="0" containsBlank="1" containsNumber="1" containsInteger="1" minValue="0" maxValue="20"/>
    </cacheField>
    <cacheField name="Premissa 6" numFmtId="0">
      <sharedItems containsBlank="1" containsMixedTypes="1" containsNumber="1" containsInteger="1" minValue="0" maxValue="10"/>
    </cacheField>
    <cacheField name="Premissa 7" numFmtId="0">
      <sharedItems containsBlank="1" containsMixedTypes="1" containsNumber="1" containsInteger="1" minValue="0" maxValue="10"/>
    </cacheField>
    <cacheField name="Premissa 8" numFmtId="0">
      <sharedItems containsBlank="1" containsMixedTypes="1" containsNumber="1" containsInteger="1" minValue="0" maxValue="15"/>
    </cacheField>
    <cacheField name="Priorização" numFmtId="0">
      <sharedItems containsString="0" containsBlank="1" containsNumber="1" containsInteger="1" minValue="0" maxValue="110"/>
    </cacheField>
    <cacheField name="Criticidade" numFmtId="0">
      <sharedItems count="6">
        <s v="Muito Alta"/>
        <s v="Alta"/>
        <s v="Média"/>
        <s v="Baixa"/>
        <s v="Falta definir"/>
        <s v="-" u="1"/>
      </sharedItems>
    </cacheField>
    <cacheField name="Observação após anális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an Pereira de Souza" refreshedDate="46232.345025115741" createdVersion="8" refreshedVersion="8" minRefreshableVersion="3" recordCount="129" xr:uid="{3F6AC1E3-BEFA-40F6-82F4-54BD3C28327D}">
  <cacheSource type="worksheet">
    <worksheetSource name="Table"/>
  </cacheSource>
  <cacheFields count="23">
    <cacheField name="Ativo" numFmtId="0">
      <sharedItems containsSemiMixedTypes="0" containsString="0" containsNumber="1" containsInteger="1" minValue="5800090147" maxValue="7967181127"/>
    </cacheField>
    <cacheField name="Tipo" numFmtId="0">
      <sharedItems/>
    </cacheField>
    <cacheField name="Localidade" numFmtId="0">
      <sharedItems containsBlank="1"/>
    </cacheField>
    <cacheField name="Polo" numFmtId="0">
      <sharedItems containsBlank="1"/>
    </cacheField>
    <cacheField name="Regional" numFmtId="0">
      <sharedItems containsBlank="1"/>
    </cacheField>
    <cacheField name="SS aberta" numFmtId="0">
      <sharedItems/>
    </cacheField>
    <cacheField name="Parecer COEP" numFmtId="0">
      <sharedItems containsBlank="1" count="14">
        <m/>
        <s v="Substituido 24/07, pendente laudo"/>
        <s v="Equipamento entregue ao COCM"/>
        <s v="Em processo de aquisição"/>
        <s v="Aguardando comissionamento"/>
        <s v="Em fase de ajustes"/>
        <s v="Em processo logístico"/>
        <s v="Primeiro ataque DMSL"/>
        <s v="Problema na autorização de passagem"/>
        <s v="Substituido 27/07, pendente laudo"/>
        <s v="Aguardando atualização de informação DMSL"/>
        <s v="Melhoria de aterramento"/>
        <s v="Aguardando parecer DMSL"/>
        <s v="REPASSAR O DMSL (EQUIPAMENTO OPERANDO NO SCADA)"/>
      </sharedItems>
    </cacheField>
    <cacheField name="Observação" numFmtId="0">
      <sharedItems containsBlank="1" count="17">
        <m/>
        <s v="Pendente laudo da empreteira"/>
        <s v="Previsão de substituição 27/08"/>
        <s v="Estava aguardando retorno DMSL"/>
        <s v="Previsão de substituição 07/08"/>
        <s v="Mandar reformar"/>
        <s v="Previsão de entrega 10/08"/>
        <s v="Destinada parte ativa do RL 7900453110"/>
        <s v="Previsão de entrega 20/10"/>
        <s v="Previsão de substituição 28/07"/>
        <s v="Cliente não autorizou entrar na propriedade "/>
        <s v="Previsão de entrega 10/08, 1 tanque NOJA sobrando"/>
        <s v="Vai ser aberto um poço em 28/07"/>
        <s v="Previsão de entrega 20/07"/>
        <s v="1 controle NOJA sobrando"/>
        <s v="Previsão de entrega 16/08"/>
        <s v="Furtado novamente"/>
      </sharedItems>
    </cacheField>
    <cacheField name="Check de concluídas" numFmtId="0">
      <sharedItems containsBlank="1" count="5">
        <s v="Ok"/>
        <s v="Em andamento"/>
        <m/>
        <s v="Em operação"/>
        <s v="Desmobilizado"/>
      </sharedItems>
    </cacheField>
    <cacheField name="Defeito identificado" numFmtId="0">
      <sharedItems containsBlank="1" count="20">
        <m/>
        <s v="Célula"/>
        <s v="Controle "/>
        <s v="Tanque + controle"/>
        <s v="Tanque e rádio"/>
        <s v="Tanque e antena "/>
        <s v="Controle"/>
        <s v="Células + controle"/>
        <s v="Tanque e cabo umbilical"/>
        <s v="Tanque "/>
        <s v="Tanque"/>
        <s v="Controle e aterramento"/>
        <s v="Tanque e PR do trafo e chave"/>
        <s v="Melhoria de aterramento"/>
        <s v="Tanque + controle e chave"/>
        <s v="Células + melhoria de aterramento"/>
        <s v="-"/>
        <s v="Trafo auxiliar e tanque"/>
        <s v="Trafo auxiliar e completo"/>
        <s v="Completo"/>
      </sharedItems>
    </cacheField>
    <cacheField name="Quantidade" numFmtId="0">
      <sharedItems containsString="0" containsBlank="1" containsNumber="1" containsInteger="1" minValue="1" maxValue="3"/>
    </cacheField>
    <cacheField name="Descrição SS" numFmtId="0">
      <sharedItems longText="1"/>
    </cacheField>
    <cacheField name="Premissa 1" numFmtId="0">
      <sharedItems containsBlank="1" containsMixedTypes="1" containsNumber="1" containsInteger="1" minValue="0" maxValue="40"/>
    </cacheField>
    <cacheField name="Premissa 2" numFmtId="0">
      <sharedItems containsString="0" containsBlank="1" containsNumber="1" containsInteger="1" minValue="0" maxValue="20"/>
    </cacheField>
    <cacheField name="Premissa 3" numFmtId="0">
      <sharedItems containsString="0" containsBlank="1" containsNumber="1" containsInteger="1" minValue="0" maxValue="20"/>
    </cacheField>
    <cacheField name="Premissa 4" numFmtId="0">
      <sharedItems containsString="0" containsBlank="1" containsNumber="1" containsInteger="1" minValue="0" maxValue="20"/>
    </cacheField>
    <cacheField name="Premissa 5" numFmtId="0">
      <sharedItems containsString="0" containsBlank="1" containsNumber="1" containsInteger="1" minValue="0" maxValue="20"/>
    </cacheField>
    <cacheField name="Premissa 6" numFmtId="0">
      <sharedItems containsBlank="1" containsMixedTypes="1" containsNumber="1" containsInteger="1" minValue="0" maxValue="10"/>
    </cacheField>
    <cacheField name="Premissa 7" numFmtId="0">
      <sharedItems containsBlank="1" containsMixedTypes="1" containsNumber="1" containsInteger="1" minValue="0" maxValue="10"/>
    </cacheField>
    <cacheField name="Premissa 8" numFmtId="0">
      <sharedItems containsBlank="1" containsMixedTypes="1" containsNumber="1" containsInteger="1" minValue="0" maxValue="15"/>
    </cacheField>
    <cacheField name="Priorização" numFmtId="0">
      <sharedItems containsSemiMixedTypes="0" containsString="0" containsNumber="1" containsInteger="1" minValue="0" maxValue="120"/>
    </cacheField>
    <cacheField name="Criticidade" numFmtId="0">
      <sharedItems containsBlank="1" count="5">
        <s v="Muito Alta"/>
        <s v="Alta"/>
        <s v="Média"/>
        <s v="Baixa"/>
        <m/>
      </sharedItems>
    </cacheField>
    <cacheField name="Observação após anális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n v="2026"/>
    <s v="ETO-RD-PO 00213/2026"/>
    <x v="0"/>
    <n v="5854566043"/>
    <x v="0"/>
    <d v="2026-07-22T00:00:00"/>
    <n v="43"/>
    <s v="SILVANOPOLIS"/>
    <s v="PORTO NACIONAL"/>
    <s v="CENTRO"/>
    <s v="LD02072001"/>
    <s v="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
    <n v="40"/>
    <n v="20"/>
    <n v="20"/>
    <n v="10"/>
    <n v="20"/>
    <s v="-"/>
    <s v="-"/>
    <s v="-"/>
    <n v="110"/>
    <x v="0"/>
    <s v="Aumento de reclamações no atendimento de Silvanópolis por Porto Nacional no período seco (Outra fonte com defeito também)"/>
  </r>
  <r>
    <n v="2026"/>
    <s v="ETO-RD-GR 00735/2026"/>
    <x v="1"/>
    <n v="5800859011"/>
    <x v="0"/>
    <d v="2026-07-16T00:00:00"/>
    <n v="11"/>
    <s v="TUPIRAMA"/>
    <s v="GUARAI"/>
    <s v="NORTE"/>
    <s v="AL01065015"/>
    <s v="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
    <n v="40"/>
    <n v="20"/>
    <n v="20"/>
    <n v="10"/>
    <n v="20"/>
    <s v="-"/>
    <s v="-"/>
    <s v="-"/>
    <n v="110"/>
    <x v="0"/>
    <s v="Atendimento de parte da RDU Guaraí por fonte alternativa"/>
  </r>
  <r>
    <n v="2026"/>
    <s v="ETO-COEP 00124/2026"/>
    <x v="2"/>
    <n v="7923673004"/>
    <x v="1"/>
    <d v="2026-07-07T00:00:00"/>
    <n v="4"/>
    <s v="ARAGUAINA"/>
    <s v="ARAGUAINA"/>
    <s v="NORTE"/>
    <s v="AL04010004"/>
    <s v="PARECER COEP: Verificar Disponibilidade de equipamento no Scada e enviar modelo e tensão para a compra.RELIGADOR COM RELÉ DANIFICADO, REALIZAR SUBSTITUIÇÃO"/>
    <n v="15"/>
    <n v="20"/>
    <n v="15"/>
    <n v="15"/>
    <n v="15"/>
    <n v="10"/>
    <n v="0"/>
    <n v="15"/>
    <n v="105"/>
    <x v="0"/>
    <s v="Transferência de cargas na RDU de Araguaína (2797 UCs)"/>
  </r>
  <r>
    <n v="2026"/>
    <s v="ETO-COEP 00040/2026"/>
    <x v="2"/>
    <n v="7931608059"/>
    <x v="1"/>
    <d v="2026-02-24T00:00:00"/>
    <n v="59"/>
    <s v="TAQUARALTO"/>
    <s v="TAQUARALTO"/>
    <s v="CENTRO"/>
    <s v="AL05099059"/>
    <s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
    <n v="15"/>
    <n v="20"/>
    <n v="15"/>
    <n v="15"/>
    <n v="15"/>
    <n v="10"/>
    <n v="0"/>
    <n v="15"/>
    <n v="105"/>
    <x v="0"/>
    <s v="Transferência dos bairros Morada do Sol, Vale do Sol, Morada do Sol II, Nova Esperança, Sõa João, Araras I e II e Jardim Laila em Taquaralto (6033 UCs)"/>
  </r>
  <r>
    <n v="2026"/>
    <s v="ETO-TELE 01025/2026"/>
    <x v="3"/>
    <n v="7931610122"/>
    <x v="1"/>
    <d v="2026-07-22T00:00:00"/>
    <n v="122"/>
    <s v="PALMAS"/>
    <s v="PALMAS"/>
    <s v="CENTRO"/>
    <s v="AL08060122"/>
    <s v="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
    <n v="15"/>
    <n v="20"/>
    <n v="15"/>
    <n v="15"/>
    <n v="15"/>
    <n v="10"/>
    <n v="0"/>
    <n v="15"/>
    <n v="105"/>
    <x v="0"/>
    <s v="Transferência entre 284R SE Palmas IV e 2294R SE Palmas II"/>
  </r>
  <r>
    <n v="2026"/>
    <s v="ETO-RD-DP 00479/2026"/>
    <x v="4"/>
    <n v="5856070091"/>
    <x v="0"/>
    <d v="2026-07-27T00:00:00"/>
    <n v="91"/>
    <s v="ALMAS"/>
    <s v="DIANOPOLIS"/>
    <s v="SUL"/>
    <s v="LD04002091"/>
    <s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n v="40"/>
    <n v="20"/>
    <n v="20"/>
    <n v="20"/>
    <n v="0"/>
    <s v="-"/>
    <s v="-"/>
    <s v="-"/>
    <n v="100"/>
    <x v="0"/>
    <s v="Atendimento da região da Engegold, Nativa, cidade Natividade e Chapada da Natividade"/>
  </r>
  <r>
    <n v="2026"/>
    <s v="ETO-COEP 00131/2026"/>
    <x v="2"/>
    <n v="7947203070"/>
    <x v="1"/>
    <d v="2026-07-08T00:00:00"/>
    <n v="70"/>
    <s v="RIO SONO"/>
    <s v="TAQUARALTO"/>
    <s v="CENTRO"/>
    <s v="LD02424015"/>
    <s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
    <n v="10"/>
    <n v="20"/>
    <n v="15"/>
    <n v="15"/>
    <n v="15"/>
    <n v="10"/>
    <n v="0"/>
    <n v="15"/>
    <n v="100"/>
    <x v="0"/>
    <s v="Transferência da RDU de Lizarda (1650 UCs) para fonte alternativa"/>
  </r>
  <r>
    <n v="2026"/>
    <s v="ETO-RD-DP 00409/2026"/>
    <x v="4"/>
    <n v="7908705049"/>
    <x v="1"/>
    <d v="2026-07-06T00:00:00"/>
    <n v="49"/>
    <s v="AURORA DO TOCANTINS"/>
    <s v="DIANOPOLIS"/>
    <s v="SUL"/>
    <s v="AL01015049"/>
    <s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
    <n v="15"/>
    <n v="20"/>
    <n v="5"/>
    <n v="15"/>
    <n v="15"/>
    <n v="0"/>
    <n v="10"/>
    <n v="15"/>
    <n v="95"/>
    <x v="0"/>
    <s v="Proteção da baixa do TF de força da SE Aurora"/>
  </r>
  <r>
    <n v="2026"/>
    <s v="ETO-COEP 00059/2026"/>
    <x v="2"/>
    <n v="7925744087"/>
    <x v="1"/>
    <d v="2026-03-30T00:00:00"/>
    <n v="87"/>
    <s v="GOIANORTE"/>
    <s v="GUARAI"/>
    <s v="NORTE"/>
    <s v="LD02022033"/>
    <s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
    <n v="15"/>
    <n v="20"/>
    <n v="5"/>
    <n v="15"/>
    <n v="15"/>
    <n v="10"/>
    <n v="0"/>
    <n v="15"/>
    <n v="95"/>
    <x v="0"/>
    <s v="Transferência de Goianorte, fonte principal operando"/>
  </r>
  <r>
    <n v="2026"/>
    <s v="ETO-PROT 00154/2026"/>
    <x v="5"/>
    <n v="7900117013"/>
    <x v="1"/>
    <d v="2026-07-21T00:00:00"/>
    <n v="13"/>
    <s v="PARAISO DO TOCANTINS"/>
    <s v="PARAISO DO TOCANTINS"/>
    <s v="CENTRO"/>
    <s v="AL01062013"/>
    <s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
    <n v="15"/>
    <n v="20"/>
    <n v="15"/>
    <n v="15"/>
    <n v="15"/>
    <n v="0"/>
    <n v="0"/>
    <n v="15"/>
    <n v="95"/>
    <x v="0"/>
    <s v="Transferência do 214R de Paraíso I, Centro Comercial de Paraíso"/>
  </r>
  <r>
    <n v="2026"/>
    <s v="ETO-COEP 00120/2026"/>
    <x v="2"/>
    <n v="7929376022"/>
    <x v="1"/>
    <d v="2026-06-30T00:00:00"/>
    <n v="22"/>
    <s v="BABACULANDIA"/>
    <s v="ARAGUAINA"/>
    <s v="NORTE"/>
    <s v="LD05010004"/>
    <s v="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
    <n v="15"/>
    <n v="20"/>
    <n v="5"/>
    <n v="15"/>
    <n v="15"/>
    <n v="10"/>
    <n v="0"/>
    <n v="15"/>
    <n v="95"/>
    <x v="0"/>
    <s v="Transferência de Babaçulândia, fonte principal operando"/>
  </r>
  <r>
    <n v="2026"/>
    <s v="ETO-PROT 00145/2026"/>
    <x v="5"/>
    <n v="7933726256"/>
    <x v="1"/>
    <d v="2026-07-09T00:00:00"/>
    <n v="256"/>
    <s v="MATEIROS"/>
    <s v="PONTE ALTA TOCANTINS"/>
    <s v="CENTRO"/>
    <s v="LD03046026"/>
    <s v="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
    <n v="15"/>
    <n v="10"/>
    <n v="15"/>
    <n v="15"/>
    <n v="15"/>
    <n v="10"/>
    <n v="0"/>
    <n v="15"/>
    <n v="95"/>
    <x v="0"/>
    <s v="Transferência da cidade de Mateiros (733 UCs) para o gerador"/>
  </r>
  <r>
    <n v="2026"/>
    <s v="ETO-TELE 01024/2026"/>
    <x v="3"/>
    <n v="7933766059"/>
    <x v="1"/>
    <d v="2026-07-22T00:00:00"/>
    <n v="59"/>
    <s v="TAQUARALTO"/>
    <s v="TAQUARALTO"/>
    <s v="CENTRO"/>
    <s v="AL01099059"/>
    <s v="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
    <n v="15"/>
    <n v="20"/>
    <n v="5"/>
    <n v="15"/>
    <n v="15"/>
    <n v="0"/>
    <n v="10"/>
    <n v="15"/>
    <n v="95"/>
    <x v="0"/>
    <s v="Seccionamento de trecho do Setor Taquari"/>
  </r>
  <r>
    <n v="2026"/>
    <s v="ETO-SE-PA 00107/2026"/>
    <x v="6"/>
    <n v="7900594026"/>
    <x v="1"/>
    <d v="2026-07-16T00:00:00"/>
    <n v="26"/>
    <s v="PONTE ALTA TOCANTINS"/>
    <s v="PONTE ALTA TOCANTINS"/>
    <s v="CENTRO"/>
    <s v="LD03046026"/>
    <s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
    <n v="15"/>
    <n v="20"/>
    <n v="15"/>
    <n v="15"/>
    <n v="15"/>
    <n v="0"/>
    <n v="0"/>
    <n v="15"/>
    <n v="95"/>
    <x v="0"/>
    <s v="Religador responsável pela proteção da barra da SE Ponte Alta (2381 UCs)"/>
  </r>
  <r>
    <n v="2026"/>
    <s v="ETO-COEP 00141/2026"/>
    <x v="2"/>
    <n v="7927413001"/>
    <x v="1"/>
    <d v="2026-07-13T00:00:00"/>
    <n v="1"/>
    <s v="PORTO NACIONAL"/>
    <s v="PORTO NACIONAL"/>
    <s v="CENTRO"/>
    <s v="LD01072001"/>
    <s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
    <n v="15"/>
    <n v="5"/>
    <n v="15"/>
    <n v="15"/>
    <n v="15"/>
    <n v="10"/>
    <n v="0"/>
    <n v="15"/>
    <n v="90"/>
    <x v="0"/>
    <s v="Transferência do Distrito Ind de Porto Nacional e GAs"/>
  </r>
  <r>
    <n v="2026"/>
    <s v="ETO-RD-PS 00302/2026"/>
    <x v="7"/>
    <n v="7908686014"/>
    <x v="1"/>
    <d v="2026-07-10T00:00:00"/>
    <n v="14"/>
    <s v="PIUM"/>
    <s v="PARAISO DO TOCANTINS"/>
    <s v="CENTRO"/>
    <s v="LD02025012"/>
    <s v="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
    <n v="15"/>
    <n v="20"/>
    <n v="0"/>
    <n v="15"/>
    <n v="15"/>
    <n v="10"/>
    <n v="0"/>
    <n v="15"/>
    <n v="90"/>
    <x v="0"/>
    <s v="Fonte principal de Pium, RL de transferência operando"/>
  </r>
  <r>
    <n v="2026"/>
    <s v="ETO-TELE 00896/2026"/>
    <x v="3"/>
    <n v="7943790134"/>
    <x v="1"/>
    <d v="2026-06-10T00:00:00"/>
    <n v="134"/>
    <s v="ESPERANTINA"/>
    <s v="AUGUSTINOPOLIS"/>
    <s v="NORTE"/>
    <s v="LD02109039"/>
    <s v="PARECER DCMD:Serviço realizado , substituição da parte ativa  do RELIGADOR 7943790134 - Favor realizar comissionamento"/>
    <n v="15"/>
    <n v="10"/>
    <n v="5"/>
    <n v="15"/>
    <n v="15"/>
    <n v="10"/>
    <n v="0"/>
    <n v="15"/>
    <n v="85"/>
    <x v="0"/>
    <s v="Transferência de Esperantina, fonte principal operando"/>
  </r>
  <r>
    <n v="2026"/>
    <s v="ETO-COEP 00087/2026"/>
    <x v="2"/>
    <n v="7900453110"/>
    <x v="1"/>
    <d v="2026-04-27T00:00:00"/>
    <n v="110"/>
    <s v="SANTA RITA DO TOCANTINS"/>
    <s v="PORTO NACIONAL"/>
    <s v="CENTRO"/>
    <s v="LD03040003"/>
    <s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
    <n v="15"/>
    <n v="10"/>
    <n v="5"/>
    <n v="15"/>
    <n v="15"/>
    <n v="10"/>
    <n v="0"/>
    <n v="15"/>
    <n v="85"/>
    <x v="0"/>
    <s v="Transferência de Santa Rita, fonte principal operando"/>
  </r>
  <r>
    <n v="2026"/>
    <s v="ETO-COEP 00143/2026"/>
    <x v="2"/>
    <n v="7900453110"/>
    <x v="1"/>
    <d v="2026-07-15T00:00:00"/>
    <n v="110"/>
    <s v="SANTA RITA DO TOCANTINS"/>
    <s v="PORTO NACIONAL"/>
    <s v="CENTRO"/>
    <s v="LD03040003"/>
    <s v="PARECER DMSL: Análise técnica realizada. Constatado que o equipamento está em Bypass. Foi aberta nota para substituição da parte ativa,  abri nota para substituir completo  o equipamento"/>
    <n v="15"/>
    <n v="10"/>
    <n v="5"/>
    <n v="15"/>
    <n v="15"/>
    <n v="10"/>
    <n v="0"/>
    <n v="15"/>
    <n v="85"/>
    <x v="0"/>
    <s v="Transferência de Santa Rita, fonte principal operando"/>
  </r>
  <r>
    <n v="2026"/>
    <s v="ETO-COEP 00048/2026"/>
    <x v="2"/>
    <n v="7925871077"/>
    <x v="1"/>
    <d v="2026-03-16T00:00:00"/>
    <n v="77"/>
    <s v="GOIATINS"/>
    <s v="ARAGUAINA"/>
    <s v="NORTE"/>
    <s v="LD03105019"/>
    <s v="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
    <n v="15"/>
    <n v="10"/>
    <n v="15"/>
    <n v="15"/>
    <n v="15"/>
    <n v="10"/>
    <n v="0"/>
    <n v="0"/>
    <n v="80"/>
    <x v="0"/>
    <s v="Transferência de Goiatins e GAs (2492 UCs)"/>
  </r>
  <r>
    <n v="2026"/>
    <s v="ETO-COEP 00149/2026"/>
    <x v="2"/>
    <n v="5803327001"/>
    <x v="0"/>
    <d v="2026-07-20T00:00:00"/>
    <n v="1"/>
    <s v="PORTO NACIONAL"/>
    <s v="PORTO NACIONAL"/>
    <s v="CENTRO"/>
    <s v="AL01102271"/>
    <s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
    <n v="40"/>
    <n v="0"/>
    <n v="0"/>
    <n v="20"/>
    <n v="20"/>
    <s v="-"/>
    <s v="-"/>
    <s v="-"/>
    <n v="80"/>
    <x v="1"/>
    <s v="Em caso de perca da fonte principal é necessário esse RT para alimentação da Frísia"/>
  </r>
  <r>
    <n v="2026"/>
    <s v="ETO-PROT 00143/2026"/>
    <x v="5"/>
    <n v="7900230155"/>
    <x v="1"/>
    <d v="2026-07-08T00:00:00"/>
    <n v="155"/>
    <s v="PALMEIRANTE"/>
    <s v="COLINAS DO TOCANTINS"/>
    <s v="NORTE"/>
    <s v="LD02105019"/>
    <s v="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
    <n v="15"/>
    <n v="20"/>
    <n v="5"/>
    <n v="15"/>
    <n v="0"/>
    <n v="10"/>
    <n v="0"/>
    <n v="15"/>
    <n v="80"/>
    <x v="0"/>
    <s v="Fonte principal de Palmeirante, RL de transferência operando"/>
  </r>
  <r>
    <n v="2026"/>
    <s v="ETO-TELE 00997/2026"/>
    <x v="3"/>
    <n v="7908302256"/>
    <x v="1"/>
    <d v="2026-07-10T00:00:00"/>
    <n v="256"/>
    <s v="MATEIROS"/>
    <s v="PONTE ALTA TOCANTINS"/>
    <s v="CENTRO"/>
    <s v="LD03046026"/>
    <s v="RL teve nota baixada (ETO-TELE 970/2026) pore´m eqp continua fora de operação, solicito programação para equipe verificar em campo"/>
    <n v="5"/>
    <n v="10"/>
    <n v="5"/>
    <n v="15"/>
    <n v="15"/>
    <n v="10"/>
    <n v="0"/>
    <n v="15"/>
    <n v="75"/>
    <x v="1"/>
    <s v="Isolação de trecho e transferência das cidades de São Felix e Mateiros para gerador, além de atendimento de clientes rurais"/>
  </r>
  <r>
    <n v="2026"/>
    <s v="ETO-RD-GR 00766/2026"/>
    <x v="1"/>
    <n v="5800371025"/>
    <x v="0"/>
    <d v="2026-07-27T00:00:00"/>
    <n v="25"/>
    <s v="ARAPOEMA"/>
    <s v="COLINAS DO TOCANTINS"/>
    <s v="NORTE"/>
    <s v="LD02010153"/>
    <s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
    <n v="0"/>
    <n v="20"/>
    <n v="20"/>
    <n v="10"/>
    <n v="20"/>
    <s v="-"/>
    <s v="-"/>
    <s v="-"/>
    <n v="70"/>
    <x v="1"/>
    <s v="Aumento de reclamações no atendimento de Arapoema no período seco"/>
  </r>
  <r>
    <n v="2026"/>
    <s v="ETO-PROT 00144/2026"/>
    <x v="5"/>
    <n v="5865120195"/>
    <x v="0"/>
    <d v="2026-07-08T00:00:00"/>
    <n v="195"/>
    <s v="CENTENARIO"/>
    <s v="GUARAI"/>
    <s v="NORTE"/>
    <s v="LD01065015"/>
    <s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
    <n v="20"/>
    <n v="20"/>
    <n v="20"/>
    <n v="10"/>
    <n v="0"/>
    <s v="-"/>
    <s v="-"/>
    <s v="-"/>
    <n v="70"/>
    <x v="1"/>
    <s v="Atendimento das RDUs de Centenário, Recursolândia e clientes rurais"/>
  </r>
  <r>
    <n v="2026"/>
    <s v="ETO-COEP 00078/2026"/>
    <x v="2"/>
    <n v="7926089013"/>
    <x v="1"/>
    <d v="2026-04-23T00:00:00"/>
    <n v="13"/>
    <s v="PARAISO DO TOCANTINS"/>
    <s v="PARAISO DO TOCANTINS"/>
    <s v="CENTRO"/>
    <s v="LD03062013"/>
    <s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
    <n v="15"/>
    <n v="10"/>
    <n v="5"/>
    <n v="15"/>
    <n v="15"/>
    <n v="10"/>
    <n v="0"/>
    <n v="0"/>
    <n v="70"/>
    <x v="1"/>
    <s v="Transferência da RDU de Chapada de Areia (937 UCs) para fonte alternativa"/>
  </r>
  <r>
    <n v="2026"/>
    <s v="ETO-PROT 00152/2026"/>
    <x v="5"/>
    <n v="7925087021"/>
    <x v="1"/>
    <d v="2026-07-20T00:00:00"/>
    <n v="21"/>
    <s v="PARANA"/>
    <s v="PEIXE"/>
    <s v="SUL"/>
    <s v="LD01010021"/>
    <s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
    <n v="15"/>
    <n v="10"/>
    <n v="5"/>
    <n v="0"/>
    <n v="15"/>
    <n v="10"/>
    <n v="0"/>
    <n v="15"/>
    <n v="70"/>
    <x v="1"/>
    <s v="Primeiro RL do 414R de Paranã, RL a jusante na LD também está bay-passado (630 UCs)"/>
  </r>
  <r>
    <n v="2026"/>
    <s v="ETO-PROT 00151/2026"/>
    <x v="5"/>
    <n v="5801866013"/>
    <x v="0"/>
    <d v="2026-07-17T00:00:00"/>
    <n v="13"/>
    <s v="PARAISO DO TOCANTINS"/>
    <s v="PARAISO DO TOCANTINS"/>
    <s v="CENTRO"/>
    <s v="AL03062013"/>
    <s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
    <n v="0"/>
    <n v="20"/>
    <n v="20"/>
    <n v="20"/>
    <n v="10"/>
    <s v="-"/>
    <s v="-"/>
    <s v="-"/>
    <n v="70"/>
    <x v="1"/>
    <s v="Atendimento da RDU Luzimangues Industrial por fonte alternativa"/>
  </r>
  <r>
    <n v="2025"/>
    <s v="ETO-RD-PS 00323/2025"/>
    <x v="7"/>
    <n v="5853360007"/>
    <x v="0"/>
    <d v="2025-10-16T00:00:00"/>
    <n v="7"/>
    <s v="MIRACEMA DO TOCANTINS"/>
    <s v="MIRACEMA DO TOCANTINS"/>
    <s v="CENTRO"/>
    <s v="LD05050008"/>
    <s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
    <n v="0"/>
    <n v="20"/>
    <n v="20"/>
    <n v="10"/>
    <n v="20"/>
    <s v="-"/>
    <s v="-"/>
    <s v="-"/>
    <n v="70"/>
    <x v="1"/>
    <s v="Aumento de reclamações no atendimento de Miracema no período seco"/>
  </r>
  <r>
    <n v="2026"/>
    <s v="ETO-PROT 00153/2026"/>
    <x v="5"/>
    <n v="7900573047"/>
    <x v="1"/>
    <d v="2026-07-20T00:00:00"/>
    <n v="47"/>
    <s v="FIGUEIROPOLIS"/>
    <s v="FORMOSO DO ARAGUAIA"/>
    <s v="SUL"/>
    <s v="AL02033047"/>
    <s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
    <n v="5"/>
    <n v="5"/>
    <n v="15"/>
    <n v="0"/>
    <n v="15"/>
    <n v="10"/>
    <n v="0"/>
    <n v="15"/>
    <n v="65"/>
    <x v="1"/>
    <s v="Transferência da Bunge, Saneatins e secadora"/>
  </r>
  <r>
    <n v="2026"/>
    <s v="ETO-RD-PO 00208/2026"/>
    <x v="0"/>
    <n v="7953610256"/>
    <x v="1"/>
    <d v="2026-07-16T00:00:00"/>
    <n v="256"/>
    <s v="MATEIROS"/>
    <s v="PONTE ALTA TOCANTINS"/>
    <s v="CENTRO"/>
    <s v="LD03046026"/>
    <s v="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
    <n v="5"/>
    <n v="5"/>
    <n v="15"/>
    <n v="15"/>
    <n v="0"/>
    <n v="0"/>
    <n v="10"/>
    <n v="15"/>
    <n v="65"/>
    <x v="1"/>
    <s v="Atenidmento da COELBA (Alto potencial de compensação)"/>
  </r>
  <r>
    <n v="2026"/>
    <s v="ETO-RD-DP 00404/2026"/>
    <x v="4"/>
    <n v="5800438116"/>
    <x v="0"/>
    <d v="2026-07-01T00:00:00"/>
    <n v="116"/>
    <s v="CHAPADA DA NATIVIDADE"/>
    <s v="DIANOPOLIS"/>
    <s v="SUL"/>
    <s v="LD04002091"/>
    <s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
    <n v="0"/>
    <n v="20"/>
    <n v="20"/>
    <n v="20"/>
    <n v="0"/>
    <s v="-"/>
    <s v="-"/>
    <s v="-"/>
    <n v="60"/>
    <x v="2"/>
    <s v="Atendimento da região da Engegold, Nativa, cidade Natividade e Chapada da Natividade (Fonte alternativa)"/>
  </r>
  <r>
    <n v="2026"/>
    <s v="ETO-COEP 00151/2026"/>
    <x v="2"/>
    <n v="5840227063"/>
    <x v="0"/>
    <d v="2026-07-20T00:00:00"/>
    <n v="63"/>
    <s v="BANDEIRANTES DO TOCANTINS"/>
    <s v="COLINAS DO TOCANTINS"/>
    <s v="NORTE"/>
    <s v="LD01054060"/>
    <s v="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
    <n v="0"/>
    <n v="20"/>
    <n v="20"/>
    <n v="10"/>
    <n v="10"/>
    <s v="-"/>
    <s v="-"/>
    <s v="-"/>
    <n v="60"/>
    <x v="2"/>
    <s v="Atendimento da RDU Bandeirantes e clientes rurais"/>
  </r>
  <r>
    <n v="2026"/>
    <s v="ETO-TELE 00881/2026"/>
    <x v="3"/>
    <n v="5851753086"/>
    <x v="0"/>
    <d v="2026-06-02T00:00:00"/>
    <n v="86"/>
    <s v="MARIANOPOLIS"/>
    <s v="DIVINOPOLIS"/>
    <s v="CENTRO"/>
    <s v="LD05062013"/>
    <s v="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
    <n v="0"/>
    <n v="20"/>
    <n v="20"/>
    <n v="10"/>
    <n v="10"/>
    <s v="-"/>
    <s v="-"/>
    <s v="-"/>
    <n v="60"/>
    <x v="2"/>
    <s v="Atendimento da RDU Marianópolis e clientes rurais"/>
  </r>
  <r>
    <n v="2026"/>
    <s v="ETO-TELE 00986/2026"/>
    <x v="3"/>
    <n v="5846328094"/>
    <x v="0"/>
    <d v="2026-07-08T00:00:00"/>
    <n v="94"/>
    <s v="PEIXE"/>
    <s v="PEIXE"/>
    <s v="SUL"/>
    <s v="LD04040003"/>
    <s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
    <n v="0"/>
    <n v="20"/>
    <n v="20"/>
    <n v="10"/>
    <n v="10"/>
    <s v="-"/>
    <s v="-"/>
    <s v="-"/>
    <n v="60"/>
    <x v="2"/>
    <s v="Atendimento da RDU Sucupira e clientes rurais"/>
  </r>
  <r>
    <n v="2025"/>
    <s v="ETO-COEP 00184/2025"/>
    <x v="2"/>
    <n v="7903112004"/>
    <x v="1"/>
    <d v="2025-09-03T00:00:00"/>
    <n v="4"/>
    <s v="ARAGUAINA"/>
    <s v="ARAGUAINA"/>
    <s v="NORTE"/>
    <s v="LD05010004"/>
    <s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
    <n v="15"/>
    <n v="10"/>
    <n v="5"/>
    <n v="15"/>
    <n v="0"/>
    <n v="10"/>
    <n v="0"/>
    <n v="0"/>
    <n v="55"/>
    <x v="1"/>
    <s v="Transferência de Babaçulândia, 4 RLs sendo 2 operando"/>
  </r>
  <r>
    <n v="2025"/>
    <s v="ETO-COEP 00120/2025"/>
    <x v="2"/>
    <n v="7920024127"/>
    <x v="1"/>
    <d v="2025-07-01T00:00:00"/>
    <n v="127"/>
    <s v="PALMEIRAS DO TOCANTINS"/>
    <s v="TOCANTINOPOLIS"/>
    <s v="NORTE"/>
    <s v="LD01084002"/>
    <s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
    <n v="15"/>
    <n v="10"/>
    <n v="5"/>
    <n v="15"/>
    <n v="0"/>
    <n v="10"/>
    <n v="0"/>
    <n v="0"/>
    <n v="55"/>
    <x v="1"/>
    <s v="Transferência de Palmeiras, 3 fontes operando"/>
  </r>
  <r>
    <n v="2026"/>
    <s v="ETO-COEP 00029/2026"/>
    <x v="2"/>
    <n v="7927646026"/>
    <x v="1"/>
    <d v="2026-02-04T00:00:00"/>
    <n v="26"/>
    <s v="PONTE ALTA TOCANTINS"/>
    <s v="PONTE ALTA TOCANTINS"/>
    <s v="CENTRO"/>
    <s v="LD03046026"/>
    <s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
    <n v="15"/>
    <n v="10"/>
    <n v="5"/>
    <n v="0"/>
    <n v="15"/>
    <n v="0"/>
    <n v="10"/>
    <n v="0"/>
    <n v="55"/>
    <x v="1"/>
    <s v="Opção de isolação de São Félix e Mateiros para alimentação por gerador"/>
  </r>
  <r>
    <n v="2026"/>
    <s v="ETO-PROT 00156/2026"/>
    <x v="5"/>
    <n v="7927169001"/>
    <x v="1"/>
    <d v="2026-07-21T00:00:00"/>
    <n v="1"/>
    <s v="PORTO NACIONAL"/>
    <s v="PORTO NACIONAL"/>
    <s v="CENTRO"/>
    <s v="AL01102271"/>
    <s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
    <n v="5"/>
    <n v="5"/>
    <n v="15"/>
    <n v="0"/>
    <n v="15"/>
    <n v="0"/>
    <n v="0"/>
    <n v="15"/>
    <n v="55"/>
    <x v="1"/>
    <s v="Transferência dos Grupos A -  VLI e Frisia"/>
  </r>
  <r>
    <n v="2026"/>
    <s v="ETO-RD-PO 00097/2026"/>
    <x v="0"/>
    <n v="5800291035"/>
    <x v="0"/>
    <d v="2026-03-31T00:00:00"/>
    <n v="35"/>
    <s v="MONTE DO CARMO"/>
    <s v="PONTE ALTA TOCANTINS"/>
    <s v="CENTRO"/>
    <s v="LD01051035"/>
    <s v="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
    <n v="0"/>
    <n v="20"/>
    <n v="20"/>
    <n v="10"/>
    <n v="0"/>
    <s v="-"/>
    <s v="-"/>
    <s v="-"/>
    <n v="50"/>
    <x v="2"/>
    <s v="Aumento de reclamações no atendimento de Silvanópolis por Monte do Carmo no período seco"/>
  </r>
  <r>
    <n v="2026"/>
    <s v="ETO-COEP 00150/2026"/>
    <x v="2"/>
    <n v="7930428001"/>
    <x v="1"/>
    <d v="2026-07-20T00:00:00"/>
    <n v="1"/>
    <s v="PORTO NACIONAL"/>
    <s v="PORTO NACIONAL"/>
    <s v="CENTRO"/>
    <s v="LD01100001"/>
    <s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
    <n v="5"/>
    <n v="5"/>
    <n v="15"/>
    <n v="0"/>
    <n v="15"/>
    <n v="10"/>
    <n v="0"/>
    <n v="0"/>
    <n v="50"/>
    <x v="1"/>
    <s v="Transferência dos Grupos A -  Ramal do Rossato (TF 225kVA e TF 750kVA)"/>
  </r>
  <r>
    <n v="2026"/>
    <s v="ETO-RD-PS 00289/2026"/>
    <x v="7"/>
    <n v="5827102054"/>
    <x v="0"/>
    <d v="2026-06-29T00:00:00"/>
    <n v="54"/>
    <s v="PUGMIL"/>
    <s v="PARAISO DO TOCANTINS"/>
    <s v="CENTRO"/>
    <s v="LD01062013"/>
    <s v="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
    <n v="0"/>
    <n v="20"/>
    <n v="20"/>
    <n v="10"/>
    <n v="0"/>
    <s v="-"/>
    <s v="-"/>
    <s v="-"/>
    <n v="50"/>
    <x v="2"/>
    <s v="Aumento de reclamações no atendimento de Pugmil no período seco"/>
  </r>
  <r>
    <n v="2025"/>
    <s v="ETO-COEP 00221/2025"/>
    <x v="2"/>
    <n v="5800961074"/>
    <x v="0"/>
    <d v="2025-12-05T00:00:00"/>
    <n v="74"/>
    <s v="DIANOPOLIS"/>
    <s v="DIANOPOLIS"/>
    <s v="SUL"/>
    <s v="LD03028074"/>
    <s v="PARECER COEP: EQUIPAMENTO SELECIONADO PARA COMPRASubstituir as 3 células- Melhoria na malha de aterramento - Melhoria no circuito de aterramento qua aterra as células.- Substituir conectores paralelos"/>
    <n v="20"/>
    <n v="0"/>
    <n v="0"/>
    <n v="20"/>
    <n v="0"/>
    <s v="-"/>
    <s v="-"/>
    <s v="-"/>
    <n v="40"/>
    <x v="2"/>
    <s v="Atendimento da COELBA e GA Alessandro Maurício (1600 kVA)"/>
  </r>
  <r>
    <n v="2026"/>
    <s v="ETO-COEP 00063/2026"/>
    <x v="2"/>
    <n v="7944559149"/>
    <x v="1"/>
    <d v="2026-03-31T00:00:00"/>
    <n v="149"/>
    <s v="CASEARA"/>
    <s v="DIVINOPOLIS"/>
    <s v="CENTRO"/>
    <s v="LD01434149"/>
    <s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
    <n v="5"/>
    <n v="10"/>
    <n v="0"/>
    <n v="0"/>
    <n v="15"/>
    <n v="10"/>
    <n v="0"/>
    <n v="0"/>
    <n v="40"/>
    <x v="2"/>
    <s v="Atendimento de cargas rurais entre Caseaarra e Araguacema (221 UCs)"/>
  </r>
  <r>
    <n v="2026"/>
    <s v="ETO-COEP 00129/2026"/>
    <x v="2"/>
    <n v="7937102148"/>
    <x v="1"/>
    <d v="2026-07-07T00:00:00"/>
    <n v="148"/>
    <s v="SAO VALERIO DA NATIVIDADE"/>
    <s v="PEIXE"/>
    <s v="SUL"/>
    <s v="LD01066094"/>
    <s v="PARECER COEP: REAVALIAR DISPONIBILIDADE DO EQUIPAMENTO NO SCADA ASSIM COMO , FORNECER MODELO DO EQUIPAMENTO E FAIXA DE TENSÃO PARA COMPRA / AQUISIÇÃOTanque com defeito, realizar substituição do tanque."/>
    <n v="5"/>
    <n v="5"/>
    <n v="5"/>
    <n v="0"/>
    <n v="15"/>
    <n v="10"/>
    <n v="0"/>
    <n v="0"/>
    <n v="40"/>
    <x v="2"/>
    <s v="Fonte principal do Ramal Serranópolis (181 UCs), RL de transferência operando"/>
  </r>
  <r>
    <n v="2026"/>
    <s v="ETO-PROT 00135/2026"/>
    <x v="5"/>
    <n v="7922995039"/>
    <x v="1"/>
    <d v="2026-06-29T00:00:00"/>
    <n v="39"/>
    <s v="ARAGUATINS"/>
    <s v="AUGUSTINOPOLIS"/>
    <s v="NORTE"/>
    <s v="AL03109039"/>
    <s v="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
    <n v="5"/>
    <n v="5"/>
    <n v="0"/>
    <n v="0"/>
    <n v="15"/>
    <n v="10"/>
    <n v="0"/>
    <n v="0"/>
    <n v="35"/>
    <x v="2"/>
    <s v="Atendimento do PA Esperança Viva (396 UCs)"/>
  </r>
  <r>
    <n v="2026"/>
    <s v="ETO-COEP 00024/2026"/>
    <x v="2"/>
    <n v="7933585074"/>
    <x v="1"/>
    <d v="2026-01-27T00:00:00"/>
    <n v="74"/>
    <s v="DIANOPOLIS"/>
    <s v="DIANOPOLIS"/>
    <s v="SUL"/>
    <s v="LD03028074"/>
    <s v="30/06 PARECER COEP: EQUIPAMENTO SELECIONADO PARA COMPRAREALIZAR SUBSTITUIÇÃO DO TANQUE, O MESMO ESTÁ COM DEFEITO."/>
    <n v="5"/>
    <n v="5"/>
    <n v="15"/>
    <n v="0"/>
    <n v="0"/>
    <n v="0"/>
    <n v="10"/>
    <n v="0"/>
    <n v="35"/>
    <x v="2"/>
    <s v="Atendimento da COELBA"/>
  </r>
  <r>
    <n v="2026"/>
    <s v="ETO-COEP 00133/2026"/>
    <x v="2"/>
    <n v="7955986084"/>
    <x v="1"/>
    <d v="2026-07-08T00:00:00"/>
    <n v="84"/>
    <s v="DIVINOPOLIS"/>
    <s v="DIVINOPOLIS"/>
    <s v="CENTRO"/>
    <s v="LD04062013"/>
    <s v="14/07/2026 PARECER COEP : SUBSTIUIR CONTROLE COMPLETOPARECER DMSL: Equipamento com a placa de alimentação ca em curto, será necessário substituir a placa do equipamento. (Antiga nota era pra ter sido repassada porém foi baixada indevidamente pela equipe)"/>
    <n v="5"/>
    <n v="5"/>
    <n v="0"/>
    <n v="0"/>
    <n v="15"/>
    <n v="10"/>
    <n v="0"/>
    <n v="0"/>
    <n v="35"/>
    <x v="2"/>
    <s v="Transferência de cargas do 444R da SE Paraíso I"/>
  </r>
  <r>
    <n v="2026"/>
    <s v="ETO-COEP 00045/2026"/>
    <x v="2"/>
    <n v="7927396052"/>
    <x v="1"/>
    <d v="2026-03-02T00:00:00"/>
    <n v="52"/>
    <s v="FORMOSO DO ARAGUAIA"/>
    <s v="FORMOSO DO ARAGUAIA"/>
    <s v="SUL"/>
    <s v="LD03036052"/>
    <s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
    <n v="5"/>
    <n v="5"/>
    <n v="0"/>
    <n v="0"/>
    <n v="15"/>
    <n v="10"/>
    <n v="0"/>
    <n v="0"/>
    <n v="35"/>
    <x v="2"/>
    <s v="Equipamento localizado Fonte principal de atendimento a SE Cobrape"/>
  </r>
  <r>
    <n v="2026"/>
    <s v="ETO-COEP 00058/2026"/>
    <x v="2"/>
    <n v="7925733015"/>
    <x v="1"/>
    <d v="2026-03-30T00:00:00"/>
    <n v="15"/>
    <s v="PEDRO AFONSO"/>
    <s v="GUARAI"/>
    <s v="NORTE"/>
    <s v="LD01414015"/>
    <s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
    <n v="5"/>
    <n v="5"/>
    <n v="0"/>
    <n v="0"/>
    <n v="15"/>
    <n v="10"/>
    <n v="0"/>
    <n v="0"/>
    <n v="35"/>
    <x v="2"/>
    <s v="Transferência do Ramal Agrovila (73 UCs)"/>
  </r>
  <r>
    <n v="2026"/>
    <s v="ETO-COEP 00125/2026"/>
    <x v="2"/>
    <n v="7900525015"/>
    <x v="1"/>
    <d v="2026-07-07T00:00:00"/>
    <n v="15"/>
    <s v="PEDRO AFONSO"/>
    <s v="GUARAI"/>
    <s v="NORTE"/>
    <s v="LD02424015"/>
    <s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
    <n v="5"/>
    <n v="5"/>
    <n v="0"/>
    <n v="0"/>
    <n v="15"/>
    <n v="10"/>
    <n v="0"/>
    <n v="0"/>
    <n v="35"/>
    <x v="2"/>
    <s v="Tranferência do Ramal do Chaparral (251 UCs)"/>
  </r>
  <r>
    <n v="2026"/>
    <s v="ETO-COEP 00038/2026"/>
    <x v="2"/>
    <n v="7908249152"/>
    <x v="1"/>
    <d v="2026-02-24T00:00:00"/>
    <n v="152"/>
    <s v="SANTA ROSA DO TOCANTINS"/>
    <s v="PORTO NACIONAL"/>
    <s v="CENTRO"/>
    <s v="LD02072001"/>
    <s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
    <n v="5"/>
    <n v="5"/>
    <n v="0"/>
    <n v="0"/>
    <n v="15"/>
    <n v="10"/>
    <n v="0"/>
    <n v="0"/>
    <n v="35"/>
    <x v="2"/>
    <s v="Atendimento de zona rural em Santa Rosa (160 UCs)"/>
  </r>
  <r>
    <n v="2026"/>
    <s v="ETO-PROT 00155/2026"/>
    <x v="5"/>
    <n v="7942572059"/>
    <x v="1"/>
    <d v="2026-07-21T00:00:00"/>
    <n v="59"/>
    <s v="TAQUARALTO"/>
    <s v="TAQUARALTO"/>
    <s v="CENTRO"/>
    <s v="LD02059122"/>
    <s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
    <n v="5"/>
    <n v="5"/>
    <n v="15"/>
    <n v="0"/>
    <n v="0"/>
    <n v="0"/>
    <n v="10"/>
    <n v="0"/>
    <n v="35"/>
    <x v="2"/>
    <s v="Atendimento do Ramal do Marasca e GAs (108 UCs)"/>
  </r>
  <r>
    <n v="2026"/>
    <s v="ETO-COEP 00123/2026"/>
    <x v="2"/>
    <n v="7928564039"/>
    <x v="1"/>
    <d v="2026-07-07T00:00:00"/>
    <n v="39"/>
    <s v="ARAGUATINS"/>
    <s v="AUGUSTINOPOLIS"/>
    <s v="NORTE"/>
    <s v="LD02109039"/>
    <s v="PARECER COEP: EQUIPAMENTO SELECIONADO PARA COMPRATroca do sistema de comunicação do equipamentoDMSL 28/07/2025: Equipamento com tanque, modulo e rele com defeito, solicitar troca do equipamento ao DCMD.Fotos vão ser enviadas por e-mail"/>
    <n v="5"/>
    <n v="10"/>
    <n v="5"/>
    <n v="0"/>
    <n v="0"/>
    <n v="10"/>
    <n v="0"/>
    <n v="0"/>
    <n v="30"/>
    <x v="2"/>
    <s v="Transferência entre 424R Araguatins e 434R Augustinópolis"/>
  </r>
  <r>
    <n v="2026"/>
    <s v="ETO-COEP 00156/2026"/>
    <x v="2"/>
    <n v="5855411017"/>
    <x v="0"/>
    <d v="2026-07-24T00:00:00"/>
    <n v="17"/>
    <s v="BARROLANDIA"/>
    <s v="MIRACEMA DO TOCANTINS"/>
    <s v="CENTRO"/>
    <s v="AL02017017"/>
    <s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
    <n v="0"/>
    <n v="0"/>
    <n v="0"/>
    <n v="10"/>
    <n v="20"/>
    <s v="-"/>
    <s v="-"/>
    <s v="-"/>
    <n v="30"/>
    <x v="3"/>
    <s v="Atendimento do Assentamento Irmã Adelaide"/>
  </r>
  <r>
    <n v="2026"/>
    <s v="ETO-TELE 01002/2026"/>
    <x v="3"/>
    <n v="7908196047"/>
    <x v="1"/>
    <d v="2026-07-13T00:00:00"/>
    <n v="47"/>
    <s v="FIGUEIROPOLIS"/>
    <s v="FORMOSO DO ARAGUAIA"/>
    <s v="SUL"/>
    <s v="AL02033047"/>
    <s v="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
    <n v="5"/>
    <n v="5"/>
    <n v="5"/>
    <n v="0"/>
    <n v="0"/>
    <n v="0"/>
    <n v="10"/>
    <n v="0"/>
    <n v="25"/>
    <x v="3"/>
    <s v="Seccionamento do Rural e energização do 224R"/>
  </r>
  <r>
    <n v="2026"/>
    <s v="ETO-COEP 00134/2026"/>
    <x v="2"/>
    <n v="7955946007"/>
    <x v="1"/>
    <d v="2026-07-08T00:00:00"/>
    <n v="7"/>
    <s v="MIRACEMA DO TOCANTINS"/>
    <s v="MIRACEMA DO TOCANTINS"/>
    <s v="CENTRO"/>
    <s v="LD05050008"/>
    <s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
    <n v="5"/>
    <n v="5"/>
    <n v="5"/>
    <n v="0"/>
    <n v="0"/>
    <n v="0"/>
    <n v="10"/>
    <n v="0"/>
    <n v="25"/>
    <x v="3"/>
    <s v="Alimentação do serviço auxiliar da Investco e clientes rurais (260 UCs)"/>
  </r>
  <r>
    <n v="2026"/>
    <s v="ETO-COEP 00148/2026"/>
    <x v="2"/>
    <n v="7923927122"/>
    <x v="1"/>
    <d v="2026-07-16T00:00:00"/>
    <n v="122"/>
    <s v="PALMAS"/>
    <s v="PALMAS"/>
    <s v="CENTRO"/>
    <s v="LD02059122"/>
    <s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
    <n v="15"/>
    <n v="0"/>
    <n v="0"/>
    <n v="0"/>
    <n v="0"/>
    <n v="10"/>
    <n v="0"/>
    <n v="0"/>
    <n v="25"/>
    <x v="3"/>
    <s v="Transferência entre 414R e 424R SE Palmas II"/>
  </r>
  <r>
    <n v="2025"/>
    <s v="ETO-COEP 00158/2025"/>
    <x v="2"/>
    <n v="7942485096"/>
    <x v="1"/>
    <d v="2025-07-23T00:00:00"/>
    <n v="96"/>
    <s v="PINDORAMA DO TOCANTINS"/>
    <s v="PONTE ALTA TOCANTINS"/>
    <s v="CENTRO"/>
    <s v="LD03046026"/>
    <s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
    <n v="5"/>
    <n v="5"/>
    <n v="5"/>
    <n v="0"/>
    <n v="0"/>
    <n v="10"/>
    <n v="0"/>
    <n v="0"/>
    <n v="25"/>
    <x v="3"/>
    <s v="Transferência da PCH Bagagem"/>
  </r>
  <r>
    <n v="2026"/>
    <s v="ETO-COEP 00132/2026"/>
    <x v="2"/>
    <n v="7921202014"/>
    <x v="1"/>
    <d v="2026-07-08T00:00:00"/>
    <n v="14"/>
    <s v="PIUM"/>
    <s v="PARAISO DO TOCANTINS"/>
    <s v="CENTRO"/>
    <s v="LD01025012"/>
    <s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
    <n v="5"/>
    <n v="5"/>
    <n v="5"/>
    <n v="0"/>
    <n v="0"/>
    <n v="10"/>
    <n v="0"/>
    <n v="0"/>
    <n v="25"/>
    <x v="3"/>
    <s v="Atendimento de Clientes rurais (483 UCs)"/>
  </r>
  <r>
    <n v="2025"/>
    <s v="ETO-COEP 00143/2025"/>
    <x v="2"/>
    <n v="7927446001"/>
    <x v="1"/>
    <d v="2025-07-08T00:00:00"/>
    <n v="1"/>
    <s v="PORTO NACIONAL"/>
    <s v="PORTO NACIONAL"/>
    <s v="CENTRO"/>
    <s v="LD02072001"/>
    <s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
    <n v="5"/>
    <n v="5"/>
    <n v="5"/>
    <n v="0"/>
    <n v="0"/>
    <n v="10"/>
    <n v="0"/>
    <n v="0"/>
    <n v="25"/>
    <x v="3"/>
    <s v="Alimentação de Monte do Carmo por Porto Nacional"/>
  </r>
  <r>
    <n v="2026"/>
    <s v="ETO-COEP 00128/2026"/>
    <x v="2"/>
    <n v="7928241200"/>
    <x v="1"/>
    <d v="2026-07-07T00:00:00"/>
    <n v="200"/>
    <s v="SAO SALVADOR DO TOCANTINS"/>
    <s v="PEIXE"/>
    <s v="SUL"/>
    <s v="LD02066094"/>
    <s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
    <n v="5"/>
    <n v="5"/>
    <n v="5"/>
    <n v="0"/>
    <n v="0"/>
    <n v="10"/>
    <n v="0"/>
    <n v="0"/>
    <n v="25"/>
    <x v="3"/>
    <s v="Fonte principal do Ramal do Retiro (246UCs), RL transferência by-passado"/>
  </r>
  <r>
    <n v="2026"/>
    <s v="ETO-COEP 00061/2026"/>
    <x v="2"/>
    <n v="7901110084"/>
    <x v="1"/>
    <d v="2026-03-31T00:00:00"/>
    <n v="84"/>
    <s v="DIVINOPOLIS"/>
    <s v="DIVINOPOLIS"/>
    <s v="CENTRO"/>
    <s v="LD04062013"/>
    <s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
    <n v="5"/>
    <n v="5"/>
    <n v="0"/>
    <n v="0"/>
    <n v="0"/>
    <n v="0"/>
    <n v="10"/>
    <n v="0"/>
    <n v="20"/>
    <x v="3"/>
    <s v="Localizado na fonte principal de atendimento de Divinópolis e Abreulândia"/>
  </r>
  <r>
    <n v="2026"/>
    <s v="ETO-COEP 00114/2026"/>
    <x v="2"/>
    <n v="7913662076"/>
    <x v="1"/>
    <d v="2026-06-10T00:00:00"/>
    <n v="76"/>
    <s v="DUERE"/>
    <s v="GURUPI"/>
    <s v="SUL"/>
    <s v="AL01031076"/>
    <s v="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
    <n v="5"/>
    <n v="5"/>
    <n v="0"/>
    <n v="0"/>
    <n v="0"/>
    <n v="10"/>
    <n v="0"/>
    <n v="0"/>
    <n v="20"/>
    <x v="3"/>
    <s v="Atendimento do Ramal do Bacuri (168 UCs)"/>
  </r>
  <r>
    <n v="2026"/>
    <s v="ETO-RD-DP 00457/2026"/>
    <x v="4"/>
    <n v="5862236091"/>
    <x v="0"/>
    <d v="2026-07-20T00:00:00"/>
    <n v="91"/>
    <s v="ALMAS"/>
    <s v="DIANOPOLIS"/>
    <s v="SUL"/>
    <s v="LD05002091"/>
    <s v="20/07 PARECER COEP: EQUIPAMENTO ENTREGUE , FAVOR EDITAR A SS COM A DATA PREVISTA DE SUBSTITUIÇÃO NO PARECER DOS COCM´S Realizar substituição da FASE B.Célula da fase B estava com a tampa do contador de tape aberta, pegou chuva e molhou os contatos danificando a peça toda."/>
    <n v="0"/>
    <n v="0"/>
    <n v="0"/>
    <n v="20"/>
    <n v="0"/>
    <s v="-"/>
    <s v="-"/>
    <s v="-"/>
    <n v="20"/>
    <x v="3"/>
    <s v="Atendimento da LD Vale Rio Doce (Nova Aura Mineradora)"/>
  </r>
  <r>
    <n v="2026"/>
    <s v="ETO-COEP 00095/2026"/>
    <x v="2"/>
    <n v="5836786094"/>
    <x v="0"/>
    <d v="2026-05-18T00:00:00"/>
    <n v="94"/>
    <s v="PEIXE"/>
    <s v="PEIXE"/>
    <s v="SUL"/>
    <s v="LD01066094"/>
    <s v="24/07 PARECER COEP:EQUIPAMENTO EM LOGISTICA DE ENTREGA Favor levar outro regulador de tensão, pois o mesmo foi furtado em campo."/>
    <n v="0"/>
    <n v="0"/>
    <n v="0"/>
    <n v="10"/>
    <n v="10"/>
    <s v="-"/>
    <s v="-"/>
    <s v="-"/>
    <n v="20"/>
    <x v="3"/>
    <s v="Atendimento de clientes rurais na LD Peixe Angical - Peixe"/>
  </r>
  <r>
    <n v="2026"/>
    <s v="ETO-RD-PS 00327/2026"/>
    <x v="7"/>
    <n v="7919270014"/>
    <x v="1"/>
    <d v="2026-07-22T00:00:00"/>
    <n v="14"/>
    <s v="PIUM"/>
    <s v="PARAISO DO TOCANTINS"/>
    <s v="CENTRO"/>
    <s v="LD01047073"/>
    <s v="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
    <n v="5"/>
    <n v="5"/>
    <n v="0"/>
    <n v="0"/>
    <n v="0"/>
    <n v="10"/>
    <n v="0"/>
    <n v="0"/>
    <n v="20"/>
    <x v="3"/>
    <s v="Atendimento de Clientes rurais (48 UCs)"/>
  </r>
  <r>
    <n v="2026"/>
    <s v="ETO-COEP 00051/2026"/>
    <x v="2"/>
    <n v="7926442035"/>
    <x v="1"/>
    <d v="2026-03-18T00:00:00"/>
    <n v="35"/>
    <s v="MONTE DO CARMO"/>
    <s v="PONTE ALTA TOCANTINS"/>
    <s v="CENTRO"/>
    <s v="LD01051035"/>
    <s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
    <n v="5"/>
    <n v="5"/>
    <n v="0"/>
    <n v="0"/>
    <n v="0"/>
    <n v="0"/>
    <n v="10"/>
    <n v="0"/>
    <n v="20"/>
    <x v="3"/>
    <s v="Atenidmento do PA Principado (200 UCs)"/>
  </r>
  <r>
    <n v="2026"/>
    <s v="ETO-COEP 00144/2026"/>
    <x v="2"/>
    <n v="7938137007"/>
    <x v="1"/>
    <d v="2026-07-15T00:00:00"/>
    <n v="7"/>
    <s v="MIRACEMA DO TOCANTINS"/>
    <s v="MIRACEMA DO TOCANTINS"/>
    <s v="CENTRO"/>
    <s v="AL02017017"/>
    <s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
    <n v="5"/>
    <n v="5"/>
    <n v="5"/>
    <n v="0"/>
    <n v="0"/>
    <n v="0"/>
    <n v="0"/>
    <n v="0"/>
    <n v="15"/>
    <x v="3"/>
    <s v="Transferência do Irmã Adelaide (470 UCs)"/>
  </r>
  <r>
    <n v="2026"/>
    <s v="ETO-RD-DP 00403/2026"/>
    <x v="4"/>
    <n v="5856156091"/>
    <x v="0"/>
    <d v="2026-06-29T00:00:00"/>
    <n v="91"/>
    <s v="ALMAS"/>
    <s v="DIANOPOLIS"/>
    <s v="SUL"/>
    <s v="LD04002091"/>
    <s v="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
    <n v="0"/>
    <n v="0"/>
    <n v="0"/>
    <n v="0"/>
    <n v="0"/>
    <s v="-"/>
    <s v="-"/>
    <s v="-"/>
    <n v="0"/>
    <x v="3"/>
    <s v="Equipamento novo furtado antes de ser colocado em operação"/>
  </r>
  <r>
    <n v="2026"/>
    <s v="ETO-TELE 01032/2026"/>
    <x v="3"/>
    <n v="5858783119"/>
    <x v="0"/>
    <d v="2026-07-27T00:00:00"/>
    <n v="119"/>
    <s v="SAO BENTO DO TOCANTINS"/>
    <s v="TOCANTINOPOLIS"/>
    <s v="NORTE"/>
    <s v="LD03005098"/>
    <s v="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n v="0"/>
    <n v="0"/>
    <n v="0"/>
    <n v="0"/>
    <n v="0"/>
    <s v="-"/>
    <s v="-"/>
    <s v="-"/>
    <n v="0"/>
    <x v="3"/>
    <s v="Equipamento novo furtado antes de ser colocado em operação, não inserido no SCADA"/>
  </r>
  <r>
    <n v="2026"/>
    <s v="ETO-TELE 00982/2026"/>
    <x v="3"/>
    <n v="7955832052"/>
    <x v="1"/>
    <d v="2026-07-04T00:00:00"/>
    <n v="52"/>
    <s v="FORMOSO DO ARAGUAIA"/>
    <s v="FORMOSO DO ARAGUAIA"/>
    <s v="SUL"/>
    <s v="LD01035052"/>
    <s v="SEGUE SOLICITAÇÃO DE SERVIÇO PARA REALIZAR VERIFICAÇÃO DO RL 7955832052 EQUIPAMENTO DE INTEELIGAÇÃO O MESMO ESTA SEM COMUNICAÇÃO ...FOI REALIZADO PRIMEIRO ATAQUE COM EQUIPE SINERGIA DE FORMOSO EO EQUIPAMENTO NÃO VOLTOU"/>
    <m/>
    <m/>
    <m/>
    <m/>
    <m/>
    <m/>
    <m/>
    <m/>
    <n v="0"/>
    <x v="4"/>
    <m/>
  </r>
  <r>
    <n v="2026"/>
    <s v="ETO-COEP 00138/2026"/>
    <x v="2"/>
    <n v="7930359149"/>
    <x v="1"/>
    <d v="2026-07-13T00:00:00"/>
    <n v="149"/>
    <s v="CASEARA"/>
    <s v="DIVINOPOLIS"/>
    <s v="CENTRO"/>
    <s v="LD03414149"/>
    <s v="PARECER DMSL 07/07/2026: equipamento tem que ser subistuido pois não faz comando, parte ativa com defeito FEITO O PRIMEIRO ATAQUE NO RELIGADOR 7930359149 E MESMO NÃO ACEITA COMANDO NEM LOCAL E NEM REMOTO SEGUNDO EQUIPE 149OP02 E PLACA DO RL ESTA CARBONIZADA COM SINAL DE CURTO."/>
    <m/>
    <m/>
    <m/>
    <m/>
    <m/>
    <m/>
    <m/>
    <m/>
    <n v="0"/>
    <x v="4"/>
    <m/>
  </r>
  <r>
    <n v="2026"/>
    <s v="ETO-TELE 00932/2026"/>
    <x v="3"/>
    <n v="7902098003"/>
    <x v="1"/>
    <d v="2026-06-15T00:00:00"/>
    <n v="3"/>
    <s v="GURUPI"/>
    <s v="GURUPI"/>
    <s v="SUL"/>
    <s v="AL01041003"/>
    <s v="Segue SS de religador 7902098003 sem comunicação. Foi realizado o primeiro ataque porem o mesmo não retornou a comunicação."/>
    <m/>
    <m/>
    <m/>
    <m/>
    <m/>
    <m/>
    <m/>
    <m/>
    <n v="0"/>
    <x v="4"/>
    <m/>
  </r>
  <r>
    <n v="2026"/>
    <s v="ETO-COEP 00147/2026"/>
    <x v="2"/>
    <n v="7953211079"/>
    <x v="1"/>
    <d v="2026-07-16T00:00:00"/>
    <n v="79"/>
    <s v="ITAPIRATINS"/>
    <s v="GUARAI"/>
    <s v="NORTE"/>
    <s v="LD03038009"/>
    <s v="20/07 PARECER COEP: EQUIPAMENTO SELECIONADO PARA COMPRASegue nota para substituir relé religador avariado marca noja , equipamento N: 7953211079 - Itapiratins .Obs: informação repassado pelo técnico DMSL Bruno ."/>
    <m/>
    <m/>
    <m/>
    <m/>
    <m/>
    <m/>
    <m/>
    <m/>
    <n v="0"/>
    <x v="4"/>
    <m/>
  </r>
  <r>
    <n v="2026"/>
    <s v="ETO-TELE 00929/2026"/>
    <x v="3"/>
    <n v="7949648145"/>
    <x v="1"/>
    <d v="2026-06-13T00:00:00"/>
    <n v="145"/>
    <s v="MAURILANDIA DO TOCANTINS"/>
    <s v="AUGUSTINOPOLIS"/>
    <s v="NORTE"/>
    <s v="AL02043081"/>
    <s v="FEITO PRIMEIRO ATAQUE COM A EQUIPE LOCAL E NÃO VOLTOU A COMUNICAR. PROVIDENCIAR MANUTENÇÃO PARA O MESMO."/>
    <m/>
    <m/>
    <m/>
    <m/>
    <m/>
    <m/>
    <m/>
    <m/>
    <n v="0"/>
    <x v="4"/>
    <m/>
  </r>
  <r>
    <n v="2026"/>
    <s v="ETO-TELE 00938/2026"/>
    <x v="3"/>
    <n v="7908300096"/>
    <x v="1"/>
    <d v="2026-06-18T00:00:00"/>
    <n v="96"/>
    <s v="PINDORAMA DO TOCANTINS"/>
    <s v="PONTE ALTA TOCANTINS"/>
    <s v="CENTRO"/>
    <s v="LD03046026"/>
    <s v="Segue nota para verificar falha intermitência na comunicação RL 7908300096 RDU- Pindorama ."/>
    <m/>
    <m/>
    <m/>
    <m/>
    <m/>
    <m/>
    <m/>
    <m/>
    <n v="0"/>
    <x v="4"/>
    <m/>
  </r>
  <r>
    <n v="2026"/>
    <s v="ETO-TELE 00892/2026"/>
    <x v="3"/>
    <n v="7953570026"/>
    <x v="1"/>
    <d v="2026-06-06T00:00:00"/>
    <n v="26"/>
    <s v="PONTE ALTA TOCANTINS"/>
    <s v="PONTE ALTA TOCANTINS"/>
    <s v="CENTRO"/>
    <s v="LD03046026"/>
    <s v="Segue RL 7953570026 O MESMO FOI FEITO PRIMEIRO ATAQUE, painel do religador acendeu porem não voltou a comunicação junto ao SCADA, equipe fez teste em comando local, tudo normal porem sem retorno de comunicação, rl na SE DE PONTE ALTA"/>
    <m/>
    <m/>
    <m/>
    <m/>
    <m/>
    <m/>
    <m/>
    <m/>
    <n v="0"/>
    <x v="4"/>
    <m/>
  </r>
  <r>
    <n v="2026"/>
    <s v="DG-RD-PO 00444/2026"/>
    <x v="8"/>
    <n v="7911120026"/>
    <x v="1"/>
    <d v="2026-07-01T00:00:00"/>
    <n v="26"/>
    <s v="PONTE ALTA TOCANTINS"/>
    <s v="PONTE ALTA TOCANTINS"/>
    <s v="CENTRO"/>
    <s v="LD03046026"/>
    <s v="Segue nota para recuperar malha de aterramento no RL 7911120026 RDU- Ponte Alta .OBS: Provavelmente foi furtado cabos de aterramento   ."/>
    <m/>
    <m/>
    <m/>
    <m/>
    <m/>
    <m/>
    <m/>
    <m/>
    <n v="0"/>
    <x v="4"/>
    <m/>
  </r>
  <r>
    <n v="2026"/>
    <s v="ETO-TELE 01019/2026"/>
    <x v="3"/>
    <n v="7908716091"/>
    <x v="1"/>
    <d v="2026-07-20T00:00:00"/>
    <n v="91"/>
    <s v="ALMAS"/>
    <s v="DIANOPOLIS"/>
    <s v="SUL"/>
    <s v="LD03046026"/>
    <s v="Segue nota para verificar falha de comunicação no religador 7908716091 - Rural -  Almas  .Equipamento perdeu a comunicação quando faltou CA , porém mesmo ao retorna o CA não retornou à comunicação !"/>
    <m/>
    <m/>
    <m/>
    <m/>
    <m/>
    <m/>
    <m/>
    <m/>
    <m/>
    <x v="4"/>
    <m/>
  </r>
  <r>
    <n v="2026"/>
    <s v="ETO-TELE 01005/2026"/>
    <x v="3"/>
    <n v="5848305116"/>
    <x v="0"/>
    <d v="2026-07-15T00:00:00"/>
    <n v="116"/>
    <s v="CHAPADA DA NATIVIDADE"/>
    <s v="DIANOPOLIS"/>
    <s v="SUL"/>
    <s v="LD04002091"/>
    <s v="Segue nota para verificar falha e constantes travamento no regulador de tensão 5848305116 - chapada da Natividade .Foi identificado que regulador está com divergência em TAP&quot;S analógico e digital .Foi executado comandos no relé para comutar TAP na fase AB foi executado no relé , porém não alterou analógico e nem fez barulho algum , a princípio a fase C está normal ."/>
    <m/>
    <m/>
    <m/>
    <m/>
    <m/>
    <m/>
    <m/>
    <m/>
    <m/>
    <x v="4"/>
    <m/>
  </r>
  <r>
    <n v="2026"/>
    <s v="ETO-TELE 01007/2026"/>
    <x v="3"/>
    <n v="7961368005"/>
    <x v="1"/>
    <d v="2026-07-16T00:00:00"/>
    <n v="5"/>
    <s v="ARRAIAS"/>
    <s v="DIANOPOLIS"/>
    <s v="SUL"/>
    <s v="LD01110005"/>
    <s v="Favor verifcar Religador 7961368005 , equipamento sem comunicação , feito primeiro ataque com equipe operacional , porem não ouve retorno ."/>
    <m/>
    <m/>
    <m/>
    <m/>
    <m/>
    <m/>
    <m/>
    <m/>
    <m/>
    <x v="4"/>
    <m/>
  </r>
  <r>
    <n v="2026"/>
    <s v="ETO-TELE 01026/2026"/>
    <x v="3"/>
    <n v="7929663074"/>
    <x v="1"/>
    <d v="2026-07-23T00:00:00"/>
    <n v="74"/>
    <s v="DIANOPOLIS"/>
    <s v="DIANOPOLIS"/>
    <s v="SUL"/>
    <s v="LD05028074"/>
    <s v="Segue nota para verificar falha de comunicação no religador 7929663074  rural - Dianópolis  .Equipamento perde a comunicação quando falta CA !"/>
    <m/>
    <m/>
    <m/>
    <m/>
    <m/>
    <m/>
    <m/>
    <m/>
    <m/>
    <x v="4"/>
    <m/>
  </r>
  <r>
    <n v="2026"/>
    <s v="ETO-TELE 01029/2026"/>
    <x v="3"/>
    <n v="7900722193"/>
    <x v="1"/>
    <d v="2026-07-24T00:00:00"/>
    <n v="193"/>
    <s v="CAMPOS LINDOS"/>
    <s v="ARAGUAINA"/>
    <s v="NORTE"/>
    <s v="PS01112193"/>
    <s v="Religador sem comunicação, apos primeiro ataque não retornou a comunicação."/>
    <m/>
    <m/>
    <m/>
    <m/>
    <m/>
    <m/>
    <m/>
    <m/>
    <m/>
    <x v="4"/>
    <m/>
  </r>
  <r>
    <n v="2026"/>
    <s v="ETO-TELE 00999/2026"/>
    <x v="3"/>
    <n v="7955792076"/>
    <x v="1"/>
    <d v="2026-07-12T00:00:00"/>
    <n v="76"/>
    <s v="DUERE"/>
    <s v="GURUPI"/>
    <s v="SUL"/>
    <s v="LD02040003"/>
    <s v="RELIGADOR DE POSTE 7955792076 SEM COMUNIÇÃO COM COI ,FEITO PRIMEIRO ATAQUE COM EQUIPE OPERACIONAL O MESMO NÃO RETORNOU A COMUNICAÇÃO ENVIAR EQUIPE ESPECIAL VERIFICAR EM CAMPO"/>
    <m/>
    <m/>
    <m/>
    <m/>
    <m/>
    <m/>
    <m/>
    <m/>
    <m/>
    <x v="4"/>
    <m/>
  </r>
  <r>
    <n v="2026"/>
    <s v="ETO-TELE 00985/2026"/>
    <x v="3"/>
    <n v="5839141113"/>
    <x v="0"/>
    <d v="2026-07-07T00:00:00"/>
    <n v="113"/>
    <s v="COUTO MAGALHAES"/>
    <s v="GUARAI"/>
    <s v="NORTE"/>
    <s v="AL01024113"/>
    <s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
    <m/>
    <m/>
    <m/>
    <m/>
    <m/>
    <m/>
    <m/>
    <m/>
    <m/>
    <x v="4"/>
    <m/>
  </r>
  <r>
    <n v="2026"/>
    <s v="ETO-TELE 00998/2026"/>
    <x v="3"/>
    <n v="7908683122"/>
    <x v="1"/>
    <d v="2026-07-10T00:00:00"/>
    <n v="122"/>
    <s v="PALMAS"/>
    <s v="PALMAS"/>
    <s v="CENTRO"/>
    <s v="AL10059122"/>
    <s v="rl 7908683122  retirado de operaçao devido falha na base do rele  equipamento."/>
    <m/>
    <m/>
    <m/>
    <m/>
    <m/>
    <m/>
    <m/>
    <m/>
    <m/>
    <x v="4"/>
    <m/>
  </r>
  <r>
    <n v="2026"/>
    <s v="ETO-TELE 01027/2026"/>
    <x v="3"/>
    <n v="7923110021"/>
    <x v="1"/>
    <d v="2026-07-23T00:00:00"/>
    <n v="21"/>
    <s v="PARANA"/>
    <s v="PEIXE"/>
    <s v="SUL"/>
    <s v="LD03010021"/>
    <s v="Segue SS para verificar falha de comunicação no religador 7923110021. Equipe foi no local realizar primeiro ataque e informou que o radio de comunicação encontra-se com defeito"/>
    <m/>
    <m/>
    <m/>
    <m/>
    <m/>
    <m/>
    <m/>
    <m/>
    <m/>
    <x v="4"/>
    <m/>
  </r>
  <r>
    <n v="2026"/>
    <s v="ETO-TELE 01018/2026"/>
    <x v="3"/>
    <n v="7900001096"/>
    <x v="1"/>
    <d v="2026-07-20T00:00:00"/>
    <n v="96"/>
    <s v="PINDORAMA DO TOCANTINS"/>
    <s v="PONTE ALTA TOCANTINS"/>
    <s v="CENTRO"/>
    <s v="LD03046026"/>
    <s v="Segue nota para falha de comunicação no religador 7900001096 - Rural - Pindorama .Equipamento perdeu a comunicação quando faltou CA , porém mesmo ao retorna o CA não retornou a comunicação !Feito primeiro ataque sem sucesso !"/>
    <m/>
    <m/>
    <m/>
    <m/>
    <m/>
    <m/>
    <m/>
    <m/>
    <m/>
    <x v="4"/>
    <m/>
  </r>
  <r>
    <n v="2026"/>
    <s v="ETO-TELE 01020/2026"/>
    <x v="3"/>
    <n v="7900451096"/>
    <x v="1"/>
    <d v="2026-07-20T00:00:00"/>
    <n v="96"/>
    <s v="PINDORAMA DO TOCANTINS"/>
    <s v="PONTE ALTA TOCANTINS"/>
    <s v="CENTRO"/>
    <s v="LD03046026"/>
    <s v="Segue nota para verificar falha de comunicação no religador 7900451096 - Rural -  Pindorama  .Equipamento perde a comunicação quando falta CA !"/>
    <m/>
    <m/>
    <m/>
    <m/>
    <m/>
    <m/>
    <m/>
    <m/>
    <m/>
    <x v="4"/>
    <m/>
  </r>
  <r>
    <n v="2026"/>
    <s v="ETO-TELE 01021/2026"/>
    <x v="3"/>
    <n v="7900259096"/>
    <x v="1"/>
    <d v="2026-07-20T00:00:00"/>
    <n v="96"/>
    <s v="PINDORAMA DO TOCANTINS"/>
    <s v="PONTE ALTA TOCANTINS"/>
    <s v="CENTRO"/>
    <s v="LD03046026"/>
    <s v="Boa noite .Segue nota para verificar falha de comunicação no religador 7900259096 -  Pindorama .Equipamento perde a comunicação quando falta CA !"/>
    <m/>
    <m/>
    <m/>
    <m/>
    <m/>
    <m/>
    <m/>
    <m/>
    <m/>
    <x v="4"/>
    <m/>
  </r>
  <r>
    <n v="2025"/>
    <s v="ETO-COEP 00173/2025"/>
    <x v="2"/>
    <n v="7900535058"/>
    <x v="1"/>
    <d v="2025-08-25T00:00:00"/>
    <n v="58"/>
    <s v="SANTA FE DO ARAGUAIA"/>
    <s v="ARAGUAINA"/>
    <s v="NORTE"/>
    <s v="LD03010004"/>
    <s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
    <m/>
    <m/>
    <m/>
    <m/>
    <m/>
    <m/>
    <m/>
    <m/>
    <m/>
    <x v="4"/>
    <m/>
  </r>
  <r>
    <n v="2026"/>
    <s v="ETO-TELE 01008/2026"/>
    <x v="3"/>
    <n v="7962734119"/>
    <x v="1"/>
    <d v="2026-07-16T00:00:00"/>
    <n v="119"/>
    <s v="SAO BENTO DO TOCANTINS"/>
    <s v="TOCANTINOPOLIS"/>
    <s v="NORTE"/>
    <s v="LD03005098"/>
    <s v="por favor deslocar equipe da manutenção no RL 7962734119 por que foi feito o primeiro ataque no mesmo mais não voltou comunção no sistema escada"/>
    <m/>
    <m/>
    <m/>
    <m/>
    <m/>
    <m/>
    <m/>
    <m/>
    <m/>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n v="5800291077"/>
    <s v="58"/>
    <s v="GOIATINS"/>
    <s v="ARAGUAINA"/>
    <s v="NORTE"/>
    <s v="CONCLUÍDA"/>
    <x v="0"/>
    <x v="0"/>
    <x v="0"/>
    <x v="0"/>
    <m/>
    <s v=""/>
    <n v="40"/>
    <n v="20"/>
    <n v="20"/>
    <n v="20"/>
    <n v="20"/>
    <s v="-"/>
    <s v="-"/>
    <s v="-"/>
    <n v="120"/>
    <x v="0"/>
    <s v="Aumento de reclamações no atendimento de Goiatins e GAs relevantes na região"/>
  </r>
  <r>
    <n v="5854566043"/>
    <s v="58"/>
    <s v="SILVANOPOLIS"/>
    <s v="PORTO NACIONAL"/>
    <s v="CENTRO"/>
    <s v="ETO-RD-PO 00213/2026"/>
    <x v="1"/>
    <x v="1"/>
    <x v="1"/>
    <x v="1"/>
    <n v="1"/>
    <s v="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
    <n v="40"/>
    <n v="20"/>
    <n v="20"/>
    <n v="10"/>
    <n v="20"/>
    <s v="-"/>
    <s v="-"/>
    <s v="-"/>
    <n v="110"/>
    <x v="0"/>
    <s v="Aumento de reclamações no atendimento de Silvanópolis por Porto Nacional no período seco (Outra fonte com defeito também)"/>
  </r>
  <r>
    <n v="5800859011"/>
    <s v="58"/>
    <s v="TUPIRAMA"/>
    <s v="GUARAI"/>
    <s v="NORTE"/>
    <s v="ETO-RD-GR 00735/2026"/>
    <x v="2"/>
    <x v="2"/>
    <x v="1"/>
    <x v="2"/>
    <n v="1"/>
    <s v="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
    <n v="40"/>
    <n v="20"/>
    <n v="20"/>
    <n v="10"/>
    <n v="20"/>
    <s v="-"/>
    <s v="-"/>
    <s v="-"/>
    <n v="110"/>
    <x v="0"/>
    <s v="Atendimento de parte da RDU Guaraí por fonte alternativa"/>
  </r>
  <r>
    <n v="5836764032"/>
    <s v="58"/>
    <s v="ARAGUACU"/>
    <s v="ALVORADA"/>
    <s v="SUL"/>
    <s v="CONCLUÍDA"/>
    <x v="0"/>
    <x v="0"/>
    <x v="0"/>
    <x v="0"/>
    <m/>
    <s v=""/>
    <n v="40"/>
    <n v="20"/>
    <n v="20"/>
    <n v="10"/>
    <n v="20"/>
    <s v="-"/>
    <s v="-"/>
    <s v="-"/>
    <n v="110"/>
    <x v="0"/>
    <s v="Aumento de reclamações no atendimento de Araguaçu no período seco"/>
  </r>
  <r>
    <n v="7923673004"/>
    <s v="79"/>
    <s v="ARAGUAINA"/>
    <s v="ARAGUAINA"/>
    <s v="NORTE"/>
    <s v="ETO-COEP 00124/2026"/>
    <x v="3"/>
    <x v="3"/>
    <x v="2"/>
    <x v="3"/>
    <n v="1"/>
    <s v="PARECER COEP: Verificar Disponibilidade de equipamento no Scada e enviar modelo e tensão para a compra.RELIGADOR COM RELÉ DANIFICADO, REALIZAR SUBSTITUIÇÃO"/>
    <n v="15"/>
    <n v="20"/>
    <n v="15"/>
    <n v="15"/>
    <n v="15"/>
    <n v="10"/>
    <n v="0"/>
    <n v="15"/>
    <n v="105"/>
    <x v="0"/>
    <s v="Transferência de cargas na RDU de Araguaína (2797 UCs)"/>
  </r>
  <r>
    <n v="7931608059"/>
    <s v="79"/>
    <s v="TAQUARALTO"/>
    <s v="TAQUARALTO"/>
    <s v="CENTRO"/>
    <s v="ETO-COEP 00040/2026"/>
    <x v="3"/>
    <x v="0"/>
    <x v="2"/>
    <x v="4"/>
    <n v="1"/>
    <s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
    <n v="15"/>
    <n v="20"/>
    <n v="15"/>
    <n v="15"/>
    <n v="15"/>
    <n v="10"/>
    <n v="0"/>
    <n v="15"/>
    <n v="105"/>
    <x v="0"/>
    <s v="Transferência dos bairros Morada do Sol, Vale do Sol, Morada do Sol II, Nova Esperança, Sõa João, Araras I e II e Jardim Laila em Taquaralto (6033 UCs)"/>
  </r>
  <r>
    <n v="7931610122"/>
    <s v="79"/>
    <s v="PALMAS"/>
    <s v="PALMAS"/>
    <s v="CENTRO"/>
    <s v="ETO-TELE 01025/2026"/>
    <x v="4"/>
    <x v="0"/>
    <x v="1"/>
    <x v="5"/>
    <n v="1"/>
    <s v="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
    <n v="15"/>
    <n v="20"/>
    <n v="15"/>
    <n v="15"/>
    <n v="15"/>
    <n v="10"/>
    <n v="0"/>
    <n v="15"/>
    <n v="105"/>
    <x v="0"/>
    <s v="Transferência entre 284R SE Palmas IV e 2294R SE Palmas II"/>
  </r>
  <r>
    <n v="7900648055"/>
    <s v="79"/>
    <s v="ARAGUACEMA"/>
    <s v="DIVINOPOLIS"/>
    <s v="CENTRO"/>
    <s v="CONCLUÍDA"/>
    <x v="0"/>
    <x v="0"/>
    <x v="0"/>
    <x v="0"/>
    <m/>
    <s v=""/>
    <n v="15"/>
    <n v="20"/>
    <n v="15"/>
    <n v="15"/>
    <n v="15"/>
    <n v="10"/>
    <n v="0"/>
    <n v="15"/>
    <n v="105"/>
    <x v="0"/>
    <s v="Transferência da RDU de Araguacema (1506 UCs)"/>
  </r>
  <r>
    <n v="7947203070"/>
    <s v="79"/>
    <s v="RIO SONO"/>
    <s v="TAQUARALTO"/>
    <s v="CENTRO"/>
    <s v="ETO-COEP 00131/2026"/>
    <x v="3"/>
    <x v="0"/>
    <x v="2"/>
    <x v="6"/>
    <n v="1"/>
    <s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
    <n v="10"/>
    <n v="20"/>
    <n v="15"/>
    <n v="15"/>
    <n v="15"/>
    <n v="10"/>
    <n v="0"/>
    <n v="15"/>
    <n v="100"/>
    <x v="0"/>
    <s v="Transferência da RDU de Lizarda (1650 UCs) para fonte alternativa"/>
  </r>
  <r>
    <n v="5856070091"/>
    <s v="58"/>
    <s v="ALMAS"/>
    <s v="DIANOPOLIS"/>
    <s v="SUL"/>
    <s v="ETO-RD-DP 00479/2026"/>
    <x v="2"/>
    <x v="4"/>
    <x v="1"/>
    <x v="7"/>
    <n v="3"/>
    <s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n v="40"/>
    <n v="20"/>
    <n v="20"/>
    <n v="20"/>
    <n v="0"/>
    <s v="-"/>
    <s v="-"/>
    <s v="-"/>
    <n v="100"/>
    <x v="0"/>
    <s v="Atendimento da região da Engegold, Nativa, cidade Natividade e Chapada da Natividade"/>
  </r>
  <r>
    <n v="7903569004"/>
    <s v="79"/>
    <s v="ARAGUAINA"/>
    <s v="ARAGUAINA"/>
    <s v="NORTE"/>
    <s v="CONCLUÍDA"/>
    <x v="0"/>
    <x v="0"/>
    <x v="2"/>
    <x v="0"/>
    <m/>
    <s v=""/>
    <n v="15"/>
    <n v="20"/>
    <n v="5"/>
    <n v="15"/>
    <n v="15"/>
    <n v="10"/>
    <n v="0"/>
    <n v="15"/>
    <n v="95"/>
    <x v="0"/>
    <s v="Transferência dos bairros JD Santa Helena, Jd Filadelfiae Setor Caraja em Araguaína (2053 UCs), AL 254R de AR I e AL 214R de AR III"/>
  </r>
  <r>
    <n v="7925744087"/>
    <s v="79"/>
    <s v="GOIANORTE"/>
    <s v="GUARAI"/>
    <s v="NORTE"/>
    <s v="ETO-COEP 00059/2026"/>
    <x v="3"/>
    <x v="5"/>
    <x v="2"/>
    <x v="8"/>
    <n v="1"/>
    <s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
    <n v="15"/>
    <n v="20"/>
    <n v="5"/>
    <n v="15"/>
    <n v="15"/>
    <n v="10"/>
    <n v="0"/>
    <n v="15"/>
    <n v="95"/>
    <x v="0"/>
    <s v="Transferência de Goianorte, fonte principal operando"/>
  </r>
  <r>
    <n v="7900117013"/>
    <s v="79"/>
    <s v="PARAISO DO TOCANTINS"/>
    <s v="PARAISO DO TOCANTINS"/>
    <s v="CENTRO"/>
    <s v="ETO-PROT 00154/2026"/>
    <x v="5"/>
    <x v="0"/>
    <x v="1"/>
    <x v="6"/>
    <n v="1"/>
    <s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
    <n v="15"/>
    <n v="20"/>
    <n v="15"/>
    <n v="15"/>
    <n v="15"/>
    <n v="0"/>
    <n v="0"/>
    <n v="15"/>
    <n v="95"/>
    <x v="0"/>
    <s v="Transferência do 214R de Paraíso I, Centro Comercial de Paraíso"/>
  </r>
  <r>
    <n v="7929376022"/>
    <s v="79"/>
    <s v="BABACULANDIA"/>
    <s v="ARAGUAINA"/>
    <s v="NORTE"/>
    <s v="ETO-COEP 00120/2026"/>
    <x v="6"/>
    <x v="6"/>
    <x v="1"/>
    <x v="3"/>
    <n v="1"/>
    <s v="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
    <n v="15"/>
    <n v="20"/>
    <n v="5"/>
    <n v="15"/>
    <n v="15"/>
    <n v="10"/>
    <n v="0"/>
    <n v="15"/>
    <n v="95"/>
    <x v="0"/>
    <s v="Transferência de Babaçulândia, fonte principal operando"/>
  </r>
  <r>
    <n v="7908705049"/>
    <s v="79"/>
    <s v="AURORA DO TOCANTINS"/>
    <s v="DIANOPOLIS"/>
    <s v="SUL"/>
    <s v="ETO-RD-DP 00409/2026"/>
    <x v="2"/>
    <x v="4"/>
    <x v="1"/>
    <x v="3"/>
    <n v="1"/>
    <s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
    <n v="15"/>
    <n v="20"/>
    <n v="5"/>
    <n v="15"/>
    <n v="15"/>
    <n v="0"/>
    <n v="10"/>
    <n v="15"/>
    <n v="95"/>
    <x v="0"/>
    <s v="Proteção da baixa do TF de força da SE Aurora"/>
  </r>
  <r>
    <n v="7933726256"/>
    <s v="79"/>
    <s v="MATEIROS"/>
    <s v="PONTE ALTA TOCANTINS"/>
    <s v="CENTRO"/>
    <s v="ETO-PROT 00145/2026"/>
    <x v="5"/>
    <x v="7"/>
    <x v="1"/>
    <x v="9"/>
    <n v="1"/>
    <s v="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
    <n v="15"/>
    <n v="10"/>
    <n v="15"/>
    <n v="15"/>
    <n v="15"/>
    <n v="10"/>
    <n v="0"/>
    <n v="15"/>
    <n v="95"/>
    <x v="0"/>
    <s v="Transferência da cidade de Mateiros (733 UCs) para o gerador"/>
  </r>
  <r>
    <n v="7933766059"/>
    <s v="79"/>
    <s v="TAQUARALTO"/>
    <s v="TAQUARALTO"/>
    <s v="CENTRO"/>
    <s v="ETO-TELE 01024/2026"/>
    <x v="4"/>
    <x v="0"/>
    <x v="1"/>
    <x v="9"/>
    <n v="1"/>
    <s v="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
    <n v="15"/>
    <n v="20"/>
    <n v="5"/>
    <n v="15"/>
    <n v="15"/>
    <n v="0"/>
    <n v="10"/>
    <n v="15"/>
    <n v="95"/>
    <x v="0"/>
    <s v="Seccionamento de trecho do Setor Taquari"/>
  </r>
  <r>
    <n v="7900594026"/>
    <s v="79"/>
    <s v="PONTE ALTA TOCANTINS"/>
    <s v="PONTE ALTA TOCANTINS"/>
    <s v="CENTRO"/>
    <s v="ETO-SE-PA 00107/2026"/>
    <x v="4"/>
    <x v="0"/>
    <x v="1"/>
    <x v="3"/>
    <n v="1"/>
    <s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
    <n v="15"/>
    <n v="20"/>
    <n v="15"/>
    <n v="15"/>
    <n v="15"/>
    <n v="0"/>
    <n v="0"/>
    <n v="15"/>
    <n v="95"/>
    <x v="0"/>
    <s v="Religador responsável pela proteção da barra da SE Ponte Alta (2381 UCs)"/>
  </r>
  <r>
    <n v="7921040031"/>
    <s v="79"/>
    <s v="RIO DOS BOIS"/>
    <s v="MIRACEMA DO TOCANTINS"/>
    <s v="CENTRO"/>
    <s v="CONCLUÍDA"/>
    <x v="0"/>
    <x v="0"/>
    <x v="0"/>
    <x v="0"/>
    <m/>
    <s v=""/>
    <n v="15"/>
    <n v="20"/>
    <n v="5"/>
    <n v="15"/>
    <n v="15"/>
    <n v="10"/>
    <n v="0"/>
    <n v="15"/>
    <n v="95"/>
    <x v="0"/>
    <s v="Fonte principal de Rio dos Bois, RL de transferência operando"/>
  </r>
  <r>
    <n v="7957620015"/>
    <s v="79"/>
    <s v="PEDRO AFONSO"/>
    <s v="GUARAI"/>
    <s v="NORTE"/>
    <s v="CONCLUÍDA"/>
    <x v="0"/>
    <x v="0"/>
    <x v="0"/>
    <x v="0"/>
    <m/>
    <s v=""/>
    <n v="15"/>
    <n v="20"/>
    <n v="15"/>
    <n v="15"/>
    <n v="15"/>
    <n v="0"/>
    <n v="0"/>
    <n v="15"/>
    <n v="95"/>
    <x v="0"/>
    <s v="Atendimento da RDU de Bom Jesus e parcial da RDU de Pedro Afonso "/>
  </r>
  <r>
    <n v="7927413001"/>
    <s v="79"/>
    <s v="PORTO NACIONAL"/>
    <s v="PORTO NACIONAL"/>
    <s v="CENTRO"/>
    <s v="ETO-COEP 00141/2026"/>
    <x v="3"/>
    <x v="0"/>
    <x v="2"/>
    <x v="3"/>
    <n v="1"/>
    <s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
    <n v="15"/>
    <n v="5"/>
    <n v="15"/>
    <n v="15"/>
    <n v="15"/>
    <n v="10"/>
    <n v="0"/>
    <n v="15"/>
    <n v="90"/>
    <x v="0"/>
    <s v="Transferência do Distrito Ind de Porto Nacional e GAs"/>
  </r>
  <r>
    <n v="7908686014"/>
    <s v="79"/>
    <s v="PIUM"/>
    <s v="PARAISO DO TOCANTINS"/>
    <s v="CENTRO"/>
    <s v="ETO-RD-PS 00302/2026"/>
    <x v="1"/>
    <x v="1"/>
    <x v="1"/>
    <x v="10"/>
    <n v="1"/>
    <s v="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
    <n v="15"/>
    <n v="20"/>
    <n v="0"/>
    <n v="15"/>
    <n v="15"/>
    <n v="10"/>
    <n v="0"/>
    <n v="15"/>
    <n v="90"/>
    <x v="0"/>
    <s v="Fonte principal de Pium, RL de transferência operando"/>
  </r>
  <r>
    <n v="5800440256"/>
    <s v="58"/>
    <s v="MATEIROS"/>
    <s v="PONTE ALTA TOCANTINS"/>
    <s v="CENTRO"/>
    <s v="CONCLUÍDA"/>
    <x v="0"/>
    <x v="0"/>
    <x v="0"/>
    <x v="0"/>
    <m/>
    <s v=""/>
    <n v="20"/>
    <n v="20"/>
    <n v="20"/>
    <n v="10"/>
    <n v="20"/>
    <s v="-"/>
    <s v="-"/>
    <s v="-"/>
    <n v="90"/>
    <x v="0"/>
    <s v="Aumento de reclamações no atendimento de São Felix e Mateiros no período seco"/>
  </r>
  <r>
    <n v="7943790134"/>
    <s v="79"/>
    <s v="ESPERANTINA"/>
    <s v="AUGUSTINOPOLIS"/>
    <s v="NORTE"/>
    <s v="ETO-TELE 00896/2026"/>
    <x v="4"/>
    <x v="0"/>
    <x v="1"/>
    <x v="10"/>
    <n v="1"/>
    <s v="PARECER DCMD:Serviço realizado , substituição da parte ativa  do RELIGADOR 7943790134 - Favor realizar comissionamento"/>
    <n v="15"/>
    <n v="10"/>
    <n v="5"/>
    <n v="15"/>
    <n v="15"/>
    <n v="10"/>
    <n v="0"/>
    <n v="15"/>
    <n v="85"/>
    <x v="0"/>
    <s v="Transferência de Esperantina, fonte principal operando"/>
  </r>
  <r>
    <n v="7900453110"/>
    <s v="79"/>
    <s v="SANTA RITA DO TOCANTINS"/>
    <s v="PORTO NACIONAL"/>
    <s v="CENTRO"/>
    <s v="ETO-COEP 00087/2026"/>
    <x v="3"/>
    <x v="8"/>
    <x v="2"/>
    <x v="10"/>
    <n v="1"/>
    <s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
    <n v="15"/>
    <n v="10"/>
    <n v="5"/>
    <n v="15"/>
    <n v="15"/>
    <n v="10"/>
    <n v="0"/>
    <n v="15"/>
    <n v="85"/>
    <x v="0"/>
    <s v="Transferência de Santa Rita, fonte principal operando"/>
  </r>
  <r>
    <n v="7925871077"/>
    <s v="79"/>
    <s v="GOIATINS"/>
    <s v="ARAGUAINA"/>
    <s v="NORTE"/>
    <s v="ETO-COEP 00048/2026"/>
    <x v="3"/>
    <x v="8"/>
    <x v="2"/>
    <x v="10"/>
    <n v="1"/>
    <s v="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
    <n v="15"/>
    <n v="10"/>
    <n v="15"/>
    <n v="15"/>
    <n v="15"/>
    <n v="10"/>
    <n v="0"/>
    <n v="0"/>
    <n v="80"/>
    <x v="0"/>
    <s v="Transferência de Goiatins e GAs (2492 UCs)"/>
  </r>
  <r>
    <n v="5803327001"/>
    <s v="58"/>
    <s v="PORTO NACIONAL"/>
    <s v="PORTO NACIONAL"/>
    <s v="CENTRO"/>
    <s v="ETO-COEP 00149/2026"/>
    <x v="6"/>
    <x v="6"/>
    <x v="2"/>
    <x v="11"/>
    <n v="1"/>
    <s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
    <n v="40"/>
    <n v="0"/>
    <n v="0"/>
    <n v="20"/>
    <n v="20"/>
    <s v="-"/>
    <s v="-"/>
    <s v="-"/>
    <n v="80"/>
    <x v="1"/>
    <s v="Em caso de perca da fonte principal é necessário esse RT para alimentação da Frísia"/>
  </r>
  <r>
    <n v="7900230155"/>
    <s v="79"/>
    <s v="PALMEIRANTE"/>
    <s v="COLINAS DO TOCANTINS"/>
    <s v="NORTE"/>
    <s v="ETO-PROT 00143/2026"/>
    <x v="5"/>
    <x v="0"/>
    <x v="1"/>
    <x v="12"/>
    <n v="1"/>
    <s v="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
    <n v="15"/>
    <n v="20"/>
    <n v="5"/>
    <n v="15"/>
    <n v="0"/>
    <n v="10"/>
    <n v="0"/>
    <n v="15"/>
    <n v="80"/>
    <x v="0"/>
    <s v="Fonte principal de Palmeirante, RL de transferência operando"/>
  </r>
  <r>
    <n v="7900543083"/>
    <s v="79"/>
    <s v="APARECIDA DO RIO NEGRO"/>
    <s v="TAQUARALTO"/>
    <s v="CENTRO"/>
    <s v="CONCLUÍDA"/>
    <x v="0"/>
    <x v="0"/>
    <x v="0"/>
    <x v="0"/>
    <m/>
    <s v=""/>
    <n v="15"/>
    <n v="20"/>
    <n v="5"/>
    <n v="15"/>
    <n v="0"/>
    <n v="0"/>
    <n v="10"/>
    <n v="15"/>
    <n v="80"/>
    <x v="0"/>
    <s v="Atendimento da RDU de Aparecida do Rio Negro"/>
  </r>
  <r>
    <n v="7900930040"/>
    <s v="79"/>
    <s v="ARAGOMINAS"/>
    <s v="ARAGUAINA"/>
    <s v="NORTE"/>
    <s v="CONCLUÍDA"/>
    <x v="0"/>
    <x v="0"/>
    <x v="0"/>
    <x v="0"/>
    <m/>
    <s v=""/>
    <n v="15"/>
    <n v="20"/>
    <n v="5"/>
    <n v="15"/>
    <n v="0"/>
    <n v="0"/>
    <n v="10"/>
    <n v="15"/>
    <n v="80"/>
    <x v="0"/>
    <s v="Proteção da baixa do TF de força da SE Aragominas"/>
  </r>
  <r>
    <n v="7931383086"/>
    <s v="79"/>
    <s v="MARIANOPOLIS"/>
    <s v="DIVINOPOLIS"/>
    <s v="CENTRO"/>
    <s v="CONCLUÍDA"/>
    <x v="0"/>
    <x v="0"/>
    <x v="0"/>
    <x v="0"/>
    <m/>
    <s v=""/>
    <n v="15"/>
    <n v="20"/>
    <n v="5"/>
    <n v="15"/>
    <n v="0"/>
    <n v="10"/>
    <n v="0"/>
    <n v="15"/>
    <n v="80"/>
    <x v="0"/>
    <s v="Fonte principal de Marianópolis, RL transferência operando"/>
  </r>
  <r>
    <n v="7908302256"/>
    <s v="79"/>
    <s v="MATEIROS"/>
    <s v="PONTE ALTA TOCANTINS"/>
    <s v="CENTRO"/>
    <s v="ETO-TELE 00997/2026"/>
    <x v="7"/>
    <x v="0"/>
    <x v="2"/>
    <x v="0"/>
    <m/>
    <s v="RL teve nota baixada (ETO-TELE 970/2026) pore´m eqp continua fora de operação, solicito programação para equipe verificar em campo"/>
    <n v="5"/>
    <n v="10"/>
    <n v="5"/>
    <n v="15"/>
    <n v="15"/>
    <n v="10"/>
    <n v="0"/>
    <n v="15"/>
    <n v="75"/>
    <x v="1"/>
    <s v="Isolação de trecho e transferência das cidades de São Felix e Mateiros para gerador, além de atendimento de clientes rurais"/>
  </r>
  <r>
    <n v="5800371025"/>
    <s v="58"/>
    <s v="ARAPOEMA"/>
    <s v="COLINAS DO TOCANTINS"/>
    <s v="NORTE"/>
    <s v="ETO-RD-GR 00766/2026"/>
    <x v="2"/>
    <x v="9"/>
    <x v="1"/>
    <x v="6"/>
    <n v="1"/>
    <s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
    <n v="0"/>
    <n v="20"/>
    <n v="20"/>
    <n v="10"/>
    <n v="20"/>
    <s v="-"/>
    <s v="-"/>
    <s v="-"/>
    <n v="70"/>
    <x v="1"/>
    <s v="Aumento de reclamações no atendimento de Arapoema no período seco"/>
  </r>
  <r>
    <n v="7926089013"/>
    <s v="79"/>
    <s v="PARAISO DO TOCANTINS"/>
    <s v="PARAISO DO TOCANTINS"/>
    <s v="CENTRO"/>
    <s v="ETO-COEP 00078/2026"/>
    <x v="3"/>
    <x v="8"/>
    <x v="2"/>
    <x v="10"/>
    <n v="1"/>
    <s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
    <n v="15"/>
    <n v="10"/>
    <n v="5"/>
    <n v="15"/>
    <n v="15"/>
    <n v="10"/>
    <n v="0"/>
    <n v="0"/>
    <n v="70"/>
    <x v="1"/>
    <s v="Transferência da RDU de Chapada de Areia (937 UCs) para fonte alternativa"/>
  </r>
  <r>
    <n v="7925087021"/>
    <s v="79"/>
    <s v="PARANA"/>
    <s v="PEIXE"/>
    <s v="SUL"/>
    <s v="ETO-PROT 00152/2026"/>
    <x v="5"/>
    <x v="0"/>
    <x v="1"/>
    <x v="10"/>
    <n v="1"/>
    <s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
    <n v="15"/>
    <n v="10"/>
    <n v="5"/>
    <n v="0"/>
    <n v="15"/>
    <n v="10"/>
    <n v="0"/>
    <n v="15"/>
    <n v="70"/>
    <x v="1"/>
    <s v="Primeiro RL do 414R de Paranã, RL a jusante na LD também está bay-passado (630 UCs)"/>
  </r>
  <r>
    <n v="5801866013"/>
    <s v="58"/>
    <s v="PARAISO DO TOCANTINS"/>
    <s v="PARAISO DO TOCANTINS"/>
    <s v="CENTRO"/>
    <s v="ETO-PROT 00151/2026"/>
    <x v="5"/>
    <x v="0"/>
    <x v="1"/>
    <x v="1"/>
    <n v="1"/>
    <s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
    <n v="0"/>
    <n v="20"/>
    <n v="20"/>
    <n v="20"/>
    <n v="10"/>
    <s v="-"/>
    <s v="-"/>
    <s v="-"/>
    <n v="70"/>
    <x v="1"/>
    <s v="Atendimento da RDU Luzimangues Industrial por fonte alternativa"/>
  </r>
  <r>
    <n v="5865120195"/>
    <s v="58"/>
    <s v="CENTENARIO"/>
    <s v="GUARAI"/>
    <s v="NORTE"/>
    <s v="ETO-PROT 00144/2026"/>
    <x v="5"/>
    <x v="0"/>
    <x v="2"/>
    <x v="13"/>
    <n v="1"/>
    <s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
    <n v="20"/>
    <n v="20"/>
    <n v="20"/>
    <n v="10"/>
    <n v="0"/>
    <s v="-"/>
    <s v="-"/>
    <s v="-"/>
    <n v="70"/>
    <x v="1"/>
    <s v="Atendimento das RDUs de Centenário, Recursolândia e clientes rurais"/>
  </r>
  <r>
    <n v="5853360007"/>
    <s v="58"/>
    <s v="MIRACEMA DO TOCANTINS"/>
    <s v="MIRACEMA DO TOCANTINS"/>
    <s v="CENTRO"/>
    <s v="ETO-RD-PS 00323/2025"/>
    <x v="8"/>
    <x v="10"/>
    <x v="2"/>
    <x v="13"/>
    <n v="1"/>
    <s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
    <n v="0"/>
    <n v="20"/>
    <n v="20"/>
    <n v="10"/>
    <n v="20"/>
    <s v="-"/>
    <s v="-"/>
    <s v="-"/>
    <n v="70"/>
    <x v="1"/>
    <s v="Aumento de reclamações no atendimento de Miracema no período seco"/>
  </r>
  <r>
    <n v="5800366016"/>
    <s v="58"/>
    <s v="WANDERLANDIA"/>
    <s v="TOCANTINOPOLIS"/>
    <s v="NORTE"/>
    <s v="CONCLUÍDA"/>
    <x v="0"/>
    <x v="0"/>
    <x v="0"/>
    <x v="0"/>
    <m/>
    <s v=""/>
    <n v="0"/>
    <n v="20"/>
    <n v="20"/>
    <n v="20"/>
    <n v="10"/>
    <s v="-"/>
    <s v="-"/>
    <s v="-"/>
    <n v="70"/>
    <x v="1"/>
    <s v="Aumento de reclamações no atendimento de Wanderlândia no período seco"/>
  </r>
  <r>
    <n v="7955523028"/>
    <s v="79"/>
    <s v="NATIVIDADE"/>
    <s v="DIANOPOLIS"/>
    <s v="SUL"/>
    <s v="CONCLUÍDA"/>
    <x v="0"/>
    <x v="0"/>
    <x v="0"/>
    <x v="0"/>
    <m/>
    <s v=""/>
    <n v="15"/>
    <n v="10"/>
    <n v="5"/>
    <n v="15"/>
    <n v="15"/>
    <n v="10"/>
    <n v="0"/>
    <n v="0"/>
    <n v="70"/>
    <x v="1"/>
    <s v="Equipamento para apoio na transferência de cargas na região de Natividade"/>
  </r>
  <r>
    <n v="7900573047"/>
    <s v="79"/>
    <s v="FIGUEIROPOLIS"/>
    <s v="ALVORADA"/>
    <s v="SUL"/>
    <s v="ETO-PROT 00153/2026"/>
    <x v="5"/>
    <x v="0"/>
    <x v="1"/>
    <x v="3"/>
    <n v="1"/>
    <s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
    <n v="5"/>
    <n v="5"/>
    <n v="15"/>
    <n v="0"/>
    <n v="15"/>
    <n v="10"/>
    <n v="0"/>
    <n v="15"/>
    <n v="65"/>
    <x v="1"/>
    <s v="Transferência da Bunge, Saneatins e secadora"/>
  </r>
  <r>
    <n v="7953610256"/>
    <s v="79"/>
    <s v="MATEIROS"/>
    <s v="PONTE ALTA TOCANTINS"/>
    <s v="CENTRO"/>
    <s v="ETO-RD-PO 00208/2026"/>
    <x v="9"/>
    <x v="1"/>
    <x v="2"/>
    <x v="8"/>
    <n v="1"/>
    <s v="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
    <n v="5"/>
    <n v="5"/>
    <n v="15"/>
    <n v="15"/>
    <n v="0"/>
    <n v="0"/>
    <n v="10"/>
    <n v="15"/>
    <n v="65"/>
    <x v="1"/>
    <s v="Atenidmento da COELBA (Alto potencial de compensação)"/>
  </r>
  <r>
    <n v="5800438116"/>
    <s v="58"/>
    <s v="CHAPADA DA NATIVIDADE"/>
    <s v="DIANOPOLIS"/>
    <s v="SUL"/>
    <s v="ETO-RD-DP 00404/2026"/>
    <x v="2"/>
    <x v="4"/>
    <x v="1"/>
    <x v="1"/>
    <n v="2"/>
    <s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
    <n v="0"/>
    <n v="20"/>
    <n v="20"/>
    <n v="20"/>
    <n v="0"/>
    <s v="-"/>
    <s v="-"/>
    <s v="-"/>
    <n v="60"/>
    <x v="2"/>
    <s v="Atendimento da região da Engegold, Nativa, cidade Natividade e Chapada da Natividade (Fonte alternativa)"/>
  </r>
  <r>
    <n v="5800090147"/>
    <s v="58"/>
    <s v="TAIPAS DO TOCANTINS"/>
    <s v="DIANOPOLIS"/>
    <s v="SUL"/>
    <s v="CONCLUÍDA"/>
    <x v="0"/>
    <x v="0"/>
    <x v="0"/>
    <x v="0"/>
    <m/>
    <s v=""/>
    <n v="0"/>
    <n v="20"/>
    <n v="20"/>
    <n v="10"/>
    <n v="10"/>
    <s v="-"/>
    <s v="-"/>
    <s v="-"/>
    <n v="60"/>
    <x v="2"/>
    <s v="Atendimento de Taipas"/>
  </r>
  <r>
    <n v="5840227063"/>
    <s v="58"/>
    <s v="BANDEIRANTES DO TOCANTINS"/>
    <s v="COLINAS DO TOCANTINS"/>
    <s v="NORTE"/>
    <s v="ETO-COEP 00151/2026"/>
    <x v="3"/>
    <x v="0"/>
    <x v="2"/>
    <x v="1"/>
    <n v="1"/>
    <s v="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
    <n v="0"/>
    <n v="20"/>
    <n v="20"/>
    <n v="10"/>
    <n v="10"/>
    <s v="-"/>
    <s v="-"/>
    <s v="-"/>
    <n v="60"/>
    <x v="2"/>
    <s v="Atendimento da RDU Bandeirantes e clientes rurais"/>
  </r>
  <r>
    <n v="5846328094"/>
    <s v="58"/>
    <s v="PEIXE"/>
    <s v="PEIXE"/>
    <s v="SUL"/>
    <s v="ETO-TELE 00986/2026"/>
    <x v="4"/>
    <x v="0"/>
    <x v="1"/>
    <x v="13"/>
    <n v="1"/>
    <s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
    <n v="0"/>
    <n v="20"/>
    <n v="20"/>
    <n v="10"/>
    <n v="10"/>
    <s v="-"/>
    <s v="-"/>
    <s v="-"/>
    <n v="60"/>
    <x v="2"/>
    <s v="Atendimento da RDU Sucupira e clientes rurais"/>
  </r>
  <r>
    <n v="5851753086"/>
    <s v="58"/>
    <s v="MARIANOPOLIS"/>
    <s v="DIVINOPOLIS"/>
    <s v="CENTRO"/>
    <s v="ETO-TELE 00881/2026"/>
    <x v="4"/>
    <x v="0"/>
    <x v="1"/>
    <x v="13"/>
    <n v="1"/>
    <s v="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
    <n v="0"/>
    <n v="20"/>
    <n v="20"/>
    <n v="10"/>
    <n v="10"/>
    <s v="-"/>
    <s v="-"/>
    <s v="-"/>
    <n v="60"/>
    <x v="2"/>
    <s v="Atendimento da RDU Marianópolis e clientes rurais"/>
  </r>
  <r>
    <n v="7903112004"/>
    <s v="79"/>
    <s v="ARAGUAINA"/>
    <s v="ARAGUAINA"/>
    <s v="NORTE"/>
    <s v="ETO-COEP 00184/2025"/>
    <x v="6"/>
    <x v="11"/>
    <x v="1"/>
    <x v="10"/>
    <n v="1"/>
    <s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
    <n v="15"/>
    <n v="10"/>
    <n v="5"/>
    <n v="15"/>
    <n v="0"/>
    <n v="10"/>
    <n v="0"/>
    <n v="0"/>
    <n v="55"/>
    <x v="1"/>
    <s v="Transferência de Babaçulândia, 4 RLs sendo 2 operando"/>
  </r>
  <r>
    <n v="7920024127"/>
    <s v="79"/>
    <s v="PALMEIRAS DO TOCANTINS"/>
    <s v="TOCANTINOPOLIS"/>
    <s v="NORTE"/>
    <s v="ETO-COEP 00120/2025"/>
    <x v="3"/>
    <x v="0"/>
    <x v="2"/>
    <x v="14"/>
    <n v="1"/>
    <s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
    <n v="15"/>
    <n v="10"/>
    <n v="5"/>
    <n v="15"/>
    <n v="0"/>
    <n v="10"/>
    <n v="0"/>
    <n v="0"/>
    <n v="55"/>
    <x v="1"/>
    <s v="Transferência de Palmeiras, 3 fontes operando"/>
  </r>
  <r>
    <n v="7927646026"/>
    <s v="79"/>
    <s v="PONTE ALTA TOCANTINS"/>
    <s v="PONTE ALTA TOCANTINS"/>
    <s v="CENTRO"/>
    <s v="ETO-COEP 00029/2026"/>
    <x v="3"/>
    <x v="0"/>
    <x v="2"/>
    <x v="10"/>
    <n v="1"/>
    <s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
    <n v="15"/>
    <n v="10"/>
    <n v="5"/>
    <n v="0"/>
    <n v="15"/>
    <n v="0"/>
    <n v="10"/>
    <n v="0"/>
    <n v="55"/>
    <x v="1"/>
    <s v="Opção de isolação de São Félix e Mateiros para alimentação por gerador"/>
  </r>
  <r>
    <n v="7927169001"/>
    <s v="79"/>
    <s v="PORTO NACIONAL"/>
    <s v="PORTO NACIONAL"/>
    <s v="CENTRO"/>
    <s v="ETO-PROT 00156/2026"/>
    <x v="5"/>
    <x v="0"/>
    <x v="1"/>
    <x v="10"/>
    <m/>
    <s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
    <n v="5"/>
    <n v="5"/>
    <n v="15"/>
    <n v="0"/>
    <n v="15"/>
    <n v="0"/>
    <n v="0"/>
    <n v="15"/>
    <n v="55"/>
    <x v="1"/>
    <s v="Transferência dos Grupos A -  VLI e Frisia"/>
  </r>
  <r>
    <n v="7900018004"/>
    <s v="79"/>
    <s v="ARAGUAINA"/>
    <s v="ARAGUAINA"/>
    <s v="NORTE"/>
    <s v="CONCLUÍDA"/>
    <x v="0"/>
    <x v="0"/>
    <x v="0"/>
    <x v="0"/>
    <m/>
    <s v=""/>
    <n v="15"/>
    <n v="10"/>
    <n v="5"/>
    <n v="15"/>
    <n v="0"/>
    <n v="10"/>
    <n v="0"/>
    <n v="0"/>
    <n v="55"/>
    <x v="1"/>
    <s v="Transferência de Aragominas, 3 fontes operando"/>
  </r>
  <r>
    <n v="7934698002"/>
    <s v="79"/>
    <s v="TOCANTINOPOLIS"/>
    <s v="TOCANTINOPOLIS"/>
    <s v="NORTE"/>
    <s v="CONCLUÍDA"/>
    <x v="0"/>
    <x v="0"/>
    <x v="0"/>
    <x v="0"/>
    <m/>
    <s v=""/>
    <n v="5"/>
    <n v="5"/>
    <n v="5"/>
    <n v="0"/>
    <n v="15"/>
    <n v="0"/>
    <n v="10"/>
    <n v="15"/>
    <n v="55"/>
    <x v="1"/>
    <s v="Atendimento do PA Mumbuca (106 UCs), no desarme a jusante penaliza parte da RDU de Tocantinópolis (1384 UCs)"/>
  </r>
  <r>
    <n v="7930428001"/>
    <s v="79"/>
    <s v="PORTO NACIONAL"/>
    <s v="PORTO NACIONAL"/>
    <s v="CENTRO"/>
    <s v="ETO-COEP 00150/2026"/>
    <x v="3"/>
    <x v="0"/>
    <x v="2"/>
    <x v="10"/>
    <n v="1"/>
    <s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
    <n v="5"/>
    <n v="5"/>
    <n v="15"/>
    <n v="0"/>
    <n v="15"/>
    <n v="10"/>
    <n v="0"/>
    <n v="0"/>
    <n v="50"/>
    <x v="1"/>
    <s v="Transferência dos Grupos A -  Ramal do Rossato (TF 225kVA e TF 750kVA)"/>
  </r>
  <r>
    <n v="7936038076"/>
    <s v="79"/>
    <s v="DUERE"/>
    <s v="GURUPI"/>
    <s v="SUL"/>
    <s v="CONCLUÍDA"/>
    <x v="10"/>
    <x v="0"/>
    <x v="2"/>
    <x v="0"/>
    <m/>
    <s v=""/>
    <n v="5"/>
    <n v="5"/>
    <n v="15"/>
    <n v="0"/>
    <n v="15"/>
    <n v="10"/>
    <n v="0"/>
    <n v="0"/>
    <n v="50"/>
    <x v="1"/>
    <s v="Transferência do Grupo A - Xavante (TF 1087,5 kVA) e outros GA menores"/>
  </r>
  <r>
    <n v="7955520116"/>
    <s v="79"/>
    <s v="CHAPADA DA NATIVIDADE"/>
    <s v="DIANOPOLIS"/>
    <s v="SUL"/>
    <s v="CONCLUÍDA"/>
    <x v="3"/>
    <x v="0"/>
    <x v="2"/>
    <x v="10"/>
    <n v="1"/>
    <s v=""/>
    <n v="5"/>
    <n v="5"/>
    <n v="15"/>
    <n v="0"/>
    <n v="0"/>
    <n v="10"/>
    <n v="0"/>
    <n v="15"/>
    <n v="50"/>
    <x v="1"/>
    <s v="Transferência do Grupo A - Engegold (TF 7500 kVA)"/>
  </r>
  <r>
    <n v="5800291035"/>
    <s v="58"/>
    <s v="MONTE DO CARMO"/>
    <s v="PONTE ALTA TOCANTINS"/>
    <s v="CENTRO"/>
    <s v="ETO-RD-PO 00097/2026"/>
    <x v="4"/>
    <x v="0"/>
    <x v="2"/>
    <x v="13"/>
    <n v="1"/>
    <s v="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
    <n v="0"/>
    <n v="20"/>
    <n v="20"/>
    <n v="10"/>
    <n v="0"/>
    <s v="-"/>
    <s v="-"/>
    <s v="-"/>
    <n v="50"/>
    <x v="2"/>
    <s v="Aumento de reclamações no atendimento de Silvanópolis por Monte do Carmo no período seco"/>
  </r>
  <r>
    <n v="5827102054"/>
    <s v="58"/>
    <s v="PUGMIL"/>
    <s v="PARAISO DO TOCANTINS"/>
    <s v="CENTRO"/>
    <s v="ETO-RD-PS 00289/2026"/>
    <x v="11"/>
    <x v="12"/>
    <x v="2"/>
    <x v="13"/>
    <n v="1"/>
    <s v="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
    <n v="0"/>
    <n v="20"/>
    <n v="20"/>
    <n v="10"/>
    <n v="0"/>
    <s v="-"/>
    <s v="-"/>
    <s v="-"/>
    <n v="50"/>
    <x v="2"/>
    <s v="Aumento de reclamações no atendimento de Pugmil no período seco"/>
  </r>
  <r>
    <n v="5850308009"/>
    <s v="58"/>
    <s v="GUARAI"/>
    <s v="GUARAI"/>
    <s v="NORTE"/>
    <s v="CONCLUÍDA"/>
    <x v="0"/>
    <x v="0"/>
    <x v="0"/>
    <x v="0"/>
    <m/>
    <s v=""/>
    <n v="0"/>
    <n v="20"/>
    <n v="20"/>
    <n v="0"/>
    <n v="10"/>
    <s v="-"/>
    <s v="-"/>
    <s v="-"/>
    <n v="50"/>
    <x v="2"/>
    <s v="Atendimento de parte da RDU de Guaraí e ramal da PRF/Repetidora"/>
  </r>
  <r>
    <n v="7900535058"/>
    <s v="79"/>
    <s v="SANTA FE DO ARAGUAIA"/>
    <s v="ARAGUAINA"/>
    <s v="NORTE"/>
    <s v="ETO-COEP 00173/2025"/>
    <x v="3"/>
    <x v="0"/>
    <x v="2"/>
    <x v="6"/>
    <n v="1"/>
    <s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
    <n v="5"/>
    <n v="10"/>
    <n v="5"/>
    <n v="0"/>
    <n v="15"/>
    <n v="10"/>
    <n v="0"/>
    <n v="0"/>
    <n v="45"/>
    <x v="2"/>
    <s v="Atendimento 3 povoados, na perca 4 ficam fora (900 UCs)"/>
  </r>
  <r>
    <n v="7927713200"/>
    <s v="79"/>
    <s v="SAO SALVADOR DO TOCANTINS"/>
    <s v="PEIXE"/>
    <s v="SUL"/>
    <s v="CONCLUÍDA"/>
    <x v="3"/>
    <x v="0"/>
    <x v="2"/>
    <x v="10"/>
    <n v="1"/>
    <s v=""/>
    <n v="5"/>
    <n v="5"/>
    <n v="5"/>
    <n v="0"/>
    <n v="15"/>
    <n v="10"/>
    <n v="0"/>
    <n v="0"/>
    <n v="40"/>
    <x v="2"/>
    <s v="Transferência do Ramal do Retiro (246UCs), fonte principal by-passado"/>
  </r>
  <r>
    <n v="7937102148"/>
    <s v="79"/>
    <s v="SAO VALERIO DA NATIVIDADE"/>
    <s v="PEIXE"/>
    <s v="SUL"/>
    <s v="ETO-COEP 00129/2026"/>
    <x v="3"/>
    <x v="0"/>
    <x v="2"/>
    <x v="10"/>
    <n v="1"/>
    <s v="PARECER COEP: REAVALIAR DISPONIBILIDADE DO EQUIPAMENTO NO SCADA ASSIM COMO , FORNECER MODELO DO EQUIPAMENTO E FAIXA DE TENSÃO PARA COMPRA / AQUISIÇÃOTanque com defeito, realizar substituição do tanque."/>
    <n v="5"/>
    <n v="5"/>
    <n v="5"/>
    <n v="0"/>
    <n v="15"/>
    <n v="10"/>
    <n v="0"/>
    <n v="0"/>
    <n v="40"/>
    <x v="2"/>
    <s v="Fonte principal do Ramal Serranópolis (181 UCs), RL de transferência operando"/>
  </r>
  <r>
    <n v="7944559149"/>
    <s v="79"/>
    <s v="CASEARA"/>
    <s v="DIVINOPOLIS"/>
    <s v="CENTRO"/>
    <s v="ETO-COEP 00063/2026"/>
    <x v="3"/>
    <x v="0"/>
    <x v="2"/>
    <x v="6"/>
    <n v="1"/>
    <s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
    <n v="5"/>
    <n v="10"/>
    <n v="0"/>
    <n v="0"/>
    <n v="15"/>
    <n v="10"/>
    <n v="0"/>
    <n v="0"/>
    <n v="40"/>
    <x v="2"/>
    <s v="Atendimento de cargas rurais entre Caseara e Araguacema (221 UCs)"/>
  </r>
  <r>
    <n v="5800961074"/>
    <s v="58"/>
    <s v="DIANOPOLIS"/>
    <s v="DIANOPOLIS"/>
    <s v="SUL"/>
    <s v="ETO-COEP 00221/2025"/>
    <x v="3"/>
    <x v="0"/>
    <x v="2"/>
    <x v="15"/>
    <n v="3"/>
    <s v="PARECER COEP: EQUIPAMENTO SELECIONADO PARA COMPRASubstituir as 3 células- Melhoria na malha de aterramento - Melhoria no circuito de aterramento qua aterra as células.- Substituir conectores paralelos"/>
    <n v="20"/>
    <n v="0"/>
    <n v="0"/>
    <n v="20"/>
    <n v="0"/>
    <s v="-"/>
    <s v="-"/>
    <s v="-"/>
    <n v="40"/>
    <x v="2"/>
    <s v="Atendimento da COELBA e GA Alessandro Maurício (1600 kVA)"/>
  </r>
  <r>
    <n v="7908249152"/>
    <s v="79"/>
    <s v="SANTA ROSA DO TOCANTINS"/>
    <s v="PORTO NACIONAL"/>
    <s v="CENTRO"/>
    <s v="ETO-COEP 00038/2026"/>
    <x v="3"/>
    <x v="0"/>
    <x v="2"/>
    <x v="3"/>
    <n v="1"/>
    <s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
    <n v="5"/>
    <n v="5"/>
    <n v="0"/>
    <n v="0"/>
    <n v="15"/>
    <n v="10"/>
    <n v="0"/>
    <n v="0"/>
    <n v="35"/>
    <x v="2"/>
    <s v="Atendimento de zona rural em Santa Rosa (160 UCs)"/>
  </r>
  <r>
    <n v="7922995039"/>
    <s v="79"/>
    <s v="ARAGUATINS"/>
    <s v="AUGUSTINOPOLIS"/>
    <s v="NORTE"/>
    <s v="ETO-PROT 00135/2026"/>
    <x v="0"/>
    <x v="0"/>
    <x v="3"/>
    <x v="0"/>
    <m/>
    <s v="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
    <n v="5"/>
    <n v="5"/>
    <n v="0"/>
    <n v="0"/>
    <n v="15"/>
    <n v="10"/>
    <n v="0"/>
    <n v="0"/>
    <n v="35"/>
    <x v="2"/>
    <s v="Atendimento do PA Esperança Viva (396 UCs)"/>
  </r>
  <r>
    <n v="7925733015"/>
    <s v="79"/>
    <s v="PEDRO AFONSO"/>
    <s v="GUARAI"/>
    <s v="NORTE"/>
    <s v="ETO-COEP 00058/2026"/>
    <x v="3"/>
    <x v="0"/>
    <x v="2"/>
    <x v="10"/>
    <n v="1"/>
    <s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
    <n v="5"/>
    <n v="5"/>
    <n v="0"/>
    <n v="0"/>
    <n v="15"/>
    <n v="10"/>
    <n v="0"/>
    <n v="0"/>
    <n v="35"/>
    <x v="2"/>
    <s v="Transferência do Ramal Agrovila (73 UCs)"/>
  </r>
  <r>
    <n v="7927396052"/>
    <s v="79"/>
    <s v="FORMOSO DO ARAGUAIA"/>
    <s v="FORMOSO DO ARAGUAIA"/>
    <s v="SUL"/>
    <s v="ETO-COEP 00045/2026"/>
    <x v="3"/>
    <x v="0"/>
    <x v="2"/>
    <x v="10"/>
    <n v="1"/>
    <s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
    <n v="5"/>
    <n v="5"/>
    <n v="0"/>
    <n v="0"/>
    <n v="15"/>
    <n v="10"/>
    <n v="0"/>
    <n v="0"/>
    <n v="35"/>
    <x v="2"/>
    <s v="Equipamento localizado Fonte principal de atendimento a SE Cobrape"/>
  </r>
  <r>
    <n v="7933585074"/>
    <s v="79"/>
    <s v="DIANOPOLIS"/>
    <s v="DIANOPOLIS"/>
    <s v="SUL"/>
    <s v="ETO-COEP 00024/2026"/>
    <x v="3"/>
    <x v="3"/>
    <x v="2"/>
    <x v="10"/>
    <n v="1"/>
    <s v="30/06 PARECER COEP: EQUIPAMENTO SELECIONADO PARA COMPRAREALIZAR SUBSTITUIÇÃO DO TANQUE, O MESMO ESTÁ COM DEFEITO."/>
    <n v="5"/>
    <n v="5"/>
    <n v="15"/>
    <n v="0"/>
    <n v="0"/>
    <n v="0"/>
    <n v="10"/>
    <n v="0"/>
    <n v="35"/>
    <x v="2"/>
    <s v="Atendimento da COELBA"/>
  </r>
  <r>
    <n v="7942572059"/>
    <s v="79"/>
    <s v="TAQUARALTO"/>
    <s v="TAQUARALTO"/>
    <s v="CENTRO"/>
    <s v="ETO-PROT 00155/2026"/>
    <x v="4"/>
    <x v="0"/>
    <x v="3"/>
    <x v="0"/>
    <m/>
    <s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
    <n v="5"/>
    <n v="5"/>
    <n v="15"/>
    <n v="0"/>
    <n v="0"/>
    <n v="0"/>
    <n v="10"/>
    <n v="0"/>
    <n v="35"/>
    <x v="2"/>
    <s v="Atendimento do Ramal do Marasca e GAs (108 UCs)"/>
  </r>
  <r>
    <n v="7944319149"/>
    <s v="79"/>
    <s v="CASEARA"/>
    <s v="DIVINOPOLIS"/>
    <s v="CENTRO"/>
    <s v="CONCLUÍDA"/>
    <x v="0"/>
    <x v="0"/>
    <x v="0"/>
    <x v="0"/>
    <m/>
    <s v=""/>
    <n v="5"/>
    <n v="5"/>
    <n v="15"/>
    <n v="0"/>
    <n v="0"/>
    <n v="0"/>
    <n v="10"/>
    <n v="0"/>
    <n v="35"/>
    <x v="2"/>
    <s v="Atendimento do Grupo A - Matosul (TF 1500 kVA)"/>
  </r>
  <r>
    <n v="7955986084"/>
    <s v="79"/>
    <s v="DIVINOPOLIS"/>
    <s v="DIVINOPOLIS"/>
    <s v="CENTRO"/>
    <s v="ETO-COEP 00133/2026"/>
    <x v="3"/>
    <x v="0"/>
    <x v="2"/>
    <x v="0"/>
    <m/>
    <s v="14/07/2026 PARECER COEP : SUBSTIUIR CONTROLE COMPLETOPARECER DMSL: Equipamento com a placa de alimentação ca em curto, será necessário substituir a placa do equipamento. (Antiga nota era pra ter sido repassada porém foi baixada indevidamente pela equipe)"/>
    <n v="5"/>
    <n v="5"/>
    <n v="0"/>
    <n v="0"/>
    <n v="15"/>
    <n v="10"/>
    <n v="0"/>
    <n v="0"/>
    <n v="35"/>
    <x v="2"/>
    <s v="Transferência de cargas do 444R da SE Paraíso I"/>
  </r>
  <r>
    <n v="7967181127"/>
    <s v="79"/>
    <s v="PALMEIRAS DO TOCANTINS"/>
    <s v="TOCANTINOPOLIS"/>
    <s v="NORTE"/>
    <s v="CONCLUÍDA"/>
    <x v="0"/>
    <x v="0"/>
    <x v="2"/>
    <x v="0"/>
    <m/>
    <s v=""/>
    <n v="5"/>
    <n v="5"/>
    <n v="0"/>
    <n v="0"/>
    <n v="15"/>
    <n v="10"/>
    <n v="0"/>
    <n v="0"/>
    <n v="35"/>
    <x v="2"/>
    <s v="Transferência de Palmeiras, 3 RLs sendo 2 operando"/>
  </r>
  <r>
    <n v="7900525015"/>
    <s v="79"/>
    <s v="PEDRO AFONSO"/>
    <s v="GUARAI"/>
    <s v="NORTE"/>
    <s v="ETO-COEP 00125/2026"/>
    <x v="3"/>
    <x v="0"/>
    <x v="2"/>
    <x v="10"/>
    <n v="1"/>
    <s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
    <n v="5"/>
    <n v="5"/>
    <n v="0"/>
    <n v="0"/>
    <n v="15"/>
    <n v="10"/>
    <n v="0"/>
    <n v="0"/>
    <n v="35"/>
    <x v="2"/>
    <s v="Tranferência do Ramal do Chaparral (251 UCs)"/>
  </r>
  <r>
    <n v="7928564039"/>
    <s v="79"/>
    <s v="ARAGUATINS"/>
    <s v="AUGUSTINOPOLIS"/>
    <s v="NORTE"/>
    <s v="ETO-COEP 00123/2026"/>
    <x v="3"/>
    <x v="0"/>
    <x v="2"/>
    <x v="3"/>
    <n v="1"/>
    <s v="PARECER COEP: EQUIPAMENTO SELECIONADO PARA COMPRATroca do sistema de comunicação do equipamentoDMSL 28/07/2025: Equipamento com tanque, modulo e rele com defeito, solicitar troca do equipamento ao DCMD.Fotos vão ser enviadas por e-mail"/>
    <n v="5"/>
    <n v="10"/>
    <n v="5"/>
    <n v="0"/>
    <n v="0"/>
    <n v="10"/>
    <n v="0"/>
    <n v="0"/>
    <n v="30"/>
    <x v="2"/>
    <s v="Transferência entre 424R Araguatins e 434R Augustinópolis"/>
  </r>
  <r>
    <n v="7957126085"/>
    <s v="79"/>
    <s v="MONTE SANTO DO TOCANTINS"/>
    <s v="PARAISO DO TOCANTINS"/>
    <s v="CENTRO"/>
    <s v="CONCLUÍDA"/>
    <x v="0"/>
    <x v="0"/>
    <x v="0"/>
    <x v="0"/>
    <m/>
    <s v=""/>
    <n v="5"/>
    <n v="10"/>
    <n v="5"/>
    <n v="0"/>
    <n v="0"/>
    <n v="10"/>
    <n v="0"/>
    <n v="0"/>
    <n v="30"/>
    <x v="2"/>
    <s v="444R de Paraíso I, atendimento de Monte Santo, devido defeito a RDU está manobrada para o 454R"/>
  </r>
  <r>
    <n v="5841308190"/>
    <s v="58"/>
    <s v="NOVO JARDIM"/>
    <s v="DIANOPOLIS"/>
    <s v="SUL"/>
    <s v="CONCLUÍDA"/>
    <x v="0"/>
    <x v="0"/>
    <x v="4"/>
    <x v="16"/>
    <m/>
    <s v=""/>
    <n v="0"/>
    <n v="20"/>
    <n v="0"/>
    <n v="10"/>
    <n v="0"/>
    <s v="-"/>
    <s v="-"/>
    <s v="-"/>
    <n v="30"/>
    <x v="3"/>
    <s v="Equipamento obsoleto com a entrada da SE Serras Gerais"/>
  </r>
  <r>
    <n v="5844630060"/>
    <s v="58"/>
    <s v="NOVA OLINDA"/>
    <s v="COLINAS DO TOCANTINS"/>
    <s v="NORTE"/>
    <s v="CONCLUÍDA"/>
    <x v="6"/>
    <x v="13"/>
    <x v="2"/>
    <x v="1"/>
    <n v="1"/>
    <s v=""/>
    <n v="20"/>
    <n v="0"/>
    <n v="0"/>
    <n v="10"/>
    <n v="0"/>
    <s v="-"/>
    <s v="-"/>
    <s v="-"/>
    <n v="30"/>
    <x v="3"/>
    <s v="Atendimento dos ramais PA Remansão e Água Branca"/>
  </r>
  <r>
    <n v="5855411017"/>
    <s v="58"/>
    <s v="BARROLANDIA"/>
    <s v="MIRACEMA DO TOCANTINS"/>
    <s v="CENTRO"/>
    <s v="ETO-COEP 00156/2026"/>
    <x v="3"/>
    <x v="0"/>
    <x v="2"/>
    <x v="6"/>
    <n v="1"/>
    <s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
    <n v="0"/>
    <n v="0"/>
    <n v="0"/>
    <n v="10"/>
    <n v="20"/>
    <s v="-"/>
    <s v="-"/>
    <s v="-"/>
    <n v="30"/>
    <x v="3"/>
    <s v="Atendimento do Assentamento Irmã Adelaide"/>
  </r>
  <r>
    <n v="7900505026"/>
    <s v="79"/>
    <s v="PONTE ALTA TOCANTINS"/>
    <s v="PONTE ALTA TOCANTINS"/>
    <s v="CENTRO"/>
    <s v="CONCLUÍDA"/>
    <x v="0"/>
    <x v="0"/>
    <x v="0"/>
    <x v="0"/>
    <m/>
    <s v=""/>
    <n v="5"/>
    <n v="5"/>
    <n v="5"/>
    <n v="0"/>
    <n v="0"/>
    <n v="0"/>
    <n v="10"/>
    <n v="0"/>
    <n v="25"/>
    <x v="3"/>
    <s v="Atendimento do Ramal do Gato (288 UCs) e UFV Videira, no desarme a jusante penaliza a cidade de Pindorama"/>
  </r>
  <r>
    <n v="7908196047"/>
    <s v="79"/>
    <s v="FIGUEIROPOLIS"/>
    <s v="ALVORADA"/>
    <s v="SUL"/>
    <s v="ETO-TELE 01002/2026"/>
    <x v="3"/>
    <x v="0"/>
    <x v="2"/>
    <x v="3"/>
    <n v="1"/>
    <s v="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
    <n v="5"/>
    <n v="5"/>
    <n v="5"/>
    <n v="0"/>
    <n v="0"/>
    <n v="0"/>
    <n v="10"/>
    <n v="0"/>
    <n v="25"/>
    <x v="3"/>
    <s v="Seccionamento do Rural e energização do 224R"/>
  </r>
  <r>
    <n v="7921202014"/>
    <s v="79"/>
    <s v="PIUM"/>
    <s v="PARAISO DO TOCANTINS"/>
    <s v="CENTRO"/>
    <s v="ETO-COEP 00132/2026"/>
    <x v="3"/>
    <x v="0"/>
    <x v="2"/>
    <x v="10"/>
    <n v="1"/>
    <s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
    <n v="5"/>
    <n v="5"/>
    <n v="5"/>
    <n v="0"/>
    <n v="0"/>
    <n v="10"/>
    <n v="0"/>
    <n v="0"/>
    <n v="25"/>
    <x v="3"/>
    <s v="Atendimento de Clientes rurais (483 UCs)"/>
  </r>
  <r>
    <n v="7923927122"/>
    <s v="79"/>
    <s v="PALMAS"/>
    <s v="PALMAS"/>
    <s v="CENTRO"/>
    <s v="ETO-COEP 00148/2026"/>
    <x v="3"/>
    <x v="0"/>
    <x v="2"/>
    <x v="10"/>
    <n v="1"/>
    <s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
    <n v="15"/>
    <n v="0"/>
    <n v="0"/>
    <n v="0"/>
    <n v="0"/>
    <n v="10"/>
    <n v="0"/>
    <n v="0"/>
    <n v="25"/>
    <x v="3"/>
    <s v="Transferência entre 414R e 424R SE Palmas II"/>
  </r>
  <r>
    <n v="7927446001"/>
    <s v="79"/>
    <s v="PORTO NACIONAL"/>
    <s v="PORTO NACIONAL"/>
    <s v="CENTRO"/>
    <s v="ETO-COEP 00143/2025"/>
    <x v="3"/>
    <x v="0"/>
    <x v="2"/>
    <x v="3"/>
    <n v="1"/>
    <s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
    <n v="5"/>
    <n v="5"/>
    <n v="5"/>
    <n v="0"/>
    <n v="0"/>
    <n v="10"/>
    <n v="0"/>
    <n v="0"/>
    <n v="25"/>
    <x v="3"/>
    <s v="Alimentação de Monte do Carmo por Porto Nacional"/>
  </r>
  <r>
    <n v="7928241200"/>
    <s v="79"/>
    <s v="SAO SALVADOR DO TOCANTINS"/>
    <s v="PEIXE"/>
    <s v="SUL"/>
    <s v="ETO-COEP 00128/2026"/>
    <x v="3"/>
    <x v="0"/>
    <x v="2"/>
    <x v="10"/>
    <n v="1"/>
    <s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
    <n v="5"/>
    <n v="5"/>
    <n v="5"/>
    <n v="0"/>
    <n v="0"/>
    <n v="10"/>
    <n v="0"/>
    <n v="0"/>
    <n v="25"/>
    <x v="3"/>
    <s v="Fonte principal do Ramal do Retiro (246UCs), RL transferência by-passado"/>
  </r>
  <r>
    <n v="7942485096"/>
    <s v="79"/>
    <s v="PINDORAMA DO TOCANTINS"/>
    <s v="PONTE ALTA TOCANTINS"/>
    <s v="CENTRO"/>
    <s v="ETO-COEP 00158/2025"/>
    <x v="3"/>
    <x v="0"/>
    <x v="2"/>
    <x v="10"/>
    <n v="1"/>
    <s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
    <n v="5"/>
    <n v="5"/>
    <n v="5"/>
    <n v="0"/>
    <n v="0"/>
    <n v="10"/>
    <n v="0"/>
    <n v="0"/>
    <n v="25"/>
    <x v="3"/>
    <s v="Transferência da PCH Bagagem"/>
  </r>
  <r>
    <n v="7955430075"/>
    <s v="79"/>
    <s v="DOIS IRMAOS DO TOCANTINS"/>
    <s v="DIVINOPOLIS"/>
    <s v="CENTRO"/>
    <s v="CONCLUÍDA"/>
    <x v="0"/>
    <x v="0"/>
    <x v="0"/>
    <x v="0"/>
    <m/>
    <s v=""/>
    <n v="5"/>
    <n v="5"/>
    <n v="5"/>
    <n v="0"/>
    <n v="0"/>
    <n v="0"/>
    <n v="10"/>
    <n v="0"/>
    <n v="25"/>
    <x v="3"/>
    <s v="Atendimento do Ramal do Boleu (13 UCs), no desarme a jusante penaliza parte 303 UCs rurais"/>
  </r>
  <r>
    <n v="7955686076"/>
    <s v="79"/>
    <s v="DUERE"/>
    <s v="GURUPI"/>
    <s v="SUL"/>
    <s v="CONCLUÍDA"/>
    <x v="0"/>
    <x v="0"/>
    <x v="0"/>
    <x v="0"/>
    <m/>
    <s v=""/>
    <n v="5"/>
    <n v="5"/>
    <n v="0"/>
    <n v="0"/>
    <n v="15"/>
    <n v="0"/>
    <n v="0"/>
    <n v="0"/>
    <n v="25"/>
    <x v="3"/>
    <s v="Fonte alternativa de atendimento do Ramal Bacuri (217 UCs)"/>
  </r>
  <r>
    <n v="7955946007"/>
    <s v="79"/>
    <s v="MIRACEMA DO TOCANTINS"/>
    <s v="MIRACEMA DO TOCANTINS"/>
    <s v="CENTRO"/>
    <s v="ETO-COEP 00134/2026"/>
    <x v="3"/>
    <x v="0"/>
    <x v="2"/>
    <x v="2"/>
    <n v="1"/>
    <s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
    <n v="5"/>
    <n v="5"/>
    <n v="5"/>
    <n v="0"/>
    <n v="0"/>
    <n v="0"/>
    <n v="10"/>
    <n v="0"/>
    <n v="25"/>
    <x v="3"/>
    <s v="Alimentação do serviço auxiliar da Investco e clientes rurais (260 UCs)"/>
  </r>
  <r>
    <n v="7901110084"/>
    <s v="79"/>
    <s v="DIVINOPOLIS"/>
    <s v="DIVINOPOLIS"/>
    <s v="CENTRO"/>
    <s v="ETO-COEP 00061/2026"/>
    <x v="3"/>
    <x v="0"/>
    <x v="2"/>
    <x v="10"/>
    <n v="1"/>
    <s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
    <n v="5"/>
    <n v="5"/>
    <n v="0"/>
    <n v="0"/>
    <n v="0"/>
    <n v="0"/>
    <n v="10"/>
    <n v="0"/>
    <n v="20"/>
    <x v="3"/>
    <s v="Localizado na fonte principal de atendimento de Divinópolis e Abreulândia"/>
  </r>
  <r>
    <n v="7908206074"/>
    <s v="79"/>
    <s v="DIANOPOLIS"/>
    <s v="DIANOPOLIS"/>
    <s v="SUL"/>
    <s v="CONCLUÍDA"/>
    <x v="0"/>
    <x v="0"/>
    <x v="0"/>
    <x v="0"/>
    <m/>
    <s v=""/>
    <n v="5"/>
    <n v="5"/>
    <n v="0"/>
    <n v="0"/>
    <n v="0"/>
    <n v="0"/>
    <n v="10"/>
    <n v="0"/>
    <n v="20"/>
    <x v="3"/>
    <s v="Atendimento do PA Novo Plano (102 UCs)"/>
  </r>
  <r>
    <n v="7908708116"/>
    <s v="79"/>
    <s v="CHAPADA DA NATIVIDADE"/>
    <s v="DIANOPOLIS"/>
    <s v="SUL"/>
    <s v="CONCLUÍDA"/>
    <x v="10"/>
    <x v="0"/>
    <x v="2"/>
    <x v="3"/>
    <m/>
    <s v=""/>
    <n v="5"/>
    <n v="5"/>
    <n v="0"/>
    <n v="0"/>
    <n v="0"/>
    <n v="0"/>
    <n v="10"/>
    <n v="0"/>
    <n v="20"/>
    <x v="3"/>
    <s v="Atendimento do PA Xobo (194 UCs)"/>
  </r>
  <r>
    <n v="7910027196"/>
    <s v="79"/>
    <s v="LAGOA DO TOCANTINS"/>
    <s v="TAQUARALTO"/>
    <s v="CENTRO"/>
    <s v="CONCLUÍDA"/>
    <x v="3"/>
    <x v="0"/>
    <x v="2"/>
    <x v="3"/>
    <n v="1"/>
    <s v=""/>
    <n v="5"/>
    <n v="5"/>
    <n v="0"/>
    <n v="0"/>
    <n v="0"/>
    <n v="0"/>
    <n v="10"/>
    <n v="0"/>
    <n v="20"/>
    <x v="3"/>
    <s v="Atendimento do Ramal do Rio Preto (197 UCs)"/>
  </r>
  <r>
    <n v="7913662076"/>
    <s v="79"/>
    <s v="DUERE"/>
    <s v="GURUPI"/>
    <s v="SUL"/>
    <s v="ETO-COEP 00114/2026"/>
    <x v="3"/>
    <x v="14"/>
    <x v="2"/>
    <x v="10"/>
    <n v="1"/>
    <s v="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
    <n v="5"/>
    <n v="5"/>
    <n v="0"/>
    <n v="0"/>
    <n v="0"/>
    <n v="10"/>
    <n v="0"/>
    <n v="0"/>
    <n v="20"/>
    <x v="3"/>
    <s v="Atendimento do Ramal do Bacuri (168 UCs)"/>
  </r>
  <r>
    <n v="5862236091"/>
    <s v="58"/>
    <s v="ALMAS"/>
    <s v="DIANOPOLIS"/>
    <s v="SUL"/>
    <s v="ETO-RD-DP 00457/2026"/>
    <x v="3"/>
    <x v="0"/>
    <x v="2"/>
    <x v="1"/>
    <n v="1"/>
    <s v="20/07 PARECER COEP: EQUIPAMENTO ENTREGUE , FAVOR EDITAR A SS COM A DATA PREVISTA DE SUBSTITUIÇÃO NO PARECER DOS COCM´S Realizar substituição da FASE B.Célula da fase B estava com a tampa do contador de tape aberta, pegou chuva e molhou os contatos danificando a peça toda."/>
    <n v="0"/>
    <n v="0"/>
    <n v="0"/>
    <n v="20"/>
    <n v="0"/>
    <s v="-"/>
    <s v="-"/>
    <s v="-"/>
    <n v="20"/>
    <x v="3"/>
    <s v="Atendimento da LD Vale Rio Doce (Nova Aura Mineradora)"/>
  </r>
  <r>
    <n v="5836786094"/>
    <s v="58"/>
    <s v="PEIXE"/>
    <s v="PEIXE"/>
    <s v="SUL"/>
    <s v="ETO-COEP 00095/2026"/>
    <x v="6"/>
    <x v="15"/>
    <x v="2"/>
    <x v="1"/>
    <n v="1"/>
    <s v="24/07 PARECER COEP:EQUIPAMENTO EM LOGISTICA DE ENTREGA Favor levar outro regulador de tensão, pois o mesmo foi furtado em campo."/>
    <n v="0"/>
    <n v="0"/>
    <n v="0"/>
    <n v="10"/>
    <n v="10"/>
    <s v="-"/>
    <s v="-"/>
    <s v="-"/>
    <n v="20"/>
    <x v="3"/>
    <s v="Atendimento de clientes rurais na LD Peixe Angical - Peixe"/>
  </r>
  <r>
    <n v="7919270014"/>
    <s v="79"/>
    <s v="PIUM"/>
    <s v="PARAISO DO TOCANTINS"/>
    <s v="CENTRO"/>
    <s v="ETO-RD-PS 00327/2026"/>
    <x v="3"/>
    <x v="0"/>
    <x v="2"/>
    <x v="0"/>
    <m/>
    <s v="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
    <n v="5"/>
    <n v="5"/>
    <n v="0"/>
    <n v="0"/>
    <n v="0"/>
    <n v="10"/>
    <n v="0"/>
    <n v="0"/>
    <n v="20"/>
    <x v="3"/>
    <s v="Atendimento de Clientes rurais (48 UCs)"/>
  </r>
  <r>
    <n v="7926442035"/>
    <s v="79"/>
    <s v="MONTE DO CARMO"/>
    <s v="PONTE ALTA TOCANTINS"/>
    <s v="CENTRO"/>
    <s v="ETO-COEP 00051/2026"/>
    <x v="3"/>
    <x v="14"/>
    <x v="2"/>
    <x v="17"/>
    <n v="1"/>
    <s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
    <n v="5"/>
    <n v="5"/>
    <n v="0"/>
    <n v="0"/>
    <n v="0"/>
    <n v="0"/>
    <n v="10"/>
    <n v="0"/>
    <n v="20"/>
    <x v="3"/>
    <s v="Atenidmento do PA Principado (200 UCs)"/>
  </r>
  <r>
    <n v="7954668084"/>
    <s v="79"/>
    <s v="DIVINOPOLIS"/>
    <s v="DIVINOPOLIS"/>
    <s v="CENTRO"/>
    <s v="CONCLUÍDA"/>
    <x v="0"/>
    <x v="0"/>
    <x v="0"/>
    <x v="0"/>
    <m/>
    <s v=""/>
    <n v="5"/>
    <n v="5"/>
    <n v="0"/>
    <n v="0"/>
    <n v="0"/>
    <n v="0"/>
    <n v="10"/>
    <n v="0"/>
    <n v="20"/>
    <x v="3"/>
    <s v="Atendimento do PA Piedade (125 UCs)"/>
  </r>
  <r>
    <n v="7938137007"/>
    <s v="79"/>
    <s v="MIRACEMA DO TOCANTINS"/>
    <s v="MIRACEMA DO TOCANTINS"/>
    <s v="CENTRO"/>
    <s v="ETO-COEP 00144/2026"/>
    <x v="3"/>
    <x v="0"/>
    <x v="2"/>
    <x v="18"/>
    <n v="1"/>
    <s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
    <n v="5"/>
    <n v="5"/>
    <n v="5"/>
    <n v="0"/>
    <n v="0"/>
    <n v="0"/>
    <n v="0"/>
    <n v="0"/>
    <n v="15"/>
    <x v="3"/>
    <s v="Transferência do Irmã Adelaide (470 UCs)"/>
  </r>
  <r>
    <n v="5856156091"/>
    <s v="58"/>
    <s v="ALMAS"/>
    <s v="DIANOPOLIS"/>
    <s v="SUL"/>
    <s v="ETO-RD-DP 00403/2026"/>
    <x v="3"/>
    <x v="16"/>
    <x v="2"/>
    <x v="7"/>
    <n v="3"/>
    <s v="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
    <n v="0"/>
    <n v="0"/>
    <n v="0"/>
    <n v="0"/>
    <n v="0"/>
    <s v="-"/>
    <s v="-"/>
    <s v="-"/>
    <n v="0"/>
    <x v="3"/>
    <s v="Equipamento novo furtado antes de ser colocado em operação"/>
  </r>
  <r>
    <n v="5858783119"/>
    <s v="58"/>
    <s v="SAO BENTO DO TOCANTINS"/>
    <s v="TOCANTINOPOLIS"/>
    <s v="NORTE"/>
    <s v="ETO-TELE 01032/2026"/>
    <x v="12"/>
    <x v="0"/>
    <x v="2"/>
    <x v="0"/>
    <m/>
    <s v="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n v="0"/>
    <n v="0"/>
    <n v="0"/>
    <n v="0"/>
    <n v="0"/>
    <s v="-"/>
    <s v="-"/>
    <s v="-"/>
    <n v="0"/>
    <x v="3"/>
    <s v="Equipamento não inserido no SCADA"/>
  </r>
  <r>
    <n v="7900532053"/>
    <s v="79"/>
    <s v="PIRAQUE"/>
    <s v="TOCANTINOPOLIS"/>
    <s v="NORTE"/>
    <s v="CONCLUÍDA"/>
    <x v="13"/>
    <x v="0"/>
    <x v="2"/>
    <x v="19"/>
    <m/>
    <s v=""/>
    <n v="0"/>
    <n v="0"/>
    <n v="0"/>
    <n v="0"/>
    <n v="0"/>
    <n v="0"/>
    <n v="0"/>
    <n v="0"/>
    <n v="0"/>
    <x v="3"/>
    <s v="Equipamento não identificado no SCADA e Mapa TS"/>
  </r>
  <r>
    <n v="7925713040"/>
    <s v="79"/>
    <s v="ARAGOMINAS"/>
    <s v="ARAGUAINA"/>
    <s v="NORTE"/>
    <s v="CONCLUÍDA"/>
    <x v="0"/>
    <x v="0"/>
    <x v="2"/>
    <x v="0"/>
    <m/>
    <s v=""/>
    <s v=" "/>
    <m/>
    <m/>
    <m/>
    <m/>
    <m/>
    <m/>
    <m/>
    <n v="0"/>
    <x v="4"/>
    <m/>
  </r>
  <r>
    <n v="7948412064"/>
    <s v="79"/>
    <s v="BRASILANDIA DO TOCANTINS"/>
    <s v="GUARAI"/>
    <s v="NORTE"/>
    <s v="CONCLUÍDA"/>
    <x v="0"/>
    <x v="0"/>
    <x v="2"/>
    <x v="0"/>
    <m/>
    <s v=""/>
    <s v=" "/>
    <m/>
    <m/>
    <m/>
    <m/>
    <m/>
    <m/>
    <m/>
    <n v="0"/>
    <x v="4"/>
    <m/>
  </r>
  <r>
    <n v="7955832052"/>
    <s v="79"/>
    <s v="FORMOSO DO ARAGUAIA"/>
    <s v="FORMOSO DO ARAGUAIA"/>
    <s v="SUL"/>
    <s v="ETO-TELE 00982/2026"/>
    <x v="0"/>
    <x v="0"/>
    <x v="2"/>
    <x v="0"/>
    <m/>
    <s v="SEGUE SOLICITAÇÃO DE SERVIÇO PARA REALIZAR VERIFICAÇÃO DO RL 7955832052 EQUIPAMENTO DE INTEELIGAÇÃO O MESMO ESTA SEM COMUNICAÇÃO ...FOI REALIZADO PRIMEIRO ATAQUE COM EQUIPE SINERGIA DE FORMOSO EO EQUIPAMENTO NÃO VOLTOU"/>
    <s v=" "/>
    <m/>
    <m/>
    <m/>
    <m/>
    <m/>
    <m/>
    <m/>
    <n v="0"/>
    <x v="4"/>
    <m/>
  </r>
  <r>
    <n v="7930359149"/>
    <s v="79"/>
    <s v="CASEARA"/>
    <s v="DIVINOPOLIS"/>
    <s v="CENTRO"/>
    <s v="ETO-COEP 00138/2026"/>
    <x v="0"/>
    <x v="0"/>
    <x v="2"/>
    <x v="0"/>
    <m/>
    <s v="PARECER DMSL 07/07/2026: equipamento tem que ser subistuido pois não faz comando, parte ativa com defeito FEITO O PRIMEIRO ATAQUE NO RELIGADOR 7930359149 E MESMO NÃO ACEITA COMANDO NEM LOCAL E NEM REMOTO SEGUNDO EQUIPE 149OP02 E PLACA DO RL ESTA CARBONIZADA COM SINAL DE CURTO."/>
    <s v=" "/>
    <m/>
    <m/>
    <m/>
    <m/>
    <m/>
    <m/>
    <m/>
    <n v="0"/>
    <x v="4"/>
    <m/>
  </r>
  <r>
    <n v="7902098003"/>
    <s v="79"/>
    <s v="GURUPI"/>
    <s v="GURUPI"/>
    <s v="SUL"/>
    <s v="ETO-TELE 00932/2026"/>
    <x v="0"/>
    <x v="0"/>
    <x v="2"/>
    <x v="0"/>
    <m/>
    <s v="Segue SS de religador 7902098003 sem comunicação. Foi realizado o primeiro ataque porem o mesmo não retornou a comunicação."/>
    <s v=" "/>
    <m/>
    <m/>
    <m/>
    <m/>
    <m/>
    <m/>
    <m/>
    <n v="0"/>
    <x v="4"/>
    <m/>
  </r>
  <r>
    <n v="7953211079"/>
    <s v="79"/>
    <s v="ITAPIRATINS"/>
    <s v="GUARAI"/>
    <s v="NORTE"/>
    <s v="ETO-COEP 00147/2026"/>
    <x v="0"/>
    <x v="0"/>
    <x v="2"/>
    <x v="0"/>
    <m/>
    <s v="20/07 PARECER COEP: EQUIPAMENTO SELECIONADO PARA COMPRASegue nota para substituir relé religador avariado marca noja , equipamento N: 7953211079 - Itapiratins .Obs: informação repassado pelo técnico DMSL Bruno ."/>
    <s v=" "/>
    <m/>
    <m/>
    <m/>
    <m/>
    <m/>
    <m/>
    <m/>
    <n v="0"/>
    <x v="4"/>
    <m/>
  </r>
  <r>
    <n v="7949648145"/>
    <s v="79"/>
    <s v="MAURILANDIA DO TOCANTINS"/>
    <s v="AUGUSTINOPOLIS"/>
    <s v="NORTE"/>
    <s v="ETO-TELE 00929/2026"/>
    <x v="0"/>
    <x v="0"/>
    <x v="2"/>
    <x v="0"/>
    <m/>
    <s v="FEITO PRIMEIRO ATAQUE COM A EQUIPE LOCAL E NÃO VOLTOU A COMUNICAR. PROVIDENCIAR MANUTENÇÃO PARA O MESMO."/>
    <s v=" "/>
    <m/>
    <m/>
    <m/>
    <m/>
    <m/>
    <m/>
    <m/>
    <n v="0"/>
    <x v="4"/>
    <m/>
  </r>
  <r>
    <n v="7957021094"/>
    <s v="79"/>
    <s v="PEIXE"/>
    <s v="PEIXE"/>
    <s v="SUL"/>
    <s v="CONCLUÍDA"/>
    <x v="0"/>
    <x v="0"/>
    <x v="2"/>
    <x v="0"/>
    <m/>
    <s v=""/>
    <s v=" "/>
    <m/>
    <m/>
    <m/>
    <m/>
    <m/>
    <m/>
    <m/>
    <n v="0"/>
    <x v="4"/>
    <m/>
  </r>
  <r>
    <n v="7908300096"/>
    <s v="79"/>
    <s v="PINDORAMA DO TOCANTINS"/>
    <s v="PONTE ALTA TOCANTINS"/>
    <s v="CENTRO"/>
    <s v="ETO-TELE 00938/2026"/>
    <x v="0"/>
    <x v="0"/>
    <x v="2"/>
    <x v="0"/>
    <m/>
    <s v="Segue nota para verificar falha intermitência na comunicação RL 7908300096 RDU- Pindorama ."/>
    <s v=" "/>
    <m/>
    <m/>
    <m/>
    <m/>
    <m/>
    <m/>
    <m/>
    <n v="0"/>
    <x v="4"/>
    <m/>
  </r>
  <r>
    <n v="7953570026"/>
    <s v="79"/>
    <s v="PONTE ALTA TOCANTINS"/>
    <s v="PONTE ALTA TOCANTINS"/>
    <s v="CENTRO"/>
    <s v="ETO-TELE 00892/2026"/>
    <x v="0"/>
    <x v="0"/>
    <x v="2"/>
    <x v="0"/>
    <m/>
    <s v="Segue RL 7953570026 O MESMO FOI FEITO PRIMEIRO ATAQUE, painel do religador acendeu porem não voltou a comunicação junto ao SCADA, equipe fez teste em comando local, tudo normal porem sem retorno de comunicação, rl na SE DE PONTE ALTA"/>
    <s v=" "/>
    <m/>
    <m/>
    <m/>
    <m/>
    <m/>
    <m/>
    <m/>
    <n v="0"/>
    <x v="4"/>
    <m/>
  </r>
  <r>
    <n v="7911120026"/>
    <s v="79"/>
    <s v="PONTE ALTA TOCANTINS"/>
    <s v="PONTE ALTA TOCANTINS"/>
    <s v="CENTRO"/>
    <s v="DG-RD-PO 00444/2026"/>
    <x v="11"/>
    <x v="0"/>
    <x v="2"/>
    <x v="0"/>
    <m/>
    <s v="Segue nota para recuperar malha de aterramento no RL 7911120026 RDU- Ponte Alta .OBS: Provavelmente foi furtado cabos de aterramento   ."/>
    <s v=" "/>
    <m/>
    <m/>
    <m/>
    <m/>
    <m/>
    <m/>
    <m/>
    <n v="0"/>
    <x v="4"/>
    <m/>
  </r>
  <r>
    <n v="5820790038"/>
    <s v="58"/>
    <s v="TAGUATINGA"/>
    <s v="DIANOPOLIS"/>
    <s v="SUL"/>
    <s v="CONCLUÍDA"/>
    <x v="0"/>
    <x v="0"/>
    <x v="2"/>
    <x v="0"/>
    <m/>
    <s v=""/>
    <s v=" "/>
    <m/>
    <m/>
    <m/>
    <m/>
    <m/>
    <m/>
    <m/>
    <n v="0"/>
    <x v="4"/>
    <m/>
  </r>
  <r>
    <n v="7934697002"/>
    <s v="79"/>
    <s v="TOCANTINOPOLIS"/>
    <s v="TOCANTINOPOLIS"/>
    <s v="NORTE"/>
    <s v="CONCLUÍDA"/>
    <x v="0"/>
    <x v="0"/>
    <x v="2"/>
    <x v="0"/>
    <m/>
    <s v=""/>
    <s v=" "/>
    <m/>
    <m/>
    <m/>
    <m/>
    <m/>
    <m/>
    <m/>
    <n v="0"/>
    <x v="4"/>
    <m/>
  </r>
  <r>
    <n v="7908716091"/>
    <s v="79"/>
    <m/>
    <m/>
    <m/>
    <s v="ETO-TELE 01019/2026"/>
    <x v="0"/>
    <x v="0"/>
    <x v="2"/>
    <x v="0"/>
    <m/>
    <s v="Segue nota para verificar falha de comunicação no religador 7908716091 - Rural -  Almas  .Equipamento perdeu a comunicação quando faltou CA , porém mesmo ao retorna o CA não retornou à comunicação !"/>
    <m/>
    <m/>
    <m/>
    <m/>
    <m/>
    <m/>
    <m/>
    <m/>
    <n v="0"/>
    <x v="4"/>
    <m/>
  </r>
  <r>
    <n v="5848305116"/>
    <s v="58"/>
    <m/>
    <m/>
    <m/>
    <s v="ETO-TELE 01005/2026"/>
    <x v="0"/>
    <x v="0"/>
    <x v="2"/>
    <x v="0"/>
    <m/>
    <s v="Segue nota para verificar falha e constantes travamento no regulador de tensão 5848305116 - chapada da Natividade .Foi identificado que regulador está com divergência em TAP&quot;S analógico e digital .Foi executado comandos no relé para comutar TAP na fase AB foi executado no relé , porém não alterou analógico e nem fez barulho algum , a princípio a fase C está normal ."/>
    <m/>
    <m/>
    <m/>
    <m/>
    <m/>
    <m/>
    <m/>
    <m/>
    <n v="0"/>
    <x v="4"/>
    <m/>
  </r>
  <r>
    <n v="7961368005"/>
    <s v="79"/>
    <m/>
    <m/>
    <m/>
    <s v="ETO-TELE 01007/2026"/>
    <x v="0"/>
    <x v="0"/>
    <x v="2"/>
    <x v="0"/>
    <m/>
    <s v="Favor verifcar Religador 7961368005 , equipamento sem comunicação , feito primeiro ataque com equipe operacional , porem não ouve retorno ."/>
    <m/>
    <m/>
    <m/>
    <m/>
    <m/>
    <m/>
    <m/>
    <m/>
    <n v="0"/>
    <x v="4"/>
    <m/>
  </r>
  <r>
    <n v="7929663074"/>
    <s v="79"/>
    <m/>
    <m/>
    <m/>
    <s v="ETO-TELE 01026/2026"/>
    <x v="0"/>
    <x v="0"/>
    <x v="2"/>
    <x v="0"/>
    <m/>
    <s v="Segue nota para verificar falha de comunicação no religador 7929663074  rural - Dianópolis  .Equipamento perde a comunicação quando falta CA !"/>
    <m/>
    <m/>
    <m/>
    <m/>
    <m/>
    <m/>
    <m/>
    <m/>
    <n v="0"/>
    <x v="4"/>
    <m/>
  </r>
  <r>
    <n v="7900722193"/>
    <s v="79"/>
    <m/>
    <m/>
    <m/>
    <s v="ETO-TELE 01029/2026"/>
    <x v="0"/>
    <x v="0"/>
    <x v="2"/>
    <x v="0"/>
    <m/>
    <s v="Religador sem comunicação, apos primeiro ataque não retornou a comunicação."/>
    <m/>
    <m/>
    <m/>
    <m/>
    <m/>
    <m/>
    <m/>
    <m/>
    <n v="0"/>
    <x v="4"/>
    <m/>
  </r>
  <r>
    <n v="7955792076"/>
    <s v="79"/>
    <m/>
    <m/>
    <m/>
    <s v="ETO-TELE 00999/2026"/>
    <x v="0"/>
    <x v="0"/>
    <x v="2"/>
    <x v="0"/>
    <m/>
    <s v="RELIGADOR DE POSTE 7955792076 SEM COMUNIÇÃO COM COI ,FEITO PRIMEIRO ATAQUE COM EQUIPE OPERACIONAL O MESMO NÃO RETORNOU A COMUNICAÇÃO ENVIAR EQUIPE ESPECIAL VERIFICAR EM CAMPO"/>
    <m/>
    <m/>
    <m/>
    <m/>
    <m/>
    <m/>
    <m/>
    <m/>
    <n v="0"/>
    <x v="4"/>
    <m/>
  </r>
  <r>
    <n v="5839141113"/>
    <s v="58"/>
    <m/>
    <m/>
    <m/>
    <s v="ETO-TELE 00985/2026"/>
    <x v="0"/>
    <x v="0"/>
    <x v="2"/>
    <x v="0"/>
    <m/>
    <s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
    <m/>
    <m/>
    <m/>
    <m/>
    <m/>
    <m/>
    <m/>
    <m/>
    <n v="0"/>
    <x v="4"/>
    <m/>
  </r>
  <r>
    <n v="7908683122"/>
    <s v="79"/>
    <m/>
    <m/>
    <m/>
    <s v="ETO-TELE 00998/2026"/>
    <x v="0"/>
    <x v="0"/>
    <x v="2"/>
    <x v="0"/>
    <m/>
    <s v="rl 7908683122  retirado de operaçao devido falha na base do rele  equipamento."/>
    <m/>
    <m/>
    <m/>
    <m/>
    <m/>
    <m/>
    <m/>
    <m/>
    <n v="0"/>
    <x v="4"/>
    <m/>
  </r>
  <r>
    <n v="7923110021"/>
    <s v="79"/>
    <m/>
    <m/>
    <m/>
    <s v="ETO-TELE 01027/2026"/>
    <x v="0"/>
    <x v="0"/>
    <x v="2"/>
    <x v="0"/>
    <m/>
    <s v="Segue SS para verificar falha de comunicação no religador 7923110021. Equipe foi no local realizar primeiro ataque e informou que o radio de comunicação encontra-se com defeito"/>
    <m/>
    <m/>
    <m/>
    <m/>
    <m/>
    <m/>
    <m/>
    <m/>
    <n v="0"/>
    <x v="4"/>
    <m/>
  </r>
  <r>
    <n v="7900001096"/>
    <s v="79"/>
    <m/>
    <m/>
    <m/>
    <s v="ETO-TELE 01018/2026"/>
    <x v="0"/>
    <x v="0"/>
    <x v="2"/>
    <x v="0"/>
    <m/>
    <s v="Segue nota para falha de comunicação no religador 7900001096 - Rural - Pindorama .Equipamento perdeu a comunicação quando faltou CA , porém mesmo ao retorna o CA não retornou a comunicação !Feito primeiro ataque sem sucesso !"/>
    <m/>
    <m/>
    <m/>
    <m/>
    <m/>
    <m/>
    <m/>
    <m/>
    <n v="0"/>
    <x v="4"/>
    <m/>
  </r>
  <r>
    <n v="7900451096"/>
    <s v="79"/>
    <m/>
    <m/>
    <m/>
    <s v="ETO-TELE 01020/2026"/>
    <x v="0"/>
    <x v="0"/>
    <x v="2"/>
    <x v="0"/>
    <m/>
    <s v="Segue nota para verificar falha de comunicação no religador 7900451096 - Rural -  Pindorama  .Equipamento perde a comunicação quando falta CA !"/>
    <m/>
    <m/>
    <m/>
    <m/>
    <m/>
    <m/>
    <m/>
    <m/>
    <n v="0"/>
    <x v="4"/>
    <m/>
  </r>
  <r>
    <n v="7900259096"/>
    <s v="79"/>
    <m/>
    <m/>
    <m/>
    <s v="ETO-TELE 01021/2026"/>
    <x v="0"/>
    <x v="0"/>
    <x v="2"/>
    <x v="0"/>
    <m/>
    <s v="Boa noite .Segue nota para verificar falha de comunicação no religador 7900259096 -  Pindorama .Equipamento perde a comunicação quando falta CA !"/>
    <m/>
    <m/>
    <m/>
    <m/>
    <m/>
    <m/>
    <m/>
    <m/>
    <n v="0"/>
    <x v="4"/>
    <m/>
  </r>
  <r>
    <n v="7962734119"/>
    <s v="79"/>
    <m/>
    <m/>
    <m/>
    <s v="ETO-TELE 01008/2026"/>
    <x v="0"/>
    <x v="0"/>
    <x v="2"/>
    <x v="0"/>
    <m/>
    <s v="por favor deslocar equipe da manutenção no RL 7962734119 por que foi feito o primeiro ataque no mesmo mais não voltou comunção no sistema escada"/>
    <m/>
    <m/>
    <m/>
    <m/>
    <m/>
    <m/>
    <m/>
    <m/>
    <n v="0"/>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99532-7646-4D5A-9810-BD1BF5FB9BB9}" name="Tabela dinâmica39"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riticidade" colHeaderCaption="Cód">
  <location ref="A3:D10" firstHeaderRow="1" firstDataRow="2" firstDataCol="1" rowPageCount="1" colPageCount="1"/>
  <pivotFields count="23">
    <pivotField showAll="0"/>
    <pivotField showAll="0"/>
    <pivotField axis="axisPage" multipleItemSelectionAllowed="1" showAll="0">
      <items count="14">
        <item x="2"/>
        <item x="4"/>
        <item x="1"/>
        <item x="0"/>
        <item x="7"/>
        <item h="1" x="6"/>
        <item h="1" x="3"/>
        <item h="1" m="1" x="11"/>
        <item h="1" m="1" x="10"/>
        <item h="1" x="5"/>
        <item h="1" x="8"/>
        <item h="1" m="1" x="9"/>
        <item h="1" m="1" x="12"/>
        <item t="default"/>
      </items>
    </pivotField>
    <pivotField dataField="1" showAll="0"/>
    <pivotField axis="axisCol"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3"/>
        <item n="Em definição" x="4"/>
        <item m="1" x="5"/>
        <item t="default"/>
      </items>
    </pivotField>
    <pivotField showAll="0"/>
  </pivotFields>
  <rowFields count="1">
    <field x="21"/>
  </rowFields>
  <rowItems count="6">
    <i>
      <x/>
    </i>
    <i>
      <x v="1"/>
    </i>
    <i>
      <x v="2"/>
    </i>
    <i>
      <x v="3"/>
    </i>
    <i>
      <x v="4"/>
    </i>
    <i t="grand">
      <x/>
    </i>
  </rowItems>
  <colFields count="1">
    <field x="4"/>
  </colFields>
  <colItems count="3">
    <i>
      <x/>
    </i>
    <i>
      <x v="1"/>
    </i>
    <i t="grand">
      <x/>
    </i>
  </colItems>
  <pageFields count="1">
    <pageField fld="2" hier="-1"/>
  </pageFields>
  <dataFields count="1">
    <dataField name="Qtd" fld="3" subtotal="count" baseField="2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84CEBF-8D3D-4550-9315-2EDB1A0225FA}" name="Tabela dinâmica1"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Status">
  <location ref="A3:B35" firstHeaderRow="1" firstDataRow="1" firstDataCol="1"/>
  <pivotFields count="23">
    <pivotField dataField="1" showAll="0"/>
    <pivotField showAll="0"/>
    <pivotField showAll="0"/>
    <pivotField showAll="0"/>
    <pivotField showAll="0"/>
    <pivotField showAll="0"/>
    <pivotField axis="axisRow" showAll="0">
      <items count="15">
        <item x="10"/>
        <item x="4"/>
        <item x="12"/>
        <item x="5"/>
        <item x="3"/>
        <item x="6"/>
        <item x="2"/>
        <item x="11"/>
        <item x="7"/>
        <item x="8"/>
        <item x="13"/>
        <item x="1"/>
        <item x="9"/>
        <item n="Concluído" x="0"/>
        <item t="default"/>
      </items>
    </pivotField>
    <pivotField showAll="0"/>
    <pivotField showAll="0">
      <items count="6">
        <item x="4"/>
        <item x="1"/>
        <item x="3"/>
        <item x="0"/>
        <item x="2"/>
        <item t="default"/>
      </items>
    </pivotField>
    <pivotField showAll="0">
      <items count="21">
        <item x="16"/>
        <item x="1"/>
        <item x="7"/>
        <item x="15"/>
        <item x="19"/>
        <item x="6"/>
        <item x="2"/>
        <item x="11"/>
        <item x="13"/>
        <item x="10"/>
        <item x="9"/>
        <item x="3"/>
        <item x="14"/>
        <item x="5"/>
        <item x="8"/>
        <item x="12"/>
        <item x="4"/>
        <item x="18"/>
        <item x="17"/>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h="1" x="4"/>
        <item t="default"/>
      </items>
    </pivotField>
    <pivotField showAll="0"/>
  </pivotFields>
  <rowFields count="2">
    <field x="21"/>
    <field x="6"/>
  </rowFields>
  <rowItems count="32">
    <i>
      <x/>
    </i>
    <i r="1">
      <x v="1"/>
    </i>
    <i r="1">
      <x v="3"/>
    </i>
    <i r="1">
      <x v="4"/>
    </i>
    <i r="1">
      <x v="5"/>
    </i>
    <i r="1">
      <x v="6"/>
    </i>
    <i r="1">
      <x v="11"/>
    </i>
    <i r="1">
      <x v="13"/>
    </i>
    <i>
      <x v="1"/>
    </i>
    <i r="1">
      <x/>
    </i>
    <i r="1">
      <x v="3"/>
    </i>
    <i r="1">
      <x v="4"/>
    </i>
    <i r="1">
      <x v="5"/>
    </i>
    <i r="1">
      <x v="6"/>
    </i>
    <i r="1">
      <x v="8"/>
    </i>
    <i r="1">
      <x v="9"/>
    </i>
    <i r="1">
      <x v="12"/>
    </i>
    <i r="1">
      <x v="13"/>
    </i>
    <i>
      <x v="2"/>
    </i>
    <i r="1">
      <x v="1"/>
    </i>
    <i r="1">
      <x v="4"/>
    </i>
    <i r="1">
      <x v="6"/>
    </i>
    <i r="1">
      <x v="7"/>
    </i>
    <i r="1">
      <x v="13"/>
    </i>
    <i>
      <x v="3"/>
    </i>
    <i r="1">
      <x/>
    </i>
    <i r="1">
      <x v="2"/>
    </i>
    <i r="1">
      <x v="4"/>
    </i>
    <i r="1">
      <x v="5"/>
    </i>
    <i r="1">
      <x v="10"/>
    </i>
    <i r="1">
      <x v="13"/>
    </i>
    <i t="grand">
      <x/>
    </i>
  </rowItems>
  <colItems count="1">
    <i/>
  </colItems>
  <dataFields count="1">
    <dataField name="Contagem de Ativ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D9F7A7-4C63-4180-9D0D-0BFAED3146E1}" name="Tabela dinâmica3"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Status">
  <location ref="D16:E25" firstHeaderRow="1" firstDataRow="1" firstDataCol="1" rowPageCount="1" colPageCount="1"/>
  <pivotFields count="23">
    <pivotField dataField="1" showAll="0"/>
    <pivotField showAll="0"/>
    <pivotField showAll="0"/>
    <pivotField showAll="0"/>
    <pivotField showAll="0"/>
    <pivotField showAll="0"/>
    <pivotField axis="axisPage" multipleItemSelectionAllowed="1" showAll="0">
      <items count="15">
        <item h="1" x="10"/>
        <item h="1" x="4"/>
        <item h="1" x="12"/>
        <item h="1" x="5"/>
        <item h="1" x="3"/>
        <item x="6"/>
        <item h="1" x="2"/>
        <item h="1" x="11"/>
        <item h="1" x="7"/>
        <item h="1" x="8"/>
        <item h="1" x="13"/>
        <item h="1" x="1"/>
        <item h="1" x="9"/>
        <item n="Concluído" h="1" x="0"/>
        <item t="default"/>
      </items>
    </pivotField>
    <pivotField axis="axisRow" showAll="0">
      <items count="18">
        <item x="14"/>
        <item x="10"/>
        <item x="7"/>
        <item x="3"/>
        <item x="16"/>
        <item x="5"/>
        <item x="1"/>
        <item x="6"/>
        <item x="11"/>
        <item x="15"/>
        <item x="13"/>
        <item x="8"/>
        <item x="4"/>
        <item x="2"/>
        <item x="9"/>
        <item x="12"/>
        <item x="0"/>
        <item t="default"/>
      </items>
    </pivotField>
    <pivotField showAll="0">
      <items count="6">
        <item x="4"/>
        <item x="1"/>
        <item x="3"/>
        <item x="0"/>
        <item x="2"/>
        <item t="default"/>
      </items>
    </pivotField>
    <pivotField showAll="0">
      <items count="21">
        <item x="16"/>
        <item x="1"/>
        <item x="7"/>
        <item x="15"/>
        <item x="19"/>
        <item x="6"/>
        <item x="2"/>
        <item x="11"/>
        <item x="13"/>
        <item x="10"/>
        <item x="9"/>
        <item x="3"/>
        <item x="14"/>
        <item x="5"/>
        <item x="8"/>
        <item x="12"/>
        <item x="4"/>
        <item x="18"/>
        <item x="17"/>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6">
        <item x="0"/>
        <item x="1"/>
        <item x="2"/>
        <item x="3"/>
        <item h="1" x="4"/>
        <item t="default"/>
      </items>
    </pivotField>
    <pivotField showAll="0"/>
  </pivotFields>
  <rowFields count="2">
    <field x="21"/>
    <field x="7"/>
  </rowFields>
  <rowItems count="9">
    <i>
      <x/>
    </i>
    <i r="1">
      <x v="7"/>
    </i>
    <i>
      <x v="1"/>
    </i>
    <i r="1">
      <x v="7"/>
    </i>
    <i r="1">
      <x v="8"/>
    </i>
    <i>
      <x v="3"/>
    </i>
    <i r="1">
      <x v="9"/>
    </i>
    <i r="1">
      <x v="10"/>
    </i>
    <i t="grand">
      <x/>
    </i>
  </rowItems>
  <colItems count="1">
    <i/>
  </colItems>
  <pageFields count="1">
    <pageField fld="6" hier="-1"/>
  </pageFields>
  <dataFields count="1">
    <dataField name="Contagem de Ativ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DAE4D3-BF23-4898-A8B9-D832E35986BF}" name="Tabela dinâmica2"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Status">
  <location ref="D4:E12" firstHeaderRow="1" firstDataRow="1" firstDataCol="1" rowPageCount="1" colPageCount="1"/>
  <pivotFields count="23">
    <pivotField dataField="1" showAll="0"/>
    <pivotField showAll="0"/>
    <pivotField showAll="0"/>
    <pivotField showAll="0"/>
    <pivotField showAll="0"/>
    <pivotField showAll="0"/>
    <pivotField axis="axisPage" multipleItemSelectionAllowed="1" showAll="0">
      <items count="15">
        <item h="1" x="10"/>
        <item h="1" x="4"/>
        <item h="1" x="12"/>
        <item h="1" x="5"/>
        <item h="1" x="3"/>
        <item h="1" x="6"/>
        <item x="2"/>
        <item h="1" x="11"/>
        <item h="1" x="7"/>
        <item h="1" x="8"/>
        <item h="1" x="13"/>
        <item h="1" x="1"/>
        <item h="1" x="9"/>
        <item n="Concluído" h="1" x="0"/>
        <item t="default"/>
      </items>
    </pivotField>
    <pivotField axis="axisRow" showAll="0">
      <items count="18">
        <item x="14"/>
        <item x="10"/>
        <item x="7"/>
        <item x="3"/>
        <item x="16"/>
        <item x="5"/>
        <item x="1"/>
        <item x="6"/>
        <item x="11"/>
        <item x="15"/>
        <item x="13"/>
        <item x="8"/>
        <item x="4"/>
        <item x="2"/>
        <item x="9"/>
        <item x="12"/>
        <item x="0"/>
        <item t="default"/>
      </items>
    </pivotField>
    <pivotField showAll="0">
      <items count="6">
        <item x="4"/>
        <item x="1"/>
        <item x="3"/>
        <item x="0"/>
        <item x="2"/>
        <item t="default"/>
      </items>
    </pivotField>
    <pivotField showAll="0">
      <items count="21">
        <item x="16"/>
        <item x="1"/>
        <item x="7"/>
        <item x="15"/>
        <item x="19"/>
        <item x="6"/>
        <item x="2"/>
        <item x="11"/>
        <item x="13"/>
        <item x="10"/>
        <item x="9"/>
        <item x="3"/>
        <item x="14"/>
        <item x="5"/>
        <item x="8"/>
        <item x="12"/>
        <item x="4"/>
        <item x="18"/>
        <item x="17"/>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6">
        <item x="0"/>
        <item x="1"/>
        <item x="2"/>
        <item x="3"/>
        <item h="1" x="4"/>
        <item t="default"/>
      </items>
    </pivotField>
    <pivotField showAll="0"/>
  </pivotFields>
  <rowFields count="2">
    <field x="21"/>
    <field x="7"/>
  </rowFields>
  <rowItems count="8">
    <i>
      <x/>
    </i>
    <i r="1">
      <x v="12"/>
    </i>
    <i r="1">
      <x v="13"/>
    </i>
    <i>
      <x v="1"/>
    </i>
    <i r="1">
      <x v="14"/>
    </i>
    <i>
      <x v="2"/>
    </i>
    <i r="1">
      <x v="12"/>
    </i>
    <i t="grand">
      <x/>
    </i>
  </rowItems>
  <colItems count="1">
    <i/>
  </colItems>
  <pageFields count="1">
    <pageField fld="6" hier="-1"/>
  </pageFields>
  <dataFields count="1">
    <dataField name="Contagem de Ativ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3" xr16:uid="{FB97C640-7295-473C-A251-3720EDE57D1E}" autoFormatId="16" applyNumberFormats="0" applyBorderFormats="0" applyFontFormats="0" applyPatternFormats="0" applyAlignmentFormats="0" applyWidthHeightFormats="0">
  <queryTableRefresh nextId="25">
    <queryTableFields count="23">
      <queryTableField id="1" name="ANO_SS" tableColumnId="1"/>
      <queryTableField id="2" name="SS_ORIGINAL" tableColumnId="2"/>
      <queryTableField id="3" name="DESTINO_SS" tableColumnId="3"/>
      <queryTableField id="4" name="COD_RELIGADOR" tableColumnId="4"/>
      <queryTableField id="23" name="TIPO" tableColumnId="23"/>
      <queryTableField id="5" name="DTA_ABERTURA" tableColumnId="5"/>
      <queryTableField id="6" name="COD_LOC" tableColumnId="6"/>
      <queryTableField id="7" name="LOCALIDADE" tableColumnId="7"/>
      <queryTableField id="8" name="POLO" tableColumnId="8"/>
      <queryTableField id="9" name="REGIONAL" tableColumnId="9"/>
      <queryTableField id="10" name="ALIMENTADOR" tableColumnId="10"/>
      <queryTableField id="11" name="DESCRICAO" tableColumnId="11"/>
      <queryTableField id="12" name="Premissa 1" tableColumnId="12"/>
      <queryTableField id="13" name="Premissa 2" tableColumnId="13"/>
      <queryTableField id="14" name="Premissa 3" tableColumnId="14"/>
      <queryTableField id="15" name="Premissa 4" tableColumnId="15"/>
      <queryTableField id="16" name="Premissa 5" tableColumnId="16"/>
      <queryTableField id="17" name="Premissa 6" tableColumnId="17"/>
      <queryTableField id="18" name="Premissa 7" tableColumnId="18"/>
      <queryTableField id="19" name="Premissa 8" tableColumnId="19"/>
      <queryTableField id="20" name="Priorização" tableColumnId="20"/>
      <queryTableField id="21" name="Criticidade" tableColumnId="21"/>
      <queryTableField id="22" name="Observação após análise"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3" connectionId="4" xr16:uid="{63059310-212C-4B3E-BA9E-6FD909F45C33}" autoFormatId="16" applyNumberFormats="0" applyBorderFormats="0" applyFontFormats="0" applyPatternFormats="0" applyAlignmentFormats="0" applyWidthHeightFormats="0">
  <queryTableRefresh nextId="37">
    <queryTableFields count="23">
      <queryTableField id="1" name="Ativo" tableColumnId="1"/>
      <queryTableField id="4" name="Tipo" tableColumnId="4"/>
      <queryTableField id="5" name="Localidade" tableColumnId="5"/>
      <queryTableField id="6" name="Polo" tableColumnId="6"/>
      <queryTableField id="7" name="Regional" tableColumnId="7"/>
      <queryTableField id="8" name="SS aberta" tableColumnId="8"/>
      <queryTableField id="32" name="Parecer COEP" tableColumnId="2"/>
      <queryTableField id="28" name="Observação" tableColumnId="3"/>
      <queryTableField id="23" name="Check de concluídas" tableColumnId="22"/>
      <queryTableField id="9" name="Defeito identificado" tableColumnId="9"/>
      <queryTableField id="35" name="Quantidade" tableColumnId="23"/>
      <queryTableField id="21" name="Descrição SS" tableColumnId="21"/>
      <queryTableField id="10" name="Premissa 1" tableColumnId="10"/>
      <queryTableField id="11" name="Premissa 2" tableColumnId="11"/>
      <queryTableField id="12" name="Premissa 3" tableColumnId="12"/>
      <queryTableField id="13" name="Premissa 4" tableColumnId="13"/>
      <queryTableField id="14" name="Premissa 5" tableColumnId="14"/>
      <queryTableField id="15" name="Premissa 6" tableColumnId="15"/>
      <queryTableField id="16" name="Premissa 7" tableColumnId="16"/>
      <queryTableField id="17" name="Premissa 8" tableColumnId="17"/>
      <queryTableField id="18" name="Priorização" tableColumnId="18"/>
      <queryTableField id="19" name="Criticidade" tableColumnId="19"/>
      <queryTableField id="20" name="Observação após análise" tableColumnId="2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4" connectionId="1" xr16:uid="{EF997D14-19D1-4ADA-9D9F-BE22B81DCA50}" autoFormatId="16" applyNumberFormats="0" applyBorderFormats="0" applyFontFormats="0" applyPatternFormats="0" applyAlignmentFormats="0" applyWidthHeightFormats="0">
  <queryTableRefresh nextId="13">
    <queryTableFields count="12">
      <queryTableField id="1" name="ANO_SS" tableColumnId="1"/>
      <queryTableField id="2" name="SS_ORIGINAL" tableColumnId="2"/>
      <queryTableField id="3" name="DESTINO_SS" tableColumnId="3"/>
      <queryTableField id="4" name="COD_RELIGADOR" tableColumnId="4"/>
      <queryTableField id="5" name="DTA_ABERTURA" tableColumnId="5"/>
      <queryTableField id="6" name="DTA_CONCLUSAO" tableColumnId="6"/>
      <queryTableField id="7" name="COD_LOC" tableColumnId="7"/>
      <queryTableField id="8" name="LOCALIDADE" tableColumnId="8"/>
      <queryTableField id="9" name="POLO" tableColumnId="9"/>
      <queryTableField id="10" name="REGIONAL" tableColumnId="10"/>
      <queryTableField id="11" name="ALIMENTADOR" tableColumnId="11"/>
      <queryTableField id="12" name="DESCRICAO"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2" connectionId="2" xr16:uid="{2D375E71-3E1B-4055-83A0-0F24712FE1F4}" autoFormatId="16" applyNumberFormats="0" applyBorderFormats="0" applyFontFormats="0" applyPatternFormats="0" applyAlignmentFormats="0" applyWidthHeightFormats="0">
  <queryTableRefresh nextId="8">
    <queryTableFields count="7">
      <queryTableField id="1" name="NumLocal" tableColumnId="1"/>
      <queryTableField id="2" name="SiglaLocal" tableColumnId="2"/>
      <queryTableField id="3" name="NomeLocal" tableColumnId="3"/>
      <queryTableField id="4" name="SiglaPolo" tableColumnId="4"/>
      <queryTableField id="5" name="NomePoloDEOP" tableColumnId="5"/>
      <queryTableField id="6" name="NomePoloDESC" tableColumnId="6"/>
      <queryTableField id="7" name="SiglaRegiona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A0DEFF-2E3E-4761-8991-77F0AED0E02C}" name="Pendentes" displayName="Pendentes" ref="A1:W94" tableType="queryTable" totalsRowShown="0" headerRowDxfId="98" dataDxfId="97">
  <autoFilter ref="A1:W94" xr:uid="{84A0DEFF-2E3E-4761-8991-77F0AED0E02C}"/>
  <sortState xmlns:xlrd2="http://schemas.microsoft.com/office/spreadsheetml/2017/richdata2" ref="A2:W94">
    <sortCondition descending="1" ref="U1:U94"/>
  </sortState>
  <tableColumns count="23">
    <tableColumn id="1" xr3:uid="{E6A6C5EE-7280-4F10-9DD5-7269F422F0EF}" uniqueName="1" name="ANO_SS" queryTableFieldId="1" dataDxfId="96"/>
    <tableColumn id="2" xr3:uid="{EE3FC682-ED4A-41CF-B211-F3F3955D42C5}" uniqueName="2" name="SS_ORIGINAL" queryTableFieldId="2" dataDxfId="95"/>
    <tableColumn id="3" xr3:uid="{539BB74E-1074-42E2-8415-34D208CF60B5}" uniqueName="3" name="DESTINO_SS" queryTableFieldId="3" dataDxfId="94"/>
    <tableColumn id="4" xr3:uid="{A40AE912-5F58-4E47-8E2A-56F45A7CBB1C}" uniqueName="4" name="COD_RELIGADOR" queryTableFieldId="4" dataDxfId="93"/>
    <tableColumn id="23" xr3:uid="{BB4BA0C2-BA93-432D-982F-3DFA4CBE6D77}" uniqueName="23" name="TIPO" queryTableFieldId="23" dataDxfId="92"/>
    <tableColumn id="5" xr3:uid="{CC224E63-0DDE-4705-96F9-53D9CF788961}" uniqueName="5" name="DTA_ABERTURA" queryTableFieldId="5" dataDxfId="91"/>
    <tableColumn id="6" xr3:uid="{35B829E1-91B8-4716-A985-150A7CD343B7}" uniqueName="6" name="COD_LOC" queryTableFieldId="6" dataDxfId="90"/>
    <tableColumn id="7" xr3:uid="{BBDC719E-D769-487C-87A8-C906A90AE812}" uniqueName="7" name="LOCALIDADE" queryTableFieldId="7" dataDxfId="89"/>
    <tableColumn id="8" xr3:uid="{2C689952-2478-4C66-9E1A-3D3A0D0A4E6D}" uniqueName="8" name="POLO" queryTableFieldId="8" dataDxfId="88"/>
    <tableColumn id="9" xr3:uid="{C16E0600-9493-486D-8BEC-E9CD73884D5B}" uniqueName="9" name="REGIONAL" queryTableFieldId="9" dataDxfId="87"/>
    <tableColumn id="10" xr3:uid="{560D3DDE-12C9-4E93-9C5E-F335A7F9E150}" uniqueName="10" name="ALIMENTADOR" queryTableFieldId="10" dataDxfId="86"/>
    <tableColumn id="11" xr3:uid="{082027D3-DE6A-45E3-BDE5-31D0A3DB1DEB}" uniqueName="11" name="DESCRICAO" queryTableFieldId="11" dataDxfId="85"/>
    <tableColumn id="12" xr3:uid="{72A081E0-A0B5-494B-847A-A9D16D37DC94}" uniqueName="12" name="Premissa 1" queryTableFieldId="12" dataDxfId="84"/>
    <tableColumn id="13" xr3:uid="{A644284D-F5FD-4C89-9984-0898650CAA3D}" uniqueName="13" name="Premissa 2" queryTableFieldId="13" dataDxfId="83"/>
    <tableColumn id="14" xr3:uid="{6EDEB7FE-2C85-46F8-817E-A1CA23BEFBAC}" uniqueName="14" name="Premissa 3" queryTableFieldId="14" dataDxfId="82"/>
    <tableColumn id="15" xr3:uid="{9BC02513-F3E6-485F-8A1E-E2E6AE51B225}" uniqueName="15" name="Premissa 4" queryTableFieldId="15" dataDxfId="81"/>
    <tableColumn id="16" xr3:uid="{FFFD87E8-E939-46C1-8CDB-D81121FA9C34}" uniqueName="16" name="Premissa 5" queryTableFieldId="16" dataDxfId="80"/>
    <tableColumn id="17" xr3:uid="{DD948E96-CE36-44B7-9F1F-CC46C31BD723}" uniqueName="17" name="Premissa 6" queryTableFieldId="17" dataDxfId="79"/>
    <tableColumn id="18" xr3:uid="{67E8779A-14AA-4EC8-892D-CC09FE0D8A89}" uniqueName="18" name="Premissa 7" queryTableFieldId="18" dataDxfId="78"/>
    <tableColumn id="19" xr3:uid="{1E2AE6CD-77BD-4037-A7CF-818AA404F62C}" uniqueName="19" name="Premissa 8" queryTableFieldId="19" dataDxfId="77"/>
    <tableColumn id="20" xr3:uid="{A8AD0B5E-0BD3-4D1E-8F4E-0AC87AEC1D85}" uniqueName="20" name="Priorização" queryTableFieldId="20" dataDxfId="76"/>
    <tableColumn id="21" xr3:uid="{DD1E2F8D-3D0C-454D-9191-3374C26AB92E}" uniqueName="21" name="Criticidade" queryTableFieldId="21" dataDxfId="75"/>
    <tableColumn id="22" xr3:uid="{39B2BDCF-7029-42BE-8B60-87DD2E621DDB}" uniqueName="22" name="Observação após análise" queryTableFieldId="22" dataDxfId="7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F00080-E5C1-41E0-9542-BD4DE7DE2AAD}" name="Premissas_por_Equipamento" displayName="Premissas_por_Equipamento" ref="A1:W117" tableType="queryTable" totalsRowShown="0">
  <autoFilter ref="A1:W117" xr:uid="{B5F00080-E5C1-41E0-9542-BD4DE7DE2AAD}"/>
  <tableColumns count="23">
    <tableColumn id="1" xr3:uid="{1EF87124-D127-44E9-9D0B-5F69B9AB30AF}" uniqueName="1" name="Ativo" queryTableFieldId="1"/>
    <tableColumn id="4" xr3:uid="{52B535D2-9921-4F36-BBDD-0B52F66B73FF}" uniqueName="4" name="Tipo" queryTableFieldId="4"/>
    <tableColumn id="5" xr3:uid="{EB5B47BE-FFE6-4A88-9E4F-4E0BE7C9A1FE}" uniqueName="5" name="Localidade" queryTableFieldId="5" dataDxfId="73"/>
    <tableColumn id="6" xr3:uid="{2C0DB2A4-8BC4-4656-A3DF-84C2FA780C04}" uniqueName="6" name="Polo" queryTableFieldId="6" dataDxfId="72"/>
    <tableColumn id="7" xr3:uid="{E800A53D-B9D0-46C2-8E9A-35506D919202}" uniqueName="7" name="Regional" queryTableFieldId="7" dataDxfId="71"/>
    <tableColumn id="8" xr3:uid="{A9B942B7-CCF7-486F-BA36-91E1CE439437}" uniqueName="8" name="SS aberta" queryTableFieldId="8"/>
    <tableColumn id="2" xr3:uid="{63254BE1-B5F3-4866-8249-A45802DF3996}" uniqueName="2" name="Parecer COEP" queryTableFieldId="32"/>
    <tableColumn id="3" xr3:uid="{E5BB3A28-F8AF-4AB2-BA3F-234AAC5679D0}" uniqueName="3" name="Observação" queryTableFieldId="28"/>
    <tableColumn id="22" xr3:uid="{66893F11-9746-4FCD-8609-FE1D6F0E37F5}" uniqueName="22" name="Check de concluídas" queryTableFieldId="23"/>
    <tableColumn id="9" xr3:uid="{C1D1C190-0237-4893-9B8A-D360B4AE6F03}" uniqueName="9" name="Defeito identificado" queryTableFieldId="9"/>
    <tableColumn id="23" xr3:uid="{72C0757E-3B2B-4465-99F5-C25423B2EA3E}" uniqueName="23" name="Quantidade" queryTableFieldId="35"/>
    <tableColumn id="21" xr3:uid="{E63D589B-61F7-43CA-91F9-4CA72432A4E2}" uniqueName="21" name="Descrição SS" queryTableFieldId="21"/>
    <tableColumn id="10" xr3:uid="{A31D04D4-26B5-4EEE-8E88-62F14CDDDB88}" uniqueName="10" name="Premissa 1" queryTableFieldId="10"/>
    <tableColumn id="11" xr3:uid="{762E79EA-3E5B-4A46-859E-21FC6B874569}" uniqueName="11" name="Premissa 2" queryTableFieldId="11"/>
    <tableColumn id="12" xr3:uid="{FD7B2E67-56DE-4F30-8C18-AED6F7909D4C}" uniqueName="12" name="Premissa 3" queryTableFieldId="12"/>
    <tableColumn id="13" xr3:uid="{D31D86ED-8820-43AA-8EF9-67E411B6C0AC}" uniqueName="13" name="Premissa 4" queryTableFieldId="13"/>
    <tableColumn id="14" xr3:uid="{60684C5A-2AF6-4916-9139-0334B2C1941E}" uniqueName="14" name="Premissa 5" queryTableFieldId="14"/>
    <tableColumn id="15" xr3:uid="{130939B2-A203-4373-8620-4C1B473EB512}" uniqueName="15" name="Premissa 6" queryTableFieldId="15"/>
    <tableColumn id="16" xr3:uid="{BEEC70DD-6F7A-43F4-B8DE-03018578CD71}" uniqueName="16" name="Premissa 7" queryTableFieldId="16"/>
    <tableColumn id="17" xr3:uid="{C239648D-A132-4397-B968-15086974B0CA}" uniqueName="17" name="Premissa 8" queryTableFieldId="17"/>
    <tableColumn id="18" xr3:uid="{981AF409-2462-4C7E-9870-03850D1D9D63}" uniqueName="18" name="Priorização" queryTableFieldId="18"/>
    <tableColumn id="19" xr3:uid="{E83441D9-3ABD-4274-B9E2-08F42BDD4CE9}" uniqueName="19" name="Criticidade" queryTableFieldId="19" dataDxfId="70"/>
    <tableColumn id="20" xr3:uid="{FB772826-0D39-4376-A013-D09E3918B09F}" uniqueName="20" name="Observação após análise" queryTableFieldId="20" dataDxfId="6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D200EBF-61C5-4C81-A6C1-9591098D8577}" name="Concluídas" displayName="Concluídas" ref="A1:L40" tableType="queryTable" totalsRowShown="0">
  <autoFilter ref="A1:L40" xr:uid="{4D200EBF-61C5-4C81-A6C1-9591098D8577}"/>
  <tableColumns count="12">
    <tableColumn id="1" xr3:uid="{EC58944D-1C71-4BBB-AAC5-60583AA3E13A}" uniqueName="1" name="ANO_SS" queryTableFieldId="1"/>
    <tableColumn id="2" xr3:uid="{4F3BD8B4-62CD-4703-9595-DDF744CAB999}" uniqueName="2" name="SS_ORIGINAL" queryTableFieldId="2" dataDxfId="68"/>
    <tableColumn id="3" xr3:uid="{73D9E47C-B3E5-45FF-A96D-476115762DA7}" uniqueName="3" name="DESTINO_SS" queryTableFieldId="3" dataDxfId="67"/>
    <tableColumn id="4" xr3:uid="{EA61F354-1B17-42E2-9300-9AA7B6268516}" uniqueName="4" name="COD_RELIGADOR" queryTableFieldId="4"/>
    <tableColumn id="5" xr3:uid="{256C9B12-5859-4DB9-B3C8-FB84E767FA36}" uniqueName="5" name="DTA_ABERTURA" queryTableFieldId="5" dataDxfId="66"/>
    <tableColumn id="6" xr3:uid="{76841132-A1FE-42A1-8DFF-A2C8D38F1AC2}" uniqueName="6" name="DTA_CONCLUSAO" queryTableFieldId="6" dataDxfId="65"/>
    <tableColumn id="7" xr3:uid="{68088FF6-8BD0-46D5-8ADD-46549AC53DEC}" uniqueName="7" name="COD_LOC" queryTableFieldId="7"/>
    <tableColumn id="8" xr3:uid="{3B7EF0B4-A965-41BC-AA7F-D5CD55939179}" uniqueName="8" name="LOCALIDADE" queryTableFieldId="8" dataDxfId="64"/>
    <tableColumn id="9" xr3:uid="{C841F033-098E-4BC5-A925-B0F082B05CC7}" uniqueName="9" name="POLO" queryTableFieldId="9" dataDxfId="63"/>
    <tableColumn id="10" xr3:uid="{F19CB83E-FAEB-4781-B5E0-DA2398F249B4}" uniqueName="10" name="REGIONAL" queryTableFieldId="10" dataDxfId="62"/>
    <tableColumn id="11" xr3:uid="{FDE60DF8-5B3A-4A8E-BB61-E49326129E7C}" uniqueName="11" name="ALIMENTADOR" queryTableFieldId="11" dataDxfId="61"/>
    <tableColumn id="12" xr3:uid="{11EE351C-EDC9-4DF1-8522-CAD0EC1C86CE}" uniqueName="12" name="DESCRICAO" queryTableFieldId="12" dataDxfId="6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255971-C30E-427C-A20F-6A2A910E19E8}" name="Table2" displayName="Table2" ref="A1:Y130">
  <autoFilter ref="A1:Y130" xr:uid="{80B6FB4C-6219-4940-9542-6F129007473F}"/>
  <sortState xmlns:xlrd2="http://schemas.microsoft.com/office/spreadsheetml/2017/richdata2" ref="A2:Y130">
    <sortCondition ref="A1:A130"/>
  </sortState>
  <tableColumns count="25">
    <tableColumn id="1" xr3:uid="{41281F92-479C-408C-A88A-FC739D4F093E}" name="Ativo" dataDxfId="56"/>
    <tableColumn id="24" xr3:uid="{ABD92491-1697-4554-A544-7CD0BD883E70}" name="Coluna1" dataDxfId="55">
      <calculatedColumnFormula>_xlfn.XLOOKUP(Table2[[#This Row],[Ativo]],Joao!B:B,Joao!Z:Z)</calculatedColumnFormula>
    </tableColumn>
    <tableColumn id="6" xr3:uid="{99BCFC89-B69E-4DAB-829D-A1A638FE7E6B}" name="Tipo" dataDxfId="54">
      <calculatedColumnFormula>MID(Table2[[#This Row],[Ativo]],1,2)</calculatedColumnFormula>
    </tableColumn>
    <tableColumn id="12" xr3:uid="{D5F1349F-118C-4717-986E-6F7722263E79}" name="Localidade" dataDxfId="53"/>
    <tableColumn id="13" xr3:uid="{6BEDAF84-64A4-4C5E-A01E-6A454D955B63}" name="Polo" dataDxfId="52"/>
    <tableColumn id="14" xr3:uid="{49201567-5003-4959-B1DE-69F58BB94EE3}" name="Regional" dataDxfId="51"/>
    <tableColumn id="4" xr3:uid="{666DBB56-1C52-4D53-AB66-0B01F8638141}" name="SS aberta" dataDxfId="50">
      <calculatedColumnFormula>IFERROR(_xlfn.XLOOKUP(Table2[[#This Row],[Ativo]],Pendentes[COD_RELIGADOR],Pendentes[SS_ORIGINAL]),"CONCLUÍDA")</calculatedColumnFormula>
    </tableColumn>
    <tableColumn id="10" xr3:uid="{B8B07055-3AB5-4990-BD9A-F9B25DAB562F}" name="Parecer COEP" dataDxfId="49"/>
    <tableColumn id="8" xr3:uid="{C54BA805-36B5-40AA-A919-D69AB07D8D12}" name="Observação" dataDxfId="48"/>
    <tableColumn id="25" xr3:uid="{940A89AA-758A-41D4-BB3D-06DD61CA86A3}" name="Coluna2" dataDxfId="47"/>
    <tableColumn id="22" xr3:uid="{0ACC8731-FD25-4711-943D-B97EB2200663}" name="Check de concluídas" dataDxfId="46"/>
    <tableColumn id="3" xr3:uid="{0F33F7BF-AB65-4957-82D4-2C07667F0D1A}" name="Defeito identificado" dataDxfId="45"/>
    <tableColumn id="21" xr3:uid="{C8B3B76A-6261-4599-BB9B-5DA421AE265D}" name="Quantidade" dataDxfId="44"/>
    <tableColumn id="11" xr3:uid="{76C212D9-9811-46B5-8A31-AA608F8FF162}" name="Descrição SS" dataDxfId="43">
      <calculatedColumnFormula>IFERROR(_xlfn.XLOOKUP(Table2[[#This Row],[Ativo]],Pendentes[COD_RELIGADOR],Pendentes[DESCRICAO]),"")</calculatedColumnFormula>
    </tableColumn>
    <tableColumn id="5" xr3:uid="{34A57F05-BFBE-43F0-B610-405DA456D94F}" name="Premissa 1" dataDxfId="42"/>
    <tableColumn id="7" xr3:uid="{539BEA4D-FF07-4699-846D-27D0A2D0AEE0}" name="Premissa 2" dataDxfId="41"/>
    <tableColumn id="9" xr3:uid="{59B1AD89-5EB1-4EE2-BE95-47DCFCE8C956}" name="Premissa 3" dataDxfId="40"/>
    <tableColumn id="15" xr3:uid="{A1F2D3AA-DB13-47CC-8897-03766E39C03E}" name="Premissa 4" dataDxfId="39"/>
    <tableColumn id="16" xr3:uid="{F2276FE9-9C37-4DDD-844C-1DBCF3768D2B}" name="Premissa 5" dataDxfId="38"/>
    <tableColumn id="17" xr3:uid="{BE16451E-F964-428E-B416-FF42248F1E92}" name="Premissa 6" dataDxfId="37"/>
    <tableColumn id="18" xr3:uid="{CBA11534-4A10-46D4-AB3B-87FADBB04776}" name="Premissa 7" dataDxfId="36"/>
    <tableColumn id="23" xr3:uid="{3DCD93A7-EB07-4A1E-B773-D8EBB0C89106}" name="Premissa 8" dataDxfId="35"/>
    <tableColumn id="19" xr3:uid="{62D81D25-4342-4E66-B772-C85CC6749E7D}" name="Priorização" dataDxfId="34">
      <calculatedColumnFormula>SUM(Table2[[#This Row],[Premissa 1]:[Premissa 8]])</calculatedColumnFormula>
    </tableColumn>
    <tableColumn id="2" xr3:uid="{CD7FE349-74D5-496A-926C-D4FA1C9AC10B}" name="Criticidade" dataDxfId="33"/>
    <tableColumn id="20" xr3:uid="{57F338D8-D83B-429A-9C8B-3ED99A5512FF}" name="Observação após análise" dataDxfId="3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B6FB4C-6219-4940-9542-6F129007473F}" name="Table" displayName="Table" ref="A1:W131">
  <autoFilter ref="A1:W131" xr:uid="{80B6FB4C-6219-4940-9542-6F129007473F}"/>
  <sortState xmlns:xlrd2="http://schemas.microsoft.com/office/spreadsheetml/2017/richdata2" ref="A2:W130">
    <sortCondition descending="1" ref="U1:U130"/>
  </sortState>
  <tableColumns count="23">
    <tableColumn id="1" xr3:uid="{D25F50E7-6BC0-4A3F-B6AE-42D706B1FE12}" name="Ativo" dataDxfId="28"/>
    <tableColumn id="6" xr3:uid="{F553B815-B9DE-460F-9151-2068646301E7}" name="Tipo" dataDxfId="27">
      <calculatedColumnFormula>MID(Table[[#This Row],[Ativo]],1,2)</calculatedColumnFormula>
    </tableColumn>
    <tableColumn id="12" xr3:uid="{8BC516DA-7737-49CE-9657-D1A8A54F9C85}" name="Localidade" dataDxfId="26"/>
    <tableColumn id="13" xr3:uid="{C8727B0E-0753-4097-B14E-EF211D9E25F1}" name="Polo" dataDxfId="25"/>
    <tableColumn id="14" xr3:uid="{191B0FB2-F81C-4A9F-ADA3-00F044CFF4DD}" name="Regional" dataDxfId="24"/>
    <tableColumn id="4" xr3:uid="{0C0E295E-0BE4-4EC8-8DD1-E8393A84DB05}" name="SS aberta" dataDxfId="23">
      <calculatedColumnFormula>IFERROR(_xlfn.XLOOKUP(Table[[#This Row],[Ativo]],Pendentes[COD_RELIGADOR],Pendentes[SS_ORIGINAL]),"CONCLUÍDA")</calculatedColumnFormula>
    </tableColumn>
    <tableColumn id="10" xr3:uid="{E71B99D2-5D7D-407C-9C3D-1B0781A5967C}" name="Parecer COEP" dataDxfId="22"/>
    <tableColumn id="8" xr3:uid="{F9263CEE-C68F-4C6A-AD07-A768B37D8819}" name="Observação" dataDxfId="21"/>
    <tableColumn id="22" xr3:uid="{BC78A7D3-3FD6-4EF0-B261-4AE2AF3CD9B4}" name="Check de concluídas" dataDxfId="20"/>
    <tableColumn id="3" xr3:uid="{B30A1D85-31D5-4CD6-BF05-F6857C42F529}" name="Defeito identificado" dataDxfId="19"/>
    <tableColumn id="21" xr3:uid="{8EBA67A3-E1DE-479E-B7C4-110F2A193E06}" name="Quantidade" dataDxfId="18"/>
    <tableColumn id="11" xr3:uid="{C8D6C4AB-B6B8-4E8C-8993-53FF4E01E9ED}" name="Descrição SS" dataDxfId="17">
      <calculatedColumnFormula>IFERROR(_xlfn.XLOOKUP(Table[[#This Row],[Ativo]],Pendentes[COD_RELIGADOR],Pendentes[DESCRICAO]),"")</calculatedColumnFormula>
    </tableColumn>
    <tableColumn id="5" xr3:uid="{004E5D25-E2A6-4BA0-A9F3-21FF7D03C4A5}" name="Premissa 1" dataDxfId="16"/>
    <tableColumn id="7" xr3:uid="{6FB7DB52-DD97-4793-82E3-C7F07FD78EBB}" name="Premissa 2" dataDxfId="15"/>
    <tableColumn id="9" xr3:uid="{67B7578D-5D5D-472F-87AB-DF7F52028E4A}" name="Premissa 3" dataDxfId="14"/>
    <tableColumn id="15" xr3:uid="{D02FD7C9-1F52-4B9C-99AC-780B84E93946}" name="Premissa 4" dataDxfId="13"/>
    <tableColumn id="16" xr3:uid="{6FB3C19E-7C69-40CD-84DA-1C591E2DFD3F}" name="Premissa 5" dataDxfId="12"/>
    <tableColumn id="17" xr3:uid="{C838B824-B0ED-4C18-9269-186D01EA5058}" name="Premissa 6" dataDxfId="11"/>
    <tableColumn id="18" xr3:uid="{3A9DA255-4F54-4C13-BE37-B46992895559}" name="Premissa 7" dataDxfId="10"/>
    <tableColumn id="23" xr3:uid="{B98C81D7-ED38-4E64-95ED-2F3CF7A83BDD}" name="Premissa 8" dataDxfId="9"/>
    <tableColumn id="19" xr3:uid="{305A0E1A-4554-4E34-ADAF-0F467F9AA60B}" name="Priorização" dataDxfId="8">
      <calculatedColumnFormula>SUM(Table[[#This Row],[Premissa 1]:[Premissa 8]])</calculatedColumnFormula>
    </tableColumn>
    <tableColumn id="2" xr3:uid="{334E5566-6E77-4FE9-9606-A6EF0E33A6C7}" name="Criticidade" dataDxfId="7"/>
    <tableColumn id="20" xr3:uid="{02FADC95-AC05-4876-9E9C-086DDBB73DC4}" name="Observação após análise"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9829F4-2724-4032-9878-8C66D28E5F4E}" name="Localidades" displayName="Localidades" ref="A1:G276" tableType="queryTable" totalsRowShown="0">
  <autoFilter ref="A1:G276" xr:uid="{CC9829F4-2724-4032-9878-8C66D28E5F4E}"/>
  <tableColumns count="7">
    <tableColumn id="1" xr3:uid="{6E474941-C2B8-424D-B7A6-7ECEB050B936}" uniqueName="1" name="NumLocal" queryTableFieldId="1"/>
    <tableColumn id="2" xr3:uid="{1AEAD494-240F-46F7-BAE1-BAC2DE611B21}" uniqueName="2" name="SiglaLocal" queryTableFieldId="2" dataDxfId="5"/>
    <tableColumn id="3" xr3:uid="{B64188E1-B0BD-47A2-955A-4530562775F9}" uniqueName="3" name="NomeLocal" queryTableFieldId="3" dataDxfId="4"/>
    <tableColumn id="4" xr3:uid="{A6EE629C-314B-42DD-8E9A-130C1D9C3520}" uniqueName="4" name="SiglaPolo" queryTableFieldId="4" dataDxfId="3"/>
    <tableColumn id="5" xr3:uid="{491711E0-CDB2-4E74-BA72-FC4701C31809}" uniqueName="5" name="NomePoloDEOP" queryTableFieldId="5" dataDxfId="2"/>
    <tableColumn id="6" xr3:uid="{3A70E64F-F4EA-4FEC-AF9D-F6AD71D8AC17}" uniqueName="6" name="NomePoloDESC" queryTableFieldId="6" dataDxfId="1"/>
    <tableColumn id="7" xr3:uid="{D6C12579-1941-4E39-AD40-184B24D6171D}" uniqueName="7" name="SiglaRegional"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6" dT="2026-07-27T21:55:01.48" personId="{2CA1750F-6264-42FE-A0B9-B3DEE7C271DA}" id="{6E139C2E-CDD2-4D41-B3DB-7E6D67770E02}">
    <text>Equipamento alinhado com o Jean para colocar os cabos compatibilizadores</text>
  </threadedComment>
  <threadedComment ref="H7" dT="2026-08-12T18:13:28.63" personId="{6564218A-E088-4662-9D46-DA31EA88AA31}" id="{B9554FAB-B93A-4A33-A94A-18003134722F}">
    <text>Ocorreu simultaneo era caso de furto</text>
  </threadedComment>
  <threadedComment ref="A9" dT="2026-07-22T13:16:07.28" personId="{6564218A-E088-4662-9D46-DA31EA88AA31}" id="{D708458E-3082-42BE-BA9C-FB76140F8A89}">
    <text>Equipamento alinhado com o Jean para colocar os cabos compatibilizadores , vamos só instalar o controle e o suporte</text>
  </threadedComment>
  <threadedComment ref="A16" dT="2026-07-27T23:36:35.50" personId="{2CA1750F-6264-42FE-A0B9-B3DEE7C271DA}" id="{5E0A5B36-30BA-4785-9EC7-D9E59F1B16CE}">
    <text>Equipamento não abre a tela de controle de sinais, Zenilson verificar.</text>
  </threadedComment>
  <threadedComment ref="A20" dT="2026-07-27T23:03:21.41" personId="{2CA1750F-6264-42FE-A0B9-B3DEE7C271DA}" id="{2832532F-3601-467A-AD62-C3A497EF3F2F}">
    <text>Equipamento fora de operação, baixada erroneamente pelo COCM.</text>
  </threadedComment>
  <threadedComment ref="A25" dT="2026-07-22T14:01:27.87" personId="{6564218A-E088-4662-9D46-DA31EA88AA31}" id="{59C5E8B4-950F-4728-A552-4F68E2A85566}">
    <text>Joelson vai mandar uma equipe de campo ver</text>
  </threadedComment>
  <threadedComment ref="H25" dT="2026-07-28T14:42:16.96" personId="{6564218A-E088-4662-9D46-DA31EA88AA31}" id="{C67DE103-245C-480C-AFF1-8C8083938B75}">
    <text>Conversar Com o Sandro Para Podermos mandar o e-mail para o Juridico</text>
  </threadedComment>
  <threadedComment ref="I28" dT="2026-08-12T18:25:28.95" personId="{6564218A-E088-4662-9D46-DA31EA88AA31}" id="{2058EF75-2506-49C6-943C-0BAF81E854D5}">
    <text>21/08 Se a DB Machado for pro Sul</text>
  </threadedComment>
  <threadedComment ref="A29" dT="2026-07-27T23:50:33.68" personId="{2CA1750F-6264-42FE-A0B9-B3DEE7C271DA}" id="{2A646E23-7359-4DAA-8D67-66CEB4A83557}">
    <text>Equipamento não abre a tela de controle de sinais, Zenilson verificar.</text>
  </threadedComment>
  <threadedComment ref="A39" dT="2026-07-22T13:30:56.19" personId="{6564218A-E088-4662-9D46-DA31EA88AA31}" id="{B310DD81-FDB4-4F35-8D41-78710C9E81A3}">
    <text xml:space="preserve">Foi redirecionado para priorizar o RL 7933726256 </text>
  </threadedComment>
  <threadedComment ref="A42" dT="2026-07-27T23:56:43.83" personId="{2CA1750F-6264-42FE-A0B9-B3DEE7C271DA}" id="{4B850DF9-9D81-4FD5-8455-43E1F38C3E1F}">
    <text>Paramos aqui</text>
  </threadedComment>
  <threadedComment ref="A54" dT="2026-07-27T23:09:12.51" personId="{2CA1750F-6264-42FE-A0B9-B3DEE7C271DA}" id="{9AD85768-E606-4DBC-95DD-02B1E72530BC}">
    <text>Confirmar informação de remanejamento inserida na SS.</text>
  </threadedComment>
  <threadedComment ref="I61" dT="2026-08-12T18:24:52.75" personId="{6564218A-E088-4662-9D46-DA31EA88AA31}" id="{F375E268-C2EA-4FF1-BEB3-31A2F451652F}">
    <text>22/08 Se a DB Machado for pro Sul</text>
  </threadedComment>
  <threadedComment ref="A62" dT="2026-07-27T23:15:55.74" personId="{2CA1750F-6264-42FE-A0B9-B3DEE7C271DA}" id="{CD0B1590-A453-4743-B7D1-8AF3FB367521}">
    <text>Nota baixada erroneamente pelo DMSL, aguardando retorno da Lorrane.</text>
  </threadedComment>
  <threadedComment ref="A71" dT="2026-07-14T21:25:38.69" personId="{2CA1750F-6264-42FE-A0B9-B3DEE7C271DA}" id="{535E2C4F-7CF7-4D1A-BED5-6155ADC108E2}">
    <text>Verificar com a PROT sobre os ajustes, equipamento já em operação.</text>
  </threadedComment>
  <threadedComment ref="L73" dT="2026-07-27T21:38:28.05" personId="{2CA1750F-6264-42FE-A0B9-B3DEE7C271DA}" id="{DC2E55DF-8169-487D-A11A-15E83A494C0F}">
    <text>Artech</text>
  </threadedComment>
  <threadedComment ref="L95" dT="2026-07-27T22:02:22.93" personId="{6564218A-E088-4662-9D46-DA31EA88AA31}" id="{0325A06D-7BE0-4393-AAAC-8D5E8037A023}">
    <text xml:space="preserve">Redirecionar tanque do 7955946007 </text>
  </threadedComment>
  <threadedComment ref="L95" dT="2026-08-06T12:00:31.31" personId="{6564218A-E088-4662-9D46-DA31EA88AA31}" id="{F23B7824-F26F-4FBA-81AB-708FED20DA56}" parentId="{0325A06D-7BE0-4393-AAAC-8D5E8037A023}">
    <text>7955520116 - Redirecionar para esse</text>
  </threadedComment>
  <threadedComment ref="A102" dT="2026-07-27T22:28:43.17" personId="{2CA1750F-6264-42FE-A0B9-B3DEE7C271DA}" id="{1E8F91FD-46BF-4C84-BBB2-1D5735B92A8E}">
    <text>Nota baixada erroneamente pelo DMSL, aguardando retorno da Lorrane.</text>
  </threadedComment>
  <threadedComment ref="A106" dT="2026-07-14T21:28:50.48" personId="{2CA1750F-6264-42FE-A0B9-B3DEE7C271DA}" id="{15EA5A79-A9E3-4B39-958F-C93A8E6CC1DA}">
    <text>Equipamento em operação, necessário confirmar com o COCM Palmas</text>
  </threadedComment>
  <threadedComment ref="L110" dT="2026-07-27T22:44:52.90" personId="{6564218A-E088-4662-9D46-DA31EA88AA31}" id="{2AF65545-6B4E-4DD7-9198-31E0C1B096EA}">
    <text>Tanque de Caseara e o Controle do Estoque Sono</text>
  </threadedComment>
  <threadedComment ref="H113" dT="2026-07-27T22:56:48.83" personId="{6564218A-E088-4662-9D46-DA31EA88AA31}" id="{255CB460-5F6C-4BF8-8027-E4F6AD6F6B58}">
    <text>Tenho um Controle ou consigo reaproveitar o tanque em outro, dependendo da criticidade</text>
  </threadedComment>
  <threadedComment ref="A130" dT="2026-07-14T21:45:49.00" personId="{2CA1750F-6264-42FE-A0B9-B3DEE7C271DA}" id="{D704E761-0AD8-4A99-B919-33F6BAC9A363}">
    <text>Linha viva substituiu a CH danificada, confirmar com o Zenilson se esta em operação.</text>
  </threadedComment>
</ThreadedComments>
</file>

<file path=xl/threadedComments/threadedComment2.xml><?xml version="1.0" encoding="utf-8"?>
<ThreadedComments xmlns="http://schemas.microsoft.com/office/spreadsheetml/2018/threadedcomments" xmlns:x="http://schemas.openxmlformats.org/spreadsheetml/2006/main">
  <threadedComment ref="A4" dT="2026-07-22T13:16:07.28" personId="{6564218A-E088-4662-9D46-DA31EA88AA31}" id="{FA3BD34B-2A07-467F-8B11-22E1D1AB5C33}">
    <text>Equipamento alinhado com o Jean para colocar os cabos compatibilizadores , vamos só instalar o controle e o suporte</text>
  </threadedComment>
  <threadedComment ref="J6" dT="2026-07-27T21:38:28.05" personId="{2CA1750F-6264-42FE-A0B9-B3DEE7C271DA}" id="{15DCDDF5-AEE2-4B96-AD0E-11D15B25A282}">
    <text>Artech</text>
  </threadedComment>
  <threadedComment ref="J7" dT="2026-07-27T22:02:22.93" personId="{6564218A-E088-4662-9D46-DA31EA88AA31}" id="{6D07E0F6-4DF0-4ADE-9949-3A718B5AFBAE}">
    <text xml:space="preserve">Redirecionar tanque do 7955946007 </text>
  </threadedComment>
  <threadedComment ref="J7" dT="2026-08-06T12:00:31.31" personId="{6564218A-E088-4662-9D46-DA31EA88AA31}" id="{CE76CAA6-9D87-4EE9-8EE0-32F6BD44FD99}" parentId="{6D07E0F6-4DF0-4ADE-9949-3A718B5AFBAE}">
    <text>7955520116 - Redirecionar para esse</text>
  </threadedComment>
  <threadedComment ref="J10" dT="2026-07-27T22:44:52.90" personId="{6564218A-E088-4662-9D46-DA31EA88AA31}" id="{D5B2FBD9-7E55-4394-8714-701EBCC35144}">
    <text>Tanque de Caseara e o Controle do Estoque Sono</text>
  </threadedComment>
  <threadedComment ref="H11" dT="2026-08-12T18:25:28.95" personId="{6564218A-E088-4662-9D46-DA31EA88AA31}" id="{B1C788A8-7A79-44EE-A54B-CBC5AFDBD9F4}">
    <text>21/08 Se a DB Machado for pro Sul</text>
  </threadedComment>
  <threadedComment ref="H16" dT="2026-08-12T18:24:52.75" personId="{6564218A-E088-4662-9D46-DA31EA88AA31}" id="{92D052E1-98AB-486D-9A79-11DA2A2DACF3}">
    <text>22/08 Se a DB Machado for pro Sul</text>
  </threadedComment>
  <threadedComment ref="A26" dT="2026-07-22T13:30:56.19" personId="{6564218A-E088-4662-9D46-DA31EA88AA31}" id="{E8206474-6697-48E9-A31E-69138945C5CA}">
    <text xml:space="preserve">Foi redirecionado para priorizar o RL 7933726256 </text>
  </threadedComment>
  <threadedComment ref="A34" dT="2026-07-27T21:55:01.48" personId="{2CA1750F-6264-42FE-A0B9-B3DEE7C271DA}" id="{0041C59C-F9F9-4C83-993D-D122C9399368}">
    <text>Equipamento alinhado com o Jean para colocar os cabos compatibilizadores</text>
  </threadedComment>
  <threadedComment ref="A39" dT="2026-07-22T14:01:27.87" personId="{6564218A-E088-4662-9D46-DA31EA88AA31}" id="{72850F46-6F99-4AE9-AA9C-0D35C56ACC60}">
    <text>Joelson vai mandar uma equipe de campo ver</text>
  </threadedComment>
  <threadedComment ref="G39" dT="2026-07-28T14:42:16.96" personId="{6564218A-E088-4662-9D46-DA31EA88AA31}" id="{390B3EE9-C964-4BBF-8A8C-EF83FE61AE2A}">
    <text>Conversar Com o Sandro Para Podermos mandar o e-mail para o Juridico</text>
  </threadedComment>
  <threadedComment ref="G44" dT="2026-08-12T18:13:28.63" personId="{6564218A-E088-4662-9D46-DA31EA88AA31}" id="{824C3832-6F9A-4886-A556-58C556E545B8}">
    <text>Ocorreu simultaneo era caso de furto</text>
  </threadedComment>
  <threadedComment ref="A56" dT="2026-07-27T22:28:43.17" personId="{2CA1750F-6264-42FE-A0B9-B3DEE7C271DA}" id="{9EFFF02E-E71A-4EAA-B7B0-BDEC52ED4DEF}">
    <text>Nota baixada erroneamente pelo DMSL, aguardando retorno da Lorrane.</text>
  </threadedComment>
  <threadedComment ref="A67" dT="2026-07-14T21:25:38.69" personId="{2CA1750F-6264-42FE-A0B9-B3DEE7C271DA}" id="{08741313-3F60-4F2B-856E-7E8FFB04A879}">
    <text>Verificar com a PROT sobre os ajustes, equipamento já em operação.</text>
  </threadedComment>
  <threadedComment ref="A71" dT="2026-07-14T21:28:50.48" personId="{2CA1750F-6264-42FE-A0B9-B3DEE7C271DA}" id="{A5CAD942-B372-4B9A-8A2D-F37251F74BF3}">
    <text>Equipamento em operação, necessário confirmar com o COCM Palmas</text>
  </threadedComment>
  <threadedComment ref="A74" dT="2026-07-14T21:45:49.00" personId="{2CA1750F-6264-42FE-A0B9-B3DEE7C271DA}" id="{272641DD-DFB7-4672-8214-D86F06479939}">
    <text>Linha viva substituiu a CH danificada, confirmar com o Zenilson se esta em operação.</text>
  </threadedComment>
  <threadedComment ref="A79" dT="2026-07-27T23:03:21.41" personId="{2CA1750F-6264-42FE-A0B9-B3DEE7C271DA}" id="{6F55BA77-480E-40E4-B08D-D74D81B7284E}">
    <text>Equipamento fora de operação, baixada erroneamente pelo COCM.</text>
  </threadedComment>
  <threadedComment ref="A82" dT="2026-07-27T23:09:12.51" personId="{2CA1750F-6264-42FE-A0B9-B3DEE7C271DA}" id="{D0D64B82-4998-4C28-9AD4-CD7B13F39588}">
    <text>Confirmar informação de remanejamento inserida na SS.</text>
  </threadedComment>
  <threadedComment ref="A93" dT="2026-07-27T23:15:55.74" personId="{2CA1750F-6264-42FE-A0B9-B3DEE7C271DA}" id="{60FB343E-7068-4516-969E-F4791E8E04F1}">
    <text>Nota baixada erroneamente pelo DMSL, aguardando retorno da Lorrane.</text>
  </threadedComment>
  <threadedComment ref="A97" dT="2026-07-27T23:36:35.50" personId="{2CA1750F-6264-42FE-A0B9-B3DEE7C271DA}" id="{715334F1-1F6D-435D-BF76-109CE1206DB1}">
    <text>Equipamento não abre a tela de controle de sinais, Zenilson verificar.</text>
  </threadedComment>
  <threadedComment ref="A102" dT="2026-07-27T23:50:33.68" personId="{2CA1750F-6264-42FE-A0B9-B3DEE7C271DA}" id="{C907F8D6-B9B1-4147-8FED-064820BD0B3A}">
    <text>Equipamento não abre a tela de controle de sinais, Zenilson verificar.</text>
  </threadedComment>
  <threadedComment ref="A104" dT="2026-07-27T23:56:43.83" personId="{2CA1750F-6264-42FE-A0B9-B3DEE7C271DA}" id="{E94CBFE0-6B9E-4BC2-A75F-87CF5CC98DEC}">
    <text>Paramos aqui</text>
  </threadedComment>
  <threadedComment ref="G110" dT="2026-07-27T22:56:48.83" personId="{6564218A-E088-4662-9D46-DA31EA88AA31}" id="{87BE34AA-9A33-499D-A2AA-B55D8E797EF8}">
    <text>Tenho um Controle ou consigo reaproveitar o tanque em outro, dependendo da criticidade</text>
  </threadedComment>
</ThreadedComments>
</file>

<file path=xl/threadedComments/threadedComment3.xml><?xml version="1.0" encoding="utf-8"?>
<ThreadedComments xmlns="http://schemas.microsoft.com/office/spreadsheetml/2018/threadedcomments" xmlns:x="http://schemas.openxmlformats.org/spreadsheetml/2006/main">
  <threadedComment ref="B14" dT="2026-07-14T12:38:16.26" personId="{6564218A-E088-4662-9D46-DA31EA88AA31}" id="{DF772875-8A42-4BAA-AFB3-6FFE8C3AB7EB}">
    <text>02125725</text>
  </threadedComment>
  <threadedComment ref="B14" dT="2026-07-14T12:39:20.52" personId="{6564218A-E088-4662-9D46-DA31EA88AA31}" id="{CD896CBC-1525-436C-8026-C062672FC966}" parentId="{DF772875-8A42-4BAA-AFB3-6FFE8C3AB7EB}">
    <text>17/07/2026</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A2749-7BE0-4C81-B8F8-EE7E6B411119}">
  <dimension ref="A1:J10"/>
  <sheetViews>
    <sheetView workbookViewId="0">
      <selection activeCell="F13" sqref="F13"/>
    </sheetView>
  </sheetViews>
  <sheetFormatPr defaultRowHeight="15"/>
  <cols>
    <col min="1" max="1" width="12.85546875" bestFit="1" customWidth="1"/>
    <col min="2" max="2" width="15.140625" bestFit="1" customWidth="1"/>
    <col min="3" max="3" width="3" bestFit="1" customWidth="1"/>
    <col min="4" max="4" width="10.7109375" bestFit="1" customWidth="1"/>
    <col min="5" max="5" width="10.7109375" customWidth="1"/>
    <col min="6" max="6" width="25.7109375" customWidth="1"/>
    <col min="7" max="9" width="10.7109375" customWidth="1"/>
  </cols>
  <sheetData>
    <row r="1" spans="1:10">
      <c r="A1" s="13" t="s">
        <v>0</v>
      </c>
      <c r="B1" t="s">
        <v>1</v>
      </c>
      <c r="F1" s="114" t="s">
        <v>2</v>
      </c>
      <c r="G1" s="111" t="s">
        <v>3</v>
      </c>
      <c r="H1" s="111"/>
      <c r="I1" s="112" t="s">
        <v>4</v>
      </c>
    </row>
    <row r="2" spans="1:10">
      <c r="F2" s="115"/>
      <c r="G2" s="14" t="s">
        <v>5</v>
      </c>
      <c r="H2" s="19" t="s">
        <v>6</v>
      </c>
      <c r="I2" s="113"/>
      <c r="J2" s="20"/>
    </row>
    <row r="3" spans="1:10">
      <c r="A3" s="13" t="s">
        <v>7</v>
      </c>
      <c r="B3" s="13" t="s">
        <v>8</v>
      </c>
      <c r="F3" s="15" t="s">
        <v>9</v>
      </c>
      <c r="G3" s="23">
        <v>9</v>
      </c>
      <c r="H3" s="23">
        <v>2</v>
      </c>
      <c r="I3" s="23">
        <f>SUM(G3:H3)</f>
        <v>11</v>
      </c>
      <c r="J3" s="20"/>
    </row>
    <row r="4" spans="1:10">
      <c r="A4" s="13" t="s">
        <v>2</v>
      </c>
      <c r="B4" t="s">
        <v>10</v>
      </c>
      <c r="C4" t="s">
        <v>11</v>
      </c>
      <c r="D4" t="s">
        <v>12</v>
      </c>
      <c r="F4" s="16" t="s">
        <v>13</v>
      </c>
      <c r="G4" s="24">
        <v>9</v>
      </c>
      <c r="H4" s="24">
        <v>3</v>
      </c>
      <c r="I4" s="24">
        <f t="shared" ref="I4:I7" si="0">SUM(G4:H4)</f>
        <v>12</v>
      </c>
    </row>
    <row r="5" spans="1:10">
      <c r="A5" s="10" t="s">
        <v>9</v>
      </c>
      <c r="B5">
        <v>3</v>
      </c>
      <c r="C5">
        <v>11</v>
      </c>
      <c r="D5">
        <v>14</v>
      </c>
      <c r="F5" s="16" t="s">
        <v>14</v>
      </c>
      <c r="G5" s="25">
        <v>9</v>
      </c>
      <c r="H5" s="25">
        <v>4</v>
      </c>
      <c r="I5" s="25">
        <f t="shared" si="0"/>
        <v>13</v>
      </c>
    </row>
    <row r="6" spans="1:10">
      <c r="A6" s="10" t="s">
        <v>13</v>
      </c>
      <c r="B6">
        <v>3</v>
      </c>
      <c r="C6">
        <v>6</v>
      </c>
      <c r="D6">
        <v>9</v>
      </c>
      <c r="F6" s="16" t="s">
        <v>15</v>
      </c>
      <c r="G6" s="25">
        <v>9</v>
      </c>
      <c r="H6" s="25">
        <v>5</v>
      </c>
      <c r="I6" s="25">
        <f t="shared" si="0"/>
        <v>14</v>
      </c>
    </row>
    <row r="7" spans="1:10">
      <c r="A7" s="10" t="s">
        <v>14</v>
      </c>
      <c r="B7">
        <v>5</v>
      </c>
      <c r="C7">
        <v>9</v>
      </c>
      <c r="D7">
        <v>14</v>
      </c>
      <c r="F7" s="16" t="s">
        <v>16</v>
      </c>
      <c r="G7" s="26">
        <v>28</v>
      </c>
      <c r="H7" s="26">
        <v>9</v>
      </c>
      <c r="I7" s="26">
        <f t="shared" si="0"/>
        <v>37</v>
      </c>
    </row>
    <row r="8" spans="1:10">
      <c r="A8" s="10" t="s">
        <v>15</v>
      </c>
      <c r="B8">
        <v>4</v>
      </c>
      <c r="C8">
        <v>11</v>
      </c>
      <c r="D8">
        <v>15</v>
      </c>
      <c r="F8" s="18" t="s">
        <v>12</v>
      </c>
      <c r="G8" s="17">
        <v>64</v>
      </c>
      <c r="H8" s="21">
        <v>23</v>
      </c>
      <c r="I8" s="22">
        <f>SUM(I3:I7)</f>
        <v>87</v>
      </c>
    </row>
    <row r="9" spans="1:10">
      <c r="A9" s="10" t="s">
        <v>16</v>
      </c>
      <c r="C9">
        <v>3</v>
      </c>
      <c r="D9">
        <v>3</v>
      </c>
      <c r="J9" s="20"/>
    </row>
    <row r="10" spans="1:10">
      <c r="A10" s="10" t="s">
        <v>12</v>
      </c>
      <c r="B10">
        <v>15</v>
      </c>
      <c r="C10">
        <v>40</v>
      </c>
      <c r="D10">
        <v>55</v>
      </c>
    </row>
  </sheetData>
  <mergeCells count="3">
    <mergeCell ref="G1:H1"/>
    <mergeCell ref="I1:I2"/>
    <mergeCell ref="F1:F2"/>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B1DD6-9784-4ED5-893C-BEFA26B59293}">
  <dimension ref="A1:W94"/>
  <sheetViews>
    <sheetView topLeftCell="A94" workbookViewId="0">
      <selection activeCell="D2" sqref="D2"/>
    </sheetView>
  </sheetViews>
  <sheetFormatPr defaultRowHeight="15"/>
  <cols>
    <col min="1" max="1" width="12.7109375" style="4" bestFit="1" customWidth="1"/>
    <col min="2" max="2" width="21.5703125" style="4" bestFit="1" customWidth="1"/>
    <col min="3" max="3" width="16.28515625" style="4" bestFit="1" customWidth="1"/>
    <col min="4" max="4" width="20.7109375" style="4" bestFit="1" customWidth="1"/>
    <col min="5" max="5" width="7.42578125" style="4" bestFit="1" customWidth="1"/>
    <col min="6" max="6" width="19.7109375" style="4" bestFit="1" customWidth="1"/>
    <col min="7" max="7" width="13.85546875" style="4" bestFit="1" customWidth="1"/>
    <col min="8" max="8" width="29.140625" style="4" bestFit="1" customWidth="1"/>
    <col min="9" max="9" width="25.140625" style="4" bestFit="1" customWidth="1"/>
    <col min="10" max="10" width="14.7109375" style="4" bestFit="1" customWidth="1"/>
    <col min="11" max="11" width="18.85546875" style="10" bestFit="1" customWidth="1"/>
    <col min="12" max="12" width="81.140625" style="4" bestFit="1" customWidth="1"/>
    <col min="13" max="20" width="15" style="4" bestFit="1" customWidth="1"/>
    <col min="21" max="21" width="15.28515625" style="4" bestFit="1" customWidth="1"/>
    <col min="22" max="22" width="15.140625" style="4" bestFit="1" customWidth="1"/>
    <col min="23" max="23" width="81.140625" style="4" customWidth="1"/>
    <col min="24" max="16384" width="9.140625" style="4"/>
  </cols>
  <sheetData>
    <row r="1" spans="1:23" s="5" customFormat="1">
      <c r="A1" s="5" t="s">
        <v>17</v>
      </c>
      <c r="B1" s="5" t="s">
        <v>18</v>
      </c>
      <c r="C1" s="5" t="s">
        <v>0</v>
      </c>
      <c r="D1" s="5" t="s">
        <v>19</v>
      </c>
      <c r="E1" t="s">
        <v>20</v>
      </c>
      <c r="F1" s="5" t="s">
        <v>21</v>
      </c>
      <c r="G1" s="5" t="s">
        <v>22</v>
      </c>
      <c r="H1" s="5" t="s">
        <v>23</v>
      </c>
      <c r="I1" s="5" t="s">
        <v>24</v>
      </c>
      <c r="J1" s="5" t="s">
        <v>25</v>
      </c>
      <c r="K1" s="5" t="s">
        <v>26</v>
      </c>
      <c r="L1" s="5" t="s">
        <v>27</v>
      </c>
      <c r="M1" s="5" t="s">
        <v>28</v>
      </c>
      <c r="N1" s="5" t="s">
        <v>29</v>
      </c>
      <c r="O1" s="5" t="s">
        <v>30</v>
      </c>
      <c r="P1" s="5" t="s">
        <v>31</v>
      </c>
      <c r="Q1" s="5" t="s">
        <v>32</v>
      </c>
      <c r="R1" s="5" t="s">
        <v>33</v>
      </c>
      <c r="S1" s="5" t="s">
        <v>34</v>
      </c>
      <c r="T1" s="5" t="s">
        <v>35</v>
      </c>
      <c r="U1" s="5" t="s">
        <v>36</v>
      </c>
      <c r="V1" s="5" t="s">
        <v>2</v>
      </c>
      <c r="W1" s="5" t="s">
        <v>37</v>
      </c>
    </row>
    <row r="2" spans="1:23" ht="150">
      <c r="A2" s="4">
        <v>2026</v>
      </c>
      <c r="B2" s="4" t="s">
        <v>38</v>
      </c>
      <c r="C2" s="4" t="s">
        <v>39</v>
      </c>
      <c r="D2" s="4">
        <v>5854566043</v>
      </c>
      <c r="E2" t="s">
        <v>10</v>
      </c>
      <c r="F2" s="9">
        <v>46225</v>
      </c>
      <c r="G2" s="4">
        <v>43</v>
      </c>
      <c r="H2" s="4" t="s">
        <v>40</v>
      </c>
      <c r="I2" s="4" t="s">
        <v>41</v>
      </c>
      <c r="J2" s="4" t="s">
        <v>42</v>
      </c>
      <c r="K2" s="4" t="s">
        <v>43</v>
      </c>
      <c r="L2" s="42" t="s">
        <v>44</v>
      </c>
      <c r="M2" s="4">
        <v>40</v>
      </c>
      <c r="N2" s="4">
        <v>20</v>
      </c>
      <c r="O2" s="4">
        <v>20</v>
      </c>
      <c r="P2" s="4">
        <v>10</v>
      </c>
      <c r="Q2" s="4">
        <v>20</v>
      </c>
      <c r="R2" s="4" t="s">
        <v>45</v>
      </c>
      <c r="S2" s="4" t="s">
        <v>45</v>
      </c>
      <c r="T2" s="4" t="s">
        <v>45</v>
      </c>
      <c r="U2" s="4">
        <v>110</v>
      </c>
      <c r="V2" s="4" t="s">
        <v>9</v>
      </c>
      <c r="W2" s="4" t="s">
        <v>46</v>
      </c>
    </row>
    <row r="3" spans="1:23" ht="270">
      <c r="A3" s="4">
        <v>2026</v>
      </c>
      <c r="B3" s="4" t="s">
        <v>47</v>
      </c>
      <c r="C3" s="4" t="s">
        <v>48</v>
      </c>
      <c r="D3" s="4">
        <v>5800859011</v>
      </c>
      <c r="E3" t="s">
        <v>10</v>
      </c>
      <c r="F3" s="9">
        <v>46219</v>
      </c>
      <c r="G3" s="4">
        <v>11</v>
      </c>
      <c r="H3" s="4" t="s">
        <v>49</v>
      </c>
      <c r="I3" s="4" t="s">
        <v>50</v>
      </c>
      <c r="J3" s="4" t="s">
        <v>51</v>
      </c>
      <c r="K3" s="4" t="s">
        <v>52</v>
      </c>
      <c r="L3" s="42" t="s">
        <v>53</v>
      </c>
      <c r="M3" s="4">
        <v>40</v>
      </c>
      <c r="N3" s="4">
        <v>20</v>
      </c>
      <c r="O3" s="4">
        <v>20</v>
      </c>
      <c r="P3" s="4">
        <v>10</v>
      </c>
      <c r="Q3" s="4">
        <v>20</v>
      </c>
      <c r="R3" s="4" t="s">
        <v>45</v>
      </c>
      <c r="S3" s="4" t="s">
        <v>45</v>
      </c>
      <c r="T3" s="4" t="s">
        <v>45</v>
      </c>
      <c r="U3" s="4">
        <v>110</v>
      </c>
      <c r="V3" s="4" t="s">
        <v>9</v>
      </c>
      <c r="W3" s="4" t="s">
        <v>54</v>
      </c>
    </row>
    <row r="4" spans="1:23" ht="30">
      <c r="A4" s="4">
        <v>2026</v>
      </c>
      <c r="B4" s="4" t="s">
        <v>55</v>
      </c>
      <c r="C4" s="4" t="s">
        <v>56</v>
      </c>
      <c r="D4" s="4">
        <v>7923673004</v>
      </c>
      <c r="E4" t="s">
        <v>11</v>
      </c>
      <c r="F4" s="9">
        <v>46210</v>
      </c>
      <c r="G4" s="4">
        <v>4</v>
      </c>
      <c r="H4" s="4" t="s">
        <v>57</v>
      </c>
      <c r="I4" s="4" t="s">
        <v>57</v>
      </c>
      <c r="J4" s="4" t="s">
        <v>51</v>
      </c>
      <c r="K4" s="4" t="s">
        <v>58</v>
      </c>
      <c r="L4" s="42" t="s">
        <v>59</v>
      </c>
      <c r="M4" s="4">
        <v>15</v>
      </c>
      <c r="N4" s="4">
        <v>20</v>
      </c>
      <c r="O4" s="4">
        <v>15</v>
      </c>
      <c r="P4" s="4">
        <v>15</v>
      </c>
      <c r="Q4" s="4">
        <v>15</v>
      </c>
      <c r="R4" s="4">
        <v>10</v>
      </c>
      <c r="S4" s="4">
        <v>0</v>
      </c>
      <c r="T4" s="4">
        <v>15</v>
      </c>
      <c r="U4" s="4">
        <v>105</v>
      </c>
      <c r="V4" s="4" t="s">
        <v>9</v>
      </c>
      <c r="W4" s="4" t="s">
        <v>60</v>
      </c>
    </row>
    <row r="5" spans="1:23" ht="75">
      <c r="A5" s="4">
        <v>2026</v>
      </c>
      <c r="B5" s="4" t="s">
        <v>61</v>
      </c>
      <c r="C5" s="4" t="s">
        <v>56</v>
      </c>
      <c r="D5" s="4">
        <v>7931608059</v>
      </c>
      <c r="E5" t="s">
        <v>11</v>
      </c>
      <c r="F5" s="9">
        <v>46077</v>
      </c>
      <c r="G5" s="4">
        <v>59</v>
      </c>
      <c r="H5" s="4" t="s">
        <v>62</v>
      </c>
      <c r="I5" s="4" t="s">
        <v>62</v>
      </c>
      <c r="J5" s="4" t="s">
        <v>42</v>
      </c>
      <c r="K5" s="4" t="s">
        <v>63</v>
      </c>
      <c r="L5" s="42" t="s">
        <v>64</v>
      </c>
      <c r="M5" s="4">
        <v>15</v>
      </c>
      <c r="N5" s="4">
        <v>20</v>
      </c>
      <c r="O5" s="4">
        <v>15</v>
      </c>
      <c r="P5" s="4">
        <v>15</v>
      </c>
      <c r="Q5" s="4">
        <v>15</v>
      </c>
      <c r="R5" s="4">
        <v>10</v>
      </c>
      <c r="S5" s="4">
        <v>0</v>
      </c>
      <c r="T5" s="4">
        <v>15</v>
      </c>
      <c r="U5" s="4">
        <v>105</v>
      </c>
      <c r="V5" s="4" t="s">
        <v>9</v>
      </c>
      <c r="W5" s="4" t="s">
        <v>65</v>
      </c>
    </row>
    <row r="6" spans="1:23" ht="255">
      <c r="A6" s="4">
        <v>2026</v>
      </c>
      <c r="B6" s="4" t="s">
        <v>66</v>
      </c>
      <c r="C6" s="4" t="s">
        <v>67</v>
      </c>
      <c r="D6" s="4">
        <v>7931610122</v>
      </c>
      <c r="E6" t="s">
        <v>11</v>
      </c>
      <c r="F6" s="9">
        <v>46225</v>
      </c>
      <c r="G6" s="4">
        <v>122</v>
      </c>
      <c r="H6" s="4" t="s">
        <v>68</v>
      </c>
      <c r="I6" s="4" t="s">
        <v>68</v>
      </c>
      <c r="J6" s="4" t="s">
        <v>42</v>
      </c>
      <c r="K6" s="4" t="s">
        <v>69</v>
      </c>
      <c r="L6" s="42" t="s">
        <v>70</v>
      </c>
      <c r="M6" s="4">
        <v>15</v>
      </c>
      <c r="N6" s="4">
        <v>20</v>
      </c>
      <c r="O6" s="4">
        <v>15</v>
      </c>
      <c r="P6" s="4">
        <v>15</v>
      </c>
      <c r="Q6" s="4">
        <v>15</v>
      </c>
      <c r="R6" s="4">
        <v>10</v>
      </c>
      <c r="S6" s="4">
        <v>0</v>
      </c>
      <c r="T6" s="4">
        <v>15</v>
      </c>
      <c r="U6" s="4">
        <v>105</v>
      </c>
      <c r="V6" s="4" t="s">
        <v>9</v>
      </c>
      <c r="W6" s="4" t="s">
        <v>71</v>
      </c>
    </row>
    <row r="7" spans="1:23" ht="195">
      <c r="A7" s="4">
        <v>2026</v>
      </c>
      <c r="B7" s="4" t="s">
        <v>72</v>
      </c>
      <c r="C7" s="4" t="s">
        <v>73</v>
      </c>
      <c r="D7" s="4">
        <v>5856070091</v>
      </c>
      <c r="E7" t="s">
        <v>10</v>
      </c>
      <c r="F7" s="9">
        <v>46230</v>
      </c>
      <c r="G7" s="4">
        <v>91</v>
      </c>
      <c r="H7" s="4" t="s">
        <v>74</v>
      </c>
      <c r="I7" s="4" t="s">
        <v>75</v>
      </c>
      <c r="J7" s="4" t="s">
        <v>76</v>
      </c>
      <c r="K7" s="4" t="s">
        <v>77</v>
      </c>
      <c r="L7" s="42" t="s">
        <v>78</v>
      </c>
      <c r="M7" s="4">
        <v>40</v>
      </c>
      <c r="N7" s="4">
        <v>20</v>
      </c>
      <c r="O7" s="4">
        <v>20</v>
      </c>
      <c r="P7" s="4">
        <v>20</v>
      </c>
      <c r="Q7" s="4">
        <v>0</v>
      </c>
      <c r="R7" s="4" t="s">
        <v>45</v>
      </c>
      <c r="S7" s="4" t="s">
        <v>45</v>
      </c>
      <c r="T7" s="4" t="s">
        <v>45</v>
      </c>
      <c r="U7" s="4">
        <v>100</v>
      </c>
      <c r="V7" s="4" t="s">
        <v>9</v>
      </c>
      <c r="W7" s="4" t="s">
        <v>79</v>
      </c>
    </row>
    <row r="8" spans="1:23" ht="75">
      <c r="A8" s="4">
        <v>2026</v>
      </c>
      <c r="B8" s="4" t="s">
        <v>80</v>
      </c>
      <c r="C8" s="4" t="s">
        <v>56</v>
      </c>
      <c r="D8" s="4">
        <v>7947203070</v>
      </c>
      <c r="E8" t="s">
        <v>11</v>
      </c>
      <c r="F8" s="9">
        <v>46211</v>
      </c>
      <c r="G8" s="4">
        <v>70</v>
      </c>
      <c r="H8" s="4" t="s">
        <v>81</v>
      </c>
      <c r="I8" s="4" t="s">
        <v>62</v>
      </c>
      <c r="J8" s="4" t="s">
        <v>42</v>
      </c>
      <c r="K8" s="4" t="s">
        <v>82</v>
      </c>
      <c r="L8" s="42" t="s">
        <v>83</v>
      </c>
      <c r="M8" s="4">
        <v>10</v>
      </c>
      <c r="N8" s="4">
        <v>20</v>
      </c>
      <c r="O8" s="4">
        <v>15</v>
      </c>
      <c r="P8" s="4">
        <v>15</v>
      </c>
      <c r="Q8" s="4">
        <v>15</v>
      </c>
      <c r="R8" s="4">
        <v>10</v>
      </c>
      <c r="S8" s="4">
        <v>0</v>
      </c>
      <c r="T8" s="4">
        <v>15</v>
      </c>
      <c r="U8" s="4">
        <v>100</v>
      </c>
      <c r="V8" s="4" t="s">
        <v>9</v>
      </c>
      <c r="W8" s="4" t="s">
        <v>84</v>
      </c>
    </row>
    <row r="9" spans="1:23" ht="75">
      <c r="A9" s="4">
        <v>2026</v>
      </c>
      <c r="B9" s="4" t="s">
        <v>85</v>
      </c>
      <c r="C9" s="4" t="s">
        <v>73</v>
      </c>
      <c r="D9" s="4">
        <v>7908705049</v>
      </c>
      <c r="E9" t="s">
        <v>11</v>
      </c>
      <c r="F9" s="9">
        <v>46209</v>
      </c>
      <c r="G9" s="4">
        <v>49</v>
      </c>
      <c r="H9" s="4" t="s">
        <v>86</v>
      </c>
      <c r="I9" s="4" t="s">
        <v>75</v>
      </c>
      <c r="J9" s="4" t="s">
        <v>76</v>
      </c>
      <c r="K9" s="4" t="s">
        <v>87</v>
      </c>
      <c r="L9" s="42" t="s">
        <v>88</v>
      </c>
      <c r="M9" s="4">
        <v>15</v>
      </c>
      <c r="N9" s="4">
        <v>20</v>
      </c>
      <c r="O9" s="4">
        <v>5</v>
      </c>
      <c r="P9" s="4">
        <v>15</v>
      </c>
      <c r="Q9" s="4">
        <v>15</v>
      </c>
      <c r="R9" s="4">
        <v>0</v>
      </c>
      <c r="S9" s="4">
        <v>10</v>
      </c>
      <c r="T9" s="4">
        <v>15</v>
      </c>
      <c r="U9" s="4">
        <v>95</v>
      </c>
      <c r="V9" s="4" t="s">
        <v>9</v>
      </c>
      <c r="W9" s="4" t="s">
        <v>89</v>
      </c>
    </row>
    <row r="10" spans="1:23" ht="150">
      <c r="A10" s="4">
        <v>2026</v>
      </c>
      <c r="B10" s="4" t="s">
        <v>90</v>
      </c>
      <c r="C10" s="4" t="s">
        <v>56</v>
      </c>
      <c r="D10" s="4">
        <v>7925744087</v>
      </c>
      <c r="E10" t="s">
        <v>11</v>
      </c>
      <c r="F10" s="9">
        <v>46111</v>
      </c>
      <c r="G10" s="4">
        <v>87</v>
      </c>
      <c r="H10" s="4" t="s">
        <v>91</v>
      </c>
      <c r="I10" s="4" t="s">
        <v>50</v>
      </c>
      <c r="J10" s="4" t="s">
        <v>51</v>
      </c>
      <c r="K10" s="4" t="s">
        <v>92</v>
      </c>
      <c r="L10" s="42" t="s">
        <v>93</v>
      </c>
      <c r="M10" s="4">
        <v>15</v>
      </c>
      <c r="N10" s="4">
        <v>20</v>
      </c>
      <c r="O10" s="4">
        <v>5</v>
      </c>
      <c r="P10" s="4">
        <v>15</v>
      </c>
      <c r="Q10" s="4">
        <v>15</v>
      </c>
      <c r="R10" s="4">
        <v>10</v>
      </c>
      <c r="S10" s="4">
        <v>0</v>
      </c>
      <c r="T10" s="4">
        <v>15</v>
      </c>
      <c r="U10" s="4">
        <v>95</v>
      </c>
      <c r="V10" s="4" t="s">
        <v>9</v>
      </c>
      <c r="W10" s="4" t="s">
        <v>94</v>
      </c>
    </row>
    <row r="11" spans="1:23" ht="150">
      <c r="A11" s="4">
        <v>2026</v>
      </c>
      <c r="B11" s="4" t="s">
        <v>95</v>
      </c>
      <c r="C11" s="4" t="s">
        <v>96</v>
      </c>
      <c r="D11" s="4">
        <v>7900117013</v>
      </c>
      <c r="E11" t="s">
        <v>11</v>
      </c>
      <c r="F11" s="9">
        <v>46224</v>
      </c>
      <c r="G11" s="4">
        <v>13</v>
      </c>
      <c r="H11" s="4" t="s">
        <v>97</v>
      </c>
      <c r="I11" s="4" t="s">
        <v>97</v>
      </c>
      <c r="J11" s="4" t="s">
        <v>42</v>
      </c>
      <c r="K11" s="4" t="s">
        <v>98</v>
      </c>
      <c r="L11" s="42" t="s">
        <v>99</v>
      </c>
      <c r="M11" s="4">
        <v>15</v>
      </c>
      <c r="N11" s="4">
        <v>20</v>
      </c>
      <c r="O11" s="4">
        <v>15</v>
      </c>
      <c r="P11" s="4">
        <v>15</v>
      </c>
      <c r="Q11" s="4">
        <v>15</v>
      </c>
      <c r="R11" s="4">
        <v>0</v>
      </c>
      <c r="S11" s="4">
        <v>0</v>
      </c>
      <c r="T11" s="4">
        <v>15</v>
      </c>
      <c r="U11" s="4">
        <v>95</v>
      </c>
      <c r="V11" s="4" t="s">
        <v>9</v>
      </c>
      <c r="W11" s="4" t="s">
        <v>100</v>
      </c>
    </row>
    <row r="12" spans="1:23" ht="135">
      <c r="A12" s="4">
        <v>2026</v>
      </c>
      <c r="B12" s="4" t="s">
        <v>101</v>
      </c>
      <c r="C12" s="4" t="s">
        <v>56</v>
      </c>
      <c r="D12" s="4">
        <v>7929376022</v>
      </c>
      <c r="E12" t="s">
        <v>11</v>
      </c>
      <c r="F12" s="9">
        <v>46203</v>
      </c>
      <c r="G12" s="4">
        <v>22</v>
      </c>
      <c r="H12" s="4" t="s">
        <v>102</v>
      </c>
      <c r="I12" s="4" t="s">
        <v>57</v>
      </c>
      <c r="J12" s="4" t="s">
        <v>51</v>
      </c>
      <c r="K12" s="4" t="s">
        <v>103</v>
      </c>
      <c r="L12" s="42" t="s">
        <v>104</v>
      </c>
      <c r="M12" s="4">
        <v>15</v>
      </c>
      <c r="N12" s="4">
        <v>20</v>
      </c>
      <c r="O12" s="4">
        <v>5</v>
      </c>
      <c r="P12" s="4">
        <v>15</v>
      </c>
      <c r="Q12" s="4">
        <v>15</v>
      </c>
      <c r="R12" s="4">
        <v>10</v>
      </c>
      <c r="S12" s="4">
        <v>0</v>
      </c>
      <c r="T12" s="4">
        <v>15</v>
      </c>
      <c r="U12" s="4">
        <v>95</v>
      </c>
      <c r="V12" s="4" t="s">
        <v>9</v>
      </c>
      <c r="W12" s="4" t="s">
        <v>105</v>
      </c>
    </row>
    <row r="13" spans="1:23" ht="195">
      <c r="A13" s="4">
        <v>2026</v>
      </c>
      <c r="B13" s="4" t="s">
        <v>106</v>
      </c>
      <c r="C13" s="4" t="s">
        <v>96</v>
      </c>
      <c r="D13" s="4">
        <v>7933726256</v>
      </c>
      <c r="E13" t="s">
        <v>11</v>
      </c>
      <c r="F13" s="9">
        <v>46212</v>
      </c>
      <c r="G13" s="4">
        <v>256</v>
      </c>
      <c r="H13" s="4" t="s">
        <v>107</v>
      </c>
      <c r="I13" s="4" t="s">
        <v>108</v>
      </c>
      <c r="J13" s="4" t="s">
        <v>42</v>
      </c>
      <c r="K13" s="4" t="s">
        <v>109</v>
      </c>
      <c r="L13" s="42" t="s">
        <v>110</v>
      </c>
      <c r="M13" s="4">
        <v>15</v>
      </c>
      <c r="N13" s="4">
        <v>10</v>
      </c>
      <c r="O13" s="4">
        <v>15</v>
      </c>
      <c r="P13" s="4">
        <v>15</v>
      </c>
      <c r="Q13" s="4">
        <v>15</v>
      </c>
      <c r="R13" s="4">
        <v>10</v>
      </c>
      <c r="S13" s="4">
        <v>0</v>
      </c>
      <c r="T13" s="4">
        <v>15</v>
      </c>
      <c r="U13" s="4">
        <v>95</v>
      </c>
      <c r="V13" s="4" t="s">
        <v>9</v>
      </c>
      <c r="W13" s="4" t="s">
        <v>111</v>
      </c>
    </row>
    <row r="14" spans="1:23" ht="195">
      <c r="A14" s="4">
        <v>2026</v>
      </c>
      <c r="B14" s="4" t="s">
        <v>112</v>
      </c>
      <c r="C14" s="4" t="s">
        <v>67</v>
      </c>
      <c r="D14" s="4">
        <v>7933766059</v>
      </c>
      <c r="E14" t="s">
        <v>11</v>
      </c>
      <c r="F14" s="9">
        <v>46225</v>
      </c>
      <c r="G14" s="4">
        <v>59</v>
      </c>
      <c r="H14" s="4" t="s">
        <v>62</v>
      </c>
      <c r="I14" s="4" t="s">
        <v>62</v>
      </c>
      <c r="J14" s="4" t="s">
        <v>42</v>
      </c>
      <c r="K14" s="4" t="s">
        <v>113</v>
      </c>
      <c r="L14" s="42" t="s">
        <v>114</v>
      </c>
      <c r="M14" s="4">
        <v>15</v>
      </c>
      <c r="N14" s="4">
        <v>20</v>
      </c>
      <c r="O14" s="4">
        <v>5</v>
      </c>
      <c r="P14" s="4">
        <v>15</v>
      </c>
      <c r="Q14" s="4">
        <v>15</v>
      </c>
      <c r="R14" s="4">
        <v>0</v>
      </c>
      <c r="S14" s="4">
        <v>10</v>
      </c>
      <c r="T14" s="4">
        <v>15</v>
      </c>
      <c r="U14" s="4">
        <v>95</v>
      </c>
      <c r="V14" s="4" t="s">
        <v>9</v>
      </c>
      <c r="W14" s="4" t="s">
        <v>115</v>
      </c>
    </row>
    <row r="15" spans="1:23" ht="180">
      <c r="A15" s="4">
        <v>2026</v>
      </c>
      <c r="B15" s="4" t="s">
        <v>116</v>
      </c>
      <c r="C15" s="4" t="s">
        <v>117</v>
      </c>
      <c r="D15" s="4">
        <v>7900594026</v>
      </c>
      <c r="E15" t="s">
        <v>11</v>
      </c>
      <c r="F15" s="9">
        <v>46219</v>
      </c>
      <c r="G15" s="4">
        <v>26</v>
      </c>
      <c r="H15" s="4" t="s">
        <v>108</v>
      </c>
      <c r="I15" s="4" t="s">
        <v>108</v>
      </c>
      <c r="J15" s="4" t="s">
        <v>42</v>
      </c>
      <c r="K15" s="4" t="s">
        <v>109</v>
      </c>
      <c r="L15" s="42" t="s">
        <v>118</v>
      </c>
      <c r="M15" s="4">
        <v>15</v>
      </c>
      <c r="N15" s="4">
        <v>20</v>
      </c>
      <c r="O15" s="4">
        <v>15</v>
      </c>
      <c r="P15" s="4">
        <v>15</v>
      </c>
      <c r="Q15" s="4">
        <v>15</v>
      </c>
      <c r="R15" s="4">
        <v>0</v>
      </c>
      <c r="S15" s="4">
        <v>0</v>
      </c>
      <c r="T15" s="4">
        <v>15</v>
      </c>
      <c r="U15" s="4">
        <v>95</v>
      </c>
      <c r="V15" s="4" t="s">
        <v>9</v>
      </c>
      <c r="W15" s="4" t="s">
        <v>119</v>
      </c>
    </row>
    <row r="16" spans="1:23" ht="120">
      <c r="A16" s="4">
        <v>2026</v>
      </c>
      <c r="B16" s="4" t="s">
        <v>120</v>
      </c>
      <c r="C16" s="4" t="s">
        <v>56</v>
      </c>
      <c r="D16" s="4">
        <v>7927413001</v>
      </c>
      <c r="E16" t="s">
        <v>11</v>
      </c>
      <c r="F16" s="9">
        <v>46216</v>
      </c>
      <c r="G16" s="4">
        <v>1</v>
      </c>
      <c r="H16" s="4" t="s">
        <v>41</v>
      </c>
      <c r="I16" s="4" t="s">
        <v>41</v>
      </c>
      <c r="J16" s="4" t="s">
        <v>42</v>
      </c>
      <c r="K16" s="4" t="s">
        <v>121</v>
      </c>
      <c r="L16" s="42" t="s">
        <v>122</v>
      </c>
      <c r="M16" s="4">
        <v>15</v>
      </c>
      <c r="N16" s="4">
        <v>5</v>
      </c>
      <c r="O16" s="4">
        <v>15</v>
      </c>
      <c r="P16" s="4">
        <v>15</v>
      </c>
      <c r="Q16" s="4">
        <v>15</v>
      </c>
      <c r="R16" s="4">
        <v>10</v>
      </c>
      <c r="S16" s="4">
        <v>0</v>
      </c>
      <c r="T16" s="4">
        <v>15</v>
      </c>
      <c r="U16" s="4">
        <v>90</v>
      </c>
      <c r="V16" s="4" t="s">
        <v>9</v>
      </c>
      <c r="W16" s="4" t="s">
        <v>123</v>
      </c>
    </row>
    <row r="17" spans="1:23" ht="120">
      <c r="A17" s="4">
        <v>2026</v>
      </c>
      <c r="B17" s="4" t="s">
        <v>124</v>
      </c>
      <c r="C17" s="4" t="s">
        <v>125</v>
      </c>
      <c r="D17" s="4">
        <v>7908686014</v>
      </c>
      <c r="E17" t="s">
        <v>11</v>
      </c>
      <c r="F17" s="9">
        <v>46213</v>
      </c>
      <c r="G17" s="4">
        <v>14</v>
      </c>
      <c r="H17" s="4" t="s">
        <v>126</v>
      </c>
      <c r="I17" s="4" t="s">
        <v>97</v>
      </c>
      <c r="J17" s="4" t="s">
        <v>42</v>
      </c>
      <c r="K17" s="4" t="s">
        <v>127</v>
      </c>
      <c r="L17" s="42" t="s">
        <v>128</v>
      </c>
      <c r="M17" s="4">
        <v>15</v>
      </c>
      <c r="N17" s="4">
        <v>20</v>
      </c>
      <c r="O17" s="4">
        <v>0</v>
      </c>
      <c r="P17" s="4">
        <v>15</v>
      </c>
      <c r="Q17" s="4">
        <v>15</v>
      </c>
      <c r="R17" s="4">
        <v>10</v>
      </c>
      <c r="S17" s="4">
        <v>0</v>
      </c>
      <c r="T17" s="4">
        <v>15</v>
      </c>
      <c r="U17" s="4">
        <v>90</v>
      </c>
      <c r="V17" s="4" t="s">
        <v>9</v>
      </c>
      <c r="W17" s="4" t="s">
        <v>129</v>
      </c>
    </row>
    <row r="18" spans="1:23" ht="30">
      <c r="A18" s="4">
        <v>2026</v>
      </c>
      <c r="B18" s="4" t="s">
        <v>130</v>
      </c>
      <c r="C18" s="4" t="s">
        <v>67</v>
      </c>
      <c r="D18" s="4">
        <v>7943790134</v>
      </c>
      <c r="E18" t="s">
        <v>11</v>
      </c>
      <c r="F18" s="9">
        <v>46183</v>
      </c>
      <c r="G18" s="4">
        <v>134</v>
      </c>
      <c r="H18" s="4" t="s">
        <v>131</v>
      </c>
      <c r="I18" s="4" t="s">
        <v>132</v>
      </c>
      <c r="J18" s="4" t="s">
        <v>51</v>
      </c>
      <c r="K18" s="4" t="s">
        <v>133</v>
      </c>
      <c r="L18" s="42" t="s">
        <v>134</v>
      </c>
      <c r="M18" s="4">
        <v>15</v>
      </c>
      <c r="N18" s="4">
        <v>10</v>
      </c>
      <c r="O18" s="4">
        <v>5</v>
      </c>
      <c r="P18" s="4">
        <v>15</v>
      </c>
      <c r="Q18" s="4">
        <v>15</v>
      </c>
      <c r="R18" s="4">
        <v>10</v>
      </c>
      <c r="S18" s="4">
        <v>0</v>
      </c>
      <c r="T18" s="4">
        <v>15</v>
      </c>
      <c r="U18" s="4">
        <v>85</v>
      </c>
      <c r="V18" s="4" t="s">
        <v>9</v>
      </c>
      <c r="W18" s="4" t="s">
        <v>135</v>
      </c>
    </row>
    <row r="19" spans="1:23" ht="150">
      <c r="A19" s="4">
        <v>2026</v>
      </c>
      <c r="B19" s="4" t="s">
        <v>136</v>
      </c>
      <c r="C19" s="4" t="s">
        <v>56</v>
      </c>
      <c r="D19" s="4">
        <v>7900453110</v>
      </c>
      <c r="E19" t="s">
        <v>11</v>
      </c>
      <c r="F19" s="9">
        <v>46139</v>
      </c>
      <c r="G19" s="4">
        <v>110</v>
      </c>
      <c r="H19" s="4" t="s">
        <v>137</v>
      </c>
      <c r="I19" s="4" t="s">
        <v>41</v>
      </c>
      <c r="J19" s="4" t="s">
        <v>42</v>
      </c>
      <c r="K19" s="4" t="s">
        <v>138</v>
      </c>
      <c r="L19" s="42" t="s">
        <v>139</v>
      </c>
      <c r="M19" s="4">
        <v>15</v>
      </c>
      <c r="N19" s="4">
        <v>10</v>
      </c>
      <c r="O19" s="4">
        <v>5</v>
      </c>
      <c r="P19" s="4">
        <v>15</v>
      </c>
      <c r="Q19" s="4">
        <v>15</v>
      </c>
      <c r="R19" s="4">
        <v>10</v>
      </c>
      <c r="S19" s="4">
        <v>0</v>
      </c>
      <c r="T19" s="4">
        <v>15</v>
      </c>
      <c r="U19" s="4">
        <v>85</v>
      </c>
      <c r="V19" s="4" t="s">
        <v>9</v>
      </c>
      <c r="W19" s="4" t="s">
        <v>140</v>
      </c>
    </row>
    <row r="20" spans="1:23" ht="45">
      <c r="A20" s="4">
        <v>2026</v>
      </c>
      <c r="B20" s="4" t="s">
        <v>141</v>
      </c>
      <c r="C20" s="4" t="s">
        <v>56</v>
      </c>
      <c r="D20" s="4">
        <v>7900453110</v>
      </c>
      <c r="E20" t="s">
        <v>11</v>
      </c>
      <c r="F20" s="9">
        <v>46218</v>
      </c>
      <c r="G20" s="4">
        <v>110</v>
      </c>
      <c r="H20" s="4" t="s">
        <v>137</v>
      </c>
      <c r="I20" s="4" t="s">
        <v>41</v>
      </c>
      <c r="J20" s="4" t="s">
        <v>42</v>
      </c>
      <c r="K20" s="4" t="s">
        <v>138</v>
      </c>
      <c r="L20" s="42" t="s">
        <v>142</v>
      </c>
      <c r="M20" s="4">
        <v>15</v>
      </c>
      <c r="N20" s="4">
        <v>10</v>
      </c>
      <c r="O20" s="4">
        <v>5</v>
      </c>
      <c r="P20" s="4">
        <v>15</v>
      </c>
      <c r="Q20" s="4">
        <v>15</v>
      </c>
      <c r="R20" s="4">
        <v>10</v>
      </c>
      <c r="S20" s="4">
        <v>0</v>
      </c>
      <c r="T20" s="4">
        <v>15</v>
      </c>
      <c r="U20" s="4">
        <v>85</v>
      </c>
      <c r="V20" s="4" t="s">
        <v>9</v>
      </c>
      <c r="W20" s="4" t="s">
        <v>140</v>
      </c>
    </row>
    <row r="21" spans="1:23" ht="75">
      <c r="A21" s="4">
        <v>2026</v>
      </c>
      <c r="B21" s="4" t="s">
        <v>143</v>
      </c>
      <c r="C21" s="4" t="s">
        <v>56</v>
      </c>
      <c r="D21" s="4">
        <v>7925871077</v>
      </c>
      <c r="E21" t="s">
        <v>11</v>
      </c>
      <c r="F21" s="9">
        <v>46097</v>
      </c>
      <c r="G21" s="4">
        <v>77</v>
      </c>
      <c r="H21" s="4" t="s">
        <v>144</v>
      </c>
      <c r="I21" s="4" t="s">
        <v>57</v>
      </c>
      <c r="J21" s="4" t="s">
        <v>51</v>
      </c>
      <c r="K21" s="4" t="s">
        <v>145</v>
      </c>
      <c r="L21" s="42" t="s">
        <v>146</v>
      </c>
      <c r="M21" s="4">
        <v>15</v>
      </c>
      <c r="N21" s="4">
        <v>10</v>
      </c>
      <c r="O21" s="4">
        <v>15</v>
      </c>
      <c r="P21" s="4">
        <v>15</v>
      </c>
      <c r="Q21" s="4">
        <v>15</v>
      </c>
      <c r="R21" s="4">
        <v>10</v>
      </c>
      <c r="S21" s="4">
        <v>0</v>
      </c>
      <c r="T21" s="4">
        <v>0</v>
      </c>
      <c r="U21" s="4">
        <v>80</v>
      </c>
      <c r="V21" s="4" t="s">
        <v>9</v>
      </c>
      <c r="W21" s="4" t="s">
        <v>147</v>
      </c>
    </row>
    <row r="22" spans="1:23" ht="210">
      <c r="A22" s="4">
        <v>2026</v>
      </c>
      <c r="B22" s="4" t="s">
        <v>148</v>
      </c>
      <c r="C22" s="4" t="s">
        <v>56</v>
      </c>
      <c r="D22" s="4">
        <v>5803327001</v>
      </c>
      <c r="E22" t="s">
        <v>10</v>
      </c>
      <c r="F22" s="9">
        <v>46223</v>
      </c>
      <c r="G22" s="4">
        <v>1</v>
      </c>
      <c r="H22" s="4" t="s">
        <v>41</v>
      </c>
      <c r="I22" s="4" t="s">
        <v>41</v>
      </c>
      <c r="J22" s="4" t="s">
        <v>42</v>
      </c>
      <c r="K22" s="4" t="s">
        <v>149</v>
      </c>
      <c r="L22" s="42" t="s">
        <v>150</v>
      </c>
      <c r="M22" s="4">
        <v>40</v>
      </c>
      <c r="N22" s="4">
        <v>0</v>
      </c>
      <c r="O22" s="4">
        <v>0</v>
      </c>
      <c r="P22" s="4">
        <v>20</v>
      </c>
      <c r="Q22" s="4">
        <v>20</v>
      </c>
      <c r="R22" s="4" t="s">
        <v>45</v>
      </c>
      <c r="S22" s="4" t="s">
        <v>45</v>
      </c>
      <c r="T22" s="4" t="s">
        <v>45</v>
      </c>
      <c r="U22" s="4">
        <v>80</v>
      </c>
      <c r="V22" s="4" t="s">
        <v>13</v>
      </c>
      <c r="W22" s="4" t="s">
        <v>151</v>
      </c>
    </row>
    <row r="23" spans="1:23" ht="225">
      <c r="A23" s="4">
        <v>2026</v>
      </c>
      <c r="B23" s="4" t="s">
        <v>152</v>
      </c>
      <c r="C23" s="4" t="s">
        <v>96</v>
      </c>
      <c r="D23" s="4">
        <v>7900230155</v>
      </c>
      <c r="E23" t="s">
        <v>11</v>
      </c>
      <c r="F23" s="9">
        <v>46211</v>
      </c>
      <c r="G23" s="4">
        <v>155</v>
      </c>
      <c r="H23" s="4" t="s">
        <v>153</v>
      </c>
      <c r="I23" s="4" t="s">
        <v>154</v>
      </c>
      <c r="J23" s="4" t="s">
        <v>51</v>
      </c>
      <c r="K23" s="4" t="s">
        <v>155</v>
      </c>
      <c r="L23" s="42" t="s">
        <v>156</v>
      </c>
      <c r="M23" s="4">
        <v>15</v>
      </c>
      <c r="N23" s="4">
        <v>20</v>
      </c>
      <c r="O23" s="4">
        <v>5</v>
      </c>
      <c r="P23" s="4">
        <v>15</v>
      </c>
      <c r="Q23" s="4">
        <v>0</v>
      </c>
      <c r="R23" s="4">
        <v>10</v>
      </c>
      <c r="S23" s="4">
        <v>0</v>
      </c>
      <c r="T23" s="4">
        <v>15</v>
      </c>
      <c r="U23" s="4">
        <v>80</v>
      </c>
      <c r="V23" s="4" t="s">
        <v>9</v>
      </c>
      <c r="W23" s="4" t="s">
        <v>157</v>
      </c>
    </row>
    <row r="24" spans="1:23" ht="30">
      <c r="A24" s="4">
        <v>2026</v>
      </c>
      <c r="B24" s="4" t="s">
        <v>158</v>
      </c>
      <c r="C24" s="4" t="s">
        <v>67</v>
      </c>
      <c r="D24" s="4">
        <v>7908302256</v>
      </c>
      <c r="E24" t="s">
        <v>11</v>
      </c>
      <c r="F24" s="9">
        <v>46213</v>
      </c>
      <c r="G24" s="4">
        <v>256</v>
      </c>
      <c r="H24" s="4" t="s">
        <v>107</v>
      </c>
      <c r="I24" s="4" t="s">
        <v>108</v>
      </c>
      <c r="J24" s="4" t="s">
        <v>42</v>
      </c>
      <c r="K24" s="4" t="s">
        <v>109</v>
      </c>
      <c r="L24" s="42" t="s">
        <v>159</v>
      </c>
      <c r="M24" s="4">
        <v>5</v>
      </c>
      <c r="N24" s="4">
        <v>10</v>
      </c>
      <c r="O24" s="4">
        <v>5</v>
      </c>
      <c r="P24" s="4">
        <v>15</v>
      </c>
      <c r="Q24" s="4">
        <v>15</v>
      </c>
      <c r="R24" s="4">
        <v>10</v>
      </c>
      <c r="S24" s="4">
        <v>0</v>
      </c>
      <c r="T24" s="4">
        <v>15</v>
      </c>
      <c r="U24" s="4">
        <v>75</v>
      </c>
      <c r="V24" s="4" t="s">
        <v>13</v>
      </c>
      <c r="W24" s="4" t="s">
        <v>160</v>
      </c>
    </row>
    <row r="25" spans="1:23" ht="150">
      <c r="A25" s="4">
        <v>2026</v>
      </c>
      <c r="B25" s="4" t="s">
        <v>161</v>
      </c>
      <c r="C25" s="4" t="s">
        <v>48</v>
      </c>
      <c r="D25" s="4">
        <v>5800371025</v>
      </c>
      <c r="E25" t="s">
        <v>10</v>
      </c>
      <c r="F25" s="9">
        <v>46230</v>
      </c>
      <c r="G25" s="4">
        <v>25</v>
      </c>
      <c r="H25" s="4" t="s">
        <v>162</v>
      </c>
      <c r="I25" s="4" t="s">
        <v>154</v>
      </c>
      <c r="J25" s="4" t="s">
        <v>51</v>
      </c>
      <c r="K25" s="4" t="s">
        <v>163</v>
      </c>
      <c r="L25" s="42" t="s">
        <v>164</v>
      </c>
      <c r="M25" s="4">
        <v>0</v>
      </c>
      <c r="N25" s="4">
        <v>20</v>
      </c>
      <c r="O25" s="4">
        <v>20</v>
      </c>
      <c r="P25" s="4">
        <v>10</v>
      </c>
      <c r="Q25" s="4">
        <v>20</v>
      </c>
      <c r="R25" s="4" t="s">
        <v>45</v>
      </c>
      <c r="S25" s="4" t="s">
        <v>45</v>
      </c>
      <c r="T25" s="4" t="s">
        <v>45</v>
      </c>
      <c r="U25" s="4">
        <v>70</v>
      </c>
      <c r="V25" s="4" t="s">
        <v>13</v>
      </c>
      <c r="W25" s="4" t="s">
        <v>165</v>
      </c>
    </row>
    <row r="26" spans="1:23" ht="135">
      <c r="A26" s="4">
        <v>2026</v>
      </c>
      <c r="B26" s="4" t="s">
        <v>166</v>
      </c>
      <c r="C26" s="4" t="s">
        <v>96</v>
      </c>
      <c r="D26" s="4">
        <v>5865120195</v>
      </c>
      <c r="E26" t="s">
        <v>10</v>
      </c>
      <c r="F26" s="9">
        <v>46211</v>
      </c>
      <c r="G26" s="4">
        <v>195</v>
      </c>
      <c r="H26" s="4" t="s">
        <v>167</v>
      </c>
      <c r="I26" s="4" t="s">
        <v>50</v>
      </c>
      <c r="J26" s="4" t="s">
        <v>51</v>
      </c>
      <c r="K26" s="4" t="s">
        <v>168</v>
      </c>
      <c r="L26" s="42" t="s">
        <v>169</v>
      </c>
      <c r="M26" s="4">
        <v>20</v>
      </c>
      <c r="N26" s="4">
        <v>20</v>
      </c>
      <c r="O26" s="4">
        <v>20</v>
      </c>
      <c r="P26" s="4">
        <v>10</v>
      </c>
      <c r="Q26" s="4">
        <v>0</v>
      </c>
      <c r="R26" s="4" t="s">
        <v>45</v>
      </c>
      <c r="S26" s="4" t="s">
        <v>45</v>
      </c>
      <c r="T26" s="4" t="s">
        <v>45</v>
      </c>
      <c r="U26" s="4">
        <v>70</v>
      </c>
      <c r="V26" s="4" t="s">
        <v>13</v>
      </c>
      <c r="W26" s="4" t="s">
        <v>170</v>
      </c>
    </row>
    <row r="27" spans="1:23" ht="135">
      <c r="A27" s="4">
        <v>2026</v>
      </c>
      <c r="B27" s="4" t="s">
        <v>171</v>
      </c>
      <c r="C27" s="4" t="s">
        <v>56</v>
      </c>
      <c r="D27" s="4">
        <v>7926089013</v>
      </c>
      <c r="E27" t="s">
        <v>11</v>
      </c>
      <c r="F27" s="9">
        <v>46135</v>
      </c>
      <c r="G27" s="4">
        <v>13</v>
      </c>
      <c r="H27" s="4" t="s">
        <v>97</v>
      </c>
      <c r="I27" s="4" t="s">
        <v>97</v>
      </c>
      <c r="J27" s="4" t="s">
        <v>42</v>
      </c>
      <c r="K27" s="4" t="s">
        <v>172</v>
      </c>
      <c r="L27" s="42" t="s">
        <v>173</v>
      </c>
      <c r="M27" s="4">
        <v>15</v>
      </c>
      <c r="N27" s="4">
        <v>10</v>
      </c>
      <c r="O27" s="4">
        <v>5</v>
      </c>
      <c r="P27" s="4">
        <v>15</v>
      </c>
      <c r="Q27" s="4">
        <v>15</v>
      </c>
      <c r="R27" s="4">
        <v>10</v>
      </c>
      <c r="S27" s="4">
        <v>0</v>
      </c>
      <c r="T27" s="4">
        <v>0</v>
      </c>
      <c r="U27" s="4">
        <v>70</v>
      </c>
      <c r="V27" s="4" t="s">
        <v>13</v>
      </c>
      <c r="W27" s="4" t="s">
        <v>174</v>
      </c>
    </row>
    <row r="28" spans="1:23" ht="75">
      <c r="A28" s="4">
        <v>2026</v>
      </c>
      <c r="B28" s="4" t="s">
        <v>175</v>
      </c>
      <c r="C28" s="4" t="s">
        <v>96</v>
      </c>
      <c r="D28" s="4">
        <v>7925087021</v>
      </c>
      <c r="E28" t="s">
        <v>11</v>
      </c>
      <c r="F28" s="9">
        <v>46223</v>
      </c>
      <c r="G28" s="4">
        <v>21</v>
      </c>
      <c r="H28" s="4" t="s">
        <v>176</v>
      </c>
      <c r="I28" s="4" t="s">
        <v>177</v>
      </c>
      <c r="J28" s="4" t="s">
        <v>76</v>
      </c>
      <c r="K28" s="4" t="s">
        <v>178</v>
      </c>
      <c r="L28" s="42" t="s">
        <v>179</v>
      </c>
      <c r="M28" s="4">
        <v>15</v>
      </c>
      <c r="N28" s="4">
        <v>10</v>
      </c>
      <c r="O28" s="4">
        <v>5</v>
      </c>
      <c r="P28" s="4">
        <v>0</v>
      </c>
      <c r="Q28" s="4">
        <v>15</v>
      </c>
      <c r="R28" s="4">
        <v>10</v>
      </c>
      <c r="S28" s="4">
        <v>0</v>
      </c>
      <c r="T28" s="4">
        <v>15</v>
      </c>
      <c r="U28" s="4">
        <v>70</v>
      </c>
      <c r="V28" s="4" t="s">
        <v>13</v>
      </c>
      <c r="W28" s="4" t="s">
        <v>180</v>
      </c>
    </row>
    <row r="29" spans="1:23" ht="225">
      <c r="A29" s="4">
        <v>2026</v>
      </c>
      <c r="B29" s="4" t="s">
        <v>181</v>
      </c>
      <c r="C29" s="4" t="s">
        <v>96</v>
      </c>
      <c r="D29" s="4">
        <v>5801866013</v>
      </c>
      <c r="E29" t="s">
        <v>10</v>
      </c>
      <c r="F29" s="9">
        <v>46220</v>
      </c>
      <c r="G29" s="4">
        <v>13</v>
      </c>
      <c r="H29" s="4" t="s">
        <v>97</v>
      </c>
      <c r="I29" s="4" t="s">
        <v>97</v>
      </c>
      <c r="J29" s="4" t="s">
        <v>42</v>
      </c>
      <c r="K29" s="4" t="s">
        <v>182</v>
      </c>
      <c r="L29" s="42" t="s">
        <v>183</v>
      </c>
      <c r="M29" s="4">
        <v>0</v>
      </c>
      <c r="N29" s="4">
        <v>20</v>
      </c>
      <c r="O29" s="4">
        <v>20</v>
      </c>
      <c r="P29" s="4">
        <v>20</v>
      </c>
      <c r="Q29" s="4">
        <v>10</v>
      </c>
      <c r="R29" s="4" t="s">
        <v>45</v>
      </c>
      <c r="S29" s="4" t="s">
        <v>45</v>
      </c>
      <c r="T29" s="4" t="s">
        <v>45</v>
      </c>
      <c r="U29" s="4">
        <v>70</v>
      </c>
      <c r="V29" s="4" t="s">
        <v>13</v>
      </c>
      <c r="W29" s="4" t="s">
        <v>184</v>
      </c>
    </row>
    <row r="30" spans="1:23" ht="135">
      <c r="A30" s="4">
        <v>2025</v>
      </c>
      <c r="B30" s="4" t="s">
        <v>185</v>
      </c>
      <c r="C30" s="4" t="s">
        <v>125</v>
      </c>
      <c r="D30" s="4">
        <v>5853360007</v>
      </c>
      <c r="E30" t="s">
        <v>10</v>
      </c>
      <c r="F30" s="9">
        <v>45946</v>
      </c>
      <c r="G30" s="4">
        <v>7</v>
      </c>
      <c r="H30" s="4" t="s">
        <v>186</v>
      </c>
      <c r="I30" s="4" t="s">
        <v>186</v>
      </c>
      <c r="J30" s="4" t="s">
        <v>42</v>
      </c>
      <c r="K30" s="4" t="s">
        <v>187</v>
      </c>
      <c r="L30" s="42" t="s">
        <v>188</v>
      </c>
      <c r="M30" s="4">
        <v>0</v>
      </c>
      <c r="N30" s="4">
        <v>20</v>
      </c>
      <c r="O30" s="4">
        <v>20</v>
      </c>
      <c r="P30" s="4">
        <v>10</v>
      </c>
      <c r="Q30" s="4">
        <v>20</v>
      </c>
      <c r="R30" s="4" t="s">
        <v>45</v>
      </c>
      <c r="S30" s="4" t="s">
        <v>45</v>
      </c>
      <c r="T30" s="4" t="s">
        <v>45</v>
      </c>
      <c r="U30" s="4">
        <v>70</v>
      </c>
      <c r="V30" s="4" t="s">
        <v>13</v>
      </c>
      <c r="W30" s="4" t="s">
        <v>189</v>
      </c>
    </row>
    <row r="31" spans="1:23" ht="135">
      <c r="A31" s="4">
        <v>2026</v>
      </c>
      <c r="B31" s="4" t="s">
        <v>190</v>
      </c>
      <c r="C31" s="4" t="s">
        <v>96</v>
      </c>
      <c r="D31" s="4">
        <v>7900573047</v>
      </c>
      <c r="E31" t="s">
        <v>11</v>
      </c>
      <c r="F31" s="9">
        <v>46223</v>
      </c>
      <c r="G31" s="4">
        <v>47</v>
      </c>
      <c r="H31" s="4" t="s">
        <v>191</v>
      </c>
      <c r="I31" s="4" t="s">
        <v>192</v>
      </c>
      <c r="J31" s="4" t="s">
        <v>76</v>
      </c>
      <c r="K31" s="4" t="s">
        <v>193</v>
      </c>
      <c r="L31" s="42" t="s">
        <v>194</v>
      </c>
      <c r="M31" s="4">
        <v>5</v>
      </c>
      <c r="N31" s="4">
        <v>5</v>
      </c>
      <c r="O31" s="4">
        <v>15</v>
      </c>
      <c r="P31" s="4">
        <v>0</v>
      </c>
      <c r="Q31" s="4">
        <v>15</v>
      </c>
      <c r="R31" s="4">
        <v>10</v>
      </c>
      <c r="S31" s="4">
        <v>0</v>
      </c>
      <c r="T31" s="4">
        <v>15</v>
      </c>
      <c r="U31" s="4">
        <v>65</v>
      </c>
      <c r="V31" s="4" t="s">
        <v>13</v>
      </c>
      <c r="W31" s="4" t="s">
        <v>195</v>
      </c>
    </row>
    <row r="32" spans="1:23" ht="120">
      <c r="A32" s="4">
        <v>2026</v>
      </c>
      <c r="B32" s="4" t="s">
        <v>196</v>
      </c>
      <c r="C32" s="4" t="s">
        <v>39</v>
      </c>
      <c r="D32" s="4">
        <v>7953610256</v>
      </c>
      <c r="E32" t="s">
        <v>11</v>
      </c>
      <c r="F32" s="9">
        <v>46219</v>
      </c>
      <c r="G32" s="4">
        <v>256</v>
      </c>
      <c r="H32" s="4" t="s">
        <v>107</v>
      </c>
      <c r="I32" s="4" t="s">
        <v>108</v>
      </c>
      <c r="J32" s="4" t="s">
        <v>42</v>
      </c>
      <c r="K32" s="4" t="s">
        <v>109</v>
      </c>
      <c r="L32" s="42" t="s">
        <v>197</v>
      </c>
      <c r="M32" s="4">
        <v>5</v>
      </c>
      <c r="N32" s="4">
        <v>5</v>
      </c>
      <c r="O32" s="4">
        <v>15</v>
      </c>
      <c r="P32" s="4">
        <v>15</v>
      </c>
      <c r="Q32" s="4">
        <v>0</v>
      </c>
      <c r="R32" s="4">
        <v>0</v>
      </c>
      <c r="S32" s="4">
        <v>10</v>
      </c>
      <c r="T32" s="4">
        <v>15</v>
      </c>
      <c r="U32" s="4">
        <v>65</v>
      </c>
      <c r="V32" s="4" t="s">
        <v>13</v>
      </c>
      <c r="W32" s="4" t="s">
        <v>198</v>
      </c>
    </row>
    <row r="33" spans="1:23" ht="195">
      <c r="A33" s="4">
        <v>2026</v>
      </c>
      <c r="B33" s="4" t="s">
        <v>199</v>
      </c>
      <c r="C33" s="4" t="s">
        <v>73</v>
      </c>
      <c r="D33" s="4">
        <v>5800438116</v>
      </c>
      <c r="E33" t="s">
        <v>10</v>
      </c>
      <c r="F33" s="9">
        <v>46204</v>
      </c>
      <c r="G33" s="4">
        <v>116</v>
      </c>
      <c r="H33" s="4" t="s">
        <v>200</v>
      </c>
      <c r="I33" s="4" t="s">
        <v>75</v>
      </c>
      <c r="J33" s="4" t="s">
        <v>76</v>
      </c>
      <c r="K33" s="4" t="s">
        <v>77</v>
      </c>
      <c r="L33" s="42" t="s">
        <v>201</v>
      </c>
      <c r="M33" s="4">
        <v>0</v>
      </c>
      <c r="N33" s="4">
        <v>20</v>
      </c>
      <c r="O33" s="4">
        <v>20</v>
      </c>
      <c r="P33" s="4">
        <v>20</v>
      </c>
      <c r="Q33" s="4">
        <v>0</v>
      </c>
      <c r="R33" s="4" t="s">
        <v>45</v>
      </c>
      <c r="S33" s="4" t="s">
        <v>45</v>
      </c>
      <c r="T33" s="4" t="s">
        <v>45</v>
      </c>
      <c r="U33" s="4">
        <v>60</v>
      </c>
      <c r="V33" s="4" t="s">
        <v>14</v>
      </c>
      <c r="W33" s="4" t="s">
        <v>202</v>
      </c>
    </row>
    <row r="34" spans="1:23" ht="90">
      <c r="A34" s="4">
        <v>2026</v>
      </c>
      <c r="B34" s="4" t="s">
        <v>203</v>
      </c>
      <c r="C34" s="4" t="s">
        <v>56</v>
      </c>
      <c r="D34" s="4">
        <v>5840227063</v>
      </c>
      <c r="E34" t="s">
        <v>10</v>
      </c>
      <c r="F34" s="9">
        <v>46223</v>
      </c>
      <c r="G34" s="4">
        <v>63</v>
      </c>
      <c r="H34" s="4" t="s">
        <v>204</v>
      </c>
      <c r="I34" s="4" t="s">
        <v>154</v>
      </c>
      <c r="J34" s="4" t="s">
        <v>51</v>
      </c>
      <c r="K34" s="4" t="s">
        <v>205</v>
      </c>
      <c r="L34" s="42" t="s">
        <v>206</v>
      </c>
      <c r="M34" s="4">
        <v>0</v>
      </c>
      <c r="N34" s="4">
        <v>20</v>
      </c>
      <c r="O34" s="4">
        <v>20</v>
      </c>
      <c r="P34" s="4">
        <v>10</v>
      </c>
      <c r="Q34" s="4">
        <v>10</v>
      </c>
      <c r="R34" s="4" t="s">
        <v>45</v>
      </c>
      <c r="S34" s="4" t="s">
        <v>45</v>
      </c>
      <c r="T34" s="4" t="s">
        <v>45</v>
      </c>
      <c r="U34" s="4">
        <v>60</v>
      </c>
      <c r="V34" s="4" t="s">
        <v>14</v>
      </c>
      <c r="W34" s="4" t="s">
        <v>207</v>
      </c>
    </row>
    <row r="35" spans="1:23" ht="195">
      <c r="A35" s="4">
        <v>2026</v>
      </c>
      <c r="B35" s="4" t="s">
        <v>208</v>
      </c>
      <c r="C35" s="4" t="s">
        <v>67</v>
      </c>
      <c r="D35" s="4">
        <v>5851753086</v>
      </c>
      <c r="E35" t="s">
        <v>10</v>
      </c>
      <c r="F35" s="9">
        <v>46175</v>
      </c>
      <c r="G35" s="4">
        <v>86</v>
      </c>
      <c r="H35" s="4" t="s">
        <v>209</v>
      </c>
      <c r="I35" s="4" t="s">
        <v>210</v>
      </c>
      <c r="J35" s="4" t="s">
        <v>42</v>
      </c>
      <c r="K35" s="4" t="s">
        <v>211</v>
      </c>
      <c r="L35" s="42" t="s">
        <v>212</v>
      </c>
      <c r="M35" s="4">
        <v>0</v>
      </c>
      <c r="N35" s="4">
        <v>20</v>
      </c>
      <c r="O35" s="4">
        <v>20</v>
      </c>
      <c r="P35" s="4">
        <v>10</v>
      </c>
      <c r="Q35" s="4">
        <v>10</v>
      </c>
      <c r="R35" s="4" t="s">
        <v>45</v>
      </c>
      <c r="S35" s="4" t="s">
        <v>45</v>
      </c>
      <c r="T35" s="4" t="s">
        <v>45</v>
      </c>
      <c r="U35" s="4">
        <v>60</v>
      </c>
      <c r="V35" s="4" t="s">
        <v>14</v>
      </c>
      <c r="W35" s="4" t="s">
        <v>213</v>
      </c>
    </row>
    <row r="36" spans="1:23" ht="105">
      <c r="A36" s="4">
        <v>2026</v>
      </c>
      <c r="B36" s="4" t="s">
        <v>214</v>
      </c>
      <c r="C36" s="4" t="s">
        <v>67</v>
      </c>
      <c r="D36" s="4">
        <v>5846328094</v>
      </c>
      <c r="E36" t="s">
        <v>10</v>
      </c>
      <c r="F36" s="9">
        <v>46211</v>
      </c>
      <c r="G36" s="4">
        <v>94</v>
      </c>
      <c r="H36" s="4" t="s">
        <v>177</v>
      </c>
      <c r="I36" s="4" t="s">
        <v>177</v>
      </c>
      <c r="J36" s="4" t="s">
        <v>76</v>
      </c>
      <c r="K36" s="4" t="s">
        <v>215</v>
      </c>
      <c r="L36" s="42" t="s">
        <v>216</v>
      </c>
      <c r="M36" s="4">
        <v>0</v>
      </c>
      <c r="N36" s="4">
        <v>20</v>
      </c>
      <c r="O36" s="4">
        <v>20</v>
      </c>
      <c r="P36" s="4">
        <v>10</v>
      </c>
      <c r="Q36" s="4">
        <v>10</v>
      </c>
      <c r="R36" s="4" t="s">
        <v>45</v>
      </c>
      <c r="S36" s="4" t="s">
        <v>45</v>
      </c>
      <c r="T36" s="4" t="s">
        <v>45</v>
      </c>
      <c r="U36" s="4">
        <v>60</v>
      </c>
      <c r="V36" s="4" t="s">
        <v>14</v>
      </c>
      <c r="W36" s="4" t="s">
        <v>217</v>
      </c>
    </row>
    <row r="37" spans="1:23" ht="60">
      <c r="A37" s="4">
        <v>2025</v>
      </c>
      <c r="B37" s="4" t="s">
        <v>218</v>
      </c>
      <c r="C37" s="4" t="s">
        <v>56</v>
      </c>
      <c r="D37" s="4">
        <v>7903112004</v>
      </c>
      <c r="E37" t="s">
        <v>11</v>
      </c>
      <c r="F37" s="9">
        <v>45903</v>
      </c>
      <c r="G37" s="4">
        <v>4</v>
      </c>
      <c r="H37" s="4" t="s">
        <v>57</v>
      </c>
      <c r="I37" s="4" t="s">
        <v>57</v>
      </c>
      <c r="J37" s="4" t="s">
        <v>51</v>
      </c>
      <c r="K37" s="4" t="s">
        <v>103</v>
      </c>
      <c r="L37" s="42" t="s">
        <v>219</v>
      </c>
      <c r="M37" s="4">
        <v>15</v>
      </c>
      <c r="N37" s="4">
        <v>10</v>
      </c>
      <c r="O37" s="4">
        <v>5</v>
      </c>
      <c r="P37" s="4">
        <v>15</v>
      </c>
      <c r="Q37" s="4">
        <v>0</v>
      </c>
      <c r="R37" s="4">
        <v>10</v>
      </c>
      <c r="S37" s="4">
        <v>0</v>
      </c>
      <c r="T37" s="4">
        <v>0</v>
      </c>
      <c r="U37" s="4">
        <v>55</v>
      </c>
      <c r="V37" s="4" t="s">
        <v>13</v>
      </c>
      <c r="W37" s="4" t="s">
        <v>220</v>
      </c>
    </row>
    <row r="38" spans="1:23" ht="120">
      <c r="A38" s="4">
        <v>2025</v>
      </c>
      <c r="B38" s="4" t="s">
        <v>221</v>
      </c>
      <c r="C38" s="4" t="s">
        <v>56</v>
      </c>
      <c r="D38" s="4">
        <v>7920024127</v>
      </c>
      <c r="E38" t="s">
        <v>11</v>
      </c>
      <c r="F38" s="9">
        <v>45839</v>
      </c>
      <c r="G38" s="4">
        <v>127</v>
      </c>
      <c r="H38" s="4" t="s">
        <v>222</v>
      </c>
      <c r="I38" s="4" t="s">
        <v>223</v>
      </c>
      <c r="J38" s="4" t="s">
        <v>51</v>
      </c>
      <c r="K38" s="4" t="s">
        <v>224</v>
      </c>
      <c r="L38" s="42" t="s">
        <v>225</v>
      </c>
      <c r="M38" s="4">
        <v>15</v>
      </c>
      <c r="N38" s="4">
        <v>10</v>
      </c>
      <c r="O38" s="4">
        <v>5</v>
      </c>
      <c r="P38" s="4">
        <v>15</v>
      </c>
      <c r="Q38" s="4">
        <v>0</v>
      </c>
      <c r="R38" s="4">
        <v>10</v>
      </c>
      <c r="S38" s="4">
        <v>0</v>
      </c>
      <c r="T38" s="4">
        <v>0</v>
      </c>
      <c r="U38" s="4">
        <v>55</v>
      </c>
      <c r="V38" s="4" t="s">
        <v>13</v>
      </c>
      <c r="W38" s="4" t="s">
        <v>226</v>
      </c>
    </row>
    <row r="39" spans="1:23" ht="90">
      <c r="A39" s="4">
        <v>2026</v>
      </c>
      <c r="B39" s="4" t="s">
        <v>227</v>
      </c>
      <c r="C39" s="4" t="s">
        <v>56</v>
      </c>
      <c r="D39" s="4">
        <v>7927646026</v>
      </c>
      <c r="E39" t="s">
        <v>11</v>
      </c>
      <c r="F39" s="9">
        <v>46057</v>
      </c>
      <c r="G39" s="4">
        <v>26</v>
      </c>
      <c r="H39" s="4" t="s">
        <v>108</v>
      </c>
      <c r="I39" s="4" t="s">
        <v>108</v>
      </c>
      <c r="J39" s="4" t="s">
        <v>42</v>
      </c>
      <c r="K39" s="4" t="s">
        <v>109</v>
      </c>
      <c r="L39" s="42" t="s">
        <v>228</v>
      </c>
      <c r="M39" s="4">
        <v>15</v>
      </c>
      <c r="N39" s="4">
        <v>10</v>
      </c>
      <c r="O39" s="4">
        <v>5</v>
      </c>
      <c r="P39" s="4">
        <v>0</v>
      </c>
      <c r="Q39" s="4">
        <v>15</v>
      </c>
      <c r="R39" s="4">
        <v>0</v>
      </c>
      <c r="S39" s="4">
        <v>10</v>
      </c>
      <c r="T39" s="4">
        <v>0</v>
      </c>
      <c r="U39" s="4">
        <v>55</v>
      </c>
      <c r="V39" s="4" t="s">
        <v>13</v>
      </c>
      <c r="W39" s="4" t="s">
        <v>229</v>
      </c>
    </row>
    <row r="40" spans="1:23" ht="120">
      <c r="A40" s="4">
        <v>2026</v>
      </c>
      <c r="B40" s="4" t="s">
        <v>230</v>
      </c>
      <c r="C40" s="4" t="s">
        <v>96</v>
      </c>
      <c r="D40" s="4">
        <v>7927169001</v>
      </c>
      <c r="E40" t="s">
        <v>11</v>
      </c>
      <c r="F40" s="9">
        <v>46224</v>
      </c>
      <c r="G40" s="4">
        <v>1</v>
      </c>
      <c r="H40" s="4" t="s">
        <v>41</v>
      </c>
      <c r="I40" s="4" t="s">
        <v>41</v>
      </c>
      <c r="J40" s="4" t="s">
        <v>42</v>
      </c>
      <c r="K40" s="4" t="s">
        <v>149</v>
      </c>
      <c r="L40" s="42" t="s">
        <v>231</v>
      </c>
      <c r="M40" s="4">
        <v>5</v>
      </c>
      <c r="N40" s="4">
        <v>5</v>
      </c>
      <c r="O40" s="4">
        <v>15</v>
      </c>
      <c r="P40" s="4">
        <v>0</v>
      </c>
      <c r="Q40" s="4">
        <v>15</v>
      </c>
      <c r="R40" s="4">
        <v>0</v>
      </c>
      <c r="S40" s="4">
        <v>0</v>
      </c>
      <c r="T40" s="4">
        <v>15</v>
      </c>
      <c r="U40" s="4">
        <v>55</v>
      </c>
      <c r="V40" s="4" t="s">
        <v>13</v>
      </c>
      <c r="W40" s="4" t="s">
        <v>232</v>
      </c>
    </row>
    <row r="41" spans="1:23" ht="135">
      <c r="A41" s="4">
        <v>2026</v>
      </c>
      <c r="B41" s="4" t="s">
        <v>233</v>
      </c>
      <c r="C41" s="4" t="s">
        <v>39</v>
      </c>
      <c r="D41" s="4">
        <v>5800291035</v>
      </c>
      <c r="E41" t="s">
        <v>10</v>
      </c>
      <c r="F41" s="9">
        <v>46112</v>
      </c>
      <c r="G41" s="4">
        <v>35</v>
      </c>
      <c r="H41" s="4" t="s">
        <v>234</v>
      </c>
      <c r="I41" s="4" t="s">
        <v>108</v>
      </c>
      <c r="J41" s="4" t="s">
        <v>42</v>
      </c>
      <c r="K41" s="4" t="s">
        <v>235</v>
      </c>
      <c r="L41" s="42" t="s">
        <v>236</v>
      </c>
      <c r="M41" s="4">
        <v>0</v>
      </c>
      <c r="N41" s="4">
        <v>20</v>
      </c>
      <c r="O41" s="4">
        <v>20</v>
      </c>
      <c r="P41" s="4">
        <v>10</v>
      </c>
      <c r="Q41" s="4">
        <v>0</v>
      </c>
      <c r="R41" s="4" t="s">
        <v>45</v>
      </c>
      <c r="S41" s="4" t="s">
        <v>45</v>
      </c>
      <c r="T41" s="4" t="s">
        <v>45</v>
      </c>
      <c r="U41" s="4">
        <v>50</v>
      </c>
      <c r="V41" s="4" t="s">
        <v>14</v>
      </c>
      <c r="W41" s="4" t="s">
        <v>237</v>
      </c>
    </row>
    <row r="42" spans="1:23" ht="90">
      <c r="A42" s="4">
        <v>2026</v>
      </c>
      <c r="B42" s="4" t="s">
        <v>238</v>
      </c>
      <c r="C42" s="4" t="s">
        <v>56</v>
      </c>
      <c r="D42" s="4">
        <v>7930428001</v>
      </c>
      <c r="E42" t="s">
        <v>11</v>
      </c>
      <c r="F42" s="9">
        <v>46223</v>
      </c>
      <c r="G42" s="4">
        <v>1</v>
      </c>
      <c r="H42" s="4" t="s">
        <v>41</v>
      </c>
      <c r="I42" s="4" t="s">
        <v>41</v>
      </c>
      <c r="J42" s="4" t="s">
        <v>42</v>
      </c>
      <c r="K42" s="4" t="s">
        <v>239</v>
      </c>
      <c r="L42" s="42" t="s">
        <v>240</v>
      </c>
      <c r="M42" s="4">
        <v>5</v>
      </c>
      <c r="N42" s="4">
        <v>5</v>
      </c>
      <c r="O42" s="4">
        <v>15</v>
      </c>
      <c r="P42" s="4">
        <v>0</v>
      </c>
      <c r="Q42" s="4">
        <v>15</v>
      </c>
      <c r="R42" s="4">
        <v>10</v>
      </c>
      <c r="S42" s="4">
        <v>0</v>
      </c>
      <c r="T42" s="4">
        <v>0</v>
      </c>
      <c r="U42" s="4">
        <v>50</v>
      </c>
      <c r="V42" s="4" t="s">
        <v>13</v>
      </c>
      <c r="W42" s="4" t="s">
        <v>241</v>
      </c>
    </row>
    <row r="43" spans="1:23" ht="150">
      <c r="A43" s="4">
        <v>2026</v>
      </c>
      <c r="B43" s="4" t="s">
        <v>242</v>
      </c>
      <c r="C43" s="4" t="s">
        <v>125</v>
      </c>
      <c r="D43" s="4">
        <v>5827102054</v>
      </c>
      <c r="E43" t="s">
        <v>10</v>
      </c>
      <c r="F43" s="9">
        <v>46202</v>
      </c>
      <c r="G43" s="4">
        <v>54</v>
      </c>
      <c r="H43" s="4" t="s">
        <v>243</v>
      </c>
      <c r="I43" s="4" t="s">
        <v>97</v>
      </c>
      <c r="J43" s="4" t="s">
        <v>42</v>
      </c>
      <c r="K43" s="4" t="s">
        <v>244</v>
      </c>
      <c r="L43" s="42" t="s">
        <v>245</v>
      </c>
      <c r="M43" s="4">
        <v>0</v>
      </c>
      <c r="N43" s="4">
        <v>20</v>
      </c>
      <c r="O43" s="4">
        <v>20</v>
      </c>
      <c r="P43" s="4">
        <v>10</v>
      </c>
      <c r="Q43" s="4">
        <v>0</v>
      </c>
      <c r="R43" s="4" t="s">
        <v>45</v>
      </c>
      <c r="S43" s="4" t="s">
        <v>45</v>
      </c>
      <c r="T43" s="4" t="s">
        <v>45</v>
      </c>
      <c r="U43" s="4">
        <v>50</v>
      </c>
      <c r="V43" s="4" t="s">
        <v>14</v>
      </c>
      <c r="W43" s="4" t="s">
        <v>246</v>
      </c>
    </row>
    <row r="44" spans="1:23" ht="120">
      <c r="A44" s="4">
        <v>2025</v>
      </c>
      <c r="B44" s="4" t="s">
        <v>247</v>
      </c>
      <c r="C44" s="4" t="s">
        <v>56</v>
      </c>
      <c r="D44" s="4">
        <v>7900535058</v>
      </c>
      <c r="E44" t="s">
        <v>11</v>
      </c>
      <c r="F44" s="9">
        <v>45894</v>
      </c>
      <c r="G44" s="4">
        <v>58</v>
      </c>
      <c r="H44" s="4" t="s">
        <v>248</v>
      </c>
      <c r="I44" s="4" t="s">
        <v>57</v>
      </c>
      <c r="J44" s="4" t="s">
        <v>51</v>
      </c>
      <c r="K44" s="4" t="s">
        <v>249</v>
      </c>
      <c r="L44" s="42" t="s">
        <v>250</v>
      </c>
      <c r="M44" s="4">
        <v>5</v>
      </c>
      <c r="N44" s="4">
        <v>10</v>
      </c>
      <c r="O44" s="4">
        <v>5</v>
      </c>
      <c r="P44" s="4">
        <v>0</v>
      </c>
      <c r="Q44" s="4">
        <v>15</v>
      </c>
      <c r="R44" s="4">
        <v>10</v>
      </c>
      <c r="S44" s="4">
        <v>0</v>
      </c>
      <c r="T44" s="4">
        <v>0</v>
      </c>
      <c r="U44" s="4">
        <v>45</v>
      </c>
      <c r="V44" s="4" t="s">
        <v>14</v>
      </c>
      <c r="W44" s="4" t="s">
        <v>251</v>
      </c>
    </row>
    <row r="45" spans="1:23" ht="45">
      <c r="A45" s="4">
        <v>2025</v>
      </c>
      <c r="B45" s="4" t="s">
        <v>252</v>
      </c>
      <c r="C45" s="4" t="s">
        <v>56</v>
      </c>
      <c r="D45" s="4">
        <v>5800961074</v>
      </c>
      <c r="E45" t="s">
        <v>10</v>
      </c>
      <c r="F45" s="9">
        <v>45996</v>
      </c>
      <c r="G45" s="4">
        <v>74</v>
      </c>
      <c r="H45" s="4" t="s">
        <v>75</v>
      </c>
      <c r="I45" s="4" t="s">
        <v>75</v>
      </c>
      <c r="J45" s="4" t="s">
        <v>76</v>
      </c>
      <c r="K45" s="4" t="s">
        <v>253</v>
      </c>
      <c r="L45" s="42" t="s">
        <v>254</v>
      </c>
      <c r="M45" s="4">
        <v>20</v>
      </c>
      <c r="N45" s="4">
        <v>0</v>
      </c>
      <c r="O45" s="4">
        <v>0</v>
      </c>
      <c r="P45" s="4">
        <v>20</v>
      </c>
      <c r="Q45" s="4">
        <v>0</v>
      </c>
      <c r="R45" s="4" t="s">
        <v>45</v>
      </c>
      <c r="S45" s="4" t="s">
        <v>45</v>
      </c>
      <c r="T45" s="4" t="s">
        <v>45</v>
      </c>
      <c r="U45" s="4">
        <v>40</v>
      </c>
      <c r="V45" s="4" t="s">
        <v>14</v>
      </c>
      <c r="W45" s="4" t="s">
        <v>255</v>
      </c>
    </row>
    <row r="46" spans="1:23" ht="60">
      <c r="A46" s="4">
        <v>2026</v>
      </c>
      <c r="B46" s="4" t="s">
        <v>256</v>
      </c>
      <c r="C46" s="4" t="s">
        <v>56</v>
      </c>
      <c r="D46" s="4">
        <v>7944559149</v>
      </c>
      <c r="E46" t="s">
        <v>11</v>
      </c>
      <c r="F46" s="9">
        <v>46112</v>
      </c>
      <c r="G46" s="4">
        <v>149</v>
      </c>
      <c r="H46" s="4" t="s">
        <v>257</v>
      </c>
      <c r="I46" s="4" t="s">
        <v>210</v>
      </c>
      <c r="J46" s="4" t="s">
        <v>42</v>
      </c>
      <c r="K46" s="4" t="s">
        <v>258</v>
      </c>
      <c r="L46" s="42" t="s">
        <v>259</v>
      </c>
      <c r="M46" s="4">
        <v>5</v>
      </c>
      <c r="N46" s="4">
        <v>10</v>
      </c>
      <c r="O46" s="4">
        <v>0</v>
      </c>
      <c r="P46" s="4">
        <v>0</v>
      </c>
      <c r="Q46" s="4">
        <v>15</v>
      </c>
      <c r="R46" s="4">
        <v>10</v>
      </c>
      <c r="S46" s="4">
        <v>0</v>
      </c>
      <c r="T46" s="4">
        <v>0</v>
      </c>
      <c r="U46" s="4">
        <v>40</v>
      </c>
      <c r="V46" s="4" t="s">
        <v>14</v>
      </c>
      <c r="W46" s="4" t="s">
        <v>260</v>
      </c>
    </row>
    <row r="47" spans="1:23" ht="45">
      <c r="A47" s="4">
        <v>2026</v>
      </c>
      <c r="B47" s="4" t="s">
        <v>261</v>
      </c>
      <c r="C47" s="4" t="s">
        <v>56</v>
      </c>
      <c r="D47" s="4">
        <v>7937102148</v>
      </c>
      <c r="E47" t="s">
        <v>11</v>
      </c>
      <c r="F47" s="9">
        <v>46210</v>
      </c>
      <c r="G47" s="4">
        <v>148</v>
      </c>
      <c r="H47" s="4" t="s">
        <v>262</v>
      </c>
      <c r="I47" s="4" t="s">
        <v>177</v>
      </c>
      <c r="J47" s="4" t="s">
        <v>76</v>
      </c>
      <c r="K47" s="4" t="s">
        <v>263</v>
      </c>
      <c r="L47" s="42" t="s">
        <v>264</v>
      </c>
      <c r="M47" s="4">
        <v>5</v>
      </c>
      <c r="N47" s="4">
        <v>5</v>
      </c>
      <c r="O47" s="4">
        <v>5</v>
      </c>
      <c r="P47" s="4">
        <v>0</v>
      </c>
      <c r="Q47" s="4">
        <v>15</v>
      </c>
      <c r="R47" s="4">
        <v>10</v>
      </c>
      <c r="S47" s="4">
        <v>0</v>
      </c>
      <c r="T47" s="4">
        <v>0</v>
      </c>
      <c r="U47" s="4">
        <v>40</v>
      </c>
      <c r="V47" s="4" t="s">
        <v>14</v>
      </c>
      <c r="W47" s="4" t="s">
        <v>265</v>
      </c>
    </row>
    <row r="48" spans="1:23" ht="60">
      <c r="A48" s="4">
        <v>2026</v>
      </c>
      <c r="B48" s="4" t="s">
        <v>266</v>
      </c>
      <c r="C48" s="4" t="s">
        <v>96</v>
      </c>
      <c r="D48" s="4">
        <v>7922995039</v>
      </c>
      <c r="E48" t="s">
        <v>11</v>
      </c>
      <c r="F48" s="9">
        <v>46202</v>
      </c>
      <c r="G48" s="4">
        <v>39</v>
      </c>
      <c r="H48" s="4" t="s">
        <v>267</v>
      </c>
      <c r="I48" s="4" t="s">
        <v>132</v>
      </c>
      <c r="J48" s="4" t="s">
        <v>51</v>
      </c>
      <c r="K48" s="4" t="s">
        <v>268</v>
      </c>
      <c r="L48" s="42" t="s">
        <v>269</v>
      </c>
      <c r="M48" s="4">
        <v>5</v>
      </c>
      <c r="N48" s="4">
        <v>5</v>
      </c>
      <c r="O48" s="4">
        <v>0</v>
      </c>
      <c r="P48" s="4">
        <v>0</v>
      </c>
      <c r="Q48" s="4">
        <v>15</v>
      </c>
      <c r="R48" s="4">
        <v>10</v>
      </c>
      <c r="S48" s="4">
        <v>0</v>
      </c>
      <c r="T48" s="4">
        <v>0</v>
      </c>
      <c r="U48" s="4">
        <v>35</v>
      </c>
      <c r="V48" s="4" t="s">
        <v>14</v>
      </c>
      <c r="W48" s="4" t="s">
        <v>270</v>
      </c>
    </row>
    <row r="49" spans="1:23" ht="30">
      <c r="A49" s="4">
        <v>2026</v>
      </c>
      <c r="B49" s="4" t="s">
        <v>271</v>
      </c>
      <c r="C49" s="4" t="s">
        <v>56</v>
      </c>
      <c r="D49" s="4">
        <v>7933585074</v>
      </c>
      <c r="E49" t="s">
        <v>11</v>
      </c>
      <c r="F49" s="9">
        <v>46049</v>
      </c>
      <c r="G49" s="4">
        <v>74</v>
      </c>
      <c r="H49" s="4" t="s">
        <v>75</v>
      </c>
      <c r="I49" s="4" t="s">
        <v>75</v>
      </c>
      <c r="J49" s="4" t="s">
        <v>76</v>
      </c>
      <c r="K49" s="4" t="s">
        <v>253</v>
      </c>
      <c r="L49" s="42" t="s">
        <v>272</v>
      </c>
      <c r="M49" s="4">
        <v>5</v>
      </c>
      <c r="N49" s="4">
        <v>5</v>
      </c>
      <c r="O49" s="4">
        <v>15</v>
      </c>
      <c r="P49" s="4">
        <v>0</v>
      </c>
      <c r="Q49" s="4">
        <v>0</v>
      </c>
      <c r="R49" s="4">
        <v>0</v>
      </c>
      <c r="S49" s="4">
        <v>10</v>
      </c>
      <c r="T49" s="4">
        <v>0</v>
      </c>
      <c r="U49" s="4">
        <v>35</v>
      </c>
      <c r="V49" s="4" t="s">
        <v>14</v>
      </c>
      <c r="W49" s="4" t="s">
        <v>273</v>
      </c>
    </row>
    <row r="50" spans="1:23" ht="60">
      <c r="A50" s="4">
        <v>2026</v>
      </c>
      <c r="B50" s="4" t="s">
        <v>274</v>
      </c>
      <c r="C50" s="4" t="s">
        <v>56</v>
      </c>
      <c r="D50" s="4">
        <v>7955986084</v>
      </c>
      <c r="E50" t="s">
        <v>11</v>
      </c>
      <c r="F50" s="9">
        <v>46211</v>
      </c>
      <c r="G50" s="4">
        <v>84</v>
      </c>
      <c r="H50" s="4" t="s">
        <v>210</v>
      </c>
      <c r="I50" s="4" t="s">
        <v>210</v>
      </c>
      <c r="J50" s="4" t="s">
        <v>42</v>
      </c>
      <c r="K50" s="4" t="s">
        <v>275</v>
      </c>
      <c r="L50" s="42" t="s">
        <v>276</v>
      </c>
      <c r="M50" s="4">
        <v>5</v>
      </c>
      <c r="N50" s="4">
        <v>5</v>
      </c>
      <c r="O50" s="4">
        <v>0</v>
      </c>
      <c r="P50" s="4">
        <v>0</v>
      </c>
      <c r="Q50" s="4">
        <v>15</v>
      </c>
      <c r="R50" s="4">
        <v>10</v>
      </c>
      <c r="S50" s="4">
        <v>0</v>
      </c>
      <c r="T50" s="4">
        <v>0</v>
      </c>
      <c r="U50" s="4">
        <v>35</v>
      </c>
      <c r="V50" s="4" t="s">
        <v>14</v>
      </c>
      <c r="W50" s="4" t="s">
        <v>277</v>
      </c>
    </row>
    <row r="51" spans="1:23" ht="75">
      <c r="A51" s="4">
        <v>2026</v>
      </c>
      <c r="B51" s="4" t="s">
        <v>278</v>
      </c>
      <c r="C51" s="4" t="s">
        <v>56</v>
      </c>
      <c r="D51" s="4">
        <v>7927396052</v>
      </c>
      <c r="E51" t="s">
        <v>11</v>
      </c>
      <c r="F51" s="9">
        <v>46083</v>
      </c>
      <c r="G51" s="4">
        <v>52</v>
      </c>
      <c r="H51" s="4" t="s">
        <v>192</v>
      </c>
      <c r="I51" s="4" t="s">
        <v>192</v>
      </c>
      <c r="J51" s="4" t="s">
        <v>76</v>
      </c>
      <c r="K51" s="4" t="s">
        <v>279</v>
      </c>
      <c r="L51" s="42" t="s">
        <v>280</v>
      </c>
      <c r="M51" s="4">
        <v>5</v>
      </c>
      <c r="N51" s="4">
        <v>5</v>
      </c>
      <c r="O51" s="4">
        <v>0</v>
      </c>
      <c r="P51" s="4">
        <v>0</v>
      </c>
      <c r="Q51" s="4">
        <v>15</v>
      </c>
      <c r="R51" s="4">
        <v>10</v>
      </c>
      <c r="S51" s="4">
        <v>0</v>
      </c>
      <c r="T51" s="4">
        <v>0</v>
      </c>
      <c r="U51" s="4">
        <v>35</v>
      </c>
      <c r="V51" s="4" t="s">
        <v>14</v>
      </c>
      <c r="W51" s="4" t="s">
        <v>281</v>
      </c>
    </row>
    <row r="52" spans="1:23" ht="150">
      <c r="A52" s="4">
        <v>2026</v>
      </c>
      <c r="B52" s="4" t="s">
        <v>282</v>
      </c>
      <c r="C52" s="4" t="s">
        <v>56</v>
      </c>
      <c r="D52" s="4">
        <v>7925733015</v>
      </c>
      <c r="E52" t="s">
        <v>11</v>
      </c>
      <c r="F52" s="9">
        <v>46111</v>
      </c>
      <c r="G52" s="4">
        <v>15</v>
      </c>
      <c r="H52" s="4" t="s">
        <v>283</v>
      </c>
      <c r="I52" s="4" t="s">
        <v>50</v>
      </c>
      <c r="J52" s="4" t="s">
        <v>51</v>
      </c>
      <c r="K52" s="4" t="s">
        <v>284</v>
      </c>
      <c r="L52" s="42" t="s">
        <v>285</v>
      </c>
      <c r="M52" s="4">
        <v>5</v>
      </c>
      <c r="N52" s="4">
        <v>5</v>
      </c>
      <c r="O52" s="4">
        <v>0</v>
      </c>
      <c r="P52" s="4">
        <v>0</v>
      </c>
      <c r="Q52" s="4">
        <v>15</v>
      </c>
      <c r="R52" s="4">
        <v>10</v>
      </c>
      <c r="S52" s="4">
        <v>0</v>
      </c>
      <c r="T52" s="4">
        <v>0</v>
      </c>
      <c r="U52" s="4">
        <v>35</v>
      </c>
      <c r="V52" s="4" t="s">
        <v>14</v>
      </c>
      <c r="W52" s="4" t="s">
        <v>286</v>
      </c>
    </row>
    <row r="53" spans="1:23" ht="75">
      <c r="A53" s="4">
        <v>2026</v>
      </c>
      <c r="B53" s="4" t="s">
        <v>287</v>
      </c>
      <c r="C53" s="4" t="s">
        <v>56</v>
      </c>
      <c r="D53" s="4">
        <v>7900525015</v>
      </c>
      <c r="E53" t="s">
        <v>11</v>
      </c>
      <c r="F53" s="9">
        <v>46210</v>
      </c>
      <c r="G53" s="4">
        <v>15</v>
      </c>
      <c r="H53" s="4" t="s">
        <v>283</v>
      </c>
      <c r="I53" s="4" t="s">
        <v>50</v>
      </c>
      <c r="J53" s="4" t="s">
        <v>51</v>
      </c>
      <c r="K53" s="4" t="s">
        <v>82</v>
      </c>
      <c r="L53" s="42" t="s">
        <v>288</v>
      </c>
      <c r="M53" s="4">
        <v>5</v>
      </c>
      <c r="N53" s="4">
        <v>5</v>
      </c>
      <c r="O53" s="4">
        <v>0</v>
      </c>
      <c r="P53" s="4">
        <v>0</v>
      </c>
      <c r="Q53" s="4">
        <v>15</v>
      </c>
      <c r="R53" s="4">
        <v>10</v>
      </c>
      <c r="S53" s="4">
        <v>0</v>
      </c>
      <c r="T53" s="4">
        <v>0</v>
      </c>
      <c r="U53" s="4">
        <v>35</v>
      </c>
      <c r="V53" s="4" t="s">
        <v>14</v>
      </c>
      <c r="W53" s="4" t="s">
        <v>289</v>
      </c>
    </row>
    <row r="54" spans="1:23" ht="90">
      <c r="A54" s="4">
        <v>2026</v>
      </c>
      <c r="B54" s="4" t="s">
        <v>290</v>
      </c>
      <c r="C54" s="4" t="s">
        <v>56</v>
      </c>
      <c r="D54" s="4">
        <v>7908249152</v>
      </c>
      <c r="E54" t="s">
        <v>11</v>
      </c>
      <c r="F54" s="9">
        <v>46077</v>
      </c>
      <c r="G54" s="4">
        <v>152</v>
      </c>
      <c r="H54" s="4" t="s">
        <v>291</v>
      </c>
      <c r="I54" s="4" t="s">
        <v>41</v>
      </c>
      <c r="J54" s="4" t="s">
        <v>42</v>
      </c>
      <c r="K54" s="4" t="s">
        <v>43</v>
      </c>
      <c r="L54" s="42" t="s">
        <v>292</v>
      </c>
      <c r="M54" s="4">
        <v>5</v>
      </c>
      <c r="N54" s="4">
        <v>5</v>
      </c>
      <c r="O54" s="4">
        <v>0</v>
      </c>
      <c r="P54" s="4">
        <v>0</v>
      </c>
      <c r="Q54" s="4">
        <v>15</v>
      </c>
      <c r="R54" s="4">
        <v>10</v>
      </c>
      <c r="S54" s="4">
        <v>0</v>
      </c>
      <c r="T54" s="4">
        <v>0</v>
      </c>
      <c r="U54" s="4">
        <v>35</v>
      </c>
      <c r="V54" s="4" t="s">
        <v>14</v>
      </c>
      <c r="W54" s="4" t="s">
        <v>293</v>
      </c>
    </row>
    <row r="55" spans="1:23" ht="105">
      <c r="A55" s="4">
        <v>2026</v>
      </c>
      <c r="B55" s="4" t="s">
        <v>294</v>
      </c>
      <c r="C55" s="4" t="s">
        <v>96</v>
      </c>
      <c r="D55" s="4">
        <v>7942572059</v>
      </c>
      <c r="E55" t="s">
        <v>11</v>
      </c>
      <c r="F55" s="9">
        <v>46224</v>
      </c>
      <c r="G55" s="4">
        <v>59</v>
      </c>
      <c r="H55" s="4" t="s">
        <v>62</v>
      </c>
      <c r="I55" s="4" t="s">
        <v>62</v>
      </c>
      <c r="J55" s="4" t="s">
        <v>42</v>
      </c>
      <c r="K55" s="4" t="s">
        <v>295</v>
      </c>
      <c r="L55" s="42" t="s">
        <v>296</v>
      </c>
      <c r="M55" s="4">
        <v>5</v>
      </c>
      <c r="N55" s="4">
        <v>5</v>
      </c>
      <c r="O55" s="4">
        <v>15</v>
      </c>
      <c r="P55" s="4">
        <v>0</v>
      </c>
      <c r="Q55" s="4">
        <v>0</v>
      </c>
      <c r="R55" s="4">
        <v>0</v>
      </c>
      <c r="S55" s="4">
        <v>10</v>
      </c>
      <c r="T55" s="4">
        <v>0</v>
      </c>
      <c r="U55" s="4">
        <v>35</v>
      </c>
      <c r="V55" s="4" t="s">
        <v>14</v>
      </c>
      <c r="W55" s="4" t="s">
        <v>297</v>
      </c>
    </row>
    <row r="56" spans="1:23" ht="60">
      <c r="A56" s="4">
        <v>2026</v>
      </c>
      <c r="B56" s="4" t="s">
        <v>298</v>
      </c>
      <c r="C56" s="4" t="s">
        <v>56</v>
      </c>
      <c r="D56" s="4">
        <v>7928564039</v>
      </c>
      <c r="E56" t="s">
        <v>11</v>
      </c>
      <c r="F56" s="9">
        <v>46210</v>
      </c>
      <c r="G56" s="4">
        <v>39</v>
      </c>
      <c r="H56" s="4" t="s">
        <v>267</v>
      </c>
      <c r="I56" s="4" t="s">
        <v>132</v>
      </c>
      <c r="J56" s="4" t="s">
        <v>51</v>
      </c>
      <c r="K56" s="4" t="s">
        <v>133</v>
      </c>
      <c r="L56" s="42" t="s">
        <v>299</v>
      </c>
      <c r="M56" s="4">
        <v>5</v>
      </c>
      <c r="N56" s="4">
        <v>10</v>
      </c>
      <c r="O56" s="4">
        <v>5</v>
      </c>
      <c r="P56" s="4">
        <v>0</v>
      </c>
      <c r="Q56" s="4">
        <v>0</v>
      </c>
      <c r="R56" s="4">
        <v>10</v>
      </c>
      <c r="S56" s="4">
        <v>0</v>
      </c>
      <c r="T56" s="4">
        <v>0</v>
      </c>
      <c r="U56" s="4">
        <v>30</v>
      </c>
      <c r="V56" s="4" t="s">
        <v>14</v>
      </c>
      <c r="W56" s="4" t="s">
        <v>300</v>
      </c>
    </row>
    <row r="57" spans="1:23" ht="105">
      <c r="A57" s="4">
        <v>2026</v>
      </c>
      <c r="B57" s="4" t="s">
        <v>301</v>
      </c>
      <c r="C57" s="4" t="s">
        <v>56</v>
      </c>
      <c r="D57" s="4">
        <v>5855411017</v>
      </c>
      <c r="E57" t="s">
        <v>10</v>
      </c>
      <c r="F57" s="9">
        <v>46227</v>
      </c>
      <c r="G57" s="4">
        <v>17</v>
      </c>
      <c r="H57" s="4" t="s">
        <v>302</v>
      </c>
      <c r="I57" s="4" t="s">
        <v>186</v>
      </c>
      <c r="J57" s="4" t="s">
        <v>42</v>
      </c>
      <c r="K57" s="4" t="s">
        <v>303</v>
      </c>
      <c r="L57" s="42" t="s">
        <v>304</v>
      </c>
      <c r="M57" s="4">
        <v>0</v>
      </c>
      <c r="N57" s="4">
        <v>0</v>
      </c>
      <c r="O57" s="4">
        <v>0</v>
      </c>
      <c r="P57" s="4">
        <v>10</v>
      </c>
      <c r="Q57" s="4">
        <v>20</v>
      </c>
      <c r="R57" s="4" t="s">
        <v>45</v>
      </c>
      <c r="S57" s="4" t="s">
        <v>45</v>
      </c>
      <c r="T57" s="4" t="s">
        <v>45</v>
      </c>
      <c r="U57" s="4">
        <v>30</v>
      </c>
      <c r="V57" s="4" t="s">
        <v>15</v>
      </c>
      <c r="W57" s="4" t="s">
        <v>305</v>
      </c>
    </row>
    <row r="58" spans="1:23" ht="150">
      <c r="A58" s="4">
        <v>2026</v>
      </c>
      <c r="B58" s="4" t="s">
        <v>306</v>
      </c>
      <c r="C58" s="4" t="s">
        <v>67</v>
      </c>
      <c r="D58" s="4">
        <v>7908196047</v>
      </c>
      <c r="E58" t="s">
        <v>11</v>
      </c>
      <c r="F58" s="9">
        <v>46216</v>
      </c>
      <c r="G58" s="4">
        <v>47</v>
      </c>
      <c r="H58" s="4" t="s">
        <v>191</v>
      </c>
      <c r="I58" s="4" t="s">
        <v>192</v>
      </c>
      <c r="J58" s="4" t="s">
        <v>76</v>
      </c>
      <c r="K58" s="4" t="s">
        <v>193</v>
      </c>
      <c r="L58" s="42" t="s">
        <v>307</v>
      </c>
      <c r="M58" s="4">
        <v>5</v>
      </c>
      <c r="N58" s="4">
        <v>5</v>
      </c>
      <c r="O58" s="4">
        <v>5</v>
      </c>
      <c r="P58" s="4">
        <v>0</v>
      </c>
      <c r="Q58" s="4">
        <v>0</v>
      </c>
      <c r="R58" s="4">
        <v>0</v>
      </c>
      <c r="S58" s="4">
        <v>10</v>
      </c>
      <c r="T58" s="4">
        <v>0</v>
      </c>
      <c r="U58" s="4">
        <v>25</v>
      </c>
      <c r="V58" s="4" t="s">
        <v>15</v>
      </c>
      <c r="W58" s="4" t="s">
        <v>308</v>
      </c>
    </row>
    <row r="59" spans="1:23" ht="60">
      <c r="A59" s="4">
        <v>2026</v>
      </c>
      <c r="B59" s="4" t="s">
        <v>309</v>
      </c>
      <c r="C59" s="4" t="s">
        <v>56</v>
      </c>
      <c r="D59" s="4">
        <v>7955946007</v>
      </c>
      <c r="E59" t="s">
        <v>11</v>
      </c>
      <c r="F59" s="9">
        <v>46211</v>
      </c>
      <c r="G59" s="4">
        <v>7</v>
      </c>
      <c r="H59" s="4" t="s">
        <v>186</v>
      </c>
      <c r="I59" s="4" t="s">
        <v>186</v>
      </c>
      <c r="J59" s="4" t="s">
        <v>42</v>
      </c>
      <c r="K59" s="4" t="s">
        <v>187</v>
      </c>
      <c r="L59" s="42" t="s">
        <v>310</v>
      </c>
      <c r="M59" s="4">
        <v>5</v>
      </c>
      <c r="N59" s="4">
        <v>5</v>
      </c>
      <c r="O59" s="4">
        <v>5</v>
      </c>
      <c r="P59" s="4">
        <v>0</v>
      </c>
      <c r="Q59" s="4">
        <v>0</v>
      </c>
      <c r="R59" s="4">
        <v>0</v>
      </c>
      <c r="S59" s="4">
        <v>10</v>
      </c>
      <c r="T59" s="4">
        <v>0</v>
      </c>
      <c r="U59" s="4">
        <v>25</v>
      </c>
      <c r="V59" s="4" t="s">
        <v>15</v>
      </c>
      <c r="W59" s="4" t="s">
        <v>311</v>
      </c>
    </row>
    <row r="60" spans="1:23" ht="75">
      <c r="A60" s="4">
        <v>2026</v>
      </c>
      <c r="B60" s="4" t="s">
        <v>312</v>
      </c>
      <c r="C60" s="4" t="s">
        <v>56</v>
      </c>
      <c r="D60" s="4">
        <v>7923927122</v>
      </c>
      <c r="E60" t="s">
        <v>11</v>
      </c>
      <c r="F60" s="9">
        <v>46219</v>
      </c>
      <c r="G60" s="4">
        <v>122</v>
      </c>
      <c r="H60" s="4" t="s">
        <v>68</v>
      </c>
      <c r="I60" s="4" t="s">
        <v>68</v>
      </c>
      <c r="J60" s="4" t="s">
        <v>42</v>
      </c>
      <c r="K60" s="4" t="s">
        <v>295</v>
      </c>
      <c r="L60" s="42" t="s">
        <v>313</v>
      </c>
      <c r="M60" s="4">
        <v>15</v>
      </c>
      <c r="N60" s="4">
        <v>0</v>
      </c>
      <c r="O60" s="4">
        <v>0</v>
      </c>
      <c r="P60" s="4">
        <v>0</v>
      </c>
      <c r="Q60" s="4">
        <v>0</v>
      </c>
      <c r="R60" s="4">
        <v>10</v>
      </c>
      <c r="S60" s="4">
        <v>0</v>
      </c>
      <c r="T60" s="4">
        <v>0</v>
      </c>
      <c r="U60" s="4">
        <v>25</v>
      </c>
      <c r="V60" s="4" t="s">
        <v>15</v>
      </c>
      <c r="W60" s="4" t="s">
        <v>314</v>
      </c>
    </row>
    <row r="61" spans="1:23" ht="90">
      <c r="A61" s="4">
        <v>2025</v>
      </c>
      <c r="B61" s="4" t="s">
        <v>315</v>
      </c>
      <c r="C61" s="4" t="s">
        <v>56</v>
      </c>
      <c r="D61" s="4">
        <v>7942485096</v>
      </c>
      <c r="E61" t="s">
        <v>11</v>
      </c>
      <c r="F61" s="9">
        <v>45861</v>
      </c>
      <c r="G61" s="4">
        <v>96</v>
      </c>
      <c r="H61" s="4" t="s">
        <v>316</v>
      </c>
      <c r="I61" s="4" t="s">
        <v>108</v>
      </c>
      <c r="J61" s="4" t="s">
        <v>42</v>
      </c>
      <c r="K61" s="4" t="s">
        <v>109</v>
      </c>
      <c r="L61" s="42" t="s">
        <v>317</v>
      </c>
      <c r="M61" s="4">
        <v>5</v>
      </c>
      <c r="N61" s="4">
        <v>5</v>
      </c>
      <c r="O61" s="4">
        <v>5</v>
      </c>
      <c r="P61" s="4">
        <v>0</v>
      </c>
      <c r="Q61" s="4">
        <v>0</v>
      </c>
      <c r="R61" s="4">
        <v>10</v>
      </c>
      <c r="S61" s="4">
        <v>0</v>
      </c>
      <c r="T61" s="4">
        <v>0</v>
      </c>
      <c r="U61" s="4">
        <v>25</v>
      </c>
      <c r="V61" s="4" t="s">
        <v>15</v>
      </c>
      <c r="W61" s="4" t="s">
        <v>318</v>
      </c>
    </row>
    <row r="62" spans="1:23" ht="120">
      <c r="A62" s="4">
        <v>2026</v>
      </c>
      <c r="B62" s="4" t="s">
        <v>319</v>
      </c>
      <c r="C62" s="4" t="s">
        <v>56</v>
      </c>
      <c r="D62" s="4">
        <v>7921202014</v>
      </c>
      <c r="E62" t="s">
        <v>11</v>
      </c>
      <c r="F62" s="9">
        <v>46211</v>
      </c>
      <c r="G62" s="4">
        <v>14</v>
      </c>
      <c r="H62" s="4" t="s">
        <v>126</v>
      </c>
      <c r="I62" s="4" t="s">
        <v>97</v>
      </c>
      <c r="J62" s="4" t="s">
        <v>42</v>
      </c>
      <c r="K62" s="4" t="s">
        <v>320</v>
      </c>
      <c r="L62" s="42" t="s">
        <v>321</v>
      </c>
      <c r="M62" s="4">
        <v>5</v>
      </c>
      <c r="N62" s="4">
        <v>5</v>
      </c>
      <c r="O62" s="4">
        <v>5</v>
      </c>
      <c r="P62" s="4">
        <v>0</v>
      </c>
      <c r="Q62" s="4">
        <v>0</v>
      </c>
      <c r="R62" s="4">
        <v>10</v>
      </c>
      <c r="S62" s="4">
        <v>0</v>
      </c>
      <c r="T62" s="4">
        <v>0</v>
      </c>
      <c r="U62" s="4">
        <v>25</v>
      </c>
      <c r="V62" s="4" t="s">
        <v>15</v>
      </c>
      <c r="W62" s="4" t="s">
        <v>322</v>
      </c>
    </row>
    <row r="63" spans="1:23" ht="105">
      <c r="A63" s="4">
        <v>2025</v>
      </c>
      <c r="B63" s="4" t="s">
        <v>323</v>
      </c>
      <c r="C63" s="4" t="s">
        <v>56</v>
      </c>
      <c r="D63" s="4">
        <v>7927446001</v>
      </c>
      <c r="E63" t="s">
        <v>11</v>
      </c>
      <c r="F63" s="9">
        <v>45846</v>
      </c>
      <c r="G63" s="4">
        <v>1</v>
      </c>
      <c r="H63" s="4" t="s">
        <v>41</v>
      </c>
      <c r="I63" s="4" t="s">
        <v>41</v>
      </c>
      <c r="J63" s="4" t="s">
        <v>42</v>
      </c>
      <c r="K63" s="4" t="s">
        <v>43</v>
      </c>
      <c r="L63" s="42" t="s">
        <v>324</v>
      </c>
      <c r="M63" s="4">
        <v>5</v>
      </c>
      <c r="N63" s="4">
        <v>5</v>
      </c>
      <c r="O63" s="4">
        <v>5</v>
      </c>
      <c r="P63" s="4">
        <v>0</v>
      </c>
      <c r="Q63" s="4">
        <v>0</v>
      </c>
      <c r="R63" s="4">
        <v>10</v>
      </c>
      <c r="S63" s="4">
        <v>0</v>
      </c>
      <c r="T63" s="4">
        <v>0</v>
      </c>
      <c r="U63" s="4">
        <v>25</v>
      </c>
      <c r="V63" s="4" t="s">
        <v>15</v>
      </c>
      <c r="W63" s="4" t="s">
        <v>325</v>
      </c>
    </row>
    <row r="64" spans="1:23" ht="90">
      <c r="A64" s="4">
        <v>2026</v>
      </c>
      <c r="B64" s="4" t="s">
        <v>326</v>
      </c>
      <c r="C64" s="4" t="s">
        <v>56</v>
      </c>
      <c r="D64" s="4">
        <v>7928241200</v>
      </c>
      <c r="E64" t="s">
        <v>11</v>
      </c>
      <c r="F64" s="9">
        <v>46210</v>
      </c>
      <c r="G64" s="4">
        <v>200</v>
      </c>
      <c r="H64" s="4" t="s">
        <v>327</v>
      </c>
      <c r="I64" s="4" t="s">
        <v>177</v>
      </c>
      <c r="J64" s="4" t="s">
        <v>76</v>
      </c>
      <c r="K64" s="4" t="s">
        <v>328</v>
      </c>
      <c r="L64" s="42" t="s">
        <v>329</v>
      </c>
      <c r="M64" s="4">
        <v>5</v>
      </c>
      <c r="N64" s="4">
        <v>5</v>
      </c>
      <c r="O64" s="4">
        <v>5</v>
      </c>
      <c r="P64" s="4">
        <v>0</v>
      </c>
      <c r="Q64" s="4">
        <v>0</v>
      </c>
      <c r="R64" s="4">
        <v>10</v>
      </c>
      <c r="S64" s="4">
        <v>0</v>
      </c>
      <c r="T64" s="4">
        <v>0</v>
      </c>
      <c r="U64" s="4">
        <v>25</v>
      </c>
      <c r="V64" s="4" t="s">
        <v>15</v>
      </c>
      <c r="W64" s="4" t="s">
        <v>330</v>
      </c>
    </row>
    <row r="65" spans="1:23" ht="90">
      <c r="A65" s="4">
        <v>2026</v>
      </c>
      <c r="B65" s="4" t="s">
        <v>331</v>
      </c>
      <c r="C65" s="4" t="s">
        <v>56</v>
      </c>
      <c r="D65" s="4">
        <v>7901110084</v>
      </c>
      <c r="E65" t="s">
        <v>11</v>
      </c>
      <c r="F65" s="9">
        <v>46112</v>
      </c>
      <c r="G65" s="4">
        <v>84</v>
      </c>
      <c r="H65" s="4" t="s">
        <v>210</v>
      </c>
      <c r="I65" s="4" t="s">
        <v>210</v>
      </c>
      <c r="J65" s="4" t="s">
        <v>42</v>
      </c>
      <c r="K65" s="4" t="s">
        <v>275</v>
      </c>
      <c r="L65" s="42" t="s">
        <v>332</v>
      </c>
      <c r="M65" s="4">
        <v>5</v>
      </c>
      <c r="N65" s="4">
        <v>5</v>
      </c>
      <c r="O65" s="4">
        <v>0</v>
      </c>
      <c r="P65" s="4">
        <v>0</v>
      </c>
      <c r="Q65" s="4">
        <v>0</v>
      </c>
      <c r="R65" s="4">
        <v>0</v>
      </c>
      <c r="S65" s="4">
        <v>10</v>
      </c>
      <c r="T65" s="4">
        <v>0</v>
      </c>
      <c r="U65" s="4">
        <v>20</v>
      </c>
      <c r="V65" s="4" t="s">
        <v>15</v>
      </c>
      <c r="W65" s="4" t="s">
        <v>333</v>
      </c>
    </row>
    <row r="66" spans="1:23" ht="75">
      <c r="A66" s="4">
        <v>2026</v>
      </c>
      <c r="B66" s="4" t="s">
        <v>334</v>
      </c>
      <c r="C66" s="4" t="s">
        <v>56</v>
      </c>
      <c r="D66" s="4">
        <v>7913662076</v>
      </c>
      <c r="E66" t="s">
        <v>11</v>
      </c>
      <c r="F66" s="9">
        <v>46183</v>
      </c>
      <c r="G66" s="4">
        <v>76</v>
      </c>
      <c r="H66" s="4" t="s">
        <v>335</v>
      </c>
      <c r="I66" s="4" t="s">
        <v>336</v>
      </c>
      <c r="J66" s="4" t="s">
        <v>76</v>
      </c>
      <c r="K66" s="4" t="s">
        <v>337</v>
      </c>
      <c r="L66" s="42" t="s">
        <v>338</v>
      </c>
      <c r="M66" s="4">
        <v>5</v>
      </c>
      <c r="N66" s="4">
        <v>5</v>
      </c>
      <c r="O66" s="4">
        <v>0</v>
      </c>
      <c r="P66" s="4">
        <v>0</v>
      </c>
      <c r="Q66" s="4">
        <v>0</v>
      </c>
      <c r="R66" s="4">
        <v>10</v>
      </c>
      <c r="S66" s="4">
        <v>0</v>
      </c>
      <c r="T66" s="4">
        <v>0</v>
      </c>
      <c r="U66" s="4">
        <v>20</v>
      </c>
      <c r="V66" s="4" t="s">
        <v>15</v>
      </c>
      <c r="W66" s="4" t="s">
        <v>339</v>
      </c>
    </row>
    <row r="67" spans="1:23" ht="60">
      <c r="A67" s="4">
        <v>2026</v>
      </c>
      <c r="B67" s="4" t="s">
        <v>340</v>
      </c>
      <c r="C67" s="4" t="s">
        <v>73</v>
      </c>
      <c r="D67" s="4">
        <v>5862236091</v>
      </c>
      <c r="E67" t="s">
        <v>10</v>
      </c>
      <c r="F67" s="9">
        <v>46223</v>
      </c>
      <c r="G67" s="4">
        <v>91</v>
      </c>
      <c r="H67" s="4" t="s">
        <v>74</v>
      </c>
      <c r="I67" s="4" t="s">
        <v>75</v>
      </c>
      <c r="J67" s="4" t="s">
        <v>76</v>
      </c>
      <c r="K67" s="4" t="s">
        <v>341</v>
      </c>
      <c r="L67" s="42" t="s">
        <v>342</v>
      </c>
      <c r="M67" s="4">
        <v>0</v>
      </c>
      <c r="N67" s="4">
        <v>0</v>
      </c>
      <c r="O67" s="4">
        <v>0</v>
      </c>
      <c r="P67" s="4">
        <v>20</v>
      </c>
      <c r="Q67" s="4">
        <v>0</v>
      </c>
      <c r="R67" s="4" t="s">
        <v>45</v>
      </c>
      <c r="S67" s="4" t="s">
        <v>45</v>
      </c>
      <c r="T67" s="4" t="s">
        <v>45</v>
      </c>
      <c r="U67" s="4">
        <v>20</v>
      </c>
      <c r="V67" s="4" t="s">
        <v>15</v>
      </c>
      <c r="W67" s="4" t="s">
        <v>343</v>
      </c>
    </row>
    <row r="68" spans="1:23" ht="30">
      <c r="A68" s="4">
        <v>2026</v>
      </c>
      <c r="B68" s="4" t="s">
        <v>344</v>
      </c>
      <c r="C68" s="4" t="s">
        <v>56</v>
      </c>
      <c r="D68" s="4">
        <v>5836786094</v>
      </c>
      <c r="E68" t="s">
        <v>10</v>
      </c>
      <c r="F68" s="9">
        <v>46160</v>
      </c>
      <c r="G68" s="4">
        <v>94</v>
      </c>
      <c r="H68" s="4" t="s">
        <v>177</v>
      </c>
      <c r="I68" s="4" t="s">
        <v>177</v>
      </c>
      <c r="J68" s="4" t="s">
        <v>76</v>
      </c>
      <c r="K68" s="4" t="s">
        <v>263</v>
      </c>
      <c r="L68" s="42" t="s">
        <v>345</v>
      </c>
      <c r="M68" s="4">
        <v>0</v>
      </c>
      <c r="N68" s="4">
        <v>0</v>
      </c>
      <c r="O68" s="4">
        <v>0</v>
      </c>
      <c r="P68" s="4">
        <v>10</v>
      </c>
      <c r="Q68" s="4">
        <v>10</v>
      </c>
      <c r="R68" s="4" t="s">
        <v>45</v>
      </c>
      <c r="S68" s="4" t="s">
        <v>45</v>
      </c>
      <c r="T68" s="4" t="s">
        <v>45</v>
      </c>
      <c r="U68" s="4">
        <v>20</v>
      </c>
      <c r="V68" s="4" t="s">
        <v>15</v>
      </c>
      <c r="W68" s="4" t="s">
        <v>346</v>
      </c>
    </row>
    <row r="69" spans="1:23" ht="210">
      <c r="A69" s="4">
        <v>2026</v>
      </c>
      <c r="B69" s="4" t="s">
        <v>347</v>
      </c>
      <c r="C69" s="4" t="s">
        <v>125</v>
      </c>
      <c r="D69" s="4">
        <v>7919270014</v>
      </c>
      <c r="E69" t="s">
        <v>11</v>
      </c>
      <c r="F69" s="9">
        <v>46225</v>
      </c>
      <c r="G69" s="4">
        <v>14</v>
      </c>
      <c r="H69" s="4" t="s">
        <v>126</v>
      </c>
      <c r="I69" s="4" t="s">
        <v>97</v>
      </c>
      <c r="J69" s="4" t="s">
        <v>42</v>
      </c>
      <c r="K69" s="4" t="s">
        <v>348</v>
      </c>
      <c r="L69" s="42" t="s">
        <v>349</v>
      </c>
      <c r="M69" s="4">
        <v>5</v>
      </c>
      <c r="N69" s="4">
        <v>5</v>
      </c>
      <c r="O69" s="4">
        <v>0</v>
      </c>
      <c r="P69" s="4">
        <v>0</v>
      </c>
      <c r="Q69" s="4">
        <v>0</v>
      </c>
      <c r="R69" s="4">
        <v>10</v>
      </c>
      <c r="S69" s="4">
        <v>0</v>
      </c>
      <c r="T69" s="4">
        <v>0</v>
      </c>
      <c r="U69" s="4">
        <v>20</v>
      </c>
      <c r="V69" s="4" t="s">
        <v>15</v>
      </c>
      <c r="W69" s="4" t="s">
        <v>350</v>
      </c>
    </row>
    <row r="70" spans="1:23" ht="135">
      <c r="A70" s="4">
        <v>2026</v>
      </c>
      <c r="B70" s="4" t="s">
        <v>351</v>
      </c>
      <c r="C70" s="4" t="s">
        <v>56</v>
      </c>
      <c r="D70" s="4">
        <v>7926442035</v>
      </c>
      <c r="E70" t="s">
        <v>11</v>
      </c>
      <c r="F70" s="9">
        <v>46099</v>
      </c>
      <c r="G70" s="4">
        <v>35</v>
      </c>
      <c r="H70" s="4" t="s">
        <v>234</v>
      </c>
      <c r="I70" s="4" t="s">
        <v>108</v>
      </c>
      <c r="J70" s="4" t="s">
        <v>42</v>
      </c>
      <c r="K70" s="4" t="s">
        <v>235</v>
      </c>
      <c r="L70" s="42" t="s">
        <v>352</v>
      </c>
      <c r="M70" s="4">
        <v>5</v>
      </c>
      <c r="N70" s="4">
        <v>5</v>
      </c>
      <c r="O70" s="4">
        <v>0</v>
      </c>
      <c r="P70" s="4">
        <v>0</v>
      </c>
      <c r="Q70" s="4">
        <v>0</v>
      </c>
      <c r="R70" s="4">
        <v>0</v>
      </c>
      <c r="S70" s="4">
        <v>10</v>
      </c>
      <c r="T70" s="4">
        <v>0</v>
      </c>
      <c r="U70" s="4">
        <v>20</v>
      </c>
      <c r="V70" s="4" t="s">
        <v>15</v>
      </c>
      <c r="W70" s="4" t="s">
        <v>353</v>
      </c>
    </row>
    <row r="71" spans="1:23" ht="105">
      <c r="A71" s="4">
        <v>2026</v>
      </c>
      <c r="B71" s="4" t="s">
        <v>354</v>
      </c>
      <c r="C71" s="4" t="s">
        <v>56</v>
      </c>
      <c r="D71" s="4">
        <v>7938137007</v>
      </c>
      <c r="E71" t="s">
        <v>11</v>
      </c>
      <c r="F71" s="9">
        <v>46218</v>
      </c>
      <c r="G71" s="4">
        <v>7</v>
      </c>
      <c r="H71" s="4" t="s">
        <v>186</v>
      </c>
      <c r="I71" s="4" t="s">
        <v>186</v>
      </c>
      <c r="J71" s="4" t="s">
        <v>42</v>
      </c>
      <c r="K71" s="4" t="s">
        <v>303</v>
      </c>
      <c r="L71" s="42" t="s">
        <v>355</v>
      </c>
      <c r="M71" s="4">
        <v>5</v>
      </c>
      <c r="N71" s="4">
        <v>5</v>
      </c>
      <c r="O71" s="4">
        <v>5</v>
      </c>
      <c r="P71" s="4">
        <v>0</v>
      </c>
      <c r="Q71" s="4">
        <v>0</v>
      </c>
      <c r="R71" s="4">
        <v>0</v>
      </c>
      <c r="S71" s="4">
        <v>0</v>
      </c>
      <c r="T71" s="4">
        <v>0</v>
      </c>
      <c r="U71" s="4">
        <v>15</v>
      </c>
      <c r="V71" s="4" t="s">
        <v>15</v>
      </c>
      <c r="W71" s="4" t="s">
        <v>356</v>
      </c>
    </row>
    <row r="72" spans="1:23" ht="150">
      <c r="A72" s="4">
        <v>2026</v>
      </c>
      <c r="B72" s="4" t="s">
        <v>357</v>
      </c>
      <c r="C72" s="4" t="s">
        <v>73</v>
      </c>
      <c r="D72" s="4">
        <v>5856156091</v>
      </c>
      <c r="E72" t="s">
        <v>10</v>
      </c>
      <c r="F72" s="9">
        <v>46202</v>
      </c>
      <c r="G72" s="4">
        <v>91</v>
      </c>
      <c r="H72" s="4" t="s">
        <v>74</v>
      </c>
      <c r="I72" s="4" t="s">
        <v>75</v>
      </c>
      <c r="J72" s="4" t="s">
        <v>76</v>
      </c>
      <c r="K72" s="4" t="s">
        <v>77</v>
      </c>
      <c r="L72" s="42" t="s">
        <v>358</v>
      </c>
      <c r="M72" s="4">
        <v>0</v>
      </c>
      <c r="N72" s="4">
        <v>0</v>
      </c>
      <c r="O72" s="4">
        <v>0</v>
      </c>
      <c r="P72" s="4">
        <v>0</v>
      </c>
      <c r="Q72" s="4">
        <v>0</v>
      </c>
      <c r="R72" s="4" t="s">
        <v>45</v>
      </c>
      <c r="S72" s="4" t="s">
        <v>45</v>
      </c>
      <c r="T72" s="4" t="s">
        <v>45</v>
      </c>
      <c r="U72" s="4">
        <v>0</v>
      </c>
      <c r="V72" s="4" t="s">
        <v>15</v>
      </c>
      <c r="W72" s="4" t="s">
        <v>359</v>
      </c>
    </row>
    <row r="73" spans="1:23" ht="135">
      <c r="A73" s="4">
        <v>2026</v>
      </c>
      <c r="B73" s="4" t="s">
        <v>360</v>
      </c>
      <c r="C73" s="4" t="s">
        <v>67</v>
      </c>
      <c r="D73" s="4">
        <v>5858783119</v>
      </c>
      <c r="E73" t="s">
        <v>10</v>
      </c>
      <c r="F73" s="9">
        <v>46230</v>
      </c>
      <c r="G73" s="4">
        <v>119</v>
      </c>
      <c r="H73" s="4" t="s">
        <v>361</v>
      </c>
      <c r="I73" s="4" t="s">
        <v>223</v>
      </c>
      <c r="J73" s="4" t="s">
        <v>51</v>
      </c>
      <c r="K73" s="4" t="s">
        <v>362</v>
      </c>
      <c r="L73" s="42" t="s">
        <v>363</v>
      </c>
      <c r="M73" s="4">
        <v>0</v>
      </c>
      <c r="N73" s="4">
        <v>0</v>
      </c>
      <c r="O73" s="4">
        <v>0</v>
      </c>
      <c r="P73" s="4">
        <v>0</v>
      </c>
      <c r="Q73" s="4">
        <v>0</v>
      </c>
      <c r="R73" s="4" t="s">
        <v>45</v>
      </c>
      <c r="S73" s="4" t="s">
        <v>45</v>
      </c>
      <c r="T73" s="4" t="s">
        <v>45</v>
      </c>
      <c r="U73" s="4">
        <v>0</v>
      </c>
      <c r="V73" s="4" t="s">
        <v>15</v>
      </c>
      <c r="W73" s="4" t="s">
        <v>364</v>
      </c>
    </row>
    <row r="74" spans="1:23" ht="60">
      <c r="A74" s="4">
        <v>2026</v>
      </c>
      <c r="B74" s="4" t="s">
        <v>365</v>
      </c>
      <c r="C74" s="4" t="s">
        <v>67</v>
      </c>
      <c r="D74" s="4">
        <v>7955832052</v>
      </c>
      <c r="E74" t="s">
        <v>11</v>
      </c>
      <c r="F74" s="9">
        <v>46207</v>
      </c>
      <c r="G74" s="4">
        <v>52</v>
      </c>
      <c r="H74" s="4" t="s">
        <v>192</v>
      </c>
      <c r="I74" s="4" t="s">
        <v>192</v>
      </c>
      <c r="J74" s="4" t="s">
        <v>76</v>
      </c>
      <c r="K74" s="4" t="s">
        <v>366</v>
      </c>
      <c r="L74" s="42" t="s">
        <v>367</v>
      </c>
      <c r="U74" s="4">
        <v>0</v>
      </c>
      <c r="V74" s="4" t="s">
        <v>368</v>
      </c>
    </row>
    <row r="75" spans="1:23" ht="60">
      <c r="A75" s="4">
        <v>2026</v>
      </c>
      <c r="B75" s="4" t="s">
        <v>369</v>
      </c>
      <c r="C75" s="4" t="s">
        <v>56</v>
      </c>
      <c r="D75" s="4">
        <v>7930359149</v>
      </c>
      <c r="E75" t="s">
        <v>11</v>
      </c>
      <c r="F75" s="9">
        <v>46216</v>
      </c>
      <c r="G75" s="4">
        <v>149</v>
      </c>
      <c r="H75" s="4" t="s">
        <v>257</v>
      </c>
      <c r="I75" s="4" t="s">
        <v>210</v>
      </c>
      <c r="J75" s="4" t="s">
        <v>42</v>
      </c>
      <c r="K75" s="4" t="s">
        <v>370</v>
      </c>
      <c r="L75" s="42" t="s">
        <v>371</v>
      </c>
      <c r="U75" s="4">
        <v>0</v>
      </c>
      <c r="V75" s="4" t="s">
        <v>368</v>
      </c>
    </row>
    <row r="76" spans="1:23" ht="30">
      <c r="A76" s="4">
        <v>2026</v>
      </c>
      <c r="B76" s="4" t="s">
        <v>372</v>
      </c>
      <c r="C76" s="4" t="s">
        <v>67</v>
      </c>
      <c r="D76" s="4">
        <v>7902098003</v>
      </c>
      <c r="E76" t="s">
        <v>11</v>
      </c>
      <c r="F76" s="9">
        <v>46188</v>
      </c>
      <c r="G76" s="4">
        <v>3</v>
      </c>
      <c r="H76" s="4" t="s">
        <v>336</v>
      </c>
      <c r="I76" s="4" t="s">
        <v>336</v>
      </c>
      <c r="J76" s="4" t="s">
        <v>76</v>
      </c>
      <c r="K76" s="4" t="s">
        <v>373</v>
      </c>
      <c r="L76" s="42" t="s">
        <v>374</v>
      </c>
      <c r="U76" s="4">
        <v>0</v>
      </c>
      <c r="V76" s="4" t="s">
        <v>368</v>
      </c>
    </row>
    <row r="77" spans="1:23" ht="45">
      <c r="A77" s="4">
        <v>2026</v>
      </c>
      <c r="B77" s="4" t="s">
        <v>375</v>
      </c>
      <c r="C77" s="4" t="s">
        <v>56</v>
      </c>
      <c r="D77" s="4">
        <v>7953211079</v>
      </c>
      <c r="E77" t="s">
        <v>11</v>
      </c>
      <c r="F77" s="9">
        <v>46219</v>
      </c>
      <c r="G77" s="4">
        <v>79</v>
      </c>
      <c r="H77" s="4" t="s">
        <v>376</v>
      </c>
      <c r="I77" s="4" t="s">
        <v>50</v>
      </c>
      <c r="J77" s="4" t="s">
        <v>51</v>
      </c>
      <c r="K77" s="4" t="s">
        <v>377</v>
      </c>
      <c r="L77" s="42" t="s">
        <v>378</v>
      </c>
      <c r="U77" s="4">
        <v>0</v>
      </c>
      <c r="V77" s="4" t="s">
        <v>368</v>
      </c>
    </row>
    <row r="78" spans="1:23" ht="30">
      <c r="A78" s="4">
        <v>2026</v>
      </c>
      <c r="B78" s="4" t="s">
        <v>379</v>
      </c>
      <c r="C78" s="4" t="s">
        <v>67</v>
      </c>
      <c r="D78" s="4">
        <v>7949648145</v>
      </c>
      <c r="E78" t="s">
        <v>11</v>
      </c>
      <c r="F78" s="9">
        <v>46186</v>
      </c>
      <c r="G78" s="4">
        <v>145</v>
      </c>
      <c r="H78" s="4" t="s">
        <v>380</v>
      </c>
      <c r="I78" s="4" t="s">
        <v>132</v>
      </c>
      <c r="J78" s="4" t="s">
        <v>51</v>
      </c>
      <c r="K78" s="4" t="s">
        <v>381</v>
      </c>
      <c r="L78" s="42" t="s">
        <v>382</v>
      </c>
      <c r="U78" s="4">
        <v>0</v>
      </c>
      <c r="V78" s="4" t="s">
        <v>368</v>
      </c>
    </row>
    <row r="79" spans="1:23" ht="30">
      <c r="A79" s="4">
        <v>2026</v>
      </c>
      <c r="B79" s="4" t="s">
        <v>383</v>
      </c>
      <c r="C79" s="4" t="s">
        <v>67</v>
      </c>
      <c r="D79" s="4">
        <v>7908300096</v>
      </c>
      <c r="E79" t="s">
        <v>11</v>
      </c>
      <c r="F79" s="9">
        <v>46191</v>
      </c>
      <c r="G79" s="4">
        <v>96</v>
      </c>
      <c r="H79" s="4" t="s">
        <v>316</v>
      </c>
      <c r="I79" s="4" t="s">
        <v>108</v>
      </c>
      <c r="J79" s="4" t="s">
        <v>42</v>
      </c>
      <c r="K79" s="4" t="s">
        <v>109</v>
      </c>
      <c r="L79" s="42" t="s">
        <v>384</v>
      </c>
      <c r="U79" s="4">
        <v>0</v>
      </c>
      <c r="V79" s="4" t="s">
        <v>368</v>
      </c>
    </row>
    <row r="80" spans="1:23" ht="60">
      <c r="A80" s="4">
        <v>2026</v>
      </c>
      <c r="B80" s="4" t="s">
        <v>385</v>
      </c>
      <c r="C80" s="4" t="s">
        <v>67</v>
      </c>
      <c r="D80" s="4">
        <v>7953570026</v>
      </c>
      <c r="E80" t="s">
        <v>11</v>
      </c>
      <c r="F80" s="9">
        <v>46179</v>
      </c>
      <c r="G80" s="4">
        <v>26</v>
      </c>
      <c r="H80" s="4" t="s">
        <v>108</v>
      </c>
      <c r="I80" s="4" t="s">
        <v>108</v>
      </c>
      <c r="J80" s="4" t="s">
        <v>42</v>
      </c>
      <c r="K80" s="4" t="s">
        <v>109</v>
      </c>
      <c r="L80" s="42" t="s">
        <v>386</v>
      </c>
      <c r="U80" s="4">
        <v>0</v>
      </c>
      <c r="V80" s="4" t="s">
        <v>368</v>
      </c>
    </row>
    <row r="81" spans="1:22" ht="30">
      <c r="A81" s="4">
        <v>2026</v>
      </c>
      <c r="B81" s="4" t="s">
        <v>387</v>
      </c>
      <c r="C81" s="4" t="s">
        <v>388</v>
      </c>
      <c r="D81" s="4">
        <v>7911120026</v>
      </c>
      <c r="E81" t="s">
        <v>11</v>
      </c>
      <c r="F81" s="9">
        <v>46204</v>
      </c>
      <c r="G81" s="4">
        <v>26</v>
      </c>
      <c r="H81" s="4" t="s">
        <v>108</v>
      </c>
      <c r="I81" s="4" t="s">
        <v>108</v>
      </c>
      <c r="J81" s="4" t="s">
        <v>42</v>
      </c>
      <c r="K81" s="4" t="s">
        <v>109</v>
      </c>
      <c r="L81" s="42" t="s">
        <v>389</v>
      </c>
      <c r="U81" s="4">
        <v>0</v>
      </c>
      <c r="V81" s="4" t="s">
        <v>368</v>
      </c>
    </row>
    <row r="82" spans="1:22" ht="45">
      <c r="A82" s="4">
        <v>2026</v>
      </c>
      <c r="B82" s="4" t="s">
        <v>390</v>
      </c>
      <c r="C82" s="4" t="s">
        <v>67</v>
      </c>
      <c r="D82" s="4">
        <v>7908716091</v>
      </c>
      <c r="E82" t="s">
        <v>11</v>
      </c>
      <c r="F82" s="9">
        <v>46223</v>
      </c>
      <c r="G82" s="4">
        <v>91</v>
      </c>
      <c r="H82" s="4" t="s">
        <v>74</v>
      </c>
      <c r="I82" s="4" t="s">
        <v>75</v>
      </c>
      <c r="J82" s="4" t="s">
        <v>76</v>
      </c>
      <c r="K82" s="4" t="s">
        <v>109</v>
      </c>
      <c r="L82" s="42" t="s">
        <v>391</v>
      </c>
      <c r="V82" s="4" t="s">
        <v>368</v>
      </c>
    </row>
    <row r="83" spans="1:22" ht="75">
      <c r="A83" s="4">
        <v>2026</v>
      </c>
      <c r="B83" s="4" t="s">
        <v>392</v>
      </c>
      <c r="C83" s="4" t="s">
        <v>67</v>
      </c>
      <c r="D83" s="4">
        <v>5848305116</v>
      </c>
      <c r="E83" t="s">
        <v>10</v>
      </c>
      <c r="F83" s="9">
        <v>46218</v>
      </c>
      <c r="G83" s="4">
        <v>116</v>
      </c>
      <c r="H83" s="4" t="s">
        <v>200</v>
      </c>
      <c r="I83" s="4" t="s">
        <v>75</v>
      </c>
      <c r="J83" s="4" t="s">
        <v>76</v>
      </c>
      <c r="K83" s="4" t="s">
        <v>77</v>
      </c>
      <c r="L83" s="42" t="s">
        <v>393</v>
      </c>
      <c r="V83" s="4" t="s">
        <v>368</v>
      </c>
    </row>
    <row r="84" spans="1:22" ht="30">
      <c r="A84" s="4">
        <v>2026</v>
      </c>
      <c r="B84" s="4" t="s">
        <v>394</v>
      </c>
      <c r="C84" s="4" t="s">
        <v>67</v>
      </c>
      <c r="D84" s="4">
        <v>7961368005</v>
      </c>
      <c r="E84" t="s">
        <v>11</v>
      </c>
      <c r="F84" s="9">
        <v>46219</v>
      </c>
      <c r="G84" s="4">
        <v>5</v>
      </c>
      <c r="H84" s="4" t="s">
        <v>395</v>
      </c>
      <c r="I84" s="4" t="s">
        <v>75</v>
      </c>
      <c r="J84" s="4" t="s">
        <v>76</v>
      </c>
      <c r="K84" s="4" t="s">
        <v>396</v>
      </c>
      <c r="L84" s="42" t="s">
        <v>397</v>
      </c>
      <c r="V84" s="4" t="s">
        <v>368</v>
      </c>
    </row>
    <row r="85" spans="1:22" ht="30">
      <c r="A85" s="4">
        <v>2026</v>
      </c>
      <c r="B85" s="4" t="s">
        <v>398</v>
      </c>
      <c r="C85" s="4" t="s">
        <v>67</v>
      </c>
      <c r="D85" s="4">
        <v>7929663074</v>
      </c>
      <c r="E85" t="s">
        <v>11</v>
      </c>
      <c r="F85" s="9">
        <v>46226</v>
      </c>
      <c r="G85" s="4">
        <v>74</v>
      </c>
      <c r="H85" s="4" t="s">
        <v>75</v>
      </c>
      <c r="I85" s="4" t="s">
        <v>75</v>
      </c>
      <c r="J85" s="4" t="s">
        <v>76</v>
      </c>
      <c r="K85" s="4" t="s">
        <v>399</v>
      </c>
      <c r="L85" s="42" t="s">
        <v>400</v>
      </c>
      <c r="V85" s="4" t="s">
        <v>368</v>
      </c>
    </row>
    <row r="86" spans="1:22">
      <c r="A86" s="4">
        <v>2026</v>
      </c>
      <c r="B86" s="4" t="s">
        <v>401</v>
      </c>
      <c r="C86" s="4" t="s">
        <v>67</v>
      </c>
      <c r="D86" s="4">
        <v>7900722193</v>
      </c>
      <c r="E86" t="s">
        <v>11</v>
      </c>
      <c r="F86" s="9">
        <v>46227</v>
      </c>
      <c r="G86" s="4">
        <v>193</v>
      </c>
      <c r="H86" s="4" t="s">
        <v>402</v>
      </c>
      <c r="I86" s="4" t="s">
        <v>57</v>
      </c>
      <c r="J86" s="4" t="s">
        <v>51</v>
      </c>
      <c r="K86" s="4" t="s">
        <v>403</v>
      </c>
      <c r="L86" s="42" t="s">
        <v>404</v>
      </c>
      <c r="V86" s="4" t="s">
        <v>368</v>
      </c>
    </row>
    <row r="87" spans="1:22" ht="45">
      <c r="A87" s="4">
        <v>2026</v>
      </c>
      <c r="B87" s="4" t="s">
        <v>405</v>
      </c>
      <c r="C87" s="4" t="s">
        <v>67</v>
      </c>
      <c r="D87" s="4">
        <v>7955792076</v>
      </c>
      <c r="E87" t="s">
        <v>11</v>
      </c>
      <c r="F87" s="9">
        <v>46215</v>
      </c>
      <c r="G87" s="4">
        <v>76</v>
      </c>
      <c r="H87" s="4" t="s">
        <v>335</v>
      </c>
      <c r="I87" s="4" t="s">
        <v>336</v>
      </c>
      <c r="J87" s="4" t="s">
        <v>76</v>
      </c>
      <c r="K87" s="4" t="s">
        <v>406</v>
      </c>
      <c r="L87" s="42" t="s">
        <v>407</v>
      </c>
      <c r="V87" s="4" t="s">
        <v>368</v>
      </c>
    </row>
    <row r="88" spans="1:22" ht="135">
      <c r="A88" s="4">
        <v>2026</v>
      </c>
      <c r="B88" s="4" t="s">
        <v>408</v>
      </c>
      <c r="C88" s="4" t="s">
        <v>67</v>
      </c>
      <c r="D88" s="4">
        <v>5839141113</v>
      </c>
      <c r="E88" t="s">
        <v>10</v>
      </c>
      <c r="F88" s="9">
        <v>46210</v>
      </c>
      <c r="G88" s="4">
        <v>113</v>
      </c>
      <c r="H88" s="4" t="s">
        <v>409</v>
      </c>
      <c r="I88" s="4" t="s">
        <v>50</v>
      </c>
      <c r="J88" s="4" t="s">
        <v>51</v>
      </c>
      <c r="K88" s="4" t="s">
        <v>410</v>
      </c>
      <c r="L88" s="42" t="s">
        <v>411</v>
      </c>
      <c r="V88" s="4" t="s">
        <v>368</v>
      </c>
    </row>
    <row r="89" spans="1:22">
      <c r="A89" s="4">
        <v>2026</v>
      </c>
      <c r="B89" s="4" t="s">
        <v>412</v>
      </c>
      <c r="C89" s="4" t="s">
        <v>67</v>
      </c>
      <c r="D89" s="4">
        <v>7908683122</v>
      </c>
      <c r="E89" t="s">
        <v>11</v>
      </c>
      <c r="F89" s="9">
        <v>46213</v>
      </c>
      <c r="G89" s="4">
        <v>122</v>
      </c>
      <c r="H89" s="4" t="s">
        <v>68</v>
      </c>
      <c r="I89" s="4" t="s">
        <v>68</v>
      </c>
      <c r="J89" s="4" t="s">
        <v>42</v>
      </c>
      <c r="K89" s="4" t="s">
        <v>413</v>
      </c>
      <c r="L89" s="42" t="s">
        <v>414</v>
      </c>
      <c r="V89" s="4" t="s">
        <v>368</v>
      </c>
    </row>
    <row r="90" spans="1:22" ht="45">
      <c r="A90" s="4">
        <v>2026</v>
      </c>
      <c r="B90" s="4" t="s">
        <v>415</v>
      </c>
      <c r="C90" s="4" t="s">
        <v>67</v>
      </c>
      <c r="D90" s="4">
        <v>7923110021</v>
      </c>
      <c r="E90" t="s">
        <v>11</v>
      </c>
      <c r="F90" s="9">
        <v>46226</v>
      </c>
      <c r="G90" s="4">
        <v>21</v>
      </c>
      <c r="H90" s="4" t="s">
        <v>176</v>
      </c>
      <c r="I90" s="4" t="s">
        <v>177</v>
      </c>
      <c r="J90" s="4" t="s">
        <v>76</v>
      </c>
      <c r="K90" s="4" t="s">
        <v>416</v>
      </c>
      <c r="L90" s="42" t="s">
        <v>417</v>
      </c>
      <c r="V90" s="4" t="s">
        <v>368</v>
      </c>
    </row>
    <row r="91" spans="1:22" ht="45">
      <c r="A91" s="4">
        <v>2026</v>
      </c>
      <c r="B91" s="4" t="s">
        <v>418</v>
      </c>
      <c r="C91" s="4" t="s">
        <v>67</v>
      </c>
      <c r="D91" s="4">
        <v>7900001096</v>
      </c>
      <c r="E91" t="s">
        <v>11</v>
      </c>
      <c r="F91" s="9">
        <v>46223</v>
      </c>
      <c r="G91" s="4">
        <v>96</v>
      </c>
      <c r="H91" s="4" t="s">
        <v>316</v>
      </c>
      <c r="I91" s="4" t="s">
        <v>108</v>
      </c>
      <c r="J91" s="4" t="s">
        <v>42</v>
      </c>
      <c r="K91" s="4" t="s">
        <v>109</v>
      </c>
      <c r="L91" s="42" t="s">
        <v>419</v>
      </c>
      <c r="V91" s="4" t="s">
        <v>368</v>
      </c>
    </row>
    <row r="92" spans="1:22" ht="30">
      <c r="A92" s="4">
        <v>2026</v>
      </c>
      <c r="B92" s="4" t="s">
        <v>420</v>
      </c>
      <c r="C92" s="4" t="s">
        <v>67</v>
      </c>
      <c r="D92" s="4">
        <v>7900451096</v>
      </c>
      <c r="E92" t="s">
        <v>11</v>
      </c>
      <c r="F92" s="9">
        <v>46223</v>
      </c>
      <c r="G92" s="4">
        <v>96</v>
      </c>
      <c r="H92" s="4" t="s">
        <v>316</v>
      </c>
      <c r="I92" s="4" t="s">
        <v>108</v>
      </c>
      <c r="J92" s="4" t="s">
        <v>42</v>
      </c>
      <c r="K92" s="4" t="s">
        <v>109</v>
      </c>
      <c r="L92" s="42" t="s">
        <v>421</v>
      </c>
      <c r="V92" s="4" t="s">
        <v>368</v>
      </c>
    </row>
    <row r="93" spans="1:22" ht="30">
      <c r="A93" s="4">
        <v>2026</v>
      </c>
      <c r="B93" s="4" t="s">
        <v>422</v>
      </c>
      <c r="C93" s="4" t="s">
        <v>67</v>
      </c>
      <c r="D93" s="4">
        <v>7900259096</v>
      </c>
      <c r="E93" t="s">
        <v>11</v>
      </c>
      <c r="F93" s="9">
        <v>46223</v>
      </c>
      <c r="G93" s="4">
        <v>96</v>
      </c>
      <c r="H93" s="4" t="s">
        <v>316</v>
      </c>
      <c r="I93" s="4" t="s">
        <v>108</v>
      </c>
      <c r="J93" s="4" t="s">
        <v>42</v>
      </c>
      <c r="K93" s="4" t="s">
        <v>109</v>
      </c>
      <c r="L93" s="42" t="s">
        <v>423</v>
      </c>
      <c r="V93" s="4" t="s">
        <v>368</v>
      </c>
    </row>
    <row r="94" spans="1:22" ht="30">
      <c r="A94" s="4">
        <v>2026</v>
      </c>
      <c r="B94" s="4" t="s">
        <v>424</v>
      </c>
      <c r="C94" s="4" t="s">
        <v>67</v>
      </c>
      <c r="D94" s="4">
        <v>7962734119</v>
      </c>
      <c r="E94" t="s">
        <v>11</v>
      </c>
      <c r="F94" s="9">
        <v>46219</v>
      </c>
      <c r="G94" s="4">
        <v>119</v>
      </c>
      <c r="H94" s="4" t="s">
        <v>361</v>
      </c>
      <c r="I94" s="4" t="s">
        <v>223</v>
      </c>
      <c r="J94" s="4" t="s">
        <v>51</v>
      </c>
      <c r="K94" s="4" t="s">
        <v>362</v>
      </c>
      <c r="L94" s="42" t="s">
        <v>425</v>
      </c>
      <c r="V94" s="4" t="s">
        <v>368</v>
      </c>
    </row>
  </sheetData>
  <conditionalFormatting sqref="D1:D1048576">
    <cfRule type="duplicateValues" dxfId="100" priority="22"/>
  </conditionalFormatting>
  <conditionalFormatting sqref="D2:D94">
    <cfRule type="duplicateValues" dxfId="99" priority="61"/>
  </conditionalFormatting>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AE06-8DDE-4A08-B07D-B3D96DDBC7BF}">
  <dimension ref="A1:W117"/>
  <sheetViews>
    <sheetView workbookViewId="0"/>
  </sheetViews>
  <sheetFormatPr defaultRowHeight="15"/>
  <cols>
    <col min="1" max="1" width="11" bestFit="1" customWidth="1"/>
    <col min="2" max="2" width="7.140625" bestFit="1" customWidth="1"/>
    <col min="3" max="3" width="29.140625" bestFit="1" customWidth="1"/>
    <col min="4" max="4" width="25.140625" bestFit="1" customWidth="1"/>
    <col min="5" max="5" width="11" bestFit="1" customWidth="1"/>
    <col min="6" max="6" width="22" bestFit="1" customWidth="1"/>
    <col min="7" max="7" width="81.140625" bestFit="1" customWidth="1"/>
    <col min="8" max="8" width="69.42578125" bestFit="1" customWidth="1"/>
    <col min="9" max="9" width="21.28515625" bestFit="1" customWidth="1"/>
    <col min="10" max="10" width="32.28515625" bestFit="1" customWidth="1"/>
    <col min="11" max="11" width="13.7109375" bestFit="1" customWidth="1"/>
    <col min="12" max="12" width="81.140625" bestFit="1" customWidth="1"/>
    <col min="13" max="20" width="12.7109375" bestFit="1" customWidth="1"/>
    <col min="21" max="21" width="13" bestFit="1" customWidth="1"/>
    <col min="22" max="22" width="12.85546875" bestFit="1" customWidth="1"/>
    <col min="23" max="23" width="81.140625" customWidth="1"/>
    <col min="24" max="24" width="81.140625" bestFit="1" customWidth="1"/>
    <col min="25" max="25" width="81.140625" customWidth="1"/>
    <col min="26" max="26" width="12.85546875" bestFit="1" customWidth="1"/>
    <col min="27" max="27" width="81.140625" customWidth="1"/>
  </cols>
  <sheetData>
    <row r="1" spans="1:23">
      <c r="A1" t="s">
        <v>426</v>
      </c>
      <c r="B1" t="s">
        <v>427</v>
      </c>
      <c r="C1" t="s">
        <v>428</v>
      </c>
      <c r="D1" t="s">
        <v>429</v>
      </c>
      <c r="E1" t="s">
        <v>430</v>
      </c>
      <c r="F1" t="s">
        <v>431</v>
      </c>
      <c r="G1" t="s">
        <v>432</v>
      </c>
      <c r="H1" t="s">
        <v>433</v>
      </c>
      <c r="I1" t="s">
        <v>434</v>
      </c>
      <c r="J1" t="s">
        <v>435</v>
      </c>
      <c r="K1" t="s">
        <v>3</v>
      </c>
      <c r="L1" t="s">
        <v>436</v>
      </c>
      <c r="M1" t="s">
        <v>28</v>
      </c>
      <c r="N1" t="s">
        <v>29</v>
      </c>
      <c r="O1" t="s">
        <v>30</v>
      </c>
      <c r="P1" t="s">
        <v>31</v>
      </c>
      <c r="Q1" t="s">
        <v>32</v>
      </c>
      <c r="R1" t="s">
        <v>33</v>
      </c>
      <c r="S1" t="s">
        <v>34</v>
      </c>
      <c r="T1" t="s">
        <v>35</v>
      </c>
      <c r="U1" t="s">
        <v>36</v>
      </c>
      <c r="V1" t="s">
        <v>2</v>
      </c>
      <c r="W1" t="s">
        <v>37</v>
      </c>
    </row>
    <row r="2" spans="1:23">
      <c r="A2">
        <v>5800291077</v>
      </c>
      <c r="B2" t="s">
        <v>10</v>
      </c>
      <c r="C2" t="s">
        <v>144</v>
      </c>
      <c r="D2" t="s">
        <v>57</v>
      </c>
      <c r="E2" t="s">
        <v>51</v>
      </c>
      <c r="F2" t="s">
        <v>437</v>
      </c>
      <c r="I2" t="s">
        <v>438</v>
      </c>
      <c r="L2" t="s">
        <v>439</v>
      </c>
      <c r="M2">
        <v>40</v>
      </c>
      <c r="N2">
        <v>20</v>
      </c>
      <c r="O2">
        <v>20</v>
      </c>
      <c r="P2">
        <v>20</v>
      </c>
      <c r="Q2">
        <v>20</v>
      </c>
      <c r="R2" t="s">
        <v>45</v>
      </c>
      <c r="S2" t="s">
        <v>45</v>
      </c>
      <c r="T2" t="s">
        <v>45</v>
      </c>
      <c r="U2">
        <v>120</v>
      </c>
      <c r="V2" t="s">
        <v>9</v>
      </c>
      <c r="W2" t="s">
        <v>440</v>
      </c>
    </row>
    <row r="3" spans="1:23">
      <c r="A3">
        <v>5854566043</v>
      </c>
      <c r="B3" t="s">
        <v>10</v>
      </c>
      <c r="C3" t="s">
        <v>40</v>
      </c>
      <c r="D3" t="s">
        <v>41</v>
      </c>
      <c r="E3" t="s">
        <v>42</v>
      </c>
      <c r="F3" t="s">
        <v>38</v>
      </c>
      <c r="G3" t="s">
        <v>441</v>
      </c>
      <c r="H3" t="s">
        <v>442</v>
      </c>
      <c r="I3" t="s">
        <v>443</v>
      </c>
      <c r="J3" t="s">
        <v>444</v>
      </c>
      <c r="K3">
        <v>1</v>
      </c>
      <c r="L3" t="s">
        <v>44</v>
      </c>
      <c r="M3">
        <v>40</v>
      </c>
      <c r="N3">
        <v>20</v>
      </c>
      <c r="O3">
        <v>20</v>
      </c>
      <c r="P3">
        <v>10</v>
      </c>
      <c r="Q3">
        <v>20</v>
      </c>
      <c r="R3" t="s">
        <v>45</v>
      </c>
      <c r="S3" t="s">
        <v>45</v>
      </c>
      <c r="T3" t="s">
        <v>45</v>
      </c>
      <c r="U3">
        <v>110</v>
      </c>
      <c r="V3" t="s">
        <v>9</v>
      </c>
      <c r="W3" t="s">
        <v>46</v>
      </c>
    </row>
    <row r="4" spans="1:23">
      <c r="A4">
        <v>5800859011</v>
      </c>
      <c r="B4" t="s">
        <v>10</v>
      </c>
      <c r="C4" t="s">
        <v>49</v>
      </c>
      <c r="D4" t="s">
        <v>50</v>
      </c>
      <c r="E4" t="s">
        <v>51</v>
      </c>
      <c r="F4" t="s">
        <v>47</v>
      </c>
      <c r="G4" t="s">
        <v>445</v>
      </c>
      <c r="H4" t="s">
        <v>446</v>
      </c>
      <c r="I4" t="s">
        <v>443</v>
      </c>
      <c r="J4" t="s">
        <v>447</v>
      </c>
      <c r="K4">
        <v>1</v>
      </c>
      <c r="L4" t="s">
        <v>53</v>
      </c>
      <c r="M4">
        <v>40</v>
      </c>
      <c r="N4">
        <v>20</v>
      </c>
      <c r="O4">
        <v>20</v>
      </c>
      <c r="P4">
        <v>10</v>
      </c>
      <c r="Q4">
        <v>20</v>
      </c>
      <c r="R4" t="s">
        <v>45</v>
      </c>
      <c r="S4" t="s">
        <v>45</v>
      </c>
      <c r="T4" t="s">
        <v>45</v>
      </c>
      <c r="U4">
        <v>110</v>
      </c>
      <c r="V4" t="s">
        <v>9</v>
      </c>
      <c r="W4" t="s">
        <v>54</v>
      </c>
    </row>
    <row r="5" spans="1:23">
      <c r="A5">
        <v>5836764032</v>
      </c>
      <c r="B5" t="s">
        <v>10</v>
      </c>
      <c r="C5" t="s">
        <v>448</v>
      </c>
      <c r="D5" t="s">
        <v>449</v>
      </c>
      <c r="E5" t="s">
        <v>76</v>
      </c>
      <c r="F5" t="s">
        <v>437</v>
      </c>
      <c r="I5" t="s">
        <v>438</v>
      </c>
      <c r="L5" t="s">
        <v>439</v>
      </c>
      <c r="M5">
        <v>40</v>
      </c>
      <c r="N5">
        <v>20</v>
      </c>
      <c r="O5">
        <v>20</v>
      </c>
      <c r="P5">
        <v>10</v>
      </c>
      <c r="Q5">
        <v>20</v>
      </c>
      <c r="R5" t="s">
        <v>45</v>
      </c>
      <c r="S5" t="s">
        <v>45</v>
      </c>
      <c r="T5" t="s">
        <v>45</v>
      </c>
      <c r="U5">
        <v>110</v>
      </c>
      <c r="V5" t="s">
        <v>9</v>
      </c>
      <c r="W5" t="s">
        <v>450</v>
      </c>
    </row>
    <row r="6" spans="1:23">
      <c r="A6">
        <v>7923673004</v>
      </c>
      <c r="B6" t="s">
        <v>11</v>
      </c>
      <c r="C6" t="s">
        <v>57</v>
      </c>
      <c r="D6" t="s">
        <v>57</v>
      </c>
      <c r="E6" t="s">
        <v>51</v>
      </c>
      <c r="F6" t="s">
        <v>55</v>
      </c>
      <c r="G6" t="s">
        <v>451</v>
      </c>
      <c r="H6" t="s">
        <v>452</v>
      </c>
      <c r="J6" t="s">
        <v>453</v>
      </c>
      <c r="K6">
        <v>1</v>
      </c>
      <c r="L6" t="s">
        <v>59</v>
      </c>
      <c r="M6">
        <v>15</v>
      </c>
      <c r="N6">
        <v>20</v>
      </c>
      <c r="O6">
        <v>15</v>
      </c>
      <c r="P6">
        <v>15</v>
      </c>
      <c r="Q6">
        <v>15</v>
      </c>
      <c r="R6">
        <v>10</v>
      </c>
      <c r="S6">
        <v>0</v>
      </c>
      <c r="T6">
        <v>15</v>
      </c>
      <c r="U6">
        <v>105</v>
      </c>
      <c r="V6" t="s">
        <v>9</v>
      </c>
      <c r="W6" t="s">
        <v>60</v>
      </c>
    </row>
    <row r="7" spans="1:23">
      <c r="A7">
        <v>7931608059</v>
      </c>
      <c r="B7" t="s">
        <v>11</v>
      </c>
      <c r="C7" t="s">
        <v>62</v>
      </c>
      <c r="D7" t="s">
        <v>62</v>
      </c>
      <c r="E7" t="s">
        <v>42</v>
      </c>
      <c r="F7" t="s">
        <v>61</v>
      </c>
      <c r="G7" t="s">
        <v>451</v>
      </c>
      <c r="J7" t="s">
        <v>454</v>
      </c>
      <c r="K7">
        <v>1</v>
      </c>
      <c r="L7" t="s">
        <v>64</v>
      </c>
      <c r="M7">
        <v>15</v>
      </c>
      <c r="N7">
        <v>20</v>
      </c>
      <c r="O7">
        <v>15</v>
      </c>
      <c r="P7">
        <v>15</v>
      </c>
      <c r="Q7">
        <v>15</v>
      </c>
      <c r="R7">
        <v>10</v>
      </c>
      <c r="S7">
        <v>0</v>
      </c>
      <c r="T7">
        <v>15</v>
      </c>
      <c r="U7">
        <v>105</v>
      </c>
      <c r="V7" t="s">
        <v>9</v>
      </c>
      <c r="W7" t="s">
        <v>65</v>
      </c>
    </row>
    <row r="8" spans="1:23">
      <c r="A8">
        <v>7931610122</v>
      </c>
      <c r="B8" t="s">
        <v>11</v>
      </c>
      <c r="C8" t="s">
        <v>68</v>
      </c>
      <c r="D8" t="s">
        <v>68</v>
      </c>
      <c r="E8" t="s">
        <v>42</v>
      </c>
      <c r="F8" t="s">
        <v>66</v>
      </c>
      <c r="G8" t="s">
        <v>455</v>
      </c>
      <c r="H8" t="s">
        <v>456</v>
      </c>
      <c r="I8" t="s">
        <v>443</v>
      </c>
      <c r="J8" t="s">
        <v>457</v>
      </c>
      <c r="K8">
        <v>1</v>
      </c>
      <c r="L8" t="s">
        <v>70</v>
      </c>
      <c r="M8">
        <v>15</v>
      </c>
      <c r="N8">
        <v>20</v>
      </c>
      <c r="O8">
        <v>15</v>
      </c>
      <c r="P8">
        <v>15</v>
      </c>
      <c r="Q8">
        <v>15</v>
      </c>
      <c r="R8">
        <v>10</v>
      </c>
      <c r="S8">
        <v>0</v>
      </c>
      <c r="T8">
        <v>15</v>
      </c>
      <c r="U8">
        <v>105</v>
      </c>
      <c r="V8" t="s">
        <v>9</v>
      </c>
      <c r="W8" t="s">
        <v>71</v>
      </c>
    </row>
    <row r="9" spans="1:23">
      <c r="A9">
        <v>7900648055</v>
      </c>
      <c r="B9" t="s">
        <v>11</v>
      </c>
      <c r="C9" t="s">
        <v>458</v>
      </c>
      <c r="D9" t="s">
        <v>210</v>
      </c>
      <c r="E9" t="s">
        <v>42</v>
      </c>
      <c r="F9" t="s">
        <v>437</v>
      </c>
      <c r="L9" t="s">
        <v>439</v>
      </c>
      <c r="M9">
        <v>15</v>
      </c>
      <c r="N9">
        <v>20</v>
      </c>
      <c r="O9">
        <v>15</v>
      </c>
      <c r="P9">
        <v>15</v>
      </c>
      <c r="Q9">
        <v>15</v>
      </c>
      <c r="R9">
        <v>10</v>
      </c>
      <c r="S9">
        <v>0</v>
      </c>
      <c r="T9">
        <v>15</v>
      </c>
      <c r="U9">
        <v>105</v>
      </c>
      <c r="V9" t="s">
        <v>9</v>
      </c>
      <c r="W9" t="s">
        <v>459</v>
      </c>
    </row>
    <row r="10" spans="1:23">
      <c r="A10">
        <v>7947203070</v>
      </c>
      <c r="B10" t="s">
        <v>11</v>
      </c>
      <c r="C10" t="s">
        <v>81</v>
      </c>
      <c r="D10" t="s">
        <v>62</v>
      </c>
      <c r="E10" t="s">
        <v>42</v>
      </c>
      <c r="F10" t="s">
        <v>80</v>
      </c>
      <c r="G10" t="s">
        <v>451</v>
      </c>
      <c r="H10" t="s">
        <v>452</v>
      </c>
      <c r="J10" t="s">
        <v>460</v>
      </c>
      <c r="K10">
        <v>1</v>
      </c>
      <c r="L10" t="s">
        <v>83</v>
      </c>
      <c r="M10">
        <v>10</v>
      </c>
      <c r="N10">
        <v>20</v>
      </c>
      <c r="O10">
        <v>15</v>
      </c>
      <c r="P10">
        <v>15</v>
      </c>
      <c r="Q10">
        <v>15</v>
      </c>
      <c r="R10">
        <v>10</v>
      </c>
      <c r="S10">
        <v>0</v>
      </c>
      <c r="T10">
        <v>15</v>
      </c>
      <c r="U10">
        <v>100</v>
      </c>
      <c r="V10" t="s">
        <v>9</v>
      </c>
      <c r="W10" t="s">
        <v>84</v>
      </c>
    </row>
    <row r="11" spans="1:23">
      <c r="A11">
        <v>5856070091</v>
      </c>
      <c r="B11" t="s">
        <v>10</v>
      </c>
      <c r="C11" t="s">
        <v>74</v>
      </c>
      <c r="D11" t="s">
        <v>75</v>
      </c>
      <c r="E11" t="s">
        <v>76</v>
      </c>
      <c r="F11" t="s">
        <v>72</v>
      </c>
      <c r="G11" t="s">
        <v>445</v>
      </c>
      <c r="H11" t="s">
        <v>461</v>
      </c>
      <c r="I11" t="s">
        <v>443</v>
      </c>
      <c r="J11" t="s">
        <v>462</v>
      </c>
      <c r="K11">
        <v>3</v>
      </c>
      <c r="L11" t="s">
        <v>78</v>
      </c>
      <c r="M11">
        <v>40</v>
      </c>
      <c r="N11">
        <v>20</v>
      </c>
      <c r="O11">
        <v>20</v>
      </c>
      <c r="P11">
        <v>20</v>
      </c>
      <c r="Q11">
        <v>0</v>
      </c>
      <c r="R11" t="s">
        <v>45</v>
      </c>
      <c r="S11" t="s">
        <v>45</v>
      </c>
      <c r="T11" t="s">
        <v>45</v>
      </c>
      <c r="U11">
        <v>100</v>
      </c>
      <c r="V11" t="s">
        <v>9</v>
      </c>
      <c r="W11" t="s">
        <v>79</v>
      </c>
    </row>
    <row r="12" spans="1:23">
      <c r="A12">
        <v>7903569004</v>
      </c>
      <c r="B12" t="s">
        <v>11</v>
      </c>
      <c r="C12" t="s">
        <v>57</v>
      </c>
      <c r="D12" t="s">
        <v>57</v>
      </c>
      <c r="E12" t="s">
        <v>51</v>
      </c>
      <c r="F12" t="s">
        <v>437</v>
      </c>
      <c r="L12" t="s">
        <v>439</v>
      </c>
      <c r="M12">
        <v>15</v>
      </c>
      <c r="N12">
        <v>20</v>
      </c>
      <c r="O12">
        <v>5</v>
      </c>
      <c r="P12">
        <v>15</v>
      </c>
      <c r="Q12">
        <v>15</v>
      </c>
      <c r="R12">
        <v>10</v>
      </c>
      <c r="S12">
        <v>0</v>
      </c>
      <c r="T12">
        <v>15</v>
      </c>
      <c r="U12">
        <v>95</v>
      </c>
      <c r="V12" t="s">
        <v>9</v>
      </c>
      <c r="W12" t="s">
        <v>463</v>
      </c>
    </row>
    <row r="13" spans="1:23">
      <c r="A13">
        <v>7925744087</v>
      </c>
      <c r="B13" t="s">
        <v>11</v>
      </c>
      <c r="C13" t="s">
        <v>91</v>
      </c>
      <c r="D13" t="s">
        <v>50</v>
      </c>
      <c r="E13" t="s">
        <v>51</v>
      </c>
      <c r="F13" t="s">
        <v>90</v>
      </c>
      <c r="G13" t="s">
        <v>451</v>
      </c>
      <c r="H13" t="s">
        <v>464</v>
      </c>
      <c r="J13" t="s">
        <v>465</v>
      </c>
      <c r="K13">
        <v>1</v>
      </c>
      <c r="L13" t="s">
        <v>93</v>
      </c>
      <c r="M13">
        <v>15</v>
      </c>
      <c r="N13">
        <v>20</v>
      </c>
      <c r="O13">
        <v>5</v>
      </c>
      <c r="P13">
        <v>15</v>
      </c>
      <c r="Q13">
        <v>15</v>
      </c>
      <c r="R13">
        <v>10</v>
      </c>
      <c r="S13">
        <v>0</v>
      </c>
      <c r="T13">
        <v>15</v>
      </c>
      <c r="U13">
        <v>95</v>
      </c>
      <c r="V13" t="s">
        <v>9</v>
      </c>
      <c r="W13" t="s">
        <v>94</v>
      </c>
    </row>
    <row r="14" spans="1:23">
      <c r="A14">
        <v>7900117013</v>
      </c>
      <c r="B14" t="s">
        <v>11</v>
      </c>
      <c r="C14" t="s">
        <v>97</v>
      </c>
      <c r="D14" t="s">
        <v>97</v>
      </c>
      <c r="E14" t="s">
        <v>42</v>
      </c>
      <c r="F14" t="s">
        <v>95</v>
      </c>
      <c r="G14" t="s">
        <v>455</v>
      </c>
      <c r="H14" t="s">
        <v>466</v>
      </c>
      <c r="I14" t="s">
        <v>443</v>
      </c>
      <c r="J14" t="s">
        <v>460</v>
      </c>
      <c r="K14">
        <v>1</v>
      </c>
      <c r="L14" t="s">
        <v>99</v>
      </c>
      <c r="M14">
        <v>15</v>
      </c>
      <c r="N14">
        <v>20</v>
      </c>
      <c r="O14">
        <v>15</v>
      </c>
      <c r="P14">
        <v>15</v>
      </c>
      <c r="Q14">
        <v>15</v>
      </c>
      <c r="R14">
        <v>0</v>
      </c>
      <c r="S14">
        <v>0</v>
      </c>
      <c r="T14">
        <v>15</v>
      </c>
      <c r="U14">
        <v>95</v>
      </c>
      <c r="V14" t="s">
        <v>9</v>
      </c>
      <c r="W14" t="s">
        <v>100</v>
      </c>
    </row>
    <row r="15" spans="1:23">
      <c r="A15">
        <v>7929376022</v>
      </c>
      <c r="B15" t="s">
        <v>11</v>
      </c>
      <c r="C15" t="s">
        <v>102</v>
      </c>
      <c r="D15" t="s">
        <v>57</v>
      </c>
      <c r="E15" t="s">
        <v>51</v>
      </c>
      <c r="F15" t="s">
        <v>101</v>
      </c>
      <c r="G15" t="s">
        <v>467</v>
      </c>
      <c r="H15" t="s">
        <v>468</v>
      </c>
      <c r="I15" t="s">
        <v>443</v>
      </c>
      <c r="J15" t="s">
        <v>469</v>
      </c>
      <c r="K15">
        <v>1</v>
      </c>
      <c r="L15" t="s">
        <v>104</v>
      </c>
      <c r="M15">
        <v>15</v>
      </c>
      <c r="N15">
        <v>20</v>
      </c>
      <c r="O15">
        <v>5</v>
      </c>
      <c r="P15">
        <v>15</v>
      </c>
      <c r="Q15">
        <v>15</v>
      </c>
      <c r="R15">
        <v>10</v>
      </c>
      <c r="S15">
        <v>0</v>
      </c>
      <c r="T15">
        <v>15</v>
      </c>
      <c r="U15">
        <v>95</v>
      </c>
      <c r="V15" t="s">
        <v>9</v>
      </c>
      <c r="W15" t="s">
        <v>105</v>
      </c>
    </row>
    <row r="16" spans="1:23">
      <c r="A16">
        <v>7908705049</v>
      </c>
      <c r="B16" t="s">
        <v>11</v>
      </c>
      <c r="C16" t="s">
        <v>86</v>
      </c>
      <c r="D16" t="s">
        <v>75</v>
      </c>
      <c r="E16" t="s">
        <v>76</v>
      </c>
      <c r="F16" t="s">
        <v>85</v>
      </c>
      <c r="G16" t="s">
        <v>445</v>
      </c>
      <c r="H16" t="s">
        <v>470</v>
      </c>
      <c r="I16" t="s">
        <v>443</v>
      </c>
      <c r="J16" t="s">
        <v>469</v>
      </c>
      <c r="K16">
        <v>1</v>
      </c>
      <c r="L16" t="s">
        <v>88</v>
      </c>
      <c r="M16">
        <v>15</v>
      </c>
      <c r="N16">
        <v>20</v>
      </c>
      <c r="O16">
        <v>5</v>
      </c>
      <c r="P16">
        <v>15</v>
      </c>
      <c r="Q16">
        <v>15</v>
      </c>
      <c r="R16">
        <v>0</v>
      </c>
      <c r="S16">
        <v>10</v>
      </c>
      <c r="T16">
        <v>15</v>
      </c>
      <c r="U16">
        <v>95</v>
      </c>
      <c r="V16" t="s">
        <v>9</v>
      </c>
      <c r="W16" t="s">
        <v>89</v>
      </c>
    </row>
    <row r="17" spans="1:23">
      <c r="A17">
        <v>7933726256</v>
      </c>
      <c r="B17" t="s">
        <v>11</v>
      </c>
      <c r="C17" t="s">
        <v>107</v>
      </c>
      <c r="D17" t="s">
        <v>108</v>
      </c>
      <c r="E17" t="s">
        <v>42</v>
      </c>
      <c r="F17" t="s">
        <v>106</v>
      </c>
      <c r="G17" t="s">
        <v>471</v>
      </c>
      <c r="H17" t="s">
        <v>472</v>
      </c>
      <c r="I17" t="s">
        <v>443</v>
      </c>
      <c r="J17" t="s">
        <v>473</v>
      </c>
      <c r="K17">
        <v>1</v>
      </c>
      <c r="L17" t="s">
        <v>110</v>
      </c>
      <c r="M17">
        <v>15</v>
      </c>
      <c r="N17">
        <v>10</v>
      </c>
      <c r="O17">
        <v>15</v>
      </c>
      <c r="P17">
        <v>15</v>
      </c>
      <c r="Q17">
        <v>15</v>
      </c>
      <c r="R17">
        <v>10</v>
      </c>
      <c r="S17">
        <v>0</v>
      </c>
      <c r="T17">
        <v>15</v>
      </c>
      <c r="U17">
        <v>95</v>
      </c>
      <c r="V17" t="s">
        <v>9</v>
      </c>
      <c r="W17" t="s">
        <v>111</v>
      </c>
    </row>
    <row r="18" spans="1:23">
      <c r="A18">
        <v>7933766059</v>
      </c>
      <c r="B18" t="s">
        <v>11</v>
      </c>
      <c r="C18" t="s">
        <v>62</v>
      </c>
      <c r="D18" t="s">
        <v>62</v>
      </c>
      <c r="E18" t="s">
        <v>42</v>
      </c>
      <c r="F18" t="s">
        <v>112</v>
      </c>
      <c r="G18" t="s">
        <v>445</v>
      </c>
      <c r="H18" t="s">
        <v>456</v>
      </c>
      <c r="I18" t="s">
        <v>443</v>
      </c>
      <c r="J18" t="s">
        <v>473</v>
      </c>
      <c r="K18">
        <v>1</v>
      </c>
      <c r="L18" t="s">
        <v>114</v>
      </c>
      <c r="M18">
        <v>15</v>
      </c>
      <c r="N18">
        <v>20</v>
      </c>
      <c r="O18">
        <v>5</v>
      </c>
      <c r="P18">
        <v>15</v>
      </c>
      <c r="Q18">
        <v>15</v>
      </c>
      <c r="R18">
        <v>0</v>
      </c>
      <c r="S18">
        <v>10</v>
      </c>
      <c r="T18">
        <v>15</v>
      </c>
      <c r="U18">
        <v>95</v>
      </c>
      <c r="V18" t="s">
        <v>9</v>
      </c>
      <c r="W18" t="s">
        <v>115</v>
      </c>
    </row>
    <row r="19" spans="1:23">
      <c r="A19">
        <v>7900594026</v>
      </c>
      <c r="B19" t="s">
        <v>11</v>
      </c>
      <c r="C19" t="s">
        <v>108</v>
      </c>
      <c r="D19" t="s">
        <v>108</v>
      </c>
      <c r="E19" t="s">
        <v>42</v>
      </c>
      <c r="F19" t="s">
        <v>474</v>
      </c>
      <c r="G19" t="s">
        <v>445</v>
      </c>
      <c r="H19" t="s">
        <v>475</v>
      </c>
      <c r="I19" t="s">
        <v>443</v>
      </c>
      <c r="J19" t="s">
        <v>469</v>
      </c>
      <c r="K19">
        <v>1</v>
      </c>
      <c r="L19" t="s">
        <v>118</v>
      </c>
      <c r="M19">
        <v>15</v>
      </c>
      <c r="N19">
        <v>20</v>
      </c>
      <c r="O19">
        <v>15</v>
      </c>
      <c r="P19">
        <v>15</v>
      </c>
      <c r="Q19">
        <v>15</v>
      </c>
      <c r="R19">
        <v>0</v>
      </c>
      <c r="S19">
        <v>0</v>
      </c>
      <c r="T19">
        <v>15</v>
      </c>
      <c r="U19">
        <v>95</v>
      </c>
      <c r="V19" t="s">
        <v>9</v>
      </c>
      <c r="W19" t="s">
        <v>119</v>
      </c>
    </row>
    <row r="20" spans="1:23">
      <c r="A20">
        <v>7921040031</v>
      </c>
      <c r="B20" t="s">
        <v>11</v>
      </c>
      <c r="C20" t="s">
        <v>476</v>
      </c>
      <c r="D20" t="s">
        <v>186</v>
      </c>
      <c r="E20" t="s">
        <v>42</v>
      </c>
      <c r="F20" t="s">
        <v>437</v>
      </c>
      <c r="I20" t="s">
        <v>438</v>
      </c>
      <c r="L20" t="s">
        <v>439</v>
      </c>
      <c r="M20">
        <v>15</v>
      </c>
      <c r="N20">
        <v>20</v>
      </c>
      <c r="O20">
        <v>5</v>
      </c>
      <c r="P20">
        <v>15</v>
      </c>
      <c r="Q20">
        <v>15</v>
      </c>
      <c r="R20">
        <v>10</v>
      </c>
      <c r="S20">
        <v>0</v>
      </c>
      <c r="T20">
        <v>15</v>
      </c>
      <c r="U20">
        <v>95</v>
      </c>
      <c r="V20" t="s">
        <v>9</v>
      </c>
      <c r="W20" t="s">
        <v>477</v>
      </c>
    </row>
    <row r="21" spans="1:23">
      <c r="A21">
        <v>7957620015</v>
      </c>
      <c r="B21" t="s">
        <v>11</v>
      </c>
      <c r="C21" t="s">
        <v>283</v>
      </c>
      <c r="D21" t="s">
        <v>50</v>
      </c>
      <c r="E21" t="s">
        <v>51</v>
      </c>
      <c r="F21" t="s">
        <v>437</v>
      </c>
      <c r="I21" t="s">
        <v>438</v>
      </c>
      <c r="L21" t="s">
        <v>439</v>
      </c>
      <c r="M21">
        <v>15</v>
      </c>
      <c r="N21">
        <v>20</v>
      </c>
      <c r="O21">
        <v>15</v>
      </c>
      <c r="P21">
        <v>15</v>
      </c>
      <c r="Q21">
        <v>15</v>
      </c>
      <c r="R21">
        <v>0</v>
      </c>
      <c r="S21">
        <v>0</v>
      </c>
      <c r="T21">
        <v>15</v>
      </c>
      <c r="U21">
        <v>95</v>
      </c>
      <c r="V21" t="s">
        <v>9</v>
      </c>
      <c r="W21" t="s">
        <v>478</v>
      </c>
    </row>
    <row r="22" spans="1:23">
      <c r="A22">
        <v>7927413001</v>
      </c>
      <c r="B22" t="s">
        <v>11</v>
      </c>
      <c r="C22" t="s">
        <v>41</v>
      </c>
      <c r="D22" t="s">
        <v>41</v>
      </c>
      <c r="E22" t="s">
        <v>42</v>
      </c>
      <c r="F22" t="s">
        <v>120</v>
      </c>
      <c r="G22" t="s">
        <v>451</v>
      </c>
      <c r="H22" t="s">
        <v>452</v>
      </c>
      <c r="J22" t="s">
        <v>469</v>
      </c>
      <c r="K22">
        <v>1</v>
      </c>
      <c r="L22" t="s">
        <v>479</v>
      </c>
      <c r="M22">
        <v>15</v>
      </c>
      <c r="N22">
        <v>5</v>
      </c>
      <c r="O22">
        <v>15</v>
      </c>
      <c r="P22">
        <v>15</v>
      </c>
      <c r="Q22">
        <v>15</v>
      </c>
      <c r="R22">
        <v>10</v>
      </c>
      <c r="S22">
        <v>0</v>
      </c>
      <c r="T22">
        <v>15</v>
      </c>
      <c r="U22">
        <v>90</v>
      </c>
      <c r="V22" t="s">
        <v>9</v>
      </c>
      <c r="W22" t="s">
        <v>123</v>
      </c>
    </row>
    <row r="23" spans="1:23">
      <c r="A23">
        <v>7908686014</v>
      </c>
      <c r="B23" t="s">
        <v>11</v>
      </c>
      <c r="C23" t="s">
        <v>126</v>
      </c>
      <c r="D23" t="s">
        <v>97</v>
      </c>
      <c r="E23" t="s">
        <v>42</v>
      </c>
      <c r="F23" t="s">
        <v>124</v>
      </c>
      <c r="G23" t="s">
        <v>445</v>
      </c>
      <c r="H23">
        <v>46226</v>
      </c>
      <c r="I23" t="s">
        <v>443</v>
      </c>
      <c r="J23" t="s">
        <v>480</v>
      </c>
      <c r="K23">
        <v>1</v>
      </c>
      <c r="L23" t="s">
        <v>128</v>
      </c>
      <c r="M23">
        <v>15</v>
      </c>
      <c r="N23">
        <v>20</v>
      </c>
      <c r="O23">
        <v>0</v>
      </c>
      <c r="P23">
        <v>15</v>
      </c>
      <c r="Q23">
        <v>15</v>
      </c>
      <c r="R23">
        <v>10</v>
      </c>
      <c r="S23">
        <v>0</v>
      </c>
      <c r="T23">
        <v>15</v>
      </c>
      <c r="U23">
        <v>90</v>
      </c>
      <c r="V23" t="s">
        <v>9</v>
      </c>
      <c r="W23" t="s">
        <v>129</v>
      </c>
    </row>
    <row r="24" spans="1:23">
      <c r="A24">
        <v>5800440256</v>
      </c>
      <c r="B24" t="s">
        <v>10</v>
      </c>
      <c r="C24" t="s">
        <v>107</v>
      </c>
      <c r="D24" t="s">
        <v>108</v>
      </c>
      <c r="E24" t="s">
        <v>42</v>
      </c>
      <c r="F24" t="s">
        <v>437</v>
      </c>
      <c r="L24" t="s">
        <v>439</v>
      </c>
      <c r="M24">
        <v>20</v>
      </c>
      <c r="N24">
        <v>20</v>
      </c>
      <c r="O24">
        <v>20</v>
      </c>
      <c r="P24">
        <v>10</v>
      </c>
      <c r="Q24">
        <v>20</v>
      </c>
      <c r="R24" t="s">
        <v>45</v>
      </c>
      <c r="S24" t="s">
        <v>45</v>
      </c>
      <c r="T24" t="s">
        <v>45</v>
      </c>
      <c r="U24">
        <v>90</v>
      </c>
      <c r="V24" t="s">
        <v>9</v>
      </c>
      <c r="W24" t="s">
        <v>481</v>
      </c>
    </row>
    <row r="25" spans="1:23">
      <c r="A25">
        <v>7943790134</v>
      </c>
      <c r="B25" t="s">
        <v>11</v>
      </c>
      <c r="C25" t="s">
        <v>131</v>
      </c>
      <c r="D25" t="s">
        <v>132</v>
      </c>
      <c r="E25" t="s">
        <v>51</v>
      </c>
      <c r="F25" t="s">
        <v>130</v>
      </c>
      <c r="G25" t="s">
        <v>482</v>
      </c>
      <c r="I25" t="s">
        <v>443</v>
      </c>
      <c r="J25" t="s">
        <v>480</v>
      </c>
      <c r="K25">
        <v>1</v>
      </c>
      <c r="L25" t="s">
        <v>134</v>
      </c>
      <c r="M25">
        <v>15</v>
      </c>
      <c r="N25">
        <v>10</v>
      </c>
      <c r="O25">
        <v>5</v>
      </c>
      <c r="P25">
        <v>15</v>
      </c>
      <c r="Q25">
        <v>15</v>
      </c>
      <c r="R25">
        <v>10</v>
      </c>
      <c r="S25">
        <v>0</v>
      </c>
      <c r="T25">
        <v>15</v>
      </c>
      <c r="U25">
        <v>85</v>
      </c>
      <c r="V25" t="s">
        <v>9</v>
      </c>
      <c r="W25" t="s">
        <v>135</v>
      </c>
    </row>
    <row r="26" spans="1:23">
      <c r="A26">
        <v>7900453110</v>
      </c>
      <c r="B26" t="s">
        <v>11</v>
      </c>
      <c r="C26" t="s">
        <v>137</v>
      </c>
      <c r="D26" t="s">
        <v>41</v>
      </c>
      <c r="E26" t="s">
        <v>42</v>
      </c>
      <c r="F26" t="s">
        <v>136</v>
      </c>
      <c r="G26" t="s">
        <v>451</v>
      </c>
      <c r="H26" t="s">
        <v>483</v>
      </c>
      <c r="J26" t="s">
        <v>480</v>
      </c>
      <c r="K26">
        <v>1</v>
      </c>
      <c r="L26" t="s">
        <v>139</v>
      </c>
      <c r="M26">
        <v>15</v>
      </c>
      <c r="N26">
        <v>10</v>
      </c>
      <c r="O26">
        <v>5</v>
      </c>
      <c r="P26">
        <v>15</v>
      </c>
      <c r="Q26">
        <v>15</v>
      </c>
      <c r="R26">
        <v>10</v>
      </c>
      <c r="S26">
        <v>0</v>
      </c>
      <c r="T26">
        <v>15</v>
      </c>
      <c r="U26">
        <v>85</v>
      </c>
      <c r="V26" t="s">
        <v>9</v>
      </c>
      <c r="W26" t="s">
        <v>140</v>
      </c>
    </row>
    <row r="27" spans="1:23">
      <c r="A27">
        <v>7925871077</v>
      </c>
      <c r="B27" t="s">
        <v>11</v>
      </c>
      <c r="C27" t="s">
        <v>144</v>
      </c>
      <c r="D27" t="s">
        <v>57</v>
      </c>
      <c r="E27" t="s">
        <v>51</v>
      </c>
      <c r="F27" t="s">
        <v>143</v>
      </c>
      <c r="G27" t="s">
        <v>484</v>
      </c>
      <c r="J27" t="s">
        <v>480</v>
      </c>
      <c r="K27">
        <v>1</v>
      </c>
      <c r="L27" t="s">
        <v>146</v>
      </c>
      <c r="M27">
        <v>15</v>
      </c>
      <c r="N27">
        <v>10</v>
      </c>
      <c r="O27">
        <v>15</v>
      </c>
      <c r="P27">
        <v>15</v>
      </c>
      <c r="Q27">
        <v>15</v>
      </c>
      <c r="R27">
        <v>10</v>
      </c>
      <c r="S27">
        <v>0</v>
      </c>
      <c r="T27">
        <v>0</v>
      </c>
      <c r="U27">
        <v>80</v>
      </c>
      <c r="V27" t="s">
        <v>9</v>
      </c>
      <c r="W27" t="s">
        <v>147</v>
      </c>
    </row>
    <row r="28" spans="1:23">
      <c r="A28">
        <v>5803327001</v>
      </c>
      <c r="B28" t="s">
        <v>10</v>
      </c>
      <c r="C28" t="s">
        <v>41</v>
      </c>
      <c r="D28" t="s">
        <v>41</v>
      </c>
      <c r="E28" t="s">
        <v>42</v>
      </c>
      <c r="F28" t="s">
        <v>148</v>
      </c>
      <c r="G28" t="s">
        <v>485</v>
      </c>
      <c r="H28" t="s">
        <v>486</v>
      </c>
      <c r="J28" t="s">
        <v>487</v>
      </c>
      <c r="K28">
        <v>1</v>
      </c>
      <c r="L28" t="s">
        <v>488</v>
      </c>
      <c r="M28">
        <v>40</v>
      </c>
      <c r="N28">
        <v>0</v>
      </c>
      <c r="O28">
        <v>0</v>
      </c>
      <c r="P28">
        <v>20</v>
      </c>
      <c r="Q28">
        <v>20</v>
      </c>
      <c r="R28" t="s">
        <v>45</v>
      </c>
      <c r="S28" t="s">
        <v>45</v>
      </c>
      <c r="T28" t="s">
        <v>45</v>
      </c>
      <c r="U28">
        <v>80</v>
      </c>
      <c r="V28" t="s">
        <v>13</v>
      </c>
      <c r="W28" t="s">
        <v>151</v>
      </c>
    </row>
    <row r="29" spans="1:23">
      <c r="A29">
        <v>7900230155</v>
      </c>
      <c r="B29" t="s">
        <v>11</v>
      </c>
      <c r="C29" t="s">
        <v>153</v>
      </c>
      <c r="D29" t="s">
        <v>154</v>
      </c>
      <c r="E29" t="s">
        <v>51</v>
      </c>
      <c r="F29" t="s">
        <v>152</v>
      </c>
      <c r="G29" t="s">
        <v>471</v>
      </c>
      <c r="I29" t="s">
        <v>443</v>
      </c>
      <c r="J29" t="s">
        <v>489</v>
      </c>
      <c r="K29">
        <v>1</v>
      </c>
      <c r="L29" t="s">
        <v>156</v>
      </c>
      <c r="M29">
        <v>15</v>
      </c>
      <c r="N29">
        <v>20</v>
      </c>
      <c r="O29">
        <v>5</v>
      </c>
      <c r="P29">
        <v>15</v>
      </c>
      <c r="Q29">
        <v>0</v>
      </c>
      <c r="R29">
        <v>10</v>
      </c>
      <c r="S29">
        <v>0</v>
      </c>
      <c r="T29">
        <v>15</v>
      </c>
      <c r="U29">
        <v>80</v>
      </c>
      <c r="V29" t="s">
        <v>9</v>
      </c>
      <c r="W29" t="s">
        <v>157</v>
      </c>
    </row>
    <row r="30" spans="1:23">
      <c r="A30">
        <v>7900543083</v>
      </c>
      <c r="B30" t="s">
        <v>11</v>
      </c>
      <c r="C30" t="s">
        <v>490</v>
      </c>
      <c r="D30" t="s">
        <v>62</v>
      </c>
      <c r="E30" t="s">
        <v>42</v>
      </c>
      <c r="F30" t="s">
        <v>437</v>
      </c>
      <c r="I30" t="s">
        <v>438</v>
      </c>
      <c r="L30" t="s">
        <v>439</v>
      </c>
      <c r="M30">
        <v>15</v>
      </c>
      <c r="N30">
        <v>20</v>
      </c>
      <c r="O30">
        <v>5</v>
      </c>
      <c r="P30">
        <v>15</v>
      </c>
      <c r="Q30">
        <v>0</v>
      </c>
      <c r="R30">
        <v>0</v>
      </c>
      <c r="S30">
        <v>10</v>
      </c>
      <c r="T30">
        <v>15</v>
      </c>
      <c r="U30">
        <v>80</v>
      </c>
      <c r="V30" t="s">
        <v>9</v>
      </c>
      <c r="W30" t="s">
        <v>491</v>
      </c>
    </row>
    <row r="31" spans="1:23">
      <c r="A31">
        <v>7900930040</v>
      </c>
      <c r="B31" t="s">
        <v>11</v>
      </c>
      <c r="C31" t="s">
        <v>492</v>
      </c>
      <c r="D31" t="s">
        <v>57</v>
      </c>
      <c r="E31" t="s">
        <v>51</v>
      </c>
      <c r="F31" t="s">
        <v>437</v>
      </c>
      <c r="I31" t="s">
        <v>438</v>
      </c>
      <c r="L31" t="s">
        <v>439</v>
      </c>
      <c r="M31">
        <v>15</v>
      </c>
      <c r="N31">
        <v>20</v>
      </c>
      <c r="O31">
        <v>5</v>
      </c>
      <c r="P31">
        <v>15</v>
      </c>
      <c r="Q31">
        <v>0</v>
      </c>
      <c r="R31">
        <v>0</v>
      </c>
      <c r="S31">
        <v>10</v>
      </c>
      <c r="T31">
        <v>15</v>
      </c>
      <c r="U31">
        <v>80</v>
      </c>
      <c r="V31" t="s">
        <v>9</v>
      </c>
      <c r="W31" t="s">
        <v>493</v>
      </c>
    </row>
    <row r="32" spans="1:23">
      <c r="A32">
        <v>7931383086</v>
      </c>
      <c r="B32" t="s">
        <v>11</v>
      </c>
      <c r="C32" t="s">
        <v>209</v>
      </c>
      <c r="D32" t="s">
        <v>210</v>
      </c>
      <c r="E32" t="s">
        <v>42</v>
      </c>
      <c r="F32" t="s">
        <v>437</v>
      </c>
      <c r="I32" t="s">
        <v>438</v>
      </c>
      <c r="L32" t="s">
        <v>439</v>
      </c>
      <c r="M32">
        <v>15</v>
      </c>
      <c r="N32">
        <v>20</v>
      </c>
      <c r="O32">
        <v>5</v>
      </c>
      <c r="P32">
        <v>15</v>
      </c>
      <c r="Q32">
        <v>0</v>
      </c>
      <c r="R32">
        <v>10</v>
      </c>
      <c r="S32">
        <v>0</v>
      </c>
      <c r="T32">
        <v>15</v>
      </c>
      <c r="U32">
        <v>80</v>
      </c>
      <c r="V32" t="s">
        <v>9</v>
      </c>
      <c r="W32" t="s">
        <v>494</v>
      </c>
    </row>
    <row r="33" spans="1:23">
      <c r="A33">
        <v>7908302256</v>
      </c>
      <c r="B33" t="s">
        <v>11</v>
      </c>
      <c r="C33" t="s">
        <v>107</v>
      </c>
      <c r="D33" t="s">
        <v>108</v>
      </c>
      <c r="E33" t="s">
        <v>42</v>
      </c>
      <c r="F33" t="s">
        <v>158</v>
      </c>
      <c r="G33" t="s">
        <v>495</v>
      </c>
      <c r="L33" t="s">
        <v>159</v>
      </c>
      <c r="M33">
        <v>5</v>
      </c>
      <c r="N33">
        <v>10</v>
      </c>
      <c r="O33">
        <v>5</v>
      </c>
      <c r="P33">
        <v>15</v>
      </c>
      <c r="Q33">
        <v>15</v>
      </c>
      <c r="R33">
        <v>10</v>
      </c>
      <c r="S33">
        <v>0</v>
      </c>
      <c r="T33">
        <v>15</v>
      </c>
      <c r="U33">
        <v>75</v>
      </c>
      <c r="V33" t="s">
        <v>13</v>
      </c>
      <c r="W33" t="s">
        <v>160</v>
      </c>
    </row>
    <row r="34" spans="1:23">
      <c r="A34">
        <v>5800371025</v>
      </c>
      <c r="B34" t="s">
        <v>10</v>
      </c>
      <c r="C34" t="s">
        <v>162</v>
      </c>
      <c r="D34" t="s">
        <v>154</v>
      </c>
      <c r="E34" t="s">
        <v>51</v>
      </c>
      <c r="F34" t="s">
        <v>161</v>
      </c>
      <c r="G34" t="s">
        <v>445</v>
      </c>
      <c r="H34" t="s">
        <v>496</v>
      </c>
      <c r="I34" t="s">
        <v>443</v>
      </c>
      <c r="J34" t="s">
        <v>460</v>
      </c>
      <c r="K34">
        <v>1</v>
      </c>
      <c r="L34" t="s">
        <v>164</v>
      </c>
      <c r="M34">
        <v>0</v>
      </c>
      <c r="N34">
        <v>20</v>
      </c>
      <c r="O34">
        <v>20</v>
      </c>
      <c r="P34">
        <v>10</v>
      </c>
      <c r="Q34">
        <v>20</v>
      </c>
      <c r="R34" t="s">
        <v>45</v>
      </c>
      <c r="S34" t="s">
        <v>45</v>
      </c>
      <c r="T34" t="s">
        <v>45</v>
      </c>
      <c r="U34">
        <v>70</v>
      </c>
      <c r="V34" t="s">
        <v>13</v>
      </c>
      <c r="W34" t="s">
        <v>165</v>
      </c>
    </row>
    <row r="35" spans="1:23">
      <c r="A35">
        <v>7926089013</v>
      </c>
      <c r="B35" t="s">
        <v>11</v>
      </c>
      <c r="C35" t="s">
        <v>97</v>
      </c>
      <c r="D35" t="s">
        <v>97</v>
      </c>
      <c r="E35" t="s">
        <v>42</v>
      </c>
      <c r="F35" t="s">
        <v>171</v>
      </c>
      <c r="G35" t="s">
        <v>451</v>
      </c>
      <c r="J35" t="s">
        <v>480</v>
      </c>
      <c r="K35">
        <v>1</v>
      </c>
      <c r="L35" t="s">
        <v>173</v>
      </c>
      <c r="M35">
        <v>15</v>
      </c>
      <c r="N35">
        <v>10</v>
      </c>
      <c r="O35">
        <v>5</v>
      </c>
      <c r="P35">
        <v>15</v>
      </c>
      <c r="Q35">
        <v>15</v>
      </c>
      <c r="R35">
        <v>10</v>
      </c>
      <c r="S35">
        <v>0</v>
      </c>
      <c r="T35">
        <v>0</v>
      </c>
      <c r="U35">
        <v>70</v>
      </c>
      <c r="V35" t="s">
        <v>13</v>
      </c>
      <c r="W35" t="s">
        <v>174</v>
      </c>
    </row>
    <row r="36" spans="1:23">
      <c r="A36">
        <v>7925087021</v>
      </c>
      <c r="B36" t="s">
        <v>11</v>
      </c>
      <c r="C36" t="s">
        <v>176</v>
      </c>
      <c r="D36" t="s">
        <v>177</v>
      </c>
      <c r="E36" t="s">
        <v>76</v>
      </c>
      <c r="F36" t="s">
        <v>175</v>
      </c>
      <c r="G36" t="s">
        <v>445</v>
      </c>
      <c r="H36">
        <v>46233</v>
      </c>
      <c r="I36" t="s">
        <v>443</v>
      </c>
      <c r="J36" t="s">
        <v>480</v>
      </c>
      <c r="K36">
        <v>1</v>
      </c>
      <c r="L36" t="s">
        <v>179</v>
      </c>
      <c r="M36">
        <v>15</v>
      </c>
      <c r="N36">
        <v>10</v>
      </c>
      <c r="O36">
        <v>5</v>
      </c>
      <c r="P36">
        <v>0</v>
      </c>
      <c r="Q36">
        <v>15</v>
      </c>
      <c r="R36">
        <v>10</v>
      </c>
      <c r="S36">
        <v>0</v>
      </c>
      <c r="T36">
        <v>15</v>
      </c>
      <c r="U36">
        <v>70</v>
      </c>
      <c r="V36" t="s">
        <v>13</v>
      </c>
      <c r="W36" t="s">
        <v>180</v>
      </c>
    </row>
    <row r="37" spans="1:23">
      <c r="A37">
        <v>5801866013</v>
      </c>
      <c r="B37" t="s">
        <v>10</v>
      </c>
      <c r="C37" t="s">
        <v>97</v>
      </c>
      <c r="D37" t="s">
        <v>97</v>
      </c>
      <c r="E37" t="s">
        <v>42</v>
      </c>
      <c r="F37" t="s">
        <v>181</v>
      </c>
      <c r="G37" t="s">
        <v>471</v>
      </c>
      <c r="I37" t="s">
        <v>443</v>
      </c>
      <c r="J37" t="s">
        <v>444</v>
      </c>
      <c r="K37">
        <v>1</v>
      </c>
      <c r="L37" t="s">
        <v>183</v>
      </c>
      <c r="M37">
        <v>0</v>
      </c>
      <c r="N37">
        <v>20</v>
      </c>
      <c r="O37">
        <v>20</v>
      </c>
      <c r="P37">
        <v>20</v>
      </c>
      <c r="Q37">
        <v>10</v>
      </c>
      <c r="R37" t="s">
        <v>45</v>
      </c>
      <c r="S37" t="s">
        <v>45</v>
      </c>
      <c r="T37" t="s">
        <v>45</v>
      </c>
      <c r="U37">
        <v>70</v>
      </c>
      <c r="V37" t="s">
        <v>13</v>
      </c>
      <c r="W37" t="s">
        <v>184</v>
      </c>
    </row>
    <row r="38" spans="1:23">
      <c r="A38">
        <v>5865120195</v>
      </c>
      <c r="B38" t="s">
        <v>10</v>
      </c>
      <c r="C38" t="s">
        <v>167</v>
      </c>
      <c r="D38" t="s">
        <v>50</v>
      </c>
      <c r="E38" t="s">
        <v>51</v>
      </c>
      <c r="F38" t="s">
        <v>166</v>
      </c>
      <c r="G38" t="s">
        <v>471</v>
      </c>
      <c r="J38" t="s">
        <v>497</v>
      </c>
      <c r="K38">
        <v>1</v>
      </c>
      <c r="L38" t="s">
        <v>169</v>
      </c>
      <c r="M38">
        <v>20</v>
      </c>
      <c r="N38">
        <v>20</v>
      </c>
      <c r="O38">
        <v>20</v>
      </c>
      <c r="P38">
        <v>10</v>
      </c>
      <c r="Q38">
        <v>0</v>
      </c>
      <c r="R38" t="s">
        <v>45</v>
      </c>
      <c r="S38" t="s">
        <v>45</v>
      </c>
      <c r="T38" t="s">
        <v>45</v>
      </c>
      <c r="U38">
        <v>70</v>
      </c>
      <c r="V38" t="s">
        <v>13</v>
      </c>
      <c r="W38" t="s">
        <v>170</v>
      </c>
    </row>
    <row r="39" spans="1:23">
      <c r="A39">
        <v>5853360007</v>
      </c>
      <c r="B39" t="s">
        <v>10</v>
      </c>
      <c r="C39" t="s">
        <v>186</v>
      </c>
      <c r="D39" t="s">
        <v>186</v>
      </c>
      <c r="E39" t="s">
        <v>42</v>
      </c>
      <c r="F39" t="s">
        <v>185</v>
      </c>
      <c r="G39" t="s">
        <v>498</v>
      </c>
      <c r="H39" t="s">
        <v>499</v>
      </c>
      <c r="J39" t="s">
        <v>497</v>
      </c>
      <c r="K39">
        <v>1</v>
      </c>
      <c r="L39" t="s">
        <v>188</v>
      </c>
      <c r="M39">
        <v>0</v>
      </c>
      <c r="N39">
        <v>20</v>
      </c>
      <c r="O39">
        <v>20</v>
      </c>
      <c r="P39">
        <v>10</v>
      </c>
      <c r="Q39">
        <v>20</v>
      </c>
      <c r="R39" t="s">
        <v>45</v>
      </c>
      <c r="S39" t="s">
        <v>45</v>
      </c>
      <c r="T39" t="s">
        <v>45</v>
      </c>
      <c r="U39">
        <v>70</v>
      </c>
      <c r="V39" t="s">
        <v>13</v>
      </c>
      <c r="W39" t="s">
        <v>189</v>
      </c>
    </row>
    <row r="40" spans="1:23">
      <c r="A40">
        <v>5800366016</v>
      </c>
      <c r="B40" t="s">
        <v>10</v>
      </c>
      <c r="C40" t="s">
        <v>500</v>
      </c>
      <c r="D40" t="s">
        <v>223</v>
      </c>
      <c r="E40" t="s">
        <v>51</v>
      </c>
      <c r="F40" t="s">
        <v>437</v>
      </c>
      <c r="I40" t="s">
        <v>438</v>
      </c>
      <c r="L40" t="s">
        <v>439</v>
      </c>
      <c r="M40">
        <v>0</v>
      </c>
      <c r="N40">
        <v>20</v>
      </c>
      <c r="O40">
        <v>20</v>
      </c>
      <c r="P40">
        <v>20</v>
      </c>
      <c r="Q40">
        <v>10</v>
      </c>
      <c r="R40" t="s">
        <v>45</v>
      </c>
      <c r="S40" t="s">
        <v>45</v>
      </c>
      <c r="T40" t="s">
        <v>45</v>
      </c>
      <c r="U40">
        <v>70</v>
      </c>
      <c r="V40" t="s">
        <v>13</v>
      </c>
      <c r="W40" t="s">
        <v>501</v>
      </c>
    </row>
    <row r="41" spans="1:23">
      <c r="A41">
        <v>7955523028</v>
      </c>
      <c r="B41" t="s">
        <v>11</v>
      </c>
      <c r="C41" t="s">
        <v>502</v>
      </c>
      <c r="D41" t="s">
        <v>75</v>
      </c>
      <c r="E41" t="s">
        <v>76</v>
      </c>
      <c r="F41" t="s">
        <v>437</v>
      </c>
      <c r="I41" t="s">
        <v>438</v>
      </c>
      <c r="L41" t="s">
        <v>439</v>
      </c>
      <c r="M41">
        <v>15</v>
      </c>
      <c r="N41">
        <v>10</v>
      </c>
      <c r="O41">
        <v>5</v>
      </c>
      <c r="P41">
        <v>15</v>
      </c>
      <c r="Q41">
        <v>15</v>
      </c>
      <c r="R41">
        <v>10</v>
      </c>
      <c r="S41">
        <v>0</v>
      </c>
      <c r="T41">
        <v>0</v>
      </c>
      <c r="U41">
        <v>70</v>
      </c>
      <c r="V41" t="s">
        <v>13</v>
      </c>
      <c r="W41" t="s">
        <v>503</v>
      </c>
    </row>
    <row r="42" spans="1:23">
      <c r="A42">
        <v>7900573047</v>
      </c>
      <c r="B42" t="s">
        <v>11</v>
      </c>
      <c r="C42" t="s">
        <v>191</v>
      </c>
      <c r="D42" t="s">
        <v>449</v>
      </c>
      <c r="E42" t="s">
        <v>76</v>
      </c>
      <c r="F42" t="s">
        <v>190</v>
      </c>
      <c r="G42" t="s">
        <v>445</v>
      </c>
      <c r="H42">
        <v>46233</v>
      </c>
      <c r="I42" t="s">
        <v>443</v>
      </c>
      <c r="J42" t="s">
        <v>469</v>
      </c>
      <c r="K42">
        <v>1</v>
      </c>
      <c r="L42" t="s">
        <v>194</v>
      </c>
      <c r="M42">
        <v>5</v>
      </c>
      <c r="N42">
        <v>5</v>
      </c>
      <c r="O42">
        <v>15</v>
      </c>
      <c r="P42">
        <v>0</v>
      </c>
      <c r="Q42">
        <v>15</v>
      </c>
      <c r="R42">
        <v>10</v>
      </c>
      <c r="S42">
        <v>0</v>
      </c>
      <c r="T42">
        <v>15</v>
      </c>
      <c r="U42">
        <v>65</v>
      </c>
      <c r="V42" t="s">
        <v>13</v>
      </c>
      <c r="W42" t="s">
        <v>195</v>
      </c>
    </row>
    <row r="43" spans="1:23">
      <c r="A43">
        <v>7953610256</v>
      </c>
      <c r="B43" t="s">
        <v>11</v>
      </c>
      <c r="C43" t="s">
        <v>107</v>
      </c>
      <c r="D43" t="s">
        <v>108</v>
      </c>
      <c r="E43" t="s">
        <v>42</v>
      </c>
      <c r="F43" t="s">
        <v>196</v>
      </c>
      <c r="G43" t="s">
        <v>467</v>
      </c>
      <c r="H43" t="s">
        <v>504</v>
      </c>
      <c r="J43" t="s">
        <v>465</v>
      </c>
      <c r="K43">
        <v>1</v>
      </c>
      <c r="L43" t="s">
        <v>197</v>
      </c>
      <c r="M43">
        <v>5</v>
      </c>
      <c r="N43">
        <v>5</v>
      </c>
      <c r="O43">
        <v>15</v>
      </c>
      <c r="P43">
        <v>15</v>
      </c>
      <c r="Q43">
        <v>0</v>
      </c>
      <c r="R43">
        <v>0</v>
      </c>
      <c r="S43">
        <v>10</v>
      </c>
      <c r="T43">
        <v>15</v>
      </c>
      <c r="U43">
        <v>65</v>
      </c>
      <c r="V43" t="s">
        <v>13</v>
      </c>
      <c r="W43" t="s">
        <v>198</v>
      </c>
    </row>
    <row r="44" spans="1:23">
      <c r="A44">
        <v>5800438116</v>
      </c>
      <c r="B44" t="s">
        <v>10</v>
      </c>
      <c r="C44" t="s">
        <v>200</v>
      </c>
      <c r="D44" t="s">
        <v>75</v>
      </c>
      <c r="E44" t="s">
        <v>76</v>
      </c>
      <c r="F44" t="s">
        <v>199</v>
      </c>
      <c r="G44" t="s">
        <v>445</v>
      </c>
      <c r="H44" t="s">
        <v>505</v>
      </c>
      <c r="I44" t="s">
        <v>443</v>
      </c>
      <c r="J44" t="s">
        <v>444</v>
      </c>
      <c r="K44">
        <v>2</v>
      </c>
      <c r="L44" t="s">
        <v>201</v>
      </c>
      <c r="M44">
        <v>0</v>
      </c>
      <c r="N44">
        <v>20</v>
      </c>
      <c r="O44">
        <v>20</v>
      </c>
      <c r="P44">
        <v>20</v>
      </c>
      <c r="Q44">
        <v>0</v>
      </c>
      <c r="R44" t="s">
        <v>45</v>
      </c>
      <c r="S44" t="s">
        <v>45</v>
      </c>
      <c r="T44" t="s">
        <v>45</v>
      </c>
      <c r="U44">
        <v>60</v>
      </c>
      <c r="V44" t="s">
        <v>14</v>
      </c>
      <c r="W44" t="s">
        <v>202</v>
      </c>
    </row>
    <row r="45" spans="1:23">
      <c r="A45">
        <v>5800090147</v>
      </c>
      <c r="B45" t="s">
        <v>10</v>
      </c>
      <c r="C45" t="s">
        <v>506</v>
      </c>
      <c r="D45" t="s">
        <v>75</v>
      </c>
      <c r="E45" t="s">
        <v>76</v>
      </c>
      <c r="F45" t="s">
        <v>437</v>
      </c>
      <c r="I45" t="s">
        <v>438</v>
      </c>
      <c r="L45" t="s">
        <v>439</v>
      </c>
      <c r="M45">
        <v>0</v>
      </c>
      <c r="N45">
        <v>20</v>
      </c>
      <c r="O45">
        <v>20</v>
      </c>
      <c r="P45">
        <v>10</v>
      </c>
      <c r="Q45">
        <v>10</v>
      </c>
      <c r="R45" t="s">
        <v>45</v>
      </c>
      <c r="S45" t="s">
        <v>45</v>
      </c>
      <c r="T45" t="s">
        <v>45</v>
      </c>
      <c r="U45">
        <v>60</v>
      </c>
      <c r="V45" t="s">
        <v>14</v>
      </c>
      <c r="W45" t="s">
        <v>507</v>
      </c>
    </row>
    <row r="46" spans="1:23">
      <c r="A46">
        <v>5840227063</v>
      </c>
      <c r="B46" t="s">
        <v>10</v>
      </c>
      <c r="C46" t="s">
        <v>204</v>
      </c>
      <c r="D46" t="s">
        <v>154</v>
      </c>
      <c r="E46" t="s">
        <v>51</v>
      </c>
      <c r="F46" t="s">
        <v>203</v>
      </c>
      <c r="G46" t="s">
        <v>495</v>
      </c>
      <c r="L46" t="s">
        <v>508</v>
      </c>
      <c r="M46">
        <v>0</v>
      </c>
      <c r="N46">
        <v>20</v>
      </c>
      <c r="O46">
        <v>20</v>
      </c>
      <c r="P46">
        <v>10</v>
      </c>
      <c r="Q46">
        <v>10</v>
      </c>
      <c r="R46" t="s">
        <v>45</v>
      </c>
      <c r="S46" t="s">
        <v>45</v>
      </c>
      <c r="T46" t="s">
        <v>45</v>
      </c>
      <c r="U46">
        <v>60</v>
      </c>
      <c r="V46" t="s">
        <v>14</v>
      </c>
      <c r="W46" t="s">
        <v>207</v>
      </c>
    </row>
    <row r="47" spans="1:23">
      <c r="A47">
        <v>5846328094</v>
      </c>
      <c r="B47" t="s">
        <v>10</v>
      </c>
      <c r="C47" t="s">
        <v>177</v>
      </c>
      <c r="D47" t="s">
        <v>177</v>
      </c>
      <c r="E47" t="s">
        <v>76</v>
      </c>
      <c r="F47" t="s">
        <v>214</v>
      </c>
      <c r="G47" t="s">
        <v>482</v>
      </c>
      <c r="I47" t="s">
        <v>443</v>
      </c>
      <c r="J47" t="s">
        <v>497</v>
      </c>
      <c r="K47">
        <v>1</v>
      </c>
      <c r="L47" t="s">
        <v>216</v>
      </c>
      <c r="M47">
        <v>0</v>
      </c>
      <c r="N47">
        <v>20</v>
      </c>
      <c r="O47">
        <v>20</v>
      </c>
      <c r="P47">
        <v>10</v>
      </c>
      <c r="Q47">
        <v>10</v>
      </c>
      <c r="R47" t="s">
        <v>45</v>
      </c>
      <c r="S47" t="s">
        <v>45</v>
      </c>
      <c r="T47" t="s">
        <v>45</v>
      </c>
      <c r="U47">
        <v>60</v>
      </c>
      <c r="V47" t="s">
        <v>14</v>
      </c>
      <c r="W47" t="s">
        <v>217</v>
      </c>
    </row>
    <row r="48" spans="1:23">
      <c r="A48">
        <v>5851753086</v>
      </c>
      <c r="B48" t="s">
        <v>10</v>
      </c>
      <c r="C48" t="s">
        <v>209</v>
      </c>
      <c r="D48" t="s">
        <v>210</v>
      </c>
      <c r="E48" t="s">
        <v>42</v>
      </c>
      <c r="F48" t="s">
        <v>208</v>
      </c>
      <c r="G48" t="s">
        <v>482</v>
      </c>
      <c r="I48" t="s">
        <v>443</v>
      </c>
      <c r="J48" t="s">
        <v>497</v>
      </c>
      <c r="K48">
        <v>1</v>
      </c>
      <c r="L48" t="s">
        <v>212</v>
      </c>
      <c r="M48">
        <v>0</v>
      </c>
      <c r="N48">
        <v>20</v>
      </c>
      <c r="O48">
        <v>20</v>
      </c>
      <c r="P48">
        <v>10</v>
      </c>
      <c r="Q48">
        <v>10</v>
      </c>
      <c r="R48" t="s">
        <v>45</v>
      </c>
      <c r="S48" t="s">
        <v>45</v>
      </c>
      <c r="T48" t="s">
        <v>45</v>
      </c>
      <c r="U48">
        <v>60</v>
      </c>
      <c r="V48" t="s">
        <v>14</v>
      </c>
      <c r="W48" t="s">
        <v>213</v>
      </c>
    </row>
    <row r="49" spans="1:23">
      <c r="A49">
        <v>7903112004</v>
      </c>
      <c r="B49" t="s">
        <v>11</v>
      </c>
      <c r="C49" t="s">
        <v>57</v>
      </c>
      <c r="D49" t="s">
        <v>57</v>
      </c>
      <c r="E49" t="s">
        <v>51</v>
      </c>
      <c r="F49" t="s">
        <v>218</v>
      </c>
      <c r="G49" t="s">
        <v>467</v>
      </c>
      <c r="H49" t="s">
        <v>509</v>
      </c>
      <c r="I49" t="s">
        <v>443</v>
      </c>
      <c r="J49" t="s">
        <v>480</v>
      </c>
      <c r="K49">
        <v>1</v>
      </c>
      <c r="L49" t="s">
        <v>219</v>
      </c>
      <c r="M49">
        <v>15</v>
      </c>
      <c r="N49">
        <v>10</v>
      </c>
      <c r="O49">
        <v>5</v>
      </c>
      <c r="P49">
        <v>15</v>
      </c>
      <c r="Q49">
        <v>0</v>
      </c>
      <c r="R49">
        <v>10</v>
      </c>
      <c r="S49">
        <v>0</v>
      </c>
      <c r="T49">
        <v>0</v>
      </c>
      <c r="U49">
        <v>55</v>
      </c>
      <c r="V49" t="s">
        <v>13</v>
      </c>
      <c r="W49" t="s">
        <v>220</v>
      </c>
    </row>
    <row r="50" spans="1:23">
      <c r="A50">
        <v>7920024127</v>
      </c>
      <c r="B50" t="s">
        <v>11</v>
      </c>
      <c r="C50" t="s">
        <v>222</v>
      </c>
      <c r="D50" t="s">
        <v>223</v>
      </c>
      <c r="E50" t="s">
        <v>51</v>
      </c>
      <c r="F50" t="s">
        <v>221</v>
      </c>
      <c r="G50" t="s">
        <v>451</v>
      </c>
      <c r="J50" t="s">
        <v>510</v>
      </c>
      <c r="K50">
        <v>1</v>
      </c>
      <c r="L50" t="s">
        <v>225</v>
      </c>
      <c r="M50">
        <v>15</v>
      </c>
      <c r="N50">
        <v>10</v>
      </c>
      <c r="O50">
        <v>5</v>
      </c>
      <c r="P50">
        <v>15</v>
      </c>
      <c r="Q50">
        <v>0</v>
      </c>
      <c r="R50">
        <v>10</v>
      </c>
      <c r="S50">
        <v>0</v>
      </c>
      <c r="T50">
        <v>0</v>
      </c>
      <c r="U50">
        <v>55</v>
      </c>
      <c r="V50" t="s">
        <v>13</v>
      </c>
      <c r="W50" t="s">
        <v>226</v>
      </c>
    </row>
    <row r="51" spans="1:23">
      <c r="A51">
        <v>7927646026</v>
      </c>
      <c r="B51" t="s">
        <v>11</v>
      </c>
      <c r="C51" t="s">
        <v>108</v>
      </c>
      <c r="D51" t="s">
        <v>108</v>
      </c>
      <c r="E51" t="s">
        <v>42</v>
      </c>
      <c r="F51" t="s">
        <v>227</v>
      </c>
      <c r="G51" t="s">
        <v>451</v>
      </c>
      <c r="J51" t="s">
        <v>480</v>
      </c>
      <c r="K51">
        <v>1</v>
      </c>
      <c r="L51" t="s">
        <v>228</v>
      </c>
      <c r="M51">
        <v>15</v>
      </c>
      <c r="N51">
        <v>10</v>
      </c>
      <c r="O51">
        <v>5</v>
      </c>
      <c r="P51">
        <v>0</v>
      </c>
      <c r="Q51">
        <v>15</v>
      </c>
      <c r="R51">
        <v>0</v>
      </c>
      <c r="S51">
        <v>10</v>
      </c>
      <c r="T51">
        <v>0</v>
      </c>
      <c r="U51">
        <v>55</v>
      </c>
      <c r="V51" t="s">
        <v>13</v>
      </c>
      <c r="W51" t="s">
        <v>229</v>
      </c>
    </row>
    <row r="52" spans="1:23">
      <c r="A52">
        <v>7927169001</v>
      </c>
      <c r="B52" t="s">
        <v>11</v>
      </c>
      <c r="C52" t="s">
        <v>41</v>
      </c>
      <c r="D52" t="s">
        <v>41</v>
      </c>
      <c r="E52" t="s">
        <v>42</v>
      </c>
      <c r="F52" t="s">
        <v>230</v>
      </c>
      <c r="G52" t="s">
        <v>455</v>
      </c>
      <c r="H52" t="s">
        <v>456</v>
      </c>
      <c r="I52" t="s">
        <v>443</v>
      </c>
      <c r="J52" t="s">
        <v>480</v>
      </c>
      <c r="L52" t="s">
        <v>231</v>
      </c>
      <c r="M52">
        <v>5</v>
      </c>
      <c r="N52">
        <v>5</v>
      </c>
      <c r="O52">
        <v>15</v>
      </c>
      <c r="P52">
        <v>0</v>
      </c>
      <c r="Q52">
        <v>15</v>
      </c>
      <c r="R52">
        <v>0</v>
      </c>
      <c r="S52">
        <v>0</v>
      </c>
      <c r="T52">
        <v>15</v>
      </c>
      <c r="U52">
        <v>55</v>
      </c>
      <c r="V52" t="s">
        <v>13</v>
      </c>
      <c r="W52" t="s">
        <v>232</v>
      </c>
    </row>
    <row r="53" spans="1:23">
      <c r="A53">
        <v>7900018004</v>
      </c>
      <c r="B53" t="s">
        <v>11</v>
      </c>
      <c r="C53" t="s">
        <v>57</v>
      </c>
      <c r="D53" t="s">
        <v>57</v>
      </c>
      <c r="E53" t="s">
        <v>51</v>
      </c>
      <c r="F53" t="s">
        <v>437</v>
      </c>
      <c r="I53" t="s">
        <v>438</v>
      </c>
      <c r="L53" t="s">
        <v>439</v>
      </c>
      <c r="M53">
        <v>15</v>
      </c>
      <c r="N53">
        <v>10</v>
      </c>
      <c r="O53">
        <v>5</v>
      </c>
      <c r="P53">
        <v>15</v>
      </c>
      <c r="Q53">
        <v>0</v>
      </c>
      <c r="R53">
        <v>10</v>
      </c>
      <c r="S53">
        <v>0</v>
      </c>
      <c r="T53">
        <v>0</v>
      </c>
      <c r="U53">
        <v>55</v>
      </c>
      <c r="V53" t="s">
        <v>13</v>
      </c>
      <c r="W53" t="s">
        <v>511</v>
      </c>
    </row>
    <row r="54" spans="1:23">
      <c r="A54">
        <v>7934698002</v>
      </c>
      <c r="B54" t="s">
        <v>11</v>
      </c>
      <c r="C54" t="s">
        <v>223</v>
      </c>
      <c r="D54" t="s">
        <v>223</v>
      </c>
      <c r="E54" t="s">
        <v>51</v>
      </c>
      <c r="F54" t="s">
        <v>437</v>
      </c>
      <c r="I54" t="s">
        <v>438</v>
      </c>
      <c r="L54" t="s">
        <v>439</v>
      </c>
      <c r="M54">
        <v>5</v>
      </c>
      <c r="N54">
        <v>5</v>
      </c>
      <c r="O54">
        <v>5</v>
      </c>
      <c r="P54">
        <v>0</v>
      </c>
      <c r="Q54">
        <v>15</v>
      </c>
      <c r="R54">
        <v>0</v>
      </c>
      <c r="S54">
        <v>10</v>
      </c>
      <c r="T54">
        <v>15</v>
      </c>
      <c r="U54">
        <v>55</v>
      </c>
      <c r="V54" t="s">
        <v>13</v>
      </c>
      <c r="W54" t="s">
        <v>512</v>
      </c>
    </row>
    <row r="55" spans="1:23">
      <c r="A55">
        <v>7930428001</v>
      </c>
      <c r="B55" t="s">
        <v>11</v>
      </c>
      <c r="C55" t="s">
        <v>41</v>
      </c>
      <c r="D55" t="s">
        <v>41</v>
      </c>
      <c r="E55" t="s">
        <v>42</v>
      </c>
      <c r="F55" t="s">
        <v>238</v>
      </c>
      <c r="G55" t="s">
        <v>451</v>
      </c>
      <c r="H55" t="s">
        <v>452</v>
      </c>
      <c r="J55" t="s">
        <v>480</v>
      </c>
      <c r="K55">
        <v>1</v>
      </c>
      <c r="L55" t="s">
        <v>240</v>
      </c>
      <c r="M55">
        <v>5</v>
      </c>
      <c r="N55">
        <v>5</v>
      </c>
      <c r="O55">
        <v>15</v>
      </c>
      <c r="P55">
        <v>0</v>
      </c>
      <c r="Q55">
        <v>15</v>
      </c>
      <c r="R55">
        <v>10</v>
      </c>
      <c r="S55">
        <v>0</v>
      </c>
      <c r="T55">
        <v>0</v>
      </c>
      <c r="U55">
        <v>50</v>
      </c>
      <c r="V55" t="s">
        <v>13</v>
      </c>
      <c r="W55" t="s">
        <v>241</v>
      </c>
    </row>
    <row r="56" spans="1:23">
      <c r="A56">
        <v>7936038076</v>
      </c>
      <c r="B56" t="s">
        <v>11</v>
      </c>
      <c r="C56" t="s">
        <v>335</v>
      </c>
      <c r="D56" t="s">
        <v>336</v>
      </c>
      <c r="E56" t="s">
        <v>76</v>
      </c>
      <c r="F56" t="s">
        <v>437</v>
      </c>
      <c r="G56" t="s">
        <v>484</v>
      </c>
      <c r="L56" t="s">
        <v>439</v>
      </c>
      <c r="M56">
        <v>5</v>
      </c>
      <c r="N56">
        <v>5</v>
      </c>
      <c r="O56">
        <v>15</v>
      </c>
      <c r="P56">
        <v>0</v>
      </c>
      <c r="Q56">
        <v>15</v>
      </c>
      <c r="R56">
        <v>10</v>
      </c>
      <c r="S56">
        <v>0</v>
      </c>
      <c r="T56">
        <v>0</v>
      </c>
      <c r="U56">
        <v>50</v>
      </c>
      <c r="V56" t="s">
        <v>13</v>
      </c>
      <c r="W56" t="s">
        <v>513</v>
      </c>
    </row>
    <row r="57" spans="1:23">
      <c r="A57">
        <v>7955520116</v>
      </c>
      <c r="B57" t="s">
        <v>11</v>
      </c>
      <c r="C57" t="s">
        <v>200</v>
      </c>
      <c r="D57" t="s">
        <v>75</v>
      </c>
      <c r="E57" t="s">
        <v>76</v>
      </c>
      <c r="F57" t="s">
        <v>437</v>
      </c>
      <c r="G57" t="s">
        <v>451</v>
      </c>
      <c r="H57" t="s">
        <v>514</v>
      </c>
      <c r="J57" t="s">
        <v>480</v>
      </c>
      <c r="K57">
        <v>1</v>
      </c>
      <c r="L57" t="s">
        <v>439</v>
      </c>
      <c r="M57">
        <v>5</v>
      </c>
      <c r="N57">
        <v>5</v>
      </c>
      <c r="O57">
        <v>15</v>
      </c>
      <c r="P57">
        <v>0</v>
      </c>
      <c r="Q57">
        <v>0</v>
      </c>
      <c r="R57">
        <v>10</v>
      </c>
      <c r="S57">
        <v>0</v>
      </c>
      <c r="T57">
        <v>15</v>
      </c>
      <c r="U57">
        <v>50</v>
      </c>
      <c r="V57" t="s">
        <v>13</v>
      </c>
      <c r="W57" t="s">
        <v>515</v>
      </c>
    </row>
    <row r="58" spans="1:23">
      <c r="A58">
        <v>5800291035</v>
      </c>
      <c r="B58" t="s">
        <v>10</v>
      </c>
      <c r="C58" t="s">
        <v>234</v>
      </c>
      <c r="D58" t="s">
        <v>108</v>
      </c>
      <c r="E58" t="s">
        <v>42</v>
      </c>
      <c r="F58" t="s">
        <v>233</v>
      </c>
      <c r="G58" t="s">
        <v>497</v>
      </c>
      <c r="H58">
        <v>46232</v>
      </c>
      <c r="J58" t="s">
        <v>497</v>
      </c>
      <c r="K58">
        <v>1</v>
      </c>
      <c r="L58" t="s">
        <v>236</v>
      </c>
      <c r="M58">
        <v>0</v>
      </c>
      <c r="N58">
        <v>20</v>
      </c>
      <c r="O58">
        <v>20</v>
      </c>
      <c r="P58">
        <v>10</v>
      </c>
      <c r="Q58">
        <v>0</v>
      </c>
      <c r="R58" t="s">
        <v>45</v>
      </c>
      <c r="S58" t="s">
        <v>45</v>
      </c>
      <c r="T58" t="s">
        <v>45</v>
      </c>
      <c r="U58">
        <v>50</v>
      </c>
      <c r="V58" t="s">
        <v>14</v>
      </c>
      <c r="W58" t="s">
        <v>237</v>
      </c>
    </row>
    <row r="59" spans="1:23">
      <c r="A59">
        <v>5827102054</v>
      </c>
      <c r="B59" t="s">
        <v>10</v>
      </c>
      <c r="C59" t="s">
        <v>243</v>
      </c>
      <c r="D59" t="s">
        <v>97</v>
      </c>
      <c r="E59" t="s">
        <v>42</v>
      </c>
      <c r="F59" t="s">
        <v>242</v>
      </c>
      <c r="G59" t="s">
        <v>516</v>
      </c>
      <c r="H59">
        <v>46231</v>
      </c>
      <c r="L59" t="s">
        <v>245</v>
      </c>
      <c r="M59">
        <v>0</v>
      </c>
      <c r="N59">
        <v>20</v>
      </c>
      <c r="O59">
        <v>20</v>
      </c>
      <c r="P59">
        <v>10</v>
      </c>
      <c r="Q59">
        <v>0</v>
      </c>
      <c r="R59" t="s">
        <v>45</v>
      </c>
      <c r="S59" t="s">
        <v>45</v>
      </c>
      <c r="T59" t="s">
        <v>45</v>
      </c>
      <c r="U59">
        <v>50</v>
      </c>
      <c r="V59" t="s">
        <v>14</v>
      </c>
      <c r="W59" t="s">
        <v>246</v>
      </c>
    </row>
    <row r="60" spans="1:23">
      <c r="A60">
        <v>5850308009</v>
      </c>
      <c r="B60" t="s">
        <v>10</v>
      </c>
      <c r="C60" t="s">
        <v>50</v>
      </c>
      <c r="D60" t="s">
        <v>50</v>
      </c>
      <c r="E60" t="s">
        <v>51</v>
      </c>
      <c r="F60" t="s">
        <v>437</v>
      </c>
      <c r="I60" t="s">
        <v>438</v>
      </c>
      <c r="L60" t="s">
        <v>439</v>
      </c>
      <c r="M60">
        <v>0</v>
      </c>
      <c r="N60">
        <v>20</v>
      </c>
      <c r="O60">
        <v>20</v>
      </c>
      <c r="P60">
        <v>0</v>
      </c>
      <c r="Q60">
        <v>10</v>
      </c>
      <c r="R60" t="s">
        <v>45</v>
      </c>
      <c r="S60" t="s">
        <v>45</v>
      </c>
      <c r="T60" t="s">
        <v>45</v>
      </c>
      <c r="U60">
        <v>50</v>
      </c>
      <c r="V60" t="s">
        <v>14</v>
      </c>
      <c r="W60" t="s">
        <v>517</v>
      </c>
    </row>
    <row r="61" spans="1:23">
      <c r="A61">
        <v>7900535058</v>
      </c>
      <c r="B61" t="s">
        <v>11</v>
      </c>
      <c r="C61" t="s">
        <v>248</v>
      </c>
      <c r="D61" t="s">
        <v>57</v>
      </c>
      <c r="E61" t="s">
        <v>51</v>
      </c>
      <c r="F61" t="s">
        <v>247</v>
      </c>
      <c r="G61" t="s">
        <v>451</v>
      </c>
      <c r="J61" t="s">
        <v>460</v>
      </c>
      <c r="K61">
        <v>1</v>
      </c>
      <c r="L61" t="s">
        <v>250</v>
      </c>
      <c r="M61">
        <v>5</v>
      </c>
      <c r="N61">
        <v>10</v>
      </c>
      <c r="O61">
        <v>5</v>
      </c>
      <c r="P61">
        <v>0</v>
      </c>
      <c r="Q61">
        <v>15</v>
      </c>
      <c r="R61">
        <v>10</v>
      </c>
      <c r="S61">
        <v>0</v>
      </c>
      <c r="T61">
        <v>0</v>
      </c>
      <c r="U61">
        <v>45</v>
      </c>
      <c r="V61" t="s">
        <v>14</v>
      </c>
      <c r="W61" t="s">
        <v>251</v>
      </c>
    </row>
    <row r="62" spans="1:23">
      <c r="A62">
        <v>7927713200</v>
      </c>
      <c r="B62" t="s">
        <v>11</v>
      </c>
      <c r="C62" t="s">
        <v>327</v>
      </c>
      <c r="D62" t="s">
        <v>177</v>
      </c>
      <c r="E62" t="s">
        <v>76</v>
      </c>
      <c r="F62" t="s">
        <v>437</v>
      </c>
      <c r="G62" t="s">
        <v>451</v>
      </c>
      <c r="J62" t="s">
        <v>480</v>
      </c>
      <c r="K62">
        <v>1</v>
      </c>
      <c r="L62" t="s">
        <v>439</v>
      </c>
      <c r="M62">
        <v>5</v>
      </c>
      <c r="N62">
        <v>5</v>
      </c>
      <c r="O62">
        <v>5</v>
      </c>
      <c r="P62">
        <v>0</v>
      </c>
      <c r="Q62">
        <v>15</v>
      </c>
      <c r="R62">
        <v>10</v>
      </c>
      <c r="S62">
        <v>0</v>
      </c>
      <c r="T62">
        <v>0</v>
      </c>
      <c r="U62">
        <v>40</v>
      </c>
      <c r="V62" t="s">
        <v>14</v>
      </c>
      <c r="W62" t="s">
        <v>518</v>
      </c>
    </row>
    <row r="63" spans="1:23">
      <c r="A63">
        <v>7937102148</v>
      </c>
      <c r="B63" t="s">
        <v>11</v>
      </c>
      <c r="C63" t="s">
        <v>262</v>
      </c>
      <c r="D63" t="s">
        <v>177</v>
      </c>
      <c r="E63" t="s">
        <v>76</v>
      </c>
      <c r="F63" t="s">
        <v>261</v>
      </c>
      <c r="G63" t="s">
        <v>451</v>
      </c>
      <c r="J63" t="s">
        <v>480</v>
      </c>
      <c r="K63">
        <v>1</v>
      </c>
      <c r="L63" t="s">
        <v>264</v>
      </c>
      <c r="M63">
        <v>5</v>
      </c>
      <c r="N63">
        <v>5</v>
      </c>
      <c r="O63">
        <v>5</v>
      </c>
      <c r="P63">
        <v>0</v>
      </c>
      <c r="Q63">
        <v>15</v>
      </c>
      <c r="R63">
        <v>10</v>
      </c>
      <c r="S63">
        <v>0</v>
      </c>
      <c r="T63">
        <v>0</v>
      </c>
      <c r="U63">
        <v>40</v>
      </c>
      <c r="V63" t="s">
        <v>14</v>
      </c>
      <c r="W63" t="s">
        <v>265</v>
      </c>
    </row>
    <row r="64" spans="1:23">
      <c r="A64">
        <v>7944559149</v>
      </c>
      <c r="B64" t="s">
        <v>11</v>
      </c>
      <c r="C64" t="s">
        <v>257</v>
      </c>
      <c r="D64" t="s">
        <v>210</v>
      </c>
      <c r="E64" t="s">
        <v>42</v>
      </c>
      <c r="F64" t="s">
        <v>256</v>
      </c>
      <c r="G64" t="s">
        <v>451</v>
      </c>
      <c r="J64" t="s">
        <v>460</v>
      </c>
      <c r="K64">
        <v>1</v>
      </c>
      <c r="L64" t="s">
        <v>259</v>
      </c>
      <c r="M64">
        <v>5</v>
      </c>
      <c r="N64">
        <v>10</v>
      </c>
      <c r="O64">
        <v>0</v>
      </c>
      <c r="P64">
        <v>0</v>
      </c>
      <c r="Q64">
        <v>15</v>
      </c>
      <c r="R64">
        <v>10</v>
      </c>
      <c r="S64">
        <v>0</v>
      </c>
      <c r="T64">
        <v>0</v>
      </c>
      <c r="U64">
        <v>40</v>
      </c>
      <c r="V64" t="s">
        <v>14</v>
      </c>
      <c r="W64" t="s">
        <v>260</v>
      </c>
    </row>
    <row r="65" spans="1:23">
      <c r="A65">
        <v>5800961074</v>
      </c>
      <c r="B65" t="s">
        <v>10</v>
      </c>
      <c r="C65" t="s">
        <v>75</v>
      </c>
      <c r="D65" t="s">
        <v>75</v>
      </c>
      <c r="E65" t="s">
        <v>76</v>
      </c>
      <c r="F65" t="s">
        <v>252</v>
      </c>
      <c r="G65" t="s">
        <v>519</v>
      </c>
      <c r="H65" t="s">
        <v>520</v>
      </c>
      <c r="J65" t="s">
        <v>521</v>
      </c>
      <c r="K65">
        <v>3</v>
      </c>
      <c r="L65" t="s">
        <v>254</v>
      </c>
      <c r="M65">
        <v>20</v>
      </c>
      <c r="N65">
        <v>0</v>
      </c>
      <c r="O65">
        <v>0</v>
      </c>
      <c r="P65">
        <v>20</v>
      </c>
      <c r="Q65">
        <v>0</v>
      </c>
      <c r="R65" t="s">
        <v>45</v>
      </c>
      <c r="S65" t="s">
        <v>45</v>
      </c>
      <c r="T65" t="s">
        <v>45</v>
      </c>
      <c r="U65">
        <v>40</v>
      </c>
      <c r="V65" t="s">
        <v>14</v>
      </c>
      <c r="W65" t="s">
        <v>255</v>
      </c>
    </row>
    <row r="66" spans="1:23">
      <c r="A66">
        <v>7908249152</v>
      </c>
      <c r="B66" t="s">
        <v>11</v>
      </c>
      <c r="C66" t="s">
        <v>291</v>
      </c>
      <c r="D66" t="s">
        <v>41</v>
      </c>
      <c r="E66" t="s">
        <v>42</v>
      </c>
      <c r="F66" t="s">
        <v>290</v>
      </c>
      <c r="G66" t="s">
        <v>451</v>
      </c>
      <c r="J66" t="s">
        <v>469</v>
      </c>
      <c r="K66">
        <v>1</v>
      </c>
      <c r="L66" t="s">
        <v>292</v>
      </c>
      <c r="M66">
        <v>5</v>
      </c>
      <c r="N66">
        <v>5</v>
      </c>
      <c r="O66">
        <v>0</v>
      </c>
      <c r="P66">
        <v>0</v>
      </c>
      <c r="Q66">
        <v>15</v>
      </c>
      <c r="R66">
        <v>10</v>
      </c>
      <c r="S66">
        <v>0</v>
      </c>
      <c r="T66">
        <v>0</v>
      </c>
      <c r="U66">
        <v>35</v>
      </c>
      <c r="V66" t="s">
        <v>14</v>
      </c>
      <c r="W66" t="s">
        <v>293</v>
      </c>
    </row>
    <row r="67" spans="1:23">
      <c r="A67">
        <v>7922995039</v>
      </c>
      <c r="B67" t="s">
        <v>11</v>
      </c>
      <c r="C67" t="s">
        <v>267</v>
      </c>
      <c r="D67" t="s">
        <v>132</v>
      </c>
      <c r="E67" t="s">
        <v>51</v>
      </c>
      <c r="F67" t="s">
        <v>266</v>
      </c>
      <c r="I67" t="s">
        <v>522</v>
      </c>
      <c r="L67" t="s">
        <v>269</v>
      </c>
      <c r="M67">
        <v>5</v>
      </c>
      <c r="N67">
        <v>5</v>
      </c>
      <c r="O67">
        <v>0</v>
      </c>
      <c r="P67">
        <v>0</v>
      </c>
      <c r="Q67">
        <v>15</v>
      </c>
      <c r="R67">
        <v>10</v>
      </c>
      <c r="S67">
        <v>0</v>
      </c>
      <c r="T67">
        <v>0</v>
      </c>
      <c r="U67">
        <v>35</v>
      </c>
      <c r="V67" t="s">
        <v>14</v>
      </c>
      <c r="W67" t="s">
        <v>270</v>
      </c>
    </row>
    <row r="68" spans="1:23">
      <c r="A68">
        <v>7925733015</v>
      </c>
      <c r="B68" t="s">
        <v>11</v>
      </c>
      <c r="C68" t="s">
        <v>283</v>
      </c>
      <c r="D68" t="s">
        <v>50</v>
      </c>
      <c r="E68" t="s">
        <v>51</v>
      </c>
      <c r="F68" t="s">
        <v>282</v>
      </c>
      <c r="G68" t="s">
        <v>451</v>
      </c>
      <c r="J68" t="s">
        <v>480</v>
      </c>
      <c r="K68">
        <v>1</v>
      </c>
      <c r="L68" t="s">
        <v>285</v>
      </c>
      <c r="M68">
        <v>5</v>
      </c>
      <c r="N68">
        <v>5</v>
      </c>
      <c r="O68">
        <v>0</v>
      </c>
      <c r="P68">
        <v>0</v>
      </c>
      <c r="Q68">
        <v>15</v>
      </c>
      <c r="R68">
        <v>10</v>
      </c>
      <c r="S68">
        <v>0</v>
      </c>
      <c r="T68">
        <v>0</v>
      </c>
      <c r="U68">
        <v>35</v>
      </c>
      <c r="V68" t="s">
        <v>14</v>
      </c>
      <c r="W68" t="s">
        <v>286</v>
      </c>
    </row>
    <row r="69" spans="1:23">
      <c r="A69">
        <v>7927396052</v>
      </c>
      <c r="B69" t="s">
        <v>11</v>
      </c>
      <c r="C69" t="s">
        <v>192</v>
      </c>
      <c r="D69" t="s">
        <v>192</v>
      </c>
      <c r="E69" t="s">
        <v>76</v>
      </c>
      <c r="F69" t="s">
        <v>278</v>
      </c>
      <c r="G69" t="s">
        <v>451</v>
      </c>
      <c r="J69" t="s">
        <v>480</v>
      </c>
      <c r="K69">
        <v>1</v>
      </c>
      <c r="L69" t="s">
        <v>280</v>
      </c>
      <c r="M69">
        <v>5</v>
      </c>
      <c r="N69">
        <v>5</v>
      </c>
      <c r="O69">
        <v>0</v>
      </c>
      <c r="P69">
        <v>0</v>
      </c>
      <c r="Q69">
        <v>15</v>
      </c>
      <c r="R69">
        <v>10</v>
      </c>
      <c r="S69">
        <v>0</v>
      </c>
      <c r="T69">
        <v>0</v>
      </c>
      <c r="U69">
        <v>35</v>
      </c>
      <c r="V69" t="s">
        <v>14</v>
      </c>
      <c r="W69" t="s">
        <v>281</v>
      </c>
    </row>
    <row r="70" spans="1:23">
      <c r="A70">
        <v>7933585074</v>
      </c>
      <c r="B70" t="s">
        <v>11</v>
      </c>
      <c r="C70" t="s">
        <v>75</v>
      </c>
      <c r="D70" t="s">
        <v>75</v>
      </c>
      <c r="E70" t="s">
        <v>76</v>
      </c>
      <c r="F70" t="s">
        <v>271</v>
      </c>
      <c r="G70" t="s">
        <v>451</v>
      </c>
      <c r="H70" t="s">
        <v>452</v>
      </c>
      <c r="J70" t="s">
        <v>480</v>
      </c>
      <c r="K70">
        <v>1</v>
      </c>
      <c r="L70" t="s">
        <v>523</v>
      </c>
      <c r="M70">
        <v>5</v>
      </c>
      <c r="N70">
        <v>5</v>
      </c>
      <c r="O70">
        <v>15</v>
      </c>
      <c r="P70">
        <v>0</v>
      </c>
      <c r="Q70">
        <v>0</v>
      </c>
      <c r="R70">
        <v>0</v>
      </c>
      <c r="S70">
        <v>10</v>
      </c>
      <c r="T70">
        <v>0</v>
      </c>
      <c r="U70">
        <v>35</v>
      </c>
      <c r="V70" t="s">
        <v>14</v>
      </c>
      <c r="W70" t="s">
        <v>273</v>
      </c>
    </row>
    <row r="71" spans="1:23">
      <c r="A71">
        <v>7942572059</v>
      </c>
      <c r="B71" t="s">
        <v>11</v>
      </c>
      <c r="C71" t="s">
        <v>62</v>
      </c>
      <c r="D71" t="s">
        <v>62</v>
      </c>
      <c r="E71" t="s">
        <v>42</v>
      </c>
      <c r="F71" t="s">
        <v>294</v>
      </c>
      <c r="G71" t="s">
        <v>497</v>
      </c>
      <c r="I71" t="s">
        <v>522</v>
      </c>
      <c r="L71" t="s">
        <v>296</v>
      </c>
      <c r="M71">
        <v>5</v>
      </c>
      <c r="N71">
        <v>5</v>
      </c>
      <c r="O71">
        <v>15</v>
      </c>
      <c r="P71">
        <v>0</v>
      </c>
      <c r="Q71">
        <v>0</v>
      </c>
      <c r="R71">
        <v>0</v>
      </c>
      <c r="S71">
        <v>10</v>
      </c>
      <c r="T71">
        <v>0</v>
      </c>
      <c r="U71">
        <v>35</v>
      </c>
      <c r="V71" t="s">
        <v>14</v>
      </c>
      <c r="W71" t="s">
        <v>297</v>
      </c>
    </row>
    <row r="72" spans="1:23">
      <c r="A72">
        <v>7944319149</v>
      </c>
      <c r="B72" t="s">
        <v>11</v>
      </c>
      <c r="C72" t="s">
        <v>257</v>
      </c>
      <c r="D72" t="s">
        <v>210</v>
      </c>
      <c r="E72" t="s">
        <v>42</v>
      </c>
      <c r="F72" t="s">
        <v>437</v>
      </c>
      <c r="I72" t="s">
        <v>438</v>
      </c>
      <c r="L72" t="s">
        <v>439</v>
      </c>
      <c r="M72">
        <v>5</v>
      </c>
      <c r="N72">
        <v>5</v>
      </c>
      <c r="O72">
        <v>15</v>
      </c>
      <c r="P72">
        <v>0</v>
      </c>
      <c r="Q72">
        <v>0</v>
      </c>
      <c r="R72">
        <v>0</v>
      </c>
      <c r="S72">
        <v>10</v>
      </c>
      <c r="T72">
        <v>0</v>
      </c>
      <c r="U72">
        <v>35</v>
      </c>
      <c r="V72" t="s">
        <v>14</v>
      </c>
      <c r="W72" t="s">
        <v>524</v>
      </c>
    </row>
    <row r="73" spans="1:23">
      <c r="A73">
        <v>7955986084</v>
      </c>
      <c r="B73" t="s">
        <v>11</v>
      </c>
      <c r="C73" t="s">
        <v>210</v>
      </c>
      <c r="D73" t="s">
        <v>210</v>
      </c>
      <c r="E73" t="s">
        <v>42</v>
      </c>
      <c r="F73" t="s">
        <v>274</v>
      </c>
      <c r="G73" t="s">
        <v>451</v>
      </c>
      <c r="L73" t="s">
        <v>276</v>
      </c>
      <c r="M73">
        <v>5</v>
      </c>
      <c r="N73">
        <v>5</v>
      </c>
      <c r="O73">
        <v>0</v>
      </c>
      <c r="P73">
        <v>0</v>
      </c>
      <c r="Q73">
        <v>15</v>
      </c>
      <c r="R73">
        <v>10</v>
      </c>
      <c r="S73">
        <v>0</v>
      </c>
      <c r="T73">
        <v>0</v>
      </c>
      <c r="U73">
        <v>35</v>
      </c>
      <c r="V73" t="s">
        <v>14</v>
      </c>
      <c r="W73" t="s">
        <v>277</v>
      </c>
    </row>
    <row r="74" spans="1:23">
      <c r="A74">
        <v>7967181127</v>
      </c>
      <c r="B74" t="s">
        <v>11</v>
      </c>
      <c r="C74" t="s">
        <v>222</v>
      </c>
      <c r="D74" t="s">
        <v>223</v>
      </c>
      <c r="E74" t="s">
        <v>51</v>
      </c>
      <c r="F74" t="s">
        <v>437</v>
      </c>
      <c r="G74" t="s">
        <v>525</v>
      </c>
      <c r="H74" t="s">
        <v>526</v>
      </c>
      <c r="L74" t="s">
        <v>439</v>
      </c>
      <c r="M74">
        <v>5</v>
      </c>
      <c r="N74">
        <v>5</v>
      </c>
      <c r="O74">
        <v>0</v>
      </c>
      <c r="P74">
        <v>0</v>
      </c>
      <c r="Q74">
        <v>15</v>
      </c>
      <c r="R74">
        <v>10</v>
      </c>
      <c r="S74">
        <v>0</v>
      </c>
      <c r="T74">
        <v>0</v>
      </c>
      <c r="U74">
        <v>35</v>
      </c>
      <c r="V74" t="s">
        <v>14</v>
      </c>
      <c r="W74" t="s">
        <v>527</v>
      </c>
    </row>
    <row r="75" spans="1:23">
      <c r="A75">
        <v>7900525015</v>
      </c>
      <c r="B75" t="s">
        <v>11</v>
      </c>
      <c r="C75" t="s">
        <v>283</v>
      </c>
      <c r="D75" t="s">
        <v>50</v>
      </c>
      <c r="E75" t="s">
        <v>51</v>
      </c>
      <c r="F75" t="s">
        <v>287</v>
      </c>
      <c r="G75" t="s">
        <v>451</v>
      </c>
      <c r="J75" t="s">
        <v>480</v>
      </c>
      <c r="K75">
        <v>1</v>
      </c>
      <c r="L75" t="s">
        <v>288</v>
      </c>
      <c r="M75">
        <v>5</v>
      </c>
      <c r="N75">
        <v>5</v>
      </c>
      <c r="O75">
        <v>0</v>
      </c>
      <c r="P75">
        <v>0</v>
      </c>
      <c r="Q75">
        <v>15</v>
      </c>
      <c r="R75">
        <v>10</v>
      </c>
      <c r="S75">
        <v>0</v>
      </c>
      <c r="T75">
        <v>0</v>
      </c>
      <c r="U75">
        <v>35</v>
      </c>
      <c r="V75" t="s">
        <v>14</v>
      </c>
      <c r="W75" t="s">
        <v>289</v>
      </c>
    </row>
    <row r="76" spans="1:23">
      <c r="A76">
        <v>7928564039</v>
      </c>
      <c r="B76" t="s">
        <v>11</v>
      </c>
      <c r="C76" t="s">
        <v>267</v>
      </c>
      <c r="D76" t="s">
        <v>132</v>
      </c>
      <c r="E76" t="s">
        <v>51</v>
      </c>
      <c r="F76" t="s">
        <v>298</v>
      </c>
      <c r="G76" t="s">
        <v>451</v>
      </c>
      <c r="J76" t="s">
        <v>469</v>
      </c>
      <c r="K76">
        <v>1</v>
      </c>
      <c r="L76" t="s">
        <v>299</v>
      </c>
      <c r="M76">
        <v>5</v>
      </c>
      <c r="N76">
        <v>10</v>
      </c>
      <c r="O76">
        <v>5</v>
      </c>
      <c r="P76">
        <v>0</v>
      </c>
      <c r="Q76">
        <v>0</v>
      </c>
      <c r="R76">
        <v>10</v>
      </c>
      <c r="S76">
        <v>0</v>
      </c>
      <c r="T76">
        <v>0</v>
      </c>
      <c r="U76">
        <v>30</v>
      </c>
      <c r="V76" t="s">
        <v>14</v>
      </c>
      <c r="W76" t="s">
        <v>300</v>
      </c>
    </row>
    <row r="77" spans="1:23">
      <c r="A77">
        <v>7957126085</v>
      </c>
      <c r="B77" t="s">
        <v>11</v>
      </c>
      <c r="C77" t="s">
        <v>528</v>
      </c>
      <c r="D77" t="s">
        <v>97</v>
      </c>
      <c r="E77" t="s">
        <v>42</v>
      </c>
      <c r="F77" t="s">
        <v>437</v>
      </c>
      <c r="I77" t="s">
        <v>438</v>
      </c>
      <c r="L77" t="s">
        <v>439</v>
      </c>
      <c r="M77">
        <v>5</v>
      </c>
      <c r="N77">
        <v>10</v>
      </c>
      <c r="O77">
        <v>5</v>
      </c>
      <c r="P77">
        <v>0</v>
      </c>
      <c r="Q77">
        <v>0</v>
      </c>
      <c r="R77">
        <v>10</v>
      </c>
      <c r="S77">
        <v>0</v>
      </c>
      <c r="T77">
        <v>0</v>
      </c>
      <c r="U77">
        <v>30</v>
      </c>
      <c r="V77" t="s">
        <v>14</v>
      </c>
      <c r="W77" t="s">
        <v>529</v>
      </c>
    </row>
    <row r="78" spans="1:23">
      <c r="A78">
        <v>5841308190</v>
      </c>
      <c r="B78" t="s">
        <v>10</v>
      </c>
      <c r="C78" t="s">
        <v>530</v>
      </c>
      <c r="D78" t="s">
        <v>75</v>
      </c>
      <c r="E78" t="s">
        <v>76</v>
      </c>
      <c r="F78" t="s">
        <v>437</v>
      </c>
      <c r="I78" t="s">
        <v>531</v>
      </c>
      <c r="J78" t="s">
        <v>45</v>
      </c>
      <c r="L78" t="s">
        <v>439</v>
      </c>
      <c r="M78">
        <v>0</v>
      </c>
      <c r="N78">
        <v>20</v>
      </c>
      <c r="O78">
        <v>0</v>
      </c>
      <c r="P78">
        <v>10</v>
      </c>
      <c r="Q78">
        <v>0</v>
      </c>
      <c r="R78" t="s">
        <v>45</v>
      </c>
      <c r="S78" t="s">
        <v>45</v>
      </c>
      <c r="T78" t="s">
        <v>45</v>
      </c>
      <c r="U78">
        <v>30</v>
      </c>
      <c r="V78" t="s">
        <v>15</v>
      </c>
      <c r="W78" t="s">
        <v>532</v>
      </c>
    </row>
    <row r="79" spans="1:23">
      <c r="A79">
        <v>5844630060</v>
      </c>
      <c r="B79" t="s">
        <v>10</v>
      </c>
      <c r="C79" t="s">
        <v>533</v>
      </c>
      <c r="D79" t="s">
        <v>154</v>
      </c>
      <c r="E79" t="s">
        <v>51</v>
      </c>
      <c r="F79" t="s">
        <v>437</v>
      </c>
      <c r="G79" t="s">
        <v>467</v>
      </c>
      <c r="H79" t="s">
        <v>534</v>
      </c>
      <c r="J79" t="s">
        <v>444</v>
      </c>
      <c r="K79">
        <v>1</v>
      </c>
      <c r="L79" t="s">
        <v>439</v>
      </c>
      <c r="M79">
        <v>20</v>
      </c>
      <c r="N79">
        <v>0</v>
      </c>
      <c r="O79">
        <v>0</v>
      </c>
      <c r="P79">
        <v>10</v>
      </c>
      <c r="Q79">
        <v>0</v>
      </c>
      <c r="R79" t="s">
        <v>45</v>
      </c>
      <c r="S79" t="s">
        <v>45</v>
      </c>
      <c r="T79" t="s">
        <v>45</v>
      </c>
      <c r="U79">
        <v>30</v>
      </c>
      <c r="V79" t="s">
        <v>15</v>
      </c>
      <c r="W79" t="s">
        <v>535</v>
      </c>
    </row>
    <row r="80" spans="1:23">
      <c r="A80">
        <v>5855411017</v>
      </c>
      <c r="B80" t="s">
        <v>10</v>
      </c>
      <c r="C80" t="s">
        <v>302</v>
      </c>
      <c r="D80" t="s">
        <v>186</v>
      </c>
      <c r="E80" t="s">
        <v>42</v>
      </c>
      <c r="F80" t="s">
        <v>301</v>
      </c>
      <c r="G80" t="s">
        <v>536</v>
      </c>
      <c r="H80" t="s">
        <v>537</v>
      </c>
      <c r="I80" t="s">
        <v>443</v>
      </c>
      <c r="J80" t="s">
        <v>460</v>
      </c>
      <c r="K80">
        <v>1</v>
      </c>
      <c r="L80" t="s">
        <v>538</v>
      </c>
      <c r="M80">
        <v>0</v>
      </c>
      <c r="N80">
        <v>0</v>
      </c>
      <c r="O80">
        <v>0</v>
      </c>
      <c r="P80">
        <v>10</v>
      </c>
      <c r="Q80">
        <v>20</v>
      </c>
      <c r="R80" t="s">
        <v>45</v>
      </c>
      <c r="S80" t="s">
        <v>45</v>
      </c>
      <c r="T80" t="s">
        <v>45</v>
      </c>
      <c r="U80">
        <v>30</v>
      </c>
      <c r="V80" t="s">
        <v>15</v>
      </c>
      <c r="W80" t="s">
        <v>305</v>
      </c>
    </row>
    <row r="81" spans="1:23">
      <c r="A81">
        <v>7900505026</v>
      </c>
      <c r="B81" t="s">
        <v>11</v>
      </c>
      <c r="C81" t="s">
        <v>108</v>
      </c>
      <c r="D81" t="s">
        <v>108</v>
      </c>
      <c r="E81" t="s">
        <v>42</v>
      </c>
      <c r="F81" t="s">
        <v>437</v>
      </c>
      <c r="L81" t="s">
        <v>439</v>
      </c>
      <c r="M81">
        <v>5</v>
      </c>
      <c r="N81">
        <v>5</v>
      </c>
      <c r="O81">
        <v>5</v>
      </c>
      <c r="P81">
        <v>0</v>
      </c>
      <c r="Q81">
        <v>0</v>
      </c>
      <c r="R81">
        <v>0</v>
      </c>
      <c r="S81">
        <v>10</v>
      </c>
      <c r="T81">
        <v>0</v>
      </c>
      <c r="U81">
        <v>25</v>
      </c>
      <c r="V81" t="s">
        <v>15</v>
      </c>
      <c r="W81" t="s">
        <v>539</v>
      </c>
    </row>
    <row r="82" spans="1:23">
      <c r="A82">
        <v>7908196047</v>
      </c>
      <c r="B82" t="s">
        <v>11</v>
      </c>
      <c r="C82" t="s">
        <v>191</v>
      </c>
      <c r="D82" t="s">
        <v>449</v>
      </c>
      <c r="E82" t="s">
        <v>76</v>
      </c>
      <c r="F82" t="s">
        <v>306</v>
      </c>
      <c r="G82" t="s">
        <v>451</v>
      </c>
      <c r="J82" t="s">
        <v>469</v>
      </c>
      <c r="K82">
        <v>1</v>
      </c>
      <c r="L82" t="s">
        <v>307</v>
      </c>
      <c r="M82">
        <v>5</v>
      </c>
      <c r="N82">
        <v>5</v>
      </c>
      <c r="O82">
        <v>5</v>
      </c>
      <c r="P82">
        <v>0</v>
      </c>
      <c r="Q82">
        <v>0</v>
      </c>
      <c r="R82">
        <v>0</v>
      </c>
      <c r="S82">
        <v>10</v>
      </c>
      <c r="T82">
        <v>0</v>
      </c>
      <c r="U82">
        <v>25</v>
      </c>
      <c r="V82" t="s">
        <v>15</v>
      </c>
      <c r="W82" t="s">
        <v>308</v>
      </c>
    </row>
    <row r="83" spans="1:23">
      <c r="A83">
        <v>7921202014</v>
      </c>
      <c r="B83" t="s">
        <v>11</v>
      </c>
      <c r="C83" t="s">
        <v>126</v>
      </c>
      <c r="D83" t="s">
        <v>97</v>
      </c>
      <c r="E83" t="s">
        <v>42</v>
      </c>
      <c r="F83" t="s">
        <v>319</v>
      </c>
      <c r="G83" t="s">
        <v>451</v>
      </c>
      <c r="H83" t="s">
        <v>452</v>
      </c>
      <c r="J83" t="s">
        <v>480</v>
      </c>
      <c r="K83">
        <v>1</v>
      </c>
      <c r="L83" t="s">
        <v>321</v>
      </c>
      <c r="M83">
        <v>5</v>
      </c>
      <c r="N83">
        <v>5</v>
      </c>
      <c r="O83">
        <v>5</v>
      </c>
      <c r="P83">
        <v>0</v>
      </c>
      <c r="Q83">
        <v>0</v>
      </c>
      <c r="R83">
        <v>10</v>
      </c>
      <c r="S83">
        <v>0</v>
      </c>
      <c r="T83">
        <v>0</v>
      </c>
      <c r="U83">
        <v>25</v>
      </c>
      <c r="V83" t="s">
        <v>15</v>
      </c>
      <c r="W83" t="s">
        <v>322</v>
      </c>
    </row>
    <row r="84" spans="1:23">
      <c r="A84">
        <v>7923927122</v>
      </c>
      <c r="B84" t="s">
        <v>11</v>
      </c>
      <c r="C84" t="s">
        <v>68</v>
      </c>
      <c r="D84" t="s">
        <v>68</v>
      </c>
      <c r="E84" t="s">
        <v>42</v>
      </c>
      <c r="F84" t="s">
        <v>312</v>
      </c>
      <c r="G84" t="s">
        <v>495</v>
      </c>
      <c r="J84" t="s">
        <v>480</v>
      </c>
      <c r="K84">
        <v>1</v>
      </c>
      <c r="L84" t="s">
        <v>313</v>
      </c>
      <c r="M84">
        <v>15</v>
      </c>
      <c r="N84">
        <v>0</v>
      </c>
      <c r="O84">
        <v>0</v>
      </c>
      <c r="P84">
        <v>0</v>
      </c>
      <c r="Q84">
        <v>0</v>
      </c>
      <c r="R84">
        <v>10</v>
      </c>
      <c r="S84">
        <v>0</v>
      </c>
      <c r="T84">
        <v>0</v>
      </c>
      <c r="U84">
        <v>25</v>
      </c>
      <c r="V84" t="s">
        <v>15</v>
      </c>
      <c r="W84" t="s">
        <v>314</v>
      </c>
    </row>
    <row r="85" spans="1:23">
      <c r="A85">
        <v>7927446001</v>
      </c>
      <c r="B85" t="s">
        <v>11</v>
      </c>
      <c r="C85" t="s">
        <v>41</v>
      </c>
      <c r="D85" t="s">
        <v>41</v>
      </c>
      <c r="E85" t="s">
        <v>42</v>
      </c>
      <c r="F85" t="s">
        <v>323</v>
      </c>
      <c r="G85" t="s">
        <v>451</v>
      </c>
      <c r="H85" t="s">
        <v>452</v>
      </c>
      <c r="J85" t="s">
        <v>469</v>
      </c>
      <c r="K85">
        <v>1</v>
      </c>
      <c r="L85" t="s">
        <v>324</v>
      </c>
      <c r="M85">
        <v>5</v>
      </c>
      <c r="N85">
        <v>5</v>
      </c>
      <c r="O85">
        <v>5</v>
      </c>
      <c r="P85">
        <v>0</v>
      </c>
      <c r="Q85">
        <v>0</v>
      </c>
      <c r="R85">
        <v>10</v>
      </c>
      <c r="S85">
        <v>0</v>
      </c>
      <c r="T85">
        <v>0</v>
      </c>
      <c r="U85">
        <v>25</v>
      </c>
      <c r="V85" t="s">
        <v>15</v>
      </c>
      <c r="W85" t="s">
        <v>325</v>
      </c>
    </row>
    <row r="86" spans="1:23">
      <c r="A86">
        <v>7928241200</v>
      </c>
      <c r="B86" t="s">
        <v>11</v>
      </c>
      <c r="C86" t="s">
        <v>327</v>
      </c>
      <c r="D86" t="s">
        <v>177</v>
      </c>
      <c r="E86" t="s">
        <v>76</v>
      </c>
      <c r="F86" t="s">
        <v>326</v>
      </c>
      <c r="G86" t="s">
        <v>451</v>
      </c>
      <c r="H86" t="s">
        <v>452</v>
      </c>
      <c r="J86" t="s">
        <v>480</v>
      </c>
      <c r="K86">
        <v>1</v>
      </c>
      <c r="L86" t="s">
        <v>329</v>
      </c>
      <c r="M86">
        <v>5</v>
      </c>
      <c r="N86">
        <v>5</v>
      </c>
      <c r="O86">
        <v>5</v>
      </c>
      <c r="P86">
        <v>0</v>
      </c>
      <c r="Q86">
        <v>0</v>
      </c>
      <c r="R86">
        <v>10</v>
      </c>
      <c r="S86">
        <v>0</v>
      </c>
      <c r="T86">
        <v>0</v>
      </c>
      <c r="U86">
        <v>25</v>
      </c>
      <c r="V86" t="s">
        <v>15</v>
      </c>
      <c r="W86" t="s">
        <v>330</v>
      </c>
    </row>
    <row r="87" spans="1:23">
      <c r="A87">
        <v>7942485096</v>
      </c>
      <c r="B87" t="s">
        <v>11</v>
      </c>
      <c r="C87" t="s">
        <v>316</v>
      </c>
      <c r="D87" t="s">
        <v>108</v>
      </c>
      <c r="E87" t="s">
        <v>42</v>
      </c>
      <c r="F87" t="s">
        <v>315</v>
      </c>
      <c r="G87" t="s">
        <v>451</v>
      </c>
      <c r="J87" t="s">
        <v>480</v>
      </c>
      <c r="K87">
        <v>1</v>
      </c>
      <c r="L87" t="s">
        <v>317</v>
      </c>
      <c r="M87">
        <v>5</v>
      </c>
      <c r="N87">
        <v>5</v>
      </c>
      <c r="O87">
        <v>5</v>
      </c>
      <c r="P87">
        <v>0</v>
      </c>
      <c r="Q87">
        <v>0</v>
      </c>
      <c r="R87">
        <v>10</v>
      </c>
      <c r="S87">
        <v>0</v>
      </c>
      <c r="T87">
        <v>0</v>
      </c>
      <c r="U87">
        <v>25</v>
      </c>
      <c r="V87" t="s">
        <v>15</v>
      </c>
      <c r="W87" t="s">
        <v>318</v>
      </c>
    </row>
    <row r="88" spans="1:23">
      <c r="A88">
        <v>7955430075</v>
      </c>
      <c r="B88" t="s">
        <v>11</v>
      </c>
      <c r="C88" t="s">
        <v>540</v>
      </c>
      <c r="D88" t="s">
        <v>210</v>
      </c>
      <c r="E88" t="s">
        <v>42</v>
      </c>
      <c r="F88" t="s">
        <v>437</v>
      </c>
      <c r="I88" t="s">
        <v>438</v>
      </c>
      <c r="L88" t="s">
        <v>439</v>
      </c>
      <c r="M88">
        <v>5</v>
      </c>
      <c r="N88">
        <v>5</v>
      </c>
      <c r="O88">
        <v>5</v>
      </c>
      <c r="P88">
        <v>0</v>
      </c>
      <c r="Q88">
        <v>0</v>
      </c>
      <c r="R88">
        <v>0</v>
      </c>
      <c r="S88">
        <v>10</v>
      </c>
      <c r="T88">
        <v>0</v>
      </c>
      <c r="U88">
        <v>25</v>
      </c>
      <c r="V88" t="s">
        <v>15</v>
      </c>
      <c r="W88" t="s">
        <v>541</v>
      </c>
    </row>
    <row r="89" spans="1:23">
      <c r="A89">
        <v>7955686076</v>
      </c>
      <c r="B89" t="s">
        <v>11</v>
      </c>
      <c r="C89" t="s">
        <v>335</v>
      </c>
      <c r="D89" t="s">
        <v>336</v>
      </c>
      <c r="E89" t="s">
        <v>76</v>
      </c>
      <c r="F89" t="s">
        <v>437</v>
      </c>
      <c r="I89" t="s">
        <v>438</v>
      </c>
      <c r="L89" t="s">
        <v>439</v>
      </c>
      <c r="M89">
        <v>5</v>
      </c>
      <c r="N89">
        <v>5</v>
      </c>
      <c r="O89">
        <v>0</v>
      </c>
      <c r="P89">
        <v>0</v>
      </c>
      <c r="Q89">
        <v>15</v>
      </c>
      <c r="R89">
        <v>0</v>
      </c>
      <c r="S89">
        <v>0</v>
      </c>
      <c r="T89">
        <v>0</v>
      </c>
      <c r="U89">
        <v>25</v>
      </c>
      <c r="V89" t="s">
        <v>15</v>
      </c>
      <c r="W89" t="s">
        <v>542</v>
      </c>
    </row>
    <row r="90" spans="1:23">
      <c r="A90">
        <v>7955946007</v>
      </c>
      <c r="B90" t="s">
        <v>11</v>
      </c>
      <c r="C90" t="s">
        <v>186</v>
      </c>
      <c r="D90" t="s">
        <v>186</v>
      </c>
      <c r="E90" t="s">
        <v>42</v>
      </c>
      <c r="F90" t="s">
        <v>309</v>
      </c>
      <c r="G90" t="s">
        <v>451</v>
      </c>
      <c r="J90" t="s">
        <v>447</v>
      </c>
      <c r="K90">
        <v>1</v>
      </c>
      <c r="L90" t="s">
        <v>310</v>
      </c>
      <c r="M90">
        <v>5</v>
      </c>
      <c r="N90">
        <v>5</v>
      </c>
      <c r="O90">
        <v>5</v>
      </c>
      <c r="P90">
        <v>0</v>
      </c>
      <c r="Q90">
        <v>0</v>
      </c>
      <c r="R90">
        <v>0</v>
      </c>
      <c r="S90">
        <v>10</v>
      </c>
      <c r="T90">
        <v>0</v>
      </c>
      <c r="U90">
        <v>25</v>
      </c>
      <c r="V90" t="s">
        <v>15</v>
      </c>
      <c r="W90" t="s">
        <v>311</v>
      </c>
    </row>
    <row r="91" spans="1:23">
      <c r="A91">
        <v>7901110084</v>
      </c>
      <c r="B91" t="s">
        <v>11</v>
      </c>
      <c r="C91" t="s">
        <v>210</v>
      </c>
      <c r="D91" t="s">
        <v>210</v>
      </c>
      <c r="E91" t="s">
        <v>42</v>
      </c>
      <c r="F91" t="s">
        <v>331</v>
      </c>
      <c r="G91" t="s">
        <v>451</v>
      </c>
      <c r="L91" t="s">
        <v>332</v>
      </c>
      <c r="M91">
        <v>5</v>
      </c>
      <c r="N91">
        <v>5</v>
      </c>
      <c r="O91">
        <v>0</v>
      </c>
      <c r="P91">
        <v>0</v>
      </c>
      <c r="Q91">
        <v>0</v>
      </c>
      <c r="R91">
        <v>0</v>
      </c>
      <c r="S91">
        <v>10</v>
      </c>
      <c r="T91">
        <v>0</v>
      </c>
      <c r="U91">
        <v>20</v>
      </c>
      <c r="V91" t="s">
        <v>15</v>
      </c>
      <c r="W91" t="s">
        <v>333</v>
      </c>
    </row>
    <row r="92" spans="1:23">
      <c r="A92">
        <v>7908206074</v>
      </c>
      <c r="B92" t="s">
        <v>11</v>
      </c>
      <c r="C92" t="s">
        <v>75</v>
      </c>
      <c r="D92" t="s">
        <v>75</v>
      </c>
      <c r="E92" t="s">
        <v>76</v>
      </c>
      <c r="F92" t="s">
        <v>437</v>
      </c>
      <c r="I92" t="s">
        <v>438</v>
      </c>
      <c r="L92" t="s">
        <v>439</v>
      </c>
      <c r="M92">
        <v>5</v>
      </c>
      <c r="N92">
        <v>5</v>
      </c>
      <c r="O92">
        <v>0</v>
      </c>
      <c r="P92">
        <v>0</v>
      </c>
      <c r="Q92">
        <v>0</v>
      </c>
      <c r="R92">
        <v>0</v>
      </c>
      <c r="S92">
        <v>10</v>
      </c>
      <c r="T92">
        <v>0</v>
      </c>
      <c r="U92">
        <v>20</v>
      </c>
      <c r="V92" t="s">
        <v>15</v>
      </c>
      <c r="W92" t="s">
        <v>543</v>
      </c>
    </row>
    <row r="93" spans="1:23">
      <c r="A93">
        <v>7908708116</v>
      </c>
      <c r="B93" t="s">
        <v>11</v>
      </c>
      <c r="C93" t="s">
        <v>200</v>
      </c>
      <c r="D93" t="s">
        <v>75</v>
      </c>
      <c r="E93" t="s">
        <v>76</v>
      </c>
      <c r="F93" t="s">
        <v>437</v>
      </c>
      <c r="G93" t="s">
        <v>484</v>
      </c>
      <c r="J93" t="s">
        <v>544</v>
      </c>
      <c r="L93" t="s">
        <v>439</v>
      </c>
      <c r="M93">
        <v>5</v>
      </c>
      <c r="N93">
        <v>5</v>
      </c>
      <c r="O93">
        <v>0</v>
      </c>
      <c r="P93">
        <v>0</v>
      </c>
      <c r="Q93">
        <v>0</v>
      </c>
      <c r="R93">
        <v>0</v>
      </c>
      <c r="S93">
        <v>10</v>
      </c>
      <c r="T93">
        <v>0</v>
      </c>
      <c r="U93">
        <v>20</v>
      </c>
      <c r="V93" t="s">
        <v>15</v>
      </c>
      <c r="W93" t="s">
        <v>545</v>
      </c>
    </row>
    <row r="94" spans="1:23">
      <c r="A94">
        <v>7910027196</v>
      </c>
      <c r="B94" t="s">
        <v>11</v>
      </c>
      <c r="C94" t="s">
        <v>546</v>
      </c>
      <c r="D94" t="s">
        <v>62</v>
      </c>
      <c r="E94" t="s">
        <v>42</v>
      </c>
      <c r="F94" t="s">
        <v>437</v>
      </c>
      <c r="G94" t="s">
        <v>547</v>
      </c>
      <c r="J94" t="s">
        <v>548</v>
      </c>
      <c r="L94" t="s">
        <v>439</v>
      </c>
      <c r="M94">
        <v>5</v>
      </c>
      <c r="N94">
        <v>5</v>
      </c>
      <c r="O94">
        <v>0</v>
      </c>
      <c r="P94">
        <v>0</v>
      </c>
      <c r="Q94">
        <v>0</v>
      </c>
      <c r="R94">
        <v>0</v>
      </c>
      <c r="S94">
        <v>10</v>
      </c>
      <c r="T94">
        <v>0</v>
      </c>
      <c r="U94">
        <v>20</v>
      </c>
      <c r="V94" t="s">
        <v>15</v>
      </c>
      <c r="W94" t="s">
        <v>549</v>
      </c>
    </row>
    <row r="95" spans="1:23">
      <c r="A95">
        <v>7913662076</v>
      </c>
      <c r="B95" t="s">
        <v>11</v>
      </c>
      <c r="C95" t="s">
        <v>335</v>
      </c>
      <c r="D95" t="s">
        <v>336</v>
      </c>
      <c r="E95" t="s">
        <v>76</v>
      </c>
      <c r="F95" t="s">
        <v>334</v>
      </c>
      <c r="G95" t="s">
        <v>550</v>
      </c>
      <c r="L95" t="s">
        <v>338</v>
      </c>
      <c r="M95">
        <v>5</v>
      </c>
      <c r="N95">
        <v>5</v>
      </c>
      <c r="O95">
        <v>0</v>
      </c>
      <c r="P95">
        <v>0</v>
      </c>
      <c r="Q95">
        <v>0</v>
      </c>
      <c r="R95">
        <v>10</v>
      </c>
      <c r="S95">
        <v>0</v>
      </c>
      <c r="T95">
        <v>0</v>
      </c>
      <c r="U95">
        <v>20</v>
      </c>
      <c r="V95" t="s">
        <v>15</v>
      </c>
      <c r="W95" t="s">
        <v>339</v>
      </c>
    </row>
    <row r="96" spans="1:23">
      <c r="A96">
        <v>5862236091</v>
      </c>
      <c r="B96" t="s">
        <v>10</v>
      </c>
      <c r="C96" t="s">
        <v>74</v>
      </c>
      <c r="D96" t="s">
        <v>75</v>
      </c>
      <c r="E96" t="s">
        <v>76</v>
      </c>
      <c r="F96" t="s">
        <v>340</v>
      </c>
      <c r="G96" t="s">
        <v>451</v>
      </c>
      <c r="J96" t="s">
        <v>444</v>
      </c>
      <c r="K96">
        <v>1</v>
      </c>
      <c r="L96" t="s">
        <v>551</v>
      </c>
      <c r="M96">
        <v>0</v>
      </c>
      <c r="N96">
        <v>0</v>
      </c>
      <c r="O96">
        <v>0</v>
      </c>
      <c r="P96">
        <v>20</v>
      </c>
      <c r="Q96">
        <v>0</v>
      </c>
      <c r="R96" t="s">
        <v>45</v>
      </c>
      <c r="S96" t="s">
        <v>45</v>
      </c>
      <c r="T96" t="s">
        <v>45</v>
      </c>
      <c r="U96">
        <v>20</v>
      </c>
      <c r="V96" t="s">
        <v>15</v>
      </c>
      <c r="W96" t="s">
        <v>343</v>
      </c>
    </row>
    <row r="97" spans="1:23">
      <c r="A97">
        <v>5836786094</v>
      </c>
      <c r="B97" t="s">
        <v>10</v>
      </c>
      <c r="C97" t="s">
        <v>177</v>
      </c>
      <c r="D97" t="s">
        <v>177</v>
      </c>
      <c r="E97" t="s">
        <v>76</v>
      </c>
      <c r="F97" t="s">
        <v>344</v>
      </c>
      <c r="G97" t="s">
        <v>552</v>
      </c>
      <c r="L97" t="s">
        <v>345</v>
      </c>
      <c r="M97">
        <v>0</v>
      </c>
      <c r="N97">
        <v>0</v>
      </c>
      <c r="O97">
        <v>0</v>
      </c>
      <c r="P97">
        <v>10</v>
      </c>
      <c r="Q97">
        <v>10</v>
      </c>
      <c r="R97" t="s">
        <v>45</v>
      </c>
      <c r="S97" t="s">
        <v>45</v>
      </c>
      <c r="T97" t="s">
        <v>45</v>
      </c>
      <c r="U97">
        <v>20</v>
      </c>
      <c r="V97" t="s">
        <v>15</v>
      </c>
      <c r="W97" t="s">
        <v>346</v>
      </c>
    </row>
    <row r="98" spans="1:23">
      <c r="A98">
        <v>7919270014</v>
      </c>
      <c r="B98" t="s">
        <v>11</v>
      </c>
      <c r="C98" t="s">
        <v>126</v>
      </c>
      <c r="D98" t="s">
        <v>97</v>
      </c>
      <c r="E98" t="s">
        <v>42</v>
      </c>
      <c r="F98" t="s">
        <v>347</v>
      </c>
      <c r="G98" t="s">
        <v>550</v>
      </c>
      <c r="L98" t="s">
        <v>349</v>
      </c>
      <c r="M98">
        <v>5</v>
      </c>
      <c r="N98">
        <v>5</v>
      </c>
      <c r="O98">
        <v>0</v>
      </c>
      <c r="P98">
        <v>0</v>
      </c>
      <c r="Q98">
        <v>0</v>
      </c>
      <c r="R98">
        <v>10</v>
      </c>
      <c r="S98">
        <v>0</v>
      </c>
      <c r="T98">
        <v>0</v>
      </c>
      <c r="U98">
        <v>20</v>
      </c>
      <c r="V98" t="s">
        <v>15</v>
      </c>
      <c r="W98" t="s">
        <v>350</v>
      </c>
    </row>
    <row r="99" spans="1:23">
      <c r="A99">
        <v>7926442035</v>
      </c>
      <c r="B99" t="s">
        <v>11</v>
      </c>
      <c r="C99" t="s">
        <v>234</v>
      </c>
      <c r="D99" t="s">
        <v>108</v>
      </c>
      <c r="E99" t="s">
        <v>42</v>
      </c>
      <c r="F99" t="s">
        <v>351</v>
      </c>
      <c r="G99" t="s">
        <v>451</v>
      </c>
      <c r="L99" t="s">
        <v>352</v>
      </c>
      <c r="M99">
        <v>5</v>
      </c>
      <c r="N99">
        <v>5</v>
      </c>
      <c r="O99">
        <v>0</v>
      </c>
      <c r="P99">
        <v>0</v>
      </c>
      <c r="Q99">
        <v>0</v>
      </c>
      <c r="R99">
        <v>0</v>
      </c>
      <c r="S99">
        <v>10</v>
      </c>
      <c r="T99">
        <v>0</v>
      </c>
      <c r="U99">
        <v>20</v>
      </c>
      <c r="V99" t="s">
        <v>15</v>
      </c>
      <c r="W99" t="s">
        <v>353</v>
      </c>
    </row>
    <row r="100" spans="1:23">
      <c r="A100">
        <v>7954668084</v>
      </c>
      <c r="B100" t="s">
        <v>11</v>
      </c>
      <c r="C100" t="s">
        <v>210</v>
      </c>
      <c r="D100" t="s">
        <v>210</v>
      </c>
      <c r="E100" t="s">
        <v>42</v>
      </c>
      <c r="F100" t="s">
        <v>437</v>
      </c>
      <c r="J100" t="s">
        <v>553</v>
      </c>
      <c r="L100" t="s">
        <v>439</v>
      </c>
      <c r="M100">
        <v>5</v>
      </c>
      <c r="N100">
        <v>5</v>
      </c>
      <c r="O100">
        <v>0</v>
      </c>
      <c r="P100">
        <v>0</v>
      </c>
      <c r="Q100">
        <v>0</v>
      </c>
      <c r="R100">
        <v>0</v>
      </c>
      <c r="S100">
        <v>10</v>
      </c>
      <c r="U100">
        <v>20</v>
      </c>
      <c r="V100" t="s">
        <v>15</v>
      </c>
      <c r="W100" t="s">
        <v>554</v>
      </c>
    </row>
    <row r="101" spans="1:23">
      <c r="A101">
        <v>7938137007</v>
      </c>
      <c r="B101" t="s">
        <v>11</v>
      </c>
      <c r="C101" t="s">
        <v>186</v>
      </c>
      <c r="D101" t="s">
        <v>186</v>
      </c>
      <c r="E101" t="s">
        <v>42</v>
      </c>
      <c r="F101" t="s">
        <v>354</v>
      </c>
      <c r="G101" t="s">
        <v>555</v>
      </c>
      <c r="J101" t="s">
        <v>556</v>
      </c>
      <c r="L101" t="s">
        <v>355</v>
      </c>
      <c r="M101">
        <v>5</v>
      </c>
      <c r="N101">
        <v>5</v>
      </c>
      <c r="O101">
        <v>5</v>
      </c>
      <c r="P101">
        <v>0</v>
      </c>
      <c r="Q101">
        <v>0</v>
      </c>
      <c r="R101">
        <v>0</v>
      </c>
      <c r="S101">
        <v>0</v>
      </c>
      <c r="T101">
        <v>0</v>
      </c>
      <c r="U101">
        <v>15</v>
      </c>
      <c r="V101" t="s">
        <v>15</v>
      </c>
      <c r="W101" t="s">
        <v>356</v>
      </c>
    </row>
    <row r="102" spans="1:23">
      <c r="A102">
        <v>5856156091</v>
      </c>
      <c r="B102" t="s">
        <v>10</v>
      </c>
      <c r="C102" t="s">
        <v>74</v>
      </c>
      <c r="D102" t="s">
        <v>75</v>
      </c>
      <c r="E102" t="s">
        <v>76</v>
      </c>
      <c r="F102" t="s">
        <v>357</v>
      </c>
      <c r="G102" t="s">
        <v>451</v>
      </c>
      <c r="H102" t="s">
        <v>557</v>
      </c>
      <c r="J102" t="s">
        <v>462</v>
      </c>
      <c r="K102">
        <v>3</v>
      </c>
      <c r="L102" t="s">
        <v>358</v>
      </c>
      <c r="M102">
        <v>0</v>
      </c>
      <c r="N102">
        <v>0</v>
      </c>
      <c r="O102">
        <v>0</v>
      </c>
      <c r="P102">
        <v>0</v>
      </c>
      <c r="Q102">
        <v>0</v>
      </c>
      <c r="R102" t="s">
        <v>45</v>
      </c>
      <c r="S102" t="s">
        <v>45</v>
      </c>
      <c r="T102" t="s">
        <v>45</v>
      </c>
      <c r="U102">
        <v>0</v>
      </c>
      <c r="V102" t="s">
        <v>15</v>
      </c>
      <c r="W102" t="s">
        <v>359</v>
      </c>
    </row>
    <row r="103" spans="1:23">
      <c r="A103">
        <v>5858783119</v>
      </c>
      <c r="B103" t="s">
        <v>10</v>
      </c>
      <c r="C103" t="s">
        <v>361</v>
      </c>
      <c r="D103" t="s">
        <v>223</v>
      </c>
      <c r="E103" t="s">
        <v>51</v>
      </c>
      <c r="F103" t="s">
        <v>360</v>
      </c>
      <c r="G103" t="s">
        <v>558</v>
      </c>
      <c r="J103" t="s">
        <v>559</v>
      </c>
      <c r="L103" t="s">
        <v>363</v>
      </c>
      <c r="M103">
        <v>0</v>
      </c>
      <c r="N103">
        <v>0</v>
      </c>
      <c r="O103">
        <v>0</v>
      </c>
      <c r="P103">
        <v>0</v>
      </c>
      <c r="Q103">
        <v>0</v>
      </c>
      <c r="R103" t="s">
        <v>45</v>
      </c>
      <c r="S103" t="s">
        <v>45</v>
      </c>
      <c r="T103" t="s">
        <v>45</v>
      </c>
      <c r="U103">
        <v>0</v>
      </c>
      <c r="V103" t="s">
        <v>15</v>
      </c>
      <c r="W103" t="s">
        <v>364</v>
      </c>
    </row>
    <row r="104" spans="1:23">
      <c r="A104">
        <v>7900532053</v>
      </c>
      <c r="B104" t="s">
        <v>11</v>
      </c>
      <c r="C104" t="s">
        <v>560</v>
      </c>
      <c r="D104" t="s">
        <v>223</v>
      </c>
      <c r="E104" t="s">
        <v>51</v>
      </c>
      <c r="F104" t="s">
        <v>437</v>
      </c>
      <c r="G104" t="s">
        <v>561</v>
      </c>
      <c r="J104" t="s">
        <v>453</v>
      </c>
      <c r="L104" t="s">
        <v>439</v>
      </c>
      <c r="M104">
        <v>0</v>
      </c>
      <c r="N104">
        <v>0</v>
      </c>
      <c r="O104">
        <v>0</v>
      </c>
      <c r="P104">
        <v>0</v>
      </c>
      <c r="Q104">
        <v>0</v>
      </c>
      <c r="R104">
        <v>0</v>
      </c>
      <c r="S104">
        <v>0</v>
      </c>
      <c r="T104">
        <v>0</v>
      </c>
      <c r="U104">
        <v>0</v>
      </c>
      <c r="V104" t="s">
        <v>15</v>
      </c>
      <c r="W104" t="s">
        <v>562</v>
      </c>
    </row>
    <row r="105" spans="1:23">
      <c r="A105">
        <v>7925713040</v>
      </c>
      <c r="B105" t="s">
        <v>11</v>
      </c>
      <c r="C105" t="s">
        <v>492</v>
      </c>
      <c r="D105" t="s">
        <v>57</v>
      </c>
      <c r="E105" t="s">
        <v>51</v>
      </c>
      <c r="F105" t="s">
        <v>437</v>
      </c>
      <c r="L105" t="s">
        <v>439</v>
      </c>
      <c r="U105">
        <v>0</v>
      </c>
    </row>
    <row r="106" spans="1:23">
      <c r="A106">
        <v>7948412064</v>
      </c>
      <c r="B106" t="s">
        <v>11</v>
      </c>
      <c r="C106" t="s">
        <v>563</v>
      </c>
      <c r="D106" t="s">
        <v>50</v>
      </c>
      <c r="E106" t="s">
        <v>51</v>
      </c>
      <c r="F106" t="s">
        <v>437</v>
      </c>
      <c r="L106" t="s">
        <v>439</v>
      </c>
      <c r="U106">
        <v>0</v>
      </c>
    </row>
    <row r="107" spans="1:23">
      <c r="A107">
        <v>7955832052</v>
      </c>
      <c r="B107" t="s">
        <v>11</v>
      </c>
      <c r="C107" t="s">
        <v>192</v>
      </c>
      <c r="D107" t="s">
        <v>192</v>
      </c>
      <c r="E107" t="s">
        <v>76</v>
      </c>
      <c r="F107" t="s">
        <v>365</v>
      </c>
      <c r="L107" t="s">
        <v>367</v>
      </c>
      <c r="U107">
        <v>0</v>
      </c>
    </row>
    <row r="108" spans="1:23">
      <c r="A108">
        <v>7930359149</v>
      </c>
      <c r="B108" t="s">
        <v>11</v>
      </c>
      <c r="C108" t="s">
        <v>257</v>
      </c>
      <c r="D108" t="s">
        <v>210</v>
      </c>
      <c r="E108" t="s">
        <v>42</v>
      </c>
      <c r="F108" t="s">
        <v>369</v>
      </c>
      <c r="L108" t="s">
        <v>371</v>
      </c>
      <c r="U108">
        <v>0</v>
      </c>
    </row>
    <row r="109" spans="1:23">
      <c r="A109">
        <v>7902098003</v>
      </c>
      <c r="B109" t="s">
        <v>11</v>
      </c>
      <c r="C109" t="s">
        <v>336</v>
      </c>
      <c r="D109" t="s">
        <v>336</v>
      </c>
      <c r="E109" t="s">
        <v>76</v>
      </c>
      <c r="F109" t="s">
        <v>372</v>
      </c>
      <c r="L109" t="s">
        <v>374</v>
      </c>
      <c r="U109">
        <v>0</v>
      </c>
    </row>
    <row r="110" spans="1:23">
      <c r="A110">
        <v>7953211079</v>
      </c>
      <c r="B110" t="s">
        <v>11</v>
      </c>
      <c r="C110" t="s">
        <v>376</v>
      </c>
      <c r="D110" t="s">
        <v>50</v>
      </c>
      <c r="E110" t="s">
        <v>51</v>
      </c>
      <c r="F110" t="s">
        <v>375</v>
      </c>
      <c r="L110" t="s">
        <v>378</v>
      </c>
      <c r="U110">
        <v>0</v>
      </c>
    </row>
    <row r="111" spans="1:23">
      <c r="A111">
        <v>7949648145</v>
      </c>
      <c r="B111" t="s">
        <v>11</v>
      </c>
      <c r="C111" t="s">
        <v>380</v>
      </c>
      <c r="D111" t="s">
        <v>132</v>
      </c>
      <c r="E111" t="s">
        <v>51</v>
      </c>
      <c r="F111" t="s">
        <v>379</v>
      </c>
      <c r="L111" t="s">
        <v>382</v>
      </c>
      <c r="U111">
        <v>0</v>
      </c>
    </row>
    <row r="112" spans="1:23">
      <c r="A112">
        <v>7957021094</v>
      </c>
      <c r="B112" t="s">
        <v>11</v>
      </c>
      <c r="C112" t="s">
        <v>177</v>
      </c>
      <c r="D112" t="s">
        <v>177</v>
      </c>
      <c r="E112" t="s">
        <v>76</v>
      </c>
      <c r="F112" t="s">
        <v>437</v>
      </c>
      <c r="L112" t="s">
        <v>439</v>
      </c>
      <c r="U112">
        <v>0</v>
      </c>
    </row>
    <row r="113" spans="1:21">
      <c r="A113">
        <v>7908300096</v>
      </c>
      <c r="B113" t="s">
        <v>11</v>
      </c>
      <c r="C113" t="s">
        <v>316</v>
      </c>
      <c r="D113" t="s">
        <v>108</v>
      </c>
      <c r="E113" t="s">
        <v>42</v>
      </c>
      <c r="F113" t="s">
        <v>383</v>
      </c>
      <c r="L113" t="s">
        <v>384</v>
      </c>
      <c r="U113">
        <v>0</v>
      </c>
    </row>
    <row r="114" spans="1:21">
      <c r="A114">
        <v>7953570026</v>
      </c>
      <c r="B114" t="s">
        <v>11</v>
      </c>
      <c r="C114" t="s">
        <v>108</v>
      </c>
      <c r="D114" t="s">
        <v>108</v>
      </c>
      <c r="E114" t="s">
        <v>42</v>
      </c>
      <c r="F114" t="s">
        <v>385</v>
      </c>
      <c r="L114" t="s">
        <v>386</v>
      </c>
      <c r="U114">
        <v>0</v>
      </c>
    </row>
    <row r="115" spans="1:21">
      <c r="A115">
        <v>7911120026</v>
      </c>
      <c r="B115" t="s">
        <v>11</v>
      </c>
      <c r="C115" t="s">
        <v>108</v>
      </c>
      <c r="D115" t="s">
        <v>108</v>
      </c>
      <c r="E115" t="s">
        <v>42</v>
      </c>
      <c r="F115" t="s">
        <v>387</v>
      </c>
      <c r="G115" t="s">
        <v>497</v>
      </c>
      <c r="L115" t="s">
        <v>389</v>
      </c>
      <c r="U115">
        <v>0</v>
      </c>
    </row>
    <row r="116" spans="1:21">
      <c r="A116">
        <v>5820790038</v>
      </c>
      <c r="B116" t="s">
        <v>10</v>
      </c>
      <c r="C116" t="s">
        <v>564</v>
      </c>
      <c r="D116" t="s">
        <v>75</v>
      </c>
      <c r="E116" t="s">
        <v>76</v>
      </c>
      <c r="F116" t="s">
        <v>437</v>
      </c>
      <c r="L116" t="s">
        <v>439</v>
      </c>
      <c r="U116">
        <v>0</v>
      </c>
    </row>
    <row r="117" spans="1:21">
      <c r="A117">
        <v>7934697002</v>
      </c>
      <c r="B117" t="s">
        <v>11</v>
      </c>
      <c r="C117" t="s">
        <v>223</v>
      </c>
      <c r="D117" t="s">
        <v>223</v>
      </c>
      <c r="E117" t="s">
        <v>51</v>
      </c>
      <c r="F117" t="s">
        <v>437</v>
      </c>
      <c r="L117" t="s">
        <v>439</v>
      </c>
      <c r="U117">
        <v>0</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DE3D-1447-4665-A98F-5317D339A57E}">
  <dimension ref="A2:E35"/>
  <sheetViews>
    <sheetView workbookViewId="0">
      <selection activeCell="B34" sqref="B29:B34"/>
    </sheetView>
  </sheetViews>
  <sheetFormatPr defaultRowHeight="15"/>
  <cols>
    <col min="1" max="1" width="57.85546875" bestFit="1" customWidth="1"/>
    <col min="2" max="2" width="18.140625" bestFit="1" customWidth="1"/>
    <col min="3" max="3" width="15" customWidth="1"/>
    <col min="4" max="4" width="51.5703125" bestFit="1" customWidth="1"/>
    <col min="5" max="5" width="22.28515625" bestFit="1" customWidth="1"/>
    <col min="6" max="7" width="15" customWidth="1"/>
  </cols>
  <sheetData>
    <row r="2" spans="1:5">
      <c r="D2" s="13" t="s">
        <v>432</v>
      </c>
      <c r="E2" t="s">
        <v>445</v>
      </c>
    </row>
    <row r="3" spans="1:5">
      <c r="A3" s="13" t="s">
        <v>565</v>
      </c>
      <c r="B3" t="s">
        <v>566</v>
      </c>
    </row>
    <row r="4" spans="1:5">
      <c r="A4" s="10" t="s">
        <v>9</v>
      </c>
      <c r="B4">
        <v>30</v>
      </c>
      <c r="D4" s="13" t="s">
        <v>565</v>
      </c>
      <c r="E4" t="s">
        <v>566</v>
      </c>
    </row>
    <row r="5" spans="1:5">
      <c r="A5" s="48" t="s">
        <v>482</v>
      </c>
      <c r="B5">
        <v>4</v>
      </c>
      <c r="D5" s="10" t="s">
        <v>9</v>
      </c>
      <c r="E5">
        <v>3</v>
      </c>
    </row>
    <row r="6" spans="1:5">
      <c r="A6" s="48" t="s">
        <v>471</v>
      </c>
      <c r="B6">
        <v>3</v>
      </c>
      <c r="D6" s="48" t="s">
        <v>567</v>
      </c>
      <c r="E6">
        <v>2</v>
      </c>
    </row>
    <row r="7" spans="1:5">
      <c r="A7" s="48" t="s">
        <v>451</v>
      </c>
      <c r="B7">
        <v>7</v>
      </c>
      <c r="D7" s="48" t="s">
        <v>568</v>
      </c>
      <c r="E7">
        <v>1</v>
      </c>
    </row>
    <row r="8" spans="1:5">
      <c r="A8" s="48" t="s">
        <v>467</v>
      </c>
      <c r="B8">
        <v>1</v>
      </c>
      <c r="D8" s="10" t="s">
        <v>13</v>
      </c>
      <c r="E8">
        <v>1</v>
      </c>
    </row>
    <row r="9" spans="1:5">
      <c r="A9" s="48" t="s">
        <v>445</v>
      </c>
      <c r="B9">
        <v>3</v>
      </c>
      <c r="D9" s="48" t="s">
        <v>569</v>
      </c>
      <c r="E9">
        <v>1</v>
      </c>
    </row>
    <row r="10" spans="1:5">
      <c r="A10" s="48" t="s">
        <v>570</v>
      </c>
      <c r="B10">
        <v>2</v>
      </c>
      <c r="D10" s="10" t="s">
        <v>14</v>
      </c>
      <c r="E10">
        <v>1</v>
      </c>
    </row>
    <row r="11" spans="1:5">
      <c r="A11" s="48" t="s">
        <v>571</v>
      </c>
      <c r="B11">
        <v>10</v>
      </c>
      <c r="D11" s="48" t="s">
        <v>567</v>
      </c>
      <c r="E11">
        <v>1</v>
      </c>
    </row>
    <row r="12" spans="1:5">
      <c r="A12" s="10" t="s">
        <v>13</v>
      </c>
      <c r="B12">
        <v>21</v>
      </c>
      <c r="D12" s="10" t="s">
        <v>12</v>
      </c>
      <c r="E12">
        <v>5</v>
      </c>
    </row>
    <row r="13" spans="1:5">
      <c r="A13" s="48" t="s">
        <v>484</v>
      </c>
      <c r="B13">
        <v>1</v>
      </c>
    </row>
    <row r="14" spans="1:5">
      <c r="A14" s="48" t="s">
        <v>471</v>
      </c>
      <c r="B14">
        <v>5</v>
      </c>
      <c r="D14" s="13" t="s">
        <v>432</v>
      </c>
      <c r="E14" t="s">
        <v>467</v>
      </c>
    </row>
    <row r="15" spans="1:5">
      <c r="A15" s="48" t="s">
        <v>451</v>
      </c>
      <c r="B15">
        <v>5</v>
      </c>
    </row>
    <row r="16" spans="1:5">
      <c r="A16" s="48" t="s">
        <v>467</v>
      </c>
      <c r="B16">
        <v>2</v>
      </c>
      <c r="D16" s="13" t="s">
        <v>565</v>
      </c>
      <c r="E16" t="s">
        <v>566</v>
      </c>
    </row>
    <row r="17" spans="1:5">
      <c r="A17" s="48" t="s">
        <v>445</v>
      </c>
      <c r="B17">
        <v>1</v>
      </c>
      <c r="D17" s="10" t="s">
        <v>9</v>
      </c>
      <c r="E17">
        <v>1</v>
      </c>
    </row>
    <row r="18" spans="1:5">
      <c r="A18" s="48" t="s">
        <v>495</v>
      </c>
      <c r="B18">
        <v>1</v>
      </c>
      <c r="D18" s="48" t="s">
        <v>572</v>
      </c>
      <c r="E18">
        <v>1</v>
      </c>
    </row>
    <row r="19" spans="1:5">
      <c r="A19" s="48" t="s">
        <v>498</v>
      </c>
      <c r="B19">
        <v>1</v>
      </c>
      <c r="D19" s="10" t="s">
        <v>13</v>
      </c>
      <c r="E19">
        <v>2</v>
      </c>
    </row>
    <row r="20" spans="1:5">
      <c r="A20" s="48" t="s">
        <v>573</v>
      </c>
      <c r="B20">
        <v>1</v>
      </c>
      <c r="D20" s="48" t="s">
        <v>572</v>
      </c>
      <c r="E20">
        <v>1</v>
      </c>
    </row>
    <row r="21" spans="1:5">
      <c r="A21" s="48" t="s">
        <v>571</v>
      </c>
      <c r="B21">
        <v>4</v>
      </c>
      <c r="D21" s="48" t="s">
        <v>574</v>
      </c>
      <c r="E21">
        <v>1</v>
      </c>
    </row>
    <row r="22" spans="1:5">
      <c r="A22" s="10" t="s">
        <v>14</v>
      </c>
      <c r="B22">
        <v>25</v>
      </c>
      <c r="D22" s="10" t="s">
        <v>15</v>
      </c>
      <c r="E22">
        <v>2</v>
      </c>
    </row>
    <row r="23" spans="1:5">
      <c r="A23" s="48" t="s">
        <v>482</v>
      </c>
      <c r="B23">
        <v>4</v>
      </c>
      <c r="D23" s="48" t="s">
        <v>575</v>
      </c>
      <c r="E23">
        <v>1</v>
      </c>
    </row>
    <row r="24" spans="1:5">
      <c r="A24" s="48" t="s">
        <v>451</v>
      </c>
      <c r="B24">
        <v>13</v>
      </c>
      <c r="D24" s="48" t="s">
        <v>534</v>
      </c>
      <c r="E24">
        <v>1</v>
      </c>
    </row>
    <row r="25" spans="1:5">
      <c r="A25" s="48" t="s">
        <v>445</v>
      </c>
      <c r="B25">
        <v>1</v>
      </c>
      <c r="D25" s="10" t="s">
        <v>12</v>
      </c>
      <c r="E25">
        <v>5</v>
      </c>
    </row>
    <row r="26" spans="1:5">
      <c r="A26" s="48" t="s">
        <v>497</v>
      </c>
      <c r="B26">
        <v>1</v>
      </c>
    </row>
    <row r="27" spans="1:5">
      <c r="A27" s="48" t="s">
        <v>571</v>
      </c>
      <c r="B27">
        <v>6</v>
      </c>
    </row>
    <row r="28" spans="1:5">
      <c r="A28" s="10" t="s">
        <v>15</v>
      </c>
      <c r="B28">
        <v>27</v>
      </c>
    </row>
    <row r="29" spans="1:5">
      <c r="A29" s="48" t="s">
        <v>484</v>
      </c>
      <c r="B29">
        <v>1</v>
      </c>
    </row>
    <row r="30" spans="1:5">
      <c r="A30" s="48" t="s">
        <v>576</v>
      </c>
      <c r="B30">
        <v>1</v>
      </c>
    </row>
    <row r="31" spans="1:5">
      <c r="A31" s="48" t="s">
        <v>451</v>
      </c>
      <c r="B31">
        <v>16</v>
      </c>
    </row>
    <row r="32" spans="1:5">
      <c r="A32" s="48" t="s">
        <v>467</v>
      </c>
      <c r="B32">
        <v>2</v>
      </c>
    </row>
    <row r="33" spans="1:2">
      <c r="A33" s="48" t="s">
        <v>561</v>
      </c>
      <c r="B33">
        <v>1</v>
      </c>
    </row>
    <row r="34" spans="1:2">
      <c r="A34" s="48" t="s">
        <v>571</v>
      </c>
      <c r="B34">
        <v>6</v>
      </c>
    </row>
    <row r="35" spans="1:2">
      <c r="A35" s="10" t="s">
        <v>12</v>
      </c>
      <c r="B35">
        <v>103</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FDBC2-B103-445C-98CB-621423E01279}">
  <dimension ref="A1:L40"/>
  <sheetViews>
    <sheetView workbookViewId="0">
      <selection activeCell="D1" sqref="D1"/>
    </sheetView>
  </sheetViews>
  <sheetFormatPr defaultRowHeight="15"/>
  <cols>
    <col min="1" max="1" width="10.42578125" bestFit="1" customWidth="1"/>
    <col min="2" max="2" width="21.42578125" bestFit="1" customWidth="1"/>
    <col min="3" max="3" width="14" bestFit="1" customWidth="1"/>
    <col min="4" max="4" width="18.42578125" bestFit="1" customWidth="1"/>
    <col min="5" max="5" width="17.42578125" bestFit="1" customWidth="1"/>
    <col min="6" max="6" width="19.140625" bestFit="1" customWidth="1"/>
    <col min="7" max="7" width="11.5703125" bestFit="1" customWidth="1"/>
    <col min="8" max="8" width="29.140625" bestFit="1" customWidth="1"/>
    <col min="9" max="9" width="23.5703125" bestFit="1" customWidth="1"/>
    <col min="10" max="10" width="12.42578125" bestFit="1" customWidth="1"/>
    <col min="11" max="11" width="16.5703125" bestFit="1" customWidth="1"/>
    <col min="12" max="12" width="81.140625" bestFit="1" customWidth="1"/>
  </cols>
  <sheetData>
    <row r="1" spans="1:12">
      <c r="A1" t="s">
        <v>17</v>
      </c>
      <c r="B1" t="s">
        <v>18</v>
      </c>
      <c r="C1" t="s">
        <v>0</v>
      </c>
      <c r="D1" t="s">
        <v>19</v>
      </c>
      <c r="E1" t="s">
        <v>21</v>
      </c>
      <c r="F1" t="s">
        <v>577</v>
      </c>
      <c r="G1" t="s">
        <v>22</v>
      </c>
      <c r="H1" t="s">
        <v>23</v>
      </c>
      <c r="I1" t="s">
        <v>24</v>
      </c>
      <c r="J1" t="s">
        <v>25</v>
      </c>
      <c r="K1" t="s">
        <v>26</v>
      </c>
      <c r="L1" t="s">
        <v>27</v>
      </c>
    </row>
    <row r="2" spans="1:12">
      <c r="A2">
        <v>2026</v>
      </c>
      <c r="B2" t="s">
        <v>578</v>
      </c>
      <c r="C2" t="s">
        <v>67</v>
      </c>
      <c r="D2">
        <v>5833578028</v>
      </c>
      <c r="E2" s="7">
        <v>46150</v>
      </c>
      <c r="F2" s="7">
        <v>46174</v>
      </c>
      <c r="G2">
        <v>28</v>
      </c>
      <c r="H2" t="s">
        <v>502</v>
      </c>
      <c r="I2" t="s">
        <v>75</v>
      </c>
      <c r="J2" t="s">
        <v>76</v>
      </c>
      <c r="K2" t="s">
        <v>77</v>
      </c>
      <c r="L2" t="s">
        <v>579</v>
      </c>
    </row>
    <row r="3" spans="1:12">
      <c r="A3">
        <v>2026</v>
      </c>
      <c r="B3" t="s">
        <v>580</v>
      </c>
      <c r="C3" t="s">
        <v>67</v>
      </c>
      <c r="D3">
        <v>7913657147</v>
      </c>
      <c r="E3" s="7">
        <v>46142</v>
      </c>
      <c r="F3" s="7">
        <v>46175</v>
      </c>
      <c r="G3">
        <v>147</v>
      </c>
      <c r="H3" t="s">
        <v>506</v>
      </c>
      <c r="I3" t="s">
        <v>75</v>
      </c>
      <c r="J3" t="s">
        <v>76</v>
      </c>
      <c r="K3" t="s">
        <v>399</v>
      </c>
      <c r="L3" t="s">
        <v>581</v>
      </c>
    </row>
    <row r="4" spans="1:12">
      <c r="A4">
        <v>2026</v>
      </c>
      <c r="B4" t="s">
        <v>582</v>
      </c>
      <c r="C4" t="s">
        <v>67</v>
      </c>
      <c r="D4">
        <v>7944353028</v>
      </c>
      <c r="E4" s="7">
        <v>46119</v>
      </c>
      <c r="F4" s="7">
        <v>46175</v>
      </c>
      <c r="G4">
        <v>28</v>
      </c>
      <c r="H4" t="s">
        <v>502</v>
      </c>
      <c r="I4" t="s">
        <v>75</v>
      </c>
      <c r="J4" t="s">
        <v>76</v>
      </c>
      <c r="K4" t="s">
        <v>77</v>
      </c>
      <c r="L4" t="s">
        <v>583</v>
      </c>
    </row>
    <row r="5" spans="1:12">
      <c r="A5">
        <v>2026</v>
      </c>
      <c r="B5" t="s">
        <v>584</v>
      </c>
      <c r="C5" t="s">
        <v>67</v>
      </c>
      <c r="D5">
        <v>7931863074</v>
      </c>
      <c r="E5" s="7">
        <v>46134</v>
      </c>
      <c r="F5" s="7">
        <v>46176</v>
      </c>
      <c r="G5">
        <v>74</v>
      </c>
      <c r="H5" t="s">
        <v>75</v>
      </c>
      <c r="I5" t="s">
        <v>75</v>
      </c>
      <c r="J5" t="s">
        <v>76</v>
      </c>
      <c r="K5" t="s">
        <v>585</v>
      </c>
      <c r="L5" t="s">
        <v>586</v>
      </c>
    </row>
    <row r="6" spans="1:12">
      <c r="A6">
        <v>2026</v>
      </c>
      <c r="B6" t="s">
        <v>587</v>
      </c>
      <c r="C6" t="s">
        <v>67</v>
      </c>
      <c r="D6">
        <v>7964803072</v>
      </c>
      <c r="E6" s="7">
        <v>46127</v>
      </c>
      <c r="F6" s="7">
        <v>46176</v>
      </c>
      <c r="G6">
        <v>72</v>
      </c>
      <c r="H6" t="s">
        <v>588</v>
      </c>
      <c r="I6" t="s">
        <v>75</v>
      </c>
      <c r="J6" t="s">
        <v>76</v>
      </c>
      <c r="K6" t="s">
        <v>178</v>
      </c>
      <c r="L6" t="s">
        <v>589</v>
      </c>
    </row>
    <row r="7" spans="1:12">
      <c r="A7">
        <v>2026</v>
      </c>
      <c r="B7" t="s">
        <v>590</v>
      </c>
      <c r="C7" t="s">
        <v>67</v>
      </c>
      <c r="D7">
        <v>7903572004</v>
      </c>
      <c r="E7" s="7">
        <v>46173</v>
      </c>
      <c r="F7" s="7">
        <v>46176</v>
      </c>
      <c r="G7">
        <v>4</v>
      </c>
      <c r="H7" t="s">
        <v>57</v>
      </c>
      <c r="I7" t="s">
        <v>57</v>
      </c>
      <c r="J7" t="s">
        <v>51</v>
      </c>
      <c r="K7" t="s">
        <v>58</v>
      </c>
      <c r="L7" t="s">
        <v>591</v>
      </c>
    </row>
    <row r="8" spans="1:12">
      <c r="A8">
        <v>2025</v>
      </c>
      <c r="B8" t="s">
        <v>592</v>
      </c>
      <c r="C8" t="s">
        <v>56</v>
      </c>
      <c r="D8">
        <v>7943790134</v>
      </c>
      <c r="E8" s="7">
        <v>45902</v>
      </c>
      <c r="F8" s="7">
        <v>46179</v>
      </c>
      <c r="G8">
        <v>134</v>
      </c>
      <c r="H8" t="s">
        <v>131</v>
      </c>
      <c r="I8" t="s">
        <v>132</v>
      </c>
      <c r="J8" t="s">
        <v>51</v>
      </c>
      <c r="K8" t="s">
        <v>133</v>
      </c>
      <c r="L8" t="s">
        <v>593</v>
      </c>
    </row>
    <row r="9" spans="1:12">
      <c r="A9">
        <v>2026</v>
      </c>
      <c r="B9" t="s">
        <v>594</v>
      </c>
      <c r="C9" t="s">
        <v>67</v>
      </c>
      <c r="D9">
        <v>5843904032</v>
      </c>
      <c r="E9" s="7">
        <v>46160</v>
      </c>
      <c r="F9" s="7">
        <v>46183</v>
      </c>
      <c r="G9">
        <v>32</v>
      </c>
      <c r="H9" t="s">
        <v>448</v>
      </c>
      <c r="I9" t="s">
        <v>192</v>
      </c>
      <c r="J9" t="s">
        <v>76</v>
      </c>
      <c r="K9" t="s">
        <v>595</v>
      </c>
      <c r="L9" t="s">
        <v>596</v>
      </c>
    </row>
    <row r="10" spans="1:12">
      <c r="A10">
        <v>2026</v>
      </c>
      <c r="B10" t="s">
        <v>597</v>
      </c>
      <c r="C10" t="s">
        <v>67</v>
      </c>
      <c r="D10">
        <v>5837543086</v>
      </c>
      <c r="E10" s="7">
        <v>46146</v>
      </c>
      <c r="F10" s="7">
        <v>46183</v>
      </c>
      <c r="G10">
        <v>86</v>
      </c>
      <c r="H10" t="s">
        <v>209</v>
      </c>
      <c r="I10" t="s">
        <v>210</v>
      </c>
      <c r="J10" t="s">
        <v>42</v>
      </c>
      <c r="K10" t="s">
        <v>211</v>
      </c>
      <c r="L10" t="s">
        <v>598</v>
      </c>
    </row>
    <row r="11" spans="1:12">
      <c r="A11">
        <v>2026</v>
      </c>
      <c r="B11" t="s">
        <v>599</v>
      </c>
      <c r="C11" t="s">
        <v>67</v>
      </c>
      <c r="D11">
        <v>7957920111</v>
      </c>
      <c r="E11" s="7">
        <v>46152</v>
      </c>
      <c r="F11" s="7">
        <v>46184</v>
      </c>
      <c r="G11">
        <v>111</v>
      </c>
      <c r="H11" t="s">
        <v>600</v>
      </c>
      <c r="I11" t="s">
        <v>50</v>
      </c>
      <c r="J11" t="s">
        <v>51</v>
      </c>
      <c r="K11" t="s">
        <v>601</v>
      </c>
      <c r="L11" t="s">
        <v>602</v>
      </c>
    </row>
    <row r="12" spans="1:12">
      <c r="A12">
        <v>2026</v>
      </c>
      <c r="B12" t="s">
        <v>603</v>
      </c>
      <c r="C12" t="s">
        <v>67</v>
      </c>
      <c r="D12">
        <v>7957620015</v>
      </c>
      <c r="E12" s="7">
        <v>46174</v>
      </c>
      <c r="F12" s="7">
        <v>46185</v>
      </c>
      <c r="G12">
        <v>15</v>
      </c>
      <c r="H12" t="s">
        <v>283</v>
      </c>
      <c r="I12" t="s">
        <v>50</v>
      </c>
      <c r="J12" t="s">
        <v>51</v>
      </c>
      <c r="K12" t="s">
        <v>604</v>
      </c>
      <c r="L12" t="s">
        <v>605</v>
      </c>
    </row>
    <row r="13" spans="1:12">
      <c r="A13">
        <v>2026</v>
      </c>
      <c r="B13" t="s">
        <v>606</v>
      </c>
      <c r="C13" t="s">
        <v>67</v>
      </c>
      <c r="D13">
        <v>7964802072</v>
      </c>
      <c r="E13" s="7">
        <v>46123</v>
      </c>
      <c r="F13" s="7">
        <v>46185</v>
      </c>
      <c r="G13">
        <v>72</v>
      </c>
      <c r="H13" t="s">
        <v>588</v>
      </c>
      <c r="I13" t="s">
        <v>75</v>
      </c>
      <c r="J13" t="s">
        <v>76</v>
      </c>
      <c r="K13" t="s">
        <v>178</v>
      </c>
      <c r="L13" t="s">
        <v>607</v>
      </c>
    </row>
    <row r="14" spans="1:12">
      <c r="A14">
        <v>2026</v>
      </c>
      <c r="B14" t="s">
        <v>608</v>
      </c>
      <c r="C14" t="s">
        <v>73</v>
      </c>
      <c r="D14">
        <v>7955635116</v>
      </c>
      <c r="E14" s="7">
        <v>46174</v>
      </c>
      <c r="F14" s="7">
        <v>46188</v>
      </c>
      <c r="G14">
        <v>116</v>
      </c>
      <c r="H14" t="s">
        <v>200</v>
      </c>
      <c r="I14" t="s">
        <v>75</v>
      </c>
      <c r="J14" t="s">
        <v>76</v>
      </c>
      <c r="K14" t="s">
        <v>77</v>
      </c>
      <c r="L14" t="s">
        <v>609</v>
      </c>
    </row>
    <row r="15" spans="1:12">
      <c r="A15">
        <v>2026</v>
      </c>
      <c r="B15" t="s">
        <v>610</v>
      </c>
      <c r="C15" t="s">
        <v>67</v>
      </c>
      <c r="D15">
        <v>7907536092</v>
      </c>
      <c r="E15" s="7">
        <v>46128</v>
      </c>
      <c r="F15" s="7">
        <v>46189</v>
      </c>
      <c r="G15">
        <v>92</v>
      </c>
      <c r="H15" t="s">
        <v>611</v>
      </c>
      <c r="I15" t="s">
        <v>62</v>
      </c>
      <c r="J15" t="s">
        <v>42</v>
      </c>
      <c r="K15" t="s">
        <v>612</v>
      </c>
      <c r="L15" t="s">
        <v>613</v>
      </c>
    </row>
    <row r="16" spans="1:12">
      <c r="A16">
        <v>2026</v>
      </c>
      <c r="B16" t="s">
        <v>614</v>
      </c>
      <c r="C16" t="s">
        <v>67</v>
      </c>
      <c r="D16">
        <v>7910027196</v>
      </c>
      <c r="E16" s="7">
        <v>46202</v>
      </c>
      <c r="F16" s="7">
        <v>46190</v>
      </c>
      <c r="G16">
        <v>196</v>
      </c>
      <c r="H16" t="s">
        <v>546</v>
      </c>
      <c r="I16" t="s">
        <v>62</v>
      </c>
      <c r="J16" t="s">
        <v>42</v>
      </c>
      <c r="K16" t="s">
        <v>295</v>
      </c>
      <c r="L16" t="s">
        <v>615</v>
      </c>
    </row>
    <row r="17" spans="1:12">
      <c r="A17">
        <v>2026</v>
      </c>
      <c r="B17" t="s">
        <v>616</v>
      </c>
      <c r="C17" t="s">
        <v>67</v>
      </c>
      <c r="D17">
        <v>7931604122</v>
      </c>
      <c r="E17" s="7">
        <v>46183</v>
      </c>
      <c r="F17" s="7">
        <v>46191</v>
      </c>
      <c r="G17">
        <v>122</v>
      </c>
      <c r="H17" t="s">
        <v>68</v>
      </c>
      <c r="I17" t="s">
        <v>68</v>
      </c>
      <c r="J17" t="s">
        <v>42</v>
      </c>
      <c r="K17" t="s">
        <v>617</v>
      </c>
      <c r="L17" t="s">
        <v>618</v>
      </c>
    </row>
    <row r="18" spans="1:12">
      <c r="A18">
        <v>2026</v>
      </c>
      <c r="B18" t="s">
        <v>619</v>
      </c>
      <c r="C18" t="s">
        <v>67</v>
      </c>
      <c r="D18">
        <v>7929763027</v>
      </c>
      <c r="E18" s="7">
        <v>46152</v>
      </c>
      <c r="F18" s="7">
        <v>46196</v>
      </c>
      <c r="G18">
        <v>27</v>
      </c>
      <c r="H18" t="s">
        <v>620</v>
      </c>
      <c r="I18" t="s">
        <v>75</v>
      </c>
      <c r="J18" t="s">
        <v>76</v>
      </c>
      <c r="K18" t="s">
        <v>621</v>
      </c>
      <c r="L18" t="s">
        <v>622</v>
      </c>
    </row>
    <row r="19" spans="1:12">
      <c r="A19">
        <v>2026</v>
      </c>
      <c r="B19" t="s">
        <v>623</v>
      </c>
      <c r="C19" t="s">
        <v>67</v>
      </c>
      <c r="D19">
        <v>7908203091</v>
      </c>
      <c r="E19" s="7">
        <v>46182</v>
      </c>
      <c r="F19" s="7">
        <v>46196</v>
      </c>
      <c r="G19">
        <v>91</v>
      </c>
      <c r="H19" t="s">
        <v>74</v>
      </c>
      <c r="I19" t="s">
        <v>75</v>
      </c>
      <c r="J19" t="s">
        <v>76</v>
      </c>
      <c r="K19" t="s">
        <v>624</v>
      </c>
      <c r="L19" t="s">
        <v>625</v>
      </c>
    </row>
    <row r="20" spans="1:12">
      <c r="A20">
        <v>2026</v>
      </c>
      <c r="B20" t="s">
        <v>626</v>
      </c>
      <c r="C20" t="s">
        <v>67</v>
      </c>
      <c r="D20">
        <v>7900018004</v>
      </c>
      <c r="E20" s="7">
        <v>46169</v>
      </c>
      <c r="F20" s="7">
        <v>46196</v>
      </c>
      <c r="G20">
        <v>4</v>
      </c>
      <c r="H20" t="s">
        <v>57</v>
      </c>
      <c r="I20" t="s">
        <v>57</v>
      </c>
      <c r="J20" t="s">
        <v>51</v>
      </c>
      <c r="K20" t="s">
        <v>627</v>
      </c>
      <c r="L20" t="s">
        <v>628</v>
      </c>
    </row>
    <row r="21" spans="1:12">
      <c r="A21">
        <v>2026</v>
      </c>
      <c r="B21" t="s">
        <v>629</v>
      </c>
      <c r="C21" t="s">
        <v>67</v>
      </c>
      <c r="D21">
        <v>7929658038</v>
      </c>
      <c r="E21" s="7">
        <v>46173</v>
      </c>
      <c r="F21" s="7">
        <v>46197</v>
      </c>
      <c r="G21">
        <v>38</v>
      </c>
      <c r="H21" t="s">
        <v>564</v>
      </c>
      <c r="I21" t="s">
        <v>75</v>
      </c>
      <c r="J21" t="s">
        <v>76</v>
      </c>
      <c r="K21" t="s">
        <v>630</v>
      </c>
      <c r="L21" t="s">
        <v>631</v>
      </c>
    </row>
    <row r="22" spans="1:12">
      <c r="A22">
        <v>2026</v>
      </c>
      <c r="B22" t="s">
        <v>632</v>
      </c>
      <c r="C22" t="s">
        <v>67</v>
      </c>
      <c r="D22">
        <v>7925107033</v>
      </c>
      <c r="E22" s="7">
        <v>46152</v>
      </c>
      <c r="F22" s="7">
        <v>46197</v>
      </c>
      <c r="G22">
        <v>33</v>
      </c>
      <c r="H22" t="s">
        <v>633</v>
      </c>
      <c r="I22" t="s">
        <v>50</v>
      </c>
      <c r="J22" t="s">
        <v>51</v>
      </c>
      <c r="K22" t="s">
        <v>634</v>
      </c>
      <c r="L22" t="s">
        <v>635</v>
      </c>
    </row>
    <row r="23" spans="1:12">
      <c r="A23">
        <v>2026</v>
      </c>
      <c r="B23" t="s">
        <v>636</v>
      </c>
      <c r="C23" t="s">
        <v>67</v>
      </c>
      <c r="D23">
        <v>7926785070</v>
      </c>
      <c r="E23" s="7">
        <v>46171</v>
      </c>
      <c r="F23" s="7">
        <v>46198</v>
      </c>
      <c r="G23">
        <v>70</v>
      </c>
      <c r="H23" t="s">
        <v>81</v>
      </c>
      <c r="I23" t="s">
        <v>62</v>
      </c>
      <c r="J23" t="s">
        <v>42</v>
      </c>
      <c r="K23" t="s">
        <v>82</v>
      </c>
      <c r="L23" t="s">
        <v>637</v>
      </c>
    </row>
    <row r="24" spans="1:12">
      <c r="A24">
        <v>2026</v>
      </c>
      <c r="B24" t="s">
        <v>638</v>
      </c>
      <c r="C24" t="s">
        <v>67</v>
      </c>
      <c r="D24">
        <v>7900510045</v>
      </c>
      <c r="E24" s="7">
        <v>46186</v>
      </c>
      <c r="F24" s="7">
        <v>46199</v>
      </c>
      <c r="G24">
        <v>45</v>
      </c>
      <c r="H24" t="s">
        <v>132</v>
      </c>
      <c r="I24" t="s">
        <v>132</v>
      </c>
      <c r="J24" t="s">
        <v>51</v>
      </c>
      <c r="K24" t="s">
        <v>639</v>
      </c>
      <c r="L24" t="s">
        <v>640</v>
      </c>
    </row>
    <row r="25" spans="1:12">
      <c r="A25">
        <v>2026</v>
      </c>
      <c r="B25" t="s">
        <v>641</v>
      </c>
      <c r="C25" t="s">
        <v>67</v>
      </c>
      <c r="D25">
        <v>5800440256</v>
      </c>
      <c r="E25" s="7">
        <v>46192</v>
      </c>
      <c r="F25" s="7">
        <v>46199</v>
      </c>
      <c r="G25">
        <v>256</v>
      </c>
      <c r="H25" t="s">
        <v>107</v>
      </c>
      <c r="I25" t="s">
        <v>108</v>
      </c>
      <c r="J25" t="s">
        <v>42</v>
      </c>
      <c r="K25" t="s">
        <v>109</v>
      </c>
      <c r="L25" t="s">
        <v>642</v>
      </c>
    </row>
    <row r="26" spans="1:12">
      <c r="A26">
        <v>2026</v>
      </c>
      <c r="B26" t="s">
        <v>643</v>
      </c>
      <c r="C26" t="s">
        <v>67</v>
      </c>
      <c r="D26">
        <v>7962635060</v>
      </c>
      <c r="E26" s="7">
        <v>46190</v>
      </c>
      <c r="F26" s="7">
        <v>46202</v>
      </c>
      <c r="G26">
        <v>60</v>
      </c>
      <c r="H26" t="s">
        <v>533</v>
      </c>
      <c r="I26" t="s">
        <v>154</v>
      </c>
      <c r="J26" t="s">
        <v>51</v>
      </c>
      <c r="K26" t="s">
        <v>644</v>
      </c>
      <c r="L26" t="s">
        <v>645</v>
      </c>
    </row>
    <row r="27" spans="1:12">
      <c r="A27">
        <v>2026</v>
      </c>
      <c r="B27" t="s">
        <v>646</v>
      </c>
      <c r="C27" t="s">
        <v>67</v>
      </c>
      <c r="D27">
        <v>7903569004</v>
      </c>
      <c r="E27" s="7">
        <v>46202</v>
      </c>
      <c r="F27" s="7">
        <v>46210</v>
      </c>
      <c r="G27">
        <v>4</v>
      </c>
      <c r="H27" t="s">
        <v>57</v>
      </c>
      <c r="I27" t="s">
        <v>57</v>
      </c>
      <c r="J27" t="s">
        <v>51</v>
      </c>
      <c r="K27" t="s">
        <v>647</v>
      </c>
      <c r="L27" t="s">
        <v>648</v>
      </c>
    </row>
    <row r="28" spans="1:12">
      <c r="A28">
        <v>2026</v>
      </c>
      <c r="B28" t="s">
        <v>649</v>
      </c>
      <c r="C28" t="s">
        <v>67</v>
      </c>
      <c r="D28">
        <v>7954668084</v>
      </c>
      <c r="E28" s="7">
        <v>46192</v>
      </c>
      <c r="F28" s="7">
        <v>46210</v>
      </c>
      <c r="G28">
        <v>84</v>
      </c>
      <c r="H28" t="s">
        <v>210</v>
      </c>
      <c r="I28" t="s">
        <v>210</v>
      </c>
      <c r="J28" t="s">
        <v>42</v>
      </c>
      <c r="K28" t="s">
        <v>275</v>
      </c>
      <c r="L28" t="s">
        <v>650</v>
      </c>
    </row>
    <row r="29" spans="1:12">
      <c r="A29">
        <v>2026</v>
      </c>
      <c r="B29" t="s">
        <v>651</v>
      </c>
      <c r="C29" t="s">
        <v>67</v>
      </c>
      <c r="D29">
        <v>7927713200</v>
      </c>
      <c r="E29" s="7">
        <v>46202</v>
      </c>
      <c r="F29" s="7">
        <v>46211</v>
      </c>
      <c r="G29">
        <v>200</v>
      </c>
      <c r="H29" t="s">
        <v>327</v>
      </c>
      <c r="I29" t="s">
        <v>177</v>
      </c>
      <c r="J29" t="s">
        <v>76</v>
      </c>
      <c r="K29" t="s">
        <v>652</v>
      </c>
      <c r="L29" t="s">
        <v>653</v>
      </c>
    </row>
    <row r="30" spans="1:12">
      <c r="A30">
        <v>2026</v>
      </c>
      <c r="B30" t="s">
        <v>654</v>
      </c>
      <c r="C30" t="s">
        <v>67</v>
      </c>
      <c r="D30">
        <v>7936038076</v>
      </c>
      <c r="E30" s="7">
        <v>46202</v>
      </c>
      <c r="F30" s="7">
        <v>46211</v>
      </c>
      <c r="G30">
        <v>76</v>
      </c>
      <c r="H30" t="s">
        <v>335</v>
      </c>
      <c r="I30" t="s">
        <v>336</v>
      </c>
      <c r="J30" t="s">
        <v>76</v>
      </c>
      <c r="K30" t="s">
        <v>406</v>
      </c>
      <c r="L30" t="s">
        <v>655</v>
      </c>
    </row>
    <row r="31" spans="1:12">
      <c r="A31">
        <v>2026</v>
      </c>
      <c r="B31" t="s">
        <v>656</v>
      </c>
      <c r="C31" t="s">
        <v>67</v>
      </c>
      <c r="D31">
        <v>7908708116</v>
      </c>
      <c r="E31" s="7">
        <v>46202</v>
      </c>
      <c r="F31" s="7">
        <v>46211</v>
      </c>
      <c r="G31">
        <v>116</v>
      </c>
      <c r="H31" t="s">
        <v>200</v>
      </c>
      <c r="I31" t="s">
        <v>75</v>
      </c>
      <c r="J31" t="s">
        <v>76</v>
      </c>
      <c r="K31" t="s">
        <v>77</v>
      </c>
      <c r="L31" t="s">
        <v>657</v>
      </c>
    </row>
    <row r="32" spans="1:12">
      <c r="A32">
        <v>2026</v>
      </c>
      <c r="B32" t="s">
        <v>658</v>
      </c>
      <c r="C32" t="s">
        <v>67</v>
      </c>
      <c r="D32">
        <v>7955520116</v>
      </c>
      <c r="E32" s="7">
        <v>46202</v>
      </c>
      <c r="F32" s="7">
        <v>46211</v>
      </c>
      <c r="G32">
        <v>116</v>
      </c>
      <c r="H32" t="s">
        <v>200</v>
      </c>
      <c r="I32" t="s">
        <v>75</v>
      </c>
      <c r="J32" t="s">
        <v>76</v>
      </c>
      <c r="K32" t="s">
        <v>77</v>
      </c>
      <c r="L32" t="s">
        <v>659</v>
      </c>
    </row>
    <row r="33" spans="1:12">
      <c r="A33">
        <v>2026</v>
      </c>
      <c r="B33" t="s">
        <v>660</v>
      </c>
      <c r="C33" t="s">
        <v>67</v>
      </c>
      <c r="D33">
        <v>7957021094</v>
      </c>
      <c r="E33" s="7">
        <v>46162</v>
      </c>
      <c r="F33" s="7">
        <v>46213</v>
      </c>
      <c r="G33">
        <v>94</v>
      </c>
      <c r="H33" t="s">
        <v>177</v>
      </c>
      <c r="I33" t="s">
        <v>177</v>
      </c>
      <c r="J33" t="s">
        <v>76</v>
      </c>
      <c r="K33" t="s">
        <v>263</v>
      </c>
      <c r="L33" t="s">
        <v>661</v>
      </c>
    </row>
    <row r="34" spans="1:12">
      <c r="A34">
        <v>2026</v>
      </c>
      <c r="B34" t="s">
        <v>662</v>
      </c>
      <c r="C34" t="s">
        <v>96</v>
      </c>
      <c r="D34">
        <v>5820790038</v>
      </c>
      <c r="E34" s="7">
        <v>46200</v>
      </c>
      <c r="F34" s="7">
        <v>46216</v>
      </c>
      <c r="G34">
        <v>38</v>
      </c>
      <c r="H34" t="s">
        <v>564</v>
      </c>
      <c r="I34" t="s">
        <v>75</v>
      </c>
      <c r="J34" t="s">
        <v>76</v>
      </c>
      <c r="K34" t="s">
        <v>663</v>
      </c>
      <c r="L34" t="s">
        <v>664</v>
      </c>
    </row>
    <row r="35" spans="1:12">
      <c r="A35">
        <v>2026</v>
      </c>
      <c r="B35" t="s">
        <v>665</v>
      </c>
      <c r="C35" t="s">
        <v>67</v>
      </c>
      <c r="D35">
        <v>7948412064</v>
      </c>
      <c r="E35" s="7">
        <v>46203</v>
      </c>
      <c r="F35" s="7">
        <v>46216</v>
      </c>
      <c r="G35">
        <v>64</v>
      </c>
      <c r="H35" t="s">
        <v>563</v>
      </c>
      <c r="I35" t="s">
        <v>50</v>
      </c>
      <c r="J35" t="s">
        <v>51</v>
      </c>
      <c r="K35" t="s">
        <v>666</v>
      </c>
      <c r="L35" t="s">
        <v>667</v>
      </c>
    </row>
    <row r="36" spans="1:12">
      <c r="A36">
        <v>2026</v>
      </c>
      <c r="B36" t="s">
        <v>668</v>
      </c>
      <c r="C36" t="s">
        <v>96</v>
      </c>
      <c r="D36">
        <v>5800657026</v>
      </c>
      <c r="E36" s="7">
        <v>46216</v>
      </c>
      <c r="F36" s="7">
        <v>46216</v>
      </c>
      <c r="G36">
        <v>26</v>
      </c>
      <c r="H36" t="s">
        <v>108</v>
      </c>
      <c r="I36" t="s">
        <v>108</v>
      </c>
      <c r="J36" t="s">
        <v>42</v>
      </c>
      <c r="K36" t="s">
        <v>109</v>
      </c>
      <c r="L36" t="s">
        <v>669</v>
      </c>
    </row>
    <row r="37" spans="1:12">
      <c r="A37">
        <v>2026</v>
      </c>
      <c r="B37" t="s">
        <v>670</v>
      </c>
      <c r="C37" t="s">
        <v>125</v>
      </c>
      <c r="D37">
        <v>5801866013</v>
      </c>
      <c r="E37" s="7">
        <v>46213</v>
      </c>
      <c r="F37" s="7">
        <v>46217</v>
      </c>
      <c r="G37">
        <v>13</v>
      </c>
      <c r="H37" t="s">
        <v>97</v>
      </c>
      <c r="I37" t="s">
        <v>97</v>
      </c>
      <c r="J37" t="s">
        <v>42</v>
      </c>
      <c r="K37" t="s">
        <v>182</v>
      </c>
      <c r="L37" t="s">
        <v>671</v>
      </c>
    </row>
    <row r="38" spans="1:12">
      <c r="A38">
        <v>2026</v>
      </c>
      <c r="B38" t="s">
        <v>672</v>
      </c>
      <c r="C38" t="s">
        <v>67</v>
      </c>
      <c r="D38">
        <v>7925713040</v>
      </c>
      <c r="E38" s="7">
        <v>46183</v>
      </c>
      <c r="F38" s="7">
        <v>46220</v>
      </c>
      <c r="G38">
        <v>40</v>
      </c>
      <c r="H38" t="s">
        <v>492</v>
      </c>
      <c r="I38" t="s">
        <v>57</v>
      </c>
      <c r="J38" t="s">
        <v>51</v>
      </c>
      <c r="K38" t="s">
        <v>249</v>
      </c>
      <c r="L38" t="s">
        <v>673</v>
      </c>
    </row>
    <row r="39" spans="1:12">
      <c r="A39">
        <v>2026</v>
      </c>
      <c r="B39" t="s">
        <v>674</v>
      </c>
      <c r="C39" t="s">
        <v>67</v>
      </c>
      <c r="D39">
        <v>7934697002</v>
      </c>
      <c r="E39" s="7">
        <v>46199</v>
      </c>
      <c r="F39" s="7">
        <v>46223</v>
      </c>
      <c r="G39">
        <v>2</v>
      </c>
      <c r="H39" t="s">
        <v>223</v>
      </c>
      <c r="I39" t="s">
        <v>223</v>
      </c>
      <c r="J39" t="s">
        <v>51</v>
      </c>
      <c r="K39" t="s">
        <v>675</v>
      </c>
      <c r="L39" t="s">
        <v>676</v>
      </c>
    </row>
    <row r="40" spans="1:12">
      <c r="A40">
        <v>2026</v>
      </c>
      <c r="B40" t="s">
        <v>677</v>
      </c>
      <c r="C40" t="s">
        <v>678</v>
      </c>
      <c r="D40">
        <v>5844630060</v>
      </c>
      <c r="E40" s="7">
        <v>46223</v>
      </c>
      <c r="F40" s="7">
        <v>46227</v>
      </c>
      <c r="G40">
        <v>60</v>
      </c>
      <c r="H40" t="s">
        <v>533</v>
      </c>
      <c r="I40" t="s">
        <v>154</v>
      </c>
      <c r="J40" t="s">
        <v>51</v>
      </c>
      <c r="K40" t="s">
        <v>644</v>
      </c>
      <c r="L40" t="s">
        <v>679</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A502A-F614-41D5-8A16-195B4F709E1A}">
  <dimension ref="A1:AB134"/>
  <sheetViews>
    <sheetView tabSelected="1" zoomScale="115" zoomScaleNormal="115" workbookViewId="0">
      <selection activeCell="H1" sqref="H1"/>
    </sheetView>
  </sheetViews>
  <sheetFormatPr defaultRowHeight="15" customHeight="1"/>
  <cols>
    <col min="1" max="1" width="16.85546875" style="4" customWidth="1"/>
    <col min="2" max="2" width="46.140625" style="4" customWidth="1"/>
    <col min="3" max="3" width="8.7109375" style="5" hidden="1" customWidth="1"/>
    <col min="4" max="4" width="34" style="5" hidden="1" customWidth="1"/>
    <col min="5" max="5" width="28.140625" style="5" hidden="1" customWidth="1"/>
    <col min="6" max="6" width="18.28515625" style="5" hidden="1" customWidth="1"/>
    <col min="7" max="7" width="33.85546875" style="4" bestFit="1" customWidth="1"/>
    <col min="8" max="8" width="55.5703125" style="4" customWidth="1"/>
    <col min="9" max="10" width="64" style="4" customWidth="1"/>
    <col min="11" max="11" width="29.140625" style="4" customWidth="1"/>
    <col min="12" max="12" width="34" customWidth="1"/>
    <col min="13" max="13" width="18.28515625" style="30" customWidth="1"/>
    <col min="14" max="14" width="255.7109375" bestFit="1" customWidth="1"/>
    <col min="15" max="24" width="12.7109375" customWidth="1"/>
    <col min="25" max="25" width="144.5703125" bestFit="1" customWidth="1"/>
    <col min="26" max="29" width="17.28515625" customWidth="1"/>
  </cols>
  <sheetData>
    <row r="1" spans="1:28" ht="15" customHeight="1">
      <c r="A1" s="4" t="s">
        <v>426</v>
      </c>
      <c r="B1" s="4" t="s">
        <v>680</v>
      </c>
      <c r="C1" s="5" t="s">
        <v>427</v>
      </c>
      <c r="D1" s="5" t="s">
        <v>428</v>
      </c>
      <c r="E1" s="5" t="s">
        <v>429</v>
      </c>
      <c r="F1" s="5" t="s">
        <v>430</v>
      </c>
      <c r="G1" s="4" t="s">
        <v>431</v>
      </c>
      <c r="H1" s="4" t="s">
        <v>432</v>
      </c>
      <c r="I1" s="4" t="s">
        <v>433</v>
      </c>
      <c r="J1" s="4" t="s">
        <v>681</v>
      </c>
      <c r="K1" s="4" t="s">
        <v>434</v>
      </c>
      <c r="L1" t="s">
        <v>435</v>
      </c>
      <c r="M1" s="10" t="s">
        <v>3</v>
      </c>
      <c r="N1" t="s">
        <v>436</v>
      </c>
      <c r="O1" t="s">
        <v>28</v>
      </c>
      <c r="P1" t="s">
        <v>29</v>
      </c>
      <c r="Q1" t="s">
        <v>30</v>
      </c>
      <c r="R1" t="s">
        <v>31</v>
      </c>
      <c r="S1" t="s">
        <v>32</v>
      </c>
      <c r="T1" t="s">
        <v>33</v>
      </c>
      <c r="U1" t="s">
        <v>34</v>
      </c>
      <c r="V1" t="s">
        <v>35</v>
      </c>
      <c r="W1" t="s">
        <v>36</v>
      </c>
      <c r="X1" t="s">
        <v>2</v>
      </c>
      <c r="Y1" t="s">
        <v>37</v>
      </c>
      <c r="AA1" s="109" t="s">
        <v>682</v>
      </c>
      <c r="AB1" s="110"/>
    </row>
    <row r="2" spans="1:28" ht="15" customHeight="1">
      <c r="A2" s="4">
        <v>5800090147</v>
      </c>
      <c r="B2" s="4" t="e">
        <f>_xlfn.XLOOKUP(Table2[[#This Row],[Ativo]],Joao!B:B,Joao!Z:Z)</f>
        <v>#N/A</v>
      </c>
      <c r="C2" s="5" t="str">
        <f>MID(Table2[[#This Row],[Ativo]],1,2)</f>
        <v>58</v>
      </c>
      <c r="D2" s="5" t="s">
        <v>506</v>
      </c>
      <c r="E2" s="5" t="s">
        <v>75</v>
      </c>
      <c r="F2" s="5" t="s">
        <v>76</v>
      </c>
      <c r="G2" s="4" t="str">
        <f>IFERROR(_xlfn.XLOOKUP(Table2[[#This Row],[Ativo]],Pendentes[COD_RELIGADOR],Pendentes[SS_ORIGINAL]),"CONCLUÍDA")</f>
        <v>CONCLUÍDA</v>
      </c>
      <c r="H2" s="4" t="s">
        <v>683</v>
      </c>
      <c r="K2" s="4" t="s">
        <v>438</v>
      </c>
      <c r="L2" s="29"/>
      <c r="M2" s="31"/>
      <c r="N2" t="str">
        <f>IFERROR(_xlfn.XLOOKUP(Table2[[#This Row],[Ativo]],Pendentes[COD_RELIGADOR],Pendentes[DESCRICAO]),"")</f>
        <v/>
      </c>
      <c r="O2" s="5">
        <v>0</v>
      </c>
      <c r="P2" s="5">
        <v>20</v>
      </c>
      <c r="Q2" s="5">
        <v>20</v>
      </c>
      <c r="R2" s="5">
        <v>10</v>
      </c>
      <c r="S2" s="5">
        <v>10</v>
      </c>
      <c r="T2" s="5" t="s">
        <v>45</v>
      </c>
      <c r="U2" s="5" t="s">
        <v>45</v>
      </c>
      <c r="V2" s="5" t="s">
        <v>45</v>
      </c>
      <c r="W2" s="5">
        <f>SUM(Table2[[#This Row],[Premissa 1]:[Premissa 8]])</f>
        <v>60</v>
      </c>
      <c r="X2" s="5" t="s">
        <v>14</v>
      </c>
      <c r="Y2" t="s">
        <v>507</v>
      </c>
      <c r="AA2" s="8" t="s">
        <v>684</v>
      </c>
      <c r="AB2" s="8" t="s">
        <v>685</v>
      </c>
    </row>
    <row r="3" spans="1:28" ht="15" customHeight="1">
      <c r="A3" s="4">
        <v>5800291035</v>
      </c>
      <c r="B3" s="4" t="e">
        <f>_xlfn.XLOOKUP(Table2[[#This Row],[Ativo]],Joao!B:B,Joao!Z:Z)</f>
        <v>#N/A</v>
      </c>
      <c r="C3" s="5" t="str">
        <f>MID(Table2[[#This Row],[Ativo]],1,2)</f>
        <v>58</v>
      </c>
      <c r="D3" s="5" t="s">
        <v>234</v>
      </c>
      <c r="E3" s="5" t="s">
        <v>108</v>
      </c>
      <c r="F3" s="5" t="s">
        <v>42</v>
      </c>
      <c r="G3" s="4" t="str">
        <f>IFERROR(_xlfn.XLOOKUP(Table2[[#This Row],[Ativo]],Pendentes[COD_RELIGADOR],Pendentes[SS_ORIGINAL]),"CONCLUÍDA")</f>
        <v>ETO-RD-PO 00097/2026</v>
      </c>
      <c r="H3" s="11" t="s">
        <v>482</v>
      </c>
      <c r="I3" s="9" t="s">
        <v>686</v>
      </c>
      <c r="J3" s="9"/>
      <c r="K3" s="4" t="s">
        <v>443</v>
      </c>
      <c r="L3" s="29" t="s">
        <v>497</v>
      </c>
      <c r="M3" s="31">
        <v>1</v>
      </c>
      <c r="N3" t="s">
        <v>236</v>
      </c>
      <c r="O3" s="5">
        <v>0</v>
      </c>
      <c r="P3" s="5">
        <v>20</v>
      </c>
      <c r="Q3" s="5">
        <v>20</v>
      </c>
      <c r="R3" s="5">
        <v>10</v>
      </c>
      <c r="S3" s="5">
        <v>0</v>
      </c>
      <c r="T3" s="5" t="s">
        <v>45</v>
      </c>
      <c r="U3" s="5" t="s">
        <v>45</v>
      </c>
      <c r="V3" s="5" t="s">
        <v>45</v>
      </c>
      <c r="W3" s="5">
        <f>SUM(Table2[[#This Row],[Premissa 1]:[Premissa 8]])</f>
        <v>50</v>
      </c>
      <c r="X3" s="5" t="s">
        <v>14</v>
      </c>
      <c r="Y3" t="s">
        <v>237</v>
      </c>
    </row>
    <row r="4" spans="1:28" ht="15" customHeight="1">
      <c r="A4" s="4">
        <v>5800291077</v>
      </c>
      <c r="B4" s="4" t="e">
        <f>_xlfn.XLOOKUP(Table2[[#This Row],[Ativo]],Joao!B:B,Joao!Z:Z)</f>
        <v>#N/A</v>
      </c>
      <c r="C4" s="5" t="str">
        <f>MID(Table2[[#This Row],[Ativo]],1,2)</f>
        <v>58</v>
      </c>
      <c r="D4" s="5" t="s">
        <v>144</v>
      </c>
      <c r="E4" s="5" t="s">
        <v>57</v>
      </c>
      <c r="F4" s="5" t="s">
        <v>51</v>
      </c>
      <c r="G4" s="4" t="str">
        <f>IFERROR(_xlfn.XLOOKUP(Table2[[#This Row],[Ativo]],Pendentes[COD_RELIGADOR],Pendentes[SS_ORIGINAL]),"CONCLUÍDA")</f>
        <v>CONCLUÍDA</v>
      </c>
      <c r="H4" s="4" t="s">
        <v>683</v>
      </c>
      <c r="I4" s="9"/>
      <c r="K4" s="4" t="s">
        <v>438</v>
      </c>
      <c r="L4" s="29"/>
      <c r="M4" s="31"/>
      <c r="N4" t="str">
        <f>IFERROR(_xlfn.XLOOKUP(Table2[[#This Row],[Ativo]],Pendentes[COD_RELIGADOR],Pendentes[DESCRICAO]),"")</f>
        <v/>
      </c>
      <c r="O4" s="5">
        <v>40</v>
      </c>
      <c r="P4" s="5">
        <v>20</v>
      </c>
      <c r="Q4" s="5">
        <v>20</v>
      </c>
      <c r="R4" s="5">
        <v>20</v>
      </c>
      <c r="S4" s="5">
        <v>20</v>
      </c>
      <c r="T4" s="5" t="s">
        <v>45</v>
      </c>
      <c r="U4" s="5" t="s">
        <v>45</v>
      </c>
      <c r="V4" s="5" t="s">
        <v>45</v>
      </c>
      <c r="W4" s="5">
        <f>SUM(Table2[[#This Row],[Premissa 1]:[Premissa 8]])</f>
        <v>120</v>
      </c>
      <c r="X4" s="5" t="s">
        <v>9</v>
      </c>
      <c r="Y4" t="s">
        <v>440</v>
      </c>
    </row>
    <row r="5" spans="1:28" ht="15" customHeight="1">
      <c r="A5" s="4">
        <v>5800366016</v>
      </c>
      <c r="B5" s="4" t="e">
        <f>_xlfn.XLOOKUP(Table2[[#This Row],[Ativo]],Joao!B:B,Joao!Z:Z)</f>
        <v>#N/A</v>
      </c>
      <c r="C5" s="5" t="str">
        <f>MID(Table2[[#This Row],[Ativo]],1,2)</f>
        <v>58</v>
      </c>
      <c r="D5" s="5" t="s">
        <v>500</v>
      </c>
      <c r="E5" s="5" t="s">
        <v>223</v>
      </c>
      <c r="F5" s="5" t="s">
        <v>51</v>
      </c>
      <c r="G5" s="4" t="str">
        <f>IFERROR(_xlfn.XLOOKUP(Table2[[#This Row],[Ativo]],Pendentes[COD_RELIGADOR],Pendentes[SS_ORIGINAL]),"CONCLUÍDA")</f>
        <v>CONCLUÍDA</v>
      </c>
      <c r="H5" s="4" t="s">
        <v>683</v>
      </c>
      <c r="K5" s="4" t="s">
        <v>438</v>
      </c>
      <c r="L5" s="29"/>
      <c r="M5" s="31"/>
      <c r="N5" t="str">
        <f>IFERROR(_xlfn.XLOOKUP(Table2[[#This Row],[Ativo]],Pendentes[COD_RELIGADOR],Pendentes[DESCRICAO]),"")</f>
        <v/>
      </c>
      <c r="O5" s="5">
        <v>0</v>
      </c>
      <c r="P5" s="5">
        <v>20</v>
      </c>
      <c r="Q5" s="5">
        <v>20</v>
      </c>
      <c r="R5" s="5">
        <v>20</v>
      </c>
      <c r="S5" s="5">
        <v>10</v>
      </c>
      <c r="T5" s="5" t="s">
        <v>45</v>
      </c>
      <c r="U5" s="5" t="s">
        <v>45</v>
      </c>
      <c r="V5" s="5" t="s">
        <v>45</v>
      </c>
      <c r="W5" s="5">
        <f>SUM(Table2[[#This Row],[Premissa 1]:[Premissa 8]])</f>
        <v>70</v>
      </c>
      <c r="X5" s="5" t="s">
        <v>13</v>
      </c>
      <c r="Y5" t="s">
        <v>501</v>
      </c>
    </row>
    <row r="6" spans="1:28" ht="15" customHeight="1">
      <c r="A6" s="12">
        <v>5800371025</v>
      </c>
      <c r="B6" s="12">
        <f>_xlfn.XLOOKUP(Table2[[#This Row],[Ativo]],Joao!B:B,Joao!Z:Z)</f>
        <v>0</v>
      </c>
      <c r="C6" s="5" t="str">
        <f>MID(Table2[[#This Row],[Ativo]],1,2)</f>
        <v>58</v>
      </c>
      <c r="D6" s="5" t="s">
        <v>162</v>
      </c>
      <c r="E6" s="5" t="s">
        <v>154</v>
      </c>
      <c r="F6" s="5" t="s">
        <v>51</v>
      </c>
      <c r="G6" s="4" t="str">
        <f>IFERROR(_xlfn.XLOOKUP(Table2[[#This Row],[Ativo]],Pendentes[COD_RELIGADOR],Pendentes[SS_ORIGINAL]),"CONCLUÍDA")</f>
        <v>ETO-RD-GR 00766/2026</v>
      </c>
      <c r="H6" s="4" t="s">
        <v>482</v>
      </c>
      <c r="I6" s="5" t="s">
        <v>687</v>
      </c>
      <c r="J6" s="5"/>
      <c r="K6" s="4" t="s">
        <v>443</v>
      </c>
      <c r="L6" s="29" t="s">
        <v>460</v>
      </c>
      <c r="M6" s="31">
        <v>1</v>
      </c>
      <c r="N6" t="str">
        <f>IFERROR(_xlfn.XLOOKUP(Table2[[#This Row],[Ativo]],Pendentes[COD_RELIGADOR],Pendentes[DESCRICAO]),"")</f>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v>
      </c>
      <c r="O6" s="5">
        <v>0</v>
      </c>
      <c r="P6" s="5">
        <v>20</v>
      </c>
      <c r="Q6" s="5">
        <v>20</v>
      </c>
      <c r="R6" s="5">
        <v>10</v>
      </c>
      <c r="S6" s="5">
        <v>20</v>
      </c>
      <c r="T6" s="5" t="s">
        <v>45</v>
      </c>
      <c r="U6" s="5" t="s">
        <v>45</v>
      </c>
      <c r="V6" s="5" t="s">
        <v>45</v>
      </c>
      <c r="W6" s="5">
        <f>SUM(Table2[[#This Row],[Premissa 1]:[Premissa 8]])</f>
        <v>70</v>
      </c>
      <c r="X6" s="5" t="s">
        <v>13</v>
      </c>
      <c r="Y6" t="s">
        <v>165</v>
      </c>
    </row>
    <row r="7" spans="1:28" ht="15" customHeight="1">
      <c r="A7" s="4">
        <v>5800438116</v>
      </c>
      <c r="B7" s="4" t="str">
        <f>_xlfn.XLOOKUP(Table2[[#This Row],[Ativo]],Joao!B:B,Joao!Z:Z)</f>
        <v>NÃO PRECISA REQUISITAR EQUIPAMENTO, VAMOS UTILIZAR EQ RETIRADO DE OBRA DE CONSTRUÇÃO.</v>
      </c>
      <c r="C7" s="5" t="str">
        <f>MID(Table2[[#This Row],[Ativo]],1,2)</f>
        <v>58</v>
      </c>
      <c r="D7" s="5" t="s">
        <v>200</v>
      </c>
      <c r="E7" s="5" t="s">
        <v>75</v>
      </c>
      <c r="F7" s="5" t="s">
        <v>76</v>
      </c>
      <c r="G7" s="4" t="str">
        <f>IFERROR(_xlfn.XLOOKUP(Table2[[#This Row],[Ativo]],Pendentes[COD_RELIGADOR],Pendentes[SS_ORIGINAL]),"CONCLUÍDA")</f>
        <v>ETO-RD-DP 00404/2026</v>
      </c>
      <c r="H7" s="4" t="s">
        <v>688</v>
      </c>
      <c r="I7" s="4" t="s">
        <v>689</v>
      </c>
      <c r="K7" s="4" t="s">
        <v>443</v>
      </c>
      <c r="L7" s="29" t="s">
        <v>444</v>
      </c>
      <c r="M7" s="31">
        <v>2</v>
      </c>
      <c r="N7" t="str">
        <f>IFERROR(_xlfn.XLOOKUP(Table2[[#This Row],[Ativo]],Pendentes[COD_RELIGADOR],Pendentes[DESCRICAO]),"")</f>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v>
      </c>
      <c r="O7" s="5">
        <v>0</v>
      </c>
      <c r="P7" s="5">
        <v>20</v>
      </c>
      <c r="Q7" s="5">
        <v>20</v>
      </c>
      <c r="R7" s="5">
        <v>20</v>
      </c>
      <c r="S7" s="5">
        <v>0</v>
      </c>
      <c r="T7" s="5" t="s">
        <v>45</v>
      </c>
      <c r="U7" s="5" t="s">
        <v>45</v>
      </c>
      <c r="V7" s="5" t="s">
        <v>45</v>
      </c>
      <c r="W7" s="5">
        <f>SUM(Table2[[#This Row],[Premissa 1]:[Premissa 8]])</f>
        <v>60</v>
      </c>
      <c r="X7" s="5" t="s">
        <v>14</v>
      </c>
      <c r="Y7" t="s">
        <v>202</v>
      </c>
    </row>
    <row r="8" spans="1:28" ht="15" customHeight="1">
      <c r="A8" s="4">
        <v>5800440256</v>
      </c>
      <c r="B8" s="4" t="e">
        <f>_xlfn.XLOOKUP(Table2[[#This Row],[Ativo]],Joao!B:B,Joao!Z:Z)</f>
        <v>#N/A</v>
      </c>
      <c r="C8" s="5" t="str">
        <f>MID(Table2[[#This Row],[Ativo]],1,2)</f>
        <v>58</v>
      </c>
      <c r="D8" s="5" t="s">
        <v>107</v>
      </c>
      <c r="E8" s="5" t="s">
        <v>108</v>
      </c>
      <c r="F8" s="5" t="s">
        <v>42</v>
      </c>
      <c r="G8" s="4" t="str">
        <f>IFERROR(_xlfn.XLOOKUP(Table2[[#This Row],[Ativo]],Pendentes[COD_RELIGADOR],Pendentes[SS_ORIGINAL]),"CONCLUÍDA")</f>
        <v>CONCLUÍDA</v>
      </c>
      <c r="H8" s="11" t="s">
        <v>683</v>
      </c>
      <c r="K8" s="4" t="s">
        <v>438</v>
      </c>
      <c r="L8" s="29"/>
      <c r="M8" s="31"/>
      <c r="N8" t="str">
        <f>IFERROR(_xlfn.XLOOKUP(Table2[[#This Row],[Ativo]],Pendentes[COD_RELIGADOR],Pendentes[DESCRICAO]),"")</f>
        <v/>
      </c>
      <c r="O8" s="5">
        <v>20</v>
      </c>
      <c r="P8" s="5">
        <v>20</v>
      </c>
      <c r="Q8" s="5">
        <v>20</v>
      </c>
      <c r="R8" s="5">
        <v>10</v>
      </c>
      <c r="S8" s="5">
        <v>20</v>
      </c>
      <c r="T8" s="5" t="s">
        <v>45</v>
      </c>
      <c r="U8" s="5" t="s">
        <v>45</v>
      </c>
      <c r="V8" s="5" t="s">
        <v>45</v>
      </c>
      <c r="W8" s="5">
        <f>SUM(Table2[[#This Row],[Premissa 1]:[Premissa 8]])</f>
        <v>90</v>
      </c>
      <c r="X8" s="5" t="s">
        <v>9</v>
      </c>
      <c r="Y8" t="s">
        <v>481</v>
      </c>
    </row>
    <row r="9" spans="1:28" ht="15" customHeight="1">
      <c r="A9" s="12">
        <v>5800859011</v>
      </c>
      <c r="B9" s="12">
        <f>_xlfn.XLOOKUP(Table2[[#This Row],[Ativo]],Joao!B:B,Joao!Z:Z)</f>
        <v>0</v>
      </c>
      <c r="C9" s="5" t="str">
        <f>MID(Table2[[#This Row],[Ativo]],1,2)</f>
        <v>58</v>
      </c>
      <c r="D9" s="5" t="s">
        <v>49</v>
      </c>
      <c r="E9" s="5" t="s">
        <v>50</v>
      </c>
      <c r="F9" s="5" t="s">
        <v>51</v>
      </c>
      <c r="G9" s="4" t="str">
        <f>IFERROR(_xlfn.XLOOKUP(Table2[[#This Row],[Ativo]],Pendentes[COD_RELIGADOR],Pendentes[SS_ORIGINAL]),"CONCLUÍDA")</f>
        <v>ETO-RD-GR 00735/2026</v>
      </c>
      <c r="H9" s="4" t="s">
        <v>455</v>
      </c>
      <c r="I9" s="4" t="s">
        <v>690</v>
      </c>
      <c r="J9" s="4" t="s">
        <v>691</v>
      </c>
      <c r="K9" s="4" t="s">
        <v>443</v>
      </c>
      <c r="L9" s="29" t="s">
        <v>447</v>
      </c>
      <c r="M9" s="31">
        <v>1</v>
      </c>
      <c r="N9" t="str">
        <f>IFERROR(_xlfn.XLOOKUP(Table2[[#This Row],[Ativo]],Pendentes[COD_RELIGADOR],Pendentes[DESCRICAO]),"")</f>
        <v>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v>
      </c>
      <c r="O9" s="5">
        <v>40</v>
      </c>
      <c r="P9" s="5">
        <v>20</v>
      </c>
      <c r="Q9" s="5">
        <v>20</v>
      </c>
      <c r="R9" s="5">
        <v>10</v>
      </c>
      <c r="S9" s="5">
        <v>20</v>
      </c>
      <c r="T9" s="5" t="s">
        <v>45</v>
      </c>
      <c r="U9" s="5" t="s">
        <v>45</v>
      </c>
      <c r="V9" s="5" t="s">
        <v>45</v>
      </c>
      <c r="W9" s="5">
        <f>SUM(Table2[[#This Row],[Premissa 1]:[Premissa 8]])</f>
        <v>110</v>
      </c>
      <c r="X9" s="5" t="s">
        <v>9</v>
      </c>
      <c r="Y9" t="s">
        <v>54</v>
      </c>
    </row>
    <row r="10" spans="1:28" ht="15" customHeight="1">
      <c r="A10" s="4">
        <v>5800961074</v>
      </c>
      <c r="B10" s="4" t="e">
        <f>_xlfn.XLOOKUP(Table2[[#This Row],[Ativo]],Joao!B:B,Joao!Z:Z)</f>
        <v>#N/A</v>
      </c>
      <c r="C10" s="5" t="str">
        <f>MID(Table2[[#This Row],[Ativo]],1,2)</f>
        <v>58</v>
      </c>
      <c r="D10" s="5" t="s">
        <v>75</v>
      </c>
      <c r="E10" s="5" t="s">
        <v>75</v>
      </c>
      <c r="F10" s="5" t="s">
        <v>76</v>
      </c>
      <c r="G10" s="4" t="str">
        <f>IFERROR(_xlfn.XLOOKUP(Table2[[#This Row],[Ativo]],Pendentes[COD_RELIGADOR],Pendentes[SS_ORIGINAL]),"CONCLUÍDA")</f>
        <v>ETO-COEP 00221/2025</v>
      </c>
      <c r="H10" s="4" t="s">
        <v>692</v>
      </c>
      <c r="I10" s="50" t="s">
        <v>693</v>
      </c>
      <c r="J10" s="50"/>
      <c r="K10" s="4" t="s">
        <v>694</v>
      </c>
      <c r="L10" s="29" t="s">
        <v>521</v>
      </c>
      <c r="M10" s="31">
        <v>3</v>
      </c>
      <c r="N10" t="str">
        <f>IFERROR(_xlfn.XLOOKUP(Table2[[#This Row],[Ativo]],Pendentes[COD_RELIGADOR],Pendentes[DESCRICAO]),"")</f>
        <v>PARECER COEP: EQUIPAMENTO SELECIONADO PARA COMPRASubstituir as 3 células- Melhoria na malha de aterramento - Melhoria no circuito de aterramento qua aterra as células.- Substituir conectores paralelos</v>
      </c>
      <c r="O10" s="5">
        <v>20</v>
      </c>
      <c r="P10" s="5">
        <v>0</v>
      </c>
      <c r="Q10" s="5">
        <v>0</v>
      </c>
      <c r="R10" s="5">
        <v>20</v>
      </c>
      <c r="S10" s="5">
        <v>0</v>
      </c>
      <c r="T10" s="5" t="s">
        <v>45</v>
      </c>
      <c r="U10" s="5" t="s">
        <v>45</v>
      </c>
      <c r="V10" s="5" t="s">
        <v>45</v>
      </c>
      <c r="W10" s="5">
        <f>SUM(Table2[[#This Row],[Premissa 1]:[Premissa 8]])</f>
        <v>40</v>
      </c>
      <c r="X10" s="5" t="s">
        <v>14</v>
      </c>
      <c r="Y10" t="s">
        <v>255</v>
      </c>
    </row>
    <row r="11" spans="1:28" ht="15" customHeight="1">
      <c r="A11" s="4">
        <v>5801866013</v>
      </c>
      <c r="B11" s="4" t="str">
        <f>_xlfn.XLOOKUP(Table2[[#This Row],[Ativo]],Joao!B:B,Joao!Z:Z)</f>
        <v>Aguardando previsão de substituição</v>
      </c>
      <c r="C11" s="5" t="str">
        <f>MID(Table2[[#This Row],[Ativo]],1,2)</f>
        <v>58</v>
      </c>
      <c r="D11" s="5" t="s">
        <v>97</v>
      </c>
      <c r="E11" s="5" t="s">
        <v>97</v>
      </c>
      <c r="F11" s="5" t="s">
        <v>42</v>
      </c>
      <c r="G11" s="4" t="str">
        <f>IFERROR(_xlfn.XLOOKUP(Table2[[#This Row],[Ativo]],Pendentes[COD_RELIGADOR],Pendentes[SS_ORIGINAL]),"CONCLUÍDA")</f>
        <v>ETO-PROT 00151/2026</v>
      </c>
      <c r="H11" s="4" t="s">
        <v>471</v>
      </c>
      <c r="I11" s="38"/>
      <c r="J11" s="38"/>
      <c r="K11" s="4" t="s">
        <v>443</v>
      </c>
      <c r="L11" s="29" t="s">
        <v>444</v>
      </c>
      <c r="M11" s="31">
        <v>1</v>
      </c>
      <c r="N11" t="str">
        <f>IFERROR(_xlfn.XLOOKUP(Table2[[#This Row],[Ativo]],Pendentes[COD_RELIGADOR],Pendentes[DESCRICAO]),"")</f>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v>
      </c>
      <c r="O11" s="5">
        <v>0</v>
      </c>
      <c r="P11" s="5">
        <v>20</v>
      </c>
      <c r="Q11" s="5">
        <v>20</v>
      </c>
      <c r="R11" s="5">
        <v>20</v>
      </c>
      <c r="S11" s="5">
        <v>10</v>
      </c>
      <c r="T11" s="5" t="s">
        <v>45</v>
      </c>
      <c r="U11" s="5" t="s">
        <v>45</v>
      </c>
      <c r="V11" s="5" t="s">
        <v>45</v>
      </c>
      <c r="W11" s="5">
        <f>SUM(Table2[[#This Row],[Premissa 1]:[Premissa 8]])</f>
        <v>70</v>
      </c>
      <c r="X11" s="5" t="s">
        <v>13</v>
      </c>
      <c r="Y11" t="s">
        <v>184</v>
      </c>
    </row>
    <row r="12" spans="1:28" ht="15" customHeight="1">
      <c r="A12" s="4">
        <v>5803327001</v>
      </c>
      <c r="B12" s="4" t="e">
        <f>_xlfn.XLOOKUP(Table2[[#This Row],[Ativo]],Joao!B:B,Joao!Z:Z)</f>
        <v>#N/A</v>
      </c>
      <c r="C12" s="5" t="str">
        <f>MID(Table2[[#This Row],[Ativo]],1,2)</f>
        <v>58</v>
      </c>
      <c r="D12" s="5" t="s">
        <v>41</v>
      </c>
      <c r="E12" s="5" t="s">
        <v>41</v>
      </c>
      <c r="F12" s="5" t="s">
        <v>42</v>
      </c>
      <c r="G12" s="4" t="str">
        <f>IFERROR(_xlfn.XLOOKUP(Table2[[#This Row],[Ativo]],Pendentes[COD_RELIGADOR],Pendentes[SS_ORIGINAL]),"CONCLUÍDA")</f>
        <v>ETO-COEP 00149/2026</v>
      </c>
      <c r="H12" s="11" t="s">
        <v>467</v>
      </c>
      <c r="I12" s="4" t="s">
        <v>695</v>
      </c>
      <c r="K12" s="4" t="s">
        <v>443</v>
      </c>
      <c r="L12" s="29" t="s">
        <v>487</v>
      </c>
      <c r="M12" s="31">
        <v>1</v>
      </c>
      <c r="N12" t="str">
        <f>IFERROR(_xlfn.XLOOKUP(Table2[[#This Row],[Ativo]],Pendentes[COD_RELIGADOR],Pendentes[DESCRICAO]),"")</f>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v>
      </c>
      <c r="O12" s="5">
        <v>40</v>
      </c>
      <c r="P12" s="5">
        <v>0</v>
      </c>
      <c r="Q12" s="5">
        <v>0</v>
      </c>
      <c r="R12" s="5">
        <v>20</v>
      </c>
      <c r="S12" s="5">
        <v>20</v>
      </c>
      <c r="T12" s="5" t="s">
        <v>45</v>
      </c>
      <c r="U12" s="5" t="s">
        <v>45</v>
      </c>
      <c r="V12" s="5" t="s">
        <v>45</v>
      </c>
      <c r="W12" s="5">
        <f>SUM(Table2[[#This Row],[Premissa 1]:[Premissa 8]])</f>
        <v>80</v>
      </c>
      <c r="X12" s="5" t="s">
        <v>13</v>
      </c>
      <c r="Y12" t="s">
        <v>151</v>
      </c>
    </row>
    <row r="13" spans="1:28" ht="15" customHeight="1">
      <c r="A13" s="39">
        <v>5820790038</v>
      </c>
      <c r="B13" s="39" t="e">
        <f>_xlfn.XLOOKUP(Table2[[#This Row],[Ativo]],Joao!B:B,Joao!Z:Z)</f>
        <v>#N/A</v>
      </c>
      <c r="C13" s="5" t="str">
        <f>MID(Table2[[#This Row],[Ativo]],1,2)</f>
        <v>58</v>
      </c>
      <c r="D13" s="5" t="s">
        <v>564</v>
      </c>
      <c r="E13" s="5" t="s">
        <v>75</v>
      </c>
      <c r="F13" s="5" t="s">
        <v>76</v>
      </c>
      <c r="G13" s="4" t="str">
        <f>IFERROR(_xlfn.XLOOKUP(Table2[[#This Row],[Ativo]],Pendentes[COD_RELIGADOR],Pendentes[SS_ORIGINAL]),"CONCLUÍDA")</f>
        <v>CONCLUÍDA</v>
      </c>
      <c r="H13" s="4" t="s">
        <v>683</v>
      </c>
      <c r="L13" s="29"/>
      <c r="M13" s="31"/>
      <c r="N13" t="str">
        <f>IFERROR(_xlfn.XLOOKUP(Table2[[#This Row],[Ativo]],Pendentes[COD_RELIGADOR],Pendentes[DESCRICAO]),"")</f>
        <v/>
      </c>
      <c r="O13" s="5" t="s">
        <v>696</v>
      </c>
      <c r="P13" s="5"/>
      <c r="Q13" s="5"/>
      <c r="R13" s="5"/>
      <c r="S13" s="5"/>
      <c r="T13" s="5"/>
      <c r="U13" s="5"/>
      <c r="V13" s="5"/>
      <c r="W13" s="5">
        <f>SUM(Table2[[#This Row],[Premissa 1]:[Premissa 8]])</f>
        <v>0</v>
      </c>
      <c r="X13" s="5"/>
    </row>
    <row r="14" spans="1:28" ht="15" customHeight="1">
      <c r="A14" s="4">
        <v>5827102054</v>
      </c>
      <c r="B14" s="4" t="str">
        <f>_xlfn.XLOOKUP(Table2[[#This Row],[Ativo]],Joao!B:B,Joao!Z:Z)</f>
        <v>Cancelar a obra tentar vedação do equipamento Melhoria de aterramento</v>
      </c>
      <c r="C14" s="5" t="str">
        <f>MID(Table2[[#This Row],[Ativo]],1,2)</f>
        <v>58</v>
      </c>
      <c r="D14" s="5" t="s">
        <v>243</v>
      </c>
      <c r="E14" s="5" t="s">
        <v>97</v>
      </c>
      <c r="F14" s="5" t="s">
        <v>42</v>
      </c>
      <c r="G14" s="4" t="str">
        <f>IFERROR(_xlfn.XLOOKUP(Table2[[#This Row],[Ativo]],Pendentes[COD_RELIGADOR],Pendentes[SS_ORIGINAL]),"CONCLUÍDA")</f>
        <v>ETO-RD-PS 00289/2026</v>
      </c>
      <c r="H14" s="11" t="s">
        <v>482</v>
      </c>
      <c r="I14" s="9" t="s">
        <v>697</v>
      </c>
      <c r="J14" s="9"/>
      <c r="L14" s="29" t="s">
        <v>497</v>
      </c>
      <c r="M14" s="31">
        <v>1</v>
      </c>
      <c r="N14" t="str">
        <f>IFERROR(_xlfn.XLOOKUP(Table2[[#This Row],[Ativo]],Pendentes[COD_RELIGADOR],Pendentes[DESCRICAO]),"")</f>
        <v>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v>
      </c>
      <c r="O14" s="5">
        <v>0</v>
      </c>
      <c r="P14" s="5">
        <v>20</v>
      </c>
      <c r="Q14" s="5">
        <v>20</v>
      </c>
      <c r="R14" s="5">
        <v>10</v>
      </c>
      <c r="S14" s="5">
        <v>0</v>
      </c>
      <c r="T14" s="5" t="s">
        <v>45</v>
      </c>
      <c r="U14" s="5" t="s">
        <v>45</v>
      </c>
      <c r="V14" s="5" t="s">
        <v>45</v>
      </c>
      <c r="W14" s="5">
        <f>SUM(Table2[[#This Row],[Premissa 1]:[Premissa 8]])</f>
        <v>50</v>
      </c>
      <c r="X14" s="5" t="s">
        <v>14</v>
      </c>
      <c r="Y14" t="s">
        <v>246</v>
      </c>
    </row>
    <row r="15" spans="1:28" ht="15" customHeight="1">
      <c r="A15" s="4">
        <v>5836764032</v>
      </c>
      <c r="B15" s="4" t="e">
        <f>_xlfn.XLOOKUP(Table2[[#This Row],[Ativo]],Joao!B:B,Joao!Z:Z)</f>
        <v>#N/A</v>
      </c>
      <c r="C15" s="5" t="str">
        <f>MID(Table2[[#This Row],[Ativo]],1,2)</f>
        <v>58</v>
      </c>
      <c r="D15" s="5" t="s">
        <v>448</v>
      </c>
      <c r="E15" s="5" t="s">
        <v>449</v>
      </c>
      <c r="F15" s="5" t="s">
        <v>76</v>
      </c>
      <c r="G15" s="4" t="str">
        <f>IFERROR(_xlfn.XLOOKUP(Table2[[#This Row],[Ativo]],Pendentes[COD_RELIGADOR],Pendentes[SS_ORIGINAL]),"CONCLUÍDA")</f>
        <v>CONCLUÍDA</v>
      </c>
      <c r="H15" s="4" t="s">
        <v>683</v>
      </c>
      <c r="K15" s="4" t="s">
        <v>438</v>
      </c>
      <c r="L15" s="29"/>
      <c r="M15" s="31"/>
      <c r="N15" t="str">
        <f>IFERROR(_xlfn.XLOOKUP(Table2[[#This Row],[Ativo]],Pendentes[COD_RELIGADOR],Pendentes[DESCRICAO]),"")</f>
        <v/>
      </c>
      <c r="O15" s="5">
        <v>40</v>
      </c>
      <c r="P15" s="5">
        <v>20</v>
      </c>
      <c r="Q15" s="5">
        <v>20</v>
      </c>
      <c r="R15" s="5">
        <v>10</v>
      </c>
      <c r="S15" s="5">
        <v>20</v>
      </c>
      <c r="T15" s="5" t="s">
        <v>45</v>
      </c>
      <c r="U15" s="5" t="s">
        <v>45</v>
      </c>
      <c r="V15" s="5" t="s">
        <v>45</v>
      </c>
      <c r="W15" s="5">
        <f>SUM(Table2[[#This Row],[Premissa 1]:[Premissa 8]])</f>
        <v>110</v>
      </c>
      <c r="X15" s="5" t="s">
        <v>9</v>
      </c>
      <c r="Y15" t="s">
        <v>450</v>
      </c>
    </row>
    <row r="16" spans="1:28" ht="15" customHeight="1">
      <c r="A16" s="12">
        <v>5836786094</v>
      </c>
      <c r="B16" s="12" t="str">
        <f>_xlfn.XLOOKUP(Table2[[#This Row],[Ativo]],Joao!B:B,Joao!Z:Z)</f>
        <v>Aguardando criação da Obra</v>
      </c>
      <c r="C16" s="5" t="str">
        <f>MID(Table2[[#This Row],[Ativo]],1,2)</f>
        <v>58</v>
      </c>
      <c r="D16" s="5" t="s">
        <v>177</v>
      </c>
      <c r="E16" s="5" t="s">
        <v>177</v>
      </c>
      <c r="F16" s="5" t="s">
        <v>76</v>
      </c>
      <c r="G16" s="4" t="str">
        <f>IFERROR(_xlfn.XLOOKUP(Table2[[#This Row],[Ativo]],Pendentes[COD_RELIGADOR],Pendentes[SS_ORIGINAL]),"CONCLUÍDA")</f>
        <v>ETO-COEP 00095/2026</v>
      </c>
      <c r="H16" s="4" t="s">
        <v>467</v>
      </c>
      <c r="I16" s="4" t="s">
        <v>575</v>
      </c>
      <c r="K16" s="4" t="s">
        <v>443</v>
      </c>
      <c r="L16" s="29" t="s">
        <v>444</v>
      </c>
      <c r="M16" s="31">
        <v>1</v>
      </c>
      <c r="N16" t="str">
        <f>IFERROR(_xlfn.XLOOKUP(Table2[[#This Row],[Ativo]],Pendentes[COD_RELIGADOR],Pendentes[DESCRICAO]),"")</f>
        <v>24/07 PARECER COEP:EQUIPAMENTO EM LOGISTICA DE ENTREGA Favor levar outro regulador de tensão, pois o mesmo foi furtado em campo.</v>
      </c>
      <c r="O16" s="5">
        <v>0</v>
      </c>
      <c r="P16" s="5">
        <v>0</v>
      </c>
      <c r="Q16" s="5">
        <v>0</v>
      </c>
      <c r="R16" s="5">
        <v>10</v>
      </c>
      <c r="S16" s="5">
        <v>10</v>
      </c>
      <c r="T16" s="5" t="s">
        <v>45</v>
      </c>
      <c r="U16" s="5" t="s">
        <v>45</v>
      </c>
      <c r="V16" s="5" t="s">
        <v>45</v>
      </c>
      <c r="W16" s="5">
        <f>SUM(Table2[[#This Row],[Premissa 1]:[Premissa 8]])</f>
        <v>20</v>
      </c>
      <c r="X16" s="5" t="s">
        <v>15</v>
      </c>
      <c r="Y16" t="s">
        <v>346</v>
      </c>
    </row>
    <row r="17" spans="1:25" ht="15" customHeight="1">
      <c r="A17" s="4">
        <v>5839141113</v>
      </c>
      <c r="B17" s="4" t="e">
        <f>_xlfn.XLOOKUP(Table2[[#This Row],[Ativo]],Joao!B:B,Joao!Z:Z)</f>
        <v>#N/A</v>
      </c>
      <c r="C17" s="5" t="str">
        <f>MID(Table2[[#This Row],[Ativo]],1,2)</f>
        <v>58</v>
      </c>
      <c r="G17" s="4" t="str">
        <f>IFERROR(_xlfn.XLOOKUP(Table2[[#This Row],[Ativo]],Pendentes[COD_RELIGADOR],Pendentes[SS_ORIGINAL]),"CONCLUÍDA")</f>
        <v>ETO-TELE 00985/2026</v>
      </c>
      <c r="H17" s="4" t="s">
        <v>495</v>
      </c>
      <c r="L17" s="29"/>
      <c r="M17" s="31"/>
      <c r="N17" t="str">
        <f>IFERROR(_xlfn.XLOOKUP(Table2[[#This Row],[Ativo]],Pendentes[COD_RELIGADOR],Pendentes[DESCRICAO]),"")</f>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v>
      </c>
      <c r="O17" s="5"/>
      <c r="P17" s="5"/>
      <c r="Q17" s="5"/>
      <c r="R17" s="5"/>
      <c r="S17" s="5"/>
      <c r="T17" s="5"/>
      <c r="U17" s="5"/>
      <c r="V17" s="5"/>
      <c r="W17" s="5">
        <f>SUM(Table2[[#This Row],[Premissa 1]:[Premissa 8]])</f>
        <v>0</v>
      </c>
      <c r="X17" s="5"/>
    </row>
    <row r="18" spans="1:25" ht="15" customHeight="1">
      <c r="A18" s="4">
        <v>5840227063</v>
      </c>
      <c r="B18" s="4" t="e">
        <f>_xlfn.XLOOKUP(Table2[[#This Row],[Ativo]],Joao!B:B,Joao!Z:Z)</f>
        <v>#N/A</v>
      </c>
      <c r="C18" s="5" t="str">
        <f>MID(Table2[[#This Row],[Ativo]],1,2)</f>
        <v>58</v>
      </c>
      <c r="D18" s="5" t="s">
        <v>204</v>
      </c>
      <c r="E18" s="5" t="s">
        <v>154</v>
      </c>
      <c r="F18" s="5" t="s">
        <v>51</v>
      </c>
      <c r="G18" s="4" t="str">
        <f>IFERROR(_xlfn.XLOOKUP(Table2[[#This Row],[Ativo]],Pendentes[COD_RELIGADOR],Pendentes[SS_ORIGINAL]),"CONCLUÍDA")</f>
        <v>ETO-COEP 00151/2026</v>
      </c>
      <c r="H18" s="4" t="s">
        <v>451</v>
      </c>
      <c r="K18" s="4" t="s">
        <v>694</v>
      </c>
      <c r="L18" s="29" t="s">
        <v>444</v>
      </c>
      <c r="M18" s="31">
        <v>1</v>
      </c>
      <c r="N18" t="str">
        <f>IFERROR(_xlfn.XLOOKUP(Table2[[#This Row],[Ativo]],Pendentes[COD_RELIGADOR],Pendentes[DESCRICAO]),"")</f>
        <v>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v>
      </c>
      <c r="O18" s="5">
        <v>0</v>
      </c>
      <c r="P18" s="5">
        <v>20</v>
      </c>
      <c r="Q18" s="5">
        <v>20</v>
      </c>
      <c r="R18" s="5">
        <v>10</v>
      </c>
      <c r="S18" s="5">
        <v>10</v>
      </c>
      <c r="T18" s="5" t="s">
        <v>45</v>
      </c>
      <c r="U18" s="5" t="s">
        <v>45</v>
      </c>
      <c r="V18" s="5" t="s">
        <v>45</v>
      </c>
      <c r="W18" s="5">
        <f>SUM(Table2[[#This Row],[Premissa 1]:[Premissa 8]])</f>
        <v>60</v>
      </c>
      <c r="X18" s="5" t="s">
        <v>14</v>
      </c>
      <c r="Y18" t="s">
        <v>207</v>
      </c>
    </row>
    <row r="19" spans="1:25" ht="15" customHeight="1">
      <c r="A19" s="4">
        <v>5841308190</v>
      </c>
      <c r="B19" s="4" t="e">
        <f>_xlfn.XLOOKUP(Table2[[#This Row],[Ativo]],Joao!B:B,Joao!Z:Z)</f>
        <v>#N/A</v>
      </c>
      <c r="C19" s="5" t="str">
        <f>MID(Table2[[#This Row],[Ativo]],1,2)</f>
        <v>58</v>
      </c>
      <c r="D19" s="5" t="s">
        <v>530</v>
      </c>
      <c r="E19" s="5" t="s">
        <v>75</v>
      </c>
      <c r="F19" s="5" t="s">
        <v>76</v>
      </c>
      <c r="G19" s="4" t="str">
        <f>IFERROR(_xlfn.XLOOKUP(Table2[[#This Row],[Ativo]],Pendentes[COD_RELIGADOR],Pendentes[SS_ORIGINAL]),"CONCLUÍDA")</f>
        <v>CONCLUÍDA</v>
      </c>
      <c r="H19" s="4" t="s">
        <v>698</v>
      </c>
      <c r="I19" s="4" t="s">
        <v>699</v>
      </c>
      <c r="K19" s="4" t="s">
        <v>531</v>
      </c>
      <c r="L19" s="29" t="s">
        <v>45</v>
      </c>
      <c r="M19" s="31"/>
      <c r="N19" t="str">
        <f>IFERROR(_xlfn.XLOOKUP(Table2[[#This Row],[Ativo]],Pendentes[COD_RELIGADOR],Pendentes[DESCRICAO]),"")</f>
        <v/>
      </c>
      <c r="O19" s="5">
        <v>0</v>
      </c>
      <c r="P19" s="5">
        <v>20</v>
      </c>
      <c r="Q19" s="5">
        <v>0</v>
      </c>
      <c r="R19" s="5">
        <v>10</v>
      </c>
      <c r="S19" s="5">
        <v>0</v>
      </c>
      <c r="T19" s="5" t="s">
        <v>45</v>
      </c>
      <c r="U19" s="5" t="s">
        <v>45</v>
      </c>
      <c r="V19" s="5" t="s">
        <v>45</v>
      </c>
      <c r="W19" s="5">
        <f>SUM(Table2[[#This Row],[Premissa 1]:[Premissa 8]])</f>
        <v>30</v>
      </c>
      <c r="X19" s="5" t="s">
        <v>15</v>
      </c>
      <c r="Y19" t="s">
        <v>532</v>
      </c>
    </row>
    <row r="20" spans="1:25" ht="15" customHeight="1">
      <c r="A20" s="12">
        <v>5844630060</v>
      </c>
      <c r="B20" s="12" t="str">
        <f>_xlfn.XLOOKUP(Table2[[#This Row],[Ativo]],Joao!B:B,Joao!Z:Z)</f>
        <v>Entrega 16/07</v>
      </c>
      <c r="C20" s="5" t="str">
        <f>MID(Table2[[#This Row],[Ativo]],1,2)</f>
        <v>58</v>
      </c>
      <c r="D20" s="5" t="s">
        <v>533</v>
      </c>
      <c r="E20" s="5" t="s">
        <v>154</v>
      </c>
      <c r="F20" s="5" t="s">
        <v>51</v>
      </c>
      <c r="G20" s="4" t="str">
        <f>IFERROR(_xlfn.XLOOKUP(Table2[[#This Row],[Ativo]],Pendentes[COD_RELIGADOR],Pendentes[SS_ORIGINAL]),"CONCLUÍDA")</f>
        <v>CONCLUÍDA</v>
      </c>
      <c r="H20" s="4" t="s">
        <v>700</v>
      </c>
      <c r="I20" s="4" t="s">
        <v>701</v>
      </c>
      <c r="K20" s="4" t="s">
        <v>443</v>
      </c>
      <c r="L20" s="29" t="s">
        <v>444</v>
      </c>
      <c r="M20" s="31">
        <v>1</v>
      </c>
      <c r="N20" t="str">
        <f>IFERROR(_xlfn.XLOOKUP(Table2[[#This Row],[Ativo]],Pendentes[COD_RELIGADOR],Pendentes[DESCRICAO]),"")</f>
        <v/>
      </c>
      <c r="O20" s="5">
        <v>20</v>
      </c>
      <c r="P20" s="5">
        <v>0</v>
      </c>
      <c r="Q20" s="5">
        <v>0</v>
      </c>
      <c r="R20" s="5">
        <v>10</v>
      </c>
      <c r="S20" s="5">
        <v>0</v>
      </c>
      <c r="T20" s="5" t="s">
        <v>45</v>
      </c>
      <c r="U20" s="5" t="s">
        <v>45</v>
      </c>
      <c r="V20" s="5" t="s">
        <v>45</v>
      </c>
      <c r="W20" s="5">
        <f>SUM(Table2[[#This Row],[Premissa 1]:[Premissa 8]])</f>
        <v>30</v>
      </c>
      <c r="X20" s="5" t="s">
        <v>15</v>
      </c>
      <c r="Y20" t="s">
        <v>535</v>
      </c>
    </row>
    <row r="21" spans="1:25" ht="15" customHeight="1">
      <c r="A21" s="4">
        <v>5846328094</v>
      </c>
      <c r="B21" s="4" t="e">
        <f>_xlfn.XLOOKUP(Table2[[#This Row],[Ativo]],Joao!B:B,Joao!Z:Z)</f>
        <v>#N/A</v>
      </c>
      <c r="C21" s="5" t="str">
        <f>MID(Table2[[#This Row],[Ativo]],1,2)</f>
        <v>58</v>
      </c>
      <c r="D21" s="5" t="s">
        <v>177</v>
      </c>
      <c r="E21" s="5" t="s">
        <v>177</v>
      </c>
      <c r="F21" s="5" t="s">
        <v>76</v>
      </c>
      <c r="G21" s="4" t="str">
        <f>IFERROR(_xlfn.XLOOKUP(Table2[[#This Row],[Ativo]],Pendentes[COD_RELIGADOR],Pendentes[SS_ORIGINAL]),"CONCLUÍDA")</f>
        <v>ETO-TELE 00986/2026</v>
      </c>
      <c r="H21" s="4" t="s">
        <v>482</v>
      </c>
      <c r="K21" s="4" t="s">
        <v>443</v>
      </c>
      <c r="L21" s="29" t="s">
        <v>497</v>
      </c>
      <c r="M21" s="31">
        <v>1</v>
      </c>
      <c r="N21" t="str">
        <f>IFERROR(_xlfn.XLOOKUP(Table2[[#This Row],[Ativo]],Pendentes[COD_RELIGADOR],Pendentes[DESCRICAO]),"")</f>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v>
      </c>
      <c r="O21" s="5">
        <v>0</v>
      </c>
      <c r="P21" s="5">
        <v>20</v>
      </c>
      <c r="Q21" s="5">
        <v>20</v>
      </c>
      <c r="R21" s="5">
        <v>10</v>
      </c>
      <c r="S21" s="5">
        <v>10</v>
      </c>
      <c r="T21" s="5" t="s">
        <v>45</v>
      </c>
      <c r="U21" s="5" t="s">
        <v>45</v>
      </c>
      <c r="V21" s="5" t="s">
        <v>45</v>
      </c>
      <c r="W21" s="5">
        <f>SUM(Table2[[#This Row],[Premissa 1]:[Premissa 8]])</f>
        <v>60</v>
      </c>
      <c r="X21" s="5" t="s">
        <v>14</v>
      </c>
      <c r="Y21" t="s">
        <v>217</v>
      </c>
    </row>
    <row r="22" spans="1:25" ht="15" customHeight="1">
      <c r="A22" s="4">
        <v>5848305116</v>
      </c>
      <c r="B22" s="4" t="e">
        <f>_xlfn.XLOOKUP(Table2[[#This Row],[Ativo]],Joao!B:B,Joao!Z:Z)</f>
        <v>#N/A</v>
      </c>
      <c r="C22" s="5" t="str">
        <f>MID(Table2[[#This Row],[Ativo]],1,2)</f>
        <v>58</v>
      </c>
      <c r="G22" s="4" t="str">
        <f>IFERROR(_xlfn.XLOOKUP(Table2[[#This Row],[Ativo]],Pendentes[COD_RELIGADOR],Pendentes[SS_ORIGINAL]),"CONCLUÍDA")</f>
        <v>ETO-TELE 01005/2026</v>
      </c>
      <c r="H22" s="4" t="s">
        <v>495</v>
      </c>
      <c r="L22" s="29"/>
      <c r="M22" s="31"/>
      <c r="N22" t="str">
        <f>IFERROR(_xlfn.XLOOKUP(Table2[[#This Row],[Ativo]],Pendentes[COD_RELIGADOR],Pendentes[DESCRICAO]),"")</f>
        <v>Segue nota para verificar falha e constantes travamento no regulador de tensão 5848305116 - chapada da Natividade .Foi identificado que regulador está com divergência em TAP"S analógico e digital .Foi executado comandos no relé para comutar TAP na fase AB foi executado no relé , porém não alterou analógico e nem fez barulho algum , a princípio a fase C está normal .</v>
      </c>
      <c r="O22" s="5"/>
      <c r="P22" s="5"/>
      <c r="Q22" s="5"/>
      <c r="R22" s="5"/>
      <c r="S22" s="5"/>
      <c r="T22" s="5"/>
      <c r="U22" s="5"/>
      <c r="V22" s="5"/>
      <c r="W22" s="5">
        <f>SUM(Table2[[#This Row],[Premissa 1]:[Premissa 8]])</f>
        <v>0</v>
      </c>
      <c r="X22" s="5"/>
    </row>
    <row r="23" spans="1:25" ht="15" customHeight="1">
      <c r="A23" s="4">
        <v>5850308009</v>
      </c>
      <c r="B23" s="4" t="str">
        <f>_xlfn.XLOOKUP(Table2[[#This Row],[Ativo]],Joao!B:B,Joao!Z:Z)</f>
        <v>Equipamento em operação em campo de acordo com a visita do Luanderson tem fotos
Equipamento já em operação , realocar controle de Regulador para Arapoema 5800371025</v>
      </c>
      <c r="C23" s="5" t="str">
        <f>MID(Table2[[#This Row],[Ativo]],1,2)</f>
        <v>58</v>
      </c>
      <c r="D23" s="5" t="s">
        <v>50</v>
      </c>
      <c r="E23" s="5" t="s">
        <v>50</v>
      </c>
      <c r="F23" s="5" t="s">
        <v>51</v>
      </c>
      <c r="G23" s="4" t="str">
        <f>IFERROR(_xlfn.XLOOKUP(Table2[[#This Row],[Ativo]],Pendentes[COD_RELIGADOR],Pendentes[SS_ORIGINAL]),"CONCLUÍDA")</f>
        <v>CONCLUÍDA</v>
      </c>
      <c r="H23" s="11" t="s">
        <v>683</v>
      </c>
      <c r="I23" s="9"/>
      <c r="J23" s="9"/>
      <c r="K23" s="4" t="s">
        <v>438</v>
      </c>
      <c r="L23" s="29"/>
      <c r="M23" s="31"/>
      <c r="N23" t="str">
        <f>IFERROR(_xlfn.XLOOKUP(Table2[[#This Row],[Ativo]],Pendentes[COD_RELIGADOR],Pendentes[DESCRICAO]),"")</f>
        <v/>
      </c>
      <c r="O23" s="5">
        <v>0</v>
      </c>
      <c r="P23" s="5">
        <v>20</v>
      </c>
      <c r="Q23" s="5">
        <v>20</v>
      </c>
      <c r="R23" s="5">
        <v>0</v>
      </c>
      <c r="S23" s="5">
        <v>10</v>
      </c>
      <c r="T23" s="5" t="s">
        <v>45</v>
      </c>
      <c r="U23" s="5" t="s">
        <v>45</v>
      </c>
      <c r="V23" s="5" t="s">
        <v>45</v>
      </c>
      <c r="W23" s="5">
        <f>SUM(Table2[[#This Row],[Premissa 1]:[Premissa 8]])</f>
        <v>50</v>
      </c>
      <c r="X23" s="5" t="s">
        <v>14</v>
      </c>
      <c r="Y23" t="s">
        <v>517</v>
      </c>
    </row>
    <row r="24" spans="1:25" ht="15" customHeight="1">
      <c r="A24" s="4">
        <v>5851753086</v>
      </c>
      <c r="B24" s="4" t="e">
        <f>_xlfn.XLOOKUP(Table2[[#This Row],[Ativo]],Joao!B:B,Joao!Z:Z)</f>
        <v>#N/A</v>
      </c>
      <c r="C24" s="5" t="str">
        <f>MID(Table2[[#This Row],[Ativo]],1,2)</f>
        <v>58</v>
      </c>
      <c r="D24" s="5" t="s">
        <v>209</v>
      </c>
      <c r="E24" s="5" t="s">
        <v>210</v>
      </c>
      <c r="F24" s="5" t="s">
        <v>42</v>
      </c>
      <c r="G24" s="4" t="str">
        <f>IFERROR(_xlfn.XLOOKUP(Table2[[#This Row],[Ativo]],Pendentes[COD_RELIGADOR],Pendentes[SS_ORIGINAL]),"CONCLUÍDA")</f>
        <v>ETO-TELE 00881/2026</v>
      </c>
      <c r="H24" s="4" t="s">
        <v>482</v>
      </c>
      <c r="K24" s="4" t="s">
        <v>443</v>
      </c>
      <c r="L24" s="29" t="s">
        <v>497</v>
      </c>
      <c r="M24" s="31">
        <v>1</v>
      </c>
      <c r="N24" t="str">
        <f>IFERROR(_xlfn.XLOOKUP(Table2[[#This Row],[Ativo]],Pendentes[COD_RELIGADOR],Pendentes[DESCRICAO]),"")</f>
        <v>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v>
      </c>
      <c r="O24" s="5">
        <v>0</v>
      </c>
      <c r="P24" s="5">
        <v>20</v>
      </c>
      <c r="Q24" s="5">
        <v>20</v>
      </c>
      <c r="R24" s="5">
        <v>10</v>
      </c>
      <c r="S24" s="5">
        <v>10</v>
      </c>
      <c r="T24" s="5" t="s">
        <v>45</v>
      </c>
      <c r="U24" s="5" t="s">
        <v>45</v>
      </c>
      <c r="V24" s="5" t="s">
        <v>45</v>
      </c>
      <c r="W24" s="5">
        <f>SUM(Table2[[#This Row],[Premissa 1]:[Premissa 8]])</f>
        <v>60</v>
      </c>
      <c r="X24" s="5" t="s">
        <v>14</v>
      </c>
      <c r="Y24" t="s">
        <v>213</v>
      </c>
    </row>
    <row r="25" spans="1:25" ht="15" customHeight="1">
      <c r="A25" s="12">
        <v>5853360007</v>
      </c>
      <c r="B25" s="12" t="str">
        <f>_xlfn.XLOOKUP(Table2[[#This Row],[Ativo]],Joao!B:B,Joao!Z:Z)</f>
        <v>Melhoria de aterramento</v>
      </c>
      <c r="C25" s="5" t="str">
        <f>MID(Table2[[#This Row],[Ativo]],1,2)</f>
        <v>58</v>
      </c>
      <c r="D25" s="5" t="s">
        <v>186</v>
      </c>
      <c r="E25" s="5" t="s">
        <v>186</v>
      </c>
      <c r="F25" s="5" t="s">
        <v>42</v>
      </c>
      <c r="G25" s="4" t="str">
        <f>IFERROR(_xlfn.XLOOKUP(Table2[[#This Row],[Ativo]],Pendentes[COD_RELIGADOR],Pendentes[SS_ORIGINAL]),"CONCLUÍDA")</f>
        <v>ETO-RD-PS 00323/2025</v>
      </c>
      <c r="H25" s="28" t="s">
        <v>498</v>
      </c>
      <c r="I25" s="4" t="s">
        <v>499</v>
      </c>
      <c r="L25" s="29" t="s">
        <v>497</v>
      </c>
      <c r="M25" s="31">
        <v>1</v>
      </c>
      <c r="N25" t="str">
        <f>IFERROR(_xlfn.XLOOKUP(Table2[[#This Row],[Ativo]],Pendentes[COD_RELIGADOR],Pendentes[DESCRICAO]),"")</f>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v>
      </c>
      <c r="O25" s="5">
        <v>0</v>
      </c>
      <c r="P25" s="5">
        <v>20</v>
      </c>
      <c r="Q25" s="5">
        <v>20</v>
      </c>
      <c r="R25" s="5">
        <v>10</v>
      </c>
      <c r="S25" s="5">
        <v>20</v>
      </c>
      <c r="T25" s="5" t="s">
        <v>45</v>
      </c>
      <c r="U25" s="5" t="s">
        <v>45</v>
      </c>
      <c r="V25" s="5" t="s">
        <v>45</v>
      </c>
      <c r="W25" s="5">
        <f>SUM(Table2[[#This Row],[Premissa 1]:[Premissa 8]])</f>
        <v>70</v>
      </c>
      <c r="X25" s="5" t="s">
        <v>13</v>
      </c>
      <c r="Y25" t="s">
        <v>189</v>
      </c>
    </row>
    <row r="26" spans="1:25" ht="15" customHeight="1">
      <c r="A26" s="12">
        <v>5854566043</v>
      </c>
      <c r="B26" s="12" t="str">
        <f>_xlfn.XLOOKUP(Table2[[#This Row],[Ativo]],Joao!B:B,Joao!Z:Z)</f>
        <v>Aguardando previsão de substituição</v>
      </c>
      <c r="C26" s="5" t="str">
        <f>MID(Table2[[#This Row],[Ativo]],1,2)</f>
        <v>58</v>
      </c>
      <c r="D26" s="5" t="s">
        <v>40</v>
      </c>
      <c r="E26" s="5" t="s">
        <v>41</v>
      </c>
      <c r="F26" s="5" t="s">
        <v>42</v>
      </c>
      <c r="G26" s="4" t="str">
        <f>IFERROR(_xlfn.XLOOKUP(Table2[[#This Row],[Ativo]],Pendentes[COD_RELIGADOR],Pendentes[SS_ORIGINAL]),"CONCLUÍDA")</f>
        <v>ETO-RD-PO 00213/2026</v>
      </c>
      <c r="H26" s="5" t="s">
        <v>702</v>
      </c>
      <c r="J26" s="4" t="s">
        <v>703</v>
      </c>
      <c r="K26" s="4" t="s">
        <v>443</v>
      </c>
      <c r="L26" s="29" t="s">
        <v>444</v>
      </c>
      <c r="M26" s="31">
        <v>1</v>
      </c>
      <c r="N26" t="str">
        <f>IFERROR(_xlfn.XLOOKUP(Table2[[#This Row],[Ativo]],Pendentes[COD_RELIGADOR],Pendentes[DESCRICAO]),"")</f>
        <v>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v>
      </c>
      <c r="O26" s="5">
        <v>40</v>
      </c>
      <c r="P26" s="5">
        <v>20</v>
      </c>
      <c r="Q26" s="5">
        <v>20</v>
      </c>
      <c r="R26" s="5">
        <v>10</v>
      </c>
      <c r="S26" s="5">
        <v>20</v>
      </c>
      <c r="T26" s="5" t="s">
        <v>45</v>
      </c>
      <c r="U26" s="5" t="s">
        <v>45</v>
      </c>
      <c r="V26" s="5" t="s">
        <v>45</v>
      </c>
      <c r="W26" s="5">
        <f>SUM(Table2[[#This Row],[Premissa 1]:[Premissa 8]])</f>
        <v>110</v>
      </c>
      <c r="X26" s="5" t="s">
        <v>9</v>
      </c>
      <c r="Y26" t="s">
        <v>46</v>
      </c>
    </row>
    <row r="27" spans="1:25" ht="15" customHeight="1">
      <c r="A27" s="4">
        <v>5855411017</v>
      </c>
      <c r="B27" s="4" t="str">
        <f>_xlfn.XLOOKUP(Table2[[#This Row],[Ativo]],Joao!B:B,Joao!Z:Z)</f>
        <v>Aguardando previsão de substituição</v>
      </c>
      <c r="C27" s="5" t="str">
        <f>MID(Table2[[#This Row],[Ativo]],1,2)</f>
        <v>58</v>
      </c>
      <c r="D27" s="5" t="s">
        <v>302</v>
      </c>
      <c r="E27" s="5" t="s">
        <v>186</v>
      </c>
      <c r="F27" s="5" t="s">
        <v>42</v>
      </c>
      <c r="G27" s="4" t="str">
        <f>IFERROR(_xlfn.XLOOKUP(Table2[[#This Row],[Ativo]],Pendentes[COD_RELIGADOR],Pendentes[SS_ORIGINAL]),"CONCLUÍDA")</f>
        <v>ETO-COEP 00156/2026</v>
      </c>
      <c r="H27" s="4" t="s">
        <v>451</v>
      </c>
      <c r="K27" s="4" t="s">
        <v>694</v>
      </c>
      <c r="L27" s="29" t="s">
        <v>460</v>
      </c>
      <c r="M27" s="31">
        <v>1</v>
      </c>
      <c r="N27" t="str">
        <f>IFERROR(_xlfn.XLOOKUP(Table2[[#This Row],[Ativo]],Pendentes[COD_RELIGADOR],Pendentes[DESCRICAO]),"")</f>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v>
      </c>
      <c r="O27" s="5">
        <v>0</v>
      </c>
      <c r="P27" s="5">
        <v>0</v>
      </c>
      <c r="Q27" s="5">
        <v>0</v>
      </c>
      <c r="R27" s="5">
        <v>10</v>
      </c>
      <c r="S27" s="5">
        <v>20</v>
      </c>
      <c r="T27" s="5" t="s">
        <v>45</v>
      </c>
      <c r="U27" s="5" t="s">
        <v>45</v>
      </c>
      <c r="V27" s="5" t="s">
        <v>45</v>
      </c>
      <c r="W27" s="5">
        <f>SUM(Table2[[#This Row],[Premissa 1]:[Premissa 8]])</f>
        <v>30</v>
      </c>
      <c r="X27" s="5" t="s">
        <v>15</v>
      </c>
      <c r="Y27" t="s">
        <v>305</v>
      </c>
    </row>
    <row r="28" spans="1:25" ht="15" customHeight="1">
      <c r="A28" s="4">
        <v>5856070091</v>
      </c>
      <c r="B28" s="4" t="str">
        <f>_xlfn.XLOOKUP(Table2[[#This Row],[Ativo]],Joao!B:B,Joao!Z:Z)</f>
        <v>REQUISITAR 03 PEÇAS POIS 02  PÇ FOI RETIRADA PARA INSTALAÇÃO EM OBRA DE CONSTRUÇÃO.</v>
      </c>
      <c r="C28" s="5" t="str">
        <f>MID(Table2[[#This Row],[Ativo]],1,2)</f>
        <v>58</v>
      </c>
      <c r="D28" s="5" t="s">
        <v>74</v>
      </c>
      <c r="E28" s="5" t="s">
        <v>75</v>
      </c>
      <c r="F28" s="5" t="s">
        <v>76</v>
      </c>
      <c r="G28" s="4" t="str">
        <f>IFERROR(_xlfn.XLOOKUP(Table2[[#This Row],[Ativo]],Pendentes[COD_RELIGADOR],Pendentes[SS_ORIGINAL]),"CONCLUÍDA")</f>
        <v>ETO-RD-DP 00479/2026</v>
      </c>
      <c r="H28" s="4" t="s">
        <v>445</v>
      </c>
      <c r="I28" s="4" t="s">
        <v>704</v>
      </c>
      <c r="K28" s="4" t="s">
        <v>443</v>
      </c>
      <c r="L28" s="29" t="s">
        <v>462</v>
      </c>
      <c r="M28" s="31">
        <v>3</v>
      </c>
      <c r="N28" t="str">
        <f>IFERROR(_xlfn.XLOOKUP(Table2[[#This Row],[Ativo]],Pendentes[COD_RELIGADOR],Pendentes[DESCRICAO]),"")</f>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v>
      </c>
      <c r="O28" s="5">
        <v>40</v>
      </c>
      <c r="P28" s="5">
        <v>20</v>
      </c>
      <c r="Q28" s="5">
        <v>20</v>
      </c>
      <c r="R28" s="5">
        <v>20</v>
      </c>
      <c r="S28" s="5">
        <v>0</v>
      </c>
      <c r="T28" s="5" t="s">
        <v>45</v>
      </c>
      <c r="U28" s="5" t="s">
        <v>45</v>
      </c>
      <c r="V28" s="5" t="s">
        <v>45</v>
      </c>
      <c r="W28" s="5">
        <f>SUM(Table2[[#This Row],[Premissa 1]:[Premissa 8]])</f>
        <v>100</v>
      </c>
      <c r="X28" s="5" t="s">
        <v>9</v>
      </c>
      <c r="Y28" t="s">
        <v>79</v>
      </c>
    </row>
    <row r="29" spans="1:25" ht="15" customHeight="1">
      <c r="A29" s="12">
        <v>5856156091</v>
      </c>
      <c r="B29" s="12" t="e">
        <f>_xlfn.XLOOKUP(Table2[[#This Row],[Ativo]],Joao!B:B,Joao!Z:Z)</f>
        <v>#N/A</v>
      </c>
      <c r="C29" s="5" t="str">
        <f>MID(Table2[[#This Row],[Ativo]],1,2)</f>
        <v>58</v>
      </c>
      <c r="D29" s="5" t="s">
        <v>74</v>
      </c>
      <c r="E29" s="5" t="s">
        <v>75</v>
      </c>
      <c r="F29" s="5" t="s">
        <v>76</v>
      </c>
      <c r="G29" s="4" t="str">
        <f>IFERROR(_xlfn.XLOOKUP(Table2[[#This Row],[Ativo]],Pendentes[COD_RELIGADOR],Pendentes[SS_ORIGINAL]),"CONCLUÍDA")</f>
        <v>ETO-RD-DP 00403/2026</v>
      </c>
      <c r="H29" s="5" t="s">
        <v>451</v>
      </c>
      <c r="I29" s="4" t="s">
        <v>705</v>
      </c>
      <c r="K29" s="4" t="s">
        <v>694</v>
      </c>
      <c r="L29" s="29" t="s">
        <v>462</v>
      </c>
      <c r="M29" s="31">
        <v>3</v>
      </c>
      <c r="N29" t="str">
        <f>IFERROR(_xlfn.XLOOKUP(Table2[[#This Row],[Ativo]],Pendentes[COD_RELIGADOR],Pendentes[DESCRICAO]),"")</f>
        <v>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v>
      </c>
      <c r="O29" s="5">
        <v>0</v>
      </c>
      <c r="P29" s="5">
        <v>0</v>
      </c>
      <c r="Q29" s="5">
        <v>0</v>
      </c>
      <c r="R29" s="5">
        <v>0</v>
      </c>
      <c r="S29" s="5">
        <v>0</v>
      </c>
      <c r="T29" s="5" t="s">
        <v>45</v>
      </c>
      <c r="U29" s="5" t="s">
        <v>45</v>
      </c>
      <c r="V29" s="5" t="s">
        <v>45</v>
      </c>
      <c r="W29" s="5">
        <f>SUM(Table2[[#This Row],[Premissa 1]:[Premissa 8]])</f>
        <v>0</v>
      </c>
      <c r="X29" s="5" t="s">
        <v>15</v>
      </c>
      <c r="Y29" t="s">
        <v>359</v>
      </c>
    </row>
    <row r="30" spans="1:25" ht="15" customHeight="1">
      <c r="A30" s="12">
        <v>5858783119</v>
      </c>
      <c r="B30" s="12" t="str">
        <f>_xlfn.XLOOKUP(Table2[[#This Row],[Ativo]],Joao!B:B,Joao!Z:Z)</f>
        <v>Redirecionado para atender 5854566043 e 5862236091</v>
      </c>
      <c r="C30" s="5" t="str">
        <f>MID(Table2[[#This Row],[Ativo]],1,2)</f>
        <v>58</v>
      </c>
      <c r="D30" s="5" t="s">
        <v>361</v>
      </c>
      <c r="E30" s="5" t="s">
        <v>223</v>
      </c>
      <c r="F30" s="5" t="s">
        <v>51</v>
      </c>
      <c r="G30" s="4" t="str">
        <f>IFERROR(_xlfn.XLOOKUP(Table2[[#This Row],[Ativo]],Pendentes[COD_RELIGADOR],Pendentes[SS_ORIGINAL]),"CONCLUÍDA")</f>
        <v>ETO-TELE 01032/2026</v>
      </c>
      <c r="H30" s="4" t="s">
        <v>576</v>
      </c>
      <c r="K30" s="4" t="s">
        <v>694</v>
      </c>
      <c r="L30" s="29"/>
      <c r="M30" s="31"/>
      <c r="N30" t="str">
        <f>IFERROR(_xlfn.XLOOKUP(Table2[[#This Row],[Ativo]],Pendentes[COD_RELIGADOR],Pendentes[DESCRICAO]),"")</f>
        <v>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v>
      </c>
      <c r="O30" s="5">
        <v>0</v>
      </c>
      <c r="P30" s="5">
        <v>0</v>
      </c>
      <c r="Q30" s="5">
        <v>0</v>
      </c>
      <c r="R30" s="5">
        <v>0</v>
      </c>
      <c r="S30" s="5">
        <v>0</v>
      </c>
      <c r="T30" s="5" t="s">
        <v>45</v>
      </c>
      <c r="U30" s="5" t="s">
        <v>45</v>
      </c>
      <c r="V30" s="5" t="s">
        <v>45</v>
      </c>
      <c r="W30" s="5">
        <f>SUM(Table2[[#This Row],[Premissa 1]:[Premissa 8]])</f>
        <v>0</v>
      </c>
      <c r="X30" s="5" t="s">
        <v>15</v>
      </c>
      <c r="Y30" t="s">
        <v>706</v>
      </c>
    </row>
    <row r="31" spans="1:25" ht="15" customHeight="1">
      <c r="A31" s="4">
        <v>5862236091</v>
      </c>
      <c r="B31" s="4" t="e">
        <f>_xlfn.XLOOKUP(Table2[[#This Row],[Ativo]],Joao!B:B,Joao!Z:Z)</f>
        <v>#N/A</v>
      </c>
      <c r="C31" s="5" t="str">
        <f>MID(Table2[[#This Row],[Ativo]],1,2)</f>
        <v>58</v>
      </c>
      <c r="D31" s="5" t="s">
        <v>74</v>
      </c>
      <c r="E31" s="5" t="s">
        <v>75</v>
      </c>
      <c r="F31" s="5" t="s">
        <v>76</v>
      </c>
      <c r="G31" s="4" t="str">
        <f>IFERROR(_xlfn.XLOOKUP(Table2[[#This Row],[Ativo]],Pendentes[COD_RELIGADOR],Pendentes[SS_ORIGINAL]),"CONCLUÍDA")</f>
        <v>ETO-RD-DP 00457/2026</v>
      </c>
      <c r="H31" s="5" t="s">
        <v>451</v>
      </c>
      <c r="I31" s="41"/>
      <c r="J31" s="41"/>
      <c r="K31" s="4" t="s">
        <v>694</v>
      </c>
      <c r="L31" s="29" t="s">
        <v>444</v>
      </c>
      <c r="M31" s="31">
        <v>1</v>
      </c>
      <c r="N31" t="str">
        <f>IFERROR(_xlfn.XLOOKUP(Table2[[#This Row],[Ativo]],Pendentes[COD_RELIGADOR],Pendentes[DESCRICAO]),"")</f>
        <v>20/07 PARECER COEP: EQUIPAMENTO ENTREGUE , FAVOR EDITAR A SS COM A DATA PREVISTA DE SUBSTITUIÇÃO NO PARECER DOS COCM´S Realizar substituição da FASE B.Célula da fase B estava com a tampa do contador de tape aberta, pegou chuva e molhou os contatos danificando a peça toda.</v>
      </c>
      <c r="O31" s="5">
        <v>0</v>
      </c>
      <c r="P31" s="5">
        <v>0</v>
      </c>
      <c r="Q31" s="5">
        <v>0</v>
      </c>
      <c r="R31" s="5">
        <v>20</v>
      </c>
      <c r="S31" s="5">
        <v>0</v>
      </c>
      <c r="T31" s="5" t="s">
        <v>45</v>
      </c>
      <c r="U31" s="5" t="s">
        <v>45</v>
      </c>
      <c r="V31" s="5" t="s">
        <v>45</v>
      </c>
      <c r="W31" s="5">
        <f>SUM(Table2[[#This Row],[Premissa 1]:[Premissa 8]])</f>
        <v>20</v>
      </c>
      <c r="X31" s="5" t="s">
        <v>15</v>
      </c>
      <c r="Y31" t="s">
        <v>343</v>
      </c>
    </row>
    <row r="32" spans="1:25" ht="15" customHeight="1">
      <c r="A32" s="4">
        <v>5865120195</v>
      </c>
      <c r="B32" s="4" t="e">
        <f>_xlfn.XLOOKUP(Table2[[#This Row],[Ativo]],Joao!B:B,Joao!Z:Z)</f>
        <v>#N/A</v>
      </c>
      <c r="C32" s="5" t="str">
        <f>MID(Table2[[#This Row],[Ativo]],1,2)</f>
        <v>58</v>
      </c>
      <c r="D32" s="5" t="s">
        <v>167</v>
      </c>
      <c r="E32" s="5" t="s">
        <v>50</v>
      </c>
      <c r="F32" s="5" t="s">
        <v>51</v>
      </c>
      <c r="G32" s="4" t="str">
        <f>IFERROR(_xlfn.XLOOKUP(Table2[[#This Row],[Ativo]],Pendentes[COD_RELIGADOR],Pendentes[SS_ORIGINAL]),"CONCLUÍDA")</f>
        <v>ETO-PROT 00144/2026</v>
      </c>
      <c r="H32" s="4" t="s">
        <v>471</v>
      </c>
      <c r="K32" s="4" t="s">
        <v>443</v>
      </c>
      <c r="L32" s="29" t="s">
        <v>497</v>
      </c>
      <c r="M32" s="31">
        <v>1</v>
      </c>
      <c r="N32" t="str">
        <f>IFERROR(_xlfn.XLOOKUP(Table2[[#This Row],[Ativo]],Pendentes[COD_RELIGADOR],Pendentes[DESCRICAO]),"")</f>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v>
      </c>
      <c r="O32" s="5">
        <v>20</v>
      </c>
      <c r="P32" s="5">
        <v>20</v>
      </c>
      <c r="Q32" s="5">
        <v>20</v>
      </c>
      <c r="R32" s="5">
        <v>10</v>
      </c>
      <c r="S32" s="5">
        <v>0</v>
      </c>
      <c r="T32" s="5" t="s">
        <v>45</v>
      </c>
      <c r="U32" s="5" t="s">
        <v>45</v>
      </c>
      <c r="V32" s="5" t="s">
        <v>45</v>
      </c>
      <c r="W32" s="5">
        <f>SUM(Table2[[#This Row],[Premissa 1]:[Premissa 8]])</f>
        <v>70</v>
      </c>
      <c r="X32" s="5" t="s">
        <v>13</v>
      </c>
      <c r="Y32" t="s">
        <v>170</v>
      </c>
    </row>
    <row r="33" spans="1:25" ht="15" customHeight="1">
      <c r="A33" s="4">
        <v>7900001096</v>
      </c>
      <c r="B33" s="4" t="e">
        <f>_xlfn.XLOOKUP(Table2[[#This Row],[Ativo]],Joao!B:B,Joao!Z:Z)</f>
        <v>#N/A</v>
      </c>
      <c r="C33" s="5" t="str">
        <f>MID(Table2[[#This Row],[Ativo]],1,2)</f>
        <v>79</v>
      </c>
      <c r="G33" s="4" t="str">
        <f>IFERROR(_xlfn.XLOOKUP(Table2[[#This Row],[Ativo]],Pendentes[COD_RELIGADOR],Pendentes[SS_ORIGINAL]),"CONCLUÍDA")</f>
        <v>ETO-TELE 01018/2026</v>
      </c>
      <c r="H33" s="4" t="s">
        <v>495</v>
      </c>
      <c r="L33" s="29"/>
      <c r="M33" s="31"/>
      <c r="N33" t="str">
        <f>IFERROR(_xlfn.XLOOKUP(Table2[[#This Row],[Ativo]],Pendentes[COD_RELIGADOR],Pendentes[DESCRICAO]),"")</f>
        <v>Segue nota para falha de comunicação no religador 7900001096 - Rural - Pindorama .Equipamento perdeu a comunicação quando faltou CA , porém mesmo ao retorna o CA não retornou a comunicação !Feito primeiro ataque sem sucesso !</v>
      </c>
      <c r="O33" s="5"/>
      <c r="P33" s="5"/>
      <c r="Q33" s="5"/>
      <c r="R33" s="5"/>
      <c r="S33" s="5"/>
      <c r="T33" s="5"/>
      <c r="U33" s="5"/>
      <c r="V33" s="5"/>
      <c r="W33" s="5">
        <f>SUM(Table2[[#This Row],[Premissa 1]:[Premissa 8]])</f>
        <v>0</v>
      </c>
      <c r="X33" s="5"/>
    </row>
    <row r="34" spans="1:25" ht="15" customHeight="1">
      <c r="A34" s="4">
        <v>7900018004</v>
      </c>
      <c r="B34" s="4" t="str">
        <f>_xlfn.XLOOKUP(Table2[[#This Row],[Ativo]],Joao!B:B,Joao!Z:Z)</f>
        <v>Concluido</v>
      </c>
      <c r="C34" s="5" t="str">
        <f>MID(Table2[[#This Row],[Ativo]],1,2)</f>
        <v>79</v>
      </c>
      <c r="D34" s="5" t="s">
        <v>57</v>
      </c>
      <c r="E34" s="5" t="s">
        <v>57</v>
      </c>
      <c r="F34" s="5" t="s">
        <v>51</v>
      </c>
      <c r="G34" s="4" t="str">
        <f>IFERROR(_xlfn.XLOOKUP(Table2[[#This Row],[Ativo]],Pendentes[COD_RELIGADOR],Pendentes[SS_ORIGINAL]),"CONCLUÍDA")</f>
        <v>CONCLUÍDA</v>
      </c>
      <c r="H34" s="4" t="s">
        <v>455</v>
      </c>
      <c r="I34" s="4" t="s">
        <v>707</v>
      </c>
      <c r="K34" s="4" t="s">
        <v>438</v>
      </c>
      <c r="L34" s="29"/>
      <c r="M34" s="31"/>
      <c r="N34" t="str">
        <f>IFERROR(_xlfn.XLOOKUP(Table2[[#This Row],[Ativo]],Pendentes[COD_RELIGADOR],Pendentes[DESCRICAO]),"")</f>
        <v/>
      </c>
      <c r="O34" s="5">
        <v>15</v>
      </c>
      <c r="P34" s="5">
        <v>10</v>
      </c>
      <c r="Q34" s="5">
        <v>5</v>
      </c>
      <c r="R34" s="5">
        <v>15</v>
      </c>
      <c r="S34" s="5">
        <v>0</v>
      </c>
      <c r="T34" s="5">
        <v>10</v>
      </c>
      <c r="U34" s="5">
        <v>0</v>
      </c>
      <c r="V34" s="5">
        <v>0</v>
      </c>
      <c r="W34" s="5">
        <f>SUM(Table2[[#This Row],[Premissa 1]:[Premissa 8]])</f>
        <v>55</v>
      </c>
      <c r="X34" s="5" t="s">
        <v>13</v>
      </c>
      <c r="Y34" t="s">
        <v>511</v>
      </c>
    </row>
    <row r="35" spans="1:25" ht="15" customHeight="1">
      <c r="A35" s="4">
        <v>7900117013</v>
      </c>
      <c r="B35" s="4" t="str">
        <f>_xlfn.XLOOKUP(Table2[[#This Row],[Ativo]],Joao!B:B,Joao!Z:Z)</f>
        <v>Calendário logistco vai sair hoje 29/05/2026, assim que tiver rota de entrga avisamos</v>
      </c>
      <c r="C35" s="5" t="str">
        <f>MID(Table2[[#This Row],[Ativo]],1,2)</f>
        <v>79</v>
      </c>
      <c r="D35" s="5" t="s">
        <v>97</v>
      </c>
      <c r="E35" s="5" t="s">
        <v>97</v>
      </c>
      <c r="F35" s="5" t="s">
        <v>42</v>
      </c>
      <c r="G35" s="4" t="str">
        <f>IFERROR(_xlfn.XLOOKUP(Table2[[#This Row],[Ativo]],Pendentes[COD_RELIGADOR],Pendentes[SS_ORIGINAL]),"CONCLUÍDA")</f>
        <v>ETO-PROT 00154/2026</v>
      </c>
      <c r="H35" s="4" t="s">
        <v>471</v>
      </c>
      <c r="K35" s="4" t="s">
        <v>443</v>
      </c>
      <c r="L35" s="29" t="s">
        <v>460</v>
      </c>
      <c r="M35" s="31">
        <v>1</v>
      </c>
      <c r="N35" t="str">
        <f>IFERROR(_xlfn.XLOOKUP(Table2[[#This Row],[Ativo]],Pendentes[COD_RELIGADOR],Pendentes[DESCRICAO]),"")</f>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v>
      </c>
      <c r="O35" s="5">
        <v>15</v>
      </c>
      <c r="P35" s="5">
        <v>20</v>
      </c>
      <c r="Q35" s="5">
        <v>15</v>
      </c>
      <c r="R35" s="5">
        <v>15</v>
      </c>
      <c r="S35" s="5">
        <v>15</v>
      </c>
      <c r="T35" s="5">
        <v>0</v>
      </c>
      <c r="U35" s="5">
        <v>0</v>
      </c>
      <c r="V35" s="5">
        <v>15</v>
      </c>
      <c r="W35" s="5">
        <f>SUM(Table2[[#This Row],[Premissa 1]:[Premissa 8]])</f>
        <v>95</v>
      </c>
      <c r="X35" s="5" t="s">
        <v>9</v>
      </c>
      <c r="Y35" t="s">
        <v>100</v>
      </c>
    </row>
    <row r="36" spans="1:25" ht="15" customHeight="1">
      <c r="A36" s="4">
        <v>7900230155</v>
      </c>
      <c r="B36" s="4" t="str">
        <f>_xlfn.XLOOKUP(Table2[[#This Row],[Ativo]],Joao!B:B,Joao!Z:Z)</f>
        <v>Concluido</v>
      </c>
      <c r="C36" s="5" t="str">
        <f>MID(Table2[[#This Row],[Ativo]],1,2)</f>
        <v>79</v>
      </c>
      <c r="D36" s="5" t="s">
        <v>153</v>
      </c>
      <c r="E36" s="5" t="s">
        <v>154</v>
      </c>
      <c r="F36" s="5" t="s">
        <v>51</v>
      </c>
      <c r="G36" s="4" t="str">
        <f>IFERROR(_xlfn.XLOOKUP(Table2[[#This Row],[Ativo]],Pendentes[COD_RELIGADOR],Pendentes[SS_ORIGINAL]),"CONCLUÍDA")</f>
        <v>ETO-PROT 00143/2026</v>
      </c>
      <c r="H36" s="4" t="s">
        <v>471</v>
      </c>
      <c r="I36" s="4" t="s">
        <v>708</v>
      </c>
      <c r="K36" s="4" t="s">
        <v>443</v>
      </c>
      <c r="L36" s="29" t="s">
        <v>489</v>
      </c>
      <c r="M36" s="31">
        <v>1</v>
      </c>
      <c r="N36" t="str">
        <f>IFERROR(_xlfn.XLOOKUP(Table2[[#This Row],[Ativo]],Pendentes[COD_RELIGADOR],Pendentes[DESCRICAO]),"")</f>
        <v>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v>
      </c>
      <c r="O36" s="5">
        <v>15</v>
      </c>
      <c r="P36" s="5">
        <v>20</v>
      </c>
      <c r="Q36" s="5">
        <v>5</v>
      </c>
      <c r="R36" s="5">
        <v>15</v>
      </c>
      <c r="S36" s="5">
        <v>0</v>
      </c>
      <c r="T36" s="5">
        <v>10</v>
      </c>
      <c r="U36" s="5">
        <v>0</v>
      </c>
      <c r="V36" s="5">
        <v>15</v>
      </c>
      <c r="W36" s="5">
        <f>SUM(Table2[[#This Row],[Premissa 1]:[Premissa 8]])</f>
        <v>80</v>
      </c>
      <c r="X36" s="5" t="s">
        <v>9</v>
      </c>
      <c r="Y36" t="s">
        <v>157</v>
      </c>
    </row>
    <row r="37" spans="1:25" ht="15" customHeight="1">
      <c r="A37" s="4">
        <v>7900259096</v>
      </c>
      <c r="B37" s="4" t="e">
        <f>_xlfn.XLOOKUP(Table2[[#This Row],[Ativo]],Joao!B:B,Joao!Z:Z)</f>
        <v>#N/A</v>
      </c>
      <c r="C37" s="5" t="str">
        <f>MID(Table2[[#This Row],[Ativo]],1,2)</f>
        <v>79</v>
      </c>
      <c r="G37" s="4" t="str">
        <f>IFERROR(_xlfn.XLOOKUP(Table2[[#This Row],[Ativo]],Pendentes[COD_RELIGADOR],Pendentes[SS_ORIGINAL]),"CONCLUÍDA")</f>
        <v>ETO-TELE 01021/2026</v>
      </c>
      <c r="H37" s="4" t="s">
        <v>495</v>
      </c>
      <c r="L37" s="29"/>
      <c r="M37" s="31"/>
      <c r="N37" t="str">
        <f>IFERROR(_xlfn.XLOOKUP(Table2[[#This Row],[Ativo]],Pendentes[COD_RELIGADOR],Pendentes[DESCRICAO]),"")</f>
        <v>Boa noite .Segue nota para verificar falha de comunicação no religador 7900259096 -  Pindorama .Equipamento perde a comunicação quando falta CA !</v>
      </c>
      <c r="O37" s="5"/>
      <c r="P37" s="5"/>
      <c r="Q37" s="5"/>
      <c r="R37" s="5"/>
      <c r="S37" s="5"/>
      <c r="T37" s="5"/>
      <c r="U37" s="5"/>
      <c r="V37" s="5"/>
      <c r="W37" s="5">
        <f>SUM(Table2[[#This Row],[Premissa 1]:[Premissa 8]])</f>
        <v>0</v>
      </c>
      <c r="X37" s="5"/>
    </row>
    <row r="38" spans="1:25" ht="15" customHeight="1">
      <c r="A38" s="4">
        <v>7900451096</v>
      </c>
      <c r="B38" s="4" t="e">
        <f>_xlfn.XLOOKUP(Table2[[#This Row],[Ativo]],Joao!B:B,Joao!Z:Z)</f>
        <v>#N/A</v>
      </c>
      <c r="C38" s="5" t="str">
        <f>MID(Table2[[#This Row],[Ativo]],1,2)</f>
        <v>79</v>
      </c>
      <c r="G38" s="4" t="str">
        <f>IFERROR(_xlfn.XLOOKUP(Table2[[#This Row],[Ativo]],Pendentes[COD_RELIGADOR],Pendentes[SS_ORIGINAL]),"CONCLUÍDA")</f>
        <v>ETO-TELE 01020/2026</v>
      </c>
      <c r="H38" s="4" t="s">
        <v>495</v>
      </c>
      <c r="L38" s="29"/>
      <c r="M38" s="31"/>
      <c r="N38" t="str">
        <f>IFERROR(_xlfn.XLOOKUP(Table2[[#This Row],[Ativo]],Pendentes[COD_RELIGADOR],Pendentes[DESCRICAO]),"")</f>
        <v>Segue nota para verificar falha de comunicação no religador 7900451096 - Rural -  Pindorama  .Equipamento perde a comunicação quando falta CA !</v>
      </c>
      <c r="O38" s="5"/>
      <c r="P38" s="5"/>
      <c r="Q38" s="5"/>
      <c r="R38" s="5"/>
      <c r="S38" s="5"/>
      <c r="T38" s="5"/>
      <c r="U38" s="5"/>
      <c r="V38" s="5"/>
      <c r="W38" s="5">
        <f>SUM(Table2[[#This Row],[Premissa 1]:[Premissa 8]])</f>
        <v>0</v>
      </c>
      <c r="X38" s="5"/>
    </row>
    <row r="39" spans="1:25" ht="15" customHeight="1">
      <c r="A39" s="12">
        <v>7900453110</v>
      </c>
      <c r="B39" s="12" t="str">
        <f>_xlfn.XLOOKUP(Table2[[#This Row],[Ativo]],Joao!B:B,Joao!Z:Z)</f>
        <v>Equipamento entregue, redirecionaremos para o Caso 7933726256</v>
      </c>
      <c r="C39" s="5" t="str">
        <f>MID(Table2[[#This Row],[Ativo]],1,2)</f>
        <v>79</v>
      </c>
      <c r="D39" s="5" t="s">
        <v>137</v>
      </c>
      <c r="E39" s="5" t="s">
        <v>41</v>
      </c>
      <c r="F39" s="5" t="s">
        <v>42</v>
      </c>
      <c r="G39" s="4" t="str">
        <f>IFERROR(_xlfn.XLOOKUP(Table2[[#This Row],[Ativo]],Pendentes[COD_RELIGADOR],Pendentes[SS_ORIGINAL]),"CONCLUÍDA")</f>
        <v>ETO-COEP 00087/2026</v>
      </c>
      <c r="H39" s="4" t="s">
        <v>451</v>
      </c>
      <c r="I39" s="4" t="s">
        <v>709</v>
      </c>
      <c r="K39" s="4" t="s">
        <v>694</v>
      </c>
      <c r="L39" s="29" t="s">
        <v>480</v>
      </c>
      <c r="M39" s="31">
        <v>1</v>
      </c>
      <c r="N39" t="str">
        <f>IFERROR(_xlfn.XLOOKUP(Table2[[#This Row],[Ativo]],Pendentes[COD_RELIGADOR],Pendentes[DESCRICAO]),"")</f>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v>
      </c>
      <c r="O39" s="5">
        <v>15</v>
      </c>
      <c r="P39" s="5">
        <v>10</v>
      </c>
      <c r="Q39" s="5">
        <v>5</v>
      </c>
      <c r="R39" s="5">
        <v>15</v>
      </c>
      <c r="S39" s="5">
        <v>15</v>
      </c>
      <c r="T39" s="5">
        <v>10</v>
      </c>
      <c r="U39" s="5">
        <v>0</v>
      </c>
      <c r="V39" s="5">
        <v>15</v>
      </c>
      <c r="W39" s="5">
        <f>SUM(Table2[[#This Row],[Premissa 1]:[Premissa 8]])</f>
        <v>85</v>
      </c>
      <c r="X39" s="5" t="s">
        <v>9</v>
      </c>
      <c r="Y39" t="s">
        <v>140</v>
      </c>
    </row>
    <row r="40" spans="1:25" ht="15" customHeight="1">
      <c r="A40" s="4">
        <v>7900505026</v>
      </c>
      <c r="B40" s="4" t="e">
        <f>_xlfn.XLOOKUP(Table2[[#This Row],[Ativo]],Joao!B:B,Joao!Z:Z)</f>
        <v>#N/A</v>
      </c>
      <c r="C40" s="5" t="str">
        <f>MID(Table2[[#This Row],[Ativo]],1,2)</f>
        <v>79</v>
      </c>
      <c r="D40" s="5" t="s">
        <v>108</v>
      </c>
      <c r="E40" s="5" t="s">
        <v>108</v>
      </c>
      <c r="F40" s="5" t="s">
        <v>42</v>
      </c>
      <c r="G40" s="4" t="str">
        <f>IFERROR(_xlfn.XLOOKUP(Table2[[#This Row],[Ativo]],Pendentes[COD_RELIGADOR],Pendentes[SS_ORIGINAL]),"CONCLUÍDA")</f>
        <v>CONCLUÍDA</v>
      </c>
      <c r="H40" s="4" t="s">
        <v>683</v>
      </c>
      <c r="K40" s="4" t="s">
        <v>438</v>
      </c>
      <c r="L40" s="29"/>
      <c r="M40" s="31"/>
      <c r="N40" t="str">
        <f>IFERROR(_xlfn.XLOOKUP(Table2[[#This Row],[Ativo]],Pendentes[COD_RELIGADOR],Pendentes[DESCRICAO]),"")</f>
        <v/>
      </c>
      <c r="O40" s="5">
        <v>5</v>
      </c>
      <c r="P40" s="5">
        <v>5</v>
      </c>
      <c r="Q40" s="5">
        <v>5</v>
      </c>
      <c r="R40" s="5">
        <v>0</v>
      </c>
      <c r="S40" s="5">
        <v>0</v>
      </c>
      <c r="T40" s="5">
        <v>0</v>
      </c>
      <c r="U40" s="5">
        <v>10</v>
      </c>
      <c r="V40" s="5">
        <v>0</v>
      </c>
      <c r="W40" s="5">
        <f>SUM(Table2[[#This Row],[Premissa 1]:[Premissa 8]])</f>
        <v>25</v>
      </c>
      <c r="X40" s="5" t="s">
        <v>15</v>
      </c>
      <c r="Y40" t="s">
        <v>539</v>
      </c>
    </row>
    <row r="41" spans="1:25" ht="15" customHeight="1">
      <c r="A41" s="4">
        <v>7900525015</v>
      </c>
      <c r="B41" s="4" t="e">
        <f>_xlfn.XLOOKUP(Table2[[#This Row],[Ativo]],Joao!B:B,Joao!Z:Z)</f>
        <v>#N/A</v>
      </c>
      <c r="C41" s="5" t="str">
        <f>MID(Table2[[#This Row],[Ativo]],1,2)</f>
        <v>79</v>
      </c>
      <c r="D41" s="5" t="s">
        <v>283</v>
      </c>
      <c r="E41" s="5" t="s">
        <v>50</v>
      </c>
      <c r="F41" s="5" t="s">
        <v>51</v>
      </c>
      <c r="G41" s="4" t="str">
        <f>IFERROR(_xlfn.XLOOKUP(Table2[[#This Row],[Ativo]],Pendentes[COD_RELIGADOR],Pendentes[SS_ORIGINAL]),"CONCLUÍDA")</f>
        <v>ETO-COEP 00125/2026</v>
      </c>
      <c r="H41" s="4" t="s">
        <v>451</v>
      </c>
      <c r="K41" s="4" t="s">
        <v>694</v>
      </c>
      <c r="L41" s="29" t="s">
        <v>480</v>
      </c>
      <c r="M41" s="31">
        <v>1</v>
      </c>
      <c r="N41" t="str">
        <f>IFERROR(_xlfn.XLOOKUP(Table2[[#This Row],[Ativo]],Pendentes[COD_RELIGADOR],Pendentes[DESCRICAO]),"")</f>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v>
      </c>
      <c r="O41" s="5">
        <v>5</v>
      </c>
      <c r="P41" s="5">
        <v>5</v>
      </c>
      <c r="Q41" s="5">
        <v>0</v>
      </c>
      <c r="R41" s="5">
        <v>0</v>
      </c>
      <c r="S41" s="5">
        <v>15</v>
      </c>
      <c r="T41" s="5">
        <v>10</v>
      </c>
      <c r="U41" s="5">
        <v>0</v>
      </c>
      <c r="V41" s="5">
        <v>0</v>
      </c>
      <c r="W41" s="5">
        <f>SUM(Table2[[#This Row],[Premissa 1]:[Premissa 8]])</f>
        <v>35</v>
      </c>
      <c r="X41" s="5" t="s">
        <v>14</v>
      </c>
      <c r="Y41" t="s">
        <v>289</v>
      </c>
    </row>
    <row r="42" spans="1:25" ht="15" customHeight="1">
      <c r="A42" s="12">
        <v>7900532053</v>
      </c>
      <c r="B42" s="12" t="e">
        <f>_xlfn.XLOOKUP(Table2[[#This Row],[Ativo]],Joao!B:B,Joao!Z:Z)</f>
        <v>#N/A</v>
      </c>
      <c r="C42" s="43" t="str">
        <f>MID(Table2[[#This Row],[Ativo]],1,2)</f>
        <v>79</v>
      </c>
      <c r="D42" s="43" t="s">
        <v>560</v>
      </c>
      <c r="E42" s="43" t="s">
        <v>223</v>
      </c>
      <c r="F42" s="43" t="s">
        <v>51</v>
      </c>
      <c r="G42" s="12" t="str">
        <f>IFERROR(_xlfn.XLOOKUP(Table2[[#This Row],[Ativo]],Pendentes[COD_RELIGADOR],Pendentes[SS_ORIGINAL]),"CONCLUÍDA")</f>
        <v>CONCLUÍDA</v>
      </c>
      <c r="H42" s="12" t="s">
        <v>561</v>
      </c>
      <c r="I42" s="12"/>
      <c r="J42" s="12"/>
      <c r="K42" s="12"/>
      <c r="L42" s="44" t="s">
        <v>453</v>
      </c>
      <c r="M42" s="45"/>
      <c r="N42" s="46" t="str">
        <f>IFERROR(_xlfn.XLOOKUP(Table2[[#This Row],[Ativo]],Pendentes[COD_RELIGADOR],Pendentes[DESCRICAO]),"")</f>
        <v/>
      </c>
      <c r="O42" s="43">
        <v>0</v>
      </c>
      <c r="P42" s="43">
        <v>0</v>
      </c>
      <c r="Q42" s="43">
        <v>0</v>
      </c>
      <c r="R42" s="43">
        <v>0</v>
      </c>
      <c r="S42" s="43">
        <v>0</v>
      </c>
      <c r="T42" s="43">
        <v>0</v>
      </c>
      <c r="U42" s="43">
        <v>0</v>
      </c>
      <c r="V42" s="43">
        <v>0</v>
      </c>
      <c r="W42" s="43">
        <f>SUM(Table2[[#This Row],[Premissa 1]:[Premissa 8]])</f>
        <v>0</v>
      </c>
      <c r="X42" s="43" t="s">
        <v>15</v>
      </c>
      <c r="Y42" s="46" t="s">
        <v>562</v>
      </c>
    </row>
    <row r="43" spans="1:25" ht="15" customHeight="1">
      <c r="A43" s="4">
        <v>7900535058</v>
      </c>
      <c r="B43" s="4" t="e">
        <f>_xlfn.XLOOKUP(Table2[[#This Row],[Ativo]],Joao!B:B,Joao!Z:Z)</f>
        <v>#N/A</v>
      </c>
      <c r="C43" s="5" t="str">
        <f>MID(Table2[[#This Row],[Ativo]],1,2)</f>
        <v>79</v>
      </c>
      <c r="D43" s="5" t="s">
        <v>248</v>
      </c>
      <c r="E43" s="5" t="s">
        <v>57</v>
      </c>
      <c r="F43" s="5" t="s">
        <v>51</v>
      </c>
      <c r="G43" s="4" t="str">
        <f>IFERROR(_xlfn.XLOOKUP(Table2[[#This Row],[Ativo]],Pendentes[COD_RELIGADOR],Pendentes[SS_ORIGINAL]),"CONCLUÍDA")</f>
        <v>ETO-COEP 00173/2025</v>
      </c>
      <c r="H43" s="11" t="s">
        <v>451</v>
      </c>
      <c r="I43" s="9"/>
      <c r="J43" s="9"/>
      <c r="K43" s="4" t="s">
        <v>694</v>
      </c>
      <c r="L43" s="29" t="s">
        <v>460</v>
      </c>
      <c r="M43" s="31">
        <v>1</v>
      </c>
      <c r="N43" t="str">
        <f>IFERROR(_xlfn.XLOOKUP(Table2[[#This Row],[Ativo]],Pendentes[COD_RELIGADOR],Pendentes[DESCRICAO]),"")</f>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v>
      </c>
      <c r="O43" s="5">
        <v>5</v>
      </c>
      <c r="P43" s="5">
        <v>10</v>
      </c>
      <c r="Q43" s="5">
        <v>5</v>
      </c>
      <c r="R43" s="5">
        <v>0</v>
      </c>
      <c r="S43" s="5">
        <v>15</v>
      </c>
      <c r="T43" s="5">
        <v>10</v>
      </c>
      <c r="U43" s="5">
        <v>0</v>
      </c>
      <c r="V43" s="5">
        <v>0</v>
      </c>
      <c r="W43" s="5">
        <f>SUM(Table2[[#This Row],[Premissa 1]:[Premissa 8]])</f>
        <v>45</v>
      </c>
      <c r="X43" s="5" t="s">
        <v>14</v>
      </c>
      <c r="Y43" t="s">
        <v>251</v>
      </c>
    </row>
    <row r="44" spans="1:25" ht="15" customHeight="1">
      <c r="A44" s="4">
        <v>7900543083</v>
      </c>
      <c r="B44" s="4" t="e">
        <f>_xlfn.XLOOKUP(Table2[[#This Row],[Ativo]],Joao!B:B,Joao!Z:Z)</f>
        <v>#N/A</v>
      </c>
      <c r="C44" s="5" t="str">
        <f>MID(Table2[[#This Row],[Ativo]],1,2)</f>
        <v>79</v>
      </c>
      <c r="D44" s="5" t="s">
        <v>490</v>
      </c>
      <c r="E44" s="5" t="s">
        <v>62</v>
      </c>
      <c r="F44" s="5" t="s">
        <v>42</v>
      </c>
      <c r="G44" s="49"/>
      <c r="H44" s="4" t="s">
        <v>683</v>
      </c>
      <c r="K44" s="4" t="s">
        <v>438</v>
      </c>
      <c r="L44" s="29"/>
      <c r="M44" s="31"/>
      <c r="N44" t="str">
        <f>IFERROR(_xlfn.XLOOKUP(Table2[[#This Row],[Ativo]],Pendentes[COD_RELIGADOR],Pendentes[DESCRICAO]),"")</f>
        <v/>
      </c>
      <c r="O44" s="5">
        <v>15</v>
      </c>
      <c r="P44" s="5">
        <v>20</v>
      </c>
      <c r="Q44" s="5">
        <v>5</v>
      </c>
      <c r="R44" s="5">
        <v>15</v>
      </c>
      <c r="S44" s="5">
        <v>0</v>
      </c>
      <c r="T44" s="5">
        <v>0</v>
      </c>
      <c r="U44" s="5">
        <v>10</v>
      </c>
      <c r="V44" s="5">
        <v>15</v>
      </c>
      <c r="W44" s="5">
        <f>SUM(Table2[[#This Row],[Premissa 1]:[Premissa 8]])</f>
        <v>80</v>
      </c>
      <c r="X44" s="5" t="s">
        <v>9</v>
      </c>
      <c r="Y44" t="s">
        <v>491</v>
      </c>
    </row>
    <row r="45" spans="1:25" ht="15" customHeight="1">
      <c r="A45" s="4">
        <v>7900573047</v>
      </c>
      <c r="B45" s="4" t="str">
        <f>_xlfn.XLOOKUP(Table2[[#This Row],[Ativo]],Joao!B:B,Joao!Z:Z)</f>
        <v>ATRASO COCM´S</v>
      </c>
      <c r="C45" s="5" t="str">
        <f>MID(Table2[[#This Row],[Ativo]],1,2)</f>
        <v>79</v>
      </c>
      <c r="D45" s="5" t="s">
        <v>191</v>
      </c>
      <c r="E45" s="5" t="s">
        <v>449</v>
      </c>
      <c r="F45" s="5" t="s">
        <v>76</v>
      </c>
      <c r="G45" s="4" t="str">
        <f>IFERROR(_xlfn.XLOOKUP(Table2[[#This Row],[Ativo]],Pendentes[COD_RELIGADOR],Pendentes[SS_ORIGINAL]),"CONCLUÍDA")</f>
        <v>ETO-PROT 00153/2026</v>
      </c>
      <c r="H45" s="4" t="s">
        <v>471</v>
      </c>
      <c r="I45" s="38"/>
      <c r="J45" s="38"/>
      <c r="K45" s="4" t="s">
        <v>443</v>
      </c>
      <c r="L45" s="29" t="s">
        <v>469</v>
      </c>
      <c r="M45" s="31">
        <v>1</v>
      </c>
      <c r="N45" t="str">
        <f>IFERROR(_xlfn.XLOOKUP(Table2[[#This Row],[Ativo]],Pendentes[COD_RELIGADOR],Pendentes[DESCRICAO]),"")</f>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v>
      </c>
      <c r="O45" s="5">
        <v>5</v>
      </c>
      <c r="P45" s="5">
        <v>5</v>
      </c>
      <c r="Q45" s="5">
        <v>15</v>
      </c>
      <c r="R45" s="5">
        <v>0</v>
      </c>
      <c r="S45" s="5">
        <v>15</v>
      </c>
      <c r="T45" s="5">
        <v>10</v>
      </c>
      <c r="U45" s="5">
        <v>0</v>
      </c>
      <c r="V45" s="5">
        <v>15</v>
      </c>
      <c r="W45" s="5">
        <f>SUM(Table2[[#This Row],[Premissa 1]:[Premissa 8]])</f>
        <v>65</v>
      </c>
      <c r="X45" s="5" t="s">
        <v>13</v>
      </c>
      <c r="Y45" t="s">
        <v>195</v>
      </c>
    </row>
    <row r="46" spans="1:25" ht="15" customHeight="1">
      <c r="A46" s="4">
        <v>7900594026</v>
      </c>
      <c r="B46" s="4" t="str">
        <f>_xlfn.XLOOKUP(Table2[[#This Row],[Ativo]],Joao!B:B,Joao!Z:Z)</f>
        <v>Deslocamento  da ASPO Alinhado com o Allan de Guaraí para Pedro Afonso</v>
      </c>
      <c r="C46" s="5" t="str">
        <f>MID(Table2[[#This Row],[Ativo]],1,2)</f>
        <v>79</v>
      </c>
      <c r="D46" s="5" t="s">
        <v>108</v>
      </c>
      <c r="E46" s="5" t="s">
        <v>108</v>
      </c>
      <c r="F46" s="5" t="s">
        <v>42</v>
      </c>
      <c r="G46" s="4" t="str">
        <f>IFERROR(_xlfn.XLOOKUP(Table2[[#This Row],[Ativo]],Pendentes[COD_RELIGADOR],Pendentes[SS_ORIGINAL]),"CONCLUÍDA")</f>
        <v>ETO-SE-PA 00107/2026</v>
      </c>
      <c r="H46" s="4" t="s">
        <v>482</v>
      </c>
      <c r="K46" s="4" t="s">
        <v>443</v>
      </c>
      <c r="L46" s="29" t="s">
        <v>469</v>
      </c>
      <c r="M46" s="31">
        <v>1</v>
      </c>
      <c r="N46" t="str">
        <f>IFERROR(_xlfn.XLOOKUP(Table2[[#This Row],[Ativo]],Pendentes[COD_RELIGADOR],Pendentes[DESCRICAO]),"")</f>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v>
      </c>
      <c r="O46" s="5">
        <v>15</v>
      </c>
      <c r="P46" s="5">
        <v>20</v>
      </c>
      <c r="Q46" s="5">
        <v>15</v>
      </c>
      <c r="R46" s="5">
        <v>15</v>
      </c>
      <c r="S46" s="5">
        <v>15</v>
      </c>
      <c r="T46" s="5">
        <v>0</v>
      </c>
      <c r="U46" s="5">
        <v>0</v>
      </c>
      <c r="V46" s="5">
        <v>15</v>
      </c>
      <c r="W46" s="5">
        <f>SUM(Table2[[#This Row],[Premissa 1]:[Premissa 8]])</f>
        <v>95</v>
      </c>
      <c r="X46" s="5" t="s">
        <v>9</v>
      </c>
      <c r="Y46" t="s">
        <v>119</v>
      </c>
    </row>
    <row r="47" spans="1:25" ht="15" customHeight="1">
      <c r="A47" s="4">
        <v>7900648055</v>
      </c>
      <c r="B47" s="4" t="e">
        <f>_xlfn.XLOOKUP(Table2[[#This Row],[Ativo]],Joao!B:B,Joao!Z:Z)</f>
        <v>#N/A</v>
      </c>
      <c r="C47" s="5" t="str">
        <f>MID(Table2[[#This Row],[Ativo]],1,2)</f>
        <v>79</v>
      </c>
      <c r="D47" s="5" t="s">
        <v>458</v>
      </c>
      <c r="E47" s="5" t="s">
        <v>210</v>
      </c>
      <c r="F47" s="5" t="s">
        <v>42</v>
      </c>
      <c r="G47" s="4" t="str">
        <f>IFERROR(_xlfn.XLOOKUP(Table2[[#This Row],[Ativo]],Pendentes[COD_RELIGADOR],Pendentes[SS_ORIGINAL]),"CONCLUÍDA")</f>
        <v>CONCLUÍDA</v>
      </c>
      <c r="H47" s="4" t="s">
        <v>683</v>
      </c>
      <c r="K47" s="4" t="s">
        <v>438</v>
      </c>
      <c r="L47" s="29"/>
      <c r="M47" s="31"/>
      <c r="N47" t="str">
        <f>IFERROR(_xlfn.XLOOKUP(Table2[[#This Row],[Ativo]],Pendentes[COD_RELIGADOR],Pendentes[DESCRICAO]),"")</f>
        <v/>
      </c>
      <c r="O47" s="5">
        <v>15</v>
      </c>
      <c r="P47" s="5">
        <v>20</v>
      </c>
      <c r="Q47" s="5">
        <v>15</v>
      </c>
      <c r="R47" s="5">
        <v>15</v>
      </c>
      <c r="S47" s="5">
        <v>15</v>
      </c>
      <c r="T47" s="5">
        <v>10</v>
      </c>
      <c r="U47" s="5">
        <v>0</v>
      </c>
      <c r="V47" s="5">
        <v>15</v>
      </c>
      <c r="W47" s="5">
        <f>SUM(Table2[[#This Row],[Premissa 1]:[Premissa 8]])</f>
        <v>105</v>
      </c>
      <c r="X47" s="5" t="s">
        <v>9</v>
      </c>
      <c r="Y47" t="s">
        <v>459</v>
      </c>
    </row>
    <row r="48" spans="1:25" ht="15" customHeight="1">
      <c r="A48" s="4">
        <v>7900722193</v>
      </c>
      <c r="B48" s="4" t="e">
        <f>_xlfn.XLOOKUP(Table2[[#This Row],[Ativo]],Joao!B:B,Joao!Z:Z)</f>
        <v>#N/A</v>
      </c>
      <c r="C48" s="5" t="str">
        <f>MID(Table2[[#This Row],[Ativo]],1,2)</f>
        <v>79</v>
      </c>
      <c r="G48" s="4" t="str">
        <f>IFERROR(_xlfn.XLOOKUP(Table2[[#This Row],[Ativo]],Pendentes[COD_RELIGADOR],Pendentes[SS_ORIGINAL]),"CONCLUÍDA")</f>
        <v>ETO-TELE 01029/2026</v>
      </c>
      <c r="H48" s="4" t="s">
        <v>495</v>
      </c>
      <c r="L48" s="29"/>
      <c r="M48" s="31"/>
      <c r="N48" t="str">
        <f>IFERROR(_xlfn.XLOOKUP(Table2[[#This Row],[Ativo]],Pendentes[COD_RELIGADOR],Pendentes[DESCRICAO]),"")</f>
        <v>Religador sem comunicação, apos primeiro ataque não retornou a comunicação.</v>
      </c>
      <c r="O48" s="5"/>
      <c r="P48" s="5"/>
      <c r="Q48" s="5"/>
      <c r="R48" s="5"/>
      <c r="S48" s="5"/>
      <c r="T48" s="5"/>
      <c r="U48" s="5"/>
      <c r="V48" s="5"/>
      <c r="W48" s="5">
        <f>SUM(Table2[[#This Row],[Premissa 1]:[Premissa 8]])</f>
        <v>0</v>
      </c>
      <c r="X48" s="5"/>
    </row>
    <row r="49" spans="1:25" ht="15" customHeight="1">
      <c r="A49" s="4">
        <v>7900930040</v>
      </c>
      <c r="B49" s="4" t="e">
        <f>_xlfn.XLOOKUP(Table2[[#This Row],[Ativo]],Joao!B:B,Joao!Z:Z)</f>
        <v>#N/A</v>
      </c>
      <c r="C49" s="5" t="str">
        <f>MID(Table2[[#This Row],[Ativo]],1,2)</f>
        <v>79</v>
      </c>
      <c r="D49" s="5" t="s">
        <v>492</v>
      </c>
      <c r="E49" s="5" t="s">
        <v>57</v>
      </c>
      <c r="F49" s="5" t="s">
        <v>51</v>
      </c>
      <c r="G49" s="4" t="str">
        <f>IFERROR(_xlfn.XLOOKUP(Table2[[#This Row],[Ativo]],Pendentes[COD_RELIGADOR],Pendentes[SS_ORIGINAL]),"CONCLUÍDA")</f>
        <v>CONCLUÍDA</v>
      </c>
      <c r="H49" s="4" t="s">
        <v>683</v>
      </c>
      <c r="K49" s="4" t="s">
        <v>438</v>
      </c>
      <c r="L49" s="29"/>
      <c r="M49" s="31"/>
      <c r="N49" t="str">
        <f>IFERROR(_xlfn.XLOOKUP(Table2[[#This Row],[Ativo]],Pendentes[COD_RELIGADOR],Pendentes[DESCRICAO]),"")</f>
        <v/>
      </c>
      <c r="O49" s="5">
        <v>15</v>
      </c>
      <c r="P49" s="5">
        <v>20</v>
      </c>
      <c r="Q49" s="5">
        <v>5</v>
      </c>
      <c r="R49" s="5">
        <v>15</v>
      </c>
      <c r="S49" s="5">
        <v>0</v>
      </c>
      <c r="T49" s="5">
        <v>0</v>
      </c>
      <c r="U49" s="5">
        <v>10</v>
      </c>
      <c r="V49" s="5">
        <v>15</v>
      </c>
      <c r="W49" s="5">
        <f>SUM(Table2[[#This Row],[Premissa 1]:[Premissa 8]])</f>
        <v>80</v>
      </c>
      <c r="X49" s="5" t="s">
        <v>9</v>
      </c>
      <c r="Y49" t="s">
        <v>493</v>
      </c>
    </row>
    <row r="50" spans="1:25" ht="15" customHeight="1">
      <c r="A50" s="4">
        <v>7901110084</v>
      </c>
      <c r="B50" s="4" t="e">
        <f>_xlfn.XLOOKUP(Table2[[#This Row],[Ativo]],Joao!B:B,Joao!Z:Z)</f>
        <v>#N/A</v>
      </c>
      <c r="C50" s="5" t="str">
        <f>MID(Table2[[#This Row],[Ativo]],1,2)</f>
        <v>79</v>
      </c>
      <c r="D50" s="5" t="s">
        <v>210</v>
      </c>
      <c r="E50" s="5" t="s">
        <v>210</v>
      </c>
      <c r="F50" s="5" t="s">
        <v>42</v>
      </c>
      <c r="G50" s="4" t="str">
        <f>IFERROR(_xlfn.XLOOKUP(Table2[[#This Row],[Ativo]],Pendentes[COD_RELIGADOR],Pendentes[SS_ORIGINAL]),"CONCLUÍDA")</f>
        <v>ETO-COEP 00061/2026</v>
      </c>
      <c r="H50" s="4" t="s">
        <v>451</v>
      </c>
      <c r="K50" s="4" t="s">
        <v>694</v>
      </c>
      <c r="L50" s="29" t="s">
        <v>480</v>
      </c>
      <c r="M50" s="31">
        <v>1</v>
      </c>
      <c r="N50" t="str">
        <f>IFERROR(_xlfn.XLOOKUP(Table2[[#This Row],[Ativo]],Pendentes[COD_RELIGADOR],Pendentes[DESCRICAO]),"")</f>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v>
      </c>
      <c r="O50" s="5">
        <v>5</v>
      </c>
      <c r="P50" s="5">
        <v>5</v>
      </c>
      <c r="Q50" s="5">
        <v>0</v>
      </c>
      <c r="R50" s="5">
        <v>0</v>
      </c>
      <c r="S50" s="5">
        <v>0</v>
      </c>
      <c r="T50" s="5">
        <v>0</v>
      </c>
      <c r="U50" s="5">
        <v>10</v>
      </c>
      <c r="V50" s="5">
        <v>0</v>
      </c>
      <c r="W50" s="5">
        <f>SUM(Table2[[#This Row],[Premissa 1]:[Premissa 8]])</f>
        <v>20</v>
      </c>
      <c r="X50" s="5" t="s">
        <v>15</v>
      </c>
      <c r="Y50" t="s">
        <v>333</v>
      </c>
    </row>
    <row r="51" spans="1:25" ht="15" customHeight="1">
      <c r="A51" s="39">
        <v>7902098003</v>
      </c>
      <c r="B51" s="39" t="e">
        <f>_xlfn.XLOOKUP(Table2[[#This Row],[Ativo]],Joao!B:B,Joao!Z:Z)</f>
        <v>#N/A</v>
      </c>
      <c r="C51" s="5" t="str">
        <f>MID(Table2[[#This Row],[Ativo]],1,2)</f>
        <v>79</v>
      </c>
      <c r="D51" s="5" t="s">
        <v>336</v>
      </c>
      <c r="E51" s="5" t="s">
        <v>336</v>
      </c>
      <c r="F51" s="5" t="s">
        <v>76</v>
      </c>
      <c r="G51" s="4" t="str">
        <f>IFERROR(_xlfn.XLOOKUP(Table2[[#This Row],[Ativo]],Pendentes[COD_RELIGADOR],Pendentes[SS_ORIGINAL]),"CONCLUÍDA")</f>
        <v>ETO-TELE 00932/2026</v>
      </c>
      <c r="H51" s="4" t="s">
        <v>495</v>
      </c>
      <c r="L51" s="29"/>
      <c r="M51" s="31"/>
      <c r="N51" t="str">
        <f>IFERROR(_xlfn.XLOOKUP(Table2[[#This Row],[Ativo]],Pendentes[COD_RELIGADOR],Pendentes[DESCRICAO]),"")</f>
        <v>Segue SS de religador 7902098003 sem comunicação. Foi realizado o primeiro ataque porem o mesmo não retornou a comunicação.</v>
      </c>
      <c r="O51" s="5" t="s">
        <v>696</v>
      </c>
      <c r="P51" s="5"/>
      <c r="Q51" s="5"/>
      <c r="R51" s="5"/>
      <c r="S51" s="5"/>
      <c r="T51" s="5"/>
      <c r="U51" s="5"/>
      <c r="V51" s="5"/>
      <c r="W51" s="5">
        <f>SUM(Table2[[#This Row],[Premissa 1]:[Premissa 8]])</f>
        <v>0</v>
      </c>
      <c r="X51" s="5"/>
    </row>
    <row r="52" spans="1:25" ht="15" customHeight="1">
      <c r="A52" s="4">
        <v>7903112004</v>
      </c>
      <c r="B52" s="4" t="str">
        <f>_xlfn.XLOOKUP(Table2[[#This Row],[Ativo]],Joao!B:B,Joao!Z:Z)</f>
        <v>CONTROLE NOJA ENVIADO</v>
      </c>
      <c r="C52" s="5" t="str">
        <f>MID(Table2[[#This Row],[Ativo]],1,2)</f>
        <v>79</v>
      </c>
      <c r="D52" s="5" t="s">
        <v>57</v>
      </c>
      <c r="E52" s="5" t="s">
        <v>57</v>
      </c>
      <c r="F52" s="5" t="s">
        <v>51</v>
      </c>
      <c r="G52" s="4" t="str">
        <f>IFERROR(_xlfn.XLOOKUP(Table2[[#This Row],[Ativo]],Pendentes[COD_RELIGADOR],Pendentes[SS_ORIGINAL]),"CONCLUÍDA")</f>
        <v>ETO-COEP 00184/2025</v>
      </c>
      <c r="H52" s="4" t="s">
        <v>710</v>
      </c>
      <c r="I52" s="4" t="s">
        <v>711</v>
      </c>
      <c r="K52" s="4" t="s">
        <v>443</v>
      </c>
      <c r="L52" s="29" t="s">
        <v>480</v>
      </c>
      <c r="M52" s="31">
        <v>1</v>
      </c>
      <c r="N52" t="str">
        <f>IFERROR(_xlfn.XLOOKUP(Table2[[#This Row],[Ativo]],Pendentes[COD_RELIGADOR],Pendentes[DESCRICAO]),"")</f>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v>
      </c>
      <c r="O52" s="5">
        <v>15</v>
      </c>
      <c r="P52" s="5">
        <v>10</v>
      </c>
      <c r="Q52" s="5">
        <v>5</v>
      </c>
      <c r="R52" s="5">
        <v>15</v>
      </c>
      <c r="S52" s="5">
        <v>0</v>
      </c>
      <c r="T52" s="5">
        <v>10</v>
      </c>
      <c r="U52" s="5">
        <v>0</v>
      </c>
      <c r="V52" s="5">
        <v>0</v>
      </c>
      <c r="W52" s="5">
        <f>SUM(Table2[[#This Row],[Premissa 1]:[Premissa 8]])</f>
        <v>55</v>
      </c>
      <c r="X52" s="5" t="s">
        <v>13</v>
      </c>
      <c r="Y52" t="s">
        <v>220</v>
      </c>
    </row>
    <row r="53" spans="1:25" ht="15" customHeight="1">
      <c r="A53" s="12">
        <v>7903569004</v>
      </c>
      <c r="B53" s="12" t="e">
        <f>_xlfn.XLOOKUP(Table2[[#This Row],[Ativo]],Joao!B:B,Joao!Z:Z)</f>
        <v>#N/A</v>
      </c>
      <c r="C53" s="5" t="str">
        <f>MID(Table2[[#This Row],[Ativo]],1,2)</f>
        <v>79</v>
      </c>
      <c r="D53" s="5" t="s">
        <v>57</v>
      </c>
      <c r="E53" s="5" t="s">
        <v>57</v>
      </c>
      <c r="F53" s="5" t="s">
        <v>51</v>
      </c>
      <c r="G53" s="4" t="str">
        <f>IFERROR(_xlfn.XLOOKUP(Table2[[#This Row],[Ativo]],Pendentes[COD_RELIGADOR],Pendentes[SS_ORIGINAL]),"CONCLUÍDA")</f>
        <v>CONCLUÍDA</v>
      </c>
      <c r="H53" s="4" t="s">
        <v>683</v>
      </c>
      <c r="L53" s="29"/>
      <c r="M53" s="31"/>
      <c r="N53" t="str">
        <f>IFERROR(_xlfn.XLOOKUP(Table2[[#This Row],[Ativo]],Pendentes[COD_RELIGADOR],Pendentes[DESCRICAO]),"")</f>
        <v/>
      </c>
      <c r="O53" s="5">
        <v>15</v>
      </c>
      <c r="P53" s="5">
        <v>20</v>
      </c>
      <c r="Q53" s="5">
        <v>5</v>
      </c>
      <c r="R53" s="5">
        <v>15</v>
      </c>
      <c r="S53" s="5">
        <v>15</v>
      </c>
      <c r="T53" s="5">
        <v>10</v>
      </c>
      <c r="U53" s="5">
        <v>0</v>
      </c>
      <c r="V53" s="5">
        <v>15</v>
      </c>
      <c r="W53" s="5">
        <f>SUM(Table2[[#This Row],[Premissa 1]:[Premissa 8]])</f>
        <v>95</v>
      </c>
      <c r="X53" s="5" t="s">
        <v>9</v>
      </c>
      <c r="Y53" t="s">
        <v>463</v>
      </c>
    </row>
    <row r="54" spans="1:25" ht="15" customHeight="1">
      <c r="A54" s="12">
        <v>7908196047</v>
      </c>
      <c r="B54" s="12" t="e">
        <f>_xlfn.XLOOKUP(Table2[[#This Row],[Ativo]],Joao!B:B,Joao!Z:Z)</f>
        <v>#N/A</v>
      </c>
      <c r="C54" s="5" t="str">
        <f>MID(Table2[[#This Row],[Ativo]],1,2)</f>
        <v>79</v>
      </c>
      <c r="D54" s="5" t="s">
        <v>191</v>
      </c>
      <c r="E54" s="5" t="s">
        <v>449</v>
      </c>
      <c r="F54" s="5" t="s">
        <v>76</v>
      </c>
      <c r="G54" s="4" t="str">
        <f>IFERROR(_xlfn.XLOOKUP(Table2[[#This Row],[Ativo]],Pendentes[COD_RELIGADOR],Pendentes[SS_ORIGINAL]),"CONCLUÍDA")</f>
        <v>ETO-TELE 01002/2026</v>
      </c>
      <c r="H54" s="4" t="s">
        <v>451</v>
      </c>
      <c r="K54" s="4" t="s">
        <v>694</v>
      </c>
      <c r="L54" s="29" t="s">
        <v>469</v>
      </c>
      <c r="M54" s="31">
        <v>1</v>
      </c>
      <c r="N54" t="str">
        <f>IFERROR(_xlfn.XLOOKUP(Table2[[#This Row],[Ativo]],Pendentes[COD_RELIGADOR],Pendentes[DESCRICAO]),"")</f>
        <v>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v>
      </c>
      <c r="O54" s="5">
        <v>5</v>
      </c>
      <c r="P54" s="5">
        <v>5</v>
      </c>
      <c r="Q54" s="5">
        <v>5</v>
      </c>
      <c r="R54" s="5">
        <v>0</v>
      </c>
      <c r="S54" s="5">
        <v>0</v>
      </c>
      <c r="T54" s="5">
        <v>0</v>
      </c>
      <c r="U54" s="5">
        <v>10</v>
      </c>
      <c r="V54" s="5">
        <v>0</v>
      </c>
      <c r="W54" s="5">
        <f>SUM(Table2[[#This Row],[Premissa 1]:[Premissa 8]])</f>
        <v>25</v>
      </c>
      <c r="X54" s="5" t="s">
        <v>15</v>
      </c>
      <c r="Y54" t="s">
        <v>308</v>
      </c>
    </row>
    <row r="55" spans="1:25" ht="15" customHeight="1">
      <c r="A55" s="4">
        <v>7908206074</v>
      </c>
      <c r="B55" s="4" t="e">
        <f>_xlfn.XLOOKUP(Table2[[#This Row],[Ativo]],Joao!B:B,Joao!Z:Z)</f>
        <v>#N/A</v>
      </c>
      <c r="C55" s="5" t="str">
        <f>MID(Table2[[#This Row],[Ativo]],1,2)</f>
        <v>79</v>
      </c>
      <c r="D55" s="5" t="s">
        <v>75</v>
      </c>
      <c r="E55" s="5" t="s">
        <v>75</v>
      </c>
      <c r="F55" s="5" t="s">
        <v>76</v>
      </c>
      <c r="G55" s="4" t="str">
        <f>IFERROR(_xlfn.XLOOKUP(Table2[[#This Row],[Ativo]],Pendentes[COD_RELIGADOR],Pendentes[SS_ORIGINAL]),"CONCLUÍDA")</f>
        <v>CONCLUÍDA</v>
      </c>
      <c r="H55" s="4" t="s">
        <v>683</v>
      </c>
      <c r="K55" s="4" t="s">
        <v>438</v>
      </c>
      <c r="L55" s="29"/>
      <c r="M55" s="31"/>
      <c r="N55" t="str">
        <f>IFERROR(_xlfn.XLOOKUP(Table2[[#This Row],[Ativo]],Pendentes[COD_RELIGADOR],Pendentes[DESCRICAO]),"")</f>
        <v/>
      </c>
      <c r="O55" s="5">
        <v>5</v>
      </c>
      <c r="P55" s="5">
        <v>5</v>
      </c>
      <c r="Q55" s="5">
        <v>0</v>
      </c>
      <c r="R55" s="5">
        <v>0</v>
      </c>
      <c r="S55" s="5">
        <v>0</v>
      </c>
      <c r="T55" s="5">
        <v>0</v>
      </c>
      <c r="U55" s="5">
        <v>10</v>
      </c>
      <c r="V55" s="5">
        <v>0</v>
      </c>
      <c r="W55" s="5">
        <f>SUM(Table2[[#This Row],[Premissa 1]:[Premissa 8]])</f>
        <v>20</v>
      </c>
      <c r="X55" s="5" t="s">
        <v>15</v>
      </c>
      <c r="Y55" t="s">
        <v>543</v>
      </c>
    </row>
    <row r="56" spans="1:25" ht="15" customHeight="1">
      <c r="A56" s="4">
        <v>7908249152</v>
      </c>
      <c r="B56" s="4" t="e">
        <f>_xlfn.XLOOKUP(Table2[[#This Row],[Ativo]],Joao!B:B,Joao!Z:Z)</f>
        <v>#N/A</v>
      </c>
      <c r="C56" s="5" t="str">
        <f>MID(Table2[[#This Row],[Ativo]],1,2)</f>
        <v>79</v>
      </c>
      <c r="D56" s="5" t="s">
        <v>291</v>
      </c>
      <c r="E56" s="5" t="s">
        <v>41</v>
      </c>
      <c r="F56" s="5" t="s">
        <v>42</v>
      </c>
      <c r="G56" s="4" t="str">
        <f>IFERROR(_xlfn.XLOOKUP(Table2[[#This Row],[Ativo]],Pendentes[COD_RELIGADOR],Pendentes[SS_ORIGINAL]),"CONCLUÍDA")</f>
        <v>ETO-COEP 00038/2026</v>
      </c>
      <c r="H56" s="4" t="s">
        <v>451</v>
      </c>
      <c r="K56" s="4" t="s">
        <v>694</v>
      </c>
      <c r="L56" s="29" t="s">
        <v>469</v>
      </c>
      <c r="M56" s="31">
        <v>1</v>
      </c>
      <c r="N56" t="str">
        <f>IFERROR(_xlfn.XLOOKUP(Table2[[#This Row],[Ativo]],Pendentes[COD_RELIGADOR],Pendentes[DESCRICAO]),"")</f>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v>
      </c>
      <c r="O56" s="5">
        <v>5</v>
      </c>
      <c r="P56" s="5">
        <v>5</v>
      </c>
      <c r="Q56" s="5">
        <v>0</v>
      </c>
      <c r="R56" s="5">
        <v>0</v>
      </c>
      <c r="S56" s="5">
        <v>15</v>
      </c>
      <c r="T56" s="5">
        <v>10</v>
      </c>
      <c r="U56" s="5">
        <v>0</v>
      </c>
      <c r="V56" s="5">
        <v>0</v>
      </c>
      <c r="W56" s="5">
        <f>SUM(Table2[[#This Row],[Premissa 1]:[Premissa 8]])</f>
        <v>35</v>
      </c>
      <c r="X56" s="5" t="s">
        <v>14</v>
      </c>
      <c r="Y56" t="s">
        <v>293</v>
      </c>
    </row>
    <row r="57" spans="1:25" ht="15" customHeight="1">
      <c r="A57" s="4">
        <v>7908300096</v>
      </c>
      <c r="B57" s="4" t="e">
        <f>_xlfn.XLOOKUP(Table2[[#This Row],[Ativo]],Joao!B:B,Joao!Z:Z)</f>
        <v>#N/A</v>
      </c>
      <c r="C57" s="5" t="str">
        <f>MID(Table2[[#This Row],[Ativo]],1,2)</f>
        <v>79</v>
      </c>
      <c r="D57" s="5" t="s">
        <v>316</v>
      </c>
      <c r="E57" s="5" t="s">
        <v>108</v>
      </c>
      <c r="F57" s="5" t="s">
        <v>42</v>
      </c>
      <c r="G57" s="4" t="str">
        <f>IFERROR(_xlfn.XLOOKUP(Table2[[#This Row],[Ativo]],Pendentes[COD_RELIGADOR],Pendentes[SS_ORIGINAL]),"CONCLUÍDA")</f>
        <v>ETO-TELE 00938/2026</v>
      </c>
      <c r="H57" s="4" t="s">
        <v>495</v>
      </c>
      <c r="L57" s="29"/>
      <c r="M57" s="31"/>
      <c r="N57" t="str">
        <f>IFERROR(_xlfn.XLOOKUP(Table2[[#This Row],[Ativo]],Pendentes[COD_RELIGADOR],Pendentes[DESCRICAO]),"")</f>
        <v>Segue nota para verificar falha intermitência na comunicação RL 7908300096 RDU- Pindorama .</v>
      </c>
      <c r="O57" s="5" t="s">
        <v>696</v>
      </c>
      <c r="P57" s="5"/>
      <c r="Q57" s="5"/>
      <c r="R57" s="5"/>
      <c r="S57" s="5"/>
      <c r="T57" s="5"/>
      <c r="U57" s="5"/>
      <c r="V57" s="5"/>
      <c r="W57" s="5">
        <f>SUM(Table2[[#This Row],[Premissa 1]:[Premissa 8]])</f>
        <v>0</v>
      </c>
      <c r="X57" s="5"/>
    </row>
    <row r="58" spans="1:25" ht="15" customHeight="1">
      <c r="A58" s="5">
        <v>7908302256</v>
      </c>
      <c r="B58" s="5" t="e">
        <f>_xlfn.XLOOKUP(Table2[[#This Row],[Ativo]],Joao!B:B,Joao!Z:Z)</f>
        <v>#N/A</v>
      </c>
      <c r="C58" s="5" t="str">
        <f>MID(Table2[[#This Row],[Ativo]],1,2)</f>
        <v>79</v>
      </c>
      <c r="D58" s="5" t="s">
        <v>107</v>
      </c>
      <c r="E58" s="5" t="s">
        <v>108</v>
      </c>
      <c r="F58" s="5" t="s">
        <v>42</v>
      </c>
      <c r="G58" s="4" t="str">
        <f>IFERROR(_xlfn.XLOOKUP(Table2[[#This Row],[Ativo]],Pendentes[COD_RELIGADOR],Pendentes[SS_ORIGINAL]),"CONCLUÍDA")</f>
        <v>ETO-TELE 00997/2026</v>
      </c>
      <c r="H58" s="5" t="s">
        <v>495</v>
      </c>
      <c r="L58" s="29"/>
      <c r="M58" s="31"/>
      <c r="N58" t="str">
        <f>IFERROR(_xlfn.XLOOKUP(Table2[[#This Row],[Ativo]],Pendentes[COD_RELIGADOR],Pendentes[DESCRICAO]),"")</f>
        <v>RL teve nota baixada (ETO-TELE 970/2026) pore´m eqp continua fora de operação, solicito programação para equipe verificar em campo</v>
      </c>
      <c r="O58" s="5">
        <v>5</v>
      </c>
      <c r="P58" s="5">
        <v>10</v>
      </c>
      <c r="Q58" s="5">
        <v>5</v>
      </c>
      <c r="R58" s="5">
        <v>15</v>
      </c>
      <c r="S58" s="5">
        <v>15</v>
      </c>
      <c r="T58" s="5">
        <v>10</v>
      </c>
      <c r="U58" s="5">
        <v>0</v>
      </c>
      <c r="V58" s="5">
        <v>15</v>
      </c>
      <c r="W58" s="5">
        <f>SUM(Table2[[#This Row],[Premissa 1]:[Premissa 8]])</f>
        <v>75</v>
      </c>
      <c r="X58" s="5" t="s">
        <v>13</v>
      </c>
      <c r="Y58" t="s">
        <v>160</v>
      </c>
    </row>
    <row r="59" spans="1:25" ht="15" customHeight="1">
      <c r="A59" s="4">
        <v>7908683122</v>
      </c>
      <c r="B59" s="4" t="e">
        <f>_xlfn.XLOOKUP(Table2[[#This Row],[Ativo]],Joao!B:B,Joao!Z:Z)</f>
        <v>#N/A</v>
      </c>
      <c r="C59" s="5" t="str">
        <f>MID(Table2[[#This Row],[Ativo]],1,2)</f>
        <v>79</v>
      </c>
      <c r="G59" s="4" t="str">
        <f>IFERROR(_xlfn.XLOOKUP(Table2[[#This Row],[Ativo]],Pendentes[COD_RELIGADOR],Pendentes[SS_ORIGINAL]),"CONCLUÍDA")</f>
        <v>ETO-TELE 00998/2026</v>
      </c>
      <c r="H59" s="4" t="s">
        <v>495</v>
      </c>
      <c r="L59" s="29"/>
      <c r="M59" s="31"/>
      <c r="N59" t="str">
        <f>IFERROR(_xlfn.XLOOKUP(Table2[[#This Row],[Ativo]],Pendentes[COD_RELIGADOR],Pendentes[DESCRICAO]),"")</f>
        <v>rl 7908683122  retirado de operaçao devido falha na base do rele  equipamento.</v>
      </c>
      <c r="O59" s="5"/>
      <c r="P59" s="5"/>
      <c r="Q59" s="5"/>
      <c r="R59" s="5"/>
      <c r="S59" s="5"/>
      <c r="T59" s="5"/>
      <c r="U59" s="5"/>
      <c r="V59" s="5"/>
      <c r="W59" s="5">
        <f>SUM(Table2[[#This Row],[Premissa 1]:[Premissa 8]])</f>
        <v>0</v>
      </c>
      <c r="X59" s="5"/>
    </row>
    <row r="60" spans="1:25" ht="15" customHeight="1">
      <c r="A60" s="4">
        <v>7908686014</v>
      </c>
      <c r="B60" s="4" t="str">
        <f>_xlfn.XLOOKUP(Table2[[#This Row],[Ativo]],Joao!B:B,Joao!Z:Z)</f>
        <v>Previsão de Substiuição atrasada</v>
      </c>
      <c r="C60" s="5" t="str">
        <f>MID(Table2[[#This Row],[Ativo]],1,2)</f>
        <v>79</v>
      </c>
      <c r="D60" s="5" t="s">
        <v>126</v>
      </c>
      <c r="E60" s="5" t="s">
        <v>97</v>
      </c>
      <c r="F60" s="5" t="s">
        <v>42</v>
      </c>
      <c r="G60" s="4" t="str">
        <f>IFERROR(_xlfn.XLOOKUP(Table2[[#This Row],[Ativo]],Pendentes[COD_RELIGADOR],Pendentes[SS_ORIGINAL]),"CONCLUÍDA")</f>
        <v>ETO-RD-PS 00302/2026</v>
      </c>
      <c r="H60" s="5" t="s">
        <v>455</v>
      </c>
      <c r="I60" s="4" t="s">
        <v>712</v>
      </c>
      <c r="K60" s="4" t="s">
        <v>443</v>
      </c>
      <c r="L60" s="29" t="s">
        <v>480</v>
      </c>
      <c r="M60" s="31">
        <v>1</v>
      </c>
      <c r="N60" t="str">
        <f>IFERROR(_xlfn.XLOOKUP(Table2[[#This Row],[Ativo]],Pendentes[COD_RELIGADOR],Pendentes[DESCRICAO]),"")</f>
        <v>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v>
      </c>
      <c r="O60" s="5">
        <v>15</v>
      </c>
      <c r="P60" s="5">
        <v>20</v>
      </c>
      <c r="Q60" s="5">
        <v>0</v>
      </c>
      <c r="R60" s="5">
        <v>15</v>
      </c>
      <c r="S60" s="5">
        <v>15</v>
      </c>
      <c r="T60" s="5">
        <v>10</v>
      </c>
      <c r="U60" s="5">
        <v>0</v>
      </c>
      <c r="V60" s="5">
        <v>15</v>
      </c>
      <c r="W60" s="5">
        <f>SUM(Table2[[#This Row],[Premissa 1]:[Premissa 8]])</f>
        <v>90</v>
      </c>
      <c r="X60" s="5" t="s">
        <v>9</v>
      </c>
      <c r="Y60" t="s">
        <v>129</v>
      </c>
    </row>
    <row r="61" spans="1:25" ht="15" customHeight="1">
      <c r="A61" s="40">
        <v>7908705049</v>
      </c>
      <c r="B61" s="40">
        <f>_xlfn.XLOOKUP(Table2[[#This Row],[Ativo]],Joao!B:B,Joao!Z:Z)</f>
        <v>0</v>
      </c>
      <c r="C61" s="5" t="str">
        <f>MID(Table2[[#This Row],[Ativo]],1,2)</f>
        <v>79</v>
      </c>
      <c r="D61" s="5" t="s">
        <v>86</v>
      </c>
      <c r="E61" s="5" t="s">
        <v>75</v>
      </c>
      <c r="F61" s="5" t="s">
        <v>76</v>
      </c>
      <c r="G61" s="4" t="str">
        <f>IFERROR(_xlfn.XLOOKUP(Table2[[#This Row],[Ativo]],Pendentes[COD_RELIGADOR],Pendentes[SS_ORIGINAL]),"CONCLUÍDA")</f>
        <v>ETO-RD-DP 00409/2026</v>
      </c>
      <c r="H61" s="4" t="s">
        <v>445</v>
      </c>
      <c r="I61" s="4" t="s">
        <v>713</v>
      </c>
      <c r="K61" s="4" t="s">
        <v>443</v>
      </c>
      <c r="L61" s="29" t="s">
        <v>469</v>
      </c>
      <c r="M61" s="31">
        <v>1</v>
      </c>
      <c r="N61" t="str">
        <f>IFERROR(_xlfn.XLOOKUP(Table2[[#This Row],[Ativo]],Pendentes[COD_RELIGADOR],Pendentes[DESCRICAO]),"")</f>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v>
      </c>
      <c r="O61" s="5">
        <v>15</v>
      </c>
      <c r="P61" s="5">
        <v>20</v>
      </c>
      <c r="Q61" s="5">
        <v>5</v>
      </c>
      <c r="R61" s="5">
        <v>15</v>
      </c>
      <c r="S61" s="5">
        <v>15</v>
      </c>
      <c r="T61" s="5">
        <v>0</v>
      </c>
      <c r="U61" s="5">
        <v>10</v>
      </c>
      <c r="V61" s="5">
        <v>15</v>
      </c>
      <c r="W61" s="5">
        <f>SUM(Table2[[#This Row],[Premissa 1]:[Premissa 8]])</f>
        <v>95</v>
      </c>
      <c r="X61" s="5" t="s">
        <v>9</v>
      </c>
      <c r="Y61" t="s">
        <v>89</v>
      </c>
    </row>
    <row r="62" spans="1:25" ht="15" customHeight="1">
      <c r="A62" s="12">
        <v>7908708116</v>
      </c>
      <c r="B62" s="12" t="e">
        <f>_xlfn.XLOOKUP(Table2[[#This Row],[Ativo]],Joao!B:B,Joao!Z:Z)</f>
        <v>#N/A</v>
      </c>
      <c r="C62" s="5" t="str">
        <f>MID(Table2[[#This Row],[Ativo]],1,2)</f>
        <v>79</v>
      </c>
      <c r="D62" s="5" t="s">
        <v>200</v>
      </c>
      <c r="E62" s="5" t="s">
        <v>75</v>
      </c>
      <c r="F62" s="5" t="s">
        <v>76</v>
      </c>
      <c r="G62" s="4" t="str">
        <f>IFERROR(_xlfn.XLOOKUP(Table2[[#This Row],[Ativo]],Pendentes[COD_RELIGADOR],Pendentes[SS_ORIGINAL]),"CONCLUÍDA")</f>
        <v>CONCLUÍDA</v>
      </c>
      <c r="H62" s="4" t="s">
        <v>714</v>
      </c>
      <c r="I62" s="4" t="s">
        <v>715</v>
      </c>
      <c r="K62" s="4" t="s">
        <v>694</v>
      </c>
      <c r="L62" s="29" t="s">
        <v>469</v>
      </c>
      <c r="M62" s="31"/>
      <c r="N62" t="str">
        <f>IFERROR(_xlfn.XLOOKUP(Table2[[#This Row],[Ativo]],Pendentes[COD_RELIGADOR],Pendentes[DESCRICAO]),"")</f>
        <v/>
      </c>
      <c r="O62" s="5">
        <v>5</v>
      </c>
      <c r="P62" s="5">
        <v>5</v>
      </c>
      <c r="Q62" s="5">
        <v>0</v>
      </c>
      <c r="R62" s="5">
        <v>0</v>
      </c>
      <c r="S62" s="5">
        <v>0</v>
      </c>
      <c r="T62" s="5">
        <v>0</v>
      </c>
      <c r="U62" s="5">
        <v>10</v>
      </c>
      <c r="V62" s="5">
        <v>0</v>
      </c>
      <c r="W62" s="5">
        <f>SUM(Table2[[#This Row],[Premissa 1]:[Premissa 8]])</f>
        <v>20</v>
      </c>
      <c r="X62" s="5" t="s">
        <v>15</v>
      </c>
      <c r="Y62" t="s">
        <v>545</v>
      </c>
    </row>
    <row r="63" spans="1:25" ht="15" customHeight="1">
      <c r="A63" s="4">
        <v>7908716091</v>
      </c>
      <c r="B63" s="4" t="e">
        <f>_xlfn.XLOOKUP(Table2[[#This Row],[Ativo]],Joao!B:B,Joao!Z:Z)</f>
        <v>#N/A</v>
      </c>
      <c r="C63" s="5" t="str">
        <f>MID(Table2[[#This Row],[Ativo]],1,2)</f>
        <v>79</v>
      </c>
      <c r="G63" s="4" t="str">
        <f>IFERROR(_xlfn.XLOOKUP(Table2[[#This Row],[Ativo]],Pendentes[COD_RELIGADOR],Pendentes[SS_ORIGINAL]),"CONCLUÍDA")</f>
        <v>ETO-TELE 01019/2026</v>
      </c>
      <c r="H63" s="4" t="s">
        <v>495</v>
      </c>
      <c r="L63" s="29"/>
      <c r="M63" s="31"/>
      <c r="N63" t="str">
        <f>IFERROR(_xlfn.XLOOKUP(Table2[[#This Row],[Ativo]],Pendentes[COD_RELIGADOR],Pendentes[DESCRICAO]),"")</f>
        <v>Segue nota para verificar falha de comunicação no religador 7908716091 - Rural -  Almas  .Equipamento perdeu a comunicação quando faltou CA , porém mesmo ao retorna o CA não retornou à comunicação !</v>
      </c>
      <c r="O63" s="5"/>
      <c r="P63" s="5"/>
      <c r="Q63" s="5"/>
      <c r="R63" s="5"/>
      <c r="S63" s="5"/>
      <c r="T63" s="5"/>
      <c r="U63" s="5"/>
      <c r="V63" s="5"/>
      <c r="W63" s="5">
        <f>SUM(Table2[[#This Row],[Premissa 1]:[Premissa 8]])</f>
        <v>0</v>
      </c>
      <c r="X63" s="5"/>
    </row>
    <row r="64" spans="1:25" ht="15" customHeight="1">
      <c r="A64" s="4">
        <v>7910027196</v>
      </c>
      <c r="B64" s="4" t="e">
        <f>_xlfn.XLOOKUP(Table2[[#This Row],[Ativo]],Joao!B:B,Joao!Z:Z)</f>
        <v>#N/A</v>
      </c>
      <c r="C64" s="5" t="str">
        <f>MID(Table2[[#This Row],[Ativo]],1,2)</f>
        <v>79</v>
      </c>
      <c r="D64" s="5" t="s">
        <v>546</v>
      </c>
      <c r="E64" s="5" t="s">
        <v>62</v>
      </c>
      <c r="F64" s="5" t="s">
        <v>42</v>
      </c>
      <c r="G64" s="4" t="str">
        <f>IFERROR(_xlfn.XLOOKUP(Table2[[#This Row],[Ativo]],Pendentes[COD_RELIGADOR],Pendentes[SS_ORIGINAL]),"CONCLUÍDA")</f>
        <v>CONCLUÍDA</v>
      </c>
      <c r="H64" s="4" t="s">
        <v>451</v>
      </c>
      <c r="K64" s="4" t="s">
        <v>694</v>
      </c>
      <c r="L64" s="29" t="s">
        <v>469</v>
      </c>
      <c r="M64" s="31">
        <v>1</v>
      </c>
      <c r="N64" t="str">
        <f>IFERROR(_xlfn.XLOOKUP(Table2[[#This Row],[Ativo]],Pendentes[COD_RELIGADOR],Pendentes[DESCRICAO]),"")</f>
        <v/>
      </c>
      <c r="O64" s="5">
        <v>5</v>
      </c>
      <c r="P64" s="5">
        <v>5</v>
      </c>
      <c r="Q64" s="5">
        <v>0</v>
      </c>
      <c r="R64" s="5">
        <v>0</v>
      </c>
      <c r="S64" s="5">
        <v>0</v>
      </c>
      <c r="T64" s="5">
        <v>0</v>
      </c>
      <c r="U64" s="5">
        <v>10</v>
      </c>
      <c r="V64" s="5">
        <v>0</v>
      </c>
      <c r="W64" s="5">
        <f>SUM(Table2[[#This Row],[Premissa 1]:[Premissa 8]])</f>
        <v>20</v>
      </c>
      <c r="X64" s="5" t="s">
        <v>15</v>
      </c>
      <c r="Y64" t="s">
        <v>549</v>
      </c>
    </row>
    <row r="65" spans="1:25" ht="34.5" customHeight="1">
      <c r="A65" s="4">
        <v>7911120026</v>
      </c>
      <c r="B65" s="4" t="e">
        <f>_xlfn.XLOOKUP(Table2[[#This Row],[Ativo]],Joao!B:B,Joao!Z:Z)</f>
        <v>#N/A</v>
      </c>
      <c r="C65" s="5" t="str">
        <f>MID(Table2[[#This Row],[Ativo]],1,2)</f>
        <v>79</v>
      </c>
      <c r="D65" s="5" t="s">
        <v>108</v>
      </c>
      <c r="E65" s="5" t="s">
        <v>108</v>
      </c>
      <c r="F65" s="5" t="s">
        <v>42</v>
      </c>
      <c r="G65" s="4" t="str">
        <f>IFERROR(_xlfn.XLOOKUP(Table2[[#This Row],[Ativo]],Pendentes[COD_RELIGADOR],Pendentes[SS_ORIGINAL]),"CONCLUÍDA")</f>
        <v>DG-RD-PO 00444/2026</v>
      </c>
      <c r="H65" s="4" t="s">
        <v>716</v>
      </c>
      <c r="I65" s="4" t="s">
        <v>497</v>
      </c>
      <c r="L65" s="29"/>
      <c r="M65" s="31"/>
      <c r="N65" t="str">
        <f>IFERROR(_xlfn.XLOOKUP(Table2[[#This Row],[Ativo]],Pendentes[COD_RELIGADOR],Pendentes[DESCRICAO]),"")</f>
        <v>Segue nota para recuperar malha de aterramento no RL 7911120026 RDU- Ponte Alta .OBS: Provavelmente foi furtado cabos de aterramento   .</v>
      </c>
      <c r="O65" s="5" t="s">
        <v>696</v>
      </c>
      <c r="P65" s="5"/>
      <c r="Q65" s="5"/>
      <c r="R65" s="5"/>
      <c r="S65" s="5"/>
      <c r="T65" s="5"/>
      <c r="U65" s="5"/>
      <c r="V65" s="5"/>
      <c r="W65" s="5">
        <f>SUM(Table2[[#This Row],[Premissa 1]:[Premissa 8]])</f>
        <v>0</v>
      </c>
      <c r="X65" s="5"/>
    </row>
    <row r="66" spans="1:25" ht="15" customHeight="1">
      <c r="A66" s="4">
        <v>7913662076</v>
      </c>
      <c r="B66" s="4" t="e">
        <f>_xlfn.XLOOKUP(Table2[[#This Row],[Ativo]],Joao!B:B,Joao!Z:Z)</f>
        <v>#N/A</v>
      </c>
      <c r="C66" s="5" t="str">
        <f>MID(Table2[[#This Row],[Ativo]],1,2)</f>
        <v>79</v>
      </c>
      <c r="D66" s="5" t="s">
        <v>335</v>
      </c>
      <c r="E66" s="5" t="s">
        <v>336</v>
      </c>
      <c r="F66" s="5" t="s">
        <v>76</v>
      </c>
      <c r="G66" s="4" t="str">
        <f>IFERROR(_xlfn.XLOOKUP(Table2[[#This Row],[Ativo]],Pendentes[COD_RELIGADOR],Pendentes[SS_ORIGINAL]),"CONCLUÍDA")</f>
        <v>ETO-COEP 00114/2026</v>
      </c>
      <c r="H66" s="4" t="s">
        <v>451</v>
      </c>
      <c r="I66" s="4" t="s">
        <v>717</v>
      </c>
      <c r="K66" s="4" t="s">
        <v>694</v>
      </c>
      <c r="L66" s="29" t="s">
        <v>480</v>
      </c>
      <c r="M66" s="31">
        <v>1</v>
      </c>
      <c r="N66" t="str">
        <f>IFERROR(_xlfn.XLOOKUP(Table2[[#This Row],[Ativo]],Pendentes[COD_RELIGADOR],Pendentes[DESCRICAO]),"")</f>
        <v>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v>
      </c>
      <c r="O66" s="5">
        <v>5</v>
      </c>
      <c r="P66" s="5">
        <v>5</v>
      </c>
      <c r="Q66" s="5">
        <v>0</v>
      </c>
      <c r="R66" s="5">
        <v>0</v>
      </c>
      <c r="S66" s="5">
        <v>0</v>
      </c>
      <c r="T66" s="5">
        <v>10</v>
      </c>
      <c r="U66" s="5">
        <v>0</v>
      </c>
      <c r="V66" s="5">
        <v>0</v>
      </c>
      <c r="W66" s="5">
        <f>SUM(Table2[[#This Row],[Premissa 1]:[Premissa 8]])</f>
        <v>20</v>
      </c>
      <c r="X66" s="5" t="s">
        <v>15</v>
      </c>
      <c r="Y66" t="s">
        <v>339</v>
      </c>
    </row>
    <row r="67" spans="1:25" ht="15" customHeight="1">
      <c r="A67" s="4">
        <v>7919270014</v>
      </c>
      <c r="B67" s="4" t="e">
        <f>_xlfn.XLOOKUP(Table2[[#This Row],[Ativo]],Joao!B:B,Joao!Z:Z)</f>
        <v>#N/A</v>
      </c>
      <c r="C67" s="5" t="str">
        <f>MID(Table2[[#This Row],[Ativo]],1,2)</f>
        <v>79</v>
      </c>
      <c r="D67" s="5" t="s">
        <v>126</v>
      </c>
      <c r="E67" s="5" t="s">
        <v>97</v>
      </c>
      <c r="F67" s="5" t="s">
        <v>42</v>
      </c>
      <c r="G67" s="4" t="str">
        <f>IFERROR(_xlfn.XLOOKUP(Table2[[#This Row],[Ativo]],Pendentes[COD_RELIGADOR],Pendentes[SS_ORIGINAL]),"CONCLUÍDA")</f>
        <v>ETO-RD-PS 00327/2026</v>
      </c>
      <c r="H67" s="4" t="s">
        <v>451</v>
      </c>
      <c r="K67" s="4" t="s">
        <v>694</v>
      </c>
      <c r="L67" s="29"/>
      <c r="M67" s="31"/>
      <c r="N67" t="str">
        <f>IFERROR(_xlfn.XLOOKUP(Table2[[#This Row],[Ativo]],Pendentes[COD_RELIGADOR],Pendentes[DESCRICAO]),"")</f>
        <v>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v>
      </c>
      <c r="O67" s="5">
        <v>5</v>
      </c>
      <c r="P67" s="5">
        <v>5</v>
      </c>
      <c r="Q67" s="5">
        <v>0</v>
      </c>
      <c r="R67" s="5">
        <v>0</v>
      </c>
      <c r="S67" s="5">
        <v>0</v>
      </c>
      <c r="T67" s="5">
        <v>10</v>
      </c>
      <c r="U67" s="5">
        <v>0</v>
      </c>
      <c r="V67" s="5">
        <v>0</v>
      </c>
      <c r="W67" s="5">
        <f>SUM(Table2[[#This Row],[Premissa 1]:[Premissa 8]])</f>
        <v>20</v>
      </c>
      <c r="X67" s="5" t="s">
        <v>15</v>
      </c>
      <c r="Y67" t="s">
        <v>350</v>
      </c>
    </row>
    <row r="68" spans="1:25" ht="15" customHeight="1">
      <c r="A68" s="4">
        <v>7920024127</v>
      </c>
      <c r="B68" s="4" t="e">
        <f>_xlfn.XLOOKUP(Table2[[#This Row],[Ativo]],Joao!B:B,Joao!Z:Z)</f>
        <v>#N/A</v>
      </c>
      <c r="C68" s="5" t="str">
        <f>MID(Table2[[#This Row],[Ativo]],1,2)</f>
        <v>79</v>
      </c>
      <c r="D68" s="5" t="s">
        <v>222</v>
      </c>
      <c r="E68" s="5" t="s">
        <v>223</v>
      </c>
      <c r="F68" s="5" t="s">
        <v>51</v>
      </c>
      <c r="G68" s="4" t="str">
        <f>IFERROR(_xlfn.XLOOKUP(Table2[[#This Row],[Ativo]],Pendentes[COD_RELIGADOR],Pendentes[SS_ORIGINAL]),"CONCLUÍDA")</f>
        <v>ETO-COEP 00120/2025</v>
      </c>
      <c r="H68" s="4" t="s">
        <v>451</v>
      </c>
      <c r="K68" s="4" t="s">
        <v>694</v>
      </c>
      <c r="L68" s="29" t="s">
        <v>510</v>
      </c>
      <c r="M68" s="31">
        <v>1</v>
      </c>
      <c r="N68" t="str">
        <f>IFERROR(_xlfn.XLOOKUP(Table2[[#This Row],[Ativo]],Pendentes[COD_RELIGADOR],Pendentes[DESCRICAO]),"")</f>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v>
      </c>
      <c r="O68" s="5">
        <v>15</v>
      </c>
      <c r="P68" s="5">
        <v>10</v>
      </c>
      <c r="Q68" s="5">
        <v>5</v>
      </c>
      <c r="R68" s="5">
        <v>15</v>
      </c>
      <c r="S68" s="5">
        <v>0</v>
      </c>
      <c r="T68" s="5">
        <v>10</v>
      </c>
      <c r="U68" s="5">
        <v>0</v>
      </c>
      <c r="V68" s="5">
        <v>0</v>
      </c>
      <c r="W68" s="5">
        <f>SUM(Table2[[#This Row],[Premissa 1]:[Premissa 8]])</f>
        <v>55</v>
      </c>
      <c r="X68" s="5" t="s">
        <v>13</v>
      </c>
      <c r="Y68" t="s">
        <v>226</v>
      </c>
    </row>
    <row r="69" spans="1:25" ht="15" customHeight="1">
      <c r="A69" s="4">
        <v>7921040031</v>
      </c>
      <c r="B69" s="4" t="e">
        <f>_xlfn.XLOOKUP(Table2[[#This Row],[Ativo]],Joao!B:B,Joao!Z:Z)</f>
        <v>#N/A</v>
      </c>
      <c r="C69" s="5" t="str">
        <f>MID(Table2[[#This Row],[Ativo]],1,2)</f>
        <v>79</v>
      </c>
      <c r="D69" s="5" t="s">
        <v>476</v>
      </c>
      <c r="E69" s="5" t="s">
        <v>186</v>
      </c>
      <c r="F69" s="5" t="s">
        <v>42</v>
      </c>
      <c r="G69" s="4" t="str">
        <f>IFERROR(_xlfn.XLOOKUP(Table2[[#This Row],[Ativo]],Pendentes[COD_RELIGADOR],Pendentes[SS_ORIGINAL]),"CONCLUÍDA")</f>
        <v>CONCLUÍDA</v>
      </c>
      <c r="H69" s="4" t="s">
        <v>683</v>
      </c>
      <c r="K69" s="4" t="s">
        <v>438</v>
      </c>
      <c r="L69" s="29"/>
      <c r="M69" s="31"/>
      <c r="N69" t="str">
        <f>IFERROR(_xlfn.XLOOKUP(Table2[[#This Row],[Ativo]],Pendentes[COD_RELIGADOR],Pendentes[DESCRICAO]),"")</f>
        <v/>
      </c>
      <c r="O69" s="5">
        <v>15</v>
      </c>
      <c r="P69" s="5">
        <v>20</v>
      </c>
      <c r="Q69" s="5">
        <v>5</v>
      </c>
      <c r="R69" s="5">
        <v>15</v>
      </c>
      <c r="S69" s="5">
        <v>15</v>
      </c>
      <c r="T69" s="5">
        <v>10</v>
      </c>
      <c r="U69" s="5">
        <v>0</v>
      </c>
      <c r="V69" s="5">
        <v>15</v>
      </c>
      <c r="W69" s="5">
        <f>SUM(Table2[[#This Row],[Premissa 1]:[Premissa 8]])</f>
        <v>95</v>
      </c>
      <c r="X69" s="5" t="s">
        <v>9</v>
      </c>
      <c r="Y69" t="s">
        <v>477</v>
      </c>
    </row>
    <row r="70" spans="1:25" ht="15" customHeight="1">
      <c r="A70" s="4">
        <v>7921202014</v>
      </c>
      <c r="B70" s="4" t="e">
        <f>_xlfn.XLOOKUP(Table2[[#This Row],[Ativo]],Joao!B:B,Joao!Z:Z)</f>
        <v>#N/A</v>
      </c>
      <c r="C70" s="5" t="str">
        <f>MID(Table2[[#This Row],[Ativo]],1,2)</f>
        <v>79</v>
      </c>
      <c r="D70" s="5" t="s">
        <v>126</v>
      </c>
      <c r="E70" s="5" t="s">
        <v>97</v>
      </c>
      <c r="F70" s="5" t="s">
        <v>42</v>
      </c>
      <c r="G70" s="4" t="str">
        <f>IFERROR(_xlfn.XLOOKUP(Table2[[#This Row],[Ativo]],Pendentes[COD_RELIGADOR],Pendentes[SS_ORIGINAL]),"CONCLUÍDA")</f>
        <v>ETO-COEP 00132/2026</v>
      </c>
      <c r="H70" s="4" t="s">
        <v>451</v>
      </c>
      <c r="K70" s="4" t="s">
        <v>694</v>
      </c>
      <c r="L70" s="29" t="s">
        <v>480</v>
      </c>
      <c r="M70" s="31">
        <v>1</v>
      </c>
      <c r="N70" t="str">
        <f>IFERROR(_xlfn.XLOOKUP(Table2[[#This Row],[Ativo]],Pendentes[COD_RELIGADOR],Pendentes[DESCRICAO]),"")</f>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v>
      </c>
      <c r="O70" s="5">
        <v>5</v>
      </c>
      <c r="P70" s="5">
        <v>5</v>
      </c>
      <c r="Q70" s="5">
        <v>5</v>
      </c>
      <c r="R70" s="5">
        <v>0</v>
      </c>
      <c r="S70" s="5">
        <v>0</v>
      </c>
      <c r="T70" s="5">
        <v>10</v>
      </c>
      <c r="U70" s="5">
        <v>0</v>
      </c>
      <c r="V70" s="5">
        <v>0</v>
      </c>
      <c r="W70" s="5">
        <f>SUM(Table2[[#This Row],[Premissa 1]:[Premissa 8]])</f>
        <v>25</v>
      </c>
      <c r="X70" s="5" t="s">
        <v>15</v>
      </c>
      <c r="Y70" t="s">
        <v>322</v>
      </c>
    </row>
    <row r="71" spans="1:25" ht="15" customHeight="1">
      <c r="A71" s="12">
        <v>7922995039</v>
      </c>
      <c r="B71" s="12" t="e">
        <f>_xlfn.XLOOKUP(Table2[[#This Row],[Ativo]],Joao!B:B,Joao!Z:Z)</f>
        <v>#N/A</v>
      </c>
      <c r="C71" s="5" t="str">
        <f>MID(Table2[[#This Row],[Ativo]],1,2)</f>
        <v>79</v>
      </c>
      <c r="D71" s="5" t="s">
        <v>267</v>
      </c>
      <c r="E71" s="5" t="s">
        <v>132</v>
      </c>
      <c r="F71" s="5" t="s">
        <v>51</v>
      </c>
      <c r="G71" s="4" t="str">
        <f>IFERROR(_xlfn.XLOOKUP(Table2[[#This Row],[Ativo]],Pendentes[COD_RELIGADOR],Pendentes[SS_ORIGINAL]),"CONCLUÍDA")</f>
        <v>ETO-PROT 00135/2026</v>
      </c>
      <c r="H71" s="4" t="s">
        <v>683</v>
      </c>
      <c r="K71" s="4" t="s">
        <v>522</v>
      </c>
      <c r="L71" s="29"/>
      <c r="M71" s="31"/>
      <c r="N71" t="str">
        <f>IFERROR(_xlfn.XLOOKUP(Table2[[#This Row],[Ativo]],Pendentes[COD_RELIGADOR],Pendentes[DESCRICAO]),"")</f>
        <v>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v>
      </c>
      <c r="O71" s="5">
        <v>5</v>
      </c>
      <c r="P71" s="5">
        <v>5</v>
      </c>
      <c r="Q71" s="5">
        <v>0</v>
      </c>
      <c r="R71" s="5">
        <v>0</v>
      </c>
      <c r="S71" s="5">
        <v>15</v>
      </c>
      <c r="T71" s="5">
        <v>10</v>
      </c>
      <c r="U71" s="5">
        <v>0</v>
      </c>
      <c r="V71" s="5">
        <v>0</v>
      </c>
      <c r="W71" s="5">
        <f>SUM(Table2[[#This Row],[Premissa 1]:[Premissa 8]])</f>
        <v>35</v>
      </c>
      <c r="X71" s="5" t="s">
        <v>14</v>
      </c>
      <c r="Y71" t="s">
        <v>270</v>
      </c>
    </row>
    <row r="72" spans="1:25" ht="15" customHeight="1">
      <c r="A72" s="4">
        <v>7923110021</v>
      </c>
      <c r="B72" s="4" t="e">
        <f>_xlfn.XLOOKUP(Table2[[#This Row],[Ativo]],Joao!B:B,Joao!Z:Z)</f>
        <v>#N/A</v>
      </c>
      <c r="C72" s="5" t="str">
        <f>MID(Table2[[#This Row],[Ativo]],1,2)</f>
        <v>79</v>
      </c>
      <c r="G72" s="4" t="str">
        <f>IFERROR(_xlfn.XLOOKUP(Table2[[#This Row],[Ativo]],Pendentes[COD_RELIGADOR],Pendentes[SS_ORIGINAL]),"CONCLUÍDA")</f>
        <v>ETO-TELE 01027/2026</v>
      </c>
      <c r="H72" s="4" t="s">
        <v>495</v>
      </c>
      <c r="L72" s="29"/>
      <c r="M72" s="31"/>
      <c r="N72" t="str">
        <f>IFERROR(_xlfn.XLOOKUP(Table2[[#This Row],[Ativo]],Pendentes[COD_RELIGADOR],Pendentes[DESCRICAO]),"")</f>
        <v>Segue SS para verificar falha de comunicação no religador 7923110021. Equipe foi no local realizar primeiro ataque e informou que o radio de comunicação encontra-se com defeito</v>
      </c>
      <c r="O72" s="5"/>
      <c r="P72" s="5"/>
      <c r="Q72" s="5"/>
      <c r="R72" s="5"/>
      <c r="S72" s="5"/>
      <c r="T72" s="5"/>
      <c r="U72" s="5"/>
      <c r="V72" s="5"/>
      <c r="W72" s="5">
        <f>SUM(Table2[[#This Row],[Premissa 1]:[Premissa 8]])</f>
        <v>0</v>
      </c>
      <c r="X72" s="5"/>
    </row>
    <row r="73" spans="1:25" ht="15" customHeight="1">
      <c r="A73" s="4">
        <v>7923673004</v>
      </c>
      <c r="B73" s="4" t="e">
        <f>_xlfn.XLOOKUP(Table2[[#This Row],[Ativo]],Joao!B:B,Joao!Z:Z)</f>
        <v>#N/A</v>
      </c>
      <c r="C73" s="5" t="str">
        <f>MID(Table2[[#This Row],[Ativo]],1,2)</f>
        <v>79</v>
      </c>
      <c r="D73" s="5" t="s">
        <v>57</v>
      </c>
      <c r="E73" s="5" t="s">
        <v>57</v>
      </c>
      <c r="F73" s="5" t="s">
        <v>51</v>
      </c>
      <c r="G73" s="4" t="str">
        <f>IFERROR(_xlfn.XLOOKUP(Table2[[#This Row],[Ativo]],Pendentes[COD_RELIGADOR],Pendentes[SS_ORIGINAL]),"CONCLUÍDA")</f>
        <v>ETO-COEP 00124/2026</v>
      </c>
      <c r="H73" s="4" t="s">
        <v>451</v>
      </c>
      <c r="I73" s="4" t="s">
        <v>718</v>
      </c>
      <c r="K73" s="4" t="s">
        <v>694</v>
      </c>
      <c r="L73" s="29" t="s">
        <v>469</v>
      </c>
      <c r="M73" s="31">
        <v>1</v>
      </c>
      <c r="N73" t="str">
        <f>IFERROR(_xlfn.XLOOKUP(Table2[[#This Row],[Ativo]],Pendentes[COD_RELIGADOR],Pendentes[DESCRICAO]),"")</f>
        <v>PARECER COEP: Verificar Disponibilidade de equipamento no Scada e enviar modelo e tensão para a compra.RELIGADOR COM RELÉ DANIFICADO, REALIZAR SUBSTITUIÇÃO</v>
      </c>
      <c r="O73" s="5">
        <v>15</v>
      </c>
      <c r="P73" s="5">
        <v>20</v>
      </c>
      <c r="Q73" s="5">
        <v>15</v>
      </c>
      <c r="R73" s="5">
        <v>15</v>
      </c>
      <c r="S73" s="5">
        <v>15</v>
      </c>
      <c r="T73" s="5">
        <v>10</v>
      </c>
      <c r="U73" s="5">
        <v>0</v>
      </c>
      <c r="V73" s="5">
        <v>15</v>
      </c>
      <c r="W73" s="5">
        <f>SUM(Table2[[#This Row],[Premissa 1]:[Premissa 8]])</f>
        <v>105</v>
      </c>
      <c r="X73" s="5" t="s">
        <v>9</v>
      </c>
      <c r="Y73" t="s">
        <v>60</v>
      </c>
    </row>
    <row r="74" spans="1:25" ht="15" customHeight="1">
      <c r="A74" s="4">
        <v>7923927122</v>
      </c>
      <c r="B74" s="4" t="e">
        <f>_xlfn.XLOOKUP(Table2[[#This Row],[Ativo]],Joao!B:B,Joao!Z:Z)</f>
        <v>#N/A</v>
      </c>
      <c r="C74" s="5" t="str">
        <f>MID(Table2[[#This Row],[Ativo]],1,2)</f>
        <v>79</v>
      </c>
      <c r="D74" s="5" t="s">
        <v>68</v>
      </c>
      <c r="E74" s="5" t="s">
        <v>68</v>
      </c>
      <c r="F74" s="5" t="s">
        <v>42</v>
      </c>
      <c r="G74" s="4" t="str">
        <f>IFERROR(_xlfn.XLOOKUP(Table2[[#This Row],[Ativo]],Pendentes[COD_RELIGADOR],Pendentes[SS_ORIGINAL]),"CONCLUÍDA")</f>
        <v>ETO-COEP 00148/2026</v>
      </c>
      <c r="H74" s="4" t="s">
        <v>451</v>
      </c>
      <c r="K74" s="4" t="s">
        <v>694</v>
      </c>
      <c r="L74" s="29" t="s">
        <v>480</v>
      </c>
      <c r="M74" s="31">
        <v>1</v>
      </c>
      <c r="N74" t="str">
        <f>IFERROR(_xlfn.XLOOKUP(Table2[[#This Row],[Ativo]],Pendentes[COD_RELIGADOR],Pendentes[DESCRICAO]),"")</f>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v>
      </c>
      <c r="O74" s="5">
        <v>15</v>
      </c>
      <c r="P74" s="5">
        <v>0</v>
      </c>
      <c r="Q74" s="5">
        <v>0</v>
      </c>
      <c r="R74" s="5">
        <v>0</v>
      </c>
      <c r="S74" s="5">
        <v>0</v>
      </c>
      <c r="T74" s="5">
        <v>10</v>
      </c>
      <c r="U74" s="5">
        <v>0</v>
      </c>
      <c r="V74" s="5">
        <v>0</v>
      </c>
      <c r="W74" s="5">
        <f>SUM(Table2[[#This Row],[Premissa 1]:[Premissa 8]])</f>
        <v>25</v>
      </c>
      <c r="X74" s="5" t="s">
        <v>15</v>
      </c>
      <c r="Y74" t="s">
        <v>314</v>
      </c>
    </row>
    <row r="75" spans="1:25" ht="15" customHeight="1">
      <c r="A75" s="4">
        <v>7925087021</v>
      </c>
      <c r="B75" s="4" t="str">
        <f>_xlfn.XLOOKUP(Table2[[#This Row],[Ativo]],Joao!B:B,Joao!Z:Z)</f>
        <v>ETO-RD-GU 1391/2026 (atrasada) Aguardando previsão de substituição</v>
      </c>
      <c r="C75" s="5" t="str">
        <f>MID(Table2[[#This Row],[Ativo]],1,2)</f>
        <v>79</v>
      </c>
      <c r="D75" s="5" t="s">
        <v>176</v>
      </c>
      <c r="E75" s="5" t="s">
        <v>177</v>
      </c>
      <c r="F75" s="5" t="s">
        <v>76</v>
      </c>
      <c r="G75" s="4" t="str">
        <f>IFERROR(_xlfn.XLOOKUP(Table2[[#This Row],[Ativo]],Pendentes[COD_RELIGADOR],Pendentes[SS_ORIGINAL]),"CONCLUÍDA")</f>
        <v>ETO-PROT 00152/2026</v>
      </c>
      <c r="H75" s="4" t="s">
        <v>471</v>
      </c>
      <c r="I75" s="38"/>
      <c r="J75" s="38"/>
      <c r="K75" s="4" t="s">
        <v>443</v>
      </c>
      <c r="L75" s="29" t="s">
        <v>480</v>
      </c>
      <c r="M75" s="31">
        <v>1</v>
      </c>
      <c r="N75" t="str">
        <f>IFERROR(_xlfn.XLOOKUP(Table2[[#This Row],[Ativo]],Pendentes[COD_RELIGADOR],Pendentes[DESCRICAO]),"")</f>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v>
      </c>
      <c r="O75" s="5">
        <v>15</v>
      </c>
      <c r="P75" s="5">
        <v>10</v>
      </c>
      <c r="Q75" s="5">
        <v>5</v>
      </c>
      <c r="R75" s="5">
        <v>0</v>
      </c>
      <c r="S75" s="5">
        <v>15</v>
      </c>
      <c r="T75" s="5">
        <v>10</v>
      </c>
      <c r="U75" s="5">
        <v>0</v>
      </c>
      <c r="V75" s="5">
        <v>15</v>
      </c>
      <c r="W75" s="5">
        <f>SUM(Table2[[#This Row],[Premissa 1]:[Premissa 8]])</f>
        <v>70</v>
      </c>
      <c r="X75" s="5" t="s">
        <v>13</v>
      </c>
      <c r="Y75" t="s">
        <v>180</v>
      </c>
    </row>
    <row r="76" spans="1:25" ht="15" customHeight="1">
      <c r="A76" s="4">
        <v>7925713040</v>
      </c>
      <c r="B76" s="4" t="e">
        <f>_xlfn.XLOOKUP(Table2[[#This Row],[Ativo]],Joao!B:B,Joao!Z:Z)</f>
        <v>#N/A</v>
      </c>
      <c r="C76" s="5" t="str">
        <f>MID(Table2[[#This Row],[Ativo]],1,2)</f>
        <v>79</v>
      </c>
      <c r="D76" s="5" t="s">
        <v>492</v>
      </c>
      <c r="E76" s="5" t="s">
        <v>57</v>
      </c>
      <c r="F76" s="5" t="s">
        <v>51</v>
      </c>
      <c r="G76" s="4" t="str">
        <f>IFERROR(_xlfn.XLOOKUP(Table2[[#This Row],[Ativo]],Pendentes[COD_RELIGADOR],Pendentes[SS_ORIGINAL]),"CONCLUÍDA")</f>
        <v>CONCLUÍDA</v>
      </c>
      <c r="H76" s="4" t="s">
        <v>495</v>
      </c>
      <c r="L76" s="29"/>
      <c r="M76" s="31"/>
      <c r="N76" t="str">
        <f>IFERROR(_xlfn.XLOOKUP(Table2[[#This Row],[Ativo]],Pendentes[COD_RELIGADOR],Pendentes[DESCRICAO]),"")</f>
        <v/>
      </c>
      <c r="O76" s="5" t="s">
        <v>696</v>
      </c>
      <c r="P76" s="5"/>
      <c r="Q76" s="5"/>
      <c r="R76" s="5"/>
      <c r="S76" s="5"/>
      <c r="T76" s="5"/>
      <c r="U76" s="5"/>
      <c r="V76" s="5"/>
      <c r="W76" s="5">
        <f>SUM(Table2[[#This Row],[Premissa 1]:[Premissa 8]])</f>
        <v>0</v>
      </c>
      <c r="X76" s="5"/>
    </row>
    <row r="77" spans="1:25" ht="15" customHeight="1">
      <c r="A77" s="4">
        <v>7925733015</v>
      </c>
      <c r="B77" s="4" t="e">
        <f>_xlfn.XLOOKUP(Table2[[#This Row],[Ativo]],Joao!B:B,Joao!Z:Z)</f>
        <v>#N/A</v>
      </c>
      <c r="C77" s="5" t="str">
        <f>MID(Table2[[#This Row],[Ativo]],1,2)</f>
        <v>79</v>
      </c>
      <c r="D77" s="5" t="s">
        <v>283</v>
      </c>
      <c r="E77" s="5" t="s">
        <v>50</v>
      </c>
      <c r="F77" s="5" t="s">
        <v>51</v>
      </c>
      <c r="G77" s="4" t="str">
        <f>IFERROR(_xlfn.XLOOKUP(Table2[[#This Row],[Ativo]],Pendentes[COD_RELIGADOR],Pendentes[SS_ORIGINAL]),"CONCLUÍDA")</f>
        <v>ETO-COEP 00058/2026</v>
      </c>
      <c r="H77" s="4" t="s">
        <v>451</v>
      </c>
      <c r="K77" s="4" t="s">
        <v>694</v>
      </c>
      <c r="L77" s="29" t="s">
        <v>480</v>
      </c>
      <c r="M77" s="31">
        <v>1</v>
      </c>
      <c r="N77" t="str">
        <f>IFERROR(_xlfn.XLOOKUP(Table2[[#This Row],[Ativo]],Pendentes[COD_RELIGADOR],Pendentes[DESCRICAO]),"")</f>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v>
      </c>
      <c r="O77" s="5">
        <v>5</v>
      </c>
      <c r="P77" s="5">
        <v>5</v>
      </c>
      <c r="Q77" s="5">
        <v>0</v>
      </c>
      <c r="R77" s="5">
        <v>0</v>
      </c>
      <c r="S77" s="5">
        <v>15</v>
      </c>
      <c r="T77" s="5">
        <v>10</v>
      </c>
      <c r="U77" s="5">
        <v>0</v>
      </c>
      <c r="V77" s="5">
        <v>0</v>
      </c>
      <c r="W77" s="5">
        <f>SUM(Table2[[#This Row],[Premissa 1]:[Premissa 8]])</f>
        <v>35</v>
      </c>
      <c r="X77" s="5" t="s">
        <v>14</v>
      </c>
      <c r="Y77" t="s">
        <v>286</v>
      </c>
    </row>
    <row r="78" spans="1:25" ht="15" customHeight="1">
      <c r="A78" s="4">
        <v>7925744087</v>
      </c>
      <c r="B78" s="4" t="e">
        <f>_xlfn.XLOOKUP(Table2[[#This Row],[Ativo]],Joao!B:B,Joao!Z:Z)</f>
        <v>#N/A</v>
      </c>
      <c r="C78" s="5" t="str">
        <f>MID(Table2[[#This Row],[Ativo]],1,2)</f>
        <v>79</v>
      </c>
      <c r="D78" s="5" t="s">
        <v>91</v>
      </c>
      <c r="E78" s="5" t="s">
        <v>50</v>
      </c>
      <c r="F78" s="5" t="s">
        <v>51</v>
      </c>
      <c r="G78" s="4" t="str">
        <f>IFERROR(_xlfn.XLOOKUP(Table2[[#This Row],[Ativo]],Pendentes[COD_RELIGADOR],Pendentes[SS_ORIGINAL]),"CONCLUÍDA")</f>
        <v>ETO-COEP 00059/2026</v>
      </c>
      <c r="H78" s="4" t="s">
        <v>451</v>
      </c>
      <c r="I78" s="4" t="s">
        <v>464</v>
      </c>
      <c r="K78" s="4" t="s">
        <v>694</v>
      </c>
      <c r="L78" s="29" t="s">
        <v>465</v>
      </c>
      <c r="M78" s="31">
        <v>1</v>
      </c>
      <c r="N78" t="str">
        <f>IFERROR(_xlfn.XLOOKUP(Table2[[#This Row],[Ativo]],Pendentes[COD_RELIGADOR],Pendentes[DESCRICAO]),"")</f>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v>
      </c>
      <c r="O78" s="5">
        <v>15</v>
      </c>
      <c r="P78" s="5">
        <v>20</v>
      </c>
      <c r="Q78" s="5">
        <v>5</v>
      </c>
      <c r="R78" s="5">
        <v>15</v>
      </c>
      <c r="S78" s="5">
        <v>15</v>
      </c>
      <c r="T78" s="5">
        <v>10</v>
      </c>
      <c r="U78" s="5">
        <v>0</v>
      </c>
      <c r="V78" s="5">
        <v>15</v>
      </c>
      <c r="W78" s="5">
        <f>SUM(Table2[[#This Row],[Premissa 1]:[Premissa 8]])</f>
        <v>95</v>
      </c>
      <c r="X78" s="5" t="s">
        <v>9</v>
      </c>
      <c r="Y78" t="s">
        <v>94</v>
      </c>
    </row>
    <row r="79" spans="1:25" ht="15" customHeight="1">
      <c r="A79" s="4">
        <v>7925871077</v>
      </c>
      <c r="B79" s="4" t="e">
        <f>_xlfn.XLOOKUP(Table2[[#This Row],[Ativo]],Joao!B:B,Joao!Z:Z)</f>
        <v>#N/A</v>
      </c>
      <c r="C79" s="5" t="str">
        <f>MID(Table2[[#This Row],[Ativo]],1,2)</f>
        <v>79</v>
      </c>
      <c r="D79" s="5" t="s">
        <v>144</v>
      </c>
      <c r="E79" s="5" t="s">
        <v>57</v>
      </c>
      <c r="F79" s="5" t="s">
        <v>51</v>
      </c>
      <c r="G79" s="4" t="str">
        <f>IFERROR(_xlfn.XLOOKUP(Table2[[#This Row],[Ativo]],Pendentes[COD_RELIGADOR],Pendentes[SS_ORIGINAL]),"CONCLUÍDA")</f>
        <v>ETO-COEP 00048/2026</v>
      </c>
      <c r="H79" s="4" t="s">
        <v>451</v>
      </c>
      <c r="K79" s="4" t="s">
        <v>694</v>
      </c>
      <c r="L79" s="29" t="s">
        <v>480</v>
      </c>
      <c r="M79" s="31">
        <v>1</v>
      </c>
      <c r="N79" t="str">
        <f>IFERROR(_xlfn.XLOOKUP(Table2[[#This Row],[Ativo]],Pendentes[COD_RELIGADOR],Pendentes[DESCRICAO]),"")</f>
        <v>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v>
      </c>
      <c r="O79" s="5">
        <v>15</v>
      </c>
      <c r="P79" s="5">
        <v>10</v>
      </c>
      <c r="Q79" s="5">
        <v>15</v>
      </c>
      <c r="R79" s="5">
        <v>15</v>
      </c>
      <c r="S79" s="5">
        <v>15</v>
      </c>
      <c r="T79" s="5">
        <v>10</v>
      </c>
      <c r="U79" s="5">
        <v>0</v>
      </c>
      <c r="V79" s="5">
        <v>0</v>
      </c>
      <c r="W79" s="5">
        <f>SUM(Table2[[#This Row],[Premissa 1]:[Premissa 8]])</f>
        <v>80</v>
      </c>
      <c r="X79" s="5" t="s">
        <v>9</v>
      </c>
      <c r="Y79" t="s">
        <v>147</v>
      </c>
    </row>
    <row r="80" spans="1:25" ht="15" customHeight="1">
      <c r="A80" s="4">
        <v>7926089013</v>
      </c>
      <c r="B80" s="4" t="e">
        <f>_xlfn.XLOOKUP(Table2[[#This Row],[Ativo]],Joao!B:B,Joao!Z:Z)</f>
        <v>#N/A</v>
      </c>
      <c r="C80" s="5" t="str">
        <f>MID(Table2[[#This Row],[Ativo]],1,2)</f>
        <v>79</v>
      </c>
      <c r="D80" s="5" t="s">
        <v>97</v>
      </c>
      <c r="E80" s="5" t="s">
        <v>97</v>
      </c>
      <c r="F80" s="5" t="s">
        <v>42</v>
      </c>
      <c r="G80" s="4" t="str">
        <f>IFERROR(_xlfn.XLOOKUP(Table2[[#This Row],[Ativo]],Pendentes[COD_RELIGADOR],Pendentes[SS_ORIGINAL]),"CONCLUÍDA")</f>
        <v>ETO-COEP 00078/2026</v>
      </c>
      <c r="H80" s="4" t="s">
        <v>451</v>
      </c>
      <c r="K80" s="4" t="s">
        <v>694</v>
      </c>
      <c r="L80" s="29" t="s">
        <v>480</v>
      </c>
      <c r="M80" s="31">
        <v>1</v>
      </c>
      <c r="N80" t="str">
        <f>IFERROR(_xlfn.XLOOKUP(Table2[[#This Row],[Ativo]],Pendentes[COD_RELIGADOR],Pendentes[DESCRICAO]),"")</f>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v>
      </c>
      <c r="O80" s="5">
        <v>15</v>
      </c>
      <c r="P80" s="5">
        <v>10</v>
      </c>
      <c r="Q80" s="5">
        <v>5</v>
      </c>
      <c r="R80" s="5">
        <v>15</v>
      </c>
      <c r="S80" s="5">
        <v>15</v>
      </c>
      <c r="T80" s="5">
        <v>10</v>
      </c>
      <c r="U80" s="5">
        <v>0</v>
      </c>
      <c r="V80" s="5">
        <v>0</v>
      </c>
      <c r="W80" s="5">
        <f>SUM(Table2[[#This Row],[Premissa 1]:[Premissa 8]])</f>
        <v>70</v>
      </c>
      <c r="X80" s="5" t="s">
        <v>13</v>
      </c>
      <c r="Y80" t="s">
        <v>174</v>
      </c>
    </row>
    <row r="81" spans="1:25" ht="15" customHeight="1">
      <c r="A81" s="4">
        <v>7926442035</v>
      </c>
      <c r="B81" s="4" t="e">
        <f>_xlfn.XLOOKUP(Table2[[#This Row],[Ativo]],Joao!B:B,Joao!Z:Z)</f>
        <v>#N/A</v>
      </c>
      <c r="C81" s="5" t="str">
        <f>MID(Table2[[#This Row],[Ativo]],1,2)</f>
        <v>79</v>
      </c>
      <c r="D81" s="5" t="s">
        <v>234</v>
      </c>
      <c r="E81" s="5" t="s">
        <v>108</v>
      </c>
      <c r="F81" s="5" t="s">
        <v>42</v>
      </c>
      <c r="G81" s="4" t="str">
        <f>IFERROR(_xlfn.XLOOKUP(Table2[[#This Row],[Ativo]],Pendentes[COD_RELIGADOR],Pendentes[SS_ORIGINAL]),"CONCLUÍDA")</f>
        <v>ETO-COEP 00051/2026</v>
      </c>
      <c r="H81" s="4" t="s">
        <v>451</v>
      </c>
      <c r="I81" s="4" t="s">
        <v>717</v>
      </c>
      <c r="K81" s="4" t="s">
        <v>694</v>
      </c>
      <c r="L81" s="29" t="s">
        <v>719</v>
      </c>
      <c r="M81" s="31">
        <v>1</v>
      </c>
      <c r="N81" t="str">
        <f>IFERROR(_xlfn.XLOOKUP(Table2[[#This Row],[Ativo]],Pendentes[COD_RELIGADOR],Pendentes[DESCRICAO]),"")</f>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v>
      </c>
      <c r="O81" s="5">
        <v>5</v>
      </c>
      <c r="P81" s="5">
        <v>5</v>
      </c>
      <c r="Q81" s="5">
        <v>0</v>
      </c>
      <c r="R81" s="5">
        <v>0</v>
      </c>
      <c r="S81" s="5">
        <v>0</v>
      </c>
      <c r="T81" s="5">
        <v>0</v>
      </c>
      <c r="U81" s="5">
        <v>10</v>
      </c>
      <c r="V81" s="5">
        <v>0</v>
      </c>
      <c r="W81" s="5">
        <f>SUM(Table2[[#This Row],[Premissa 1]:[Premissa 8]])</f>
        <v>20</v>
      </c>
      <c r="X81" s="5" t="s">
        <v>15</v>
      </c>
      <c r="Y81" t="s">
        <v>353</v>
      </c>
    </row>
    <row r="82" spans="1:25" ht="15" customHeight="1">
      <c r="A82" s="4">
        <v>7927169001</v>
      </c>
      <c r="B82" s="4">
        <f>_xlfn.XLOOKUP(Table2[[#This Row],[Ativo]],Joao!B:B,Joao!Z:Z)</f>
        <v>0</v>
      </c>
      <c r="C82" s="5" t="str">
        <f>MID(Table2[[#This Row],[Ativo]],1,2)</f>
        <v>79</v>
      </c>
      <c r="D82" s="5" t="s">
        <v>41</v>
      </c>
      <c r="E82" s="5" t="s">
        <v>41</v>
      </c>
      <c r="F82" s="5" t="s">
        <v>42</v>
      </c>
      <c r="G82" s="4" t="str">
        <f>IFERROR(_xlfn.XLOOKUP(Table2[[#This Row],[Ativo]],Pendentes[COD_RELIGADOR],Pendentes[SS_ORIGINAL]),"CONCLUÍDA")</f>
        <v>ETO-PROT 00156/2026</v>
      </c>
      <c r="H82" s="4" t="s">
        <v>471</v>
      </c>
      <c r="I82" s="38"/>
      <c r="J82" s="38"/>
      <c r="K82" s="4" t="s">
        <v>443</v>
      </c>
      <c r="L82" s="29" t="s">
        <v>480</v>
      </c>
      <c r="M82" s="31"/>
      <c r="N82" t="str">
        <f>IFERROR(_xlfn.XLOOKUP(Table2[[#This Row],[Ativo]],Pendentes[COD_RELIGADOR],Pendentes[DESCRICAO]),"")</f>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v>
      </c>
      <c r="O82" s="5">
        <v>5</v>
      </c>
      <c r="P82" s="5">
        <v>5</v>
      </c>
      <c r="Q82" s="5">
        <v>15</v>
      </c>
      <c r="R82" s="5">
        <v>0</v>
      </c>
      <c r="S82" s="5">
        <v>15</v>
      </c>
      <c r="T82" s="5">
        <v>0</v>
      </c>
      <c r="U82" s="5">
        <v>0</v>
      </c>
      <c r="V82" s="5">
        <v>15</v>
      </c>
      <c r="W82" s="5">
        <f>SUM(Table2[[#This Row],[Premissa 1]:[Premissa 8]])</f>
        <v>55</v>
      </c>
      <c r="X82" s="5" t="s">
        <v>13</v>
      </c>
      <c r="Y82" t="s">
        <v>232</v>
      </c>
    </row>
    <row r="83" spans="1:25" ht="15" customHeight="1">
      <c r="A83" s="4">
        <v>7927396052</v>
      </c>
      <c r="B83" s="4" t="e">
        <f>_xlfn.XLOOKUP(Table2[[#This Row],[Ativo]],Joao!B:B,Joao!Z:Z)</f>
        <v>#N/A</v>
      </c>
      <c r="C83" s="5" t="str">
        <f>MID(Table2[[#This Row],[Ativo]],1,2)</f>
        <v>79</v>
      </c>
      <c r="D83" s="5" t="s">
        <v>192</v>
      </c>
      <c r="E83" s="5" t="s">
        <v>192</v>
      </c>
      <c r="F83" s="5" t="s">
        <v>76</v>
      </c>
      <c r="G83" s="4" t="str">
        <f>IFERROR(_xlfn.XLOOKUP(Table2[[#This Row],[Ativo]],Pendentes[COD_RELIGADOR],Pendentes[SS_ORIGINAL]),"CONCLUÍDA")</f>
        <v>ETO-COEP 00045/2026</v>
      </c>
      <c r="H83" s="4" t="s">
        <v>451</v>
      </c>
      <c r="K83" s="4" t="s">
        <v>694</v>
      </c>
      <c r="L83" s="29" t="s">
        <v>480</v>
      </c>
      <c r="M83" s="31">
        <v>1</v>
      </c>
      <c r="N83" t="str">
        <f>IFERROR(_xlfn.XLOOKUP(Table2[[#This Row],[Ativo]],Pendentes[COD_RELIGADOR],Pendentes[DESCRICAO]),"")</f>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v>
      </c>
      <c r="O83" s="5">
        <v>5</v>
      </c>
      <c r="P83" s="5">
        <v>5</v>
      </c>
      <c r="Q83" s="5">
        <v>0</v>
      </c>
      <c r="R83" s="5">
        <v>0</v>
      </c>
      <c r="S83" s="5">
        <v>15</v>
      </c>
      <c r="T83" s="5">
        <v>10</v>
      </c>
      <c r="U83" s="5">
        <v>0</v>
      </c>
      <c r="V83" s="5">
        <v>0</v>
      </c>
      <c r="W83" s="5">
        <f>SUM(Table2[[#This Row],[Premissa 1]:[Premissa 8]])</f>
        <v>35</v>
      </c>
      <c r="X83" s="5" t="s">
        <v>14</v>
      </c>
      <c r="Y83" t="s">
        <v>281</v>
      </c>
    </row>
    <row r="84" spans="1:25" ht="15" customHeight="1">
      <c r="A84" s="4">
        <v>7927413001</v>
      </c>
      <c r="B84" s="4" t="e">
        <f>_xlfn.XLOOKUP(Table2[[#This Row],[Ativo]],Joao!B:B,Joao!Z:Z)</f>
        <v>#N/A</v>
      </c>
      <c r="C84" s="5" t="str">
        <f>MID(Table2[[#This Row],[Ativo]],1,2)</f>
        <v>79</v>
      </c>
      <c r="D84" s="5" t="s">
        <v>41</v>
      </c>
      <c r="E84" s="5" t="s">
        <v>41</v>
      </c>
      <c r="F84" s="5" t="s">
        <v>42</v>
      </c>
      <c r="G84" s="4" t="str">
        <f>IFERROR(_xlfn.XLOOKUP(Table2[[#This Row],[Ativo]],Pendentes[COD_RELIGADOR],Pendentes[SS_ORIGINAL]),"CONCLUÍDA")</f>
        <v>ETO-COEP 00141/2026</v>
      </c>
      <c r="H84" s="4" t="s">
        <v>451</v>
      </c>
      <c r="K84" s="4" t="s">
        <v>694</v>
      </c>
      <c r="L84" s="29" t="s">
        <v>469</v>
      </c>
      <c r="M84" s="31">
        <v>1</v>
      </c>
      <c r="N84" t="str">
        <f>IFERROR(_xlfn.XLOOKUP(Table2[[#This Row],[Ativo]],Pendentes[COD_RELIGADOR],Pendentes[DESCRICAO]),"")</f>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v>
      </c>
      <c r="O84" s="5">
        <v>15</v>
      </c>
      <c r="P84" s="5">
        <v>5</v>
      </c>
      <c r="Q84" s="5">
        <v>15</v>
      </c>
      <c r="R84" s="5">
        <v>15</v>
      </c>
      <c r="S84" s="5">
        <v>15</v>
      </c>
      <c r="T84" s="5">
        <v>10</v>
      </c>
      <c r="U84" s="5">
        <v>0</v>
      </c>
      <c r="V84" s="5">
        <v>15</v>
      </c>
      <c r="W84" s="5">
        <f>SUM(Table2[[#This Row],[Premissa 1]:[Premissa 8]])</f>
        <v>90</v>
      </c>
      <c r="X84" s="5" t="s">
        <v>9</v>
      </c>
      <c r="Y84" t="s">
        <v>123</v>
      </c>
    </row>
    <row r="85" spans="1:25" ht="15" customHeight="1">
      <c r="A85" s="4">
        <v>7927446001</v>
      </c>
      <c r="B85" s="4" t="e">
        <f>_xlfn.XLOOKUP(Table2[[#This Row],[Ativo]],Joao!B:B,Joao!Z:Z)</f>
        <v>#N/A</v>
      </c>
      <c r="C85" s="5" t="str">
        <f>MID(Table2[[#This Row],[Ativo]],1,2)</f>
        <v>79</v>
      </c>
      <c r="D85" s="5" t="s">
        <v>41</v>
      </c>
      <c r="E85" s="5" t="s">
        <v>41</v>
      </c>
      <c r="F85" s="5" t="s">
        <v>42</v>
      </c>
      <c r="G85" s="4" t="str">
        <f>IFERROR(_xlfn.XLOOKUP(Table2[[#This Row],[Ativo]],Pendentes[COD_RELIGADOR],Pendentes[SS_ORIGINAL]),"CONCLUÍDA")</f>
        <v>ETO-COEP 00143/2025</v>
      </c>
      <c r="H85" s="4" t="s">
        <v>451</v>
      </c>
      <c r="K85" s="4" t="s">
        <v>694</v>
      </c>
      <c r="L85" s="29" t="s">
        <v>469</v>
      </c>
      <c r="M85" s="31">
        <v>1</v>
      </c>
      <c r="N85" t="str">
        <f>IFERROR(_xlfn.XLOOKUP(Table2[[#This Row],[Ativo]],Pendentes[COD_RELIGADOR],Pendentes[DESCRICAO]),"")</f>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v>
      </c>
      <c r="O85" s="5">
        <v>5</v>
      </c>
      <c r="P85" s="5">
        <v>5</v>
      </c>
      <c r="Q85" s="5">
        <v>5</v>
      </c>
      <c r="R85" s="5">
        <v>0</v>
      </c>
      <c r="S85" s="5">
        <v>0</v>
      </c>
      <c r="T85" s="5">
        <v>10</v>
      </c>
      <c r="U85" s="5">
        <v>0</v>
      </c>
      <c r="V85" s="5">
        <v>0</v>
      </c>
      <c r="W85" s="5">
        <f>SUM(Table2[[#This Row],[Premissa 1]:[Premissa 8]])</f>
        <v>25</v>
      </c>
      <c r="X85" s="5" t="s">
        <v>15</v>
      </c>
      <c r="Y85" t="s">
        <v>325</v>
      </c>
    </row>
    <row r="86" spans="1:25" ht="15" customHeight="1">
      <c r="A86" s="4">
        <v>7927646026</v>
      </c>
      <c r="B86" s="4" t="e">
        <f>_xlfn.XLOOKUP(Table2[[#This Row],[Ativo]],Joao!B:B,Joao!Z:Z)</f>
        <v>#N/A</v>
      </c>
      <c r="C86" s="5" t="str">
        <f>MID(Table2[[#This Row],[Ativo]],1,2)</f>
        <v>79</v>
      </c>
      <c r="D86" s="5" t="s">
        <v>108</v>
      </c>
      <c r="E86" s="5" t="s">
        <v>108</v>
      </c>
      <c r="F86" s="5" t="s">
        <v>42</v>
      </c>
      <c r="G86" s="4" t="str">
        <f>IFERROR(_xlfn.XLOOKUP(Table2[[#This Row],[Ativo]],Pendentes[COD_RELIGADOR],Pendentes[SS_ORIGINAL]),"CONCLUÍDA")</f>
        <v>ETO-COEP 00029/2026</v>
      </c>
      <c r="H86" s="4" t="s">
        <v>451</v>
      </c>
      <c r="K86" s="4" t="s">
        <v>694</v>
      </c>
      <c r="L86" s="29" t="s">
        <v>480</v>
      </c>
      <c r="M86" s="31">
        <v>1</v>
      </c>
      <c r="N86" t="str">
        <f>IFERROR(_xlfn.XLOOKUP(Table2[[#This Row],[Ativo]],Pendentes[COD_RELIGADOR],Pendentes[DESCRICAO]),"")</f>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v>
      </c>
      <c r="O86" s="5">
        <v>15</v>
      </c>
      <c r="P86" s="5">
        <v>10</v>
      </c>
      <c r="Q86" s="5">
        <v>5</v>
      </c>
      <c r="R86" s="5">
        <v>0</v>
      </c>
      <c r="S86" s="5">
        <v>15</v>
      </c>
      <c r="T86" s="5">
        <v>0</v>
      </c>
      <c r="U86" s="5">
        <v>10</v>
      </c>
      <c r="V86" s="5">
        <v>0</v>
      </c>
      <c r="W86" s="5">
        <f>SUM(Table2[[#This Row],[Premissa 1]:[Premissa 8]])</f>
        <v>55</v>
      </c>
      <c r="X86" s="5" t="s">
        <v>13</v>
      </c>
      <c r="Y86" t="s">
        <v>229</v>
      </c>
    </row>
    <row r="87" spans="1:25" ht="15" customHeight="1">
      <c r="A87" s="4">
        <v>7927713200</v>
      </c>
      <c r="B87" s="4" t="e">
        <f>_xlfn.XLOOKUP(Table2[[#This Row],[Ativo]],Joao!B:B,Joao!Z:Z)</f>
        <v>#N/A</v>
      </c>
      <c r="C87" s="5" t="str">
        <f>MID(Table2[[#This Row],[Ativo]],1,2)</f>
        <v>79</v>
      </c>
      <c r="D87" s="5" t="s">
        <v>327</v>
      </c>
      <c r="E87" s="5" t="s">
        <v>177</v>
      </c>
      <c r="F87" s="5" t="s">
        <v>76</v>
      </c>
      <c r="G87" s="4" t="str">
        <f>IFERROR(_xlfn.XLOOKUP(Table2[[#This Row],[Ativo]],Pendentes[COD_RELIGADOR],Pendentes[SS_ORIGINAL]),"CONCLUÍDA")</f>
        <v>CONCLUÍDA</v>
      </c>
      <c r="H87" s="11" t="s">
        <v>451</v>
      </c>
      <c r="I87" s="4" t="s">
        <v>715</v>
      </c>
      <c r="K87" s="4" t="s">
        <v>694</v>
      </c>
      <c r="L87" s="29" t="s">
        <v>480</v>
      </c>
      <c r="M87" s="31">
        <v>1</v>
      </c>
      <c r="N87" t="str">
        <f>IFERROR(_xlfn.XLOOKUP(Table2[[#This Row],[Ativo]],Pendentes[COD_RELIGADOR],Pendentes[DESCRICAO]),"")</f>
        <v/>
      </c>
      <c r="O87" s="5">
        <v>5</v>
      </c>
      <c r="P87" s="5">
        <v>5</v>
      </c>
      <c r="Q87" s="5">
        <v>5</v>
      </c>
      <c r="R87" s="5">
        <v>0</v>
      </c>
      <c r="S87" s="5">
        <v>15</v>
      </c>
      <c r="T87" s="5">
        <v>10</v>
      </c>
      <c r="U87" s="5">
        <v>0</v>
      </c>
      <c r="V87" s="5">
        <v>0</v>
      </c>
      <c r="W87" s="5">
        <f>SUM(Table2[[#This Row],[Premissa 1]:[Premissa 8]])</f>
        <v>40</v>
      </c>
      <c r="X87" s="5" t="s">
        <v>14</v>
      </c>
      <c r="Y87" t="s">
        <v>518</v>
      </c>
    </row>
    <row r="88" spans="1:25" ht="15" customHeight="1">
      <c r="A88" s="4">
        <v>7928241200</v>
      </c>
      <c r="B88" s="4" t="e">
        <f>_xlfn.XLOOKUP(Table2[[#This Row],[Ativo]],Joao!B:B,Joao!Z:Z)</f>
        <v>#N/A</v>
      </c>
      <c r="C88" s="5" t="str">
        <f>MID(Table2[[#This Row],[Ativo]],1,2)</f>
        <v>79</v>
      </c>
      <c r="D88" s="5" t="s">
        <v>327</v>
      </c>
      <c r="E88" s="5" t="s">
        <v>177</v>
      </c>
      <c r="F88" s="5" t="s">
        <v>76</v>
      </c>
      <c r="G88" s="4" t="str">
        <f>IFERROR(_xlfn.XLOOKUP(Table2[[#This Row],[Ativo]],Pendentes[COD_RELIGADOR],Pendentes[SS_ORIGINAL]),"CONCLUÍDA")</f>
        <v>ETO-COEP 00128/2026</v>
      </c>
      <c r="H88" s="4" t="s">
        <v>451</v>
      </c>
      <c r="K88" s="4" t="s">
        <v>694</v>
      </c>
      <c r="L88" s="29" t="s">
        <v>480</v>
      </c>
      <c r="M88" s="31">
        <v>1</v>
      </c>
      <c r="N88" t="str">
        <f>IFERROR(_xlfn.XLOOKUP(Table2[[#This Row],[Ativo]],Pendentes[COD_RELIGADOR],Pendentes[DESCRICAO]),"")</f>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v>
      </c>
      <c r="O88" s="5">
        <v>5</v>
      </c>
      <c r="P88" s="5">
        <v>5</v>
      </c>
      <c r="Q88" s="5">
        <v>5</v>
      </c>
      <c r="R88" s="5">
        <v>0</v>
      </c>
      <c r="S88" s="5">
        <v>0</v>
      </c>
      <c r="T88" s="5">
        <v>10</v>
      </c>
      <c r="U88" s="5">
        <v>0</v>
      </c>
      <c r="V88" s="5">
        <v>0</v>
      </c>
      <c r="W88" s="5">
        <f>SUM(Table2[[#This Row],[Premissa 1]:[Premissa 8]])</f>
        <v>25</v>
      </c>
      <c r="X88" s="5" t="s">
        <v>15</v>
      </c>
      <c r="Y88" t="s">
        <v>330</v>
      </c>
    </row>
    <row r="89" spans="1:25" ht="15" customHeight="1">
      <c r="A89" s="4">
        <v>7928564039</v>
      </c>
      <c r="B89" s="4" t="e">
        <f>_xlfn.XLOOKUP(Table2[[#This Row],[Ativo]],Joao!B:B,Joao!Z:Z)</f>
        <v>#N/A</v>
      </c>
      <c r="C89" s="5" t="str">
        <f>MID(Table2[[#This Row],[Ativo]],1,2)</f>
        <v>79</v>
      </c>
      <c r="D89" s="5" t="s">
        <v>267</v>
      </c>
      <c r="E89" s="5" t="s">
        <v>132</v>
      </c>
      <c r="F89" s="5" t="s">
        <v>51</v>
      </c>
      <c r="G89" s="4" t="str">
        <f>IFERROR(_xlfn.XLOOKUP(Table2[[#This Row],[Ativo]],Pendentes[COD_RELIGADOR],Pendentes[SS_ORIGINAL]),"CONCLUÍDA")</f>
        <v>ETO-COEP 00123/2026</v>
      </c>
      <c r="H89" s="4" t="s">
        <v>451</v>
      </c>
      <c r="K89" s="4" t="s">
        <v>694</v>
      </c>
      <c r="L89" s="29" t="s">
        <v>469</v>
      </c>
      <c r="M89" s="31">
        <v>1</v>
      </c>
      <c r="N89" t="str">
        <f>IFERROR(_xlfn.XLOOKUP(Table2[[#This Row],[Ativo]],Pendentes[COD_RELIGADOR],Pendentes[DESCRICAO]),"")</f>
        <v>PARECER COEP: EQUIPAMENTO SELECIONADO PARA COMPRATroca do sistema de comunicação do equipamentoDMSL 28/07/2025: Equipamento com tanque, modulo e rele com defeito, solicitar troca do equipamento ao DCMD.Fotos vão ser enviadas por e-mail</v>
      </c>
      <c r="O89" s="5">
        <v>5</v>
      </c>
      <c r="P89" s="5">
        <v>10</v>
      </c>
      <c r="Q89" s="5">
        <v>5</v>
      </c>
      <c r="R89" s="5">
        <v>0</v>
      </c>
      <c r="S89" s="5">
        <v>0</v>
      </c>
      <c r="T89" s="5">
        <v>10</v>
      </c>
      <c r="U89" s="5">
        <v>0</v>
      </c>
      <c r="V89" s="5">
        <v>0</v>
      </c>
      <c r="W89" s="5">
        <f>SUM(Table2[[#This Row],[Premissa 1]:[Premissa 8]])</f>
        <v>30</v>
      </c>
      <c r="X89" s="5" t="s">
        <v>14</v>
      </c>
      <c r="Y89" t="s">
        <v>300</v>
      </c>
    </row>
    <row r="90" spans="1:25" ht="15" customHeight="1">
      <c r="A90" s="4">
        <v>7929376022</v>
      </c>
      <c r="B90" s="4" t="str">
        <f>_xlfn.XLOOKUP(Table2[[#This Row],[Ativo]],Joao!B:B,Joao!Z:Z)</f>
        <v>PROBLEMA NO ENVIO DO CONTROLE</v>
      </c>
      <c r="C90" s="5" t="str">
        <f>MID(Table2[[#This Row],[Ativo]],1,2)</f>
        <v>79</v>
      </c>
      <c r="D90" s="5" t="s">
        <v>102</v>
      </c>
      <c r="E90" s="5" t="s">
        <v>57</v>
      </c>
      <c r="F90" s="5" t="s">
        <v>51</v>
      </c>
      <c r="G90" s="4" t="str">
        <f>IFERROR(_xlfn.XLOOKUP(Table2[[#This Row],[Ativo]],Pendentes[COD_RELIGADOR],Pendentes[SS_ORIGINAL]),"CONCLUÍDA")</f>
        <v>ETO-COEP 00120/2026</v>
      </c>
      <c r="H90" s="4" t="s">
        <v>720</v>
      </c>
      <c r="I90" s="4" t="s">
        <v>721</v>
      </c>
      <c r="K90" s="4" t="s">
        <v>443</v>
      </c>
      <c r="L90" s="29" t="s">
        <v>469</v>
      </c>
      <c r="M90" s="31">
        <v>1</v>
      </c>
      <c r="N90" t="str">
        <f>IFERROR(_xlfn.XLOOKUP(Table2[[#This Row],[Ativo]],Pendentes[COD_RELIGADOR],Pendentes[DESCRICAO]),"")</f>
        <v>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v>
      </c>
      <c r="O90" s="5">
        <v>15</v>
      </c>
      <c r="P90" s="5">
        <v>20</v>
      </c>
      <c r="Q90" s="5">
        <v>5</v>
      </c>
      <c r="R90" s="5">
        <v>15</v>
      </c>
      <c r="S90" s="5">
        <v>15</v>
      </c>
      <c r="T90" s="5">
        <v>10</v>
      </c>
      <c r="U90" s="5">
        <v>0</v>
      </c>
      <c r="V90" s="5">
        <v>15</v>
      </c>
      <c r="W90" s="5">
        <f>SUM(Table2[[#This Row],[Premissa 1]:[Premissa 8]])</f>
        <v>95</v>
      </c>
      <c r="X90" s="5" t="s">
        <v>9</v>
      </c>
      <c r="Y90" t="s">
        <v>105</v>
      </c>
    </row>
    <row r="91" spans="1:25" ht="15" customHeight="1">
      <c r="A91" s="4">
        <v>7929663074</v>
      </c>
      <c r="B91" s="4" t="e">
        <f>_xlfn.XLOOKUP(Table2[[#This Row],[Ativo]],Joao!B:B,Joao!Z:Z)</f>
        <v>#N/A</v>
      </c>
      <c r="C91" s="5" t="str">
        <f>MID(Table2[[#This Row],[Ativo]],1,2)</f>
        <v>79</v>
      </c>
      <c r="G91" s="4" t="str">
        <f>IFERROR(_xlfn.XLOOKUP(Table2[[#This Row],[Ativo]],Pendentes[COD_RELIGADOR],Pendentes[SS_ORIGINAL]),"CONCLUÍDA")</f>
        <v>ETO-TELE 01026/2026</v>
      </c>
      <c r="H91" s="4" t="s">
        <v>495</v>
      </c>
      <c r="L91" s="29"/>
      <c r="M91" s="31"/>
      <c r="N91" t="str">
        <f>IFERROR(_xlfn.XLOOKUP(Table2[[#This Row],[Ativo]],Pendentes[COD_RELIGADOR],Pendentes[DESCRICAO]),"")</f>
        <v>Segue nota para verificar falha de comunicação no religador 7929663074  rural - Dianópolis  .Equipamento perde a comunicação quando falta CA !</v>
      </c>
      <c r="O91" s="5"/>
      <c r="P91" s="5"/>
      <c r="Q91" s="5"/>
      <c r="R91" s="5"/>
      <c r="S91" s="5"/>
      <c r="T91" s="5"/>
      <c r="U91" s="5"/>
      <c r="V91" s="5"/>
      <c r="W91" s="5">
        <f>SUM(Table2[[#This Row],[Premissa 1]:[Premissa 8]])</f>
        <v>0</v>
      </c>
      <c r="X91" s="5"/>
    </row>
    <row r="92" spans="1:25" ht="15" customHeight="1">
      <c r="A92" s="4">
        <v>7930359149</v>
      </c>
      <c r="B92" s="4" t="e">
        <f>_xlfn.XLOOKUP(Table2[[#This Row],[Ativo]],Joao!B:B,Joao!Z:Z)</f>
        <v>#N/A</v>
      </c>
      <c r="C92" s="5" t="str">
        <f>MID(Table2[[#This Row],[Ativo]],1,2)</f>
        <v>79</v>
      </c>
      <c r="D92" s="5" t="s">
        <v>257</v>
      </c>
      <c r="E92" s="5" t="s">
        <v>210</v>
      </c>
      <c r="F92" s="5" t="s">
        <v>42</v>
      </c>
      <c r="G92" s="4" t="str">
        <f>IFERROR(_xlfn.XLOOKUP(Table2[[#This Row],[Ativo]],Pendentes[COD_RELIGADOR],Pendentes[SS_ORIGINAL]),"CONCLUÍDA")</f>
        <v>ETO-COEP 00138/2026</v>
      </c>
      <c r="H92" s="4" t="s">
        <v>455</v>
      </c>
      <c r="L92" s="29"/>
      <c r="M92" s="31"/>
      <c r="N92" t="str">
        <f>IFERROR(_xlfn.XLOOKUP(Table2[[#This Row],[Ativo]],Pendentes[COD_RELIGADOR],Pendentes[DESCRICAO]),"")</f>
        <v>PARECER DMSL 07/07/2026: equipamento tem que ser subistuido pois não faz comando, parte ativa com defeito FEITO O PRIMEIRO ATAQUE NO RELIGADOR 7930359149 E MESMO NÃO ACEITA COMANDO NEM LOCAL E NEM REMOTO SEGUNDO EQUIPE 149OP02 E PLACA DO RL ESTA CARBONIZADA COM SINAL DE CURTO.</v>
      </c>
      <c r="O92" s="5" t="s">
        <v>696</v>
      </c>
      <c r="P92" s="5"/>
      <c r="Q92" s="5"/>
      <c r="R92" s="5"/>
      <c r="S92" s="5"/>
      <c r="T92" s="5"/>
      <c r="U92" s="5"/>
      <c r="V92" s="5"/>
      <c r="W92" s="5">
        <f>SUM(Table2[[#This Row],[Premissa 1]:[Premissa 8]])</f>
        <v>0</v>
      </c>
      <c r="X92" s="5"/>
    </row>
    <row r="93" spans="1:25" ht="15" customHeight="1">
      <c r="A93" s="4">
        <v>7930428001</v>
      </c>
      <c r="B93" s="4" t="e">
        <f>_xlfn.XLOOKUP(Table2[[#This Row],[Ativo]],Joao!B:B,Joao!Z:Z)</f>
        <v>#N/A</v>
      </c>
      <c r="C93" s="5" t="str">
        <f>MID(Table2[[#This Row],[Ativo]],1,2)</f>
        <v>79</v>
      </c>
      <c r="D93" s="5" t="s">
        <v>41</v>
      </c>
      <c r="E93" s="5" t="s">
        <v>41</v>
      </c>
      <c r="F93" s="5" t="s">
        <v>42</v>
      </c>
      <c r="G93" s="4" t="str">
        <f>IFERROR(_xlfn.XLOOKUP(Table2[[#This Row],[Ativo]],Pendentes[COD_RELIGADOR],Pendentes[SS_ORIGINAL]),"CONCLUÍDA")</f>
        <v>ETO-COEP 00150/2026</v>
      </c>
      <c r="H93" s="4" t="s">
        <v>451</v>
      </c>
      <c r="K93" s="4" t="s">
        <v>694</v>
      </c>
      <c r="L93" s="29" t="s">
        <v>480</v>
      </c>
      <c r="M93" s="31">
        <v>1</v>
      </c>
      <c r="N93" t="str">
        <f>IFERROR(_xlfn.XLOOKUP(Table2[[#This Row],[Ativo]],Pendentes[COD_RELIGADOR],Pendentes[DESCRICAO]),"")</f>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v>
      </c>
      <c r="O93" s="5">
        <v>5</v>
      </c>
      <c r="P93" s="5">
        <v>5</v>
      </c>
      <c r="Q93" s="5">
        <v>15</v>
      </c>
      <c r="R93" s="5">
        <v>0</v>
      </c>
      <c r="S93" s="5">
        <v>15</v>
      </c>
      <c r="T93" s="5">
        <v>10</v>
      </c>
      <c r="U93" s="5">
        <v>0</v>
      </c>
      <c r="V93" s="5">
        <v>0</v>
      </c>
      <c r="W93" s="5">
        <f>SUM(Table2[[#This Row],[Premissa 1]:[Premissa 8]])</f>
        <v>50</v>
      </c>
      <c r="X93" s="5" t="s">
        <v>13</v>
      </c>
      <c r="Y93" t="s">
        <v>241</v>
      </c>
    </row>
    <row r="94" spans="1:25" ht="15" customHeight="1">
      <c r="A94" s="4">
        <v>7931383086</v>
      </c>
      <c r="B94" s="4" t="e">
        <f>_xlfn.XLOOKUP(Table2[[#This Row],[Ativo]],Joao!B:B,Joao!Z:Z)</f>
        <v>#N/A</v>
      </c>
      <c r="C94" s="5" t="str">
        <f>MID(Table2[[#This Row],[Ativo]],1,2)</f>
        <v>79</v>
      </c>
      <c r="D94" s="5" t="s">
        <v>209</v>
      </c>
      <c r="E94" s="5" t="s">
        <v>210</v>
      </c>
      <c r="F94" s="5" t="s">
        <v>42</v>
      </c>
      <c r="G94" s="4" t="str">
        <f>IFERROR(_xlfn.XLOOKUP(Table2[[#This Row],[Ativo]],Pendentes[COD_RELIGADOR],Pendentes[SS_ORIGINAL]),"CONCLUÍDA")</f>
        <v>CONCLUÍDA</v>
      </c>
      <c r="H94" s="4" t="s">
        <v>683</v>
      </c>
      <c r="K94" s="4" t="s">
        <v>438</v>
      </c>
      <c r="L94" s="29"/>
      <c r="M94" s="31"/>
      <c r="N94" t="str">
        <f>IFERROR(_xlfn.XLOOKUP(Table2[[#This Row],[Ativo]],Pendentes[COD_RELIGADOR],Pendentes[DESCRICAO]),"")</f>
        <v/>
      </c>
      <c r="O94" s="5">
        <v>15</v>
      </c>
      <c r="P94" s="5">
        <v>20</v>
      </c>
      <c r="Q94" s="5">
        <v>5</v>
      </c>
      <c r="R94" s="5">
        <v>15</v>
      </c>
      <c r="S94" s="5">
        <v>0</v>
      </c>
      <c r="T94" s="5">
        <v>10</v>
      </c>
      <c r="U94" s="5">
        <v>0</v>
      </c>
      <c r="V94" s="5">
        <v>15</v>
      </c>
      <c r="W94" s="5">
        <f>SUM(Table2[[#This Row],[Premissa 1]:[Premissa 8]])</f>
        <v>80</v>
      </c>
      <c r="X94" s="5" t="s">
        <v>9</v>
      </c>
      <c r="Y94" t="s">
        <v>494</v>
      </c>
    </row>
    <row r="95" spans="1:25" ht="15" customHeight="1">
      <c r="A95" s="4">
        <v>7931608059</v>
      </c>
      <c r="B95" s="4" t="e">
        <f>_xlfn.XLOOKUP(Table2[[#This Row],[Ativo]],Joao!B:B,Joao!Z:Z)</f>
        <v>#N/A</v>
      </c>
      <c r="C95" s="5" t="str">
        <f>MID(Table2[[#This Row],[Ativo]],1,2)</f>
        <v>79</v>
      </c>
      <c r="D95" s="5" t="s">
        <v>62</v>
      </c>
      <c r="E95" s="5" t="s">
        <v>62</v>
      </c>
      <c r="F95" s="5" t="s">
        <v>42</v>
      </c>
      <c r="G95" s="4" t="str">
        <f>IFERROR(_xlfn.XLOOKUP(Table2[[#This Row],[Ativo]],Pendentes[COD_RELIGADOR],Pendentes[SS_ORIGINAL]),"CONCLUÍDA")</f>
        <v>ETO-COEP 00040/2026</v>
      </c>
      <c r="H95" s="4" t="s">
        <v>451</v>
      </c>
      <c r="K95" s="4" t="s">
        <v>694</v>
      </c>
      <c r="L95" s="29" t="s">
        <v>454</v>
      </c>
      <c r="M95" s="31">
        <v>1</v>
      </c>
      <c r="N95" t="str">
        <f>IFERROR(_xlfn.XLOOKUP(Table2[[#This Row],[Ativo]],Pendentes[COD_RELIGADOR],Pendentes[DESCRICAO]),"")</f>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v>
      </c>
      <c r="O95" s="5">
        <v>15</v>
      </c>
      <c r="P95" s="5">
        <v>20</v>
      </c>
      <c r="Q95" s="5">
        <v>15</v>
      </c>
      <c r="R95" s="5">
        <v>15</v>
      </c>
      <c r="S95" s="5">
        <v>15</v>
      </c>
      <c r="T95" s="5">
        <v>10</v>
      </c>
      <c r="U95" s="5">
        <v>0</v>
      </c>
      <c r="V95" s="5">
        <v>15</v>
      </c>
      <c r="W95" s="5">
        <f>SUM(Table2[[#This Row],[Premissa 1]:[Premissa 8]])</f>
        <v>105</v>
      </c>
      <c r="X95" s="5" t="s">
        <v>9</v>
      </c>
      <c r="Y95" t="s">
        <v>65</v>
      </c>
    </row>
    <row r="96" spans="1:25" ht="15" customHeight="1">
      <c r="A96" s="4">
        <v>7931610122</v>
      </c>
      <c r="B96" s="4" t="str">
        <f>_xlfn.XLOOKUP(Table2[[#This Row],[Ativo]],Joao!B:B,Joao!Z:Z)</f>
        <v>Em andamento</v>
      </c>
      <c r="C96" s="5" t="str">
        <f>MID(Table2[[#This Row],[Ativo]],1,2)</f>
        <v>79</v>
      </c>
      <c r="D96" s="5" t="s">
        <v>68</v>
      </c>
      <c r="E96" s="5" t="s">
        <v>68</v>
      </c>
      <c r="F96" s="5" t="s">
        <v>42</v>
      </c>
      <c r="G96" s="4" t="str">
        <f>IFERROR(_xlfn.XLOOKUP(Table2[[#This Row],[Ativo]],Pendentes[COD_RELIGADOR],Pendentes[SS_ORIGINAL]),"CONCLUÍDA")</f>
        <v>ETO-TELE 01025/2026</v>
      </c>
      <c r="H96" s="4" t="s">
        <v>482</v>
      </c>
      <c r="J96" s="4" t="s">
        <v>722</v>
      </c>
      <c r="K96" s="4" t="s">
        <v>443</v>
      </c>
      <c r="L96" s="29" t="s">
        <v>723</v>
      </c>
      <c r="M96" s="31">
        <v>1</v>
      </c>
      <c r="N96" t="str">
        <f>IFERROR(_xlfn.XLOOKUP(Table2[[#This Row],[Ativo]],Pendentes[COD_RELIGADOR],Pendentes[DESCRICAO]),"")</f>
        <v>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v>
      </c>
      <c r="O96" s="5">
        <v>15</v>
      </c>
      <c r="P96" s="5">
        <v>20</v>
      </c>
      <c r="Q96" s="5">
        <v>15</v>
      </c>
      <c r="R96" s="5">
        <v>15</v>
      </c>
      <c r="S96" s="5">
        <v>15</v>
      </c>
      <c r="T96" s="5">
        <v>10</v>
      </c>
      <c r="U96" s="5">
        <v>0</v>
      </c>
      <c r="V96" s="5">
        <v>15</v>
      </c>
      <c r="W96" s="5">
        <f>SUM(Table2[[#This Row],[Premissa 1]:[Premissa 8]])</f>
        <v>105</v>
      </c>
      <c r="X96" s="5" t="s">
        <v>9</v>
      </c>
      <c r="Y96" t="s">
        <v>71</v>
      </c>
    </row>
    <row r="97" spans="1:25" ht="15" customHeight="1">
      <c r="A97" s="4">
        <v>7933585074</v>
      </c>
      <c r="B97" s="4" t="e">
        <f>_xlfn.XLOOKUP(Table2[[#This Row],[Ativo]],Joao!B:B,Joao!Z:Z)</f>
        <v>#N/A</v>
      </c>
      <c r="C97" s="5" t="str">
        <f>MID(Table2[[#This Row],[Ativo]],1,2)</f>
        <v>79</v>
      </c>
      <c r="D97" s="5" t="s">
        <v>75</v>
      </c>
      <c r="E97" s="5" t="s">
        <v>75</v>
      </c>
      <c r="F97" s="5" t="s">
        <v>76</v>
      </c>
      <c r="G97" s="4" t="str">
        <f>IFERROR(_xlfn.XLOOKUP(Table2[[#This Row],[Ativo]],Pendentes[COD_RELIGADOR],Pendentes[SS_ORIGINAL]),"CONCLUÍDA")</f>
        <v>ETO-COEP 00024/2026</v>
      </c>
      <c r="H97" s="5" t="s">
        <v>451</v>
      </c>
      <c r="I97" s="4" t="s">
        <v>452</v>
      </c>
      <c r="K97" s="4" t="s">
        <v>694</v>
      </c>
      <c r="L97" s="29" t="s">
        <v>480</v>
      </c>
      <c r="M97" s="31">
        <v>1</v>
      </c>
      <c r="N97" t="str">
        <f>IFERROR(_xlfn.XLOOKUP(Table2[[#This Row],[Ativo]],Pendentes[COD_RELIGADOR],Pendentes[DESCRICAO]),"")</f>
        <v>30/06 PARECER COEP: EQUIPAMENTO SELECIONADO PARA COMPRAREALIZAR SUBSTITUIÇÃO DO TANQUE, O MESMO ESTÁ COM DEFEITO.</v>
      </c>
      <c r="O97" s="5">
        <v>5</v>
      </c>
      <c r="P97" s="5">
        <v>5</v>
      </c>
      <c r="Q97" s="5">
        <v>15</v>
      </c>
      <c r="R97" s="5">
        <v>0</v>
      </c>
      <c r="S97" s="5">
        <v>0</v>
      </c>
      <c r="T97" s="5">
        <v>0</v>
      </c>
      <c r="U97" s="5">
        <v>10</v>
      </c>
      <c r="V97" s="5">
        <v>0</v>
      </c>
      <c r="W97" s="5">
        <f>SUM(Table2[[#This Row],[Premissa 1]:[Premissa 8]])</f>
        <v>35</v>
      </c>
      <c r="X97" s="5" t="s">
        <v>14</v>
      </c>
      <c r="Y97" t="s">
        <v>273</v>
      </c>
    </row>
    <row r="98" spans="1:25" ht="15" customHeight="1">
      <c r="A98" s="4">
        <v>7933726256</v>
      </c>
      <c r="B98" s="4" t="str">
        <f>_xlfn.XLOOKUP(Table2[[#This Row],[Ativo]],Joao!B:B,Joao!Z:Z)</f>
        <v>Utilizaremos o que foi direcionado para Santa Rita , Favor Cancelar a obra COCM´S</v>
      </c>
      <c r="C98" s="5" t="str">
        <f>MID(Table2[[#This Row],[Ativo]],1,2)</f>
        <v>79</v>
      </c>
      <c r="D98" s="5" t="s">
        <v>107</v>
      </c>
      <c r="E98" s="5" t="s">
        <v>108</v>
      </c>
      <c r="F98" s="5" t="s">
        <v>42</v>
      </c>
      <c r="G98" s="4" t="str">
        <f>IFERROR(_xlfn.XLOOKUP(Table2[[#This Row],[Ativo]],Pendentes[COD_RELIGADOR],Pendentes[SS_ORIGINAL]),"CONCLUÍDA")</f>
        <v>ETO-PROT 00145/2026</v>
      </c>
      <c r="H98" s="4" t="s">
        <v>471</v>
      </c>
      <c r="I98" s="4" t="s">
        <v>724</v>
      </c>
      <c r="K98" s="4" t="s">
        <v>443</v>
      </c>
      <c r="L98" s="29" t="s">
        <v>473</v>
      </c>
      <c r="M98" s="31">
        <v>1</v>
      </c>
      <c r="N98" t="str">
        <f>IFERROR(_xlfn.XLOOKUP(Table2[[#This Row],[Ativo]],Pendentes[COD_RELIGADOR],Pendentes[DESCRICAO]),"")</f>
        <v>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v>
      </c>
      <c r="O98" s="5">
        <v>15</v>
      </c>
      <c r="P98" s="5">
        <v>10</v>
      </c>
      <c r="Q98" s="5">
        <v>15</v>
      </c>
      <c r="R98" s="5">
        <v>15</v>
      </c>
      <c r="S98" s="5">
        <v>15</v>
      </c>
      <c r="T98" s="5">
        <v>10</v>
      </c>
      <c r="U98" s="5">
        <v>0</v>
      </c>
      <c r="V98" s="5">
        <v>15</v>
      </c>
      <c r="W98" s="5">
        <f>SUM(Table2[[#This Row],[Premissa 1]:[Premissa 8]])</f>
        <v>95</v>
      </c>
      <c r="X98" s="5" t="s">
        <v>9</v>
      </c>
      <c r="Y98" t="s">
        <v>111</v>
      </c>
    </row>
    <row r="99" spans="1:25" ht="15" customHeight="1">
      <c r="A99" s="4">
        <v>7933766059</v>
      </c>
      <c r="B99" s="4" t="str">
        <f>_xlfn.XLOOKUP(Table2[[#This Row],[Ativo]],Joao!B:B,Joao!Z:Z)</f>
        <v>Em andamento</v>
      </c>
      <c r="C99" s="5" t="str">
        <f>MID(Table2[[#This Row],[Ativo]],1,2)</f>
        <v>79</v>
      </c>
      <c r="D99" s="5" t="s">
        <v>62</v>
      </c>
      <c r="E99" s="5" t="s">
        <v>62</v>
      </c>
      <c r="F99" s="5" t="s">
        <v>42</v>
      </c>
      <c r="G99" s="4" t="str">
        <f>IFERROR(_xlfn.XLOOKUP(Table2[[#This Row],[Ativo]],Pendentes[COD_RELIGADOR],Pendentes[SS_ORIGINAL]),"CONCLUÍDA")</f>
        <v>ETO-TELE 01024/2026</v>
      </c>
      <c r="H99" s="4" t="s">
        <v>482</v>
      </c>
      <c r="I99" s="9"/>
      <c r="J99" s="9"/>
      <c r="K99" s="4" t="s">
        <v>443</v>
      </c>
      <c r="L99" s="29" t="s">
        <v>473</v>
      </c>
      <c r="M99" s="31">
        <v>1</v>
      </c>
      <c r="N99" t="str">
        <f>IFERROR(_xlfn.XLOOKUP(Table2[[#This Row],[Ativo]],Pendentes[COD_RELIGADOR],Pendentes[DESCRICAO]),"")</f>
        <v>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v>
      </c>
      <c r="O99" s="5">
        <v>15</v>
      </c>
      <c r="P99" s="5">
        <v>20</v>
      </c>
      <c r="Q99" s="5">
        <v>5</v>
      </c>
      <c r="R99" s="5">
        <v>15</v>
      </c>
      <c r="S99" s="5">
        <v>15</v>
      </c>
      <c r="T99" s="5">
        <v>0</v>
      </c>
      <c r="U99" s="5">
        <v>10</v>
      </c>
      <c r="V99" s="5">
        <v>15</v>
      </c>
      <c r="W99" s="5">
        <f>SUM(Table2[[#This Row],[Premissa 1]:[Premissa 8]])</f>
        <v>95</v>
      </c>
      <c r="X99" s="5" t="s">
        <v>9</v>
      </c>
      <c r="Y99" t="s">
        <v>115</v>
      </c>
    </row>
    <row r="100" spans="1:25" ht="15" customHeight="1">
      <c r="A100" s="4">
        <v>7934697002</v>
      </c>
      <c r="B100" s="4" t="e">
        <f>_xlfn.XLOOKUP(Table2[[#This Row],[Ativo]],Joao!B:B,Joao!Z:Z)</f>
        <v>#N/A</v>
      </c>
      <c r="C100" s="5" t="str">
        <f>MID(Table2[[#This Row],[Ativo]],1,2)</f>
        <v>79</v>
      </c>
      <c r="D100" s="5" t="s">
        <v>223</v>
      </c>
      <c r="E100" s="5" t="s">
        <v>223</v>
      </c>
      <c r="F100" s="5" t="s">
        <v>51</v>
      </c>
      <c r="G100" s="4" t="str">
        <f>IFERROR(_xlfn.XLOOKUP(Table2[[#This Row],[Ativo]],Pendentes[COD_RELIGADOR],Pendentes[SS_ORIGINAL]),"CONCLUÍDA")</f>
        <v>CONCLUÍDA</v>
      </c>
      <c r="H100" s="4" t="s">
        <v>725</v>
      </c>
      <c r="L100" s="29"/>
      <c r="M100" s="31"/>
      <c r="N100" t="str">
        <f>IFERROR(_xlfn.XLOOKUP(Table2[[#This Row],[Ativo]],Pendentes[COD_RELIGADOR],Pendentes[DESCRICAO]),"")</f>
        <v/>
      </c>
      <c r="O100" s="5" t="s">
        <v>696</v>
      </c>
      <c r="P100" s="5"/>
      <c r="Q100" s="5"/>
      <c r="R100" s="5"/>
      <c r="S100" s="5"/>
      <c r="T100" s="5"/>
      <c r="U100" s="5"/>
      <c r="V100" s="5"/>
      <c r="W100" s="5">
        <f>SUM(Table2[[#This Row],[Premissa 1]:[Premissa 8]])</f>
        <v>0</v>
      </c>
      <c r="X100" s="5"/>
    </row>
    <row r="101" spans="1:25" ht="15" customHeight="1">
      <c r="A101" s="4">
        <v>7934698002</v>
      </c>
      <c r="B101" s="4" t="str">
        <f>_xlfn.XLOOKUP(Table2[[#This Row],[Ativo]],Joao!B:B,Joao!Z:Z)</f>
        <v>Concluido</v>
      </c>
      <c r="C101" s="5" t="str">
        <f>MID(Table2[[#This Row],[Ativo]],1,2)</f>
        <v>79</v>
      </c>
      <c r="D101" s="5" t="s">
        <v>223</v>
      </c>
      <c r="E101" s="5" t="s">
        <v>223</v>
      </c>
      <c r="F101" s="5" t="s">
        <v>51</v>
      </c>
      <c r="G101" s="4" t="str">
        <f>IFERROR(_xlfn.XLOOKUP(Table2[[#This Row],[Ativo]],Pendentes[COD_RELIGADOR],Pendentes[SS_ORIGINAL]),"CONCLUÍDA")</f>
        <v>CONCLUÍDA</v>
      </c>
      <c r="H101" s="4" t="s">
        <v>455</v>
      </c>
      <c r="I101" s="4" t="s">
        <v>726</v>
      </c>
      <c r="K101" s="4" t="s">
        <v>438</v>
      </c>
      <c r="L101" s="29"/>
      <c r="M101" s="31"/>
      <c r="N101" t="str">
        <f>IFERROR(_xlfn.XLOOKUP(Table2[[#This Row],[Ativo]],Pendentes[COD_RELIGADOR],Pendentes[DESCRICAO]),"")</f>
        <v/>
      </c>
      <c r="O101" s="5">
        <v>5</v>
      </c>
      <c r="P101" s="5">
        <v>5</v>
      </c>
      <c r="Q101" s="5">
        <v>5</v>
      </c>
      <c r="R101" s="5">
        <v>0</v>
      </c>
      <c r="S101" s="5">
        <v>15</v>
      </c>
      <c r="T101" s="5">
        <v>0</v>
      </c>
      <c r="U101" s="5">
        <v>10</v>
      </c>
      <c r="V101" s="5">
        <v>15</v>
      </c>
      <c r="W101" s="5">
        <f>SUM(Table2[[#This Row],[Premissa 1]:[Premissa 8]])</f>
        <v>55</v>
      </c>
      <c r="X101" s="5" t="s">
        <v>13</v>
      </c>
      <c r="Y101" t="s">
        <v>512</v>
      </c>
    </row>
    <row r="102" spans="1:25" ht="15" customHeight="1">
      <c r="A102" s="43">
        <v>7936038076</v>
      </c>
      <c r="B102" s="43" t="e">
        <f>_xlfn.XLOOKUP(Table2[[#This Row],[Ativo]],Joao!B:B,Joao!Z:Z)</f>
        <v>#N/A</v>
      </c>
      <c r="C102" s="5" t="str">
        <f>MID(Table2[[#This Row],[Ativo]],1,2)</f>
        <v>79</v>
      </c>
      <c r="D102" s="5" t="s">
        <v>335</v>
      </c>
      <c r="E102" s="5" t="s">
        <v>336</v>
      </c>
      <c r="F102" s="5" t="s">
        <v>76</v>
      </c>
      <c r="G102" s="4" t="str">
        <f>IFERROR(_xlfn.XLOOKUP(Table2[[#This Row],[Ativo]],Pendentes[COD_RELIGADOR],Pendentes[SS_ORIGINAL]),"CONCLUÍDA")</f>
        <v>CONCLUÍDA</v>
      </c>
      <c r="H102" s="11" t="s">
        <v>451</v>
      </c>
      <c r="I102" s="4" t="s">
        <v>715</v>
      </c>
      <c r="K102" s="4" t="s">
        <v>694</v>
      </c>
      <c r="L102" s="29"/>
      <c r="M102" s="31"/>
      <c r="N102" t="str">
        <f>IFERROR(_xlfn.XLOOKUP(Table2[[#This Row],[Ativo]],Pendentes[COD_RELIGADOR],Pendentes[DESCRICAO]),"")</f>
        <v/>
      </c>
      <c r="O102" s="5">
        <v>5</v>
      </c>
      <c r="P102" s="5">
        <v>5</v>
      </c>
      <c r="Q102" s="5">
        <v>15</v>
      </c>
      <c r="R102" s="5">
        <v>0</v>
      </c>
      <c r="S102" s="5">
        <v>15</v>
      </c>
      <c r="T102" s="5">
        <v>10</v>
      </c>
      <c r="U102" s="5">
        <v>0</v>
      </c>
      <c r="V102" s="5">
        <v>0</v>
      </c>
      <c r="W102" s="5">
        <f>SUM(Table2[[#This Row],[Premissa 1]:[Premissa 8]])</f>
        <v>50</v>
      </c>
      <c r="X102" s="5" t="s">
        <v>13</v>
      </c>
      <c r="Y102" t="s">
        <v>513</v>
      </c>
    </row>
    <row r="103" spans="1:25" ht="15" customHeight="1">
      <c r="A103" s="4">
        <v>7937102148</v>
      </c>
      <c r="B103" s="4" t="e">
        <f>_xlfn.XLOOKUP(Table2[[#This Row],[Ativo]],Joao!B:B,Joao!Z:Z)</f>
        <v>#N/A</v>
      </c>
      <c r="C103" s="5" t="str">
        <f>MID(Table2[[#This Row],[Ativo]],1,2)</f>
        <v>79</v>
      </c>
      <c r="D103" s="5" t="s">
        <v>262</v>
      </c>
      <c r="E103" s="5" t="s">
        <v>177</v>
      </c>
      <c r="F103" s="5" t="s">
        <v>76</v>
      </c>
      <c r="G103" s="4" t="str">
        <f>IFERROR(_xlfn.XLOOKUP(Table2[[#This Row],[Ativo]],Pendentes[COD_RELIGADOR],Pendentes[SS_ORIGINAL]),"CONCLUÍDA")</f>
        <v>ETO-COEP 00129/2026</v>
      </c>
      <c r="H103" s="4" t="s">
        <v>451</v>
      </c>
      <c r="K103" s="4" t="s">
        <v>694</v>
      </c>
      <c r="L103" s="29" t="s">
        <v>480</v>
      </c>
      <c r="M103" s="31">
        <v>1</v>
      </c>
      <c r="N103" t="str">
        <f>IFERROR(_xlfn.XLOOKUP(Table2[[#This Row],[Ativo]],Pendentes[COD_RELIGADOR],Pendentes[DESCRICAO]),"")</f>
        <v>PARECER COEP: REAVALIAR DISPONIBILIDADE DO EQUIPAMENTO NO SCADA ASSIM COMO , FORNECER MODELO DO EQUIPAMENTO E FAIXA DE TENSÃO PARA COMPRA / AQUISIÇÃOTanque com defeito, realizar substituição do tanque.</v>
      </c>
      <c r="O103" s="5">
        <v>5</v>
      </c>
      <c r="P103" s="5">
        <v>5</v>
      </c>
      <c r="Q103" s="5">
        <v>5</v>
      </c>
      <c r="R103" s="5">
        <v>0</v>
      </c>
      <c r="S103" s="5">
        <v>15</v>
      </c>
      <c r="T103" s="5">
        <v>10</v>
      </c>
      <c r="U103" s="5">
        <v>0</v>
      </c>
      <c r="V103" s="5">
        <v>0</v>
      </c>
      <c r="W103" s="5">
        <f>SUM(Table2[[#This Row],[Premissa 1]:[Premissa 8]])</f>
        <v>40</v>
      </c>
      <c r="X103" s="5" t="s">
        <v>14</v>
      </c>
      <c r="Y103" t="s">
        <v>265</v>
      </c>
    </row>
    <row r="104" spans="1:25" s="46" customFormat="1" ht="15" customHeight="1">
      <c r="A104" s="4">
        <v>7938137007</v>
      </c>
      <c r="B104" s="4" t="str">
        <f>_xlfn.XLOOKUP(Table2[[#This Row],[Ativo]],Joao!B:B,Joao!Z:Z)</f>
        <v>Não Houve entrega do Material</v>
      </c>
      <c r="C104" s="5" t="str">
        <f>MID(Table2[[#This Row],[Ativo]],1,2)</f>
        <v>79</v>
      </c>
      <c r="D104" s="5" t="s">
        <v>186</v>
      </c>
      <c r="E104" s="5" t="s">
        <v>186</v>
      </c>
      <c r="F104" s="5" t="s">
        <v>42</v>
      </c>
      <c r="G104" s="4" t="str">
        <f>IFERROR(_xlfn.XLOOKUP(Table2[[#This Row],[Ativo]],Pendentes[COD_RELIGADOR],Pendentes[SS_ORIGINAL]),"CONCLUÍDA")</f>
        <v>ETO-COEP 00144/2026</v>
      </c>
      <c r="H104" s="5" t="s">
        <v>451</v>
      </c>
      <c r="I104" s="4"/>
      <c r="J104" s="4"/>
      <c r="K104" s="4" t="s">
        <v>694</v>
      </c>
      <c r="L104" s="29" t="s">
        <v>727</v>
      </c>
      <c r="M104" s="31">
        <v>1</v>
      </c>
      <c r="N104" t="str">
        <f>IFERROR(_xlfn.XLOOKUP(Table2[[#This Row],[Ativo]],Pendentes[COD_RELIGADOR],Pendentes[DESCRICAO]),"")</f>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v>
      </c>
      <c r="O104" s="5">
        <v>5</v>
      </c>
      <c r="P104" s="5">
        <v>5</v>
      </c>
      <c r="Q104" s="5">
        <v>5</v>
      </c>
      <c r="R104" s="5">
        <v>0</v>
      </c>
      <c r="S104" s="5">
        <v>0</v>
      </c>
      <c r="T104" s="5">
        <v>0</v>
      </c>
      <c r="U104" s="5">
        <v>0</v>
      </c>
      <c r="V104" s="5">
        <v>0</v>
      </c>
      <c r="W104" s="5">
        <f>SUM(Table2[[#This Row],[Premissa 1]:[Premissa 8]])</f>
        <v>15</v>
      </c>
      <c r="X104" s="5" t="s">
        <v>15</v>
      </c>
      <c r="Y104" t="s">
        <v>356</v>
      </c>
    </row>
    <row r="105" spans="1:25" ht="15" customHeight="1">
      <c r="A105" s="4">
        <v>7942485096</v>
      </c>
      <c r="B105" s="4" t="e">
        <f>_xlfn.XLOOKUP(Table2[[#This Row],[Ativo]],Joao!B:B,Joao!Z:Z)</f>
        <v>#N/A</v>
      </c>
      <c r="C105" s="5" t="str">
        <f>MID(Table2[[#This Row],[Ativo]],1,2)</f>
        <v>79</v>
      </c>
      <c r="D105" s="5" t="s">
        <v>316</v>
      </c>
      <c r="E105" s="5" t="s">
        <v>108</v>
      </c>
      <c r="F105" s="5" t="s">
        <v>42</v>
      </c>
      <c r="G105" s="4" t="str">
        <f>IFERROR(_xlfn.XLOOKUP(Table2[[#This Row],[Ativo]],Pendentes[COD_RELIGADOR],Pendentes[SS_ORIGINAL]),"CONCLUÍDA")</f>
        <v>ETO-COEP 00158/2025</v>
      </c>
      <c r="H105" s="5" t="s">
        <v>451</v>
      </c>
      <c r="K105" s="4" t="s">
        <v>694</v>
      </c>
      <c r="L105" s="29" t="s">
        <v>480</v>
      </c>
      <c r="M105" s="31">
        <v>1</v>
      </c>
      <c r="N105" t="str">
        <f>IFERROR(_xlfn.XLOOKUP(Table2[[#This Row],[Ativo]],Pendentes[COD_RELIGADOR],Pendentes[DESCRICAO]),"")</f>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v>
      </c>
      <c r="O105" s="5">
        <v>5</v>
      </c>
      <c r="P105" s="5">
        <v>5</v>
      </c>
      <c r="Q105" s="5">
        <v>5</v>
      </c>
      <c r="R105" s="5">
        <v>0</v>
      </c>
      <c r="S105" s="5">
        <v>0</v>
      </c>
      <c r="T105" s="5">
        <v>10</v>
      </c>
      <c r="U105" s="5">
        <v>0</v>
      </c>
      <c r="V105" s="5">
        <v>0</v>
      </c>
      <c r="W105" s="5">
        <f>SUM(Table2[[#This Row],[Premissa 1]:[Premissa 8]])</f>
        <v>25</v>
      </c>
      <c r="X105" s="5" t="s">
        <v>15</v>
      </c>
      <c r="Y105" t="s">
        <v>318</v>
      </c>
    </row>
    <row r="106" spans="1:25" ht="15" customHeight="1">
      <c r="A106" s="12">
        <v>7942572059</v>
      </c>
      <c r="B106" s="12" t="e">
        <f>_xlfn.XLOOKUP(Table2[[#This Row],[Ativo]],Joao!B:B,Joao!Z:Z)</f>
        <v>#N/A</v>
      </c>
      <c r="C106" s="5" t="str">
        <f>MID(Table2[[#This Row],[Ativo]],1,2)</f>
        <v>79</v>
      </c>
      <c r="D106" s="5" t="s">
        <v>62</v>
      </c>
      <c r="E106" s="5" t="s">
        <v>62</v>
      </c>
      <c r="F106" s="5" t="s">
        <v>42</v>
      </c>
      <c r="G106" s="4" t="str">
        <f>IFERROR(_xlfn.XLOOKUP(Table2[[#This Row],[Ativo]],Pendentes[COD_RELIGADOR],Pendentes[SS_ORIGINAL]),"CONCLUÍDA")</f>
        <v>ETO-PROT 00155/2026</v>
      </c>
      <c r="H106" s="4" t="s">
        <v>482</v>
      </c>
      <c r="K106" s="4" t="s">
        <v>522</v>
      </c>
      <c r="L106" s="29"/>
      <c r="M106" s="31"/>
      <c r="N106" t="str">
        <f>IFERROR(_xlfn.XLOOKUP(Table2[[#This Row],[Ativo]],Pendentes[COD_RELIGADOR],Pendentes[DESCRICAO]),"")</f>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v>
      </c>
      <c r="O106" s="5">
        <v>5</v>
      </c>
      <c r="P106" s="5">
        <v>5</v>
      </c>
      <c r="Q106" s="5">
        <v>15</v>
      </c>
      <c r="R106" s="5">
        <v>0</v>
      </c>
      <c r="S106" s="5">
        <v>0</v>
      </c>
      <c r="T106" s="5">
        <v>0</v>
      </c>
      <c r="U106" s="5">
        <v>10</v>
      </c>
      <c r="V106" s="5">
        <v>0</v>
      </c>
      <c r="W106" s="5">
        <f>SUM(Table2[[#This Row],[Premissa 1]:[Premissa 8]])</f>
        <v>35</v>
      </c>
      <c r="X106" s="5" t="s">
        <v>14</v>
      </c>
      <c r="Y106" t="s">
        <v>297</v>
      </c>
    </row>
    <row r="107" spans="1:25" ht="15" customHeight="1">
      <c r="A107" s="4">
        <v>7943790134</v>
      </c>
      <c r="B107" s="4" t="str">
        <f>_xlfn.XLOOKUP(Table2[[#This Row],[Ativo]],Joao!B:B,Joao!Z:Z)</f>
        <v>Ainda no nosso posto , mas de acordo com o Luanderson vai disponibilizar a equipe na terça-feira 03/06</v>
      </c>
      <c r="C107" s="5" t="str">
        <f>MID(Table2[[#This Row],[Ativo]],1,2)</f>
        <v>79</v>
      </c>
      <c r="D107" s="5" t="s">
        <v>131</v>
      </c>
      <c r="E107" s="5" t="s">
        <v>132</v>
      </c>
      <c r="F107" s="5" t="s">
        <v>51</v>
      </c>
      <c r="G107" s="4" t="str">
        <f>IFERROR(_xlfn.XLOOKUP(Table2[[#This Row],[Ativo]],Pendentes[COD_RELIGADOR],Pendentes[SS_ORIGINAL]),"CONCLUÍDA")</f>
        <v>ETO-TELE 00896/2026</v>
      </c>
      <c r="H107" s="4" t="s">
        <v>482</v>
      </c>
      <c r="K107" s="4" t="s">
        <v>443</v>
      </c>
      <c r="L107" s="29" t="s">
        <v>480</v>
      </c>
      <c r="M107" s="31">
        <v>1</v>
      </c>
      <c r="N107" t="str">
        <f>IFERROR(_xlfn.XLOOKUP(Table2[[#This Row],[Ativo]],Pendentes[COD_RELIGADOR],Pendentes[DESCRICAO]),"")</f>
        <v>PARECER DCMD:Serviço realizado , substituição da parte ativa  do RELIGADOR 7943790134 - Favor realizar comissionamento</v>
      </c>
      <c r="O107" s="5">
        <v>15</v>
      </c>
      <c r="P107" s="5">
        <v>10</v>
      </c>
      <c r="Q107" s="5">
        <v>5</v>
      </c>
      <c r="R107" s="5">
        <v>15</v>
      </c>
      <c r="S107" s="5">
        <v>15</v>
      </c>
      <c r="T107" s="5">
        <v>10</v>
      </c>
      <c r="U107" s="5">
        <v>0</v>
      </c>
      <c r="V107" s="5">
        <v>15</v>
      </c>
      <c r="W107" s="5">
        <f>SUM(Table2[[#This Row],[Premissa 1]:[Premissa 8]])</f>
        <v>85</v>
      </c>
      <c r="X107" s="5" t="s">
        <v>9</v>
      </c>
      <c r="Y107" t="s">
        <v>135</v>
      </c>
    </row>
    <row r="108" spans="1:25" ht="15" customHeight="1">
      <c r="A108" s="4">
        <v>7944319149</v>
      </c>
      <c r="B108" s="4" t="e">
        <f>_xlfn.XLOOKUP(Table2[[#This Row],[Ativo]],Joao!B:B,Joao!Z:Z)</f>
        <v>#N/A</v>
      </c>
      <c r="C108" s="5" t="str">
        <f>MID(Table2[[#This Row],[Ativo]],1,2)</f>
        <v>79</v>
      </c>
      <c r="D108" s="5" t="s">
        <v>257</v>
      </c>
      <c r="E108" s="5" t="s">
        <v>210</v>
      </c>
      <c r="F108" s="5" t="s">
        <v>42</v>
      </c>
      <c r="G108" s="4" t="str">
        <f>IFERROR(_xlfn.XLOOKUP(Table2[[#This Row],[Ativo]],Pendentes[COD_RELIGADOR],Pendentes[SS_ORIGINAL]),"CONCLUÍDA")</f>
        <v>CONCLUÍDA</v>
      </c>
      <c r="H108" s="4" t="s">
        <v>683</v>
      </c>
      <c r="K108" s="4" t="s">
        <v>438</v>
      </c>
      <c r="L108" s="29"/>
      <c r="M108" s="31"/>
      <c r="N108" t="str">
        <f>IFERROR(_xlfn.XLOOKUP(Table2[[#This Row],[Ativo]],Pendentes[COD_RELIGADOR],Pendentes[DESCRICAO]),"")</f>
        <v/>
      </c>
      <c r="O108" s="5">
        <v>5</v>
      </c>
      <c r="P108" s="5">
        <v>5</v>
      </c>
      <c r="Q108" s="5">
        <v>15</v>
      </c>
      <c r="R108" s="5">
        <v>0</v>
      </c>
      <c r="S108" s="5">
        <v>0</v>
      </c>
      <c r="T108" s="5">
        <v>0</v>
      </c>
      <c r="U108" s="5">
        <v>10</v>
      </c>
      <c r="V108" s="5">
        <v>0</v>
      </c>
      <c r="W108" s="5">
        <f>SUM(Table2[[#This Row],[Premissa 1]:[Premissa 8]])</f>
        <v>35</v>
      </c>
      <c r="X108" s="5" t="s">
        <v>14</v>
      </c>
      <c r="Y108" t="s">
        <v>524</v>
      </c>
    </row>
    <row r="109" spans="1:25" ht="15" customHeight="1">
      <c r="A109" s="4">
        <v>7944559149</v>
      </c>
      <c r="B109" s="4" t="e">
        <f>_xlfn.XLOOKUP(Table2[[#This Row],[Ativo]],Joao!B:B,Joao!Z:Z)</f>
        <v>#N/A</v>
      </c>
      <c r="C109" s="5" t="str">
        <f>MID(Table2[[#This Row],[Ativo]],1,2)</f>
        <v>79</v>
      </c>
      <c r="D109" s="5" t="s">
        <v>257</v>
      </c>
      <c r="E109" s="5" t="s">
        <v>210</v>
      </c>
      <c r="F109" s="5" t="s">
        <v>42</v>
      </c>
      <c r="G109" s="4" t="str">
        <f>IFERROR(_xlfn.XLOOKUP(Table2[[#This Row],[Ativo]],Pendentes[COD_RELIGADOR],Pendentes[SS_ORIGINAL]),"CONCLUÍDA")</f>
        <v>ETO-COEP 00063/2026</v>
      </c>
      <c r="H109" s="4" t="s">
        <v>451</v>
      </c>
      <c r="K109" s="4" t="s">
        <v>694</v>
      </c>
      <c r="L109" s="29" t="s">
        <v>460</v>
      </c>
      <c r="M109" s="31">
        <v>1</v>
      </c>
      <c r="N109" t="str">
        <f>IFERROR(_xlfn.XLOOKUP(Table2[[#This Row],[Ativo]],Pendentes[COD_RELIGADOR],Pendentes[DESCRICAO]),"")</f>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v>
      </c>
      <c r="O109" s="5">
        <v>5</v>
      </c>
      <c r="P109" s="5">
        <v>10</v>
      </c>
      <c r="Q109" s="5">
        <v>0</v>
      </c>
      <c r="R109" s="5">
        <v>0</v>
      </c>
      <c r="S109" s="5">
        <v>15</v>
      </c>
      <c r="T109" s="5">
        <v>10</v>
      </c>
      <c r="U109" s="5">
        <v>0</v>
      </c>
      <c r="V109" s="5">
        <v>0</v>
      </c>
      <c r="W109" s="5">
        <f>SUM(Table2[[#This Row],[Premissa 1]:[Premissa 8]])</f>
        <v>40</v>
      </c>
      <c r="X109" s="5" t="s">
        <v>14</v>
      </c>
      <c r="Y109" t="s">
        <v>728</v>
      </c>
    </row>
    <row r="110" spans="1:25" ht="15" customHeight="1">
      <c r="A110" s="4">
        <v>7947203070</v>
      </c>
      <c r="B110" s="4" t="e">
        <f>_xlfn.XLOOKUP(Table2[[#This Row],[Ativo]],Joao!B:B,Joao!Z:Z)</f>
        <v>#N/A</v>
      </c>
      <c r="C110" s="5" t="str">
        <f>MID(Table2[[#This Row],[Ativo]],1,2)</f>
        <v>79</v>
      </c>
      <c r="D110" s="5" t="s">
        <v>81</v>
      </c>
      <c r="E110" s="5" t="s">
        <v>62</v>
      </c>
      <c r="F110" s="5" t="s">
        <v>42</v>
      </c>
      <c r="G110" s="4" t="str">
        <f>IFERROR(_xlfn.XLOOKUP(Table2[[#This Row],[Ativo]],Pendentes[COD_RELIGADOR],Pendentes[SS_ORIGINAL]),"CONCLUÍDA")</f>
        <v>ETO-COEP 00131/2026</v>
      </c>
      <c r="H110" s="4" t="s">
        <v>451</v>
      </c>
      <c r="K110" s="4" t="s">
        <v>694</v>
      </c>
      <c r="L110" s="29" t="s">
        <v>460</v>
      </c>
      <c r="M110" s="31">
        <v>1</v>
      </c>
      <c r="N110" t="str">
        <f>IFERROR(_xlfn.XLOOKUP(Table2[[#This Row],[Ativo]],Pendentes[COD_RELIGADOR],Pendentes[DESCRICAO]),"")</f>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v>
      </c>
      <c r="O110" s="5">
        <v>10</v>
      </c>
      <c r="P110" s="5">
        <v>20</v>
      </c>
      <c r="Q110" s="5">
        <v>15</v>
      </c>
      <c r="R110" s="5">
        <v>15</v>
      </c>
      <c r="S110" s="5">
        <v>15</v>
      </c>
      <c r="T110" s="5">
        <v>10</v>
      </c>
      <c r="U110" s="5">
        <v>0</v>
      </c>
      <c r="V110" s="5">
        <v>15</v>
      </c>
      <c r="W110" s="5">
        <f>SUM(Table2[[#This Row],[Premissa 1]:[Premissa 8]])</f>
        <v>100</v>
      </c>
      <c r="X110" s="5" t="s">
        <v>9</v>
      </c>
      <c r="Y110" t="s">
        <v>84</v>
      </c>
    </row>
    <row r="111" spans="1:25" ht="15" customHeight="1">
      <c r="A111" s="4">
        <v>7948412064</v>
      </c>
      <c r="B111" s="4" t="e">
        <f>_xlfn.XLOOKUP(Table2[[#This Row],[Ativo]],Joao!B:B,Joao!Z:Z)</f>
        <v>#N/A</v>
      </c>
      <c r="C111" s="5" t="str">
        <f>MID(Table2[[#This Row],[Ativo]],1,2)</f>
        <v>79</v>
      </c>
      <c r="D111" s="5" t="s">
        <v>563</v>
      </c>
      <c r="E111" s="5" t="s">
        <v>50</v>
      </c>
      <c r="F111" s="5" t="s">
        <v>51</v>
      </c>
      <c r="G111" s="4" t="str">
        <f>IFERROR(_xlfn.XLOOKUP(Table2[[#This Row],[Ativo]],Pendentes[COD_RELIGADOR],Pendentes[SS_ORIGINAL]),"CONCLUÍDA")</f>
        <v>CONCLUÍDA</v>
      </c>
      <c r="H111" s="4" t="s">
        <v>725</v>
      </c>
      <c r="L111" s="29"/>
      <c r="M111" s="31"/>
      <c r="N111" t="str">
        <f>IFERROR(_xlfn.XLOOKUP(Table2[[#This Row],[Ativo]],Pendentes[COD_RELIGADOR],Pendentes[DESCRICAO]),"")</f>
        <v/>
      </c>
      <c r="O111" s="5" t="s">
        <v>696</v>
      </c>
      <c r="P111" s="5"/>
      <c r="Q111" s="5"/>
      <c r="R111" s="5"/>
      <c r="S111" s="5"/>
      <c r="T111" s="5"/>
      <c r="U111" s="5"/>
      <c r="V111" s="5"/>
      <c r="W111" s="5">
        <f>SUM(Table2[[#This Row],[Premissa 1]:[Premissa 8]])</f>
        <v>0</v>
      </c>
      <c r="X111" s="5"/>
    </row>
    <row r="112" spans="1:25" ht="15" customHeight="1">
      <c r="A112" s="4">
        <v>7949648145</v>
      </c>
      <c r="B112" s="4" t="e">
        <f>_xlfn.XLOOKUP(Table2[[#This Row],[Ativo]],Joao!B:B,Joao!Z:Z)</f>
        <v>#N/A</v>
      </c>
      <c r="C112" s="5" t="str">
        <f>MID(Table2[[#This Row],[Ativo]],1,2)</f>
        <v>79</v>
      </c>
      <c r="D112" s="5" t="s">
        <v>380</v>
      </c>
      <c r="E112" s="5" t="s">
        <v>132</v>
      </c>
      <c r="F112" s="5" t="s">
        <v>51</v>
      </c>
      <c r="G112" s="4" t="str">
        <f>IFERROR(_xlfn.XLOOKUP(Table2[[#This Row],[Ativo]],Pendentes[COD_RELIGADOR],Pendentes[SS_ORIGINAL]),"CONCLUÍDA")</f>
        <v>ETO-TELE 00929/2026</v>
      </c>
      <c r="H112" s="4" t="s">
        <v>495</v>
      </c>
      <c r="L112" s="29"/>
      <c r="M112" s="31"/>
      <c r="N112" t="str">
        <f>IFERROR(_xlfn.XLOOKUP(Table2[[#This Row],[Ativo]],Pendentes[COD_RELIGADOR],Pendentes[DESCRICAO]),"")</f>
        <v>FEITO PRIMEIRO ATAQUE COM A EQUIPE LOCAL E NÃO VOLTOU A COMUNICAR. PROVIDENCIAR MANUTENÇÃO PARA O MESMO.</v>
      </c>
      <c r="O112" s="5" t="s">
        <v>696</v>
      </c>
      <c r="P112" s="5"/>
      <c r="Q112" s="5"/>
      <c r="R112" s="5"/>
      <c r="S112" s="5"/>
      <c r="T112" s="5"/>
      <c r="U112" s="5"/>
      <c r="V112" s="5"/>
      <c r="W112" s="5">
        <f>SUM(Table2[[#This Row],[Premissa 1]:[Premissa 8]])</f>
        <v>0</v>
      </c>
      <c r="X112" s="5"/>
    </row>
    <row r="113" spans="1:25" ht="15" customHeight="1">
      <c r="A113" s="4">
        <v>7953211079</v>
      </c>
      <c r="B113" s="4" t="e">
        <f>_xlfn.XLOOKUP(Table2[[#This Row],[Ativo]],Joao!B:B,Joao!Z:Z)</f>
        <v>#N/A</v>
      </c>
      <c r="C113" s="5" t="str">
        <f>MID(Table2[[#This Row],[Ativo]],1,2)</f>
        <v>79</v>
      </c>
      <c r="D113" s="5" t="s">
        <v>376</v>
      </c>
      <c r="E113" s="5" t="s">
        <v>50</v>
      </c>
      <c r="F113" s="5" t="s">
        <v>51</v>
      </c>
      <c r="G113" s="4" t="str">
        <f>IFERROR(_xlfn.XLOOKUP(Table2[[#This Row],[Ativo]],Pendentes[COD_RELIGADOR],Pendentes[SS_ORIGINAL]),"CONCLUÍDA")</f>
        <v>ETO-COEP 00147/2026</v>
      </c>
      <c r="H113" s="4" t="s">
        <v>725</v>
      </c>
      <c r="L113" s="29"/>
      <c r="M113" s="31"/>
      <c r="N113" t="str">
        <f>IFERROR(_xlfn.XLOOKUP(Table2[[#This Row],[Ativo]],Pendentes[COD_RELIGADOR],Pendentes[DESCRICAO]),"")</f>
        <v>20/07 PARECER COEP: EQUIPAMENTO SELECIONADO PARA COMPRASegue nota para substituir relé religador avariado marca noja , equipamento N: 7953211079 - Itapiratins .Obs: informação repassado pelo técnico DMSL Bruno .</v>
      </c>
      <c r="O113" s="5" t="s">
        <v>696</v>
      </c>
      <c r="P113" s="5"/>
      <c r="Q113" s="5"/>
      <c r="R113" s="5"/>
      <c r="S113" s="5"/>
      <c r="T113" s="5"/>
      <c r="U113" s="5"/>
      <c r="V113" s="5"/>
      <c r="W113" s="5">
        <f>SUM(Table2[[#This Row],[Premissa 1]:[Premissa 8]])</f>
        <v>0</v>
      </c>
      <c r="X113" s="5"/>
    </row>
    <row r="114" spans="1:25" ht="15" customHeight="1">
      <c r="A114" s="4">
        <v>7953570026</v>
      </c>
      <c r="B114" s="4" t="e">
        <f>_xlfn.XLOOKUP(Table2[[#This Row],[Ativo]],Joao!B:B,Joao!Z:Z)</f>
        <v>#N/A</v>
      </c>
      <c r="C114" s="5" t="str">
        <f>MID(Table2[[#This Row],[Ativo]],1,2)</f>
        <v>79</v>
      </c>
      <c r="D114" s="5" t="s">
        <v>108</v>
      </c>
      <c r="E114" s="5" t="s">
        <v>108</v>
      </c>
      <c r="F114" s="5" t="s">
        <v>42</v>
      </c>
      <c r="G114" s="4" t="str">
        <f>IFERROR(_xlfn.XLOOKUP(Table2[[#This Row],[Ativo]],Pendentes[COD_RELIGADOR],Pendentes[SS_ORIGINAL]),"CONCLUÍDA")</f>
        <v>ETO-TELE 00892/2026</v>
      </c>
      <c r="H114" s="4" t="s">
        <v>725</v>
      </c>
      <c r="L114" s="29"/>
      <c r="M114" s="31"/>
      <c r="N114" t="str">
        <f>IFERROR(_xlfn.XLOOKUP(Table2[[#This Row],[Ativo]],Pendentes[COD_RELIGADOR],Pendentes[DESCRICAO]),"")</f>
        <v>Segue RL 7953570026 O MESMO FOI FEITO PRIMEIRO ATAQUE, painel do religador acendeu porem não voltou a comunicação junto ao SCADA, equipe fez teste em comando local, tudo normal porem sem retorno de comunicação, rl na SE DE PONTE ALTA</v>
      </c>
      <c r="O114" s="5" t="s">
        <v>696</v>
      </c>
      <c r="P114" s="5"/>
      <c r="Q114" s="5"/>
      <c r="R114" s="5"/>
      <c r="S114" s="5"/>
      <c r="T114" s="5"/>
      <c r="U114" s="5"/>
      <c r="V114" s="5"/>
      <c r="W114" s="5">
        <f>SUM(Table2[[#This Row],[Premissa 1]:[Premissa 8]])</f>
        <v>0</v>
      </c>
      <c r="X114" s="5"/>
    </row>
    <row r="115" spans="1:25" ht="15" customHeight="1">
      <c r="A115" s="4">
        <v>7953610256</v>
      </c>
      <c r="B115" s="4" t="str">
        <f>_xlfn.XLOOKUP(Table2[[#This Row],[Ativo]],Joao!B:B,Joao!Z:Z)</f>
        <v>Utilizaremos o que foi direcionado para o Polo Paraíso que já estava em operação e enviar para esse caso</v>
      </c>
      <c r="C115" s="5" t="str">
        <f>MID(Table2[[#This Row],[Ativo]],1,2)</f>
        <v>79</v>
      </c>
      <c r="D115" s="5" t="s">
        <v>107</v>
      </c>
      <c r="E115" s="5" t="s">
        <v>108</v>
      </c>
      <c r="F115" s="5" t="s">
        <v>42</v>
      </c>
      <c r="G115" s="4" t="str">
        <f>IFERROR(_xlfn.XLOOKUP(Table2[[#This Row],[Ativo]],Pendentes[COD_RELIGADOR],Pendentes[SS_ORIGINAL]),"CONCLUÍDA")</f>
        <v>ETO-RD-PO 00208/2026</v>
      </c>
      <c r="H115" s="5" t="s">
        <v>455</v>
      </c>
      <c r="I115" s="4" t="s">
        <v>729</v>
      </c>
      <c r="L115" s="29" t="s">
        <v>465</v>
      </c>
      <c r="M115" s="31">
        <v>1</v>
      </c>
      <c r="N115" t="str">
        <f>IFERROR(_xlfn.XLOOKUP(Table2[[#This Row],[Ativo]],Pendentes[COD_RELIGADOR],Pendentes[DESCRICAO]),"")</f>
        <v>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v>
      </c>
      <c r="O115" s="5">
        <v>5</v>
      </c>
      <c r="P115" s="5">
        <v>5</v>
      </c>
      <c r="Q115" s="5">
        <v>15</v>
      </c>
      <c r="R115" s="5">
        <v>15</v>
      </c>
      <c r="S115" s="5">
        <v>0</v>
      </c>
      <c r="T115" s="5">
        <v>0</v>
      </c>
      <c r="U115" s="5">
        <v>10</v>
      </c>
      <c r="V115" s="5">
        <v>15</v>
      </c>
      <c r="W115" s="5">
        <f>SUM(Table2[[#This Row],[Premissa 1]:[Premissa 8]])</f>
        <v>65</v>
      </c>
      <c r="X115" s="5" t="s">
        <v>13</v>
      </c>
      <c r="Y115" t="s">
        <v>198</v>
      </c>
    </row>
    <row r="116" spans="1:25" ht="15" customHeight="1">
      <c r="A116" s="4">
        <v>7954668084</v>
      </c>
      <c r="B116" s="4" t="e">
        <f>_xlfn.XLOOKUP(Table2[[#This Row],[Ativo]],Joao!B:B,Joao!Z:Z)</f>
        <v>#N/A</v>
      </c>
      <c r="C116" s="5" t="str">
        <f>MID(Table2[[#This Row],[Ativo]],1,2)</f>
        <v>79</v>
      </c>
      <c r="D116" s="5" t="s">
        <v>210</v>
      </c>
      <c r="E116" s="5" t="s">
        <v>210</v>
      </c>
      <c r="F116" s="5" t="s">
        <v>42</v>
      </c>
      <c r="G116" s="4" t="str">
        <f>IFERROR(_xlfn.XLOOKUP(Table2[[#This Row],[Ativo]],Pendentes[COD_RELIGADOR],Pendentes[SS_ORIGINAL]),"CONCLUÍDA")</f>
        <v>CONCLUÍDA</v>
      </c>
      <c r="H116" s="4" t="s">
        <v>683</v>
      </c>
      <c r="K116" s="4" t="s">
        <v>438</v>
      </c>
      <c r="L116" s="29"/>
      <c r="M116" s="31"/>
      <c r="N116" t="str">
        <f>IFERROR(_xlfn.XLOOKUP(Table2[[#This Row],[Ativo]],Pendentes[COD_RELIGADOR],Pendentes[DESCRICAO]),"")</f>
        <v/>
      </c>
      <c r="O116" s="5">
        <v>5</v>
      </c>
      <c r="P116" s="5">
        <v>5</v>
      </c>
      <c r="Q116" s="5">
        <v>0</v>
      </c>
      <c r="R116" s="5">
        <v>0</v>
      </c>
      <c r="S116" s="5">
        <v>0</v>
      </c>
      <c r="T116" s="5">
        <v>0</v>
      </c>
      <c r="U116" s="5">
        <v>10</v>
      </c>
      <c r="V116" s="5">
        <v>0</v>
      </c>
      <c r="W116" s="5">
        <f>SUM(Table2[[#This Row],[Premissa 1]:[Premissa 8]])</f>
        <v>20</v>
      </c>
      <c r="X116" s="5" t="s">
        <v>15</v>
      </c>
      <c r="Y116" t="s">
        <v>554</v>
      </c>
    </row>
    <row r="117" spans="1:25" ht="15" customHeight="1">
      <c r="A117" s="4">
        <v>7955430075</v>
      </c>
      <c r="B117" s="4" t="e">
        <f>_xlfn.XLOOKUP(Table2[[#This Row],[Ativo]],Joao!B:B,Joao!Z:Z)</f>
        <v>#N/A</v>
      </c>
      <c r="C117" s="5" t="str">
        <f>MID(Table2[[#This Row],[Ativo]],1,2)</f>
        <v>79</v>
      </c>
      <c r="D117" s="5" t="s">
        <v>540</v>
      </c>
      <c r="E117" s="5" t="s">
        <v>210</v>
      </c>
      <c r="F117" s="5" t="s">
        <v>42</v>
      </c>
      <c r="G117" s="4" t="str">
        <f>IFERROR(_xlfn.XLOOKUP(Table2[[#This Row],[Ativo]],Pendentes[COD_RELIGADOR],Pendentes[SS_ORIGINAL]),"CONCLUÍDA")</f>
        <v>CONCLUÍDA</v>
      </c>
      <c r="H117" s="4" t="s">
        <v>683</v>
      </c>
      <c r="K117" s="4" t="s">
        <v>438</v>
      </c>
      <c r="L117" s="29"/>
      <c r="M117" s="31"/>
      <c r="N117" t="str">
        <f>IFERROR(_xlfn.XLOOKUP(Table2[[#This Row],[Ativo]],Pendentes[COD_RELIGADOR],Pendentes[DESCRICAO]),"")</f>
        <v/>
      </c>
      <c r="O117" s="5">
        <v>5</v>
      </c>
      <c r="P117" s="5">
        <v>5</v>
      </c>
      <c r="Q117" s="5">
        <v>5</v>
      </c>
      <c r="R117" s="5">
        <v>0</v>
      </c>
      <c r="S117" s="5">
        <v>0</v>
      </c>
      <c r="T117" s="5">
        <v>0</v>
      </c>
      <c r="U117" s="5">
        <v>10</v>
      </c>
      <c r="V117" s="5">
        <v>0</v>
      </c>
      <c r="W117" s="5">
        <f>SUM(Table2[[#This Row],[Premissa 1]:[Premissa 8]])</f>
        <v>25</v>
      </c>
      <c r="X117" s="5" t="s">
        <v>15</v>
      </c>
      <c r="Y117" t="s">
        <v>541</v>
      </c>
    </row>
    <row r="118" spans="1:25" ht="15" customHeight="1">
      <c r="A118" s="12">
        <v>7955520116</v>
      </c>
      <c r="B118" s="12">
        <f>_xlfn.XLOOKUP(Table2[[#This Row],[Ativo]],Joao!B:B,Joao!Z:Z)</f>
        <v>0</v>
      </c>
      <c r="C118" s="5" t="str">
        <f>MID(Table2[[#This Row],[Ativo]],1,2)</f>
        <v>79</v>
      </c>
      <c r="D118" s="5" t="s">
        <v>200</v>
      </c>
      <c r="E118" s="5" t="s">
        <v>75</v>
      </c>
      <c r="F118" s="5" t="s">
        <v>76</v>
      </c>
      <c r="G118" s="4" t="str">
        <f>IFERROR(_xlfn.XLOOKUP(Table2[[#This Row],[Ativo]],Pendentes[COD_RELIGADOR],Pendentes[SS_ORIGINAL]),"CONCLUÍDA")</f>
        <v>CONCLUÍDA</v>
      </c>
      <c r="H118" s="11" t="s">
        <v>451</v>
      </c>
      <c r="I118" s="4" t="s">
        <v>715</v>
      </c>
      <c r="K118" s="4" t="s">
        <v>694</v>
      </c>
      <c r="L118" s="29" t="s">
        <v>480</v>
      </c>
      <c r="M118" s="31">
        <v>1</v>
      </c>
      <c r="N118" t="str">
        <f>IFERROR(_xlfn.XLOOKUP(Table2[[#This Row],[Ativo]],Pendentes[COD_RELIGADOR],Pendentes[DESCRICAO]),"")</f>
        <v/>
      </c>
      <c r="O118" s="5">
        <v>5</v>
      </c>
      <c r="P118" s="5">
        <v>5</v>
      </c>
      <c r="Q118" s="5">
        <v>15</v>
      </c>
      <c r="R118" s="5">
        <v>0</v>
      </c>
      <c r="S118" s="5">
        <v>0</v>
      </c>
      <c r="T118" s="5">
        <v>10</v>
      </c>
      <c r="U118" s="5">
        <v>0</v>
      </c>
      <c r="V118" s="5">
        <v>15</v>
      </c>
      <c r="W118" s="5">
        <f>SUM(Table2[[#This Row],[Premissa 1]:[Premissa 8]])</f>
        <v>50</v>
      </c>
      <c r="X118" s="5" t="s">
        <v>13</v>
      </c>
      <c r="Y118" t="s">
        <v>515</v>
      </c>
    </row>
    <row r="119" spans="1:25" ht="15" customHeight="1">
      <c r="A119" s="4">
        <v>7955523028</v>
      </c>
      <c r="B119" s="4" t="e">
        <f>_xlfn.XLOOKUP(Table2[[#This Row],[Ativo]],Joao!B:B,Joao!Z:Z)</f>
        <v>#N/A</v>
      </c>
      <c r="C119" s="5" t="str">
        <f>MID(Table2[[#This Row],[Ativo]],1,2)</f>
        <v>79</v>
      </c>
      <c r="D119" s="5" t="s">
        <v>502</v>
      </c>
      <c r="E119" s="5" t="s">
        <v>75</v>
      </c>
      <c r="F119" s="5" t="s">
        <v>76</v>
      </c>
      <c r="G119" s="4" t="str">
        <f>IFERROR(_xlfn.XLOOKUP(Table2[[#This Row],[Ativo]],Pendentes[COD_RELIGADOR],Pendentes[SS_ORIGINAL]),"CONCLUÍDA")</f>
        <v>CONCLUÍDA</v>
      </c>
      <c r="H119" s="4" t="s">
        <v>683</v>
      </c>
      <c r="K119" s="4" t="s">
        <v>438</v>
      </c>
      <c r="L119" s="29"/>
      <c r="M119" s="31"/>
      <c r="N119" t="str">
        <f>IFERROR(_xlfn.XLOOKUP(Table2[[#This Row],[Ativo]],Pendentes[COD_RELIGADOR],Pendentes[DESCRICAO]),"")</f>
        <v/>
      </c>
      <c r="O119" s="5">
        <v>15</v>
      </c>
      <c r="P119" s="5">
        <v>10</v>
      </c>
      <c r="Q119" s="5">
        <v>5</v>
      </c>
      <c r="R119" s="5">
        <v>15</v>
      </c>
      <c r="S119" s="5">
        <v>15</v>
      </c>
      <c r="T119" s="5">
        <v>10</v>
      </c>
      <c r="U119" s="5">
        <v>0</v>
      </c>
      <c r="V119" s="5">
        <v>0</v>
      </c>
      <c r="W119" s="5">
        <f>SUM(Table2[[#This Row],[Premissa 1]:[Premissa 8]])</f>
        <v>70</v>
      </c>
      <c r="X119" s="5" t="s">
        <v>13</v>
      </c>
      <c r="Y119" t="s">
        <v>503</v>
      </c>
    </row>
    <row r="120" spans="1:25" ht="15" customHeight="1">
      <c r="A120" s="4">
        <v>7955686076</v>
      </c>
      <c r="B120" s="4" t="e">
        <f>_xlfn.XLOOKUP(Table2[[#This Row],[Ativo]],Joao!B:B,Joao!Z:Z)</f>
        <v>#N/A</v>
      </c>
      <c r="C120" s="5" t="str">
        <f>MID(Table2[[#This Row],[Ativo]],1,2)</f>
        <v>79</v>
      </c>
      <c r="D120" s="5" t="s">
        <v>335</v>
      </c>
      <c r="E120" s="5" t="s">
        <v>336</v>
      </c>
      <c r="F120" s="5" t="s">
        <v>76</v>
      </c>
      <c r="G120" s="4" t="str">
        <f>IFERROR(_xlfn.XLOOKUP(Table2[[#This Row],[Ativo]],Pendentes[COD_RELIGADOR],Pendentes[SS_ORIGINAL]),"CONCLUÍDA")</f>
        <v>CONCLUÍDA</v>
      </c>
      <c r="H120" s="4" t="s">
        <v>683</v>
      </c>
      <c r="K120" s="4" t="s">
        <v>438</v>
      </c>
      <c r="L120" s="29"/>
      <c r="M120" s="31"/>
      <c r="N120" t="str">
        <f>IFERROR(_xlfn.XLOOKUP(Table2[[#This Row],[Ativo]],Pendentes[COD_RELIGADOR],Pendentes[DESCRICAO]),"")</f>
        <v/>
      </c>
      <c r="O120" s="5">
        <v>5</v>
      </c>
      <c r="P120" s="5">
        <v>5</v>
      </c>
      <c r="Q120" s="5">
        <v>0</v>
      </c>
      <c r="R120" s="5">
        <v>0</v>
      </c>
      <c r="S120" s="5">
        <v>15</v>
      </c>
      <c r="T120" s="5">
        <v>0</v>
      </c>
      <c r="U120" s="5">
        <v>0</v>
      </c>
      <c r="V120" s="5">
        <v>0</v>
      </c>
      <c r="W120" s="5">
        <f>SUM(Table2[[#This Row],[Premissa 1]:[Premissa 8]])</f>
        <v>25</v>
      </c>
      <c r="X120" s="5" t="s">
        <v>15</v>
      </c>
      <c r="Y120" t="s">
        <v>542</v>
      </c>
    </row>
    <row r="121" spans="1:25" ht="15" customHeight="1">
      <c r="A121" s="4">
        <v>7955792076</v>
      </c>
      <c r="B121" s="4" t="e">
        <f>_xlfn.XLOOKUP(Table2[[#This Row],[Ativo]],Joao!B:B,Joao!Z:Z)</f>
        <v>#N/A</v>
      </c>
      <c r="C121" s="5" t="str">
        <f>MID(Table2[[#This Row],[Ativo]],1,2)</f>
        <v>79</v>
      </c>
      <c r="G121" s="4" t="str">
        <f>IFERROR(_xlfn.XLOOKUP(Table2[[#This Row],[Ativo]],Pendentes[COD_RELIGADOR],Pendentes[SS_ORIGINAL]),"CONCLUÍDA")</f>
        <v>ETO-TELE 00999/2026</v>
      </c>
      <c r="H121" s="4" t="s">
        <v>495</v>
      </c>
      <c r="L121" s="29"/>
      <c r="M121" s="31"/>
      <c r="N121" t="str">
        <f>IFERROR(_xlfn.XLOOKUP(Table2[[#This Row],[Ativo]],Pendentes[COD_RELIGADOR],Pendentes[DESCRICAO]),"")</f>
        <v>RELIGADOR DE POSTE 7955792076 SEM COMUNIÇÃO COM COI ,FEITO PRIMEIRO ATAQUE COM EQUIPE OPERACIONAL O MESMO NÃO RETORNOU A COMUNICAÇÃO ENVIAR EQUIPE ESPECIAL VERIFICAR EM CAMPO</v>
      </c>
      <c r="O121" s="5"/>
      <c r="P121" s="5"/>
      <c r="Q121" s="5"/>
      <c r="R121" s="5"/>
      <c r="S121" s="5"/>
      <c r="T121" s="5"/>
      <c r="U121" s="5"/>
      <c r="V121" s="5"/>
      <c r="W121" s="5">
        <f>SUM(Table2[[#This Row],[Premissa 1]:[Premissa 8]])</f>
        <v>0</v>
      </c>
      <c r="X121" s="5"/>
    </row>
    <row r="122" spans="1:25" ht="15" customHeight="1">
      <c r="A122" s="39">
        <v>7955832052</v>
      </c>
      <c r="B122" s="39" t="e">
        <f>_xlfn.XLOOKUP(Table2[[#This Row],[Ativo]],Joao!B:B,Joao!Z:Z)</f>
        <v>#N/A</v>
      </c>
      <c r="C122" s="5" t="str">
        <f>MID(Table2[[#This Row],[Ativo]],1,2)</f>
        <v>79</v>
      </c>
      <c r="D122" s="5" t="s">
        <v>192</v>
      </c>
      <c r="E122" s="5" t="s">
        <v>192</v>
      </c>
      <c r="F122" s="5" t="s">
        <v>76</v>
      </c>
      <c r="G122" s="4" t="str">
        <f>IFERROR(_xlfn.XLOOKUP(Table2[[#This Row],[Ativo]],Pendentes[COD_RELIGADOR],Pendentes[SS_ORIGINAL]),"CONCLUÍDA")</f>
        <v>ETO-TELE 00982/2026</v>
      </c>
      <c r="H122" s="4" t="s">
        <v>495</v>
      </c>
      <c r="L122" s="29"/>
      <c r="M122" s="31"/>
      <c r="N122" t="str">
        <f>IFERROR(_xlfn.XLOOKUP(Table2[[#This Row],[Ativo]],Pendentes[COD_RELIGADOR],Pendentes[DESCRICAO]),"")</f>
        <v>SEGUE SOLICITAÇÃO DE SERVIÇO PARA REALIZAR VERIFICAÇÃO DO RL 7955832052 EQUIPAMENTO DE INTEELIGAÇÃO O MESMO ESTA SEM COMUNICAÇÃO ...FOI REALIZADO PRIMEIRO ATAQUE COM EQUIPE SINERGIA DE FORMOSO EO EQUIPAMENTO NÃO VOLTOU</v>
      </c>
      <c r="O122" s="5" t="s">
        <v>696</v>
      </c>
      <c r="P122" s="5"/>
      <c r="Q122" s="5"/>
      <c r="R122" s="5"/>
      <c r="S122" s="5"/>
      <c r="T122" s="5"/>
      <c r="U122" s="5"/>
      <c r="V122" s="5"/>
      <c r="W122" s="5">
        <f>SUM(Table2[[#This Row],[Premissa 1]:[Premissa 8]])</f>
        <v>0</v>
      </c>
      <c r="X122" s="5"/>
    </row>
    <row r="123" spans="1:25" ht="15" customHeight="1">
      <c r="A123" s="4">
        <v>7955946007</v>
      </c>
      <c r="B123" s="4" t="e">
        <f>_xlfn.XLOOKUP(Table2[[#This Row],[Ativo]],Joao!B:B,Joao!Z:Z)</f>
        <v>#N/A</v>
      </c>
      <c r="C123" s="5" t="str">
        <f>MID(Table2[[#This Row],[Ativo]],1,2)</f>
        <v>79</v>
      </c>
      <c r="D123" s="5" t="s">
        <v>186</v>
      </c>
      <c r="E123" s="5" t="s">
        <v>186</v>
      </c>
      <c r="F123" s="5" t="s">
        <v>42</v>
      </c>
      <c r="G123" s="4" t="str">
        <f>IFERROR(_xlfn.XLOOKUP(Table2[[#This Row],[Ativo]],Pendentes[COD_RELIGADOR],Pendentes[SS_ORIGINAL]),"CONCLUÍDA")</f>
        <v>ETO-COEP 00134/2026</v>
      </c>
      <c r="H123" s="4" t="s">
        <v>451</v>
      </c>
      <c r="K123" s="4" t="s">
        <v>694</v>
      </c>
      <c r="L123" s="29" t="s">
        <v>447</v>
      </c>
      <c r="M123" s="31">
        <v>1</v>
      </c>
      <c r="N123" t="str">
        <f>IFERROR(_xlfn.XLOOKUP(Table2[[#This Row],[Ativo]],Pendentes[COD_RELIGADOR],Pendentes[DESCRICAO]),"")</f>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v>
      </c>
      <c r="O123" s="5">
        <v>5</v>
      </c>
      <c r="P123" s="5">
        <v>5</v>
      </c>
      <c r="Q123" s="5">
        <v>5</v>
      </c>
      <c r="R123" s="5">
        <v>0</v>
      </c>
      <c r="S123" s="5">
        <v>0</v>
      </c>
      <c r="T123" s="5">
        <v>0</v>
      </c>
      <c r="U123" s="5">
        <v>10</v>
      </c>
      <c r="V123" s="5">
        <v>0</v>
      </c>
      <c r="W123" s="5">
        <f>SUM(Table2[[#This Row],[Premissa 1]:[Premissa 8]])</f>
        <v>25</v>
      </c>
      <c r="X123" s="5" t="s">
        <v>15</v>
      </c>
      <c r="Y123" t="s">
        <v>311</v>
      </c>
    </row>
    <row r="124" spans="1:25" ht="15" customHeight="1">
      <c r="A124" s="4">
        <v>7955986084</v>
      </c>
      <c r="B124" s="4" t="e">
        <f>_xlfn.XLOOKUP(Table2[[#This Row],[Ativo]],Joao!B:B,Joao!Z:Z)</f>
        <v>#N/A</v>
      </c>
      <c r="C124" s="5" t="str">
        <f>MID(Table2[[#This Row],[Ativo]],1,2)</f>
        <v>79</v>
      </c>
      <c r="D124" s="5" t="s">
        <v>210</v>
      </c>
      <c r="E124" s="5" t="s">
        <v>210</v>
      </c>
      <c r="F124" s="5" t="s">
        <v>42</v>
      </c>
      <c r="G124" s="4" t="str">
        <f>IFERROR(_xlfn.XLOOKUP(Table2[[#This Row],[Ativo]],Pendentes[COD_RELIGADOR],Pendentes[SS_ORIGINAL]),"CONCLUÍDA")</f>
        <v>ETO-COEP 00133/2026</v>
      </c>
      <c r="H124" s="4" t="s">
        <v>451</v>
      </c>
      <c r="K124" s="4" t="s">
        <v>694</v>
      </c>
      <c r="L124" s="29"/>
      <c r="M124" s="31"/>
      <c r="N124" t="str">
        <f>IFERROR(_xlfn.XLOOKUP(Table2[[#This Row],[Ativo]],Pendentes[COD_RELIGADOR],Pendentes[DESCRICAO]),"")</f>
        <v>14/07/2026 PARECER COEP : SUBSTIUIR CONTROLE COMPLETOPARECER DMSL: Equipamento com a placa de alimentação ca em curto, será necessário substituir a placa do equipamento. (Antiga nota era pra ter sido repassada porém foi baixada indevidamente pela equipe)</v>
      </c>
      <c r="O124" s="5">
        <v>5</v>
      </c>
      <c r="P124" s="5">
        <v>5</v>
      </c>
      <c r="Q124" s="5">
        <v>0</v>
      </c>
      <c r="R124" s="5">
        <v>0</v>
      </c>
      <c r="S124" s="5">
        <v>15</v>
      </c>
      <c r="T124" s="5">
        <v>10</v>
      </c>
      <c r="U124" s="5">
        <v>0</v>
      </c>
      <c r="V124" s="5">
        <v>0</v>
      </c>
      <c r="W124" s="5">
        <f>SUM(Table2[[#This Row],[Premissa 1]:[Premissa 8]])</f>
        <v>35</v>
      </c>
      <c r="X124" s="5" t="s">
        <v>14</v>
      </c>
      <c r="Y124" t="s">
        <v>277</v>
      </c>
    </row>
    <row r="125" spans="1:25" ht="15" customHeight="1">
      <c r="A125" s="39">
        <v>7957021094</v>
      </c>
      <c r="B125" s="39" t="e">
        <f>_xlfn.XLOOKUP(Table2[[#This Row],[Ativo]],Joao!B:B,Joao!Z:Z)</f>
        <v>#N/A</v>
      </c>
      <c r="C125" s="5" t="str">
        <f>MID(Table2[[#This Row],[Ativo]],1,2)</f>
        <v>79</v>
      </c>
      <c r="D125" s="5" t="s">
        <v>177</v>
      </c>
      <c r="E125" s="5" t="s">
        <v>177</v>
      </c>
      <c r="F125" s="5" t="s">
        <v>76</v>
      </c>
      <c r="G125" s="4" t="str">
        <f>IFERROR(_xlfn.XLOOKUP(Table2[[#This Row],[Ativo]],Pendentes[COD_RELIGADOR],Pendentes[SS_ORIGINAL]),"CONCLUÍDA")</f>
        <v>CONCLUÍDA</v>
      </c>
      <c r="H125" s="4" t="s">
        <v>495</v>
      </c>
      <c r="L125" s="29"/>
      <c r="M125" s="31"/>
      <c r="N125" t="str">
        <f>IFERROR(_xlfn.XLOOKUP(Table2[[#This Row],[Ativo]],Pendentes[COD_RELIGADOR],Pendentes[DESCRICAO]),"")</f>
        <v/>
      </c>
      <c r="O125" s="5" t="s">
        <v>696</v>
      </c>
      <c r="P125" s="5"/>
      <c r="Q125" s="5"/>
      <c r="R125" s="5"/>
      <c r="S125" s="5"/>
      <c r="T125" s="5"/>
      <c r="U125" s="5"/>
      <c r="V125" s="5"/>
      <c r="W125" s="5">
        <f>SUM(Table2[[#This Row],[Premissa 1]:[Premissa 8]])</f>
        <v>0</v>
      </c>
      <c r="X125" s="5"/>
    </row>
    <row r="126" spans="1:25" ht="15" customHeight="1">
      <c r="A126" s="4">
        <v>7957126085</v>
      </c>
      <c r="B126" s="4" t="s">
        <v>730</v>
      </c>
      <c r="C126" s="5" t="str">
        <f>MID(Table2[[#This Row],[Ativo]],1,2)</f>
        <v>79</v>
      </c>
      <c r="D126" s="5" t="s">
        <v>528</v>
      </c>
      <c r="E126" s="5" t="s">
        <v>97</v>
      </c>
      <c r="F126" s="5" t="s">
        <v>42</v>
      </c>
      <c r="G126" s="4" t="str">
        <f>IFERROR(_xlfn.XLOOKUP(Table2[[#This Row],[Ativo]],Pendentes[COD_RELIGADOR],Pendentes[SS_ORIGINAL]),"CONCLUÍDA")</f>
        <v>CONCLUÍDA</v>
      </c>
      <c r="H126" s="4" t="s">
        <v>683</v>
      </c>
      <c r="K126" s="4" t="s">
        <v>438</v>
      </c>
      <c r="L126" s="29"/>
      <c r="M126" s="31"/>
      <c r="N126" t="str">
        <f>IFERROR(_xlfn.XLOOKUP(Table2[[#This Row],[Ativo]],Pendentes[COD_RELIGADOR],Pendentes[DESCRICAO]),"")</f>
        <v/>
      </c>
      <c r="O126" s="5">
        <v>5</v>
      </c>
      <c r="P126" s="5">
        <v>10</v>
      </c>
      <c r="Q126" s="5">
        <v>5</v>
      </c>
      <c r="R126" s="5">
        <v>0</v>
      </c>
      <c r="S126" s="5">
        <v>0</v>
      </c>
      <c r="T126" s="5">
        <v>10</v>
      </c>
      <c r="U126" s="5">
        <v>0</v>
      </c>
      <c r="V126" s="5">
        <v>0</v>
      </c>
      <c r="W126" s="5">
        <f>SUM(Table2[[#This Row],[Premissa 1]:[Premissa 8]])</f>
        <v>30</v>
      </c>
      <c r="X126" s="5" t="s">
        <v>14</v>
      </c>
      <c r="Y126" t="s">
        <v>529</v>
      </c>
    </row>
    <row r="127" spans="1:25" ht="15" customHeight="1">
      <c r="A127" s="4">
        <v>7957620015</v>
      </c>
      <c r="B127" s="4" t="str">
        <f>_xlfn.XLOOKUP(Table2[[#This Row],[Ativo]],Joao!B:B,Joao!Z:Z)</f>
        <v>Concluido</v>
      </c>
      <c r="C127" s="5" t="str">
        <f>MID(Table2[[#This Row],[Ativo]],1,2)</f>
        <v>79</v>
      </c>
      <c r="D127" s="5" t="s">
        <v>283</v>
      </c>
      <c r="E127" s="5" t="s">
        <v>50</v>
      </c>
      <c r="F127" s="5" t="s">
        <v>51</v>
      </c>
      <c r="G127" s="4" t="str">
        <f>IFERROR(_xlfn.XLOOKUP(Table2[[#This Row],[Ativo]],Pendentes[COD_RELIGADOR],Pendentes[SS_ORIGINAL]),"CONCLUÍDA")</f>
        <v>CONCLUÍDA</v>
      </c>
      <c r="H127" s="4" t="s">
        <v>731</v>
      </c>
      <c r="K127" s="4" t="s">
        <v>438</v>
      </c>
      <c r="L127" s="29"/>
      <c r="M127" s="31"/>
      <c r="N127" t="str">
        <f>IFERROR(_xlfn.XLOOKUP(Table2[[#This Row],[Ativo]],Pendentes[COD_RELIGADOR],Pendentes[DESCRICAO]),"")</f>
        <v/>
      </c>
      <c r="O127" s="5">
        <v>15</v>
      </c>
      <c r="P127" s="5">
        <v>20</v>
      </c>
      <c r="Q127" s="5">
        <v>15</v>
      </c>
      <c r="R127" s="5">
        <v>15</v>
      </c>
      <c r="S127" s="5">
        <v>15</v>
      </c>
      <c r="T127" s="5">
        <v>0</v>
      </c>
      <c r="U127" s="5">
        <v>0</v>
      </c>
      <c r="V127" s="5">
        <v>15</v>
      </c>
      <c r="W127" s="5">
        <f>SUM(Table2[[#This Row],[Premissa 1]:[Premissa 8]])</f>
        <v>95</v>
      </c>
      <c r="X127" s="5" t="s">
        <v>9</v>
      </c>
      <c r="Y127" t="s">
        <v>478</v>
      </c>
    </row>
    <row r="128" spans="1:25" ht="15" customHeight="1">
      <c r="A128" s="4">
        <v>7961368005</v>
      </c>
      <c r="B128" s="4" t="e">
        <f>_xlfn.XLOOKUP(Table2[[#This Row],[Ativo]],Joao!B:B,Joao!Z:Z)</f>
        <v>#N/A</v>
      </c>
      <c r="C128" s="5" t="str">
        <f>MID(Table2[[#This Row],[Ativo]],1,2)</f>
        <v>79</v>
      </c>
      <c r="G128" s="4" t="str">
        <f>IFERROR(_xlfn.XLOOKUP(Table2[[#This Row],[Ativo]],Pendentes[COD_RELIGADOR],Pendentes[SS_ORIGINAL]),"CONCLUÍDA")</f>
        <v>ETO-TELE 01007/2026</v>
      </c>
      <c r="H128" s="4" t="s">
        <v>495</v>
      </c>
      <c r="L128" s="29"/>
      <c r="M128" s="31"/>
      <c r="N128" t="str">
        <f>IFERROR(_xlfn.XLOOKUP(Table2[[#This Row],[Ativo]],Pendentes[COD_RELIGADOR],Pendentes[DESCRICAO]),"")</f>
        <v>Favor verifcar Religador 7961368005 , equipamento sem comunicação , feito primeiro ataque com equipe operacional , porem não ouve retorno .</v>
      </c>
      <c r="O128" s="5"/>
      <c r="P128" s="5"/>
      <c r="Q128" s="5"/>
      <c r="R128" s="5"/>
      <c r="S128" s="5"/>
      <c r="T128" s="5"/>
      <c r="U128" s="5"/>
      <c r="V128" s="5"/>
      <c r="W128" s="5">
        <f>SUM(Table2[[#This Row],[Premissa 1]:[Premissa 8]])</f>
        <v>0</v>
      </c>
      <c r="X128" s="5"/>
    </row>
    <row r="129" spans="1:25" ht="15" customHeight="1">
      <c r="A129" s="4">
        <v>7962734119</v>
      </c>
      <c r="B129" s="4" t="e">
        <f>_xlfn.XLOOKUP(Table2[[#This Row],[Ativo]],Joao!B:B,Joao!Z:Z)</f>
        <v>#N/A</v>
      </c>
      <c r="C129" s="5" t="str">
        <f>MID(Table2[[#This Row],[Ativo]],1,2)</f>
        <v>79</v>
      </c>
      <c r="G129" s="4" t="str">
        <f>IFERROR(_xlfn.XLOOKUP(Table2[[#This Row],[Ativo]],Pendentes[COD_RELIGADOR],Pendentes[SS_ORIGINAL]),"CONCLUÍDA")</f>
        <v>ETO-TELE 01008/2026</v>
      </c>
      <c r="H129" s="4" t="s">
        <v>495</v>
      </c>
      <c r="L129" s="29"/>
      <c r="M129" s="31"/>
      <c r="N129" t="str">
        <f>IFERROR(_xlfn.XLOOKUP(Table2[[#This Row],[Ativo]],Pendentes[COD_RELIGADOR],Pendentes[DESCRICAO]),"")</f>
        <v>por favor deslocar equipe da manutenção no RL 7962734119 por que foi feito o primeiro ataque no mesmo mais não voltou comunção no sistema escada</v>
      </c>
      <c r="O129" s="5"/>
      <c r="P129" s="5"/>
      <c r="Q129" s="5"/>
      <c r="R129" s="5"/>
      <c r="S129" s="5"/>
      <c r="T129" s="5"/>
      <c r="U129" s="5"/>
      <c r="V129" s="5"/>
      <c r="W129" s="5">
        <f>SUM(Table2[[#This Row],[Premissa 1]:[Premissa 8]])</f>
        <v>0</v>
      </c>
      <c r="X129" s="5"/>
    </row>
    <row r="130" spans="1:25" ht="15" customHeight="1">
      <c r="A130" s="12">
        <v>7967181127</v>
      </c>
      <c r="B130" s="12" t="e">
        <f>_xlfn.XLOOKUP(Table2[[#This Row],[Ativo]],Joao!B:B,Joao!Z:Z)</f>
        <v>#N/A</v>
      </c>
      <c r="C130" s="5" t="str">
        <f>MID(Table2[[#This Row],[Ativo]],1,2)</f>
        <v>79</v>
      </c>
      <c r="D130" s="5" t="s">
        <v>222</v>
      </c>
      <c r="E130" s="5" t="s">
        <v>223</v>
      </c>
      <c r="F130" s="5" t="s">
        <v>51</v>
      </c>
      <c r="G130" s="4" t="str">
        <f>IFERROR(_xlfn.XLOOKUP(Table2[[#This Row],[Ativo]],Pendentes[COD_RELIGADOR],Pendentes[SS_ORIGINAL]),"CONCLUÍDA")</f>
        <v>CONCLUÍDA</v>
      </c>
      <c r="H130" s="4" t="s">
        <v>732</v>
      </c>
      <c r="L130" s="29"/>
      <c r="M130" s="31"/>
      <c r="N130" t="str">
        <f>IFERROR(_xlfn.XLOOKUP(Table2[[#This Row],[Ativo]],Pendentes[COD_RELIGADOR],Pendentes[DESCRICAO]),"")</f>
        <v/>
      </c>
      <c r="O130" s="5">
        <v>5</v>
      </c>
      <c r="P130" s="5">
        <v>5</v>
      </c>
      <c r="Q130" s="5">
        <v>0</v>
      </c>
      <c r="R130" s="5">
        <v>0</v>
      </c>
      <c r="S130" s="5">
        <v>15</v>
      </c>
      <c r="T130" s="5">
        <v>10</v>
      </c>
      <c r="U130" s="5">
        <v>0</v>
      </c>
      <c r="V130" s="5">
        <v>0</v>
      </c>
      <c r="W130" s="5">
        <f>SUM(Table2[[#This Row],[Premissa 1]:[Premissa 8]])</f>
        <v>35</v>
      </c>
      <c r="X130" s="5" t="s">
        <v>14</v>
      </c>
      <c r="Y130" t="s">
        <v>527</v>
      </c>
    </row>
    <row r="134" spans="1:25" ht="15" customHeight="1">
      <c r="C134" s="47"/>
    </row>
  </sheetData>
  <mergeCells count="1">
    <mergeCell ref="AA1:AB1"/>
  </mergeCells>
  <conditionalFormatting sqref="A1:B61 A63:B1048576">
    <cfRule type="duplicateValues" dxfId="59" priority="2"/>
  </conditionalFormatting>
  <conditionalFormatting sqref="A62:B62">
    <cfRule type="duplicateValues" dxfId="58" priority="1"/>
  </conditionalFormatting>
  <conditionalFormatting sqref="G1:M2 G3:G117 I53:M53 G118:M118 N119:Q123 H116:M117 I115:M115 G131:M1048576 I124:M130 H8 J8:M8 H5:M7 H3:H4 J3:M4 H9:M52 H54:M114 G119:H130">
    <cfRule type="cellIs" dxfId="57" priority="3" operator="equal">
      <formula>"CONCLUÍDA"</formula>
    </cfRule>
  </conditionalFormatting>
  <pageMargins left="0.511811024" right="0.511811024" top="0.78740157499999996" bottom="0.78740157499999996" header="0.31496062000000002" footer="0.31496062000000002"/>
  <pageSetup paperSize="9" orientation="portrait"/>
  <drawing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16CD-9DB4-4BEB-8AC6-BD3A7067DA98}">
  <dimension ref="A1:AC38"/>
  <sheetViews>
    <sheetView topLeftCell="S1" workbookViewId="0">
      <selection activeCell="Z7" sqref="Z7"/>
    </sheetView>
  </sheetViews>
  <sheetFormatPr defaultRowHeight="15"/>
  <sheetData>
    <row r="1" spans="1:29">
      <c r="A1" s="116" t="s">
        <v>733</v>
      </c>
      <c r="B1" s="116"/>
      <c r="C1" s="116"/>
      <c r="D1" s="116"/>
      <c r="E1" s="116"/>
      <c r="F1" s="116"/>
      <c r="G1" s="116"/>
      <c r="H1" s="116"/>
      <c r="I1" s="116"/>
      <c r="J1" s="116"/>
      <c r="K1" s="116"/>
      <c r="L1" s="116"/>
      <c r="M1" s="116"/>
      <c r="N1" s="116"/>
      <c r="O1" s="117" t="s">
        <v>734</v>
      </c>
      <c r="P1" s="117"/>
      <c r="Q1" s="117"/>
      <c r="R1" s="117"/>
      <c r="S1" s="118"/>
      <c r="T1" s="118"/>
      <c r="U1" s="117"/>
      <c r="V1" s="116" t="s">
        <v>733</v>
      </c>
      <c r="W1" s="116"/>
      <c r="X1" s="116"/>
      <c r="Y1" s="116"/>
      <c r="Z1" s="116"/>
      <c r="AA1" s="116"/>
      <c r="AB1" s="116"/>
      <c r="AC1" s="116"/>
    </row>
    <row r="2" spans="1:29" ht="72.75">
      <c r="A2" s="52" t="s">
        <v>735</v>
      </c>
      <c r="B2" s="52" t="s">
        <v>426</v>
      </c>
      <c r="C2" s="52" t="s">
        <v>736</v>
      </c>
      <c r="D2" s="52" t="s">
        <v>737</v>
      </c>
      <c r="E2" s="52" t="s">
        <v>738</v>
      </c>
      <c r="F2" s="52" t="s">
        <v>428</v>
      </c>
      <c r="G2" s="52" t="s">
        <v>24</v>
      </c>
      <c r="H2" s="52" t="s">
        <v>431</v>
      </c>
      <c r="I2" s="52" t="s">
        <v>739</v>
      </c>
      <c r="J2" s="52" t="s">
        <v>426</v>
      </c>
      <c r="K2" s="52" t="s">
        <v>435</v>
      </c>
      <c r="L2" s="52" t="s">
        <v>740</v>
      </c>
      <c r="M2" s="52" t="s">
        <v>741</v>
      </c>
      <c r="N2" s="52" t="s">
        <v>742</v>
      </c>
      <c r="O2" s="53" t="s">
        <v>743</v>
      </c>
      <c r="P2" s="53" t="s">
        <v>744</v>
      </c>
      <c r="Q2" s="53" t="s">
        <v>745</v>
      </c>
      <c r="R2" s="53" t="s">
        <v>746</v>
      </c>
      <c r="S2" s="54" t="s">
        <v>747</v>
      </c>
      <c r="T2" s="54" t="s">
        <v>748</v>
      </c>
      <c r="U2" s="53" t="s">
        <v>749</v>
      </c>
      <c r="V2" s="52" t="s">
        <v>750</v>
      </c>
      <c r="W2" s="52" t="s">
        <v>751</v>
      </c>
      <c r="X2" s="52" t="s">
        <v>752</v>
      </c>
      <c r="Y2" s="52" t="s">
        <v>753</v>
      </c>
      <c r="Z2" s="51" t="s">
        <v>433</v>
      </c>
      <c r="AA2" s="51" t="s">
        <v>2</v>
      </c>
      <c r="AB2" s="51" t="s">
        <v>754</v>
      </c>
      <c r="AC2" s="51" t="s">
        <v>755</v>
      </c>
    </row>
    <row r="3" spans="1:29" ht="60.75">
      <c r="A3" s="55" t="s">
        <v>756</v>
      </c>
      <c r="B3" s="55">
        <v>7957620015</v>
      </c>
      <c r="C3" s="55" t="e">
        <f>_xlfn.XLOOKUP(B3,'[1]Ajustes RL Poste'!$A:$A,'[1]Ajustes RL Poste'!$K:$K)</f>
        <v>#N/A</v>
      </c>
      <c r="D3" s="55">
        <v>13.8</v>
      </c>
      <c r="E3" s="55"/>
      <c r="F3" s="55" t="s">
        <v>283</v>
      </c>
      <c r="G3" s="55" t="e">
        <f>_xlfn.XLOOKUP(F3,[2]Responsáveis!$B:$B,[2]Responsáveis!$F:$F)</f>
        <v>#N/A</v>
      </c>
      <c r="H3" s="55" t="s">
        <v>757</v>
      </c>
      <c r="I3" s="55" t="s">
        <v>758</v>
      </c>
      <c r="J3" s="55">
        <v>7957620015</v>
      </c>
      <c r="K3" s="55" t="s">
        <v>759</v>
      </c>
      <c r="L3" s="55" t="s">
        <v>760</v>
      </c>
      <c r="M3" s="55">
        <v>651638</v>
      </c>
      <c r="N3" s="56" t="s">
        <v>761</v>
      </c>
      <c r="O3" s="57">
        <v>46170</v>
      </c>
      <c r="P3" s="57" t="s">
        <v>762</v>
      </c>
      <c r="Q3" s="57" t="s">
        <v>760</v>
      </c>
      <c r="R3" s="57"/>
      <c r="S3" s="58" t="s">
        <v>763</v>
      </c>
      <c r="T3" s="58">
        <v>8495</v>
      </c>
      <c r="U3" s="59" t="s">
        <v>764</v>
      </c>
      <c r="V3" s="56">
        <v>508897</v>
      </c>
      <c r="W3" s="60" t="s">
        <v>762</v>
      </c>
      <c r="X3" s="57">
        <v>46164</v>
      </c>
      <c r="Y3" s="57">
        <v>46164</v>
      </c>
      <c r="Z3" s="56" t="s">
        <v>765</v>
      </c>
      <c r="AA3" s="56"/>
      <c r="AB3" s="61"/>
      <c r="AC3" s="61"/>
    </row>
    <row r="4" spans="1:29" ht="60.75">
      <c r="A4" s="55" t="s">
        <v>756</v>
      </c>
      <c r="B4" s="55">
        <v>7955520116</v>
      </c>
      <c r="C4" s="55" t="e">
        <f>_xlfn.XLOOKUP(B4,'[1]Ajustes RL Poste'!$A:$A,'[1]Ajustes RL Poste'!$K:$K)</f>
        <v>#N/A</v>
      </c>
      <c r="D4" s="55">
        <v>34.5</v>
      </c>
      <c r="E4" s="55"/>
      <c r="F4" s="55" t="s">
        <v>200</v>
      </c>
      <c r="G4" s="62" t="s">
        <v>766</v>
      </c>
      <c r="H4" s="55" t="s">
        <v>203</v>
      </c>
      <c r="I4" s="55" t="s">
        <v>767</v>
      </c>
      <c r="J4" s="55" t="s">
        <v>768</v>
      </c>
      <c r="K4" s="55" t="s">
        <v>769</v>
      </c>
      <c r="L4" s="55" t="s">
        <v>770</v>
      </c>
      <c r="M4" s="55"/>
      <c r="N4" s="56" t="s">
        <v>771</v>
      </c>
      <c r="O4" s="56"/>
      <c r="P4" s="57" t="s">
        <v>772</v>
      </c>
      <c r="Q4" s="57" t="s">
        <v>772</v>
      </c>
      <c r="R4" s="57" t="s">
        <v>772</v>
      </c>
      <c r="S4" s="37" t="s">
        <v>773</v>
      </c>
      <c r="T4" s="58" t="s">
        <v>774</v>
      </c>
      <c r="U4" s="56"/>
      <c r="V4" s="56"/>
      <c r="W4" s="63" t="s">
        <v>694</v>
      </c>
      <c r="X4" s="56"/>
      <c r="Y4" s="56"/>
      <c r="Z4" s="56"/>
      <c r="AA4" s="56"/>
      <c r="AB4" s="56" t="s">
        <v>775</v>
      </c>
      <c r="AC4" s="56"/>
    </row>
    <row r="5" spans="1:29" ht="60.75">
      <c r="A5" s="55" t="s">
        <v>756</v>
      </c>
      <c r="B5" s="55">
        <v>7900594026</v>
      </c>
      <c r="C5" s="55" t="e">
        <f>_xlfn.XLOOKUP(B5,'[1]Ajustes RL Poste'!$A:$A,'[1]Ajustes RL Poste'!$K:$K)</f>
        <v>#N/A</v>
      </c>
      <c r="D5" s="55">
        <v>34.5</v>
      </c>
      <c r="E5" s="55"/>
      <c r="F5" s="55" t="s">
        <v>776</v>
      </c>
      <c r="G5" s="55" t="s">
        <v>41</v>
      </c>
      <c r="H5" s="55" t="s">
        <v>777</v>
      </c>
      <c r="I5" s="55" t="s">
        <v>778</v>
      </c>
      <c r="J5" s="55">
        <v>7900594026</v>
      </c>
      <c r="K5" s="55" t="s">
        <v>779</v>
      </c>
      <c r="L5" s="55" t="s">
        <v>770</v>
      </c>
      <c r="M5" s="55"/>
      <c r="N5" s="56" t="s">
        <v>780</v>
      </c>
      <c r="O5" s="57">
        <v>46213</v>
      </c>
      <c r="P5" s="57">
        <v>46209</v>
      </c>
      <c r="Q5" s="57" t="s">
        <v>760</v>
      </c>
      <c r="R5" s="57">
        <v>46213</v>
      </c>
      <c r="S5" s="37" t="s">
        <v>781</v>
      </c>
      <c r="T5" s="37" t="s">
        <v>782</v>
      </c>
      <c r="U5" s="56"/>
      <c r="V5" s="56"/>
      <c r="W5" s="60" t="s">
        <v>762</v>
      </c>
      <c r="X5" s="57">
        <v>46209</v>
      </c>
      <c r="Y5" s="57">
        <v>46209</v>
      </c>
      <c r="Z5" s="56" t="s">
        <v>783</v>
      </c>
      <c r="AA5" s="56" t="s">
        <v>9</v>
      </c>
      <c r="AB5" s="56" t="s">
        <v>784</v>
      </c>
      <c r="AC5" s="56"/>
    </row>
    <row r="6" spans="1:29" ht="30.75">
      <c r="A6" s="56" t="s">
        <v>756</v>
      </c>
      <c r="B6" s="56">
        <v>7953610256</v>
      </c>
      <c r="C6" s="55" t="e">
        <f>_xlfn.XLOOKUP(B6,'[1]Ajustes RL Poste'!$A:$A,'[1]Ajustes RL Poste'!$K:$K)</f>
        <v>#N/A</v>
      </c>
      <c r="D6" s="56">
        <v>34.5</v>
      </c>
      <c r="E6" s="56"/>
      <c r="F6" s="56" t="s">
        <v>107</v>
      </c>
      <c r="G6" s="56" t="s">
        <v>108</v>
      </c>
      <c r="H6" s="56" t="s">
        <v>785</v>
      </c>
      <c r="I6" s="56" t="s">
        <v>786</v>
      </c>
      <c r="J6" s="56">
        <v>7953610256</v>
      </c>
      <c r="K6" s="56" t="s">
        <v>480</v>
      </c>
      <c r="L6" s="56" t="s">
        <v>770</v>
      </c>
      <c r="M6" s="56"/>
      <c r="N6" s="56" t="s">
        <v>780</v>
      </c>
      <c r="O6" s="56"/>
      <c r="P6" s="57"/>
      <c r="Q6" s="57" t="s">
        <v>760</v>
      </c>
      <c r="R6" s="57">
        <v>46226</v>
      </c>
      <c r="S6" s="59"/>
      <c r="T6" s="59"/>
      <c r="U6" s="56"/>
      <c r="V6" s="56"/>
      <c r="W6" s="60" t="s">
        <v>762</v>
      </c>
      <c r="X6" s="56"/>
      <c r="Y6" s="56"/>
      <c r="Z6" s="56" t="s">
        <v>787</v>
      </c>
      <c r="AA6" s="56"/>
      <c r="AB6" s="56" t="s">
        <v>788</v>
      </c>
      <c r="AC6" s="56"/>
    </row>
    <row r="7" spans="1:29" ht="60.75">
      <c r="A7" s="55" t="s">
        <v>756</v>
      </c>
      <c r="B7" s="55">
        <v>7943790134</v>
      </c>
      <c r="C7" s="55" t="e">
        <f>_xlfn.XLOOKUP(B7,'[1]Ajustes RL Poste'!$A:$A,'[1]Ajustes RL Poste'!$K:$K)</f>
        <v>#N/A</v>
      </c>
      <c r="D7" s="55">
        <v>34.5</v>
      </c>
      <c r="E7" s="55"/>
      <c r="F7" s="55" t="s">
        <v>131</v>
      </c>
      <c r="G7" s="55" t="e">
        <f>_xlfn.XLOOKUP(F7,[2]Responsáveis!$B:$B,[2]Responsáveis!$F:$F)</f>
        <v>#N/A</v>
      </c>
      <c r="H7" s="55" t="s">
        <v>592</v>
      </c>
      <c r="I7" s="55" t="s">
        <v>789</v>
      </c>
      <c r="J7" s="55">
        <v>7943790134</v>
      </c>
      <c r="K7" s="55" t="s">
        <v>480</v>
      </c>
      <c r="L7" s="55" t="s">
        <v>760</v>
      </c>
      <c r="M7" s="55"/>
      <c r="N7" s="56" t="s">
        <v>790</v>
      </c>
      <c r="O7" s="57">
        <v>46175</v>
      </c>
      <c r="P7" s="64" t="s">
        <v>762</v>
      </c>
      <c r="Q7" s="57" t="s">
        <v>760</v>
      </c>
      <c r="R7" s="57">
        <v>46179</v>
      </c>
      <c r="S7" s="58" t="s">
        <v>791</v>
      </c>
      <c r="T7" s="58" t="s">
        <v>774</v>
      </c>
      <c r="U7" s="59" t="s">
        <v>792</v>
      </c>
      <c r="V7" s="56">
        <v>508887</v>
      </c>
      <c r="W7" s="60" t="s">
        <v>762</v>
      </c>
      <c r="X7" s="57">
        <v>46164</v>
      </c>
      <c r="Y7" s="57">
        <v>46164</v>
      </c>
      <c r="Z7" s="56" t="s">
        <v>793</v>
      </c>
      <c r="AA7" s="56" t="s">
        <v>9</v>
      </c>
      <c r="AB7" s="56" t="s">
        <v>794</v>
      </c>
      <c r="AC7" s="56"/>
    </row>
    <row r="8" spans="1:29" ht="57.75">
      <c r="A8" s="65" t="s">
        <v>756</v>
      </c>
      <c r="B8" s="65">
        <v>7938137007</v>
      </c>
      <c r="C8" s="65" t="e">
        <f>_xlfn.XLOOKUP(B8,'[1]Ajustes RL Poste'!$A:$A,'[1]Ajustes RL Poste'!$K:$K)</f>
        <v>#N/A</v>
      </c>
      <c r="D8" s="65">
        <v>13.8</v>
      </c>
      <c r="E8" s="65"/>
      <c r="F8" s="65" t="s">
        <v>186</v>
      </c>
      <c r="G8" s="65" t="e">
        <f>_xlfn.XLOOKUP(F8,[2]Responsáveis!$B:$B,[2]Responsáveis!$F:$F)</f>
        <v>#N/A</v>
      </c>
      <c r="H8" s="65" t="s">
        <v>795</v>
      </c>
      <c r="I8" s="65" t="s">
        <v>796</v>
      </c>
      <c r="J8" s="65">
        <v>7938137007</v>
      </c>
      <c r="K8" s="65" t="s">
        <v>797</v>
      </c>
      <c r="L8" s="65" t="s">
        <v>760</v>
      </c>
      <c r="M8" s="65"/>
      <c r="N8" s="66" t="s">
        <v>798</v>
      </c>
      <c r="O8" s="66" t="s">
        <v>799</v>
      </c>
      <c r="P8" s="67" t="s">
        <v>772</v>
      </c>
      <c r="Q8" s="67" t="s">
        <v>770</v>
      </c>
      <c r="R8" s="67"/>
      <c r="S8" s="68" t="s">
        <v>800</v>
      </c>
      <c r="T8" s="68" t="s">
        <v>774</v>
      </c>
      <c r="U8" s="69"/>
      <c r="V8" s="70"/>
      <c r="W8" s="71" t="s">
        <v>694</v>
      </c>
      <c r="X8" s="70"/>
      <c r="Y8" s="56"/>
      <c r="Z8" s="56" t="s">
        <v>801</v>
      </c>
      <c r="AA8" s="56" t="e">
        <f>_xlfn.XLOOKUP(B8,[3]Pendentes!$D:$D,[3]Pendentes!$U:$U)</f>
        <v>#N/A</v>
      </c>
      <c r="AB8" s="56"/>
      <c r="AC8" s="56"/>
    </row>
    <row r="9" spans="1:29" ht="60.75">
      <c r="A9" s="55" t="s">
        <v>756</v>
      </c>
      <c r="B9" s="55">
        <v>7934698002</v>
      </c>
      <c r="C9" s="55" t="e">
        <f>_xlfn.XLOOKUP(B9,'[1]Ajustes RL Poste'!$A:$A,'[1]Ajustes RL Poste'!$K:$K)</f>
        <v>#N/A</v>
      </c>
      <c r="D9" s="55">
        <v>13.8</v>
      </c>
      <c r="E9" s="55"/>
      <c r="F9" s="55" t="s">
        <v>223</v>
      </c>
      <c r="G9" s="55" t="e">
        <f>_xlfn.XLOOKUP(F9,[2]Responsáveis!$B:$B,[2]Responsáveis!$F:$F)</f>
        <v>#N/A</v>
      </c>
      <c r="H9" s="55" t="s">
        <v>802</v>
      </c>
      <c r="I9" s="55" t="s">
        <v>803</v>
      </c>
      <c r="J9" s="55">
        <v>7934698002</v>
      </c>
      <c r="K9" s="55" t="s">
        <v>453</v>
      </c>
      <c r="L9" s="55" t="s">
        <v>760</v>
      </c>
      <c r="M9" s="55"/>
      <c r="N9" s="56" t="s">
        <v>790</v>
      </c>
      <c r="O9" s="57">
        <v>46176</v>
      </c>
      <c r="P9" s="72" t="s">
        <v>762</v>
      </c>
      <c r="Q9" s="57" t="s">
        <v>760</v>
      </c>
      <c r="R9" s="57">
        <v>46172</v>
      </c>
      <c r="S9" s="73" t="s">
        <v>804</v>
      </c>
      <c r="T9" s="73" t="s">
        <v>774</v>
      </c>
      <c r="U9" s="59" t="s">
        <v>792</v>
      </c>
      <c r="V9" s="56">
        <v>508891</v>
      </c>
      <c r="W9" s="60" t="s">
        <v>762</v>
      </c>
      <c r="X9" s="57">
        <v>46164</v>
      </c>
      <c r="Y9" s="57">
        <v>46164</v>
      </c>
      <c r="Z9" s="56" t="s">
        <v>765</v>
      </c>
      <c r="AA9" s="74" t="e">
        <f>_xlfn.XLOOKUP(B9,[3]Pendentes!$D:$D,[3]Pendentes!$U:$U)</f>
        <v>#N/A</v>
      </c>
      <c r="AB9" s="74" t="s">
        <v>805</v>
      </c>
      <c r="AC9" s="70"/>
    </row>
    <row r="10" spans="1:29" ht="60.75">
      <c r="A10" s="55" t="s">
        <v>756</v>
      </c>
      <c r="B10" s="55">
        <v>7933766059</v>
      </c>
      <c r="C10" s="55" t="e">
        <f>_xlfn.XLOOKUP(B10,'[1]Ajustes RL Poste'!$A:$A,'[1]Ajustes RL Poste'!$K:$K)</f>
        <v>#N/A</v>
      </c>
      <c r="D10" s="55">
        <v>13.8</v>
      </c>
      <c r="E10" s="55"/>
      <c r="F10" s="55" t="s">
        <v>62</v>
      </c>
      <c r="G10" s="55" t="e">
        <f>_xlfn.XLOOKUP(F10,[2]Responsáveis!$B:$B,[2]Responsáveis!$F:$F)</f>
        <v>#N/A</v>
      </c>
      <c r="H10" s="55" t="s">
        <v>806</v>
      </c>
      <c r="I10" s="55" t="s">
        <v>807</v>
      </c>
      <c r="J10" s="55">
        <v>7933766059</v>
      </c>
      <c r="K10" s="55" t="s">
        <v>480</v>
      </c>
      <c r="L10" s="55" t="s">
        <v>760</v>
      </c>
      <c r="M10" s="55"/>
      <c r="N10" s="56" t="s">
        <v>808</v>
      </c>
      <c r="O10" s="57">
        <v>46218</v>
      </c>
      <c r="P10" s="72" t="s">
        <v>762</v>
      </c>
      <c r="Q10" s="57" t="s">
        <v>760</v>
      </c>
      <c r="R10" s="57">
        <v>46219</v>
      </c>
      <c r="S10" s="58" t="s">
        <v>809</v>
      </c>
      <c r="T10" s="58" t="s">
        <v>774</v>
      </c>
      <c r="U10" s="59" t="s">
        <v>810</v>
      </c>
      <c r="V10" s="56">
        <v>510199</v>
      </c>
      <c r="W10" s="60" t="s">
        <v>762</v>
      </c>
      <c r="X10" s="57">
        <v>46204</v>
      </c>
      <c r="Y10" s="57">
        <v>46218</v>
      </c>
      <c r="Z10" s="56" t="s">
        <v>443</v>
      </c>
      <c r="AA10" s="56" t="e">
        <f>_xlfn.XLOOKUP(B10,[3]Pendentes!$D:$D,[3]Pendentes!$U:$U)</f>
        <v>#N/A</v>
      </c>
      <c r="AB10" s="56" t="s">
        <v>811</v>
      </c>
      <c r="AC10" s="56"/>
    </row>
    <row r="11" spans="1:29" ht="60.75">
      <c r="A11" s="56" t="s">
        <v>756</v>
      </c>
      <c r="B11" s="56">
        <v>7933726256</v>
      </c>
      <c r="C11" s="55" t="e">
        <f>_xlfn.XLOOKUP(B11,'[1]Ajustes RL Poste'!$A:$A,'[1]Ajustes RL Poste'!$K:$K)</f>
        <v>#N/A</v>
      </c>
      <c r="D11" s="56">
        <v>34.5</v>
      </c>
      <c r="E11" s="56"/>
      <c r="F11" s="56" t="s">
        <v>107</v>
      </c>
      <c r="G11" s="55" t="e">
        <f>_xlfn.XLOOKUP(F11,[2]Responsáveis!$B:$B,[2]Responsáveis!$F:$F)</f>
        <v>#N/A</v>
      </c>
      <c r="H11" s="56" t="s">
        <v>812</v>
      </c>
      <c r="I11" s="56" t="s">
        <v>813</v>
      </c>
      <c r="J11" s="56">
        <v>7933726256</v>
      </c>
      <c r="K11" s="56" t="s">
        <v>480</v>
      </c>
      <c r="L11" s="56" t="s">
        <v>760</v>
      </c>
      <c r="M11" s="56"/>
      <c r="N11" s="56" t="s">
        <v>780</v>
      </c>
      <c r="O11" s="57">
        <v>46210</v>
      </c>
      <c r="P11" s="72" t="s">
        <v>762</v>
      </c>
      <c r="Q11" s="57" t="s">
        <v>760</v>
      </c>
      <c r="R11" s="57">
        <v>46210</v>
      </c>
      <c r="S11" s="58" t="s">
        <v>814</v>
      </c>
      <c r="T11" s="58" t="s">
        <v>774</v>
      </c>
      <c r="U11" s="56"/>
      <c r="V11" s="56"/>
      <c r="W11" s="60" t="s">
        <v>762</v>
      </c>
      <c r="X11" s="57"/>
      <c r="Y11" s="56"/>
      <c r="Z11" s="56" t="s">
        <v>815</v>
      </c>
      <c r="AA11" s="56" t="s">
        <v>9</v>
      </c>
      <c r="AB11" s="56" t="s">
        <v>816</v>
      </c>
      <c r="AC11" s="56"/>
    </row>
    <row r="12" spans="1:29" ht="60.75">
      <c r="A12" s="55" t="s">
        <v>756</v>
      </c>
      <c r="B12" s="55">
        <v>7931610122</v>
      </c>
      <c r="C12" s="55" t="e">
        <f>_xlfn.XLOOKUP(B12,'[1]Ajustes RL Poste'!$A:$A,'[1]Ajustes RL Poste'!$K:$K)</f>
        <v>#N/A</v>
      </c>
      <c r="D12" s="55">
        <v>13.8</v>
      </c>
      <c r="E12" s="55"/>
      <c r="F12" s="55" t="s">
        <v>68</v>
      </c>
      <c r="G12" s="55" t="e">
        <f>_xlfn.XLOOKUP(F12,[2]Responsáveis!$B:$B,[2]Responsáveis!$F:$F)</f>
        <v>#N/A</v>
      </c>
      <c r="H12" s="55" t="s">
        <v>817</v>
      </c>
      <c r="I12" s="55" t="s">
        <v>818</v>
      </c>
      <c r="J12" s="55">
        <v>7931610122</v>
      </c>
      <c r="K12" s="55" t="s">
        <v>457</v>
      </c>
      <c r="L12" s="55" t="s">
        <v>760</v>
      </c>
      <c r="M12" s="55"/>
      <c r="N12" s="56" t="s">
        <v>808</v>
      </c>
      <c r="O12" s="57">
        <v>46218</v>
      </c>
      <c r="P12" s="72" t="s">
        <v>762</v>
      </c>
      <c r="Q12" s="57" t="s">
        <v>760</v>
      </c>
      <c r="R12" s="57">
        <v>46219</v>
      </c>
      <c r="S12" s="58" t="s">
        <v>819</v>
      </c>
      <c r="T12" s="58" t="s">
        <v>774</v>
      </c>
      <c r="U12" s="59" t="s">
        <v>810</v>
      </c>
      <c r="V12" s="56">
        <v>510192</v>
      </c>
      <c r="W12" s="60" t="s">
        <v>762</v>
      </c>
      <c r="X12" s="57">
        <v>46204</v>
      </c>
      <c r="Y12" s="57">
        <v>46202</v>
      </c>
      <c r="Z12" s="56" t="s">
        <v>443</v>
      </c>
      <c r="AA12" s="56" t="e">
        <f>_xlfn.XLOOKUP(B12,[3]Pendentes!$D:$D,[3]Pendentes!$U:$U)</f>
        <v>#N/A</v>
      </c>
      <c r="AB12" s="56" t="s">
        <v>820</v>
      </c>
      <c r="AC12" s="56"/>
    </row>
    <row r="13" spans="1:29" ht="60.75">
      <c r="A13" s="55" t="s">
        <v>756</v>
      </c>
      <c r="B13" s="55">
        <v>7929376022</v>
      </c>
      <c r="C13" s="55" t="e">
        <f>_xlfn.XLOOKUP(B13,'[1]Ajustes RL Poste'!$A:$A,'[1]Ajustes RL Poste'!$K:$K)</f>
        <v>#N/A</v>
      </c>
      <c r="D13" s="55">
        <v>34.5</v>
      </c>
      <c r="E13" s="55"/>
      <c r="F13" s="55" t="s">
        <v>102</v>
      </c>
      <c r="G13" s="55" t="e">
        <f>_xlfn.XLOOKUP(F13,[2]Responsáveis!$B:$B,[2]Responsáveis!$F:$F)</f>
        <v>#N/A</v>
      </c>
      <c r="H13" s="55" t="s">
        <v>101</v>
      </c>
      <c r="I13" s="55"/>
      <c r="J13" s="55">
        <v>7929376022</v>
      </c>
      <c r="K13" s="55" t="s">
        <v>821</v>
      </c>
      <c r="L13" s="55" t="s">
        <v>760</v>
      </c>
      <c r="M13" s="55"/>
      <c r="N13" s="56" t="s">
        <v>822</v>
      </c>
      <c r="O13" s="56" t="s">
        <v>823</v>
      </c>
      <c r="P13" s="75" t="s">
        <v>694</v>
      </c>
      <c r="Q13" s="57" t="s">
        <v>760</v>
      </c>
      <c r="R13" s="57"/>
      <c r="S13" s="76" t="s">
        <v>824</v>
      </c>
      <c r="T13" s="76" t="s">
        <v>774</v>
      </c>
      <c r="U13" s="59" t="s">
        <v>825</v>
      </c>
      <c r="V13" s="56" t="s">
        <v>826</v>
      </c>
      <c r="W13" s="77" t="s">
        <v>694</v>
      </c>
      <c r="X13" s="57">
        <v>46244</v>
      </c>
      <c r="Y13" s="57"/>
      <c r="Z13" s="56" t="s">
        <v>827</v>
      </c>
      <c r="AA13" s="56" t="s">
        <v>9</v>
      </c>
      <c r="AB13" s="56"/>
      <c r="AC13" s="56"/>
    </row>
    <row r="14" spans="1:29" ht="60.75">
      <c r="A14" s="55" t="s">
        <v>756</v>
      </c>
      <c r="B14" s="55">
        <v>7927169001</v>
      </c>
      <c r="C14" s="55" t="e">
        <f>_xlfn.XLOOKUP(B14,'[1]Ajustes RL Poste'!$A:$A,'[1]Ajustes RL Poste'!$K:$K)</f>
        <v>#N/A</v>
      </c>
      <c r="D14" s="55">
        <v>13.8</v>
      </c>
      <c r="E14" s="55"/>
      <c r="F14" s="55" t="s">
        <v>68</v>
      </c>
      <c r="G14" s="55" t="e">
        <f>_xlfn.XLOOKUP(F14,[2]Responsáveis!$B:$B,[2]Responsáveis!$F:$F)</f>
        <v>#N/A</v>
      </c>
      <c r="H14" s="55" t="s">
        <v>828</v>
      </c>
      <c r="I14" s="55" t="s">
        <v>828</v>
      </c>
      <c r="J14" s="55">
        <v>7927169001</v>
      </c>
      <c r="K14" s="55" t="s">
        <v>453</v>
      </c>
      <c r="L14" s="55" t="s">
        <v>760</v>
      </c>
      <c r="M14" s="55"/>
      <c r="N14" s="56" t="s">
        <v>808</v>
      </c>
      <c r="O14" s="57">
        <v>46219</v>
      </c>
      <c r="P14" s="72" t="s">
        <v>762</v>
      </c>
      <c r="Q14" s="57" t="s">
        <v>760</v>
      </c>
      <c r="R14" s="57">
        <v>46223</v>
      </c>
      <c r="S14" s="73" t="s">
        <v>829</v>
      </c>
      <c r="T14" s="73" t="s">
        <v>774</v>
      </c>
      <c r="U14" s="59" t="s">
        <v>810</v>
      </c>
      <c r="V14" s="56">
        <v>510209</v>
      </c>
      <c r="W14" s="60" t="s">
        <v>762</v>
      </c>
      <c r="X14" s="57">
        <v>46210</v>
      </c>
      <c r="Y14" s="57">
        <v>46202</v>
      </c>
      <c r="Z14" s="56"/>
      <c r="AA14" s="56" t="e">
        <f>_xlfn.XLOOKUP(B14,[3]Pendentes!$D:$D,[3]Pendentes!$U:$U)</f>
        <v>#N/A</v>
      </c>
      <c r="AB14" s="56" t="s">
        <v>830</v>
      </c>
      <c r="AC14" s="56"/>
    </row>
    <row r="15" spans="1:29" ht="183">
      <c r="A15" s="55" t="s">
        <v>756</v>
      </c>
      <c r="B15" s="55">
        <v>7925087021</v>
      </c>
      <c r="C15" s="55" t="e">
        <f>_xlfn.XLOOKUP(B15,'[1]Ajustes RL Poste'!$A:$A,'[1]Ajustes RL Poste'!$K:$K)</f>
        <v>#N/A</v>
      </c>
      <c r="D15" s="55">
        <v>34.5</v>
      </c>
      <c r="E15" s="55"/>
      <c r="F15" s="55" t="s">
        <v>176</v>
      </c>
      <c r="G15" s="55" t="e">
        <f>_xlfn.XLOOKUP(F15,[2]Responsáveis!$B:$B,[2]Responsáveis!$F:$F)</f>
        <v>#N/A</v>
      </c>
      <c r="H15" s="55" t="s">
        <v>831</v>
      </c>
      <c r="I15" s="55"/>
      <c r="J15" s="55">
        <v>7925087021</v>
      </c>
      <c r="K15" s="55" t="s">
        <v>480</v>
      </c>
      <c r="L15" s="55" t="s">
        <v>760</v>
      </c>
      <c r="M15" s="55"/>
      <c r="N15" s="56" t="s">
        <v>832</v>
      </c>
      <c r="O15" s="56" t="s">
        <v>823</v>
      </c>
      <c r="P15" s="75" t="s">
        <v>694</v>
      </c>
      <c r="Q15" s="57" t="s">
        <v>770</v>
      </c>
      <c r="R15" s="57" t="s">
        <v>694</v>
      </c>
      <c r="S15" s="78" t="s">
        <v>833</v>
      </c>
      <c r="T15" s="78" t="s">
        <v>774</v>
      </c>
      <c r="U15" s="79" t="s">
        <v>834</v>
      </c>
      <c r="V15" s="80">
        <v>511540</v>
      </c>
      <c r="W15" s="60" t="s">
        <v>762</v>
      </c>
      <c r="X15" s="57">
        <v>46213</v>
      </c>
      <c r="Y15" s="57">
        <v>46213</v>
      </c>
      <c r="Z15" s="55" t="s">
        <v>835</v>
      </c>
      <c r="AA15" s="56" t="e">
        <f>_xlfn.XLOOKUP(B15,[3]Pendentes!$D:$D,[3]Pendentes!$U:$U)</f>
        <v>#N/A</v>
      </c>
      <c r="AB15" s="56" t="s">
        <v>836</v>
      </c>
      <c r="AC15" s="56"/>
    </row>
    <row r="16" spans="1:29" ht="60.75">
      <c r="A16" s="55" t="s">
        <v>756</v>
      </c>
      <c r="B16" s="55">
        <v>7908705049</v>
      </c>
      <c r="C16" s="55" t="e">
        <f>_xlfn.XLOOKUP(B16,'[1]Ajustes RL Poste'!$A:$A,'[1]Ajustes RL Poste'!$K:$K)</f>
        <v>#N/A</v>
      </c>
      <c r="D16" s="55">
        <v>13.8</v>
      </c>
      <c r="E16" s="55"/>
      <c r="F16" s="55" t="s">
        <v>86</v>
      </c>
      <c r="G16" s="62" t="s">
        <v>766</v>
      </c>
      <c r="H16" s="55" t="s">
        <v>837</v>
      </c>
      <c r="I16" s="55" t="s">
        <v>838</v>
      </c>
      <c r="J16" s="55">
        <v>7908705049</v>
      </c>
      <c r="K16" s="55" t="s">
        <v>453</v>
      </c>
      <c r="L16" s="55" t="s">
        <v>760</v>
      </c>
      <c r="M16" s="55"/>
      <c r="N16" s="56" t="s">
        <v>771</v>
      </c>
      <c r="O16" s="56" t="s">
        <v>823</v>
      </c>
      <c r="P16" s="75" t="s">
        <v>694</v>
      </c>
      <c r="Q16" s="57" t="s">
        <v>770</v>
      </c>
      <c r="R16" s="57" t="s">
        <v>694</v>
      </c>
      <c r="S16" s="76" t="s">
        <v>839</v>
      </c>
      <c r="T16" s="76" t="s">
        <v>774</v>
      </c>
      <c r="U16" s="59" t="s">
        <v>840</v>
      </c>
      <c r="V16" s="56">
        <v>511536</v>
      </c>
      <c r="W16" s="60" t="s">
        <v>762</v>
      </c>
      <c r="X16" s="57">
        <v>46223</v>
      </c>
      <c r="Y16" s="57"/>
      <c r="Z16" s="56"/>
      <c r="AA16" s="56" t="e">
        <f>_xlfn.XLOOKUP(B16,[3]Pendentes!$D:$D,[3]Pendentes!$U:$U)</f>
        <v>#N/A</v>
      </c>
      <c r="AB16" s="56" t="s">
        <v>841</v>
      </c>
      <c r="AC16" s="56"/>
    </row>
    <row r="17" spans="1:29" ht="60.75">
      <c r="A17" s="55" t="s">
        <v>756</v>
      </c>
      <c r="B17" s="81">
        <v>7908686014</v>
      </c>
      <c r="C17" s="55" t="e">
        <f>_xlfn.XLOOKUP(B17,'[1]Ajustes RL Poste'!$A:$A,'[1]Ajustes RL Poste'!$K:$K)</f>
        <v>#N/A</v>
      </c>
      <c r="D17" s="55">
        <v>34.5</v>
      </c>
      <c r="E17" s="55"/>
      <c r="F17" s="55" t="s">
        <v>126</v>
      </c>
      <c r="G17" s="55" t="e">
        <f>_xlfn.XLOOKUP(F17,[2]Responsáveis!$B:$B,[2]Responsáveis!$F:$F)</f>
        <v>#N/A</v>
      </c>
      <c r="H17" s="55" t="s">
        <v>842</v>
      </c>
      <c r="I17" s="55" t="s">
        <v>843</v>
      </c>
      <c r="J17" s="55">
        <v>7908686014</v>
      </c>
      <c r="K17" s="55" t="s">
        <v>480</v>
      </c>
      <c r="L17" s="55" t="s">
        <v>760</v>
      </c>
      <c r="M17" s="55"/>
      <c r="N17" s="56" t="s">
        <v>844</v>
      </c>
      <c r="O17" s="56"/>
      <c r="P17" s="75" t="s">
        <v>694</v>
      </c>
      <c r="Q17" s="57" t="s">
        <v>770</v>
      </c>
      <c r="R17" s="57"/>
      <c r="S17" s="76" t="s">
        <v>845</v>
      </c>
      <c r="T17" s="76" t="s">
        <v>774</v>
      </c>
      <c r="U17" s="59" t="s">
        <v>846</v>
      </c>
      <c r="V17" s="56">
        <v>510214</v>
      </c>
      <c r="W17" s="60" t="s">
        <v>762</v>
      </c>
      <c r="X17" s="57">
        <v>46213</v>
      </c>
      <c r="Y17" s="57">
        <v>46218</v>
      </c>
      <c r="Z17" s="56" t="s">
        <v>847</v>
      </c>
      <c r="AA17" s="56" t="e">
        <f>_xlfn.XLOOKUP(B17,[3]Pendentes!$D:$D,[3]Pendentes!$U:$U)</f>
        <v>#N/A</v>
      </c>
      <c r="AB17" s="56" t="s">
        <v>848</v>
      </c>
      <c r="AC17" s="56"/>
    </row>
    <row r="18" spans="1:29" ht="87">
      <c r="A18" s="55" t="s">
        <v>756</v>
      </c>
      <c r="B18" s="55">
        <v>7903112004</v>
      </c>
      <c r="C18" s="55" t="e">
        <f>_xlfn.XLOOKUP(B18,'[1]Ajustes RL Poste'!$A:$A,'[1]Ajustes RL Poste'!$K:$K)</f>
        <v>#N/A</v>
      </c>
      <c r="D18" s="55">
        <v>34.5</v>
      </c>
      <c r="E18" s="55"/>
      <c r="F18" s="55" t="s">
        <v>57</v>
      </c>
      <c r="G18" s="55"/>
      <c r="H18" s="55" t="s">
        <v>218</v>
      </c>
      <c r="I18" s="55"/>
      <c r="J18" s="82">
        <v>7903112004</v>
      </c>
      <c r="K18" s="82" t="s">
        <v>849</v>
      </c>
      <c r="L18" s="82" t="s">
        <v>770</v>
      </c>
      <c r="M18" s="82"/>
      <c r="N18" s="56" t="s">
        <v>822</v>
      </c>
      <c r="O18" s="56" t="s">
        <v>823</v>
      </c>
      <c r="P18" s="57" t="s">
        <v>694</v>
      </c>
      <c r="Q18" s="57" t="s">
        <v>770</v>
      </c>
      <c r="R18" s="57" t="s">
        <v>694</v>
      </c>
      <c r="S18" s="59"/>
      <c r="T18" s="59"/>
      <c r="U18" s="59"/>
      <c r="V18" s="56"/>
      <c r="W18" s="77" t="s">
        <v>694</v>
      </c>
      <c r="X18" s="56"/>
      <c r="Y18" s="56"/>
      <c r="Z18" s="56" t="s">
        <v>850</v>
      </c>
      <c r="AA18" s="56" t="e">
        <f>_xlfn.XLOOKUP(B18,[3]Pendentes!$D:$D,[3]Pendentes!$U:$U)</f>
        <v>#N/A</v>
      </c>
      <c r="AB18" s="56"/>
      <c r="AC18" s="56"/>
    </row>
    <row r="19" spans="1:29" ht="60.75">
      <c r="A19" s="55" t="s">
        <v>756</v>
      </c>
      <c r="B19" s="55">
        <v>7900453110</v>
      </c>
      <c r="C19" s="55" t="e">
        <f>_xlfn.XLOOKUP(B19,'[1]Ajustes RL Poste'!$A:$A,'[1]Ajustes RL Poste'!$K:$K)</f>
        <v>#N/A</v>
      </c>
      <c r="D19" s="55">
        <v>34.5</v>
      </c>
      <c r="E19" s="55"/>
      <c r="F19" s="55" t="s">
        <v>137</v>
      </c>
      <c r="G19" s="55" t="e">
        <f>_xlfn.XLOOKUP(F19,[2]Responsáveis!$B:$B,[2]Responsáveis!$F:$F)</f>
        <v>#N/A</v>
      </c>
      <c r="H19" s="55" t="s">
        <v>851</v>
      </c>
      <c r="I19" s="55" t="s">
        <v>852</v>
      </c>
      <c r="J19" s="55">
        <v>7900453110</v>
      </c>
      <c r="K19" s="55" t="s">
        <v>480</v>
      </c>
      <c r="L19" s="55" t="s">
        <v>760</v>
      </c>
      <c r="M19" s="55"/>
      <c r="N19" s="56" t="s">
        <v>780</v>
      </c>
      <c r="O19" s="57">
        <v>46213</v>
      </c>
      <c r="P19" s="57"/>
      <c r="Q19" s="57" t="s">
        <v>760</v>
      </c>
      <c r="R19" s="57" t="s">
        <v>694</v>
      </c>
      <c r="S19" s="37" t="s">
        <v>853</v>
      </c>
      <c r="T19" s="37" t="s">
        <v>782</v>
      </c>
      <c r="U19" s="59" t="s">
        <v>854</v>
      </c>
      <c r="V19" s="56">
        <v>510215</v>
      </c>
      <c r="W19" s="60" t="s">
        <v>762</v>
      </c>
      <c r="X19" s="57">
        <v>46204</v>
      </c>
      <c r="Y19" s="57">
        <v>46202</v>
      </c>
      <c r="Z19" s="56" t="s">
        <v>709</v>
      </c>
      <c r="AA19" s="56" t="e">
        <f>_xlfn.XLOOKUP(B19,[3]Pendentes!$D:$D,[3]Pendentes!$U:$U)</f>
        <v>#N/A</v>
      </c>
      <c r="AB19" s="56"/>
      <c r="AC19" s="56"/>
    </row>
    <row r="20" spans="1:29" ht="45.75">
      <c r="A20" s="56" t="s">
        <v>855</v>
      </c>
      <c r="B20" s="56">
        <v>5854566043</v>
      </c>
      <c r="C20" s="55" t="e">
        <f>_xlfn.XLOOKUP(B20,'[1]Ajustes RL Poste'!$A:$A,'[1]Ajustes RL Poste'!$K:$K)</f>
        <v>#N/A</v>
      </c>
      <c r="D20" s="56">
        <v>34.5</v>
      </c>
      <c r="E20" s="56">
        <v>400</v>
      </c>
      <c r="F20" s="56" t="s">
        <v>40</v>
      </c>
      <c r="G20" s="55" t="e">
        <f>_xlfn.XLOOKUP(F20,[2]Responsáveis!$B:$B,[2]Responsáveis!$F:$F)</f>
        <v>#N/A</v>
      </c>
      <c r="H20" s="56" t="s">
        <v>856</v>
      </c>
      <c r="I20" s="56" t="s">
        <v>857</v>
      </c>
      <c r="J20" s="56">
        <v>5854566043</v>
      </c>
      <c r="K20" s="56" t="s">
        <v>858</v>
      </c>
      <c r="L20" s="56" t="s">
        <v>760</v>
      </c>
      <c r="M20" s="56">
        <v>690241</v>
      </c>
      <c r="N20" s="56" t="s">
        <v>780</v>
      </c>
      <c r="O20" s="56" t="s">
        <v>823</v>
      </c>
      <c r="P20" s="83" t="s">
        <v>694</v>
      </c>
      <c r="Q20" s="56" t="s">
        <v>760</v>
      </c>
      <c r="R20" s="57">
        <v>46227</v>
      </c>
      <c r="S20" s="76" t="s">
        <v>859</v>
      </c>
      <c r="T20" s="37" t="s">
        <v>774</v>
      </c>
      <c r="U20" s="56">
        <v>3905</v>
      </c>
      <c r="V20" s="56">
        <v>513847</v>
      </c>
      <c r="W20" s="77" t="s">
        <v>694</v>
      </c>
      <c r="X20" s="57">
        <v>46223</v>
      </c>
      <c r="Y20" s="56"/>
      <c r="Z20" s="56" t="s">
        <v>496</v>
      </c>
      <c r="AA20" s="56" t="s">
        <v>9</v>
      </c>
      <c r="AB20" s="56"/>
      <c r="AC20" s="56"/>
    </row>
    <row r="21" spans="1:29" ht="76.5">
      <c r="A21" s="55" t="s">
        <v>756</v>
      </c>
      <c r="B21" s="55">
        <v>7957126085</v>
      </c>
      <c r="C21" s="55" t="e">
        <f>_xlfn.XLOOKUP(B21,'[1]Ajustes RL Poste'!$A:$A,'[1]Ajustes RL Poste'!$K:$K)</f>
        <v>#N/A</v>
      </c>
      <c r="D21" s="55">
        <v>34.5</v>
      </c>
      <c r="E21" s="55"/>
      <c r="F21" s="55" t="s">
        <v>528</v>
      </c>
      <c r="G21" s="55" t="e">
        <f>_xlfn.XLOOKUP(F21,[2]Responsáveis!$B:$B,[2]Responsáveis!$F:$F)</f>
        <v>#N/A</v>
      </c>
      <c r="H21" s="55" t="s">
        <v>860</v>
      </c>
      <c r="I21" s="55" t="s">
        <v>861</v>
      </c>
      <c r="J21" s="55">
        <v>7957126085</v>
      </c>
      <c r="K21" s="55" t="s">
        <v>862</v>
      </c>
      <c r="L21" s="55" t="s">
        <v>760</v>
      </c>
      <c r="M21" s="55"/>
      <c r="N21" s="56" t="s">
        <v>844</v>
      </c>
      <c r="O21" s="56" t="s">
        <v>772</v>
      </c>
      <c r="P21" s="57" t="s">
        <v>772</v>
      </c>
      <c r="Q21" s="57" t="s">
        <v>770</v>
      </c>
      <c r="R21" s="57" t="s">
        <v>772</v>
      </c>
      <c r="S21" s="37" t="s">
        <v>863</v>
      </c>
      <c r="T21" s="37" t="s">
        <v>782</v>
      </c>
      <c r="U21" s="59" t="s">
        <v>846</v>
      </c>
      <c r="V21" s="59" t="s">
        <v>864</v>
      </c>
      <c r="W21" s="60" t="s">
        <v>762</v>
      </c>
      <c r="X21" s="57">
        <v>46213</v>
      </c>
      <c r="Y21" s="57">
        <v>46213</v>
      </c>
      <c r="Z21" s="56" t="s">
        <v>730</v>
      </c>
      <c r="AA21" s="56" t="e">
        <f>_xlfn.XLOOKUP(B21,[3]Pendentes!$D:$D,[3]Pendentes!$U:$U)</f>
        <v>#N/A</v>
      </c>
      <c r="AB21" s="56" t="s">
        <v>865</v>
      </c>
      <c r="AC21" s="56"/>
    </row>
    <row r="22" spans="1:29" ht="60.75">
      <c r="A22" s="84" t="s">
        <v>756</v>
      </c>
      <c r="B22" s="55">
        <v>7900117013</v>
      </c>
      <c r="C22" s="55" t="e">
        <f>_xlfn.XLOOKUP(B22,'[1]Ajustes RL Poste'!$A:$A,'[1]Ajustes RL Poste'!$K:$K)</f>
        <v>#N/A</v>
      </c>
      <c r="D22" s="55">
        <v>13.8</v>
      </c>
      <c r="E22" s="55"/>
      <c r="F22" s="55" t="s">
        <v>97</v>
      </c>
      <c r="G22" s="55" t="e">
        <f>_xlfn.XLOOKUP(F22,[2]Responsáveis!$B:$B,[2]Responsáveis!$F:$F)</f>
        <v>#N/A</v>
      </c>
      <c r="H22" s="55" t="s">
        <v>866</v>
      </c>
      <c r="I22" s="55" t="s">
        <v>867</v>
      </c>
      <c r="J22" s="55">
        <v>7900117013</v>
      </c>
      <c r="K22" s="55" t="s">
        <v>868</v>
      </c>
      <c r="L22" s="55" t="s">
        <v>760</v>
      </c>
      <c r="M22" s="55"/>
      <c r="N22" s="56" t="s">
        <v>844</v>
      </c>
      <c r="O22" s="57" t="s">
        <v>869</v>
      </c>
      <c r="P22" s="57"/>
      <c r="Q22" s="57" t="s">
        <v>770</v>
      </c>
      <c r="R22" s="57">
        <v>46218</v>
      </c>
      <c r="S22" s="85" t="s">
        <v>870</v>
      </c>
      <c r="T22" s="85" t="s">
        <v>774</v>
      </c>
      <c r="U22" s="59" t="s">
        <v>846</v>
      </c>
      <c r="V22" s="56">
        <v>510217</v>
      </c>
      <c r="W22" s="60" t="s">
        <v>762</v>
      </c>
      <c r="X22" s="57">
        <v>46213</v>
      </c>
      <c r="Y22" s="57">
        <v>46218</v>
      </c>
      <c r="Z22" s="56" t="s">
        <v>871</v>
      </c>
      <c r="AA22" s="56" t="e">
        <f>_xlfn.XLOOKUP(B22,[3]Pendentes!$D:$D,[3]Pendentes!$U:$U)</f>
        <v>#N/A</v>
      </c>
      <c r="AB22" s="56" t="s">
        <v>872</v>
      </c>
      <c r="AC22" s="56"/>
    </row>
    <row r="23" spans="1:29" ht="60.75">
      <c r="A23" s="55" t="s">
        <v>855</v>
      </c>
      <c r="B23" s="84">
        <v>5855411017</v>
      </c>
      <c r="C23" s="55" t="e">
        <f>_xlfn.XLOOKUP(B23,'[1]Ajustes RL Poste'!$A:$A,'[1]Ajustes RL Poste'!$K:$K)</f>
        <v>#N/A</v>
      </c>
      <c r="D23" s="55">
        <v>13.8</v>
      </c>
      <c r="E23" s="55">
        <v>239</v>
      </c>
      <c r="F23" s="55" t="s">
        <v>302</v>
      </c>
      <c r="G23" s="55" t="e">
        <f>_xlfn.XLOOKUP(F23,[2]Responsáveis!$B:$B,[2]Responsáveis!$F:$F)</f>
        <v>#N/A</v>
      </c>
      <c r="H23" s="55" t="s">
        <v>873</v>
      </c>
      <c r="I23" s="55"/>
      <c r="J23" s="55" t="s">
        <v>874</v>
      </c>
      <c r="K23" s="55" t="s">
        <v>875</v>
      </c>
      <c r="L23" s="55" t="s">
        <v>760</v>
      </c>
      <c r="M23" s="55">
        <v>651638</v>
      </c>
      <c r="N23" s="56" t="s">
        <v>844</v>
      </c>
      <c r="O23" s="56" t="s">
        <v>869</v>
      </c>
      <c r="P23" s="75" t="s">
        <v>694</v>
      </c>
      <c r="Q23" s="57" t="s">
        <v>770</v>
      </c>
      <c r="R23" s="57" t="s">
        <v>694</v>
      </c>
      <c r="S23" s="76" t="s">
        <v>876</v>
      </c>
      <c r="T23" s="37" t="s">
        <v>877</v>
      </c>
      <c r="U23" s="59" t="s">
        <v>846</v>
      </c>
      <c r="V23" s="56">
        <v>514628</v>
      </c>
      <c r="W23" s="60" t="s">
        <v>762</v>
      </c>
      <c r="X23" s="57">
        <v>46213</v>
      </c>
      <c r="Y23" s="57">
        <v>46213</v>
      </c>
      <c r="Z23" s="56" t="s">
        <v>496</v>
      </c>
      <c r="AA23" s="56" t="s">
        <v>15</v>
      </c>
      <c r="AB23" s="56" t="s">
        <v>878</v>
      </c>
      <c r="AC23" s="86"/>
    </row>
    <row r="24" spans="1:29" ht="60.75">
      <c r="A24" s="55" t="s">
        <v>756</v>
      </c>
      <c r="B24" s="55">
        <v>7900018004</v>
      </c>
      <c r="C24" s="55" t="e">
        <f>_xlfn.XLOOKUP(B24,'[1]Ajustes RL Poste'!$A:$A,'[1]Ajustes RL Poste'!$K:$K)</f>
        <v>#N/A</v>
      </c>
      <c r="D24" s="55">
        <v>34.5</v>
      </c>
      <c r="E24" s="55"/>
      <c r="F24" s="55" t="s">
        <v>57</v>
      </c>
      <c r="G24" s="55" t="e">
        <f>_xlfn.XLOOKUP(F24,[2]Responsáveis!$B:$B,[2]Responsáveis!$F:$F)</f>
        <v>#N/A</v>
      </c>
      <c r="H24" s="55" t="s">
        <v>879</v>
      </c>
      <c r="I24" s="55"/>
      <c r="J24" s="55">
        <v>7900018004</v>
      </c>
      <c r="K24" s="55" t="s">
        <v>880</v>
      </c>
      <c r="L24" s="55" t="s">
        <v>760</v>
      </c>
      <c r="M24" s="82"/>
      <c r="N24" s="56" t="s">
        <v>822</v>
      </c>
      <c r="O24" s="57">
        <v>46169</v>
      </c>
      <c r="P24" s="64" t="s">
        <v>762</v>
      </c>
      <c r="Q24" s="57" t="s">
        <v>760</v>
      </c>
      <c r="R24" s="57">
        <v>46169</v>
      </c>
      <c r="S24" s="58" t="s">
        <v>881</v>
      </c>
      <c r="T24" s="58"/>
      <c r="U24" s="59" t="s">
        <v>825</v>
      </c>
      <c r="V24" s="56">
        <v>508886</v>
      </c>
      <c r="W24" s="60" t="s">
        <v>762</v>
      </c>
      <c r="X24" s="57">
        <v>46167</v>
      </c>
      <c r="Y24" s="57">
        <v>46167</v>
      </c>
      <c r="Z24" s="56" t="s">
        <v>765</v>
      </c>
      <c r="AA24" s="56" t="e">
        <f>_xlfn.XLOOKUP(B24,[3]Pendentes!$D:$D,[3]Pendentes!$U:$U)</f>
        <v>#N/A</v>
      </c>
      <c r="AB24" s="56"/>
      <c r="AC24" s="56"/>
    </row>
    <row r="25" spans="1:29" ht="29.25">
      <c r="A25" s="56" t="s">
        <v>855</v>
      </c>
      <c r="B25" s="56">
        <v>5856070091</v>
      </c>
      <c r="C25" s="55" t="e">
        <f>_xlfn.XLOOKUP(B25,'[1]Ajustes RL Poste'!$A:$A,'[1]Ajustes RL Poste'!$K:$K)</f>
        <v>#N/A</v>
      </c>
      <c r="D25" s="56">
        <v>34.5</v>
      </c>
      <c r="E25" s="56">
        <v>400</v>
      </c>
      <c r="F25" s="56" t="s">
        <v>74</v>
      </c>
      <c r="G25" s="62" t="s">
        <v>766</v>
      </c>
      <c r="H25" s="56" t="s">
        <v>882</v>
      </c>
      <c r="I25" s="56"/>
      <c r="J25" s="56">
        <v>5862236091</v>
      </c>
      <c r="K25" s="56" t="s">
        <v>883</v>
      </c>
      <c r="L25" s="56" t="s">
        <v>760</v>
      </c>
      <c r="M25" s="56">
        <v>690241</v>
      </c>
      <c r="N25" s="56" t="s">
        <v>771</v>
      </c>
      <c r="O25" s="56" t="s">
        <v>884</v>
      </c>
      <c r="P25" s="56"/>
      <c r="Q25" s="56"/>
      <c r="R25" s="56"/>
      <c r="S25" s="87" t="s">
        <v>885</v>
      </c>
      <c r="T25" s="88" t="s">
        <v>886</v>
      </c>
      <c r="U25" s="56">
        <v>5908</v>
      </c>
      <c r="V25" s="56">
        <v>514814</v>
      </c>
      <c r="W25" s="60" t="s">
        <v>762</v>
      </c>
      <c r="X25" s="57">
        <v>46223</v>
      </c>
      <c r="Y25" s="57">
        <v>46223</v>
      </c>
      <c r="Z25" s="56" t="s">
        <v>887</v>
      </c>
      <c r="AA25" s="56" t="s">
        <v>9</v>
      </c>
      <c r="AB25" s="56" t="s">
        <v>888</v>
      </c>
      <c r="AC25" s="56"/>
    </row>
    <row r="26" spans="1:29" ht="244.5">
      <c r="A26" s="84" t="s">
        <v>855</v>
      </c>
      <c r="B26" s="84">
        <v>5858783119</v>
      </c>
      <c r="C26" s="84" t="e">
        <f>_xlfn.XLOOKUP(B26,'[1]Ajustes RL Poste'!$A:$A,'[1]Ajustes RL Poste'!$K:$K)</f>
        <v>#N/A</v>
      </c>
      <c r="D26" s="84">
        <v>34.5</v>
      </c>
      <c r="E26" s="84">
        <v>400</v>
      </c>
      <c r="F26" s="84" t="s">
        <v>361</v>
      </c>
      <c r="G26" s="84" t="e">
        <f>_xlfn.XLOOKUP(F26,[2]Responsáveis!$B:$B,[2]Responsáveis!$F:$F)</f>
        <v>#N/A</v>
      </c>
      <c r="H26" s="84" t="s">
        <v>889</v>
      </c>
      <c r="I26" s="84"/>
      <c r="J26" s="84">
        <v>5858783119</v>
      </c>
      <c r="K26" s="84" t="s">
        <v>890</v>
      </c>
      <c r="L26" s="84" t="s">
        <v>760</v>
      </c>
      <c r="M26" s="84">
        <v>690241</v>
      </c>
      <c r="N26" s="89" t="s">
        <v>891</v>
      </c>
      <c r="O26" s="89" t="s">
        <v>892</v>
      </c>
      <c r="P26" s="75" t="s">
        <v>694</v>
      </c>
      <c r="Q26" s="90" t="s">
        <v>760</v>
      </c>
      <c r="R26" s="91" t="s">
        <v>694</v>
      </c>
      <c r="S26" s="92" t="s">
        <v>893</v>
      </c>
      <c r="T26" s="93" t="s">
        <v>886</v>
      </c>
      <c r="U26" s="94">
        <v>6905</v>
      </c>
      <c r="V26" s="84" t="s">
        <v>894</v>
      </c>
      <c r="W26" s="77" t="s">
        <v>694</v>
      </c>
      <c r="X26" s="84"/>
      <c r="Y26" s="84"/>
      <c r="Z26" s="84" t="s">
        <v>895</v>
      </c>
      <c r="AA26" s="84" t="s">
        <v>15</v>
      </c>
      <c r="AB26" s="84" t="s">
        <v>896</v>
      </c>
      <c r="AC26" s="84"/>
    </row>
    <row r="27" spans="1:29" ht="351">
      <c r="A27" s="55" t="s">
        <v>855</v>
      </c>
      <c r="B27" s="84">
        <v>5827102054</v>
      </c>
      <c r="C27" s="55" t="e">
        <f>_xlfn.XLOOKUP(B27,'[1]Ajustes RL Poste'!$A:$A,'[1]Ajustes RL Poste'!$K:$K)</f>
        <v>#N/A</v>
      </c>
      <c r="D27" s="55">
        <v>34.5</v>
      </c>
      <c r="E27" s="55">
        <v>200</v>
      </c>
      <c r="F27" s="55" t="s">
        <v>243</v>
      </c>
      <c r="G27" s="55" t="e">
        <f>_xlfn.XLOOKUP(F27,[2]Responsáveis!$B:$B,[2]Responsáveis!$F:$F)</f>
        <v>#N/A</v>
      </c>
      <c r="H27" s="55" t="s">
        <v>897</v>
      </c>
      <c r="I27" s="55" t="s">
        <v>898</v>
      </c>
      <c r="J27" s="55" t="s">
        <v>899</v>
      </c>
      <c r="K27" s="55" t="s">
        <v>900</v>
      </c>
      <c r="L27" s="55" t="s">
        <v>770</v>
      </c>
      <c r="M27" s="55"/>
      <c r="N27" s="56" t="s">
        <v>844</v>
      </c>
      <c r="O27" s="56"/>
      <c r="P27" s="75" t="s">
        <v>694</v>
      </c>
      <c r="Q27" s="57" t="s">
        <v>760</v>
      </c>
      <c r="R27" s="57" t="s">
        <v>694</v>
      </c>
      <c r="S27" s="95" t="s">
        <v>901</v>
      </c>
      <c r="T27" s="96" t="s">
        <v>877</v>
      </c>
      <c r="U27" s="59" t="s">
        <v>846</v>
      </c>
      <c r="V27" s="56" t="s">
        <v>902</v>
      </c>
      <c r="W27" s="60" t="s">
        <v>762</v>
      </c>
      <c r="X27" s="56"/>
      <c r="Y27" s="57"/>
      <c r="Z27" s="56" t="s">
        <v>903</v>
      </c>
      <c r="AA27" s="56" t="s">
        <v>904</v>
      </c>
      <c r="AB27" s="56"/>
      <c r="AC27" s="56"/>
    </row>
    <row r="28" spans="1:29" ht="60.75">
      <c r="A28" s="55" t="s">
        <v>855</v>
      </c>
      <c r="B28" s="84">
        <v>5801866013</v>
      </c>
      <c r="C28" s="55" t="e">
        <f>_xlfn.XLOOKUP(B28,'[1]Ajustes RL Poste'!$A:$A,'[1]Ajustes RL Poste'!$K:$K)</f>
        <v>#N/A</v>
      </c>
      <c r="D28" s="55">
        <v>13.8</v>
      </c>
      <c r="E28" s="55">
        <v>167</v>
      </c>
      <c r="F28" s="55" t="s">
        <v>97</v>
      </c>
      <c r="G28" s="55" t="e">
        <f>_xlfn.XLOOKUP(F28,[2]Responsáveis!$B:$B,[2]Responsáveis!$F:$F)</f>
        <v>#N/A</v>
      </c>
      <c r="H28" s="55" t="s">
        <v>905</v>
      </c>
      <c r="I28" s="55" t="s">
        <v>906</v>
      </c>
      <c r="J28" s="55" t="s">
        <v>907</v>
      </c>
      <c r="K28" s="55" t="s">
        <v>908</v>
      </c>
      <c r="L28" s="55" t="s">
        <v>760</v>
      </c>
      <c r="M28" s="55">
        <v>690669</v>
      </c>
      <c r="N28" s="56" t="s">
        <v>844</v>
      </c>
      <c r="O28" s="56" t="s">
        <v>909</v>
      </c>
      <c r="P28" s="75" t="s">
        <v>694</v>
      </c>
      <c r="Q28" s="57" t="s">
        <v>760</v>
      </c>
      <c r="R28" s="57" t="s">
        <v>694</v>
      </c>
      <c r="S28" s="76" t="s">
        <v>910</v>
      </c>
      <c r="T28" s="37" t="s">
        <v>877</v>
      </c>
      <c r="U28" s="59" t="s">
        <v>846</v>
      </c>
      <c r="V28" s="56">
        <v>514627</v>
      </c>
      <c r="W28" s="60" t="s">
        <v>762</v>
      </c>
      <c r="X28" s="57">
        <v>46213</v>
      </c>
      <c r="Y28" s="57">
        <v>46213</v>
      </c>
      <c r="Z28" s="56" t="s">
        <v>496</v>
      </c>
      <c r="AA28" s="56"/>
      <c r="AB28" s="56" t="s">
        <v>911</v>
      </c>
      <c r="AC28" s="56"/>
    </row>
    <row r="29" spans="1:29" ht="60.75">
      <c r="A29" s="55" t="s">
        <v>756</v>
      </c>
      <c r="B29" s="55">
        <v>7900573047</v>
      </c>
      <c r="C29" s="55" t="e">
        <f>_xlfn.XLOOKUP(B29,'[1]Ajustes RL Poste'!$A:$A,'[1]Ajustes RL Poste'!$K:$K)</f>
        <v>#N/A</v>
      </c>
      <c r="D29" s="55">
        <v>13.8</v>
      </c>
      <c r="E29" s="55"/>
      <c r="F29" s="55" t="s">
        <v>191</v>
      </c>
      <c r="G29" s="55" t="e">
        <f>_xlfn.XLOOKUP(F29,[2]Responsáveis!$B:$B,[2]Responsáveis!$F:$F)</f>
        <v>#N/A</v>
      </c>
      <c r="H29" s="55" t="s">
        <v>912</v>
      </c>
      <c r="I29" s="55" t="s">
        <v>913</v>
      </c>
      <c r="J29" s="55">
        <v>7900573047</v>
      </c>
      <c r="K29" s="55" t="s">
        <v>453</v>
      </c>
      <c r="L29" s="55" t="s">
        <v>760</v>
      </c>
      <c r="M29" s="55"/>
      <c r="N29" s="56" t="s">
        <v>832</v>
      </c>
      <c r="O29" s="56" t="s">
        <v>823</v>
      </c>
      <c r="P29" s="57" t="s">
        <v>762</v>
      </c>
      <c r="Q29" s="57" t="s">
        <v>770</v>
      </c>
      <c r="R29" s="57">
        <v>46223</v>
      </c>
      <c r="S29" s="97" t="s">
        <v>914</v>
      </c>
      <c r="T29" s="97" t="s">
        <v>774</v>
      </c>
      <c r="U29" s="79" t="s">
        <v>834</v>
      </c>
      <c r="V29" s="98" t="s">
        <v>915</v>
      </c>
      <c r="W29" s="60" t="s">
        <v>762</v>
      </c>
      <c r="X29" s="38">
        <v>46213</v>
      </c>
      <c r="Y29" s="57">
        <v>46213</v>
      </c>
      <c r="Z29" s="56" t="s">
        <v>916</v>
      </c>
      <c r="AA29" s="56" t="e">
        <f>_xlfn.XLOOKUP(B29,[3]Pendentes!$D:$D,[3]Pendentes!$U:$U)</f>
        <v>#N/A</v>
      </c>
      <c r="AB29" s="56" t="s">
        <v>917</v>
      </c>
      <c r="AC29" s="56"/>
    </row>
    <row r="30" spans="1:29" ht="60.75">
      <c r="A30" s="55" t="s">
        <v>855</v>
      </c>
      <c r="B30" s="84">
        <v>5844630060</v>
      </c>
      <c r="C30" s="55" t="e">
        <f>_xlfn.XLOOKUP(B30,'[1]Ajustes RL Poste'!$A:$A,'[1]Ajustes RL Poste'!$K:$K)</f>
        <v>#N/A</v>
      </c>
      <c r="D30" s="55">
        <v>13.8</v>
      </c>
      <c r="E30" s="55">
        <v>239</v>
      </c>
      <c r="F30" s="55" t="s">
        <v>533</v>
      </c>
      <c r="G30" s="55" t="e">
        <f>_xlfn.XLOOKUP(F30,[2]Responsáveis!$B:$B,[2]Responsáveis!$F:$F)</f>
        <v>#N/A</v>
      </c>
      <c r="H30" s="55" t="s">
        <v>918</v>
      </c>
      <c r="I30" s="55"/>
      <c r="J30" s="55">
        <v>5844630060</v>
      </c>
      <c r="K30" s="55" t="s">
        <v>919</v>
      </c>
      <c r="L30" s="55" t="s">
        <v>760</v>
      </c>
      <c r="M30" s="55">
        <v>690236</v>
      </c>
      <c r="N30" s="56" t="e">
        <f>_xlfn.XLOOKUP(F30,'[4]dSeg_Territorial (2)'!$B:$B,'[4]dSeg_Territorial (2)'!$K:$K)</f>
        <v>#N/A</v>
      </c>
      <c r="O30" s="56" t="s">
        <v>884</v>
      </c>
      <c r="P30" s="64" t="s">
        <v>762</v>
      </c>
      <c r="Q30" s="57" t="s">
        <v>770</v>
      </c>
      <c r="R30" s="57">
        <v>46227</v>
      </c>
      <c r="S30" s="99" t="s">
        <v>920</v>
      </c>
      <c r="T30" s="100" t="s">
        <v>886</v>
      </c>
      <c r="U30" s="56">
        <v>6903</v>
      </c>
      <c r="V30" s="56">
        <v>512848</v>
      </c>
      <c r="W30" s="60" t="s">
        <v>762</v>
      </c>
      <c r="X30" s="57">
        <v>46219</v>
      </c>
      <c r="Y30" s="57">
        <v>46223</v>
      </c>
      <c r="Z30" s="56" t="s">
        <v>921</v>
      </c>
      <c r="AA30" s="56"/>
      <c r="AB30" s="56" t="s">
        <v>922</v>
      </c>
      <c r="AC30" s="56"/>
    </row>
    <row r="31" spans="1:29" ht="60.75">
      <c r="A31" s="55" t="s">
        <v>756</v>
      </c>
      <c r="B31" s="55">
        <v>7900230155</v>
      </c>
      <c r="C31" s="55" t="e">
        <f>_xlfn.XLOOKUP(B31,'[1]Ajustes RL Poste'!$A:$A,'[1]Ajustes RL Poste'!$K:$K)</f>
        <v>#N/A</v>
      </c>
      <c r="D31" s="55">
        <v>34.5</v>
      </c>
      <c r="E31" s="55"/>
      <c r="F31" s="55" t="s">
        <v>153</v>
      </c>
      <c r="G31" s="55" t="e">
        <f>_xlfn.XLOOKUP(F31,[2]Responsáveis!$B:$B,[2]Responsáveis!$F:$F)</f>
        <v>#N/A</v>
      </c>
      <c r="H31" s="55" t="s">
        <v>923</v>
      </c>
      <c r="I31" s="55"/>
      <c r="J31" s="55">
        <v>7900230155</v>
      </c>
      <c r="K31" s="55" t="s">
        <v>489</v>
      </c>
      <c r="L31" s="55" t="s">
        <v>760</v>
      </c>
      <c r="M31" s="55"/>
      <c r="N31" s="56" t="s">
        <v>761</v>
      </c>
      <c r="O31" s="56" t="s">
        <v>869</v>
      </c>
      <c r="P31" s="64" t="s">
        <v>762</v>
      </c>
      <c r="Q31" s="57" t="s">
        <v>760</v>
      </c>
      <c r="R31" s="57">
        <v>46210</v>
      </c>
      <c r="S31" s="37" t="s">
        <v>924</v>
      </c>
      <c r="T31" s="37"/>
      <c r="U31" s="59"/>
      <c r="V31" s="56"/>
      <c r="W31" s="60" t="s">
        <v>762</v>
      </c>
      <c r="X31" s="57">
        <v>46164</v>
      </c>
      <c r="Y31" s="57">
        <v>46164</v>
      </c>
      <c r="Z31" s="56" t="s">
        <v>765</v>
      </c>
      <c r="AA31" s="56" t="e">
        <f>_xlfn.XLOOKUP(B31,[3]Pendentes!$D:$D,[3]Pendentes!$U:$U)</f>
        <v>#N/A</v>
      </c>
      <c r="AB31" s="56"/>
      <c r="AC31" s="56"/>
    </row>
    <row r="32" spans="1:29" ht="381.75">
      <c r="A32" s="55" t="s">
        <v>855</v>
      </c>
      <c r="B32" s="84">
        <v>5850308009</v>
      </c>
      <c r="C32" s="55"/>
      <c r="D32" s="55">
        <v>13.8</v>
      </c>
      <c r="E32" s="55">
        <v>239</v>
      </c>
      <c r="F32" s="55" t="s">
        <v>50</v>
      </c>
      <c r="G32" s="55" t="e">
        <f>_xlfn.XLOOKUP(F32,[2]Responsáveis!$B:$B,[2]Responsáveis!$F:$F)</f>
        <v>#N/A</v>
      </c>
      <c r="H32" s="55" t="s">
        <v>925</v>
      </c>
      <c r="I32" s="55"/>
      <c r="J32" s="55" t="s">
        <v>926</v>
      </c>
      <c r="K32" s="55" t="s">
        <v>460</v>
      </c>
      <c r="L32" s="55" t="s">
        <v>760</v>
      </c>
      <c r="M32" s="55">
        <v>651638</v>
      </c>
      <c r="N32" s="56" t="s">
        <v>761</v>
      </c>
      <c r="O32" s="56" t="s">
        <v>927</v>
      </c>
      <c r="P32" s="101" t="s">
        <v>694</v>
      </c>
      <c r="Q32" s="57" t="s">
        <v>770</v>
      </c>
      <c r="R32" s="57" t="s">
        <v>694</v>
      </c>
      <c r="S32" s="37" t="s">
        <v>928</v>
      </c>
      <c r="T32" s="37" t="s">
        <v>877</v>
      </c>
      <c r="U32" s="59" t="s">
        <v>764</v>
      </c>
      <c r="V32" s="56"/>
      <c r="W32" s="77" t="s">
        <v>694</v>
      </c>
      <c r="X32" s="56"/>
      <c r="Y32" s="56"/>
      <c r="Z32" s="55" t="s">
        <v>929</v>
      </c>
      <c r="AA32" s="56"/>
      <c r="AB32" s="56"/>
      <c r="AC32" s="56"/>
    </row>
    <row r="33" spans="1:29" ht="60.75">
      <c r="A33" s="56" t="s">
        <v>855</v>
      </c>
      <c r="B33" s="56">
        <v>5800859011</v>
      </c>
      <c r="C33" s="55"/>
      <c r="D33" s="56">
        <v>13.8</v>
      </c>
      <c r="E33" s="56">
        <v>219</v>
      </c>
      <c r="F33" s="56" t="s">
        <v>49</v>
      </c>
      <c r="G33" s="55" t="e">
        <f>_xlfn.XLOOKUP(F33,[2]Responsáveis!$B:$B,[2]Responsáveis!$F:$F)</f>
        <v>#N/A</v>
      </c>
      <c r="H33" s="55" t="s">
        <v>930</v>
      </c>
      <c r="I33" s="55"/>
      <c r="J33" s="55">
        <v>5800859011</v>
      </c>
      <c r="K33" s="55" t="s">
        <v>460</v>
      </c>
      <c r="L33" s="55" t="s">
        <v>760</v>
      </c>
      <c r="M33" s="55">
        <v>651638</v>
      </c>
      <c r="N33" s="56" t="s">
        <v>761</v>
      </c>
      <c r="O33" s="56" t="s">
        <v>927</v>
      </c>
      <c r="P33" s="75" t="s">
        <v>694</v>
      </c>
      <c r="Q33" s="57" t="s">
        <v>770</v>
      </c>
      <c r="R33" s="56" t="s">
        <v>694</v>
      </c>
      <c r="S33" s="76" t="s">
        <v>931</v>
      </c>
      <c r="T33" s="37" t="s">
        <v>877</v>
      </c>
      <c r="U33" s="56">
        <v>7902</v>
      </c>
      <c r="V33" s="56" t="s">
        <v>932</v>
      </c>
      <c r="W33" s="60" t="s">
        <v>762</v>
      </c>
      <c r="X33" s="57">
        <v>46219</v>
      </c>
      <c r="Y33" s="56"/>
      <c r="Z33" s="56"/>
      <c r="AA33" s="70"/>
      <c r="AB33" s="70"/>
      <c r="AC33" s="70"/>
    </row>
    <row r="34" spans="1:29" ht="57.75">
      <c r="A34" s="55" t="s">
        <v>855</v>
      </c>
      <c r="B34" s="102">
        <v>5800438116</v>
      </c>
      <c r="C34" s="55" t="e">
        <f>_xlfn.XLOOKUP(B34,'[1]Ajustes RL Poste'!$A:$A,'[1]Ajustes RL Poste'!$K:$K)</f>
        <v>#N/A</v>
      </c>
      <c r="D34" s="62">
        <v>34.5</v>
      </c>
      <c r="E34" s="62">
        <v>200</v>
      </c>
      <c r="F34" s="62" t="s">
        <v>200</v>
      </c>
      <c r="G34" s="62" t="s">
        <v>766</v>
      </c>
      <c r="H34" s="62" t="s">
        <v>933</v>
      </c>
      <c r="I34" s="62" t="s">
        <v>934</v>
      </c>
      <c r="J34" s="62" t="s">
        <v>935</v>
      </c>
      <c r="K34" s="62" t="s">
        <v>936</v>
      </c>
      <c r="L34" s="55" t="s">
        <v>760</v>
      </c>
      <c r="M34" s="55">
        <v>690240</v>
      </c>
      <c r="N34" s="56" t="s">
        <v>771</v>
      </c>
      <c r="O34" s="56" t="s">
        <v>937</v>
      </c>
      <c r="P34" s="75" t="s">
        <v>694</v>
      </c>
      <c r="Q34" s="57" t="s">
        <v>770</v>
      </c>
      <c r="R34" s="57" t="s">
        <v>694</v>
      </c>
      <c r="S34" s="76" t="s">
        <v>938</v>
      </c>
      <c r="T34" s="58" t="s">
        <v>886</v>
      </c>
      <c r="U34" s="56"/>
      <c r="V34" s="56" t="s">
        <v>939</v>
      </c>
      <c r="W34" s="60" t="s">
        <v>762</v>
      </c>
      <c r="X34" s="57">
        <v>46219</v>
      </c>
      <c r="Y34" s="57">
        <v>46223</v>
      </c>
      <c r="Z34" s="56" t="s">
        <v>940</v>
      </c>
      <c r="AA34" s="56"/>
      <c r="AB34" s="56"/>
      <c r="AC34" s="56"/>
    </row>
    <row r="35" spans="1:29" ht="60.75">
      <c r="A35" s="103" t="s">
        <v>855</v>
      </c>
      <c r="B35" s="103">
        <v>5800371025</v>
      </c>
      <c r="C35" s="103" t="s">
        <v>941</v>
      </c>
      <c r="D35" s="104">
        <v>34.5</v>
      </c>
      <c r="E35" s="105"/>
      <c r="F35" s="103" t="s">
        <v>154</v>
      </c>
      <c r="G35" s="55" t="e">
        <f>_xlfn.XLOOKUP(F35,[2]Responsáveis!$B:$B,[2]Responsáveis!$F:$F)</f>
        <v>#N/A</v>
      </c>
      <c r="H35" s="55" t="s">
        <v>942</v>
      </c>
      <c r="I35" s="104"/>
      <c r="J35" s="103">
        <v>5800371025</v>
      </c>
      <c r="K35" s="103" t="s">
        <v>460</v>
      </c>
      <c r="L35" s="55" t="s">
        <v>943</v>
      </c>
      <c r="M35" s="55">
        <v>651638</v>
      </c>
      <c r="N35" s="56" t="s">
        <v>822</v>
      </c>
      <c r="O35" s="103"/>
      <c r="P35" s="58" t="s">
        <v>762</v>
      </c>
      <c r="Q35" s="103" t="s">
        <v>760</v>
      </c>
      <c r="R35" s="106">
        <v>46233</v>
      </c>
      <c r="S35" s="76" t="s">
        <v>944</v>
      </c>
      <c r="T35" s="37" t="s">
        <v>774</v>
      </c>
      <c r="U35" s="56">
        <v>7902</v>
      </c>
      <c r="V35" s="56">
        <v>514635</v>
      </c>
      <c r="W35" s="60" t="s">
        <v>762</v>
      </c>
      <c r="X35" s="57">
        <v>46219</v>
      </c>
      <c r="Y35" s="103" t="s">
        <v>945</v>
      </c>
      <c r="Z35" s="104"/>
      <c r="AA35" s="104" t="s">
        <v>9</v>
      </c>
      <c r="AB35" s="104"/>
      <c r="AC35" s="104"/>
    </row>
    <row r="36" spans="1:29">
      <c r="A36" s="103" t="s">
        <v>855</v>
      </c>
      <c r="B36" s="103">
        <v>5836786094</v>
      </c>
      <c r="C36" s="103" t="s">
        <v>946</v>
      </c>
      <c r="D36" s="103">
        <v>34.5</v>
      </c>
      <c r="E36" s="103">
        <v>200</v>
      </c>
      <c r="F36" s="103" t="s">
        <v>947</v>
      </c>
      <c r="G36" s="103" t="s">
        <v>336</v>
      </c>
      <c r="H36" s="103"/>
      <c r="I36" s="103" t="s">
        <v>948</v>
      </c>
      <c r="J36" s="103">
        <v>5836786094</v>
      </c>
      <c r="K36" s="103" t="s">
        <v>949</v>
      </c>
      <c r="L36" s="103" t="s">
        <v>760</v>
      </c>
      <c r="M36" s="55" t="s">
        <v>950</v>
      </c>
      <c r="N36" s="103" t="s">
        <v>951</v>
      </c>
      <c r="O36" s="103"/>
      <c r="P36" s="103" t="s">
        <v>694</v>
      </c>
      <c r="Q36" s="103" t="s">
        <v>770</v>
      </c>
      <c r="R36" s="103" t="s">
        <v>694</v>
      </c>
      <c r="S36" s="107" t="s">
        <v>952</v>
      </c>
      <c r="T36" s="108">
        <v>8481</v>
      </c>
      <c r="U36" s="103"/>
      <c r="V36" s="103">
        <v>517520</v>
      </c>
      <c r="W36" s="77" t="s">
        <v>694</v>
      </c>
      <c r="X36" s="103"/>
      <c r="Y36" s="103"/>
      <c r="Z36" s="103" t="s">
        <v>953</v>
      </c>
      <c r="AA36" s="103"/>
      <c r="AB36" s="103"/>
      <c r="AC36" s="103"/>
    </row>
    <row r="37" spans="1:29" ht="60.75">
      <c r="A37" s="55" t="s">
        <v>855</v>
      </c>
      <c r="B37" s="55">
        <v>5853360007</v>
      </c>
      <c r="C37" s="55" t="s">
        <v>946</v>
      </c>
      <c r="D37" s="55">
        <v>34.5</v>
      </c>
      <c r="E37" s="55">
        <v>200</v>
      </c>
      <c r="F37" s="55" t="s">
        <v>186</v>
      </c>
      <c r="G37" s="55" t="e">
        <f>_xlfn.XLOOKUP(F37,[2]Responsáveis!$B:$B,[2]Responsáveis!$F:$F)</f>
        <v>#N/A</v>
      </c>
      <c r="H37" s="55" t="s">
        <v>954</v>
      </c>
      <c r="I37" s="55"/>
      <c r="J37" s="55">
        <v>5853360007</v>
      </c>
      <c r="K37" s="55" t="s">
        <v>955</v>
      </c>
      <c r="L37" s="55" t="s">
        <v>770</v>
      </c>
      <c r="M37" s="55"/>
      <c r="N37" s="55" t="s">
        <v>956</v>
      </c>
      <c r="O37" s="55"/>
      <c r="P37" s="75" t="s">
        <v>694</v>
      </c>
      <c r="Q37" s="55" t="s">
        <v>760</v>
      </c>
      <c r="R37" s="55" t="s">
        <v>694</v>
      </c>
      <c r="S37" s="76"/>
      <c r="T37" s="58" t="s">
        <v>886</v>
      </c>
      <c r="U37" s="55"/>
      <c r="V37" s="55"/>
      <c r="W37" s="77" t="s">
        <v>694</v>
      </c>
      <c r="X37" s="55"/>
      <c r="Y37" s="55"/>
      <c r="Z37" s="55" t="s">
        <v>497</v>
      </c>
      <c r="AA37" s="55" t="s">
        <v>14</v>
      </c>
      <c r="AB37" s="55"/>
      <c r="AC37" s="55"/>
    </row>
    <row r="38" spans="1:29">
      <c r="A38" s="56" t="s">
        <v>855</v>
      </c>
      <c r="B38" s="56" t="s">
        <v>957</v>
      </c>
      <c r="C38" s="56" t="s">
        <v>941</v>
      </c>
      <c r="D38" s="56">
        <v>13.8</v>
      </c>
      <c r="E38" s="56">
        <v>167</v>
      </c>
      <c r="F38" s="56" t="s">
        <v>958</v>
      </c>
      <c r="G38" s="56" t="s">
        <v>68</v>
      </c>
      <c r="H38" s="56" t="s">
        <v>148</v>
      </c>
      <c r="I38" s="56"/>
      <c r="J38" s="56">
        <v>5803327001</v>
      </c>
      <c r="K38" s="56" t="s">
        <v>959</v>
      </c>
      <c r="L38" s="56" t="s">
        <v>760</v>
      </c>
      <c r="M38" s="56">
        <v>651638</v>
      </c>
      <c r="N38" s="56" t="s">
        <v>808</v>
      </c>
      <c r="O38" s="56"/>
      <c r="P38" s="56"/>
      <c r="Q38" s="56"/>
      <c r="R38" s="56"/>
      <c r="S38" s="56"/>
      <c r="T38" s="56"/>
      <c r="U38" s="56"/>
      <c r="V38" s="56"/>
      <c r="W38" s="60" t="s">
        <v>762</v>
      </c>
      <c r="X38" s="56"/>
      <c r="Y38" s="56"/>
      <c r="Z38" s="56" t="s">
        <v>960</v>
      </c>
      <c r="AA38" s="56"/>
      <c r="AB38" s="56"/>
      <c r="AC38" s="56"/>
    </row>
  </sheetData>
  <mergeCells count="3">
    <mergeCell ref="A1:N1"/>
    <mergeCell ref="O1:U1"/>
    <mergeCell ref="V1:A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83E57-83F9-433A-8E20-FF9303444787}">
  <dimension ref="A1:Z135"/>
  <sheetViews>
    <sheetView zoomScale="115" zoomScaleNormal="115" workbookViewId="0">
      <selection activeCell="D135" sqref="D135"/>
    </sheetView>
  </sheetViews>
  <sheetFormatPr defaultRowHeight="15" customHeight="1"/>
  <cols>
    <col min="1" max="1" width="16.85546875" style="4" customWidth="1"/>
    <col min="2" max="2" width="8.7109375" style="5" customWidth="1"/>
    <col min="3" max="3" width="34" style="5" bestFit="1" customWidth="1"/>
    <col min="4" max="4" width="28.140625" style="5" bestFit="1" customWidth="1"/>
    <col min="5" max="5" width="18.28515625" style="5" bestFit="1" customWidth="1"/>
    <col min="6" max="6" width="33.85546875" style="4" bestFit="1" customWidth="1"/>
    <col min="7" max="7" width="55.5703125" style="4" customWidth="1"/>
    <col min="8" max="8" width="64" style="4" bestFit="1" customWidth="1"/>
    <col min="9" max="9" width="29.140625" style="4" customWidth="1"/>
    <col min="10" max="10" width="52.140625" bestFit="1" customWidth="1"/>
    <col min="11" max="11" width="18.28515625" style="30" customWidth="1"/>
    <col min="12" max="12" width="255.7109375" bestFit="1" customWidth="1"/>
    <col min="13" max="22" width="12.7109375" customWidth="1"/>
    <col min="23" max="23" width="144.5703125" bestFit="1" customWidth="1"/>
    <col min="24" max="27" width="17.28515625" customWidth="1"/>
  </cols>
  <sheetData>
    <row r="1" spans="1:26" ht="15" customHeight="1">
      <c r="A1" s="4" t="s">
        <v>426</v>
      </c>
      <c r="B1" s="5" t="s">
        <v>427</v>
      </c>
      <c r="C1" s="5" t="s">
        <v>428</v>
      </c>
      <c r="D1" s="5" t="s">
        <v>429</v>
      </c>
      <c r="E1" s="5" t="s">
        <v>430</v>
      </c>
      <c r="F1" s="4" t="s">
        <v>431</v>
      </c>
      <c r="G1" s="4" t="s">
        <v>432</v>
      </c>
      <c r="H1" s="4" t="s">
        <v>433</v>
      </c>
      <c r="I1" s="4" t="s">
        <v>434</v>
      </c>
      <c r="J1" t="s">
        <v>435</v>
      </c>
      <c r="K1" s="10" t="s">
        <v>3</v>
      </c>
      <c r="L1" t="s">
        <v>436</v>
      </c>
      <c r="M1" t="s">
        <v>28</v>
      </c>
      <c r="N1" t="s">
        <v>29</v>
      </c>
      <c r="O1" t="s">
        <v>30</v>
      </c>
      <c r="P1" t="s">
        <v>31</v>
      </c>
      <c r="Q1" t="s">
        <v>32</v>
      </c>
      <c r="R1" t="s">
        <v>33</v>
      </c>
      <c r="S1" t="s">
        <v>34</v>
      </c>
      <c r="T1" t="s">
        <v>35</v>
      </c>
      <c r="U1" t="s">
        <v>36</v>
      </c>
      <c r="V1" t="s">
        <v>2</v>
      </c>
      <c r="W1" t="s">
        <v>37</v>
      </c>
      <c r="Y1" s="109" t="s">
        <v>682</v>
      </c>
      <c r="Z1" s="110"/>
    </row>
    <row r="2" spans="1:26" ht="15" customHeight="1">
      <c r="A2" s="4">
        <v>5800291077</v>
      </c>
      <c r="B2" s="5" t="str">
        <f>MID(Table[[#This Row],[Ativo]],1,2)</f>
        <v>58</v>
      </c>
      <c r="C2" s="5" t="s">
        <v>144</v>
      </c>
      <c r="D2" s="5" t="s">
        <v>57</v>
      </c>
      <c r="E2" s="5" t="s">
        <v>51</v>
      </c>
      <c r="F2" s="4" t="str">
        <f>IFERROR(_xlfn.XLOOKUP(Table[[#This Row],[Ativo]],Pendentes[COD_RELIGADOR],Pendentes[SS_ORIGINAL]),"CONCLUÍDA")</f>
        <v>CONCLUÍDA</v>
      </c>
      <c r="I2" s="4" t="s">
        <v>438</v>
      </c>
      <c r="J2" s="29"/>
      <c r="K2" s="31"/>
      <c r="L2" t="str">
        <f>IFERROR(_xlfn.XLOOKUP(Table[[#This Row],[Ativo]],Pendentes[COD_RELIGADOR],Pendentes[DESCRICAO]),"")</f>
        <v/>
      </c>
      <c r="M2" s="5">
        <v>40</v>
      </c>
      <c r="N2" s="5">
        <v>20</v>
      </c>
      <c r="O2" s="5">
        <v>20</v>
      </c>
      <c r="P2" s="5">
        <v>20</v>
      </c>
      <c r="Q2" s="5">
        <v>20</v>
      </c>
      <c r="R2" s="5" t="s">
        <v>45</v>
      </c>
      <c r="S2" s="5" t="s">
        <v>45</v>
      </c>
      <c r="T2" s="5" t="s">
        <v>45</v>
      </c>
      <c r="U2" s="5">
        <f>SUM(Table[[#This Row],[Premissa 1]:[Premissa 8]])</f>
        <v>120</v>
      </c>
      <c r="V2" s="5" t="s">
        <v>9</v>
      </c>
      <c r="W2" t="s">
        <v>440</v>
      </c>
      <c r="Y2" s="8" t="s">
        <v>684</v>
      </c>
      <c r="Z2" s="8" t="s">
        <v>685</v>
      </c>
    </row>
    <row r="3" spans="1:26" ht="15" customHeight="1">
      <c r="A3" s="12">
        <v>5854566043</v>
      </c>
      <c r="B3" s="5" t="str">
        <f>MID(Table[[#This Row],[Ativo]],1,2)</f>
        <v>58</v>
      </c>
      <c r="C3" s="5" t="s">
        <v>40</v>
      </c>
      <c r="D3" s="5" t="s">
        <v>41</v>
      </c>
      <c r="E3" s="5" t="s">
        <v>42</v>
      </c>
      <c r="F3" s="4" t="str">
        <f>IFERROR(_xlfn.XLOOKUP(Table[[#This Row],[Ativo]],Pendentes[COD_RELIGADOR],Pendentes[SS_ORIGINAL]),"CONCLUÍDA")</f>
        <v>ETO-RD-PO 00213/2026</v>
      </c>
      <c r="G3" s="5" t="s">
        <v>702</v>
      </c>
      <c r="H3" s="4" t="s">
        <v>961</v>
      </c>
      <c r="I3" s="4" t="s">
        <v>443</v>
      </c>
      <c r="J3" s="29" t="s">
        <v>444</v>
      </c>
      <c r="K3" s="31">
        <v>1</v>
      </c>
      <c r="L3" t="str">
        <f>IFERROR(_xlfn.XLOOKUP(Table[[#This Row],[Ativo]],Pendentes[COD_RELIGADOR],Pendentes[DESCRICAO]),"")</f>
        <v>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v>
      </c>
      <c r="M3" s="5">
        <v>40</v>
      </c>
      <c r="N3" s="5">
        <v>20</v>
      </c>
      <c r="O3" s="5">
        <v>20</v>
      </c>
      <c r="P3" s="5">
        <v>10</v>
      </c>
      <c r="Q3" s="5">
        <v>20</v>
      </c>
      <c r="R3" s="5" t="s">
        <v>45</v>
      </c>
      <c r="S3" s="5" t="s">
        <v>45</v>
      </c>
      <c r="T3" s="5" t="s">
        <v>45</v>
      </c>
      <c r="U3" s="5">
        <f>SUM(Table[[#This Row],[Premissa 1]:[Premissa 8]])</f>
        <v>110</v>
      </c>
      <c r="V3" s="5" t="s">
        <v>9</v>
      </c>
      <c r="W3" t="s">
        <v>46</v>
      </c>
    </row>
    <row r="4" spans="1:26" ht="15" customHeight="1">
      <c r="A4" s="12">
        <v>5800859011</v>
      </c>
      <c r="B4" s="5" t="str">
        <f>MID(Table[[#This Row],[Ativo]],1,2)</f>
        <v>58</v>
      </c>
      <c r="C4" s="5" t="s">
        <v>49</v>
      </c>
      <c r="D4" s="5" t="s">
        <v>50</v>
      </c>
      <c r="E4" s="5" t="s">
        <v>51</v>
      </c>
      <c r="F4" s="4" t="str">
        <f>IFERROR(_xlfn.XLOOKUP(Table[[#This Row],[Ativo]],Pendentes[COD_RELIGADOR],Pendentes[SS_ORIGINAL]),"CONCLUÍDA")</f>
        <v>ETO-RD-GR 00735/2026</v>
      </c>
      <c r="G4" s="4" t="s">
        <v>455</v>
      </c>
      <c r="H4" s="4" t="s">
        <v>568</v>
      </c>
      <c r="I4" s="4" t="s">
        <v>443</v>
      </c>
      <c r="J4" s="29" t="s">
        <v>447</v>
      </c>
      <c r="K4" s="31">
        <v>1</v>
      </c>
      <c r="L4" t="str">
        <f>IFERROR(_xlfn.XLOOKUP(Table[[#This Row],[Ativo]],Pendentes[COD_RELIGADOR],Pendentes[DESCRICAO]),"")</f>
        <v>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v>
      </c>
      <c r="M4" s="5">
        <v>40</v>
      </c>
      <c r="N4" s="5">
        <v>20</v>
      </c>
      <c r="O4" s="5">
        <v>20</v>
      </c>
      <c r="P4" s="5">
        <v>10</v>
      </c>
      <c r="Q4" s="5">
        <v>20</v>
      </c>
      <c r="R4" s="5" t="s">
        <v>45</v>
      </c>
      <c r="S4" s="5" t="s">
        <v>45</v>
      </c>
      <c r="T4" s="5" t="s">
        <v>45</v>
      </c>
      <c r="U4" s="5">
        <f>SUM(Table[[#This Row],[Premissa 1]:[Premissa 8]])</f>
        <v>110</v>
      </c>
      <c r="V4" s="5" t="s">
        <v>9</v>
      </c>
      <c r="W4" t="s">
        <v>54</v>
      </c>
    </row>
    <row r="5" spans="1:26" ht="15" customHeight="1">
      <c r="A5" s="4">
        <v>5836764032</v>
      </c>
      <c r="B5" s="5" t="str">
        <f>MID(Table[[#This Row],[Ativo]],1,2)</f>
        <v>58</v>
      </c>
      <c r="C5" s="5" t="s">
        <v>448</v>
      </c>
      <c r="D5" s="5" t="s">
        <v>449</v>
      </c>
      <c r="E5" s="5" t="s">
        <v>76</v>
      </c>
      <c r="F5" s="4" t="str">
        <f>IFERROR(_xlfn.XLOOKUP(Table[[#This Row],[Ativo]],Pendentes[COD_RELIGADOR],Pendentes[SS_ORIGINAL]),"CONCLUÍDA")</f>
        <v>CONCLUÍDA</v>
      </c>
      <c r="I5" s="4" t="s">
        <v>438</v>
      </c>
      <c r="J5" s="29"/>
      <c r="K5" s="31"/>
      <c r="L5" t="str">
        <f>IFERROR(_xlfn.XLOOKUP(Table[[#This Row],[Ativo]],Pendentes[COD_RELIGADOR],Pendentes[DESCRICAO]),"")</f>
        <v/>
      </c>
      <c r="M5" s="5">
        <v>40</v>
      </c>
      <c r="N5" s="5">
        <v>20</v>
      </c>
      <c r="O5" s="5">
        <v>20</v>
      </c>
      <c r="P5" s="5">
        <v>10</v>
      </c>
      <c r="Q5" s="5">
        <v>20</v>
      </c>
      <c r="R5" s="5" t="s">
        <v>45</v>
      </c>
      <c r="S5" s="5" t="s">
        <v>45</v>
      </c>
      <c r="T5" s="5" t="s">
        <v>45</v>
      </c>
      <c r="U5" s="5">
        <f>SUM(Table[[#This Row],[Premissa 1]:[Premissa 8]])</f>
        <v>110</v>
      </c>
      <c r="V5" s="5" t="s">
        <v>9</v>
      </c>
      <c r="W5" t="s">
        <v>450</v>
      </c>
    </row>
    <row r="6" spans="1:26" ht="15" customHeight="1">
      <c r="A6" s="4">
        <v>7923673004</v>
      </c>
      <c r="B6" s="5" t="str">
        <f>MID(Table[[#This Row],[Ativo]],1,2)</f>
        <v>79</v>
      </c>
      <c r="C6" s="5" t="s">
        <v>57</v>
      </c>
      <c r="D6" s="5" t="s">
        <v>57</v>
      </c>
      <c r="E6" s="5" t="s">
        <v>51</v>
      </c>
      <c r="F6" s="4" t="str">
        <f>IFERROR(_xlfn.XLOOKUP(Table[[#This Row],[Ativo]],Pendentes[COD_RELIGADOR],Pendentes[SS_ORIGINAL]),"CONCLUÍDA")</f>
        <v>ETO-COEP 00124/2026</v>
      </c>
      <c r="G6" s="4" t="s">
        <v>451</v>
      </c>
      <c r="H6" s="4" t="s">
        <v>452</v>
      </c>
      <c r="I6" s="4" t="s">
        <v>694</v>
      </c>
      <c r="J6" s="29" t="s">
        <v>469</v>
      </c>
      <c r="K6" s="31">
        <v>1</v>
      </c>
      <c r="L6" t="str">
        <f>IFERROR(_xlfn.XLOOKUP(Table[[#This Row],[Ativo]],Pendentes[COD_RELIGADOR],Pendentes[DESCRICAO]),"")</f>
        <v>PARECER COEP: Verificar Disponibilidade de equipamento no Scada e enviar modelo e tensão para a compra.RELIGADOR COM RELÉ DANIFICADO, REALIZAR SUBSTITUIÇÃO</v>
      </c>
      <c r="M6" s="5">
        <v>15</v>
      </c>
      <c r="N6" s="5">
        <v>20</v>
      </c>
      <c r="O6" s="5">
        <v>15</v>
      </c>
      <c r="P6" s="5">
        <v>15</v>
      </c>
      <c r="Q6" s="5">
        <v>15</v>
      </c>
      <c r="R6" s="5">
        <v>10</v>
      </c>
      <c r="S6" s="5">
        <v>0</v>
      </c>
      <c r="T6" s="5">
        <v>15</v>
      </c>
      <c r="U6" s="5">
        <f>SUM(Table[[#This Row],[Premissa 1]:[Premissa 8]])</f>
        <v>105</v>
      </c>
      <c r="V6" s="5" t="s">
        <v>9</v>
      </c>
      <c r="W6" t="s">
        <v>60</v>
      </c>
    </row>
    <row r="7" spans="1:26" ht="15" customHeight="1">
      <c r="A7" s="4">
        <v>7931608059</v>
      </c>
      <c r="B7" s="5" t="str">
        <f>MID(Table[[#This Row],[Ativo]],1,2)</f>
        <v>79</v>
      </c>
      <c r="C7" s="5" t="s">
        <v>62</v>
      </c>
      <c r="D7" s="5" t="s">
        <v>62</v>
      </c>
      <c r="E7" s="5" t="s">
        <v>42</v>
      </c>
      <c r="F7" s="4" t="str">
        <f>IFERROR(_xlfn.XLOOKUP(Table[[#This Row],[Ativo]],Pendentes[COD_RELIGADOR],Pendentes[SS_ORIGINAL]),"CONCLUÍDA")</f>
        <v>ETO-COEP 00040/2026</v>
      </c>
      <c r="G7" s="4" t="s">
        <v>451</v>
      </c>
      <c r="I7" s="4" t="s">
        <v>694</v>
      </c>
      <c r="J7" s="29" t="s">
        <v>454</v>
      </c>
      <c r="K7" s="31">
        <v>1</v>
      </c>
      <c r="L7" t="str">
        <f>IFERROR(_xlfn.XLOOKUP(Table[[#This Row],[Ativo]],Pendentes[COD_RELIGADOR],Pendentes[DESCRICAO]),"")</f>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v>
      </c>
      <c r="M7" s="5">
        <v>15</v>
      </c>
      <c r="N7" s="5">
        <v>20</v>
      </c>
      <c r="O7" s="5">
        <v>15</v>
      </c>
      <c r="P7" s="5">
        <v>15</v>
      </c>
      <c r="Q7" s="5">
        <v>15</v>
      </c>
      <c r="R7" s="5">
        <v>10</v>
      </c>
      <c r="S7" s="5">
        <v>0</v>
      </c>
      <c r="T7" s="5">
        <v>15</v>
      </c>
      <c r="U7" s="5">
        <f>SUM(Table[[#This Row],[Premissa 1]:[Premissa 8]])</f>
        <v>105</v>
      </c>
      <c r="V7" s="5" t="s">
        <v>9</v>
      </c>
      <c r="W7" t="s">
        <v>65</v>
      </c>
    </row>
    <row r="8" spans="1:26" ht="15" customHeight="1">
      <c r="A8" s="4">
        <v>7931610122</v>
      </c>
      <c r="B8" s="5" t="str">
        <f>MID(Table[[#This Row],[Ativo]],1,2)</f>
        <v>79</v>
      </c>
      <c r="C8" s="5" t="s">
        <v>68</v>
      </c>
      <c r="D8" s="5" t="s">
        <v>68</v>
      </c>
      <c r="E8" s="5" t="s">
        <v>42</v>
      </c>
      <c r="F8" s="4" t="str">
        <f>IFERROR(_xlfn.XLOOKUP(Table[[#This Row],[Ativo]],Pendentes[COD_RELIGADOR],Pendentes[SS_ORIGINAL]),"CONCLUÍDA")</f>
        <v>ETO-TELE 01025/2026</v>
      </c>
      <c r="G8" s="4" t="s">
        <v>482</v>
      </c>
      <c r="I8" s="4" t="s">
        <v>443</v>
      </c>
      <c r="J8" s="29" t="s">
        <v>723</v>
      </c>
      <c r="K8" s="31">
        <v>1</v>
      </c>
      <c r="L8" t="str">
        <f>IFERROR(_xlfn.XLOOKUP(Table[[#This Row],[Ativo]],Pendentes[COD_RELIGADOR],Pendentes[DESCRICAO]),"")</f>
        <v>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v>
      </c>
      <c r="M8" s="5">
        <v>15</v>
      </c>
      <c r="N8" s="5">
        <v>20</v>
      </c>
      <c r="O8" s="5">
        <v>15</v>
      </c>
      <c r="P8" s="5">
        <v>15</v>
      </c>
      <c r="Q8" s="5">
        <v>15</v>
      </c>
      <c r="R8" s="5">
        <v>10</v>
      </c>
      <c r="S8" s="5">
        <v>0</v>
      </c>
      <c r="T8" s="5">
        <v>15</v>
      </c>
      <c r="U8" s="5">
        <f>SUM(Table[[#This Row],[Premissa 1]:[Premissa 8]])</f>
        <v>105</v>
      </c>
      <c r="V8" s="5" t="s">
        <v>9</v>
      </c>
      <c r="W8" t="s">
        <v>71</v>
      </c>
    </row>
    <row r="9" spans="1:26" ht="15" customHeight="1">
      <c r="A9" s="4">
        <v>7900648055</v>
      </c>
      <c r="B9" s="5" t="str">
        <f>MID(Table[[#This Row],[Ativo]],1,2)</f>
        <v>79</v>
      </c>
      <c r="C9" s="5" t="s">
        <v>458</v>
      </c>
      <c r="D9" s="5" t="s">
        <v>210</v>
      </c>
      <c r="E9" s="5" t="s">
        <v>42</v>
      </c>
      <c r="F9" s="4" t="str">
        <f>IFERROR(_xlfn.XLOOKUP(Table[[#This Row],[Ativo]],Pendentes[COD_RELIGADOR],Pendentes[SS_ORIGINAL]),"CONCLUÍDA")</f>
        <v>CONCLUÍDA</v>
      </c>
      <c r="I9" s="4" t="s">
        <v>438</v>
      </c>
      <c r="J9" s="29"/>
      <c r="K9" s="31"/>
      <c r="L9" t="str">
        <f>IFERROR(_xlfn.XLOOKUP(Table[[#This Row],[Ativo]],Pendentes[COD_RELIGADOR],Pendentes[DESCRICAO]),"")</f>
        <v/>
      </c>
      <c r="M9" s="5">
        <v>15</v>
      </c>
      <c r="N9" s="5">
        <v>20</v>
      </c>
      <c r="O9" s="5">
        <v>15</v>
      </c>
      <c r="P9" s="5">
        <v>15</v>
      </c>
      <c r="Q9" s="5">
        <v>15</v>
      </c>
      <c r="R9" s="5">
        <v>10</v>
      </c>
      <c r="S9" s="5">
        <v>0</v>
      </c>
      <c r="T9" s="5">
        <v>15</v>
      </c>
      <c r="U9" s="5">
        <f>SUM(Table[[#This Row],[Premissa 1]:[Premissa 8]])</f>
        <v>105</v>
      </c>
      <c r="V9" s="5" t="s">
        <v>9</v>
      </c>
      <c r="W9" t="s">
        <v>459</v>
      </c>
    </row>
    <row r="10" spans="1:26" ht="15" customHeight="1">
      <c r="A10" s="4">
        <v>7947203070</v>
      </c>
      <c r="B10" s="5" t="str">
        <f>MID(Table[[#This Row],[Ativo]],1,2)</f>
        <v>79</v>
      </c>
      <c r="C10" s="5" t="s">
        <v>81</v>
      </c>
      <c r="D10" s="5" t="s">
        <v>62</v>
      </c>
      <c r="E10" s="5" t="s">
        <v>42</v>
      </c>
      <c r="F10" s="4" t="str">
        <f>IFERROR(_xlfn.XLOOKUP(Table[[#This Row],[Ativo]],Pendentes[COD_RELIGADOR],Pendentes[SS_ORIGINAL]),"CONCLUÍDA")</f>
        <v>ETO-COEP 00131/2026</v>
      </c>
      <c r="G10" s="4" t="s">
        <v>451</v>
      </c>
      <c r="I10" s="4" t="s">
        <v>694</v>
      </c>
      <c r="J10" s="29" t="s">
        <v>460</v>
      </c>
      <c r="K10" s="31">
        <v>1</v>
      </c>
      <c r="L10" t="str">
        <f>IFERROR(_xlfn.XLOOKUP(Table[[#This Row],[Ativo]],Pendentes[COD_RELIGADOR],Pendentes[DESCRICAO]),"")</f>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v>
      </c>
      <c r="M10" s="5">
        <v>10</v>
      </c>
      <c r="N10" s="5">
        <v>20</v>
      </c>
      <c r="O10" s="5">
        <v>15</v>
      </c>
      <c r="P10" s="5">
        <v>15</v>
      </c>
      <c r="Q10" s="5">
        <v>15</v>
      </c>
      <c r="R10" s="5">
        <v>10</v>
      </c>
      <c r="S10" s="5">
        <v>0</v>
      </c>
      <c r="T10" s="5">
        <v>15</v>
      </c>
      <c r="U10" s="5">
        <f>SUM(Table[[#This Row],[Premissa 1]:[Premissa 8]])</f>
        <v>100</v>
      </c>
      <c r="V10" s="5" t="s">
        <v>9</v>
      </c>
      <c r="W10" t="s">
        <v>84</v>
      </c>
    </row>
    <row r="11" spans="1:26" ht="15" customHeight="1">
      <c r="A11" s="4">
        <v>5856070091</v>
      </c>
      <c r="B11" s="5" t="str">
        <f>MID(Table[[#This Row],[Ativo]],1,2)</f>
        <v>58</v>
      </c>
      <c r="C11" s="5" t="s">
        <v>74</v>
      </c>
      <c r="D11" s="5" t="s">
        <v>75</v>
      </c>
      <c r="E11" s="5" t="s">
        <v>76</v>
      </c>
      <c r="F11" s="4" t="str">
        <f>IFERROR(_xlfn.XLOOKUP(Table[[#This Row],[Ativo]],Pendentes[COD_RELIGADOR],Pendentes[SS_ORIGINAL]),"CONCLUÍDA")</f>
        <v>ETO-RD-DP 00479/2026</v>
      </c>
      <c r="G11" s="4" t="s">
        <v>445</v>
      </c>
      <c r="H11" s="4" t="s">
        <v>704</v>
      </c>
      <c r="I11" s="4" t="s">
        <v>443</v>
      </c>
      <c r="J11" s="29" t="s">
        <v>462</v>
      </c>
      <c r="K11" s="31">
        <v>3</v>
      </c>
      <c r="L11" t="str">
        <f>IFERROR(_xlfn.XLOOKUP(Table[[#This Row],[Ativo]],Pendentes[COD_RELIGADOR],Pendentes[DESCRICAO]),"")</f>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v>
      </c>
      <c r="M11" s="5">
        <v>40</v>
      </c>
      <c r="N11" s="5">
        <v>20</v>
      </c>
      <c r="O11" s="5">
        <v>20</v>
      </c>
      <c r="P11" s="5">
        <v>20</v>
      </c>
      <c r="Q11" s="5">
        <v>0</v>
      </c>
      <c r="R11" s="5" t="s">
        <v>45</v>
      </c>
      <c r="S11" s="5" t="s">
        <v>45</v>
      </c>
      <c r="T11" s="5" t="s">
        <v>45</v>
      </c>
      <c r="U11" s="5">
        <f>SUM(Table[[#This Row],[Premissa 1]:[Premissa 8]])</f>
        <v>100</v>
      </c>
      <c r="V11" s="5" t="s">
        <v>9</v>
      </c>
      <c r="W11" t="s">
        <v>79</v>
      </c>
    </row>
    <row r="12" spans="1:26" ht="15" customHeight="1">
      <c r="A12" s="12">
        <v>7903569004</v>
      </c>
      <c r="B12" s="5" t="str">
        <f>MID(Table[[#This Row],[Ativo]],1,2)</f>
        <v>79</v>
      </c>
      <c r="C12" s="5" t="s">
        <v>57</v>
      </c>
      <c r="D12" s="5" t="s">
        <v>57</v>
      </c>
      <c r="E12" s="5" t="s">
        <v>51</v>
      </c>
      <c r="F12" s="4" t="str">
        <f>IFERROR(_xlfn.XLOOKUP(Table[[#This Row],[Ativo]],Pendentes[COD_RELIGADOR],Pendentes[SS_ORIGINAL]),"CONCLUÍDA")</f>
        <v>CONCLUÍDA</v>
      </c>
      <c r="J12" s="29"/>
      <c r="K12" s="31"/>
      <c r="L12" t="str">
        <f>IFERROR(_xlfn.XLOOKUP(Table[[#This Row],[Ativo]],Pendentes[COD_RELIGADOR],Pendentes[DESCRICAO]),"")</f>
        <v/>
      </c>
      <c r="M12" s="5">
        <v>15</v>
      </c>
      <c r="N12" s="5">
        <v>20</v>
      </c>
      <c r="O12" s="5">
        <v>5</v>
      </c>
      <c r="P12" s="5">
        <v>15</v>
      </c>
      <c r="Q12" s="5">
        <v>15</v>
      </c>
      <c r="R12" s="5">
        <v>10</v>
      </c>
      <c r="S12" s="5">
        <v>0</v>
      </c>
      <c r="T12" s="5">
        <v>15</v>
      </c>
      <c r="U12" s="5">
        <f>SUM(Table[[#This Row],[Premissa 1]:[Premissa 8]])</f>
        <v>95</v>
      </c>
      <c r="V12" s="5" t="s">
        <v>9</v>
      </c>
      <c r="W12" t="s">
        <v>463</v>
      </c>
    </row>
    <row r="13" spans="1:26" ht="15" customHeight="1">
      <c r="A13" s="4">
        <v>7925744087</v>
      </c>
      <c r="B13" s="5" t="str">
        <f>MID(Table[[#This Row],[Ativo]],1,2)</f>
        <v>79</v>
      </c>
      <c r="C13" s="5" t="s">
        <v>91</v>
      </c>
      <c r="D13" s="5" t="s">
        <v>50</v>
      </c>
      <c r="E13" s="5" t="s">
        <v>51</v>
      </c>
      <c r="F13" s="4" t="str">
        <f>IFERROR(_xlfn.XLOOKUP(Table[[#This Row],[Ativo]],Pendentes[COD_RELIGADOR],Pendentes[SS_ORIGINAL]),"CONCLUÍDA")</f>
        <v>ETO-COEP 00059/2026</v>
      </c>
      <c r="G13" s="4" t="s">
        <v>451</v>
      </c>
      <c r="H13" s="4" t="s">
        <v>464</v>
      </c>
      <c r="I13" s="4" t="s">
        <v>694</v>
      </c>
      <c r="J13" s="29" t="s">
        <v>465</v>
      </c>
      <c r="K13" s="31">
        <v>1</v>
      </c>
      <c r="L13" t="str">
        <f>IFERROR(_xlfn.XLOOKUP(Table[[#This Row],[Ativo]],Pendentes[COD_RELIGADOR],Pendentes[DESCRICAO]),"")</f>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v>
      </c>
      <c r="M13" s="5">
        <v>15</v>
      </c>
      <c r="N13" s="5">
        <v>20</v>
      </c>
      <c r="O13" s="5">
        <v>5</v>
      </c>
      <c r="P13" s="5">
        <v>15</v>
      </c>
      <c r="Q13" s="5">
        <v>15</v>
      </c>
      <c r="R13" s="5">
        <v>10</v>
      </c>
      <c r="S13" s="5">
        <v>0</v>
      </c>
      <c r="T13" s="5">
        <v>15</v>
      </c>
      <c r="U13" s="5">
        <f>SUM(Table[[#This Row],[Premissa 1]:[Premissa 8]])</f>
        <v>95</v>
      </c>
      <c r="V13" s="5" t="s">
        <v>9</v>
      </c>
      <c r="W13" t="s">
        <v>94</v>
      </c>
    </row>
    <row r="14" spans="1:26" ht="15" customHeight="1">
      <c r="A14" s="4">
        <v>7900117013</v>
      </c>
      <c r="B14" s="5" t="str">
        <f>MID(Table[[#This Row],[Ativo]],1,2)</f>
        <v>79</v>
      </c>
      <c r="C14" s="5" t="s">
        <v>97</v>
      </c>
      <c r="D14" s="5" t="s">
        <v>97</v>
      </c>
      <c r="E14" s="5" t="s">
        <v>42</v>
      </c>
      <c r="F14" s="4" t="str">
        <f>IFERROR(_xlfn.XLOOKUP(Table[[#This Row],[Ativo]],Pendentes[COD_RELIGADOR],Pendentes[SS_ORIGINAL]),"CONCLUÍDA")</f>
        <v>ETO-PROT 00154/2026</v>
      </c>
      <c r="G14" s="4" t="s">
        <v>471</v>
      </c>
      <c r="I14" s="4" t="s">
        <v>443</v>
      </c>
      <c r="J14" s="29" t="s">
        <v>460</v>
      </c>
      <c r="K14" s="31">
        <v>1</v>
      </c>
      <c r="L14" t="str">
        <f>IFERROR(_xlfn.XLOOKUP(Table[[#This Row],[Ativo]],Pendentes[COD_RELIGADOR],Pendentes[DESCRICAO]),"")</f>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v>
      </c>
      <c r="M14" s="5">
        <v>15</v>
      </c>
      <c r="N14" s="5">
        <v>20</v>
      </c>
      <c r="O14" s="5">
        <v>15</v>
      </c>
      <c r="P14" s="5">
        <v>15</v>
      </c>
      <c r="Q14" s="5">
        <v>15</v>
      </c>
      <c r="R14" s="5">
        <v>0</v>
      </c>
      <c r="S14" s="5">
        <v>0</v>
      </c>
      <c r="T14" s="5">
        <v>15</v>
      </c>
      <c r="U14" s="5">
        <f>SUM(Table[[#This Row],[Premissa 1]:[Premissa 8]])</f>
        <v>95</v>
      </c>
      <c r="V14" s="5" t="s">
        <v>9</v>
      </c>
      <c r="W14" t="s">
        <v>100</v>
      </c>
    </row>
    <row r="15" spans="1:26" ht="15" customHeight="1">
      <c r="A15" s="4">
        <v>7929376022</v>
      </c>
      <c r="B15" s="5" t="str">
        <f>MID(Table[[#This Row],[Ativo]],1,2)</f>
        <v>79</v>
      </c>
      <c r="C15" s="5" t="s">
        <v>102</v>
      </c>
      <c r="D15" s="5" t="s">
        <v>57</v>
      </c>
      <c r="E15" s="5" t="s">
        <v>51</v>
      </c>
      <c r="F15" s="4" t="str">
        <f>IFERROR(_xlfn.XLOOKUP(Table[[#This Row],[Ativo]],Pendentes[COD_RELIGADOR],Pendentes[SS_ORIGINAL]),"CONCLUÍDA")</f>
        <v>ETO-COEP 00120/2026</v>
      </c>
      <c r="G15" s="4" t="s">
        <v>720</v>
      </c>
      <c r="H15" s="4" t="s">
        <v>962</v>
      </c>
      <c r="I15" s="4" t="s">
        <v>443</v>
      </c>
      <c r="J15" s="29" t="s">
        <v>469</v>
      </c>
      <c r="K15" s="31">
        <v>1</v>
      </c>
      <c r="L15" t="str">
        <f>IFERROR(_xlfn.XLOOKUP(Table[[#This Row],[Ativo]],Pendentes[COD_RELIGADOR],Pendentes[DESCRICAO]),"")</f>
        <v>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v>
      </c>
      <c r="M15" s="5">
        <v>15</v>
      </c>
      <c r="N15" s="5">
        <v>20</v>
      </c>
      <c r="O15" s="5">
        <v>5</v>
      </c>
      <c r="P15" s="5">
        <v>15</v>
      </c>
      <c r="Q15" s="5">
        <v>15</v>
      </c>
      <c r="R15" s="5">
        <v>10</v>
      </c>
      <c r="S15" s="5">
        <v>0</v>
      </c>
      <c r="T15" s="5">
        <v>15</v>
      </c>
      <c r="U15" s="5">
        <f>SUM(Table[[#This Row],[Premissa 1]:[Premissa 8]])</f>
        <v>95</v>
      </c>
      <c r="V15" s="5" t="s">
        <v>9</v>
      </c>
      <c r="W15" t="s">
        <v>105</v>
      </c>
    </row>
    <row r="16" spans="1:26" ht="15" customHeight="1">
      <c r="A16" s="40">
        <v>7908705049</v>
      </c>
      <c r="B16" s="5" t="str">
        <f>MID(Table[[#This Row],[Ativo]],1,2)</f>
        <v>79</v>
      </c>
      <c r="C16" s="5" t="s">
        <v>86</v>
      </c>
      <c r="D16" s="5" t="s">
        <v>75</v>
      </c>
      <c r="E16" s="5" t="s">
        <v>76</v>
      </c>
      <c r="F16" s="4" t="str">
        <f>IFERROR(_xlfn.XLOOKUP(Table[[#This Row],[Ativo]],Pendentes[COD_RELIGADOR],Pendentes[SS_ORIGINAL]),"CONCLUÍDA")</f>
        <v>ETO-RD-DP 00409/2026</v>
      </c>
      <c r="G16" s="4" t="s">
        <v>445</v>
      </c>
      <c r="H16" s="4" t="s">
        <v>713</v>
      </c>
      <c r="I16" s="4" t="s">
        <v>443</v>
      </c>
      <c r="J16" s="29" t="s">
        <v>469</v>
      </c>
      <c r="K16" s="31">
        <v>1</v>
      </c>
      <c r="L16" t="str">
        <f>IFERROR(_xlfn.XLOOKUP(Table[[#This Row],[Ativo]],Pendentes[COD_RELIGADOR],Pendentes[DESCRICAO]),"")</f>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v>
      </c>
      <c r="M16" s="5">
        <v>15</v>
      </c>
      <c r="N16" s="5">
        <v>20</v>
      </c>
      <c r="O16" s="5">
        <v>5</v>
      </c>
      <c r="P16" s="5">
        <v>15</v>
      </c>
      <c r="Q16" s="5">
        <v>15</v>
      </c>
      <c r="R16" s="5">
        <v>0</v>
      </c>
      <c r="S16" s="5">
        <v>10</v>
      </c>
      <c r="T16" s="5">
        <v>15</v>
      </c>
      <c r="U16" s="5">
        <f>SUM(Table[[#This Row],[Premissa 1]:[Premissa 8]])</f>
        <v>95</v>
      </c>
      <c r="V16" s="5" t="s">
        <v>9</v>
      </c>
      <c r="W16" t="s">
        <v>89</v>
      </c>
    </row>
    <row r="17" spans="1:23" ht="15" customHeight="1">
      <c r="A17" s="4">
        <v>7933726256</v>
      </c>
      <c r="B17" s="5" t="str">
        <f>MID(Table[[#This Row],[Ativo]],1,2)</f>
        <v>79</v>
      </c>
      <c r="C17" s="5" t="s">
        <v>107</v>
      </c>
      <c r="D17" s="5" t="s">
        <v>108</v>
      </c>
      <c r="E17" s="5" t="s">
        <v>42</v>
      </c>
      <c r="F17" s="4" t="str">
        <f>IFERROR(_xlfn.XLOOKUP(Table[[#This Row],[Ativo]],Pendentes[COD_RELIGADOR],Pendentes[SS_ORIGINAL]),"CONCLUÍDA")</f>
        <v>ETO-PROT 00145/2026</v>
      </c>
      <c r="G17" s="4" t="s">
        <v>471</v>
      </c>
      <c r="H17" s="4" t="s">
        <v>724</v>
      </c>
      <c r="I17" s="4" t="s">
        <v>443</v>
      </c>
      <c r="J17" s="29" t="s">
        <v>473</v>
      </c>
      <c r="K17" s="31">
        <v>1</v>
      </c>
      <c r="L17" t="str">
        <f>IFERROR(_xlfn.XLOOKUP(Table[[#This Row],[Ativo]],Pendentes[COD_RELIGADOR],Pendentes[DESCRICAO]),"")</f>
        <v>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v>
      </c>
      <c r="M17" s="5">
        <v>15</v>
      </c>
      <c r="N17" s="5">
        <v>10</v>
      </c>
      <c r="O17" s="5">
        <v>15</v>
      </c>
      <c r="P17" s="5">
        <v>15</v>
      </c>
      <c r="Q17" s="5">
        <v>15</v>
      </c>
      <c r="R17" s="5">
        <v>10</v>
      </c>
      <c r="S17" s="5">
        <v>0</v>
      </c>
      <c r="T17" s="5">
        <v>15</v>
      </c>
      <c r="U17" s="5">
        <f>SUM(Table[[#This Row],[Premissa 1]:[Premissa 8]])</f>
        <v>95</v>
      </c>
      <c r="V17" s="5" t="s">
        <v>9</v>
      </c>
      <c r="W17" t="s">
        <v>111</v>
      </c>
    </row>
    <row r="18" spans="1:23" ht="15" customHeight="1">
      <c r="A18" s="4">
        <v>7933766059</v>
      </c>
      <c r="B18" s="5" t="str">
        <f>MID(Table[[#This Row],[Ativo]],1,2)</f>
        <v>79</v>
      </c>
      <c r="C18" s="5" t="s">
        <v>62</v>
      </c>
      <c r="D18" s="5" t="s">
        <v>62</v>
      </c>
      <c r="E18" s="5" t="s">
        <v>42</v>
      </c>
      <c r="F18" s="4" t="str">
        <f>IFERROR(_xlfn.XLOOKUP(Table[[#This Row],[Ativo]],Pendentes[COD_RELIGADOR],Pendentes[SS_ORIGINAL]),"CONCLUÍDA")</f>
        <v>ETO-TELE 01024/2026</v>
      </c>
      <c r="G18" s="4" t="s">
        <v>482</v>
      </c>
      <c r="H18" s="9"/>
      <c r="I18" s="4" t="s">
        <v>443</v>
      </c>
      <c r="J18" s="29" t="s">
        <v>473</v>
      </c>
      <c r="K18" s="31">
        <v>1</v>
      </c>
      <c r="L18" t="str">
        <f>IFERROR(_xlfn.XLOOKUP(Table[[#This Row],[Ativo]],Pendentes[COD_RELIGADOR],Pendentes[DESCRICAO]),"")</f>
        <v>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v>
      </c>
      <c r="M18" s="5">
        <v>15</v>
      </c>
      <c r="N18" s="5">
        <v>20</v>
      </c>
      <c r="O18" s="5">
        <v>5</v>
      </c>
      <c r="P18" s="5">
        <v>15</v>
      </c>
      <c r="Q18" s="5">
        <v>15</v>
      </c>
      <c r="R18" s="5">
        <v>0</v>
      </c>
      <c r="S18" s="5">
        <v>10</v>
      </c>
      <c r="T18" s="5">
        <v>15</v>
      </c>
      <c r="U18" s="5">
        <f>SUM(Table[[#This Row],[Premissa 1]:[Premissa 8]])</f>
        <v>95</v>
      </c>
      <c r="V18" s="5" t="s">
        <v>9</v>
      </c>
      <c r="W18" t="s">
        <v>115</v>
      </c>
    </row>
    <row r="19" spans="1:23" ht="15" customHeight="1">
      <c r="A19" s="4">
        <v>7900594026</v>
      </c>
      <c r="B19" s="5" t="str">
        <f>MID(Table[[#This Row],[Ativo]],1,2)</f>
        <v>79</v>
      </c>
      <c r="C19" s="5" t="s">
        <v>108</v>
      </c>
      <c r="D19" s="5" t="s">
        <v>108</v>
      </c>
      <c r="E19" s="5" t="s">
        <v>42</v>
      </c>
      <c r="F19" s="4" t="str">
        <f>IFERROR(_xlfn.XLOOKUP(Table[[#This Row],[Ativo]],Pendentes[COD_RELIGADOR],Pendentes[SS_ORIGINAL]),"CONCLUÍDA")</f>
        <v>ETO-SE-PA 00107/2026</v>
      </c>
      <c r="G19" s="4" t="s">
        <v>482</v>
      </c>
      <c r="I19" s="4" t="s">
        <v>443</v>
      </c>
      <c r="J19" s="29" t="s">
        <v>469</v>
      </c>
      <c r="K19" s="31">
        <v>1</v>
      </c>
      <c r="L19" t="str">
        <f>IFERROR(_xlfn.XLOOKUP(Table[[#This Row],[Ativo]],Pendentes[COD_RELIGADOR],Pendentes[DESCRICAO]),"")</f>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v>
      </c>
      <c r="M19" s="5">
        <v>15</v>
      </c>
      <c r="N19" s="5">
        <v>20</v>
      </c>
      <c r="O19" s="5">
        <v>15</v>
      </c>
      <c r="P19" s="5">
        <v>15</v>
      </c>
      <c r="Q19" s="5">
        <v>15</v>
      </c>
      <c r="R19" s="5">
        <v>0</v>
      </c>
      <c r="S19" s="5">
        <v>0</v>
      </c>
      <c r="T19" s="5">
        <v>15</v>
      </c>
      <c r="U19" s="5">
        <f>SUM(Table[[#This Row],[Premissa 1]:[Premissa 8]])</f>
        <v>95</v>
      </c>
      <c r="V19" s="5" t="s">
        <v>9</v>
      </c>
      <c r="W19" t="s">
        <v>119</v>
      </c>
    </row>
    <row r="20" spans="1:23" ht="15" customHeight="1">
      <c r="A20" s="4">
        <v>7921040031</v>
      </c>
      <c r="B20" s="5" t="str">
        <f>MID(Table[[#This Row],[Ativo]],1,2)</f>
        <v>79</v>
      </c>
      <c r="C20" s="5" t="s">
        <v>476</v>
      </c>
      <c r="D20" s="5" t="s">
        <v>186</v>
      </c>
      <c r="E20" s="5" t="s">
        <v>42</v>
      </c>
      <c r="F20" s="4" t="str">
        <f>IFERROR(_xlfn.XLOOKUP(Table[[#This Row],[Ativo]],Pendentes[COD_RELIGADOR],Pendentes[SS_ORIGINAL]),"CONCLUÍDA")</f>
        <v>CONCLUÍDA</v>
      </c>
      <c r="I20" s="4" t="s">
        <v>438</v>
      </c>
      <c r="J20" s="29"/>
      <c r="K20" s="31"/>
      <c r="L20" t="str">
        <f>IFERROR(_xlfn.XLOOKUP(Table[[#This Row],[Ativo]],Pendentes[COD_RELIGADOR],Pendentes[DESCRICAO]),"")</f>
        <v/>
      </c>
      <c r="M20" s="5">
        <v>15</v>
      </c>
      <c r="N20" s="5">
        <v>20</v>
      </c>
      <c r="O20" s="5">
        <v>5</v>
      </c>
      <c r="P20" s="5">
        <v>15</v>
      </c>
      <c r="Q20" s="5">
        <v>15</v>
      </c>
      <c r="R20" s="5">
        <v>10</v>
      </c>
      <c r="S20" s="5">
        <v>0</v>
      </c>
      <c r="T20" s="5">
        <v>15</v>
      </c>
      <c r="U20" s="5">
        <f>SUM(Table[[#This Row],[Premissa 1]:[Premissa 8]])</f>
        <v>95</v>
      </c>
      <c r="V20" s="5" t="s">
        <v>9</v>
      </c>
      <c r="W20" t="s">
        <v>477</v>
      </c>
    </row>
    <row r="21" spans="1:23" ht="15" customHeight="1">
      <c r="A21" s="4">
        <v>7957620015</v>
      </c>
      <c r="B21" s="5" t="str">
        <f>MID(Table[[#This Row],[Ativo]],1,2)</f>
        <v>79</v>
      </c>
      <c r="C21" s="5" t="s">
        <v>283</v>
      </c>
      <c r="D21" s="5" t="s">
        <v>50</v>
      </c>
      <c r="E21" s="5" t="s">
        <v>51</v>
      </c>
      <c r="F21" s="4" t="str">
        <f>IFERROR(_xlfn.XLOOKUP(Table[[#This Row],[Ativo]],Pendentes[COD_RELIGADOR],Pendentes[SS_ORIGINAL]),"CONCLUÍDA")</f>
        <v>CONCLUÍDA</v>
      </c>
      <c r="I21" s="4" t="s">
        <v>438</v>
      </c>
      <c r="J21" s="29"/>
      <c r="K21" s="31"/>
      <c r="L21" t="str">
        <f>IFERROR(_xlfn.XLOOKUP(Table[[#This Row],[Ativo]],Pendentes[COD_RELIGADOR],Pendentes[DESCRICAO]),"")</f>
        <v/>
      </c>
      <c r="M21" s="5">
        <v>15</v>
      </c>
      <c r="N21" s="5">
        <v>20</v>
      </c>
      <c r="O21" s="5">
        <v>15</v>
      </c>
      <c r="P21" s="5">
        <v>15</v>
      </c>
      <c r="Q21" s="5">
        <v>15</v>
      </c>
      <c r="R21" s="5">
        <v>0</v>
      </c>
      <c r="S21" s="5">
        <v>0</v>
      </c>
      <c r="T21" s="5">
        <v>15</v>
      </c>
      <c r="U21" s="5">
        <f>SUM(Table[[#This Row],[Premissa 1]:[Premissa 8]])</f>
        <v>95</v>
      </c>
      <c r="V21" s="5" t="s">
        <v>9</v>
      </c>
      <c r="W21" t="s">
        <v>478</v>
      </c>
    </row>
    <row r="22" spans="1:23" ht="15" customHeight="1">
      <c r="A22" s="4">
        <v>7927413001</v>
      </c>
      <c r="B22" s="5" t="str">
        <f>MID(Table[[#This Row],[Ativo]],1,2)</f>
        <v>79</v>
      </c>
      <c r="C22" s="5" t="s">
        <v>41</v>
      </c>
      <c r="D22" s="5" t="s">
        <v>41</v>
      </c>
      <c r="E22" s="5" t="s">
        <v>42</v>
      </c>
      <c r="F22" s="4" t="str">
        <f>IFERROR(_xlfn.XLOOKUP(Table[[#This Row],[Ativo]],Pendentes[COD_RELIGADOR],Pendentes[SS_ORIGINAL]),"CONCLUÍDA")</f>
        <v>ETO-COEP 00141/2026</v>
      </c>
      <c r="G22" s="4" t="s">
        <v>451</v>
      </c>
      <c r="I22" s="4" t="s">
        <v>694</v>
      </c>
      <c r="J22" s="29" t="s">
        <v>469</v>
      </c>
      <c r="K22" s="31">
        <v>1</v>
      </c>
      <c r="L22" t="str">
        <f>IFERROR(_xlfn.XLOOKUP(Table[[#This Row],[Ativo]],Pendentes[COD_RELIGADOR],Pendentes[DESCRICAO]),"")</f>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v>
      </c>
      <c r="M22" s="5">
        <v>15</v>
      </c>
      <c r="N22" s="5">
        <v>5</v>
      </c>
      <c r="O22" s="5">
        <v>15</v>
      </c>
      <c r="P22" s="5">
        <v>15</v>
      </c>
      <c r="Q22" s="5">
        <v>15</v>
      </c>
      <c r="R22" s="5">
        <v>10</v>
      </c>
      <c r="S22" s="5">
        <v>0</v>
      </c>
      <c r="T22" s="5">
        <v>15</v>
      </c>
      <c r="U22" s="5">
        <f>SUM(Table[[#This Row],[Premissa 1]:[Premissa 8]])</f>
        <v>90</v>
      </c>
      <c r="V22" s="5" t="s">
        <v>9</v>
      </c>
      <c r="W22" t="s">
        <v>123</v>
      </c>
    </row>
    <row r="23" spans="1:23" ht="15" customHeight="1">
      <c r="A23" s="4">
        <v>7908686014</v>
      </c>
      <c r="B23" s="5" t="str">
        <f>MID(Table[[#This Row],[Ativo]],1,2)</f>
        <v>79</v>
      </c>
      <c r="C23" s="5" t="s">
        <v>126</v>
      </c>
      <c r="D23" s="5" t="s">
        <v>97</v>
      </c>
      <c r="E23" s="5" t="s">
        <v>42</v>
      </c>
      <c r="F23" s="4" t="str">
        <f>IFERROR(_xlfn.XLOOKUP(Table[[#This Row],[Ativo]],Pendentes[COD_RELIGADOR],Pendentes[SS_ORIGINAL]),"CONCLUÍDA")</f>
        <v>ETO-RD-PS 00302/2026</v>
      </c>
      <c r="G23" s="5" t="s">
        <v>455</v>
      </c>
      <c r="H23" s="4" t="s">
        <v>711</v>
      </c>
      <c r="I23" s="4" t="s">
        <v>443</v>
      </c>
      <c r="J23" s="29" t="s">
        <v>480</v>
      </c>
      <c r="K23" s="31">
        <v>1</v>
      </c>
      <c r="L23" t="str">
        <f>IFERROR(_xlfn.XLOOKUP(Table[[#This Row],[Ativo]],Pendentes[COD_RELIGADOR],Pendentes[DESCRICAO]),"")</f>
        <v>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v>
      </c>
      <c r="M23" s="5">
        <v>15</v>
      </c>
      <c r="N23" s="5">
        <v>20</v>
      </c>
      <c r="O23" s="5">
        <v>0</v>
      </c>
      <c r="P23" s="5">
        <v>15</v>
      </c>
      <c r="Q23" s="5">
        <v>15</v>
      </c>
      <c r="R23" s="5">
        <v>10</v>
      </c>
      <c r="S23" s="5">
        <v>0</v>
      </c>
      <c r="T23" s="5">
        <v>15</v>
      </c>
      <c r="U23" s="5">
        <f>SUM(Table[[#This Row],[Premissa 1]:[Premissa 8]])</f>
        <v>90</v>
      </c>
      <c r="V23" s="5" t="s">
        <v>9</v>
      </c>
      <c r="W23" t="s">
        <v>129</v>
      </c>
    </row>
    <row r="24" spans="1:23" ht="15" customHeight="1">
      <c r="A24" s="4">
        <v>5800440256</v>
      </c>
      <c r="B24" s="5" t="str">
        <f>MID(Table[[#This Row],[Ativo]],1,2)</f>
        <v>58</v>
      </c>
      <c r="C24" s="5" t="s">
        <v>107</v>
      </c>
      <c r="D24" s="5" t="s">
        <v>108</v>
      </c>
      <c r="E24" s="5" t="s">
        <v>42</v>
      </c>
      <c r="F24" s="4" t="str">
        <f>IFERROR(_xlfn.XLOOKUP(Table[[#This Row],[Ativo]],Pendentes[COD_RELIGADOR],Pendentes[SS_ORIGINAL]),"CONCLUÍDA")</f>
        <v>CONCLUÍDA</v>
      </c>
      <c r="G24" s="11"/>
      <c r="I24" s="4" t="s">
        <v>438</v>
      </c>
      <c r="J24" s="29"/>
      <c r="K24" s="31"/>
      <c r="L24" t="str">
        <f>IFERROR(_xlfn.XLOOKUP(Table[[#This Row],[Ativo]],Pendentes[COD_RELIGADOR],Pendentes[DESCRICAO]),"")</f>
        <v/>
      </c>
      <c r="M24" s="5">
        <v>20</v>
      </c>
      <c r="N24" s="5">
        <v>20</v>
      </c>
      <c r="O24" s="5">
        <v>20</v>
      </c>
      <c r="P24" s="5">
        <v>10</v>
      </c>
      <c r="Q24" s="5">
        <v>20</v>
      </c>
      <c r="R24" s="5" t="s">
        <v>45</v>
      </c>
      <c r="S24" s="5" t="s">
        <v>45</v>
      </c>
      <c r="T24" s="5" t="s">
        <v>45</v>
      </c>
      <c r="U24" s="5">
        <f>SUM(Table[[#This Row],[Premissa 1]:[Premissa 8]])</f>
        <v>90</v>
      </c>
      <c r="V24" s="5" t="s">
        <v>9</v>
      </c>
      <c r="W24" t="s">
        <v>481</v>
      </c>
    </row>
    <row r="25" spans="1:23" ht="15" customHeight="1">
      <c r="A25" s="4">
        <v>7943790134</v>
      </c>
      <c r="B25" s="5" t="str">
        <f>MID(Table[[#This Row],[Ativo]],1,2)</f>
        <v>79</v>
      </c>
      <c r="C25" s="5" t="s">
        <v>131</v>
      </c>
      <c r="D25" s="5" t="s">
        <v>132</v>
      </c>
      <c r="E25" s="5" t="s">
        <v>51</v>
      </c>
      <c r="F25" s="4" t="str">
        <f>IFERROR(_xlfn.XLOOKUP(Table[[#This Row],[Ativo]],Pendentes[COD_RELIGADOR],Pendentes[SS_ORIGINAL]),"CONCLUÍDA")</f>
        <v>ETO-TELE 00896/2026</v>
      </c>
      <c r="G25" s="4" t="s">
        <v>482</v>
      </c>
      <c r="I25" s="4" t="s">
        <v>443</v>
      </c>
      <c r="J25" s="29" t="s">
        <v>480</v>
      </c>
      <c r="K25" s="31">
        <v>1</v>
      </c>
      <c r="L25" t="str">
        <f>IFERROR(_xlfn.XLOOKUP(Table[[#This Row],[Ativo]],Pendentes[COD_RELIGADOR],Pendentes[DESCRICAO]),"")</f>
        <v>PARECER DCMD:Serviço realizado , substituição da parte ativa  do RELIGADOR 7943790134 - Favor realizar comissionamento</v>
      </c>
      <c r="M25" s="5">
        <v>15</v>
      </c>
      <c r="N25" s="5">
        <v>10</v>
      </c>
      <c r="O25" s="5">
        <v>5</v>
      </c>
      <c r="P25" s="5">
        <v>15</v>
      </c>
      <c r="Q25" s="5">
        <v>15</v>
      </c>
      <c r="R25" s="5">
        <v>10</v>
      </c>
      <c r="S25" s="5">
        <v>0</v>
      </c>
      <c r="T25" s="5">
        <v>15</v>
      </c>
      <c r="U25" s="5">
        <f>SUM(Table[[#This Row],[Premissa 1]:[Premissa 8]])</f>
        <v>85</v>
      </c>
      <c r="V25" s="5" t="s">
        <v>9</v>
      </c>
      <c r="W25" t="s">
        <v>135</v>
      </c>
    </row>
    <row r="26" spans="1:23" ht="15" customHeight="1">
      <c r="A26" s="12">
        <v>7900453110</v>
      </c>
      <c r="B26" s="5" t="str">
        <f>MID(Table[[#This Row],[Ativo]],1,2)</f>
        <v>79</v>
      </c>
      <c r="C26" s="5" t="s">
        <v>137</v>
      </c>
      <c r="D26" s="5" t="s">
        <v>41</v>
      </c>
      <c r="E26" s="5" t="s">
        <v>42</v>
      </c>
      <c r="F26" s="4" t="str">
        <f>IFERROR(_xlfn.XLOOKUP(Table[[#This Row],[Ativo]],Pendentes[COD_RELIGADOR],Pendentes[SS_ORIGINAL]),"CONCLUÍDA")</f>
        <v>ETO-COEP 00087/2026</v>
      </c>
      <c r="G26" s="4" t="s">
        <v>451</v>
      </c>
      <c r="H26" s="4" t="s">
        <v>963</v>
      </c>
      <c r="I26" s="4" t="s">
        <v>694</v>
      </c>
      <c r="J26" s="29" t="s">
        <v>480</v>
      </c>
      <c r="K26" s="31">
        <v>1</v>
      </c>
      <c r="L26" t="str">
        <f>IFERROR(_xlfn.XLOOKUP(Table[[#This Row],[Ativo]],Pendentes[COD_RELIGADOR],Pendentes[DESCRICAO]),"")</f>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v>
      </c>
      <c r="M26" s="5">
        <v>15</v>
      </c>
      <c r="N26" s="5">
        <v>10</v>
      </c>
      <c r="O26" s="5">
        <v>5</v>
      </c>
      <c r="P26" s="5">
        <v>15</v>
      </c>
      <c r="Q26" s="5">
        <v>15</v>
      </c>
      <c r="R26" s="5">
        <v>10</v>
      </c>
      <c r="S26" s="5">
        <v>0</v>
      </c>
      <c r="T26" s="5">
        <v>15</v>
      </c>
      <c r="U26" s="5">
        <f>SUM(Table[[#This Row],[Premissa 1]:[Premissa 8]])</f>
        <v>85</v>
      </c>
      <c r="V26" s="5" t="s">
        <v>9</v>
      </c>
      <c r="W26" t="s">
        <v>140</v>
      </c>
    </row>
    <row r="27" spans="1:23" ht="15" customHeight="1">
      <c r="A27" s="4">
        <v>7925871077</v>
      </c>
      <c r="B27" s="5" t="str">
        <f>MID(Table[[#This Row],[Ativo]],1,2)</f>
        <v>79</v>
      </c>
      <c r="C27" s="5" t="s">
        <v>144</v>
      </c>
      <c r="D27" s="5" t="s">
        <v>57</v>
      </c>
      <c r="E27" s="5" t="s">
        <v>51</v>
      </c>
      <c r="F27" s="4" t="str">
        <f>IFERROR(_xlfn.XLOOKUP(Table[[#This Row],[Ativo]],Pendentes[COD_RELIGADOR],Pendentes[SS_ORIGINAL]),"CONCLUÍDA")</f>
        <v>ETO-COEP 00048/2026</v>
      </c>
      <c r="G27" s="4" t="s">
        <v>451</v>
      </c>
      <c r="H27" s="4" t="s">
        <v>963</v>
      </c>
      <c r="I27" s="4" t="s">
        <v>694</v>
      </c>
      <c r="J27" s="29" t="s">
        <v>480</v>
      </c>
      <c r="K27" s="31">
        <v>1</v>
      </c>
      <c r="L27" t="str">
        <f>IFERROR(_xlfn.XLOOKUP(Table[[#This Row],[Ativo]],Pendentes[COD_RELIGADOR],Pendentes[DESCRICAO]),"")</f>
        <v>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v>
      </c>
      <c r="M27" s="5">
        <v>15</v>
      </c>
      <c r="N27" s="5">
        <v>10</v>
      </c>
      <c r="O27" s="5">
        <v>15</v>
      </c>
      <c r="P27" s="5">
        <v>15</v>
      </c>
      <c r="Q27" s="5">
        <v>15</v>
      </c>
      <c r="R27" s="5">
        <v>10</v>
      </c>
      <c r="S27" s="5">
        <v>0</v>
      </c>
      <c r="T27" s="5">
        <v>0</v>
      </c>
      <c r="U27" s="5">
        <f>SUM(Table[[#This Row],[Premissa 1]:[Premissa 8]])</f>
        <v>80</v>
      </c>
      <c r="V27" s="5" t="s">
        <v>9</v>
      </c>
      <c r="W27" t="s">
        <v>147</v>
      </c>
    </row>
    <row r="28" spans="1:23" ht="15" customHeight="1">
      <c r="A28" s="4">
        <v>5803327001</v>
      </c>
      <c r="B28" s="5" t="str">
        <f>MID(Table[[#This Row],[Ativo]],1,2)</f>
        <v>58</v>
      </c>
      <c r="C28" s="5" t="s">
        <v>41</v>
      </c>
      <c r="D28" s="5" t="s">
        <v>41</v>
      </c>
      <c r="E28" s="5" t="s">
        <v>42</v>
      </c>
      <c r="F28" s="4" t="str">
        <f>IFERROR(_xlfn.XLOOKUP(Table[[#This Row],[Ativo]],Pendentes[COD_RELIGADOR],Pendentes[SS_ORIGINAL]),"CONCLUÍDA")</f>
        <v>ETO-COEP 00149/2026</v>
      </c>
      <c r="G28" s="11" t="s">
        <v>467</v>
      </c>
      <c r="H28" s="4" t="s">
        <v>572</v>
      </c>
      <c r="I28" s="4" t="s">
        <v>443</v>
      </c>
      <c r="J28" s="29" t="s">
        <v>487</v>
      </c>
      <c r="K28" s="31">
        <v>1</v>
      </c>
      <c r="L28" t="str">
        <f>IFERROR(_xlfn.XLOOKUP(Table[[#This Row],[Ativo]],Pendentes[COD_RELIGADOR],Pendentes[DESCRICAO]),"")</f>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v>
      </c>
      <c r="M28" s="5">
        <v>40</v>
      </c>
      <c r="N28" s="5">
        <v>0</v>
      </c>
      <c r="O28" s="5">
        <v>0</v>
      </c>
      <c r="P28" s="5">
        <v>20</v>
      </c>
      <c r="Q28" s="5">
        <v>20</v>
      </c>
      <c r="R28" s="5" t="s">
        <v>45</v>
      </c>
      <c r="S28" s="5" t="s">
        <v>45</v>
      </c>
      <c r="T28" s="5" t="s">
        <v>45</v>
      </c>
      <c r="U28" s="5">
        <f>SUM(Table[[#This Row],[Premissa 1]:[Premissa 8]])</f>
        <v>80</v>
      </c>
      <c r="V28" s="5" t="s">
        <v>13</v>
      </c>
      <c r="W28" t="s">
        <v>151</v>
      </c>
    </row>
    <row r="29" spans="1:23" ht="15" customHeight="1">
      <c r="A29" s="4">
        <v>7900230155</v>
      </c>
      <c r="B29" s="5" t="str">
        <f>MID(Table[[#This Row],[Ativo]],1,2)</f>
        <v>79</v>
      </c>
      <c r="C29" s="5" t="s">
        <v>153</v>
      </c>
      <c r="D29" s="5" t="s">
        <v>154</v>
      </c>
      <c r="E29" s="5" t="s">
        <v>51</v>
      </c>
      <c r="F29" s="4" t="str">
        <f>IFERROR(_xlfn.XLOOKUP(Table[[#This Row],[Ativo]],Pendentes[COD_RELIGADOR],Pendentes[SS_ORIGINAL]),"CONCLUÍDA")</f>
        <v>ETO-PROT 00143/2026</v>
      </c>
      <c r="G29" s="4" t="s">
        <v>471</v>
      </c>
      <c r="I29" s="4" t="s">
        <v>443</v>
      </c>
      <c r="J29" s="29" t="s">
        <v>489</v>
      </c>
      <c r="K29" s="31">
        <v>1</v>
      </c>
      <c r="L29" t="str">
        <f>IFERROR(_xlfn.XLOOKUP(Table[[#This Row],[Ativo]],Pendentes[COD_RELIGADOR],Pendentes[DESCRICAO]),"")</f>
        <v>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v>
      </c>
      <c r="M29" s="5">
        <v>15</v>
      </c>
      <c r="N29" s="5">
        <v>20</v>
      </c>
      <c r="O29" s="5">
        <v>5</v>
      </c>
      <c r="P29" s="5">
        <v>15</v>
      </c>
      <c r="Q29" s="5">
        <v>0</v>
      </c>
      <c r="R29" s="5">
        <v>10</v>
      </c>
      <c r="S29" s="5">
        <v>0</v>
      </c>
      <c r="T29" s="5">
        <v>15</v>
      </c>
      <c r="U29" s="5">
        <f>SUM(Table[[#This Row],[Premissa 1]:[Premissa 8]])</f>
        <v>80</v>
      </c>
      <c r="V29" s="5" t="s">
        <v>9</v>
      </c>
      <c r="W29" t="s">
        <v>157</v>
      </c>
    </row>
    <row r="30" spans="1:23" ht="15" customHeight="1">
      <c r="A30" s="4">
        <v>7900543083</v>
      </c>
      <c r="B30" s="5" t="str">
        <f>MID(Table[[#This Row],[Ativo]],1,2)</f>
        <v>79</v>
      </c>
      <c r="C30" s="5" t="s">
        <v>490</v>
      </c>
      <c r="D30" s="5" t="s">
        <v>62</v>
      </c>
      <c r="E30" s="5" t="s">
        <v>42</v>
      </c>
      <c r="F30" s="49"/>
      <c r="I30" s="4" t="s">
        <v>438</v>
      </c>
      <c r="J30" s="29"/>
      <c r="K30" s="31"/>
      <c r="L30" t="str">
        <f>IFERROR(_xlfn.XLOOKUP(Table[[#This Row],[Ativo]],Pendentes[COD_RELIGADOR],Pendentes[DESCRICAO]),"")</f>
        <v/>
      </c>
      <c r="M30" s="5">
        <v>15</v>
      </c>
      <c r="N30" s="5">
        <v>20</v>
      </c>
      <c r="O30" s="5">
        <v>5</v>
      </c>
      <c r="P30" s="5">
        <v>15</v>
      </c>
      <c r="Q30" s="5">
        <v>0</v>
      </c>
      <c r="R30" s="5">
        <v>0</v>
      </c>
      <c r="S30" s="5">
        <v>10</v>
      </c>
      <c r="T30" s="5">
        <v>15</v>
      </c>
      <c r="U30" s="5">
        <f>SUM(Table[[#This Row],[Premissa 1]:[Premissa 8]])</f>
        <v>80</v>
      </c>
      <c r="V30" s="5" t="s">
        <v>9</v>
      </c>
      <c r="W30" t="s">
        <v>491</v>
      </c>
    </row>
    <row r="31" spans="1:23" ht="15" customHeight="1">
      <c r="A31" s="4">
        <v>7900930040</v>
      </c>
      <c r="B31" s="5" t="str">
        <f>MID(Table[[#This Row],[Ativo]],1,2)</f>
        <v>79</v>
      </c>
      <c r="C31" s="5" t="s">
        <v>492</v>
      </c>
      <c r="D31" s="5" t="s">
        <v>57</v>
      </c>
      <c r="E31" s="5" t="s">
        <v>51</v>
      </c>
      <c r="F31" s="4" t="str">
        <f>IFERROR(_xlfn.XLOOKUP(Table[[#This Row],[Ativo]],Pendentes[COD_RELIGADOR],Pendentes[SS_ORIGINAL]),"CONCLUÍDA")</f>
        <v>CONCLUÍDA</v>
      </c>
      <c r="I31" s="4" t="s">
        <v>438</v>
      </c>
      <c r="J31" s="29"/>
      <c r="K31" s="31"/>
      <c r="L31" t="str">
        <f>IFERROR(_xlfn.XLOOKUP(Table[[#This Row],[Ativo]],Pendentes[COD_RELIGADOR],Pendentes[DESCRICAO]),"")</f>
        <v/>
      </c>
      <c r="M31" s="5">
        <v>15</v>
      </c>
      <c r="N31" s="5">
        <v>20</v>
      </c>
      <c r="O31" s="5">
        <v>5</v>
      </c>
      <c r="P31" s="5">
        <v>15</v>
      </c>
      <c r="Q31" s="5">
        <v>0</v>
      </c>
      <c r="R31" s="5">
        <v>0</v>
      </c>
      <c r="S31" s="5">
        <v>10</v>
      </c>
      <c r="T31" s="5">
        <v>15</v>
      </c>
      <c r="U31" s="5">
        <f>SUM(Table[[#This Row],[Premissa 1]:[Premissa 8]])</f>
        <v>80</v>
      </c>
      <c r="V31" s="5" t="s">
        <v>9</v>
      </c>
      <c r="W31" t="s">
        <v>493</v>
      </c>
    </row>
    <row r="32" spans="1:23" ht="15" customHeight="1">
      <c r="A32" s="4">
        <v>7931383086</v>
      </c>
      <c r="B32" s="5" t="str">
        <f>MID(Table[[#This Row],[Ativo]],1,2)</f>
        <v>79</v>
      </c>
      <c r="C32" s="5" t="s">
        <v>209</v>
      </c>
      <c r="D32" s="5" t="s">
        <v>210</v>
      </c>
      <c r="E32" s="5" t="s">
        <v>42</v>
      </c>
      <c r="F32" s="4" t="str">
        <f>IFERROR(_xlfn.XLOOKUP(Table[[#This Row],[Ativo]],Pendentes[COD_RELIGADOR],Pendentes[SS_ORIGINAL]),"CONCLUÍDA")</f>
        <v>CONCLUÍDA</v>
      </c>
      <c r="I32" s="4" t="s">
        <v>438</v>
      </c>
      <c r="J32" s="29"/>
      <c r="K32" s="31"/>
      <c r="L32" t="str">
        <f>IFERROR(_xlfn.XLOOKUP(Table[[#This Row],[Ativo]],Pendentes[COD_RELIGADOR],Pendentes[DESCRICAO]),"")</f>
        <v/>
      </c>
      <c r="M32" s="5">
        <v>15</v>
      </c>
      <c r="N32" s="5">
        <v>20</v>
      </c>
      <c r="O32" s="5">
        <v>5</v>
      </c>
      <c r="P32" s="5">
        <v>15</v>
      </c>
      <c r="Q32" s="5">
        <v>0</v>
      </c>
      <c r="R32" s="5">
        <v>10</v>
      </c>
      <c r="S32" s="5">
        <v>0</v>
      </c>
      <c r="T32" s="5">
        <v>15</v>
      </c>
      <c r="U32" s="5">
        <f>SUM(Table[[#This Row],[Premissa 1]:[Premissa 8]])</f>
        <v>80</v>
      </c>
      <c r="V32" s="5" t="s">
        <v>9</v>
      </c>
      <c r="W32" t="s">
        <v>494</v>
      </c>
    </row>
    <row r="33" spans="1:23" ht="15" customHeight="1">
      <c r="A33" s="5">
        <v>7908302256</v>
      </c>
      <c r="B33" s="5" t="str">
        <f>MID(Table[[#This Row],[Ativo]],1,2)</f>
        <v>79</v>
      </c>
      <c r="C33" s="5" t="s">
        <v>107</v>
      </c>
      <c r="D33" s="5" t="s">
        <v>108</v>
      </c>
      <c r="E33" s="5" t="s">
        <v>42</v>
      </c>
      <c r="F33" s="4" t="str">
        <f>IFERROR(_xlfn.XLOOKUP(Table[[#This Row],[Ativo]],Pendentes[COD_RELIGADOR],Pendentes[SS_ORIGINAL]),"CONCLUÍDA")</f>
        <v>ETO-TELE 00997/2026</v>
      </c>
      <c r="G33" s="5" t="s">
        <v>495</v>
      </c>
      <c r="J33" s="29"/>
      <c r="K33" s="31"/>
      <c r="L33" t="str">
        <f>IFERROR(_xlfn.XLOOKUP(Table[[#This Row],[Ativo]],Pendentes[COD_RELIGADOR],Pendentes[DESCRICAO]),"")</f>
        <v>RL teve nota baixada (ETO-TELE 970/2026) pore´m eqp continua fora de operação, solicito programação para equipe verificar em campo</v>
      </c>
      <c r="M33" s="5">
        <v>5</v>
      </c>
      <c r="N33" s="5">
        <v>10</v>
      </c>
      <c r="O33" s="5">
        <v>5</v>
      </c>
      <c r="P33" s="5">
        <v>15</v>
      </c>
      <c r="Q33" s="5">
        <v>15</v>
      </c>
      <c r="R33" s="5">
        <v>10</v>
      </c>
      <c r="S33" s="5">
        <v>0</v>
      </c>
      <c r="T33" s="5">
        <v>15</v>
      </c>
      <c r="U33" s="5">
        <f>SUM(Table[[#This Row],[Premissa 1]:[Premissa 8]])</f>
        <v>75</v>
      </c>
      <c r="V33" s="5" t="s">
        <v>13</v>
      </c>
      <c r="W33" t="s">
        <v>160</v>
      </c>
    </row>
    <row r="34" spans="1:23" ht="15" customHeight="1">
      <c r="A34" s="12">
        <v>5800371025</v>
      </c>
      <c r="B34" s="5" t="str">
        <f>MID(Table[[#This Row],[Ativo]],1,2)</f>
        <v>58</v>
      </c>
      <c r="C34" s="5" t="s">
        <v>162</v>
      </c>
      <c r="D34" s="5" t="s">
        <v>154</v>
      </c>
      <c r="E34" s="5" t="s">
        <v>51</v>
      </c>
      <c r="F34" s="4" t="str">
        <f>IFERROR(_xlfn.XLOOKUP(Table[[#This Row],[Ativo]],Pendentes[COD_RELIGADOR],Pendentes[SS_ORIGINAL]),"CONCLUÍDA")</f>
        <v>ETO-RD-GR 00766/2026</v>
      </c>
      <c r="G34" s="4" t="s">
        <v>445</v>
      </c>
      <c r="H34" s="5" t="s">
        <v>569</v>
      </c>
      <c r="I34" s="4" t="s">
        <v>443</v>
      </c>
      <c r="J34" s="29" t="s">
        <v>460</v>
      </c>
      <c r="K34" s="31">
        <v>1</v>
      </c>
      <c r="L34" t="str">
        <f>IFERROR(_xlfn.XLOOKUP(Table[[#This Row],[Ativo]],Pendentes[COD_RELIGADOR],Pendentes[DESCRICAO]),"")</f>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v>
      </c>
      <c r="M34" s="5">
        <v>0</v>
      </c>
      <c r="N34" s="5">
        <v>20</v>
      </c>
      <c r="O34" s="5">
        <v>20</v>
      </c>
      <c r="P34" s="5">
        <v>10</v>
      </c>
      <c r="Q34" s="5">
        <v>20</v>
      </c>
      <c r="R34" s="5" t="s">
        <v>45</v>
      </c>
      <c r="S34" s="5" t="s">
        <v>45</v>
      </c>
      <c r="T34" s="5" t="s">
        <v>45</v>
      </c>
      <c r="U34" s="5">
        <f>SUM(Table[[#This Row],[Premissa 1]:[Premissa 8]])</f>
        <v>70</v>
      </c>
      <c r="V34" s="5" t="s">
        <v>13</v>
      </c>
      <c r="W34" t="s">
        <v>165</v>
      </c>
    </row>
    <row r="35" spans="1:23" ht="15" customHeight="1">
      <c r="A35" s="4">
        <v>7926089013</v>
      </c>
      <c r="B35" s="5" t="str">
        <f>MID(Table[[#This Row],[Ativo]],1,2)</f>
        <v>79</v>
      </c>
      <c r="C35" s="5" t="s">
        <v>97</v>
      </c>
      <c r="D35" s="5" t="s">
        <v>97</v>
      </c>
      <c r="E35" s="5" t="s">
        <v>42</v>
      </c>
      <c r="F35" s="4" t="str">
        <f>IFERROR(_xlfn.XLOOKUP(Table[[#This Row],[Ativo]],Pendentes[COD_RELIGADOR],Pendentes[SS_ORIGINAL]),"CONCLUÍDA")</f>
        <v>ETO-COEP 00078/2026</v>
      </c>
      <c r="G35" s="4" t="s">
        <v>451</v>
      </c>
      <c r="H35" s="4" t="s">
        <v>963</v>
      </c>
      <c r="I35" s="4" t="s">
        <v>694</v>
      </c>
      <c r="J35" s="29" t="s">
        <v>480</v>
      </c>
      <c r="K35" s="31">
        <v>1</v>
      </c>
      <c r="L35" t="str">
        <f>IFERROR(_xlfn.XLOOKUP(Table[[#This Row],[Ativo]],Pendentes[COD_RELIGADOR],Pendentes[DESCRICAO]),"")</f>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v>
      </c>
      <c r="M35" s="5">
        <v>15</v>
      </c>
      <c r="N35" s="5">
        <v>10</v>
      </c>
      <c r="O35" s="5">
        <v>5</v>
      </c>
      <c r="P35" s="5">
        <v>15</v>
      </c>
      <c r="Q35" s="5">
        <v>15</v>
      </c>
      <c r="R35" s="5">
        <v>10</v>
      </c>
      <c r="S35" s="5">
        <v>0</v>
      </c>
      <c r="T35" s="5">
        <v>0</v>
      </c>
      <c r="U35" s="5">
        <f>SUM(Table[[#This Row],[Premissa 1]:[Premissa 8]])</f>
        <v>70</v>
      </c>
      <c r="V35" s="5" t="s">
        <v>13</v>
      </c>
      <c r="W35" t="s">
        <v>174</v>
      </c>
    </row>
    <row r="36" spans="1:23" ht="15" customHeight="1">
      <c r="A36" s="4">
        <v>7925087021</v>
      </c>
      <c r="B36" s="5" t="str">
        <f>MID(Table[[#This Row],[Ativo]],1,2)</f>
        <v>79</v>
      </c>
      <c r="C36" s="5" t="s">
        <v>176</v>
      </c>
      <c r="D36" s="5" t="s">
        <v>177</v>
      </c>
      <c r="E36" s="5" t="s">
        <v>76</v>
      </c>
      <c r="F36" s="4" t="str">
        <f>IFERROR(_xlfn.XLOOKUP(Table[[#This Row],[Ativo]],Pendentes[COD_RELIGADOR],Pendentes[SS_ORIGINAL]),"CONCLUÍDA")</f>
        <v>ETO-PROT 00152/2026</v>
      </c>
      <c r="G36" s="4" t="s">
        <v>471</v>
      </c>
      <c r="H36" s="38"/>
      <c r="I36" s="4" t="s">
        <v>443</v>
      </c>
      <c r="J36" s="29" t="s">
        <v>480</v>
      </c>
      <c r="K36" s="31">
        <v>1</v>
      </c>
      <c r="L36" t="str">
        <f>IFERROR(_xlfn.XLOOKUP(Table[[#This Row],[Ativo]],Pendentes[COD_RELIGADOR],Pendentes[DESCRICAO]),"")</f>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v>
      </c>
      <c r="M36" s="5">
        <v>15</v>
      </c>
      <c r="N36" s="5">
        <v>10</v>
      </c>
      <c r="O36" s="5">
        <v>5</v>
      </c>
      <c r="P36" s="5">
        <v>0</v>
      </c>
      <c r="Q36" s="5">
        <v>15</v>
      </c>
      <c r="R36" s="5">
        <v>10</v>
      </c>
      <c r="S36" s="5">
        <v>0</v>
      </c>
      <c r="T36" s="5">
        <v>15</v>
      </c>
      <c r="U36" s="5">
        <f>SUM(Table[[#This Row],[Premissa 1]:[Premissa 8]])</f>
        <v>70</v>
      </c>
      <c r="V36" s="5" t="s">
        <v>13</v>
      </c>
      <c r="W36" t="s">
        <v>180</v>
      </c>
    </row>
    <row r="37" spans="1:23" ht="15" customHeight="1">
      <c r="A37" s="4">
        <v>5801866013</v>
      </c>
      <c r="B37" s="5" t="str">
        <f>MID(Table[[#This Row],[Ativo]],1,2)</f>
        <v>58</v>
      </c>
      <c r="C37" s="5" t="s">
        <v>97</v>
      </c>
      <c r="D37" s="5" t="s">
        <v>97</v>
      </c>
      <c r="E37" s="5" t="s">
        <v>42</v>
      </c>
      <c r="F37" s="4" t="str">
        <f>IFERROR(_xlfn.XLOOKUP(Table[[#This Row],[Ativo]],Pendentes[COD_RELIGADOR],Pendentes[SS_ORIGINAL]),"CONCLUÍDA")</f>
        <v>ETO-PROT 00151/2026</v>
      </c>
      <c r="G37" s="4" t="s">
        <v>471</v>
      </c>
      <c r="H37" s="38"/>
      <c r="I37" s="4" t="s">
        <v>443</v>
      </c>
      <c r="J37" s="29" t="s">
        <v>444</v>
      </c>
      <c r="K37" s="31">
        <v>1</v>
      </c>
      <c r="L37" t="str">
        <f>IFERROR(_xlfn.XLOOKUP(Table[[#This Row],[Ativo]],Pendentes[COD_RELIGADOR],Pendentes[DESCRICAO]),"")</f>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v>
      </c>
      <c r="M37" s="5">
        <v>0</v>
      </c>
      <c r="N37" s="5">
        <v>20</v>
      </c>
      <c r="O37" s="5">
        <v>20</v>
      </c>
      <c r="P37" s="5">
        <v>20</v>
      </c>
      <c r="Q37" s="5">
        <v>10</v>
      </c>
      <c r="R37" s="5" t="s">
        <v>45</v>
      </c>
      <c r="S37" s="5" t="s">
        <v>45</v>
      </c>
      <c r="T37" s="5" t="s">
        <v>45</v>
      </c>
      <c r="U37" s="5">
        <f>SUM(Table[[#This Row],[Premissa 1]:[Premissa 8]])</f>
        <v>70</v>
      </c>
      <c r="V37" s="5" t="s">
        <v>13</v>
      </c>
      <c r="W37" t="s">
        <v>184</v>
      </c>
    </row>
    <row r="38" spans="1:23" ht="15" customHeight="1">
      <c r="A38" s="4">
        <v>5865120195</v>
      </c>
      <c r="B38" s="5" t="str">
        <f>MID(Table[[#This Row],[Ativo]],1,2)</f>
        <v>58</v>
      </c>
      <c r="C38" s="5" t="s">
        <v>167</v>
      </c>
      <c r="D38" s="5" t="s">
        <v>50</v>
      </c>
      <c r="E38" s="5" t="s">
        <v>51</v>
      </c>
      <c r="F38" s="4" t="str">
        <f>IFERROR(_xlfn.XLOOKUP(Table[[#This Row],[Ativo]],Pendentes[COD_RELIGADOR],Pendentes[SS_ORIGINAL]),"CONCLUÍDA")</f>
        <v>ETO-PROT 00144/2026</v>
      </c>
      <c r="G38" s="4" t="s">
        <v>471</v>
      </c>
      <c r="I38" s="4" t="s">
        <v>443</v>
      </c>
      <c r="J38" s="29" t="s">
        <v>497</v>
      </c>
      <c r="K38" s="31">
        <v>1</v>
      </c>
      <c r="L38" t="str">
        <f>IFERROR(_xlfn.XLOOKUP(Table[[#This Row],[Ativo]],Pendentes[COD_RELIGADOR],Pendentes[DESCRICAO]),"")</f>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v>
      </c>
      <c r="M38" s="5">
        <v>20</v>
      </c>
      <c r="N38" s="5">
        <v>20</v>
      </c>
      <c r="O38" s="5">
        <v>20</v>
      </c>
      <c r="P38" s="5">
        <v>10</v>
      </c>
      <c r="Q38" s="5">
        <v>0</v>
      </c>
      <c r="R38" s="5" t="s">
        <v>45</v>
      </c>
      <c r="S38" s="5" t="s">
        <v>45</v>
      </c>
      <c r="T38" s="5" t="s">
        <v>45</v>
      </c>
      <c r="U38" s="5">
        <f>SUM(Table[[#This Row],[Premissa 1]:[Premissa 8]])</f>
        <v>70</v>
      </c>
      <c r="V38" s="5" t="s">
        <v>13</v>
      </c>
      <c r="W38" t="s">
        <v>170</v>
      </c>
    </row>
    <row r="39" spans="1:23" ht="15" customHeight="1">
      <c r="A39" s="12">
        <v>5853360007</v>
      </c>
      <c r="B39" s="5" t="str">
        <f>MID(Table[[#This Row],[Ativo]],1,2)</f>
        <v>58</v>
      </c>
      <c r="C39" s="5" t="s">
        <v>186</v>
      </c>
      <c r="D39" s="5" t="s">
        <v>186</v>
      </c>
      <c r="E39" s="5" t="s">
        <v>42</v>
      </c>
      <c r="F39" s="4" t="str">
        <f>IFERROR(_xlfn.XLOOKUP(Table[[#This Row],[Ativo]],Pendentes[COD_RELIGADOR],Pendentes[SS_ORIGINAL]),"CONCLUÍDA")</f>
        <v>ETO-RD-PS 00323/2025</v>
      </c>
      <c r="G39" s="28" t="s">
        <v>498</v>
      </c>
      <c r="H39" s="4" t="s">
        <v>499</v>
      </c>
      <c r="J39" s="29" t="s">
        <v>497</v>
      </c>
      <c r="K39" s="31">
        <v>1</v>
      </c>
      <c r="L39" t="str">
        <f>IFERROR(_xlfn.XLOOKUP(Table[[#This Row],[Ativo]],Pendentes[COD_RELIGADOR],Pendentes[DESCRICAO]),"")</f>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v>
      </c>
      <c r="M39" s="5">
        <v>0</v>
      </c>
      <c r="N39" s="5">
        <v>20</v>
      </c>
      <c r="O39" s="5">
        <v>20</v>
      </c>
      <c r="P39" s="5">
        <v>10</v>
      </c>
      <c r="Q39" s="5">
        <v>20</v>
      </c>
      <c r="R39" s="5" t="s">
        <v>45</v>
      </c>
      <c r="S39" s="5" t="s">
        <v>45</v>
      </c>
      <c r="T39" s="5" t="s">
        <v>45</v>
      </c>
      <c r="U39" s="5">
        <f>SUM(Table[[#This Row],[Premissa 1]:[Premissa 8]])</f>
        <v>70</v>
      </c>
      <c r="V39" s="5" t="s">
        <v>13</v>
      </c>
      <c r="W39" t="s">
        <v>189</v>
      </c>
    </row>
    <row r="40" spans="1:23" ht="15" customHeight="1">
      <c r="A40" s="4">
        <v>5800366016</v>
      </c>
      <c r="B40" s="5" t="str">
        <f>MID(Table[[#This Row],[Ativo]],1,2)</f>
        <v>58</v>
      </c>
      <c r="C40" s="5" t="s">
        <v>500</v>
      </c>
      <c r="D40" s="5" t="s">
        <v>223</v>
      </c>
      <c r="E40" s="5" t="s">
        <v>51</v>
      </c>
      <c r="F40" s="4" t="str">
        <f>IFERROR(_xlfn.XLOOKUP(Table[[#This Row],[Ativo]],Pendentes[COD_RELIGADOR],Pendentes[SS_ORIGINAL]),"CONCLUÍDA")</f>
        <v>CONCLUÍDA</v>
      </c>
      <c r="I40" s="4" t="s">
        <v>438</v>
      </c>
      <c r="J40" s="29"/>
      <c r="K40" s="31"/>
      <c r="L40" t="str">
        <f>IFERROR(_xlfn.XLOOKUP(Table[[#This Row],[Ativo]],Pendentes[COD_RELIGADOR],Pendentes[DESCRICAO]),"")</f>
        <v/>
      </c>
      <c r="M40" s="5">
        <v>0</v>
      </c>
      <c r="N40" s="5">
        <v>20</v>
      </c>
      <c r="O40" s="5">
        <v>20</v>
      </c>
      <c r="P40" s="5">
        <v>20</v>
      </c>
      <c r="Q40" s="5">
        <v>10</v>
      </c>
      <c r="R40" s="5" t="s">
        <v>45</v>
      </c>
      <c r="S40" s="5" t="s">
        <v>45</v>
      </c>
      <c r="T40" s="5" t="s">
        <v>45</v>
      </c>
      <c r="U40" s="5">
        <f>SUM(Table[[#This Row],[Premissa 1]:[Premissa 8]])</f>
        <v>70</v>
      </c>
      <c r="V40" s="5" t="s">
        <v>13</v>
      </c>
      <c r="W40" t="s">
        <v>501</v>
      </c>
    </row>
    <row r="41" spans="1:23" ht="15" customHeight="1">
      <c r="A41" s="4">
        <v>7955523028</v>
      </c>
      <c r="B41" s="5" t="str">
        <f>MID(Table[[#This Row],[Ativo]],1,2)</f>
        <v>79</v>
      </c>
      <c r="C41" s="5" t="s">
        <v>502</v>
      </c>
      <c r="D41" s="5" t="s">
        <v>75</v>
      </c>
      <c r="E41" s="5" t="s">
        <v>76</v>
      </c>
      <c r="F41" s="4" t="str">
        <f>IFERROR(_xlfn.XLOOKUP(Table[[#This Row],[Ativo]],Pendentes[COD_RELIGADOR],Pendentes[SS_ORIGINAL]),"CONCLUÍDA")</f>
        <v>CONCLUÍDA</v>
      </c>
      <c r="I41" s="4" t="s">
        <v>438</v>
      </c>
      <c r="J41" s="29"/>
      <c r="K41" s="31"/>
      <c r="L41" t="str">
        <f>IFERROR(_xlfn.XLOOKUP(Table[[#This Row],[Ativo]],Pendentes[COD_RELIGADOR],Pendentes[DESCRICAO]),"")</f>
        <v/>
      </c>
      <c r="M41" s="5">
        <v>15</v>
      </c>
      <c r="N41" s="5">
        <v>10</v>
      </c>
      <c r="O41" s="5">
        <v>5</v>
      </c>
      <c r="P41" s="5">
        <v>15</v>
      </c>
      <c r="Q41" s="5">
        <v>15</v>
      </c>
      <c r="R41" s="5">
        <v>10</v>
      </c>
      <c r="S41" s="5">
        <v>0</v>
      </c>
      <c r="T41" s="5">
        <v>0</v>
      </c>
      <c r="U41" s="5">
        <f>SUM(Table[[#This Row],[Premissa 1]:[Premissa 8]])</f>
        <v>70</v>
      </c>
      <c r="V41" s="5" t="s">
        <v>13</v>
      </c>
      <c r="W41" t="s">
        <v>503</v>
      </c>
    </row>
    <row r="42" spans="1:23" ht="15" customHeight="1">
      <c r="A42" s="4">
        <v>7900573047</v>
      </c>
      <c r="B42" s="5" t="str">
        <f>MID(Table[[#This Row],[Ativo]],1,2)</f>
        <v>79</v>
      </c>
      <c r="C42" s="5" t="s">
        <v>191</v>
      </c>
      <c r="D42" s="5" t="s">
        <v>449</v>
      </c>
      <c r="E42" s="5" t="s">
        <v>76</v>
      </c>
      <c r="F42" s="4" t="str">
        <f>IFERROR(_xlfn.XLOOKUP(Table[[#This Row],[Ativo]],Pendentes[COD_RELIGADOR],Pendentes[SS_ORIGINAL]),"CONCLUÍDA")</f>
        <v>ETO-PROT 00153/2026</v>
      </c>
      <c r="G42" s="4" t="s">
        <v>471</v>
      </c>
      <c r="H42" s="38"/>
      <c r="I42" s="4" t="s">
        <v>443</v>
      </c>
      <c r="J42" s="29" t="s">
        <v>469</v>
      </c>
      <c r="K42" s="31">
        <v>1</v>
      </c>
      <c r="L42" t="str">
        <f>IFERROR(_xlfn.XLOOKUP(Table[[#This Row],[Ativo]],Pendentes[COD_RELIGADOR],Pendentes[DESCRICAO]),"")</f>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v>
      </c>
      <c r="M42" s="5">
        <v>5</v>
      </c>
      <c r="N42" s="5">
        <v>5</v>
      </c>
      <c r="O42" s="5">
        <v>15</v>
      </c>
      <c r="P42" s="5">
        <v>0</v>
      </c>
      <c r="Q42" s="5">
        <v>15</v>
      </c>
      <c r="R42" s="5">
        <v>10</v>
      </c>
      <c r="S42" s="5">
        <v>0</v>
      </c>
      <c r="T42" s="5">
        <v>15</v>
      </c>
      <c r="U42" s="5">
        <f>SUM(Table[[#This Row],[Premissa 1]:[Premissa 8]])</f>
        <v>65</v>
      </c>
      <c r="V42" s="5" t="s">
        <v>13</v>
      </c>
      <c r="W42" t="s">
        <v>195</v>
      </c>
    </row>
    <row r="43" spans="1:23" ht="15" customHeight="1">
      <c r="A43" s="4">
        <v>7953610256</v>
      </c>
      <c r="B43" s="5" t="str">
        <f>MID(Table[[#This Row],[Ativo]],1,2)</f>
        <v>79</v>
      </c>
      <c r="C43" s="5" t="s">
        <v>107</v>
      </c>
      <c r="D43" s="5" t="s">
        <v>108</v>
      </c>
      <c r="E43" s="5" t="s">
        <v>42</v>
      </c>
      <c r="F43" s="4" t="str">
        <f>IFERROR(_xlfn.XLOOKUP(Table[[#This Row],[Ativo]],Pendentes[COD_RELIGADOR],Pendentes[SS_ORIGINAL]),"CONCLUÍDA")</f>
        <v>ETO-RD-PO 00208/2026</v>
      </c>
      <c r="G43" s="5" t="s">
        <v>455</v>
      </c>
      <c r="H43" s="4" t="s">
        <v>961</v>
      </c>
      <c r="J43" s="29" t="s">
        <v>465</v>
      </c>
      <c r="K43" s="31">
        <v>1</v>
      </c>
      <c r="L43" t="str">
        <f>IFERROR(_xlfn.XLOOKUP(Table[[#This Row],[Ativo]],Pendentes[COD_RELIGADOR],Pendentes[DESCRICAO]),"")</f>
        <v>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v>
      </c>
      <c r="M43" s="5">
        <v>5</v>
      </c>
      <c r="N43" s="5">
        <v>5</v>
      </c>
      <c r="O43" s="5">
        <v>15</v>
      </c>
      <c r="P43" s="5">
        <v>15</v>
      </c>
      <c r="Q43" s="5">
        <v>0</v>
      </c>
      <c r="R43" s="5">
        <v>0</v>
      </c>
      <c r="S43" s="5">
        <v>10</v>
      </c>
      <c r="T43" s="5">
        <v>15</v>
      </c>
      <c r="U43" s="5">
        <f>SUM(Table[[#This Row],[Premissa 1]:[Premissa 8]])</f>
        <v>65</v>
      </c>
      <c r="V43" s="5" t="s">
        <v>13</v>
      </c>
      <c r="W43" t="s">
        <v>198</v>
      </c>
    </row>
    <row r="44" spans="1:23" ht="15" customHeight="1">
      <c r="A44" s="4">
        <v>5800438116</v>
      </c>
      <c r="B44" s="5" t="str">
        <f>MID(Table[[#This Row],[Ativo]],1,2)</f>
        <v>58</v>
      </c>
      <c r="C44" s="5" t="s">
        <v>200</v>
      </c>
      <c r="D44" s="5" t="s">
        <v>75</v>
      </c>
      <c r="E44" s="5" t="s">
        <v>76</v>
      </c>
      <c r="F44" s="4" t="str">
        <f>IFERROR(_xlfn.XLOOKUP(Table[[#This Row],[Ativo]],Pendentes[COD_RELIGADOR],Pendentes[SS_ORIGINAL]),"CONCLUÍDA")</f>
        <v>ETO-RD-DP 00404/2026</v>
      </c>
      <c r="G44" s="4" t="s">
        <v>688</v>
      </c>
      <c r="H44" s="4" t="s">
        <v>567</v>
      </c>
      <c r="I44" s="4" t="s">
        <v>443</v>
      </c>
      <c r="J44" s="29" t="s">
        <v>444</v>
      </c>
      <c r="K44" s="31">
        <v>2</v>
      </c>
      <c r="L44" t="str">
        <f>IFERROR(_xlfn.XLOOKUP(Table[[#This Row],[Ativo]],Pendentes[COD_RELIGADOR],Pendentes[DESCRICAO]),"")</f>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v>
      </c>
      <c r="M44" s="5">
        <v>0</v>
      </c>
      <c r="N44" s="5">
        <v>20</v>
      </c>
      <c r="O44" s="5">
        <v>20</v>
      </c>
      <c r="P44" s="5">
        <v>20</v>
      </c>
      <c r="Q44" s="5">
        <v>0</v>
      </c>
      <c r="R44" s="5" t="s">
        <v>45</v>
      </c>
      <c r="S44" s="5" t="s">
        <v>45</v>
      </c>
      <c r="T44" s="5" t="s">
        <v>45</v>
      </c>
      <c r="U44" s="5">
        <f>SUM(Table[[#This Row],[Premissa 1]:[Premissa 8]])</f>
        <v>60</v>
      </c>
      <c r="V44" s="5" t="s">
        <v>14</v>
      </c>
      <c r="W44" t="s">
        <v>202</v>
      </c>
    </row>
    <row r="45" spans="1:23" ht="15" customHeight="1">
      <c r="A45" s="4">
        <v>5800090147</v>
      </c>
      <c r="B45" s="5" t="str">
        <f>MID(Table[[#This Row],[Ativo]],1,2)</f>
        <v>58</v>
      </c>
      <c r="C45" s="5" t="s">
        <v>506</v>
      </c>
      <c r="D45" s="5" t="s">
        <v>75</v>
      </c>
      <c r="E45" s="5" t="s">
        <v>76</v>
      </c>
      <c r="F45" s="4" t="str">
        <f>IFERROR(_xlfn.XLOOKUP(Table[[#This Row],[Ativo]],Pendentes[COD_RELIGADOR],Pendentes[SS_ORIGINAL]),"CONCLUÍDA")</f>
        <v>CONCLUÍDA</v>
      </c>
      <c r="I45" s="4" t="s">
        <v>438</v>
      </c>
      <c r="J45" s="29"/>
      <c r="K45" s="31"/>
      <c r="L45" t="str">
        <f>IFERROR(_xlfn.XLOOKUP(Table[[#This Row],[Ativo]],Pendentes[COD_RELIGADOR],Pendentes[DESCRICAO]),"")</f>
        <v/>
      </c>
      <c r="M45" s="5">
        <v>0</v>
      </c>
      <c r="N45" s="5">
        <v>20</v>
      </c>
      <c r="O45" s="5">
        <v>20</v>
      </c>
      <c r="P45" s="5">
        <v>10</v>
      </c>
      <c r="Q45" s="5">
        <v>10</v>
      </c>
      <c r="R45" s="5" t="s">
        <v>45</v>
      </c>
      <c r="S45" s="5" t="s">
        <v>45</v>
      </c>
      <c r="T45" s="5" t="s">
        <v>45</v>
      </c>
      <c r="U45" s="5">
        <f>SUM(Table[[#This Row],[Premissa 1]:[Premissa 8]])</f>
        <v>60</v>
      </c>
      <c r="V45" s="5" t="s">
        <v>14</v>
      </c>
      <c r="W45" t="s">
        <v>507</v>
      </c>
    </row>
    <row r="46" spans="1:23" ht="15" customHeight="1">
      <c r="A46" s="4">
        <v>5840227063</v>
      </c>
      <c r="B46" s="5" t="str">
        <f>MID(Table[[#This Row],[Ativo]],1,2)</f>
        <v>58</v>
      </c>
      <c r="C46" s="5" t="s">
        <v>204</v>
      </c>
      <c r="D46" s="5" t="s">
        <v>154</v>
      </c>
      <c r="E46" s="5" t="s">
        <v>51</v>
      </c>
      <c r="F46" s="4" t="str">
        <f>IFERROR(_xlfn.XLOOKUP(Table[[#This Row],[Ativo]],Pendentes[COD_RELIGADOR],Pendentes[SS_ORIGINAL]),"CONCLUÍDA")</f>
        <v>ETO-COEP 00151/2026</v>
      </c>
      <c r="G46" s="4" t="s">
        <v>451</v>
      </c>
      <c r="I46" s="4" t="s">
        <v>694</v>
      </c>
      <c r="J46" s="29" t="s">
        <v>444</v>
      </c>
      <c r="K46" s="31">
        <v>1</v>
      </c>
      <c r="L46" t="str">
        <f>IFERROR(_xlfn.XLOOKUP(Table[[#This Row],[Ativo]],Pendentes[COD_RELIGADOR],Pendentes[DESCRICAO]),"")</f>
        <v>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v>
      </c>
      <c r="M46" s="5">
        <v>0</v>
      </c>
      <c r="N46" s="5">
        <v>20</v>
      </c>
      <c r="O46" s="5">
        <v>20</v>
      </c>
      <c r="P46" s="5">
        <v>10</v>
      </c>
      <c r="Q46" s="5">
        <v>10</v>
      </c>
      <c r="R46" s="5" t="s">
        <v>45</v>
      </c>
      <c r="S46" s="5" t="s">
        <v>45</v>
      </c>
      <c r="T46" s="5" t="s">
        <v>45</v>
      </c>
      <c r="U46" s="5">
        <f>SUM(Table[[#This Row],[Premissa 1]:[Premissa 8]])</f>
        <v>60</v>
      </c>
      <c r="V46" s="5" t="s">
        <v>14</v>
      </c>
      <c r="W46" t="s">
        <v>207</v>
      </c>
    </row>
    <row r="47" spans="1:23" ht="15" customHeight="1">
      <c r="A47" s="4">
        <v>5846328094</v>
      </c>
      <c r="B47" s="5" t="str">
        <f>MID(Table[[#This Row],[Ativo]],1,2)</f>
        <v>58</v>
      </c>
      <c r="C47" s="5" t="s">
        <v>177</v>
      </c>
      <c r="D47" s="5" t="s">
        <v>177</v>
      </c>
      <c r="E47" s="5" t="s">
        <v>76</v>
      </c>
      <c r="F47" s="4" t="str">
        <f>IFERROR(_xlfn.XLOOKUP(Table[[#This Row],[Ativo]],Pendentes[COD_RELIGADOR],Pendentes[SS_ORIGINAL]),"CONCLUÍDA")</f>
        <v>ETO-TELE 00986/2026</v>
      </c>
      <c r="G47" s="4" t="s">
        <v>482</v>
      </c>
      <c r="I47" s="4" t="s">
        <v>443</v>
      </c>
      <c r="J47" s="29" t="s">
        <v>497</v>
      </c>
      <c r="K47" s="31">
        <v>1</v>
      </c>
      <c r="L47" t="str">
        <f>IFERROR(_xlfn.XLOOKUP(Table[[#This Row],[Ativo]],Pendentes[COD_RELIGADOR],Pendentes[DESCRICAO]),"")</f>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v>
      </c>
      <c r="M47" s="5">
        <v>0</v>
      </c>
      <c r="N47" s="5">
        <v>20</v>
      </c>
      <c r="O47" s="5">
        <v>20</v>
      </c>
      <c r="P47" s="5">
        <v>10</v>
      </c>
      <c r="Q47" s="5">
        <v>10</v>
      </c>
      <c r="R47" s="5" t="s">
        <v>45</v>
      </c>
      <c r="S47" s="5" t="s">
        <v>45</v>
      </c>
      <c r="T47" s="5" t="s">
        <v>45</v>
      </c>
      <c r="U47" s="5">
        <f>SUM(Table[[#This Row],[Premissa 1]:[Premissa 8]])</f>
        <v>60</v>
      </c>
      <c r="V47" s="5" t="s">
        <v>14</v>
      </c>
      <c r="W47" t="s">
        <v>217</v>
      </c>
    </row>
    <row r="48" spans="1:23" ht="15" customHeight="1">
      <c r="A48" s="4">
        <v>5851753086</v>
      </c>
      <c r="B48" s="5" t="str">
        <f>MID(Table[[#This Row],[Ativo]],1,2)</f>
        <v>58</v>
      </c>
      <c r="C48" s="5" t="s">
        <v>209</v>
      </c>
      <c r="D48" s="5" t="s">
        <v>210</v>
      </c>
      <c r="E48" s="5" t="s">
        <v>42</v>
      </c>
      <c r="F48" s="4" t="str">
        <f>IFERROR(_xlfn.XLOOKUP(Table[[#This Row],[Ativo]],Pendentes[COD_RELIGADOR],Pendentes[SS_ORIGINAL]),"CONCLUÍDA")</f>
        <v>ETO-TELE 00881/2026</v>
      </c>
      <c r="G48" s="4" t="s">
        <v>482</v>
      </c>
      <c r="I48" s="4" t="s">
        <v>443</v>
      </c>
      <c r="J48" s="29" t="s">
        <v>497</v>
      </c>
      <c r="K48" s="31">
        <v>1</v>
      </c>
      <c r="L48" t="str">
        <f>IFERROR(_xlfn.XLOOKUP(Table[[#This Row],[Ativo]],Pendentes[COD_RELIGADOR],Pendentes[DESCRICAO]),"")</f>
        <v>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v>
      </c>
      <c r="M48" s="5">
        <v>0</v>
      </c>
      <c r="N48" s="5">
        <v>20</v>
      </c>
      <c r="O48" s="5">
        <v>20</v>
      </c>
      <c r="P48" s="5">
        <v>10</v>
      </c>
      <c r="Q48" s="5">
        <v>10</v>
      </c>
      <c r="R48" s="5" t="s">
        <v>45</v>
      </c>
      <c r="S48" s="5" t="s">
        <v>45</v>
      </c>
      <c r="T48" s="5" t="s">
        <v>45</v>
      </c>
      <c r="U48" s="5">
        <f>SUM(Table[[#This Row],[Premissa 1]:[Premissa 8]])</f>
        <v>60</v>
      </c>
      <c r="V48" s="5" t="s">
        <v>14</v>
      </c>
      <c r="W48" t="s">
        <v>213</v>
      </c>
    </row>
    <row r="49" spans="1:23" ht="15" customHeight="1">
      <c r="A49" s="4">
        <v>7903112004</v>
      </c>
      <c r="B49" s="5" t="str">
        <f>MID(Table[[#This Row],[Ativo]],1,2)</f>
        <v>79</v>
      </c>
      <c r="C49" s="5" t="s">
        <v>57</v>
      </c>
      <c r="D49" s="5" t="s">
        <v>57</v>
      </c>
      <c r="E49" s="5" t="s">
        <v>51</v>
      </c>
      <c r="F49" s="4" t="str">
        <f>IFERROR(_xlfn.XLOOKUP(Table[[#This Row],[Ativo]],Pendentes[COD_RELIGADOR],Pendentes[SS_ORIGINAL]),"CONCLUÍDA")</f>
        <v>ETO-COEP 00184/2025</v>
      </c>
      <c r="G49" s="4" t="s">
        <v>710</v>
      </c>
      <c r="H49" s="4" t="s">
        <v>711</v>
      </c>
      <c r="I49" s="4" t="s">
        <v>443</v>
      </c>
      <c r="J49" s="29" t="s">
        <v>480</v>
      </c>
      <c r="K49" s="31">
        <v>1</v>
      </c>
      <c r="L49" t="str">
        <f>IFERROR(_xlfn.XLOOKUP(Table[[#This Row],[Ativo]],Pendentes[COD_RELIGADOR],Pendentes[DESCRICAO]),"")</f>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v>
      </c>
      <c r="M49" s="5">
        <v>15</v>
      </c>
      <c r="N49" s="5">
        <v>10</v>
      </c>
      <c r="O49" s="5">
        <v>5</v>
      </c>
      <c r="P49" s="5">
        <v>15</v>
      </c>
      <c r="Q49" s="5">
        <v>0</v>
      </c>
      <c r="R49" s="5">
        <v>10</v>
      </c>
      <c r="S49" s="5">
        <v>0</v>
      </c>
      <c r="T49" s="5">
        <v>0</v>
      </c>
      <c r="U49" s="5">
        <f>SUM(Table[[#This Row],[Premissa 1]:[Premissa 8]])</f>
        <v>55</v>
      </c>
      <c r="V49" s="5" t="s">
        <v>13</v>
      </c>
      <c r="W49" t="s">
        <v>220</v>
      </c>
    </row>
    <row r="50" spans="1:23" ht="15" customHeight="1">
      <c r="A50" s="4">
        <v>7920024127</v>
      </c>
      <c r="B50" s="5" t="str">
        <f>MID(Table[[#This Row],[Ativo]],1,2)</f>
        <v>79</v>
      </c>
      <c r="C50" s="5" t="s">
        <v>222</v>
      </c>
      <c r="D50" s="5" t="s">
        <v>223</v>
      </c>
      <c r="E50" s="5" t="s">
        <v>51</v>
      </c>
      <c r="F50" s="4" t="str">
        <f>IFERROR(_xlfn.XLOOKUP(Table[[#This Row],[Ativo]],Pendentes[COD_RELIGADOR],Pendentes[SS_ORIGINAL]),"CONCLUÍDA")</f>
        <v>ETO-COEP 00120/2025</v>
      </c>
      <c r="G50" s="4" t="s">
        <v>451</v>
      </c>
      <c r="I50" s="4" t="s">
        <v>694</v>
      </c>
      <c r="J50" s="29" t="s">
        <v>510</v>
      </c>
      <c r="K50" s="31">
        <v>1</v>
      </c>
      <c r="L50" t="str">
        <f>IFERROR(_xlfn.XLOOKUP(Table[[#This Row],[Ativo]],Pendentes[COD_RELIGADOR],Pendentes[DESCRICAO]),"")</f>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v>
      </c>
      <c r="M50" s="5">
        <v>15</v>
      </c>
      <c r="N50" s="5">
        <v>10</v>
      </c>
      <c r="O50" s="5">
        <v>5</v>
      </c>
      <c r="P50" s="5">
        <v>15</v>
      </c>
      <c r="Q50" s="5">
        <v>0</v>
      </c>
      <c r="R50" s="5">
        <v>10</v>
      </c>
      <c r="S50" s="5">
        <v>0</v>
      </c>
      <c r="T50" s="5">
        <v>0</v>
      </c>
      <c r="U50" s="5">
        <f>SUM(Table[[#This Row],[Premissa 1]:[Premissa 8]])</f>
        <v>55</v>
      </c>
      <c r="V50" s="5" t="s">
        <v>13</v>
      </c>
      <c r="W50" t="s">
        <v>226</v>
      </c>
    </row>
    <row r="51" spans="1:23" ht="15" customHeight="1">
      <c r="A51" s="4">
        <v>7927646026</v>
      </c>
      <c r="B51" s="5" t="str">
        <f>MID(Table[[#This Row],[Ativo]],1,2)</f>
        <v>79</v>
      </c>
      <c r="C51" s="5" t="s">
        <v>108</v>
      </c>
      <c r="D51" s="5" t="s">
        <v>108</v>
      </c>
      <c r="E51" s="5" t="s">
        <v>42</v>
      </c>
      <c r="F51" s="4" t="str">
        <f>IFERROR(_xlfn.XLOOKUP(Table[[#This Row],[Ativo]],Pendentes[COD_RELIGADOR],Pendentes[SS_ORIGINAL]),"CONCLUÍDA")</f>
        <v>ETO-COEP 00029/2026</v>
      </c>
      <c r="G51" s="4" t="s">
        <v>451</v>
      </c>
      <c r="I51" s="4" t="s">
        <v>694</v>
      </c>
      <c r="J51" s="29" t="s">
        <v>480</v>
      </c>
      <c r="K51" s="31">
        <v>1</v>
      </c>
      <c r="L51" t="str">
        <f>IFERROR(_xlfn.XLOOKUP(Table[[#This Row],[Ativo]],Pendentes[COD_RELIGADOR],Pendentes[DESCRICAO]),"")</f>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v>
      </c>
      <c r="M51" s="5">
        <v>15</v>
      </c>
      <c r="N51" s="5">
        <v>10</v>
      </c>
      <c r="O51" s="5">
        <v>5</v>
      </c>
      <c r="P51" s="5">
        <v>0</v>
      </c>
      <c r="Q51" s="5">
        <v>15</v>
      </c>
      <c r="R51" s="5">
        <v>0</v>
      </c>
      <c r="S51" s="5">
        <v>10</v>
      </c>
      <c r="T51" s="5">
        <v>0</v>
      </c>
      <c r="U51" s="5">
        <f>SUM(Table[[#This Row],[Premissa 1]:[Premissa 8]])</f>
        <v>55</v>
      </c>
      <c r="V51" s="5" t="s">
        <v>13</v>
      </c>
      <c r="W51" t="s">
        <v>229</v>
      </c>
    </row>
    <row r="52" spans="1:23" ht="15" customHeight="1">
      <c r="A52" s="4">
        <v>7927169001</v>
      </c>
      <c r="B52" s="5" t="str">
        <f>MID(Table[[#This Row],[Ativo]],1,2)</f>
        <v>79</v>
      </c>
      <c r="C52" s="5" t="s">
        <v>41</v>
      </c>
      <c r="D52" s="5" t="s">
        <v>41</v>
      </c>
      <c r="E52" s="5" t="s">
        <v>42</v>
      </c>
      <c r="F52" s="4" t="str">
        <f>IFERROR(_xlfn.XLOOKUP(Table[[#This Row],[Ativo]],Pendentes[COD_RELIGADOR],Pendentes[SS_ORIGINAL]),"CONCLUÍDA")</f>
        <v>ETO-PROT 00156/2026</v>
      </c>
      <c r="G52" s="4" t="s">
        <v>471</v>
      </c>
      <c r="H52" s="38"/>
      <c r="I52" s="4" t="s">
        <v>443</v>
      </c>
      <c r="J52" s="29" t="s">
        <v>480</v>
      </c>
      <c r="K52" s="31"/>
      <c r="L52" t="str">
        <f>IFERROR(_xlfn.XLOOKUP(Table[[#This Row],[Ativo]],Pendentes[COD_RELIGADOR],Pendentes[DESCRICAO]),"")</f>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v>
      </c>
      <c r="M52" s="5">
        <v>5</v>
      </c>
      <c r="N52" s="5">
        <v>5</v>
      </c>
      <c r="O52" s="5">
        <v>15</v>
      </c>
      <c r="P52" s="5">
        <v>0</v>
      </c>
      <c r="Q52" s="5">
        <v>15</v>
      </c>
      <c r="R52" s="5">
        <v>0</v>
      </c>
      <c r="S52" s="5">
        <v>0</v>
      </c>
      <c r="T52" s="5">
        <v>15</v>
      </c>
      <c r="U52" s="5">
        <f>SUM(Table[[#This Row],[Premissa 1]:[Premissa 8]])</f>
        <v>55</v>
      </c>
      <c r="V52" s="5" t="s">
        <v>13</v>
      </c>
      <c r="W52" t="s">
        <v>232</v>
      </c>
    </row>
    <row r="53" spans="1:23" ht="15" customHeight="1">
      <c r="A53" s="4">
        <v>7900018004</v>
      </c>
      <c r="B53" s="5" t="str">
        <f>MID(Table[[#This Row],[Ativo]],1,2)</f>
        <v>79</v>
      </c>
      <c r="C53" s="5" t="s">
        <v>57</v>
      </c>
      <c r="D53" s="5" t="s">
        <v>57</v>
      </c>
      <c r="E53" s="5" t="s">
        <v>51</v>
      </c>
      <c r="F53" s="4" t="str">
        <f>IFERROR(_xlfn.XLOOKUP(Table[[#This Row],[Ativo]],Pendentes[COD_RELIGADOR],Pendentes[SS_ORIGINAL]),"CONCLUÍDA")</f>
        <v>CONCLUÍDA</v>
      </c>
      <c r="I53" s="4" t="s">
        <v>438</v>
      </c>
      <c r="J53" s="29"/>
      <c r="K53" s="31"/>
      <c r="L53" t="str">
        <f>IFERROR(_xlfn.XLOOKUP(Table[[#This Row],[Ativo]],Pendentes[COD_RELIGADOR],Pendentes[DESCRICAO]),"")</f>
        <v/>
      </c>
      <c r="M53" s="5">
        <v>15</v>
      </c>
      <c r="N53" s="5">
        <v>10</v>
      </c>
      <c r="O53" s="5">
        <v>5</v>
      </c>
      <c r="P53" s="5">
        <v>15</v>
      </c>
      <c r="Q53" s="5">
        <v>0</v>
      </c>
      <c r="R53" s="5">
        <v>10</v>
      </c>
      <c r="S53" s="5">
        <v>0</v>
      </c>
      <c r="T53" s="5">
        <v>0</v>
      </c>
      <c r="U53" s="5">
        <f>SUM(Table[[#This Row],[Premissa 1]:[Premissa 8]])</f>
        <v>55</v>
      </c>
      <c r="V53" s="5" t="s">
        <v>13</v>
      </c>
      <c r="W53" t="s">
        <v>511</v>
      </c>
    </row>
    <row r="54" spans="1:23" ht="15" customHeight="1">
      <c r="A54" s="4">
        <v>7934698002</v>
      </c>
      <c r="B54" s="5" t="str">
        <f>MID(Table[[#This Row],[Ativo]],1,2)</f>
        <v>79</v>
      </c>
      <c r="C54" s="5" t="s">
        <v>223</v>
      </c>
      <c r="D54" s="5" t="s">
        <v>223</v>
      </c>
      <c r="E54" s="5" t="s">
        <v>51</v>
      </c>
      <c r="F54" s="4" t="str">
        <f>IFERROR(_xlfn.XLOOKUP(Table[[#This Row],[Ativo]],Pendentes[COD_RELIGADOR],Pendentes[SS_ORIGINAL]),"CONCLUÍDA")</f>
        <v>CONCLUÍDA</v>
      </c>
      <c r="I54" s="4" t="s">
        <v>438</v>
      </c>
      <c r="J54" s="29"/>
      <c r="K54" s="31"/>
      <c r="L54" t="str">
        <f>IFERROR(_xlfn.XLOOKUP(Table[[#This Row],[Ativo]],Pendentes[COD_RELIGADOR],Pendentes[DESCRICAO]),"")</f>
        <v/>
      </c>
      <c r="M54" s="5">
        <v>5</v>
      </c>
      <c r="N54" s="5">
        <v>5</v>
      </c>
      <c r="O54" s="5">
        <v>5</v>
      </c>
      <c r="P54" s="5">
        <v>0</v>
      </c>
      <c r="Q54" s="5">
        <v>15</v>
      </c>
      <c r="R54" s="5">
        <v>0</v>
      </c>
      <c r="S54" s="5">
        <v>10</v>
      </c>
      <c r="T54" s="5">
        <v>15</v>
      </c>
      <c r="U54" s="5">
        <f>SUM(Table[[#This Row],[Premissa 1]:[Premissa 8]])</f>
        <v>55</v>
      </c>
      <c r="V54" s="5" t="s">
        <v>13</v>
      </c>
      <c r="W54" t="s">
        <v>512</v>
      </c>
    </row>
    <row r="55" spans="1:23" ht="15" customHeight="1">
      <c r="A55" s="4">
        <v>7930428001</v>
      </c>
      <c r="B55" s="5" t="str">
        <f>MID(Table[[#This Row],[Ativo]],1,2)</f>
        <v>79</v>
      </c>
      <c r="C55" s="5" t="s">
        <v>41</v>
      </c>
      <c r="D55" s="5" t="s">
        <v>41</v>
      </c>
      <c r="E55" s="5" t="s">
        <v>42</v>
      </c>
      <c r="F55" s="4" t="str">
        <f>IFERROR(_xlfn.XLOOKUP(Table[[#This Row],[Ativo]],Pendentes[COD_RELIGADOR],Pendentes[SS_ORIGINAL]),"CONCLUÍDA")</f>
        <v>ETO-COEP 00150/2026</v>
      </c>
      <c r="G55" s="4" t="s">
        <v>451</v>
      </c>
      <c r="I55" s="4" t="s">
        <v>694</v>
      </c>
      <c r="J55" s="29" t="s">
        <v>480</v>
      </c>
      <c r="K55" s="31">
        <v>1</v>
      </c>
      <c r="L55" t="str">
        <f>IFERROR(_xlfn.XLOOKUP(Table[[#This Row],[Ativo]],Pendentes[COD_RELIGADOR],Pendentes[DESCRICAO]),"")</f>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v>
      </c>
      <c r="M55" s="5">
        <v>5</v>
      </c>
      <c r="N55" s="5">
        <v>5</v>
      </c>
      <c r="O55" s="5">
        <v>15</v>
      </c>
      <c r="P55" s="5">
        <v>0</v>
      </c>
      <c r="Q55" s="5">
        <v>15</v>
      </c>
      <c r="R55" s="5">
        <v>10</v>
      </c>
      <c r="S55" s="5">
        <v>0</v>
      </c>
      <c r="T55" s="5">
        <v>0</v>
      </c>
      <c r="U55" s="5">
        <f>SUM(Table[[#This Row],[Premissa 1]:[Premissa 8]])</f>
        <v>50</v>
      </c>
      <c r="V55" s="5" t="s">
        <v>13</v>
      </c>
      <c r="W55" t="s">
        <v>241</v>
      </c>
    </row>
    <row r="56" spans="1:23" ht="15" customHeight="1">
      <c r="A56" s="43">
        <v>7936038076</v>
      </c>
      <c r="B56" s="5" t="str">
        <f>MID(Table[[#This Row],[Ativo]],1,2)</f>
        <v>79</v>
      </c>
      <c r="C56" s="5" t="s">
        <v>335</v>
      </c>
      <c r="D56" s="5" t="s">
        <v>336</v>
      </c>
      <c r="E56" s="5" t="s">
        <v>76</v>
      </c>
      <c r="F56" s="4" t="str">
        <f>IFERROR(_xlfn.XLOOKUP(Table[[#This Row],[Ativo]],Pendentes[COD_RELIGADOR],Pendentes[SS_ORIGINAL]),"CONCLUÍDA")</f>
        <v>CONCLUÍDA</v>
      </c>
      <c r="G56" s="11" t="s">
        <v>451</v>
      </c>
      <c r="H56" s="4" t="s">
        <v>715</v>
      </c>
      <c r="I56" s="4" t="s">
        <v>694</v>
      </c>
      <c r="J56" s="29"/>
      <c r="K56" s="31"/>
      <c r="L56" t="str">
        <f>IFERROR(_xlfn.XLOOKUP(Table[[#This Row],[Ativo]],Pendentes[COD_RELIGADOR],Pendentes[DESCRICAO]),"")</f>
        <v/>
      </c>
      <c r="M56" s="5">
        <v>5</v>
      </c>
      <c r="N56" s="5">
        <v>5</v>
      </c>
      <c r="O56" s="5">
        <v>15</v>
      </c>
      <c r="P56" s="5">
        <v>0</v>
      </c>
      <c r="Q56" s="5">
        <v>15</v>
      </c>
      <c r="R56" s="5">
        <v>10</v>
      </c>
      <c r="S56" s="5">
        <v>0</v>
      </c>
      <c r="T56" s="5">
        <v>0</v>
      </c>
      <c r="U56" s="5">
        <f>SUM(Table[[#This Row],[Premissa 1]:[Premissa 8]])</f>
        <v>50</v>
      </c>
      <c r="V56" s="5" t="s">
        <v>13</v>
      </c>
      <c r="W56" t="s">
        <v>513</v>
      </c>
    </row>
    <row r="57" spans="1:23" ht="15" customHeight="1">
      <c r="A57" s="12">
        <v>7955520116</v>
      </c>
      <c r="B57" s="5" t="str">
        <f>MID(Table[[#This Row],[Ativo]],1,2)</f>
        <v>79</v>
      </c>
      <c r="C57" s="5" t="s">
        <v>200</v>
      </c>
      <c r="D57" s="5" t="s">
        <v>75</v>
      </c>
      <c r="E57" s="5" t="s">
        <v>76</v>
      </c>
      <c r="F57" s="4" t="str">
        <f>IFERROR(_xlfn.XLOOKUP(Table[[#This Row],[Ativo]],Pendentes[COD_RELIGADOR],Pendentes[SS_ORIGINAL]),"CONCLUÍDA")</f>
        <v>CONCLUÍDA</v>
      </c>
      <c r="G57" s="11" t="s">
        <v>451</v>
      </c>
      <c r="H57" s="4" t="s">
        <v>715</v>
      </c>
      <c r="I57" s="4" t="s">
        <v>694</v>
      </c>
      <c r="J57" s="29" t="s">
        <v>480</v>
      </c>
      <c r="K57" s="31">
        <v>1</v>
      </c>
      <c r="L57" t="str">
        <f>IFERROR(_xlfn.XLOOKUP(Table[[#This Row],[Ativo]],Pendentes[COD_RELIGADOR],Pendentes[DESCRICAO]),"")</f>
        <v/>
      </c>
      <c r="M57" s="5">
        <v>5</v>
      </c>
      <c r="N57" s="5">
        <v>5</v>
      </c>
      <c r="O57" s="5">
        <v>15</v>
      </c>
      <c r="P57" s="5">
        <v>0</v>
      </c>
      <c r="Q57" s="5">
        <v>0</v>
      </c>
      <c r="R57" s="5">
        <v>10</v>
      </c>
      <c r="S57" s="5">
        <v>0</v>
      </c>
      <c r="T57" s="5">
        <v>15</v>
      </c>
      <c r="U57" s="5">
        <f>SUM(Table[[#This Row],[Premissa 1]:[Premissa 8]])</f>
        <v>50</v>
      </c>
      <c r="V57" s="5" t="s">
        <v>13</v>
      </c>
      <c r="W57" t="s">
        <v>515</v>
      </c>
    </row>
    <row r="58" spans="1:23" ht="15" customHeight="1">
      <c r="A58" s="4">
        <v>5800291035</v>
      </c>
      <c r="B58" s="5" t="str">
        <f>MID(Table[[#This Row],[Ativo]],1,2)</f>
        <v>58</v>
      </c>
      <c r="C58" s="5" t="s">
        <v>234</v>
      </c>
      <c r="D58" s="5" t="s">
        <v>108</v>
      </c>
      <c r="E58" s="5" t="s">
        <v>42</v>
      </c>
      <c r="F58" s="4" t="str">
        <f>IFERROR(_xlfn.XLOOKUP(Table[[#This Row],[Ativo]],Pendentes[COD_RELIGADOR],Pendentes[SS_ORIGINAL]),"CONCLUÍDA")</f>
        <v>ETO-RD-PO 00097/2026</v>
      </c>
      <c r="G58" s="11" t="s">
        <v>482</v>
      </c>
      <c r="H58" s="9"/>
      <c r="I58" s="4" t="s">
        <v>443</v>
      </c>
      <c r="J58" s="29" t="s">
        <v>497</v>
      </c>
      <c r="K58" s="31">
        <v>1</v>
      </c>
      <c r="L58" t="s">
        <v>236</v>
      </c>
      <c r="M58" s="5">
        <v>0</v>
      </c>
      <c r="N58" s="5">
        <v>20</v>
      </c>
      <c r="O58" s="5">
        <v>20</v>
      </c>
      <c r="P58" s="5">
        <v>10</v>
      </c>
      <c r="Q58" s="5">
        <v>0</v>
      </c>
      <c r="R58" s="5" t="s">
        <v>45</v>
      </c>
      <c r="S58" s="5" t="s">
        <v>45</v>
      </c>
      <c r="T58" s="5" t="s">
        <v>45</v>
      </c>
      <c r="U58" s="5">
        <f>SUM(Table[[#This Row],[Premissa 1]:[Premissa 8]])</f>
        <v>50</v>
      </c>
      <c r="V58" s="5" t="s">
        <v>14</v>
      </c>
      <c r="W58" t="s">
        <v>237</v>
      </c>
    </row>
    <row r="59" spans="1:23" ht="15" customHeight="1">
      <c r="A59" s="4">
        <v>5827102054</v>
      </c>
      <c r="B59" s="5" t="str">
        <f>MID(Table[[#This Row],[Ativo]],1,2)</f>
        <v>58</v>
      </c>
      <c r="C59" s="5" t="s">
        <v>243</v>
      </c>
      <c r="D59" s="5" t="s">
        <v>97</v>
      </c>
      <c r="E59" s="5" t="s">
        <v>42</v>
      </c>
      <c r="F59" s="4" t="str">
        <f>IFERROR(_xlfn.XLOOKUP(Table[[#This Row],[Ativo]],Pendentes[COD_RELIGADOR],Pendentes[SS_ORIGINAL]),"CONCLUÍDA")</f>
        <v>ETO-RD-PS 00289/2026</v>
      </c>
      <c r="G59" s="11" t="s">
        <v>482</v>
      </c>
      <c r="H59" s="9" t="s">
        <v>697</v>
      </c>
      <c r="J59" s="29" t="s">
        <v>497</v>
      </c>
      <c r="K59" s="31">
        <v>1</v>
      </c>
      <c r="L59" t="str">
        <f>IFERROR(_xlfn.XLOOKUP(Table[[#This Row],[Ativo]],Pendentes[COD_RELIGADOR],Pendentes[DESCRICAO]),"")</f>
        <v>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v>
      </c>
      <c r="M59" s="5">
        <v>0</v>
      </c>
      <c r="N59" s="5">
        <v>20</v>
      </c>
      <c r="O59" s="5">
        <v>20</v>
      </c>
      <c r="P59" s="5">
        <v>10</v>
      </c>
      <c r="Q59" s="5">
        <v>0</v>
      </c>
      <c r="R59" s="5" t="s">
        <v>45</v>
      </c>
      <c r="S59" s="5" t="s">
        <v>45</v>
      </c>
      <c r="T59" s="5" t="s">
        <v>45</v>
      </c>
      <c r="U59" s="5">
        <f>SUM(Table[[#This Row],[Premissa 1]:[Premissa 8]])</f>
        <v>50</v>
      </c>
      <c r="V59" s="5" t="s">
        <v>14</v>
      </c>
      <c r="W59" t="s">
        <v>246</v>
      </c>
    </row>
    <row r="60" spans="1:23" ht="15" customHeight="1">
      <c r="A60" s="4">
        <v>5850308009</v>
      </c>
      <c r="B60" s="5" t="str">
        <f>MID(Table[[#This Row],[Ativo]],1,2)</f>
        <v>58</v>
      </c>
      <c r="C60" s="5" t="s">
        <v>50</v>
      </c>
      <c r="D60" s="5" t="s">
        <v>50</v>
      </c>
      <c r="E60" s="5" t="s">
        <v>51</v>
      </c>
      <c r="F60" s="4" t="str">
        <f>IFERROR(_xlfn.XLOOKUP(Table[[#This Row],[Ativo]],Pendentes[COD_RELIGADOR],Pendentes[SS_ORIGINAL]),"CONCLUÍDA")</f>
        <v>CONCLUÍDA</v>
      </c>
      <c r="G60" s="11"/>
      <c r="H60" s="9"/>
      <c r="I60" s="4" t="s">
        <v>438</v>
      </c>
      <c r="J60" s="29"/>
      <c r="K60" s="31"/>
      <c r="L60" t="str">
        <f>IFERROR(_xlfn.XLOOKUP(Table[[#This Row],[Ativo]],Pendentes[COD_RELIGADOR],Pendentes[DESCRICAO]),"")</f>
        <v/>
      </c>
      <c r="M60" s="5">
        <v>0</v>
      </c>
      <c r="N60" s="5">
        <v>20</v>
      </c>
      <c r="O60" s="5">
        <v>20</v>
      </c>
      <c r="P60" s="5">
        <v>0</v>
      </c>
      <c r="Q60" s="5">
        <v>10</v>
      </c>
      <c r="R60" s="5" t="s">
        <v>45</v>
      </c>
      <c r="S60" s="5" t="s">
        <v>45</v>
      </c>
      <c r="T60" s="5" t="s">
        <v>45</v>
      </c>
      <c r="U60" s="5">
        <f>SUM(Table[[#This Row],[Premissa 1]:[Premissa 8]])</f>
        <v>50</v>
      </c>
      <c r="V60" s="5" t="s">
        <v>14</v>
      </c>
      <c r="W60" t="s">
        <v>517</v>
      </c>
    </row>
    <row r="61" spans="1:23" ht="15" customHeight="1">
      <c r="A61" s="4">
        <v>7900535058</v>
      </c>
      <c r="B61" s="5" t="str">
        <f>MID(Table[[#This Row],[Ativo]],1,2)</f>
        <v>79</v>
      </c>
      <c r="C61" s="5" t="s">
        <v>248</v>
      </c>
      <c r="D61" s="5" t="s">
        <v>57</v>
      </c>
      <c r="E61" s="5" t="s">
        <v>51</v>
      </c>
      <c r="F61" s="4" t="str">
        <f>IFERROR(_xlfn.XLOOKUP(Table[[#This Row],[Ativo]],Pendentes[COD_RELIGADOR],Pendentes[SS_ORIGINAL]),"CONCLUÍDA")</f>
        <v>ETO-COEP 00173/2025</v>
      </c>
      <c r="G61" s="11" t="s">
        <v>451</v>
      </c>
      <c r="H61" s="9"/>
      <c r="I61" s="4" t="s">
        <v>694</v>
      </c>
      <c r="J61" s="29" t="s">
        <v>460</v>
      </c>
      <c r="K61" s="31">
        <v>1</v>
      </c>
      <c r="L61" t="str">
        <f>IFERROR(_xlfn.XLOOKUP(Table[[#This Row],[Ativo]],Pendentes[COD_RELIGADOR],Pendentes[DESCRICAO]),"")</f>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v>
      </c>
      <c r="M61" s="5">
        <v>5</v>
      </c>
      <c r="N61" s="5">
        <v>10</v>
      </c>
      <c r="O61" s="5">
        <v>5</v>
      </c>
      <c r="P61" s="5">
        <v>0</v>
      </c>
      <c r="Q61" s="5">
        <v>15</v>
      </c>
      <c r="R61" s="5">
        <v>10</v>
      </c>
      <c r="S61" s="5">
        <v>0</v>
      </c>
      <c r="T61" s="5">
        <v>0</v>
      </c>
      <c r="U61" s="5">
        <f>SUM(Table[[#This Row],[Premissa 1]:[Premissa 8]])</f>
        <v>45</v>
      </c>
      <c r="V61" s="5" t="s">
        <v>14</v>
      </c>
      <c r="W61" t="s">
        <v>251</v>
      </c>
    </row>
    <row r="62" spans="1:23" ht="15" customHeight="1">
      <c r="A62" s="4">
        <v>7927713200</v>
      </c>
      <c r="B62" s="5" t="str">
        <f>MID(Table[[#This Row],[Ativo]],1,2)</f>
        <v>79</v>
      </c>
      <c r="C62" s="5" t="s">
        <v>327</v>
      </c>
      <c r="D62" s="5" t="s">
        <v>177</v>
      </c>
      <c r="E62" s="5" t="s">
        <v>76</v>
      </c>
      <c r="F62" s="4" t="str">
        <f>IFERROR(_xlfn.XLOOKUP(Table[[#This Row],[Ativo]],Pendentes[COD_RELIGADOR],Pendentes[SS_ORIGINAL]),"CONCLUÍDA")</f>
        <v>CONCLUÍDA</v>
      </c>
      <c r="G62" s="11" t="s">
        <v>451</v>
      </c>
      <c r="H62" s="4" t="s">
        <v>715</v>
      </c>
      <c r="I62" s="4" t="s">
        <v>694</v>
      </c>
      <c r="J62" s="29" t="s">
        <v>480</v>
      </c>
      <c r="K62" s="31">
        <v>1</v>
      </c>
      <c r="L62" t="str">
        <f>IFERROR(_xlfn.XLOOKUP(Table[[#This Row],[Ativo]],Pendentes[COD_RELIGADOR],Pendentes[DESCRICAO]),"")</f>
        <v/>
      </c>
      <c r="M62" s="5">
        <v>5</v>
      </c>
      <c r="N62" s="5">
        <v>5</v>
      </c>
      <c r="O62" s="5">
        <v>5</v>
      </c>
      <c r="P62" s="5">
        <v>0</v>
      </c>
      <c r="Q62" s="5">
        <v>15</v>
      </c>
      <c r="R62" s="5">
        <v>10</v>
      </c>
      <c r="S62" s="5">
        <v>0</v>
      </c>
      <c r="T62" s="5">
        <v>0</v>
      </c>
      <c r="U62" s="5">
        <f>SUM(Table[[#This Row],[Premissa 1]:[Premissa 8]])</f>
        <v>40</v>
      </c>
      <c r="V62" s="5" t="s">
        <v>14</v>
      </c>
      <c r="W62" t="s">
        <v>518</v>
      </c>
    </row>
    <row r="63" spans="1:23" ht="15" customHeight="1">
      <c r="A63" s="4">
        <v>7937102148</v>
      </c>
      <c r="B63" s="5" t="str">
        <f>MID(Table[[#This Row],[Ativo]],1,2)</f>
        <v>79</v>
      </c>
      <c r="C63" s="5" t="s">
        <v>262</v>
      </c>
      <c r="D63" s="5" t="s">
        <v>177</v>
      </c>
      <c r="E63" s="5" t="s">
        <v>76</v>
      </c>
      <c r="F63" s="4" t="str">
        <f>IFERROR(_xlfn.XLOOKUP(Table[[#This Row],[Ativo]],Pendentes[COD_RELIGADOR],Pendentes[SS_ORIGINAL]),"CONCLUÍDA")</f>
        <v>ETO-COEP 00129/2026</v>
      </c>
      <c r="G63" s="4" t="s">
        <v>451</v>
      </c>
      <c r="I63" s="4" t="s">
        <v>694</v>
      </c>
      <c r="J63" s="29" t="s">
        <v>480</v>
      </c>
      <c r="K63" s="31">
        <v>1</v>
      </c>
      <c r="L63" t="str">
        <f>IFERROR(_xlfn.XLOOKUP(Table[[#This Row],[Ativo]],Pendentes[COD_RELIGADOR],Pendentes[DESCRICAO]),"")</f>
        <v>PARECER COEP: REAVALIAR DISPONIBILIDADE DO EQUIPAMENTO NO SCADA ASSIM COMO , FORNECER MODELO DO EQUIPAMENTO E FAIXA DE TENSÃO PARA COMPRA / AQUISIÇÃOTanque com defeito, realizar substituição do tanque.</v>
      </c>
      <c r="M63" s="5">
        <v>5</v>
      </c>
      <c r="N63" s="5">
        <v>5</v>
      </c>
      <c r="O63" s="5">
        <v>5</v>
      </c>
      <c r="P63" s="5">
        <v>0</v>
      </c>
      <c r="Q63" s="5">
        <v>15</v>
      </c>
      <c r="R63" s="5">
        <v>10</v>
      </c>
      <c r="S63" s="5">
        <v>0</v>
      </c>
      <c r="T63" s="5">
        <v>0</v>
      </c>
      <c r="U63" s="5">
        <f>SUM(Table[[#This Row],[Premissa 1]:[Premissa 8]])</f>
        <v>40</v>
      </c>
      <c r="V63" s="5" t="s">
        <v>14</v>
      </c>
      <c r="W63" t="s">
        <v>265</v>
      </c>
    </row>
    <row r="64" spans="1:23" ht="15" customHeight="1">
      <c r="A64" s="4">
        <v>7944559149</v>
      </c>
      <c r="B64" s="5" t="str">
        <f>MID(Table[[#This Row],[Ativo]],1,2)</f>
        <v>79</v>
      </c>
      <c r="C64" s="5" t="s">
        <v>257</v>
      </c>
      <c r="D64" s="5" t="s">
        <v>210</v>
      </c>
      <c r="E64" s="5" t="s">
        <v>42</v>
      </c>
      <c r="F64" s="4" t="str">
        <f>IFERROR(_xlfn.XLOOKUP(Table[[#This Row],[Ativo]],Pendentes[COD_RELIGADOR],Pendentes[SS_ORIGINAL]),"CONCLUÍDA")</f>
        <v>ETO-COEP 00063/2026</v>
      </c>
      <c r="G64" s="4" t="s">
        <v>451</v>
      </c>
      <c r="I64" s="4" t="s">
        <v>694</v>
      </c>
      <c r="J64" s="29" t="s">
        <v>460</v>
      </c>
      <c r="K64" s="31">
        <v>1</v>
      </c>
      <c r="L64" t="str">
        <f>IFERROR(_xlfn.XLOOKUP(Table[[#This Row],[Ativo]],Pendentes[COD_RELIGADOR],Pendentes[DESCRICAO]),"")</f>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v>
      </c>
      <c r="M64" s="5">
        <v>5</v>
      </c>
      <c r="N64" s="5">
        <v>10</v>
      </c>
      <c r="O64" s="5">
        <v>0</v>
      </c>
      <c r="P64" s="5">
        <v>0</v>
      </c>
      <c r="Q64" s="5">
        <v>15</v>
      </c>
      <c r="R64" s="5">
        <v>10</v>
      </c>
      <c r="S64" s="5">
        <v>0</v>
      </c>
      <c r="T64" s="5">
        <v>0</v>
      </c>
      <c r="U64" s="5">
        <f>SUM(Table[[#This Row],[Premissa 1]:[Premissa 8]])</f>
        <v>40</v>
      </c>
      <c r="V64" s="5" t="s">
        <v>14</v>
      </c>
      <c r="W64" t="s">
        <v>728</v>
      </c>
    </row>
    <row r="65" spans="1:23" ht="34.5" customHeight="1">
      <c r="A65" s="4">
        <v>5800961074</v>
      </c>
      <c r="B65" s="5" t="str">
        <f>MID(Table[[#This Row],[Ativo]],1,2)</f>
        <v>58</v>
      </c>
      <c r="C65" s="5" t="s">
        <v>75</v>
      </c>
      <c r="D65" s="5" t="s">
        <v>75</v>
      </c>
      <c r="E65" s="5" t="s">
        <v>76</v>
      </c>
      <c r="F65" s="4" t="str">
        <f>IFERROR(_xlfn.XLOOKUP(Table[[#This Row],[Ativo]],Pendentes[COD_RELIGADOR],Pendentes[SS_ORIGINAL]),"CONCLUÍDA")</f>
        <v>ETO-COEP 00221/2025</v>
      </c>
      <c r="G65" s="4" t="s">
        <v>692</v>
      </c>
      <c r="H65" s="50" t="s">
        <v>693</v>
      </c>
      <c r="I65" s="4" t="s">
        <v>694</v>
      </c>
      <c r="J65" s="29" t="s">
        <v>521</v>
      </c>
      <c r="K65" s="31">
        <v>3</v>
      </c>
      <c r="L65" t="str">
        <f>IFERROR(_xlfn.XLOOKUP(Table[[#This Row],[Ativo]],Pendentes[COD_RELIGADOR],Pendentes[DESCRICAO]),"")</f>
        <v>PARECER COEP: EQUIPAMENTO SELECIONADO PARA COMPRASubstituir as 3 células- Melhoria na malha de aterramento - Melhoria no circuito de aterramento qua aterra as células.- Substituir conectores paralelos</v>
      </c>
      <c r="M65" s="5">
        <v>20</v>
      </c>
      <c r="N65" s="5">
        <v>0</v>
      </c>
      <c r="O65" s="5">
        <v>0</v>
      </c>
      <c r="P65" s="5">
        <v>20</v>
      </c>
      <c r="Q65" s="5">
        <v>0</v>
      </c>
      <c r="R65" s="5" t="s">
        <v>45</v>
      </c>
      <c r="S65" s="5" t="s">
        <v>45</v>
      </c>
      <c r="T65" s="5" t="s">
        <v>45</v>
      </c>
      <c r="U65" s="5">
        <f>SUM(Table[[#This Row],[Premissa 1]:[Premissa 8]])</f>
        <v>40</v>
      </c>
      <c r="V65" s="5" t="s">
        <v>14</v>
      </c>
      <c r="W65" t="s">
        <v>255</v>
      </c>
    </row>
    <row r="66" spans="1:23" ht="15" customHeight="1">
      <c r="A66" s="4">
        <v>7908249152</v>
      </c>
      <c r="B66" s="5" t="str">
        <f>MID(Table[[#This Row],[Ativo]],1,2)</f>
        <v>79</v>
      </c>
      <c r="C66" s="5" t="s">
        <v>291</v>
      </c>
      <c r="D66" s="5" t="s">
        <v>41</v>
      </c>
      <c r="E66" s="5" t="s">
        <v>42</v>
      </c>
      <c r="F66" s="4" t="str">
        <f>IFERROR(_xlfn.XLOOKUP(Table[[#This Row],[Ativo]],Pendentes[COD_RELIGADOR],Pendentes[SS_ORIGINAL]),"CONCLUÍDA")</f>
        <v>ETO-COEP 00038/2026</v>
      </c>
      <c r="G66" s="4" t="s">
        <v>451</v>
      </c>
      <c r="I66" s="4" t="s">
        <v>694</v>
      </c>
      <c r="J66" s="29" t="s">
        <v>469</v>
      </c>
      <c r="K66" s="31">
        <v>1</v>
      </c>
      <c r="L66" t="str">
        <f>IFERROR(_xlfn.XLOOKUP(Table[[#This Row],[Ativo]],Pendentes[COD_RELIGADOR],Pendentes[DESCRICAO]),"")</f>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v>
      </c>
      <c r="M66" s="5">
        <v>5</v>
      </c>
      <c r="N66" s="5">
        <v>5</v>
      </c>
      <c r="O66" s="5">
        <v>0</v>
      </c>
      <c r="P66" s="5">
        <v>0</v>
      </c>
      <c r="Q66" s="5">
        <v>15</v>
      </c>
      <c r="R66" s="5">
        <v>10</v>
      </c>
      <c r="S66" s="5">
        <v>0</v>
      </c>
      <c r="T66" s="5">
        <v>0</v>
      </c>
      <c r="U66" s="5">
        <f>SUM(Table[[#This Row],[Premissa 1]:[Premissa 8]])</f>
        <v>35</v>
      </c>
      <c r="V66" s="5" t="s">
        <v>14</v>
      </c>
      <c r="W66" t="s">
        <v>293</v>
      </c>
    </row>
    <row r="67" spans="1:23" ht="15" customHeight="1">
      <c r="A67" s="12">
        <v>7922995039</v>
      </c>
      <c r="B67" s="5" t="str">
        <f>MID(Table[[#This Row],[Ativo]],1,2)</f>
        <v>79</v>
      </c>
      <c r="C67" s="5" t="s">
        <v>267</v>
      </c>
      <c r="D67" s="5" t="s">
        <v>132</v>
      </c>
      <c r="E67" s="5" t="s">
        <v>51</v>
      </c>
      <c r="F67" s="4" t="str">
        <f>IFERROR(_xlfn.XLOOKUP(Table[[#This Row],[Ativo]],Pendentes[COD_RELIGADOR],Pendentes[SS_ORIGINAL]),"CONCLUÍDA")</f>
        <v>ETO-PROT 00135/2026</v>
      </c>
      <c r="I67" s="4" t="s">
        <v>522</v>
      </c>
      <c r="J67" s="29"/>
      <c r="K67" s="31"/>
      <c r="L67" t="str">
        <f>IFERROR(_xlfn.XLOOKUP(Table[[#This Row],[Ativo]],Pendentes[COD_RELIGADOR],Pendentes[DESCRICAO]),"")</f>
        <v>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v>
      </c>
      <c r="M67" s="5">
        <v>5</v>
      </c>
      <c r="N67" s="5">
        <v>5</v>
      </c>
      <c r="O67" s="5">
        <v>0</v>
      </c>
      <c r="P67" s="5">
        <v>0</v>
      </c>
      <c r="Q67" s="5">
        <v>15</v>
      </c>
      <c r="R67" s="5">
        <v>10</v>
      </c>
      <c r="S67" s="5">
        <v>0</v>
      </c>
      <c r="T67" s="5">
        <v>0</v>
      </c>
      <c r="U67" s="5">
        <f>SUM(Table[[#This Row],[Premissa 1]:[Premissa 8]])</f>
        <v>35</v>
      </c>
      <c r="V67" s="5" t="s">
        <v>14</v>
      </c>
      <c r="W67" t="s">
        <v>270</v>
      </c>
    </row>
    <row r="68" spans="1:23" ht="15" customHeight="1">
      <c r="A68" s="4">
        <v>7925733015</v>
      </c>
      <c r="B68" s="5" t="str">
        <f>MID(Table[[#This Row],[Ativo]],1,2)</f>
        <v>79</v>
      </c>
      <c r="C68" s="5" t="s">
        <v>283</v>
      </c>
      <c r="D68" s="5" t="s">
        <v>50</v>
      </c>
      <c r="E68" s="5" t="s">
        <v>51</v>
      </c>
      <c r="F68" s="4" t="str">
        <f>IFERROR(_xlfn.XLOOKUP(Table[[#This Row],[Ativo]],Pendentes[COD_RELIGADOR],Pendentes[SS_ORIGINAL]),"CONCLUÍDA")</f>
        <v>ETO-COEP 00058/2026</v>
      </c>
      <c r="G68" s="4" t="s">
        <v>451</v>
      </c>
      <c r="I68" s="4" t="s">
        <v>694</v>
      </c>
      <c r="J68" s="29" t="s">
        <v>480</v>
      </c>
      <c r="K68" s="31">
        <v>1</v>
      </c>
      <c r="L68" t="str">
        <f>IFERROR(_xlfn.XLOOKUP(Table[[#This Row],[Ativo]],Pendentes[COD_RELIGADOR],Pendentes[DESCRICAO]),"")</f>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v>
      </c>
      <c r="M68" s="5">
        <v>5</v>
      </c>
      <c r="N68" s="5">
        <v>5</v>
      </c>
      <c r="O68" s="5">
        <v>0</v>
      </c>
      <c r="P68" s="5">
        <v>0</v>
      </c>
      <c r="Q68" s="5">
        <v>15</v>
      </c>
      <c r="R68" s="5">
        <v>10</v>
      </c>
      <c r="S68" s="5">
        <v>0</v>
      </c>
      <c r="T68" s="5">
        <v>0</v>
      </c>
      <c r="U68" s="5">
        <f>SUM(Table[[#This Row],[Premissa 1]:[Premissa 8]])</f>
        <v>35</v>
      </c>
      <c r="V68" s="5" t="s">
        <v>14</v>
      </c>
      <c r="W68" t="s">
        <v>286</v>
      </c>
    </row>
    <row r="69" spans="1:23" ht="15" customHeight="1">
      <c r="A69" s="4">
        <v>7927396052</v>
      </c>
      <c r="B69" s="5" t="str">
        <f>MID(Table[[#This Row],[Ativo]],1,2)</f>
        <v>79</v>
      </c>
      <c r="C69" s="5" t="s">
        <v>192</v>
      </c>
      <c r="D69" s="5" t="s">
        <v>192</v>
      </c>
      <c r="E69" s="5" t="s">
        <v>76</v>
      </c>
      <c r="F69" s="4" t="str">
        <f>IFERROR(_xlfn.XLOOKUP(Table[[#This Row],[Ativo]],Pendentes[COD_RELIGADOR],Pendentes[SS_ORIGINAL]),"CONCLUÍDA")</f>
        <v>ETO-COEP 00045/2026</v>
      </c>
      <c r="G69" s="4" t="s">
        <v>451</v>
      </c>
      <c r="I69" s="4" t="s">
        <v>694</v>
      </c>
      <c r="J69" s="29" t="s">
        <v>480</v>
      </c>
      <c r="K69" s="31">
        <v>1</v>
      </c>
      <c r="L69" t="str">
        <f>IFERROR(_xlfn.XLOOKUP(Table[[#This Row],[Ativo]],Pendentes[COD_RELIGADOR],Pendentes[DESCRICAO]),"")</f>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v>
      </c>
      <c r="M69" s="5">
        <v>5</v>
      </c>
      <c r="N69" s="5">
        <v>5</v>
      </c>
      <c r="O69" s="5">
        <v>0</v>
      </c>
      <c r="P69" s="5">
        <v>0</v>
      </c>
      <c r="Q69" s="5">
        <v>15</v>
      </c>
      <c r="R69" s="5">
        <v>10</v>
      </c>
      <c r="S69" s="5">
        <v>0</v>
      </c>
      <c r="T69" s="5">
        <v>0</v>
      </c>
      <c r="U69" s="5">
        <f>SUM(Table[[#This Row],[Premissa 1]:[Premissa 8]])</f>
        <v>35</v>
      </c>
      <c r="V69" s="5" t="s">
        <v>14</v>
      </c>
      <c r="W69" t="s">
        <v>281</v>
      </c>
    </row>
    <row r="70" spans="1:23" ht="15" customHeight="1">
      <c r="A70" s="4">
        <v>7933585074</v>
      </c>
      <c r="B70" s="5" t="str">
        <f>MID(Table[[#This Row],[Ativo]],1,2)</f>
        <v>79</v>
      </c>
      <c r="C70" s="5" t="s">
        <v>75</v>
      </c>
      <c r="D70" s="5" t="s">
        <v>75</v>
      </c>
      <c r="E70" s="5" t="s">
        <v>76</v>
      </c>
      <c r="F70" s="4" t="str">
        <f>IFERROR(_xlfn.XLOOKUP(Table[[#This Row],[Ativo]],Pendentes[COD_RELIGADOR],Pendentes[SS_ORIGINAL]),"CONCLUÍDA")</f>
        <v>ETO-COEP 00024/2026</v>
      </c>
      <c r="G70" s="5" t="s">
        <v>451</v>
      </c>
      <c r="H70" s="4" t="s">
        <v>452</v>
      </c>
      <c r="I70" s="4" t="s">
        <v>694</v>
      </c>
      <c r="J70" s="29" t="s">
        <v>480</v>
      </c>
      <c r="K70" s="31">
        <v>1</v>
      </c>
      <c r="L70" t="str">
        <f>IFERROR(_xlfn.XLOOKUP(Table[[#This Row],[Ativo]],Pendentes[COD_RELIGADOR],Pendentes[DESCRICAO]),"")</f>
        <v>30/06 PARECER COEP: EQUIPAMENTO SELECIONADO PARA COMPRAREALIZAR SUBSTITUIÇÃO DO TANQUE, O MESMO ESTÁ COM DEFEITO.</v>
      </c>
      <c r="M70" s="5">
        <v>5</v>
      </c>
      <c r="N70" s="5">
        <v>5</v>
      </c>
      <c r="O70" s="5">
        <v>15</v>
      </c>
      <c r="P70" s="5">
        <v>0</v>
      </c>
      <c r="Q70" s="5">
        <v>0</v>
      </c>
      <c r="R70" s="5">
        <v>0</v>
      </c>
      <c r="S70" s="5">
        <v>10</v>
      </c>
      <c r="T70" s="5">
        <v>0</v>
      </c>
      <c r="U70" s="5">
        <f>SUM(Table[[#This Row],[Premissa 1]:[Premissa 8]])</f>
        <v>35</v>
      </c>
      <c r="V70" s="5" t="s">
        <v>14</v>
      </c>
      <c r="W70" t="s">
        <v>273</v>
      </c>
    </row>
    <row r="71" spans="1:23" ht="15" customHeight="1">
      <c r="A71" s="12">
        <v>7942572059</v>
      </c>
      <c r="B71" s="5" t="str">
        <f>MID(Table[[#This Row],[Ativo]],1,2)</f>
        <v>79</v>
      </c>
      <c r="C71" s="5" t="s">
        <v>62</v>
      </c>
      <c r="D71" s="5" t="s">
        <v>62</v>
      </c>
      <c r="E71" s="5" t="s">
        <v>42</v>
      </c>
      <c r="F71" s="4" t="str">
        <f>IFERROR(_xlfn.XLOOKUP(Table[[#This Row],[Ativo]],Pendentes[COD_RELIGADOR],Pendentes[SS_ORIGINAL]),"CONCLUÍDA")</f>
        <v>ETO-PROT 00155/2026</v>
      </c>
      <c r="G71" s="4" t="s">
        <v>482</v>
      </c>
      <c r="I71" s="4" t="s">
        <v>522</v>
      </c>
      <c r="J71" s="29"/>
      <c r="K71" s="31"/>
      <c r="L71" t="str">
        <f>IFERROR(_xlfn.XLOOKUP(Table[[#This Row],[Ativo]],Pendentes[COD_RELIGADOR],Pendentes[DESCRICAO]),"")</f>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v>
      </c>
      <c r="M71" s="5">
        <v>5</v>
      </c>
      <c r="N71" s="5">
        <v>5</v>
      </c>
      <c r="O71" s="5">
        <v>15</v>
      </c>
      <c r="P71" s="5">
        <v>0</v>
      </c>
      <c r="Q71" s="5">
        <v>0</v>
      </c>
      <c r="R71" s="5">
        <v>0</v>
      </c>
      <c r="S71" s="5">
        <v>10</v>
      </c>
      <c r="T71" s="5">
        <v>0</v>
      </c>
      <c r="U71" s="5">
        <f>SUM(Table[[#This Row],[Premissa 1]:[Premissa 8]])</f>
        <v>35</v>
      </c>
      <c r="V71" s="5" t="s">
        <v>14</v>
      </c>
      <c r="W71" t="s">
        <v>297</v>
      </c>
    </row>
    <row r="72" spans="1:23" ht="15" customHeight="1">
      <c r="A72" s="4">
        <v>7944319149</v>
      </c>
      <c r="B72" s="5" t="str">
        <f>MID(Table[[#This Row],[Ativo]],1,2)</f>
        <v>79</v>
      </c>
      <c r="C72" s="5" t="s">
        <v>257</v>
      </c>
      <c r="D72" s="5" t="s">
        <v>210</v>
      </c>
      <c r="E72" s="5" t="s">
        <v>42</v>
      </c>
      <c r="F72" s="4" t="str">
        <f>IFERROR(_xlfn.XLOOKUP(Table[[#This Row],[Ativo]],Pendentes[COD_RELIGADOR],Pendentes[SS_ORIGINAL]),"CONCLUÍDA")</f>
        <v>CONCLUÍDA</v>
      </c>
      <c r="I72" s="4" t="s">
        <v>438</v>
      </c>
      <c r="J72" s="29"/>
      <c r="K72" s="31"/>
      <c r="L72" t="str">
        <f>IFERROR(_xlfn.XLOOKUP(Table[[#This Row],[Ativo]],Pendentes[COD_RELIGADOR],Pendentes[DESCRICAO]),"")</f>
        <v/>
      </c>
      <c r="M72" s="5">
        <v>5</v>
      </c>
      <c r="N72" s="5">
        <v>5</v>
      </c>
      <c r="O72" s="5">
        <v>15</v>
      </c>
      <c r="P72" s="5">
        <v>0</v>
      </c>
      <c r="Q72" s="5">
        <v>0</v>
      </c>
      <c r="R72" s="5">
        <v>0</v>
      </c>
      <c r="S72" s="5">
        <v>10</v>
      </c>
      <c r="T72" s="5">
        <v>0</v>
      </c>
      <c r="U72" s="5">
        <f>SUM(Table[[#This Row],[Premissa 1]:[Premissa 8]])</f>
        <v>35</v>
      </c>
      <c r="V72" s="5" t="s">
        <v>14</v>
      </c>
      <c r="W72" t="s">
        <v>524</v>
      </c>
    </row>
    <row r="73" spans="1:23" ht="15" customHeight="1">
      <c r="A73" s="4">
        <v>7955986084</v>
      </c>
      <c r="B73" s="5" t="str">
        <f>MID(Table[[#This Row],[Ativo]],1,2)</f>
        <v>79</v>
      </c>
      <c r="C73" s="5" t="s">
        <v>210</v>
      </c>
      <c r="D73" s="5" t="s">
        <v>210</v>
      </c>
      <c r="E73" s="5" t="s">
        <v>42</v>
      </c>
      <c r="F73" s="4" t="str">
        <f>IFERROR(_xlfn.XLOOKUP(Table[[#This Row],[Ativo]],Pendentes[COD_RELIGADOR],Pendentes[SS_ORIGINAL]),"CONCLUÍDA")</f>
        <v>ETO-COEP 00133/2026</v>
      </c>
      <c r="G73" s="4" t="s">
        <v>451</v>
      </c>
      <c r="I73" s="4" t="s">
        <v>694</v>
      </c>
      <c r="J73" s="29"/>
      <c r="K73" s="31"/>
      <c r="L73" t="str">
        <f>IFERROR(_xlfn.XLOOKUP(Table[[#This Row],[Ativo]],Pendentes[COD_RELIGADOR],Pendentes[DESCRICAO]),"")</f>
        <v>14/07/2026 PARECER COEP : SUBSTIUIR CONTROLE COMPLETOPARECER DMSL: Equipamento com a placa de alimentação ca em curto, será necessário substituir a placa do equipamento. (Antiga nota era pra ter sido repassada porém foi baixada indevidamente pela equipe)</v>
      </c>
      <c r="M73" s="5">
        <v>5</v>
      </c>
      <c r="N73" s="5">
        <v>5</v>
      </c>
      <c r="O73" s="5">
        <v>0</v>
      </c>
      <c r="P73" s="5">
        <v>0</v>
      </c>
      <c r="Q73" s="5">
        <v>15</v>
      </c>
      <c r="R73" s="5">
        <v>10</v>
      </c>
      <c r="S73" s="5">
        <v>0</v>
      </c>
      <c r="T73" s="5">
        <v>0</v>
      </c>
      <c r="U73" s="5">
        <f>SUM(Table[[#This Row],[Premissa 1]:[Premissa 8]])</f>
        <v>35</v>
      </c>
      <c r="V73" s="5" t="s">
        <v>14</v>
      </c>
      <c r="W73" t="s">
        <v>277</v>
      </c>
    </row>
    <row r="74" spans="1:23" ht="15" customHeight="1">
      <c r="A74" s="12">
        <v>7967181127</v>
      </c>
      <c r="B74" s="5" t="str">
        <f>MID(Table[[#This Row],[Ativo]],1,2)</f>
        <v>79</v>
      </c>
      <c r="C74" s="5" t="s">
        <v>222</v>
      </c>
      <c r="D74" s="5" t="s">
        <v>223</v>
      </c>
      <c r="E74" s="5" t="s">
        <v>51</v>
      </c>
      <c r="F74" s="4" t="str">
        <f>IFERROR(_xlfn.XLOOKUP(Table[[#This Row],[Ativo]],Pendentes[COD_RELIGADOR],Pendentes[SS_ORIGINAL]),"CONCLUÍDA")</f>
        <v>CONCLUÍDA</v>
      </c>
      <c r="G74" s="4" t="s">
        <v>732</v>
      </c>
      <c r="J74" s="29"/>
      <c r="K74" s="31"/>
      <c r="L74" t="str">
        <f>IFERROR(_xlfn.XLOOKUP(Table[[#This Row],[Ativo]],Pendentes[COD_RELIGADOR],Pendentes[DESCRICAO]),"")</f>
        <v/>
      </c>
      <c r="M74" s="5">
        <v>5</v>
      </c>
      <c r="N74" s="5">
        <v>5</v>
      </c>
      <c r="O74" s="5">
        <v>0</v>
      </c>
      <c r="P74" s="5">
        <v>0</v>
      </c>
      <c r="Q74" s="5">
        <v>15</v>
      </c>
      <c r="R74" s="5">
        <v>10</v>
      </c>
      <c r="S74" s="5">
        <v>0</v>
      </c>
      <c r="T74" s="5">
        <v>0</v>
      </c>
      <c r="U74" s="5">
        <f>SUM(Table[[#This Row],[Premissa 1]:[Premissa 8]])</f>
        <v>35</v>
      </c>
      <c r="V74" s="5" t="s">
        <v>14</v>
      </c>
      <c r="W74" t="s">
        <v>527</v>
      </c>
    </row>
    <row r="75" spans="1:23" ht="15" customHeight="1">
      <c r="A75" s="4">
        <v>7900525015</v>
      </c>
      <c r="B75" s="5" t="str">
        <f>MID(Table[[#This Row],[Ativo]],1,2)</f>
        <v>79</v>
      </c>
      <c r="C75" s="5" t="s">
        <v>283</v>
      </c>
      <c r="D75" s="5" t="s">
        <v>50</v>
      </c>
      <c r="E75" s="5" t="s">
        <v>51</v>
      </c>
      <c r="F75" s="4" t="str">
        <f>IFERROR(_xlfn.XLOOKUP(Table[[#This Row],[Ativo]],Pendentes[COD_RELIGADOR],Pendentes[SS_ORIGINAL]),"CONCLUÍDA")</f>
        <v>ETO-COEP 00125/2026</v>
      </c>
      <c r="G75" s="4" t="s">
        <v>451</v>
      </c>
      <c r="I75" s="4" t="s">
        <v>694</v>
      </c>
      <c r="J75" s="29" t="s">
        <v>480</v>
      </c>
      <c r="K75" s="31">
        <v>1</v>
      </c>
      <c r="L75" t="str">
        <f>IFERROR(_xlfn.XLOOKUP(Table[[#This Row],[Ativo]],Pendentes[COD_RELIGADOR],Pendentes[DESCRICAO]),"")</f>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v>
      </c>
      <c r="M75" s="5">
        <v>5</v>
      </c>
      <c r="N75" s="5">
        <v>5</v>
      </c>
      <c r="O75" s="5">
        <v>0</v>
      </c>
      <c r="P75" s="5">
        <v>0</v>
      </c>
      <c r="Q75" s="5">
        <v>15</v>
      </c>
      <c r="R75" s="5">
        <v>10</v>
      </c>
      <c r="S75" s="5">
        <v>0</v>
      </c>
      <c r="T75" s="5">
        <v>0</v>
      </c>
      <c r="U75" s="5">
        <f>SUM(Table[[#This Row],[Premissa 1]:[Premissa 8]])</f>
        <v>35</v>
      </c>
      <c r="V75" s="5" t="s">
        <v>14</v>
      </c>
      <c r="W75" t="s">
        <v>289</v>
      </c>
    </row>
    <row r="76" spans="1:23" ht="15" customHeight="1">
      <c r="A76" s="4">
        <v>7928564039</v>
      </c>
      <c r="B76" s="5" t="str">
        <f>MID(Table[[#This Row],[Ativo]],1,2)</f>
        <v>79</v>
      </c>
      <c r="C76" s="5" t="s">
        <v>267</v>
      </c>
      <c r="D76" s="5" t="s">
        <v>132</v>
      </c>
      <c r="E76" s="5" t="s">
        <v>51</v>
      </c>
      <c r="F76" s="4" t="str">
        <f>IFERROR(_xlfn.XLOOKUP(Table[[#This Row],[Ativo]],Pendentes[COD_RELIGADOR],Pendentes[SS_ORIGINAL]),"CONCLUÍDA")</f>
        <v>ETO-COEP 00123/2026</v>
      </c>
      <c r="G76" s="4" t="s">
        <v>451</v>
      </c>
      <c r="I76" s="4" t="s">
        <v>694</v>
      </c>
      <c r="J76" s="29" t="s">
        <v>469</v>
      </c>
      <c r="K76" s="31">
        <v>1</v>
      </c>
      <c r="L76" t="str">
        <f>IFERROR(_xlfn.XLOOKUP(Table[[#This Row],[Ativo]],Pendentes[COD_RELIGADOR],Pendentes[DESCRICAO]),"")</f>
        <v>PARECER COEP: EQUIPAMENTO SELECIONADO PARA COMPRATroca do sistema de comunicação do equipamentoDMSL 28/07/2025: Equipamento com tanque, modulo e rele com defeito, solicitar troca do equipamento ao DCMD.Fotos vão ser enviadas por e-mail</v>
      </c>
      <c r="M76" s="5">
        <v>5</v>
      </c>
      <c r="N76" s="5">
        <v>10</v>
      </c>
      <c r="O76" s="5">
        <v>5</v>
      </c>
      <c r="P76" s="5">
        <v>0</v>
      </c>
      <c r="Q76" s="5">
        <v>0</v>
      </c>
      <c r="R76" s="5">
        <v>10</v>
      </c>
      <c r="S76" s="5">
        <v>0</v>
      </c>
      <c r="T76" s="5">
        <v>0</v>
      </c>
      <c r="U76" s="5">
        <f>SUM(Table[[#This Row],[Premissa 1]:[Premissa 8]])</f>
        <v>30</v>
      </c>
      <c r="V76" s="5" t="s">
        <v>14</v>
      </c>
      <c r="W76" t="s">
        <v>300</v>
      </c>
    </row>
    <row r="77" spans="1:23" ht="15" customHeight="1">
      <c r="A77" s="4">
        <v>7957126085</v>
      </c>
      <c r="B77" s="5" t="str">
        <f>MID(Table[[#This Row],[Ativo]],1,2)</f>
        <v>79</v>
      </c>
      <c r="C77" s="5" t="s">
        <v>528</v>
      </c>
      <c r="D77" s="5" t="s">
        <v>97</v>
      </c>
      <c r="E77" s="5" t="s">
        <v>42</v>
      </c>
      <c r="F77" s="4" t="str">
        <f>IFERROR(_xlfn.XLOOKUP(Table[[#This Row],[Ativo]],Pendentes[COD_RELIGADOR],Pendentes[SS_ORIGINAL]),"CONCLUÍDA")</f>
        <v>CONCLUÍDA</v>
      </c>
      <c r="I77" s="4" t="s">
        <v>438</v>
      </c>
      <c r="J77" s="29"/>
      <c r="K77" s="31"/>
      <c r="L77" t="str">
        <f>IFERROR(_xlfn.XLOOKUP(Table[[#This Row],[Ativo]],Pendentes[COD_RELIGADOR],Pendentes[DESCRICAO]),"")</f>
        <v/>
      </c>
      <c r="M77" s="5">
        <v>5</v>
      </c>
      <c r="N77" s="5">
        <v>10</v>
      </c>
      <c r="O77" s="5">
        <v>5</v>
      </c>
      <c r="P77" s="5">
        <v>0</v>
      </c>
      <c r="Q77" s="5">
        <v>0</v>
      </c>
      <c r="R77" s="5">
        <v>10</v>
      </c>
      <c r="S77" s="5">
        <v>0</v>
      </c>
      <c r="T77" s="5">
        <v>0</v>
      </c>
      <c r="U77" s="5">
        <f>SUM(Table[[#This Row],[Premissa 1]:[Premissa 8]])</f>
        <v>30</v>
      </c>
      <c r="V77" s="5" t="s">
        <v>14</v>
      </c>
      <c r="W77" t="s">
        <v>529</v>
      </c>
    </row>
    <row r="78" spans="1:23" ht="15" customHeight="1">
      <c r="A78" s="4">
        <v>5841308190</v>
      </c>
      <c r="B78" s="5" t="str">
        <f>MID(Table[[#This Row],[Ativo]],1,2)</f>
        <v>58</v>
      </c>
      <c r="C78" s="5" t="s">
        <v>530</v>
      </c>
      <c r="D78" s="5" t="s">
        <v>75</v>
      </c>
      <c r="E78" s="5" t="s">
        <v>76</v>
      </c>
      <c r="F78" s="4" t="str">
        <f>IFERROR(_xlfn.XLOOKUP(Table[[#This Row],[Ativo]],Pendentes[COD_RELIGADOR],Pendentes[SS_ORIGINAL]),"CONCLUÍDA")</f>
        <v>CONCLUÍDA</v>
      </c>
      <c r="I78" s="4" t="s">
        <v>531</v>
      </c>
      <c r="J78" s="29" t="s">
        <v>45</v>
      </c>
      <c r="K78" s="31"/>
      <c r="L78" t="str">
        <f>IFERROR(_xlfn.XLOOKUP(Table[[#This Row],[Ativo]],Pendentes[COD_RELIGADOR],Pendentes[DESCRICAO]),"")</f>
        <v/>
      </c>
      <c r="M78" s="5">
        <v>0</v>
      </c>
      <c r="N78" s="5">
        <v>20</v>
      </c>
      <c r="O78" s="5">
        <v>0</v>
      </c>
      <c r="P78" s="5">
        <v>10</v>
      </c>
      <c r="Q78" s="5">
        <v>0</v>
      </c>
      <c r="R78" s="5" t="s">
        <v>45</v>
      </c>
      <c r="S78" s="5" t="s">
        <v>45</v>
      </c>
      <c r="T78" s="5" t="s">
        <v>45</v>
      </c>
      <c r="U78" s="5">
        <f>SUM(Table[[#This Row],[Premissa 1]:[Premissa 8]])</f>
        <v>30</v>
      </c>
      <c r="V78" s="5" t="s">
        <v>15</v>
      </c>
      <c r="W78" t="s">
        <v>532</v>
      </c>
    </row>
    <row r="79" spans="1:23" ht="15" customHeight="1">
      <c r="A79" s="12">
        <v>5844630060</v>
      </c>
      <c r="B79" s="5" t="str">
        <f>MID(Table[[#This Row],[Ativo]],1,2)</f>
        <v>58</v>
      </c>
      <c r="C79" s="5" t="s">
        <v>533</v>
      </c>
      <c r="D79" s="5" t="s">
        <v>154</v>
      </c>
      <c r="E79" s="5" t="s">
        <v>51</v>
      </c>
      <c r="F79" s="4" t="str">
        <f>IFERROR(_xlfn.XLOOKUP(Table[[#This Row],[Ativo]],Pendentes[COD_RELIGADOR],Pendentes[SS_ORIGINAL]),"CONCLUÍDA")</f>
        <v>CONCLUÍDA</v>
      </c>
      <c r="G79" s="4" t="s">
        <v>700</v>
      </c>
      <c r="H79" s="4" t="s">
        <v>701</v>
      </c>
      <c r="I79" s="4" t="s">
        <v>443</v>
      </c>
      <c r="J79" s="29" t="s">
        <v>444</v>
      </c>
      <c r="K79" s="31">
        <v>1</v>
      </c>
      <c r="L79" t="str">
        <f>IFERROR(_xlfn.XLOOKUP(Table[[#This Row],[Ativo]],Pendentes[COD_RELIGADOR],Pendentes[DESCRICAO]),"")</f>
        <v/>
      </c>
      <c r="M79" s="5">
        <v>20</v>
      </c>
      <c r="N79" s="5">
        <v>0</v>
      </c>
      <c r="O79" s="5">
        <v>0</v>
      </c>
      <c r="P79" s="5">
        <v>10</v>
      </c>
      <c r="Q79" s="5">
        <v>0</v>
      </c>
      <c r="R79" s="5" t="s">
        <v>45</v>
      </c>
      <c r="S79" s="5" t="s">
        <v>45</v>
      </c>
      <c r="T79" s="5" t="s">
        <v>45</v>
      </c>
      <c r="U79" s="5">
        <f>SUM(Table[[#This Row],[Premissa 1]:[Premissa 8]])</f>
        <v>30</v>
      </c>
      <c r="V79" s="5" t="s">
        <v>15</v>
      </c>
      <c r="W79" t="s">
        <v>535</v>
      </c>
    </row>
    <row r="80" spans="1:23" ht="15" customHeight="1">
      <c r="A80" s="4">
        <v>5855411017</v>
      </c>
      <c r="B80" s="5" t="str">
        <f>MID(Table[[#This Row],[Ativo]],1,2)</f>
        <v>58</v>
      </c>
      <c r="C80" s="5" t="s">
        <v>302</v>
      </c>
      <c r="D80" s="5" t="s">
        <v>186</v>
      </c>
      <c r="E80" s="5" t="s">
        <v>42</v>
      </c>
      <c r="F80" s="4" t="str">
        <f>IFERROR(_xlfn.XLOOKUP(Table[[#This Row],[Ativo]],Pendentes[COD_RELIGADOR],Pendentes[SS_ORIGINAL]),"CONCLUÍDA")</f>
        <v>ETO-COEP 00156/2026</v>
      </c>
      <c r="G80" s="4" t="s">
        <v>451</v>
      </c>
      <c r="I80" s="4" t="s">
        <v>694</v>
      </c>
      <c r="J80" s="29" t="s">
        <v>460</v>
      </c>
      <c r="K80" s="31">
        <v>1</v>
      </c>
      <c r="L80" t="str">
        <f>IFERROR(_xlfn.XLOOKUP(Table[[#This Row],[Ativo]],Pendentes[COD_RELIGADOR],Pendentes[DESCRICAO]),"")</f>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v>
      </c>
      <c r="M80" s="5">
        <v>0</v>
      </c>
      <c r="N80" s="5">
        <v>0</v>
      </c>
      <c r="O80" s="5">
        <v>0</v>
      </c>
      <c r="P80" s="5">
        <v>10</v>
      </c>
      <c r="Q80" s="5">
        <v>20</v>
      </c>
      <c r="R80" s="5" t="s">
        <v>45</v>
      </c>
      <c r="S80" s="5" t="s">
        <v>45</v>
      </c>
      <c r="T80" s="5" t="s">
        <v>45</v>
      </c>
      <c r="U80" s="5">
        <f>SUM(Table[[#This Row],[Premissa 1]:[Premissa 8]])</f>
        <v>30</v>
      </c>
      <c r="V80" s="5" t="s">
        <v>15</v>
      </c>
      <c r="W80" t="s">
        <v>305</v>
      </c>
    </row>
    <row r="81" spans="1:23" ht="15" customHeight="1">
      <c r="A81" s="4">
        <v>7900505026</v>
      </c>
      <c r="B81" s="5" t="str">
        <f>MID(Table[[#This Row],[Ativo]],1,2)</f>
        <v>79</v>
      </c>
      <c r="C81" s="5" t="s">
        <v>108</v>
      </c>
      <c r="D81" s="5" t="s">
        <v>108</v>
      </c>
      <c r="E81" s="5" t="s">
        <v>42</v>
      </c>
      <c r="F81" s="4" t="str">
        <f>IFERROR(_xlfn.XLOOKUP(Table[[#This Row],[Ativo]],Pendentes[COD_RELIGADOR],Pendentes[SS_ORIGINAL]),"CONCLUÍDA")</f>
        <v>CONCLUÍDA</v>
      </c>
      <c r="I81" s="4" t="s">
        <v>438</v>
      </c>
      <c r="J81" s="29"/>
      <c r="K81" s="31"/>
      <c r="L81" t="str">
        <f>IFERROR(_xlfn.XLOOKUP(Table[[#This Row],[Ativo]],Pendentes[COD_RELIGADOR],Pendentes[DESCRICAO]),"")</f>
        <v/>
      </c>
      <c r="M81" s="5">
        <v>5</v>
      </c>
      <c r="N81" s="5">
        <v>5</v>
      </c>
      <c r="O81" s="5">
        <v>5</v>
      </c>
      <c r="P81" s="5">
        <v>0</v>
      </c>
      <c r="Q81" s="5">
        <v>0</v>
      </c>
      <c r="R81" s="5">
        <v>0</v>
      </c>
      <c r="S81" s="5">
        <v>10</v>
      </c>
      <c r="T81" s="5">
        <v>0</v>
      </c>
      <c r="U81" s="5">
        <f>SUM(Table[[#This Row],[Premissa 1]:[Premissa 8]])</f>
        <v>25</v>
      </c>
      <c r="V81" s="5" t="s">
        <v>15</v>
      </c>
      <c r="W81" t="s">
        <v>539</v>
      </c>
    </row>
    <row r="82" spans="1:23" ht="15" customHeight="1">
      <c r="A82" s="12">
        <v>7908196047</v>
      </c>
      <c r="B82" s="5" t="str">
        <f>MID(Table[[#This Row],[Ativo]],1,2)</f>
        <v>79</v>
      </c>
      <c r="C82" s="5" t="s">
        <v>191</v>
      </c>
      <c r="D82" s="5" t="s">
        <v>449</v>
      </c>
      <c r="E82" s="5" t="s">
        <v>76</v>
      </c>
      <c r="F82" s="4" t="str">
        <f>IFERROR(_xlfn.XLOOKUP(Table[[#This Row],[Ativo]],Pendentes[COD_RELIGADOR],Pendentes[SS_ORIGINAL]),"CONCLUÍDA")</f>
        <v>ETO-TELE 01002/2026</v>
      </c>
      <c r="G82" s="4" t="s">
        <v>451</v>
      </c>
      <c r="I82" s="4" t="s">
        <v>694</v>
      </c>
      <c r="J82" s="29" t="s">
        <v>469</v>
      </c>
      <c r="K82" s="31">
        <v>1</v>
      </c>
      <c r="L82" t="str">
        <f>IFERROR(_xlfn.XLOOKUP(Table[[#This Row],[Ativo]],Pendentes[COD_RELIGADOR],Pendentes[DESCRICAO]),"")</f>
        <v>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v>
      </c>
      <c r="M82" s="5">
        <v>5</v>
      </c>
      <c r="N82" s="5">
        <v>5</v>
      </c>
      <c r="O82" s="5">
        <v>5</v>
      </c>
      <c r="P82" s="5">
        <v>0</v>
      </c>
      <c r="Q82" s="5">
        <v>0</v>
      </c>
      <c r="R82" s="5">
        <v>0</v>
      </c>
      <c r="S82" s="5">
        <v>10</v>
      </c>
      <c r="T82" s="5">
        <v>0</v>
      </c>
      <c r="U82" s="5">
        <f>SUM(Table[[#This Row],[Premissa 1]:[Premissa 8]])</f>
        <v>25</v>
      </c>
      <c r="V82" s="5" t="s">
        <v>15</v>
      </c>
      <c r="W82" t="s">
        <v>308</v>
      </c>
    </row>
    <row r="83" spans="1:23" ht="15" customHeight="1">
      <c r="A83" s="4">
        <v>7921202014</v>
      </c>
      <c r="B83" s="5" t="str">
        <f>MID(Table[[#This Row],[Ativo]],1,2)</f>
        <v>79</v>
      </c>
      <c r="C83" s="5" t="s">
        <v>126</v>
      </c>
      <c r="D83" s="5" t="s">
        <v>97</v>
      </c>
      <c r="E83" s="5" t="s">
        <v>42</v>
      </c>
      <c r="F83" s="4" t="str">
        <f>IFERROR(_xlfn.XLOOKUP(Table[[#This Row],[Ativo]],Pendentes[COD_RELIGADOR],Pendentes[SS_ORIGINAL]),"CONCLUÍDA")</f>
        <v>ETO-COEP 00132/2026</v>
      </c>
      <c r="G83" s="4" t="s">
        <v>451</v>
      </c>
      <c r="I83" s="4" t="s">
        <v>694</v>
      </c>
      <c r="J83" s="29" t="s">
        <v>480</v>
      </c>
      <c r="K83" s="31">
        <v>1</v>
      </c>
      <c r="L83" t="str">
        <f>IFERROR(_xlfn.XLOOKUP(Table[[#This Row],[Ativo]],Pendentes[COD_RELIGADOR],Pendentes[DESCRICAO]),"")</f>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v>
      </c>
      <c r="M83" s="5">
        <v>5</v>
      </c>
      <c r="N83" s="5">
        <v>5</v>
      </c>
      <c r="O83" s="5">
        <v>5</v>
      </c>
      <c r="P83" s="5">
        <v>0</v>
      </c>
      <c r="Q83" s="5">
        <v>0</v>
      </c>
      <c r="R83" s="5">
        <v>10</v>
      </c>
      <c r="S83" s="5">
        <v>0</v>
      </c>
      <c r="T83" s="5">
        <v>0</v>
      </c>
      <c r="U83" s="5">
        <f>SUM(Table[[#This Row],[Premissa 1]:[Premissa 8]])</f>
        <v>25</v>
      </c>
      <c r="V83" s="5" t="s">
        <v>15</v>
      </c>
      <c r="W83" t="s">
        <v>322</v>
      </c>
    </row>
    <row r="84" spans="1:23" ht="15" customHeight="1">
      <c r="A84" s="4">
        <v>7923927122</v>
      </c>
      <c r="B84" s="5" t="str">
        <f>MID(Table[[#This Row],[Ativo]],1,2)</f>
        <v>79</v>
      </c>
      <c r="C84" s="5" t="s">
        <v>68</v>
      </c>
      <c r="D84" s="5" t="s">
        <v>68</v>
      </c>
      <c r="E84" s="5" t="s">
        <v>42</v>
      </c>
      <c r="F84" s="4" t="str">
        <f>IFERROR(_xlfn.XLOOKUP(Table[[#This Row],[Ativo]],Pendentes[COD_RELIGADOR],Pendentes[SS_ORIGINAL]),"CONCLUÍDA")</f>
        <v>ETO-COEP 00148/2026</v>
      </c>
      <c r="G84" s="4" t="s">
        <v>451</v>
      </c>
      <c r="I84" s="4" t="s">
        <v>694</v>
      </c>
      <c r="J84" s="29" t="s">
        <v>480</v>
      </c>
      <c r="K84" s="31">
        <v>1</v>
      </c>
      <c r="L84" t="str">
        <f>IFERROR(_xlfn.XLOOKUP(Table[[#This Row],[Ativo]],Pendentes[COD_RELIGADOR],Pendentes[DESCRICAO]),"")</f>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v>
      </c>
      <c r="M84" s="5">
        <v>15</v>
      </c>
      <c r="N84" s="5">
        <v>0</v>
      </c>
      <c r="O84" s="5">
        <v>0</v>
      </c>
      <c r="P84" s="5">
        <v>0</v>
      </c>
      <c r="Q84" s="5">
        <v>0</v>
      </c>
      <c r="R84" s="5">
        <v>10</v>
      </c>
      <c r="S84" s="5">
        <v>0</v>
      </c>
      <c r="T84" s="5">
        <v>0</v>
      </c>
      <c r="U84" s="5">
        <f>SUM(Table[[#This Row],[Premissa 1]:[Premissa 8]])</f>
        <v>25</v>
      </c>
      <c r="V84" s="5" t="s">
        <v>15</v>
      </c>
      <c r="W84" t="s">
        <v>314</v>
      </c>
    </row>
    <row r="85" spans="1:23" ht="15" customHeight="1">
      <c r="A85" s="4">
        <v>7927446001</v>
      </c>
      <c r="B85" s="5" t="str">
        <f>MID(Table[[#This Row],[Ativo]],1,2)</f>
        <v>79</v>
      </c>
      <c r="C85" s="5" t="s">
        <v>41</v>
      </c>
      <c r="D85" s="5" t="s">
        <v>41</v>
      </c>
      <c r="E85" s="5" t="s">
        <v>42</v>
      </c>
      <c r="F85" s="4" t="str">
        <f>IFERROR(_xlfn.XLOOKUP(Table[[#This Row],[Ativo]],Pendentes[COD_RELIGADOR],Pendentes[SS_ORIGINAL]),"CONCLUÍDA")</f>
        <v>ETO-COEP 00143/2025</v>
      </c>
      <c r="G85" s="4" t="s">
        <v>451</v>
      </c>
      <c r="I85" s="4" t="s">
        <v>694</v>
      </c>
      <c r="J85" s="29" t="s">
        <v>469</v>
      </c>
      <c r="K85" s="31">
        <v>1</v>
      </c>
      <c r="L85" t="str">
        <f>IFERROR(_xlfn.XLOOKUP(Table[[#This Row],[Ativo]],Pendentes[COD_RELIGADOR],Pendentes[DESCRICAO]),"")</f>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v>
      </c>
      <c r="M85" s="5">
        <v>5</v>
      </c>
      <c r="N85" s="5">
        <v>5</v>
      </c>
      <c r="O85" s="5">
        <v>5</v>
      </c>
      <c r="P85" s="5">
        <v>0</v>
      </c>
      <c r="Q85" s="5">
        <v>0</v>
      </c>
      <c r="R85" s="5">
        <v>10</v>
      </c>
      <c r="S85" s="5">
        <v>0</v>
      </c>
      <c r="T85" s="5">
        <v>0</v>
      </c>
      <c r="U85" s="5">
        <f>SUM(Table[[#This Row],[Premissa 1]:[Premissa 8]])</f>
        <v>25</v>
      </c>
      <c r="V85" s="5" t="s">
        <v>15</v>
      </c>
      <c r="W85" t="s">
        <v>325</v>
      </c>
    </row>
    <row r="86" spans="1:23" ht="15" customHeight="1">
      <c r="A86" s="4">
        <v>7928241200</v>
      </c>
      <c r="B86" s="5" t="str">
        <f>MID(Table[[#This Row],[Ativo]],1,2)</f>
        <v>79</v>
      </c>
      <c r="C86" s="5" t="s">
        <v>327</v>
      </c>
      <c r="D86" s="5" t="s">
        <v>177</v>
      </c>
      <c r="E86" s="5" t="s">
        <v>76</v>
      </c>
      <c r="F86" s="4" t="str">
        <f>IFERROR(_xlfn.XLOOKUP(Table[[#This Row],[Ativo]],Pendentes[COD_RELIGADOR],Pendentes[SS_ORIGINAL]),"CONCLUÍDA")</f>
        <v>ETO-COEP 00128/2026</v>
      </c>
      <c r="G86" s="4" t="s">
        <v>451</v>
      </c>
      <c r="I86" s="4" t="s">
        <v>694</v>
      </c>
      <c r="J86" s="29" t="s">
        <v>480</v>
      </c>
      <c r="K86" s="31">
        <v>1</v>
      </c>
      <c r="L86" t="str">
        <f>IFERROR(_xlfn.XLOOKUP(Table[[#This Row],[Ativo]],Pendentes[COD_RELIGADOR],Pendentes[DESCRICAO]),"")</f>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v>
      </c>
      <c r="M86" s="5">
        <v>5</v>
      </c>
      <c r="N86" s="5">
        <v>5</v>
      </c>
      <c r="O86" s="5">
        <v>5</v>
      </c>
      <c r="P86" s="5">
        <v>0</v>
      </c>
      <c r="Q86" s="5">
        <v>0</v>
      </c>
      <c r="R86" s="5">
        <v>10</v>
      </c>
      <c r="S86" s="5">
        <v>0</v>
      </c>
      <c r="T86" s="5">
        <v>0</v>
      </c>
      <c r="U86" s="5">
        <f>SUM(Table[[#This Row],[Premissa 1]:[Premissa 8]])</f>
        <v>25</v>
      </c>
      <c r="V86" s="5" t="s">
        <v>15</v>
      </c>
      <c r="W86" t="s">
        <v>330</v>
      </c>
    </row>
    <row r="87" spans="1:23" ht="15" customHeight="1">
      <c r="A87" s="4">
        <v>7942485096</v>
      </c>
      <c r="B87" s="5" t="str">
        <f>MID(Table[[#This Row],[Ativo]],1,2)</f>
        <v>79</v>
      </c>
      <c r="C87" s="5" t="s">
        <v>316</v>
      </c>
      <c r="D87" s="5" t="s">
        <v>108</v>
      </c>
      <c r="E87" s="5" t="s">
        <v>42</v>
      </c>
      <c r="F87" s="4" t="str">
        <f>IFERROR(_xlfn.XLOOKUP(Table[[#This Row],[Ativo]],Pendentes[COD_RELIGADOR],Pendentes[SS_ORIGINAL]),"CONCLUÍDA")</f>
        <v>ETO-COEP 00158/2025</v>
      </c>
      <c r="G87" s="5" t="s">
        <v>451</v>
      </c>
      <c r="I87" s="4" t="s">
        <v>694</v>
      </c>
      <c r="J87" s="29" t="s">
        <v>480</v>
      </c>
      <c r="K87" s="31">
        <v>1</v>
      </c>
      <c r="L87" t="str">
        <f>IFERROR(_xlfn.XLOOKUP(Table[[#This Row],[Ativo]],Pendentes[COD_RELIGADOR],Pendentes[DESCRICAO]),"")</f>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v>
      </c>
      <c r="M87" s="5">
        <v>5</v>
      </c>
      <c r="N87" s="5">
        <v>5</v>
      </c>
      <c r="O87" s="5">
        <v>5</v>
      </c>
      <c r="P87" s="5">
        <v>0</v>
      </c>
      <c r="Q87" s="5">
        <v>0</v>
      </c>
      <c r="R87" s="5">
        <v>10</v>
      </c>
      <c r="S87" s="5">
        <v>0</v>
      </c>
      <c r="T87" s="5">
        <v>0</v>
      </c>
      <c r="U87" s="5">
        <f>SUM(Table[[#This Row],[Premissa 1]:[Premissa 8]])</f>
        <v>25</v>
      </c>
      <c r="V87" s="5" t="s">
        <v>15</v>
      </c>
      <c r="W87" t="s">
        <v>318</v>
      </c>
    </row>
    <row r="88" spans="1:23" ht="15" customHeight="1">
      <c r="A88" s="4">
        <v>7955430075</v>
      </c>
      <c r="B88" s="5" t="str">
        <f>MID(Table[[#This Row],[Ativo]],1,2)</f>
        <v>79</v>
      </c>
      <c r="C88" s="5" t="s">
        <v>540</v>
      </c>
      <c r="D88" s="5" t="s">
        <v>210</v>
      </c>
      <c r="E88" s="5" t="s">
        <v>42</v>
      </c>
      <c r="F88" s="4" t="str">
        <f>IFERROR(_xlfn.XLOOKUP(Table[[#This Row],[Ativo]],Pendentes[COD_RELIGADOR],Pendentes[SS_ORIGINAL]),"CONCLUÍDA")</f>
        <v>CONCLUÍDA</v>
      </c>
      <c r="I88" s="4" t="s">
        <v>438</v>
      </c>
      <c r="J88" s="29"/>
      <c r="K88" s="31"/>
      <c r="L88" t="str">
        <f>IFERROR(_xlfn.XLOOKUP(Table[[#This Row],[Ativo]],Pendentes[COD_RELIGADOR],Pendentes[DESCRICAO]),"")</f>
        <v/>
      </c>
      <c r="M88" s="5">
        <v>5</v>
      </c>
      <c r="N88" s="5">
        <v>5</v>
      </c>
      <c r="O88" s="5">
        <v>5</v>
      </c>
      <c r="P88" s="5">
        <v>0</v>
      </c>
      <c r="Q88" s="5">
        <v>0</v>
      </c>
      <c r="R88" s="5">
        <v>0</v>
      </c>
      <c r="S88" s="5">
        <v>10</v>
      </c>
      <c r="T88" s="5">
        <v>0</v>
      </c>
      <c r="U88" s="5">
        <f>SUM(Table[[#This Row],[Premissa 1]:[Premissa 8]])</f>
        <v>25</v>
      </c>
      <c r="V88" s="5" t="s">
        <v>15</v>
      </c>
      <c r="W88" t="s">
        <v>541</v>
      </c>
    </row>
    <row r="89" spans="1:23" ht="15" customHeight="1">
      <c r="A89" s="4">
        <v>7955686076</v>
      </c>
      <c r="B89" s="5" t="str">
        <f>MID(Table[[#This Row],[Ativo]],1,2)</f>
        <v>79</v>
      </c>
      <c r="C89" s="5" t="s">
        <v>335</v>
      </c>
      <c r="D89" s="5" t="s">
        <v>336</v>
      </c>
      <c r="E89" s="5" t="s">
        <v>76</v>
      </c>
      <c r="F89" s="4" t="str">
        <f>IFERROR(_xlfn.XLOOKUP(Table[[#This Row],[Ativo]],Pendentes[COD_RELIGADOR],Pendentes[SS_ORIGINAL]),"CONCLUÍDA")</f>
        <v>CONCLUÍDA</v>
      </c>
      <c r="I89" s="4" t="s">
        <v>438</v>
      </c>
      <c r="J89" s="29"/>
      <c r="K89" s="31"/>
      <c r="L89" t="str">
        <f>IFERROR(_xlfn.XLOOKUP(Table[[#This Row],[Ativo]],Pendentes[COD_RELIGADOR],Pendentes[DESCRICAO]),"")</f>
        <v/>
      </c>
      <c r="M89" s="5">
        <v>5</v>
      </c>
      <c r="N89" s="5">
        <v>5</v>
      </c>
      <c r="O89" s="5">
        <v>0</v>
      </c>
      <c r="P89" s="5">
        <v>0</v>
      </c>
      <c r="Q89" s="5">
        <v>15</v>
      </c>
      <c r="R89" s="5">
        <v>0</v>
      </c>
      <c r="S89" s="5">
        <v>0</v>
      </c>
      <c r="T89" s="5">
        <v>0</v>
      </c>
      <c r="U89" s="5">
        <f>SUM(Table[[#This Row],[Premissa 1]:[Premissa 8]])</f>
        <v>25</v>
      </c>
      <c r="V89" s="5" t="s">
        <v>15</v>
      </c>
      <c r="W89" t="s">
        <v>542</v>
      </c>
    </row>
    <row r="90" spans="1:23" ht="15" customHeight="1">
      <c r="A90" s="4">
        <v>7955946007</v>
      </c>
      <c r="B90" s="5" t="str">
        <f>MID(Table[[#This Row],[Ativo]],1,2)</f>
        <v>79</v>
      </c>
      <c r="C90" s="5" t="s">
        <v>186</v>
      </c>
      <c r="D90" s="5" t="s">
        <v>186</v>
      </c>
      <c r="E90" s="5" t="s">
        <v>42</v>
      </c>
      <c r="F90" s="4" t="str">
        <f>IFERROR(_xlfn.XLOOKUP(Table[[#This Row],[Ativo]],Pendentes[COD_RELIGADOR],Pendentes[SS_ORIGINAL]),"CONCLUÍDA")</f>
        <v>ETO-COEP 00134/2026</v>
      </c>
      <c r="G90" s="4" t="s">
        <v>451</v>
      </c>
      <c r="I90" s="4" t="s">
        <v>694</v>
      </c>
      <c r="J90" s="29" t="s">
        <v>447</v>
      </c>
      <c r="K90" s="31">
        <v>1</v>
      </c>
      <c r="L90" t="str">
        <f>IFERROR(_xlfn.XLOOKUP(Table[[#This Row],[Ativo]],Pendentes[COD_RELIGADOR],Pendentes[DESCRICAO]),"")</f>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v>
      </c>
      <c r="M90" s="5">
        <v>5</v>
      </c>
      <c r="N90" s="5">
        <v>5</v>
      </c>
      <c r="O90" s="5">
        <v>5</v>
      </c>
      <c r="P90" s="5">
        <v>0</v>
      </c>
      <c r="Q90" s="5">
        <v>0</v>
      </c>
      <c r="R90" s="5">
        <v>0</v>
      </c>
      <c r="S90" s="5">
        <v>10</v>
      </c>
      <c r="T90" s="5">
        <v>0</v>
      </c>
      <c r="U90" s="5">
        <f>SUM(Table[[#This Row],[Premissa 1]:[Premissa 8]])</f>
        <v>25</v>
      </c>
      <c r="V90" s="5" t="s">
        <v>15</v>
      </c>
      <c r="W90" t="s">
        <v>311</v>
      </c>
    </row>
    <row r="91" spans="1:23" ht="15" customHeight="1">
      <c r="A91" s="4">
        <v>7901110084</v>
      </c>
      <c r="B91" s="5" t="str">
        <f>MID(Table[[#This Row],[Ativo]],1,2)</f>
        <v>79</v>
      </c>
      <c r="C91" s="5" t="s">
        <v>210</v>
      </c>
      <c r="D91" s="5" t="s">
        <v>210</v>
      </c>
      <c r="E91" s="5" t="s">
        <v>42</v>
      </c>
      <c r="F91" s="4" t="str">
        <f>IFERROR(_xlfn.XLOOKUP(Table[[#This Row],[Ativo]],Pendentes[COD_RELIGADOR],Pendentes[SS_ORIGINAL]),"CONCLUÍDA")</f>
        <v>ETO-COEP 00061/2026</v>
      </c>
      <c r="G91" s="4" t="s">
        <v>451</v>
      </c>
      <c r="I91" s="4" t="s">
        <v>694</v>
      </c>
      <c r="J91" s="29" t="s">
        <v>480</v>
      </c>
      <c r="K91" s="31">
        <v>1</v>
      </c>
      <c r="L91" t="str">
        <f>IFERROR(_xlfn.XLOOKUP(Table[[#This Row],[Ativo]],Pendentes[COD_RELIGADOR],Pendentes[DESCRICAO]),"")</f>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v>
      </c>
      <c r="M91" s="5">
        <v>5</v>
      </c>
      <c r="N91" s="5">
        <v>5</v>
      </c>
      <c r="O91" s="5">
        <v>0</v>
      </c>
      <c r="P91" s="5">
        <v>0</v>
      </c>
      <c r="Q91" s="5">
        <v>0</v>
      </c>
      <c r="R91" s="5">
        <v>0</v>
      </c>
      <c r="S91" s="5">
        <v>10</v>
      </c>
      <c r="T91" s="5">
        <v>0</v>
      </c>
      <c r="U91" s="5">
        <f>SUM(Table[[#This Row],[Premissa 1]:[Premissa 8]])</f>
        <v>20</v>
      </c>
      <c r="V91" s="5" t="s">
        <v>15</v>
      </c>
      <c r="W91" t="s">
        <v>333</v>
      </c>
    </row>
    <row r="92" spans="1:23" ht="15" customHeight="1">
      <c r="A92" s="4">
        <v>7908206074</v>
      </c>
      <c r="B92" s="5" t="str">
        <f>MID(Table[[#This Row],[Ativo]],1,2)</f>
        <v>79</v>
      </c>
      <c r="C92" s="5" t="s">
        <v>75</v>
      </c>
      <c r="D92" s="5" t="s">
        <v>75</v>
      </c>
      <c r="E92" s="5" t="s">
        <v>76</v>
      </c>
      <c r="F92" s="4" t="str">
        <f>IFERROR(_xlfn.XLOOKUP(Table[[#This Row],[Ativo]],Pendentes[COD_RELIGADOR],Pendentes[SS_ORIGINAL]),"CONCLUÍDA")</f>
        <v>CONCLUÍDA</v>
      </c>
      <c r="I92" s="4" t="s">
        <v>438</v>
      </c>
      <c r="J92" s="29"/>
      <c r="K92" s="31"/>
      <c r="L92" t="str">
        <f>IFERROR(_xlfn.XLOOKUP(Table[[#This Row],[Ativo]],Pendentes[COD_RELIGADOR],Pendentes[DESCRICAO]),"")</f>
        <v/>
      </c>
      <c r="M92" s="5">
        <v>5</v>
      </c>
      <c r="N92" s="5">
        <v>5</v>
      </c>
      <c r="O92" s="5">
        <v>0</v>
      </c>
      <c r="P92" s="5">
        <v>0</v>
      </c>
      <c r="Q92" s="5">
        <v>0</v>
      </c>
      <c r="R92" s="5">
        <v>0</v>
      </c>
      <c r="S92" s="5">
        <v>10</v>
      </c>
      <c r="T92" s="5">
        <v>0</v>
      </c>
      <c r="U92" s="5">
        <f>SUM(Table[[#This Row],[Premissa 1]:[Premissa 8]])</f>
        <v>20</v>
      </c>
      <c r="V92" s="5" t="s">
        <v>15</v>
      </c>
      <c r="W92" t="s">
        <v>543</v>
      </c>
    </row>
    <row r="93" spans="1:23" ht="15" customHeight="1">
      <c r="A93" s="12">
        <v>7908708116</v>
      </c>
      <c r="B93" s="5" t="str">
        <f>MID(Table[[#This Row],[Ativo]],1,2)</f>
        <v>79</v>
      </c>
      <c r="C93" s="5" t="s">
        <v>200</v>
      </c>
      <c r="D93" s="5" t="s">
        <v>75</v>
      </c>
      <c r="E93" s="5" t="s">
        <v>76</v>
      </c>
      <c r="F93" s="4" t="str">
        <f>IFERROR(_xlfn.XLOOKUP(Table[[#This Row],[Ativo]],Pendentes[COD_RELIGADOR],Pendentes[SS_ORIGINAL]),"CONCLUÍDA")</f>
        <v>CONCLUÍDA</v>
      </c>
      <c r="G93" s="4" t="s">
        <v>714</v>
      </c>
      <c r="H93" s="4" t="s">
        <v>715</v>
      </c>
      <c r="I93" s="4" t="s">
        <v>694</v>
      </c>
      <c r="J93" s="29" t="s">
        <v>469</v>
      </c>
      <c r="K93" s="31"/>
      <c r="L93" t="str">
        <f>IFERROR(_xlfn.XLOOKUP(Table[[#This Row],[Ativo]],Pendentes[COD_RELIGADOR],Pendentes[DESCRICAO]),"")</f>
        <v/>
      </c>
      <c r="M93" s="5">
        <v>5</v>
      </c>
      <c r="N93" s="5">
        <v>5</v>
      </c>
      <c r="O93" s="5">
        <v>0</v>
      </c>
      <c r="P93" s="5">
        <v>0</v>
      </c>
      <c r="Q93" s="5">
        <v>0</v>
      </c>
      <c r="R93" s="5">
        <v>0</v>
      </c>
      <c r="S93" s="5">
        <v>10</v>
      </c>
      <c r="T93" s="5">
        <v>0</v>
      </c>
      <c r="U93" s="5">
        <f>SUM(Table[[#This Row],[Premissa 1]:[Premissa 8]])</f>
        <v>20</v>
      </c>
      <c r="V93" s="5" t="s">
        <v>15</v>
      </c>
      <c r="W93" t="s">
        <v>545</v>
      </c>
    </row>
    <row r="94" spans="1:23" ht="15" customHeight="1">
      <c r="A94" s="4">
        <v>7910027196</v>
      </c>
      <c r="B94" s="5" t="str">
        <f>MID(Table[[#This Row],[Ativo]],1,2)</f>
        <v>79</v>
      </c>
      <c r="C94" s="5" t="s">
        <v>546</v>
      </c>
      <c r="D94" s="5" t="s">
        <v>62</v>
      </c>
      <c r="E94" s="5" t="s">
        <v>42</v>
      </c>
      <c r="F94" s="4" t="str">
        <f>IFERROR(_xlfn.XLOOKUP(Table[[#This Row],[Ativo]],Pendentes[COD_RELIGADOR],Pendentes[SS_ORIGINAL]),"CONCLUÍDA")</f>
        <v>CONCLUÍDA</v>
      </c>
      <c r="G94" s="4" t="s">
        <v>451</v>
      </c>
      <c r="I94" s="4" t="s">
        <v>694</v>
      </c>
      <c r="J94" s="29" t="s">
        <v>469</v>
      </c>
      <c r="K94" s="31">
        <v>1</v>
      </c>
      <c r="L94" t="str">
        <f>IFERROR(_xlfn.XLOOKUP(Table[[#This Row],[Ativo]],Pendentes[COD_RELIGADOR],Pendentes[DESCRICAO]),"")</f>
        <v/>
      </c>
      <c r="M94" s="5">
        <v>5</v>
      </c>
      <c r="N94" s="5">
        <v>5</v>
      </c>
      <c r="O94" s="5">
        <v>0</v>
      </c>
      <c r="P94" s="5">
        <v>0</v>
      </c>
      <c r="Q94" s="5">
        <v>0</v>
      </c>
      <c r="R94" s="5">
        <v>0</v>
      </c>
      <c r="S94" s="5">
        <v>10</v>
      </c>
      <c r="T94" s="5">
        <v>0</v>
      </c>
      <c r="U94" s="5">
        <f>SUM(Table[[#This Row],[Premissa 1]:[Premissa 8]])</f>
        <v>20</v>
      </c>
      <c r="V94" s="5" t="s">
        <v>15</v>
      </c>
      <c r="W94" t="s">
        <v>549</v>
      </c>
    </row>
    <row r="95" spans="1:23" ht="15" customHeight="1">
      <c r="A95" s="4">
        <v>7913662076</v>
      </c>
      <c r="B95" s="5" t="str">
        <f>MID(Table[[#This Row],[Ativo]],1,2)</f>
        <v>79</v>
      </c>
      <c r="C95" s="5" t="s">
        <v>335</v>
      </c>
      <c r="D95" s="5" t="s">
        <v>336</v>
      </c>
      <c r="E95" s="5" t="s">
        <v>76</v>
      </c>
      <c r="F95" s="4" t="str">
        <f>IFERROR(_xlfn.XLOOKUP(Table[[#This Row],[Ativo]],Pendentes[COD_RELIGADOR],Pendentes[SS_ORIGINAL]),"CONCLUÍDA")</f>
        <v>ETO-COEP 00114/2026</v>
      </c>
      <c r="G95" s="4" t="s">
        <v>451</v>
      </c>
      <c r="H95" s="4" t="s">
        <v>717</v>
      </c>
      <c r="I95" s="4" t="s">
        <v>694</v>
      </c>
      <c r="J95" s="29" t="s">
        <v>480</v>
      </c>
      <c r="K95" s="31">
        <v>1</v>
      </c>
      <c r="L95" t="str">
        <f>IFERROR(_xlfn.XLOOKUP(Table[[#This Row],[Ativo]],Pendentes[COD_RELIGADOR],Pendentes[DESCRICAO]),"")</f>
        <v>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v>
      </c>
      <c r="M95" s="5">
        <v>5</v>
      </c>
      <c r="N95" s="5">
        <v>5</v>
      </c>
      <c r="O95" s="5">
        <v>0</v>
      </c>
      <c r="P95" s="5">
        <v>0</v>
      </c>
      <c r="Q95" s="5">
        <v>0</v>
      </c>
      <c r="R95" s="5">
        <v>10</v>
      </c>
      <c r="S95" s="5">
        <v>0</v>
      </c>
      <c r="T95" s="5">
        <v>0</v>
      </c>
      <c r="U95" s="5">
        <f>SUM(Table[[#This Row],[Premissa 1]:[Premissa 8]])</f>
        <v>20</v>
      </c>
      <c r="V95" s="5" t="s">
        <v>15</v>
      </c>
      <c r="W95" t="s">
        <v>339</v>
      </c>
    </row>
    <row r="96" spans="1:23" ht="15" customHeight="1">
      <c r="A96" s="4">
        <v>5862236091</v>
      </c>
      <c r="B96" s="5" t="str">
        <f>MID(Table[[#This Row],[Ativo]],1,2)</f>
        <v>58</v>
      </c>
      <c r="C96" s="5" t="s">
        <v>74</v>
      </c>
      <c r="D96" s="5" t="s">
        <v>75</v>
      </c>
      <c r="E96" s="5" t="s">
        <v>76</v>
      </c>
      <c r="F96" s="4" t="str">
        <f>IFERROR(_xlfn.XLOOKUP(Table[[#This Row],[Ativo]],Pendentes[COD_RELIGADOR],Pendentes[SS_ORIGINAL]),"CONCLUÍDA")</f>
        <v>ETO-RD-DP 00457/2026</v>
      </c>
      <c r="G96" s="5" t="s">
        <v>451</v>
      </c>
      <c r="H96" s="41"/>
      <c r="I96" s="4" t="s">
        <v>694</v>
      </c>
      <c r="J96" s="29" t="s">
        <v>444</v>
      </c>
      <c r="K96" s="31">
        <v>1</v>
      </c>
      <c r="L96" t="str">
        <f>IFERROR(_xlfn.XLOOKUP(Table[[#This Row],[Ativo]],Pendentes[COD_RELIGADOR],Pendentes[DESCRICAO]),"")</f>
        <v>20/07 PARECER COEP: EQUIPAMENTO ENTREGUE , FAVOR EDITAR A SS COM A DATA PREVISTA DE SUBSTITUIÇÃO NO PARECER DOS COCM´S Realizar substituição da FASE B.Célula da fase B estava com a tampa do contador de tape aberta, pegou chuva e molhou os contatos danificando a peça toda.</v>
      </c>
      <c r="M96" s="5">
        <v>0</v>
      </c>
      <c r="N96" s="5">
        <v>0</v>
      </c>
      <c r="O96" s="5">
        <v>0</v>
      </c>
      <c r="P96" s="5">
        <v>20</v>
      </c>
      <c r="Q96" s="5">
        <v>0</v>
      </c>
      <c r="R96" s="5" t="s">
        <v>45</v>
      </c>
      <c r="S96" s="5" t="s">
        <v>45</v>
      </c>
      <c r="T96" s="5" t="s">
        <v>45</v>
      </c>
      <c r="U96" s="5">
        <f>SUM(Table[[#This Row],[Premissa 1]:[Premissa 8]])</f>
        <v>20</v>
      </c>
      <c r="V96" s="5" t="s">
        <v>15</v>
      </c>
      <c r="W96" t="s">
        <v>343</v>
      </c>
    </row>
    <row r="97" spans="1:23" ht="15" customHeight="1">
      <c r="A97" s="12">
        <v>5836786094</v>
      </c>
      <c r="B97" s="5" t="str">
        <f>MID(Table[[#This Row],[Ativo]],1,2)</f>
        <v>58</v>
      </c>
      <c r="C97" s="5" t="s">
        <v>177</v>
      </c>
      <c r="D97" s="5" t="s">
        <v>177</v>
      </c>
      <c r="E97" s="5" t="s">
        <v>76</v>
      </c>
      <c r="F97" s="4" t="str">
        <f>IFERROR(_xlfn.XLOOKUP(Table[[#This Row],[Ativo]],Pendentes[COD_RELIGADOR],Pendentes[SS_ORIGINAL]),"CONCLUÍDA")</f>
        <v>ETO-COEP 00095/2026</v>
      </c>
      <c r="G97" s="4" t="s">
        <v>467</v>
      </c>
      <c r="H97" s="4" t="s">
        <v>575</v>
      </c>
      <c r="I97" s="4" t="s">
        <v>443</v>
      </c>
      <c r="J97" s="29" t="s">
        <v>444</v>
      </c>
      <c r="K97" s="31">
        <v>1</v>
      </c>
      <c r="L97" t="str">
        <f>IFERROR(_xlfn.XLOOKUP(Table[[#This Row],[Ativo]],Pendentes[COD_RELIGADOR],Pendentes[DESCRICAO]),"")</f>
        <v>24/07 PARECER COEP:EQUIPAMENTO EM LOGISTICA DE ENTREGA Favor levar outro regulador de tensão, pois o mesmo foi furtado em campo.</v>
      </c>
      <c r="M97" s="5">
        <v>0</v>
      </c>
      <c r="N97" s="5">
        <v>0</v>
      </c>
      <c r="O97" s="5">
        <v>0</v>
      </c>
      <c r="P97" s="5">
        <v>10</v>
      </c>
      <c r="Q97" s="5">
        <v>10</v>
      </c>
      <c r="R97" s="5" t="s">
        <v>45</v>
      </c>
      <c r="S97" s="5" t="s">
        <v>45</v>
      </c>
      <c r="T97" s="5" t="s">
        <v>45</v>
      </c>
      <c r="U97" s="5">
        <f>SUM(Table[[#This Row],[Premissa 1]:[Premissa 8]])</f>
        <v>20</v>
      </c>
      <c r="V97" s="5" t="s">
        <v>15</v>
      </c>
      <c r="W97" t="s">
        <v>346</v>
      </c>
    </row>
    <row r="98" spans="1:23" ht="15" customHeight="1">
      <c r="A98" s="4">
        <v>7919270014</v>
      </c>
      <c r="B98" s="5" t="str">
        <f>MID(Table[[#This Row],[Ativo]],1,2)</f>
        <v>79</v>
      </c>
      <c r="C98" s="5" t="s">
        <v>126</v>
      </c>
      <c r="D98" s="5" t="s">
        <v>97</v>
      </c>
      <c r="E98" s="5" t="s">
        <v>42</v>
      </c>
      <c r="F98" s="4" t="str">
        <f>IFERROR(_xlfn.XLOOKUP(Table[[#This Row],[Ativo]],Pendentes[COD_RELIGADOR],Pendentes[SS_ORIGINAL]),"CONCLUÍDA")</f>
        <v>ETO-RD-PS 00327/2026</v>
      </c>
      <c r="G98" s="4" t="s">
        <v>451</v>
      </c>
      <c r="I98" s="4" t="s">
        <v>694</v>
      </c>
      <c r="J98" s="29"/>
      <c r="K98" s="31"/>
      <c r="L98" t="str">
        <f>IFERROR(_xlfn.XLOOKUP(Table[[#This Row],[Ativo]],Pendentes[COD_RELIGADOR],Pendentes[DESCRICAO]),"")</f>
        <v>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v>
      </c>
      <c r="M98" s="5">
        <v>5</v>
      </c>
      <c r="N98" s="5">
        <v>5</v>
      </c>
      <c r="O98" s="5">
        <v>0</v>
      </c>
      <c r="P98" s="5">
        <v>0</v>
      </c>
      <c r="Q98" s="5">
        <v>0</v>
      </c>
      <c r="R98" s="5">
        <v>10</v>
      </c>
      <c r="S98" s="5">
        <v>0</v>
      </c>
      <c r="T98" s="5">
        <v>0</v>
      </c>
      <c r="U98" s="5">
        <f>SUM(Table[[#This Row],[Premissa 1]:[Premissa 8]])</f>
        <v>20</v>
      </c>
      <c r="V98" s="5" t="s">
        <v>15</v>
      </c>
      <c r="W98" t="s">
        <v>350</v>
      </c>
    </row>
    <row r="99" spans="1:23" ht="15" customHeight="1">
      <c r="A99" s="4">
        <v>7926442035</v>
      </c>
      <c r="B99" s="5" t="str">
        <f>MID(Table[[#This Row],[Ativo]],1,2)</f>
        <v>79</v>
      </c>
      <c r="C99" s="5" t="s">
        <v>234</v>
      </c>
      <c r="D99" s="5" t="s">
        <v>108</v>
      </c>
      <c r="E99" s="5" t="s">
        <v>42</v>
      </c>
      <c r="F99" s="4" t="str">
        <f>IFERROR(_xlfn.XLOOKUP(Table[[#This Row],[Ativo]],Pendentes[COD_RELIGADOR],Pendentes[SS_ORIGINAL]),"CONCLUÍDA")</f>
        <v>ETO-COEP 00051/2026</v>
      </c>
      <c r="G99" s="4" t="s">
        <v>451</v>
      </c>
      <c r="H99" s="4" t="s">
        <v>717</v>
      </c>
      <c r="I99" s="4" t="s">
        <v>694</v>
      </c>
      <c r="J99" s="29" t="s">
        <v>719</v>
      </c>
      <c r="K99" s="31">
        <v>1</v>
      </c>
      <c r="L99" t="str">
        <f>IFERROR(_xlfn.XLOOKUP(Table[[#This Row],[Ativo]],Pendentes[COD_RELIGADOR],Pendentes[DESCRICAO]),"")</f>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v>
      </c>
      <c r="M99" s="5">
        <v>5</v>
      </c>
      <c r="N99" s="5">
        <v>5</v>
      </c>
      <c r="O99" s="5">
        <v>0</v>
      </c>
      <c r="P99" s="5">
        <v>0</v>
      </c>
      <c r="Q99" s="5">
        <v>0</v>
      </c>
      <c r="R99" s="5">
        <v>0</v>
      </c>
      <c r="S99" s="5">
        <v>10</v>
      </c>
      <c r="T99" s="5">
        <v>0</v>
      </c>
      <c r="U99" s="5">
        <f>SUM(Table[[#This Row],[Premissa 1]:[Premissa 8]])</f>
        <v>20</v>
      </c>
      <c r="V99" s="5" t="s">
        <v>15</v>
      </c>
      <c r="W99" t="s">
        <v>353</v>
      </c>
    </row>
    <row r="100" spans="1:23" ht="15" customHeight="1">
      <c r="A100" s="4">
        <v>7954668084</v>
      </c>
      <c r="B100" s="5" t="str">
        <f>MID(Table[[#This Row],[Ativo]],1,2)</f>
        <v>79</v>
      </c>
      <c r="C100" s="5" t="s">
        <v>210</v>
      </c>
      <c r="D100" s="5" t="s">
        <v>210</v>
      </c>
      <c r="E100" s="5" t="s">
        <v>42</v>
      </c>
      <c r="F100" s="4" t="str">
        <f>IFERROR(_xlfn.XLOOKUP(Table[[#This Row],[Ativo]],Pendentes[COD_RELIGADOR],Pendentes[SS_ORIGINAL]),"CONCLUÍDA")</f>
        <v>CONCLUÍDA</v>
      </c>
      <c r="I100" s="4" t="s">
        <v>438</v>
      </c>
      <c r="J100" s="29"/>
      <c r="K100" s="31"/>
      <c r="L100" t="str">
        <f>IFERROR(_xlfn.XLOOKUP(Table[[#This Row],[Ativo]],Pendentes[COD_RELIGADOR],Pendentes[DESCRICAO]),"")</f>
        <v/>
      </c>
      <c r="M100" s="5">
        <v>5</v>
      </c>
      <c r="N100" s="5">
        <v>5</v>
      </c>
      <c r="O100" s="5">
        <v>0</v>
      </c>
      <c r="P100" s="5">
        <v>0</v>
      </c>
      <c r="Q100" s="5">
        <v>0</v>
      </c>
      <c r="R100" s="5">
        <v>0</v>
      </c>
      <c r="S100" s="5">
        <v>10</v>
      </c>
      <c r="T100" s="5">
        <v>0</v>
      </c>
      <c r="U100" s="5">
        <f>SUM(Table[[#This Row],[Premissa 1]:[Premissa 8]])</f>
        <v>20</v>
      </c>
      <c r="V100" s="5" t="s">
        <v>15</v>
      </c>
      <c r="W100" t="s">
        <v>554</v>
      </c>
    </row>
    <row r="101" spans="1:23" ht="15" customHeight="1">
      <c r="A101" s="4">
        <v>7938137007</v>
      </c>
      <c r="B101" s="5" t="str">
        <f>MID(Table[[#This Row],[Ativo]],1,2)</f>
        <v>79</v>
      </c>
      <c r="C101" s="5" t="s">
        <v>186</v>
      </c>
      <c r="D101" s="5" t="s">
        <v>186</v>
      </c>
      <c r="E101" s="5" t="s">
        <v>42</v>
      </c>
      <c r="F101" s="4" t="str">
        <f>IFERROR(_xlfn.XLOOKUP(Table[[#This Row],[Ativo]],Pendentes[COD_RELIGADOR],Pendentes[SS_ORIGINAL]),"CONCLUÍDA")</f>
        <v>ETO-COEP 00144/2026</v>
      </c>
      <c r="G101" s="5" t="s">
        <v>451</v>
      </c>
      <c r="I101" s="4" t="s">
        <v>694</v>
      </c>
      <c r="J101" s="29" t="s">
        <v>727</v>
      </c>
      <c r="K101" s="31">
        <v>1</v>
      </c>
      <c r="L101" t="str">
        <f>IFERROR(_xlfn.XLOOKUP(Table[[#This Row],[Ativo]],Pendentes[COD_RELIGADOR],Pendentes[DESCRICAO]),"")</f>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v>
      </c>
      <c r="M101" s="5">
        <v>5</v>
      </c>
      <c r="N101" s="5">
        <v>5</v>
      </c>
      <c r="O101" s="5">
        <v>5</v>
      </c>
      <c r="P101" s="5">
        <v>0</v>
      </c>
      <c r="Q101" s="5">
        <v>0</v>
      </c>
      <c r="R101" s="5">
        <v>0</v>
      </c>
      <c r="S101" s="5">
        <v>0</v>
      </c>
      <c r="T101" s="5">
        <v>0</v>
      </c>
      <c r="U101" s="5">
        <f>SUM(Table[[#This Row],[Premissa 1]:[Premissa 8]])</f>
        <v>15</v>
      </c>
      <c r="V101" s="5" t="s">
        <v>15</v>
      </c>
      <c r="W101" t="s">
        <v>356</v>
      </c>
    </row>
    <row r="102" spans="1:23" ht="15" customHeight="1">
      <c r="A102" s="12">
        <v>5856156091</v>
      </c>
      <c r="B102" s="5" t="str">
        <f>MID(Table[[#This Row],[Ativo]],1,2)</f>
        <v>58</v>
      </c>
      <c r="C102" s="5" t="s">
        <v>74</v>
      </c>
      <c r="D102" s="5" t="s">
        <v>75</v>
      </c>
      <c r="E102" s="5" t="s">
        <v>76</v>
      </c>
      <c r="F102" s="4" t="str">
        <f>IFERROR(_xlfn.XLOOKUP(Table[[#This Row],[Ativo]],Pendentes[COD_RELIGADOR],Pendentes[SS_ORIGINAL]),"CONCLUÍDA")</f>
        <v>ETO-RD-DP 00403/2026</v>
      </c>
      <c r="G102" s="5" t="s">
        <v>451</v>
      </c>
      <c r="H102" s="4" t="s">
        <v>705</v>
      </c>
      <c r="I102" s="4" t="s">
        <v>694</v>
      </c>
      <c r="J102" s="29" t="s">
        <v>462</v>
      </c>
      <c r="K102" s="31">
        <v>3</v>
      </c>
      <c r="L102" t="str">
        <f>IFERROR(_xlfn.XLOOKUP(Table[[#This Row],[Ativo]],Pendentes[COD_RELIGADOR],Pendentes[DESCRICAO]),"")</f>
        <v>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v>
      </c>
      <c r="M102" s="5">
        <v>0</v>
      </c>
      <c r="N102" s="5">
        <v>0</v>
      </c>
      <c r="O102" s="5">
        <v>0</v>
      </c>
      <c r="P102" s="5">
        <v>0</v>
      </c>
      <c r="Q102" s="5">
        <v>0</v>
      </c>
      <c r="R102" s="5" t="s">
        <v>45</v>
      </c>
      <c r="S102" s="5" t="s">
        <v>45</v>
      </c>
      <c r="T102" s="5" t="s">
        <v>45</v>
      </c>
      <c r="U102" s="5">
        <f>SUM(Table[[#This Row],[Premissa 1]:[Premissa 8]])</f>
        <v>0</v>
      </c>
      <c r="V102" s="5" t="s">
        <v>15</v>
      </c>
      <c r="W102" t="s">
        <v>359</v>
      </c>
    </row>
    <row r="103" spans="1:23" ht="15" customHeight="1">
      <c r="A103" s="12">
        <v>5858783119</v>
      </c>
      <c r="B103" s="5" t="str">
        <f>MID(Table[[#This Row],[Ativo]],1,2)</f>
        <v>58</v>
      </c>
      <c r="C103" s="5" t="s">
        <v>361</v>
      </c>
      <c r="D103" s="5" t="s">
        <v>223</v>
      </c>
      <c r="E103" s="5" t="s">
        <v>51</v>
      </c>
      <c r="F103" s="4" t="str">
        <f>IFERROR(_xlfn.XLOOKUP(Table[[#This Row],[Ativo]],Pendentes[COD_RELIGADOR],Pendentes[SS_ORIGINAL]),"CONCLUÍDA")</f>
        <v>ETO-TELE 01032/2026</v>
      </c>
      <c r="G103" s="4" t="s">
        <v>576</v>
      </c>
      <c r="I103" s="4" t="s">
        <v>694</v>
      </c>
      <c r="J103" s="29"/>
      <c r="K103" s="31"/>
      <c r="L103" t="str">
        <f>IFERROR(_xlfn.XLOOKUP(Table[[#This Row],[Ativo]],Pendentes[COD_RELIGADOR],Pendentes[DESCRICAO]),"")</f>
        <v>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v>
      </c>
      <c r="M103" s="5">
        <v>0</v>
      </c>
      <c r="N103" s="5">
        <v>0</v>
      </c>
      <c r="O103" s="5">
        <v>0</v>
      </c>
      <c r="P103" s="5">
        <v>0</v>
      </c>
      <c r="Q103" s="5">
        <v>0</v>
      </c>
      <c r="R103" s="5" t="s">
        <v>45</v>
      </c>
      <c r="S103" s="5" t="s">
        <v>45</v>
      </c>
      <c r="T103" s="5" t="s">
        <v>45</v>
      </c>
      <c r="U103" s="5">
        <f>SUM(Table[[#This Row],[Premissa 1]:[Premissa 8]])</f>
        <v>0</v>
      </c>
      <c r="V103" s="5" t="s">
        <v>15</v>
      </c>
      <c r="W103" t="s">
        <v>706</v>
      </c>
    </row>
    <row r="104" spans="1:23" s="46" customFormat="1" ht="15" customHeight="1">
      <c r="A104" s="12">
        <v>7900532053</v>
      </c>
      <c r="B104" s="43" t="str">
        <f>MID(Table[[#This Row],[Ativo]],1,2)</f>
        <v>79</v>
      </c>
      <c r="C104" s="43" t="s">
        <v>560</v>
      </c>
      <c r="D104" s="43" t="s">
        <v>223</v>
      </c>
      <c r="E104" s="43" t="s">
        <v>51</v>
      </c>
      <c r="F104" s="12" t="str">
        <f>IFERROR(_xlfn.XLOOKUP(Table[[#This Row],[Ativo]],Pendentes[COD_RELIGADOR],Pendentes[SS_ORIGINAL]),"CONCLUÍDA")</f>
        <v>CONCLUÍDA</v>
      </c>
      <c r="G104" s="12" t="s">
        <v>561</v>
      </c>
      <c r="H104" s="12"/>
      <c r="I104" s="12"/>
      <c r="J104" s="44" t="s">
        <v>453</v>
      </c>
      <c r="K104" s="45"/>
      <c r="L104" s="46" t="str">
        <f>IFERROR(_xlfn.XLOOKUP(Table[[#This Row],[Ativo]],Pendentes[COD_RELIGADOR],Pendentes[DESCRICAO]),"")</f>
        <v/>
      </c>
      <c r="M104" s="43">
        <v>0</v>
      </c>
      <c r="N104" s="43">
        <v>0</v>
      </c>
      <c r="O104" s="43">
        <v>0</v>
      </c>
      <c r="P104" s="43">
        <v>0</v>
      </c>
      <c r="Q104" s="43">
        <v>0</v>
      </c>
      <c r="R104" s="43">
        <v>0</v>
      </c>
      <c r="S104" s="43">
        <v>0</v>
      </c>
      <c r="T104" s="43">
        <v>0</v>
      </c>
      <c r="U104" s="43">
        <f>SUM(Table[[#This Row],[Premissa 1]:[Premissa 8]])</f>
        <v>0</v>
      </c>
      <c r="V104" s="43" t="s">
        <v>15</v>
      </c>
      <c r="W104" s="46" t="s">
        <v>562</v>
      </c>
    </row>
    <row r="105" spans="1:23" ht="15" customHeight="1">
      <c r="A105" s="4">
        <v>7925713040</v>
      </c>
      <c r="B105" s="5" t="str">
        <f>MID(Table[[#This Row],[Ativo]],1,2)</f>
        <v>79</v>
      </c>
      <c r="C105" s="5" t="s">
        <v>492</v>
      </c>
      <c r="D105" s="5" t="s">
        <v>57</v>
      </c>
      <c r="E105" s="5" t="s">
        <v>51</v>
      </c>
      <c r="F105" s="4" t="str">
        <f>IFERROR(_xlfn.XLOOKUP(Table[[#This Row],[Ativo]],Pendentes[COD_RELIGADOR],Pendentes[SS_ORIGINAL]),"CONCLUÍDA")</f>
        <v>CONCLUÍDA</v>
      </c>
      <c r="J105" s="29"/>
      <c r="K105" s="31"/>
      <c r="L105" t="str">
        <f>IFERROR(_xlfn.XLOOKUP(Table[[#This Row],[Ativo]],Pendentes[COD_RELIGADOR],Pendentes[DESCRICAO]),"")</f>
        <v/>
      </c>
      <c r="M105" s="5" t="s">
        <v>696</v>
      </c>
      <c r="N105" s="5"/>
      <c r="O105" s="5"/>
      <c r="P105" s="5"/>
      <c r="Q105" s="5"/>
      <c r="R105" s="5"/>
      <c r="S105" s="5"/>
      <c r="T105" s="5"/>
      <c r="U105" s="5">
        <f>SUM(Table[[#This Row],[Premissa 1]:[Premissa 8]])</f>
        <v>0</v>
      </c>
      <c r="V105" s="5"/>
    </row>
    <row r="106" spans="1:23" ht="15" customHeight="1">
      <c r="A106" s="4">
        <v>7948412064</v>
      </c>
      <c r="B106" s="5" t="str">
        <f>MID(Table[[#This Row],[Ativo]],1,2)</f>
        <v>79</v>
      </c>
      <c r="C106" s="5" t="s">
        <v>563</v>
      </c>
      <c r="D106" s="5" t="s">
        <v>50</v>
      </c>
      <c r="E106" s="5" t="s">
        <v>51</v>
      </c>
      <c r="F106" s="4" t="str">
        <f>IFERROR(_xlfn.XLOOKUP(Table[[#This Row],[Ativo]],Pendentes[COD_RELIGADOR],Pendentes[SS_ORIGINAL]),"CONCLUÍDA")</f>
        <v>CONCLUÍDA</v>
      </c>
      <c r="J106" s="29"/>
      <c r="K106" s="31"/>
      <c r="L106" t="str">
        <f>IFERROR(_xlfn.XLOOKUP(Table[[#This Row],[Ativo]],Pendentes[COD_RELIGADOR],Pendentes[DESCRICAO]),"")</f>
        <v/>
      </c>
      <c r="M106" s="5" t="s">
        <v>696</v>
      </c>
      <c r="N106" s="5"/>
      <c r="O106" s="5"/>
      <c r="P106" s="5"/>
      <c r="Q106" s="5"/>
      <c r="R106" s="5"/>
      <c r="S106" s="5"/>
      <c r="T106" s="5"/>
      <c r="U106" s="5">
        <f>SUM(Table[[#This Row],[Premissa 1]:[Premissa 8]])</f>
        <v>0</v>
      </c>
      <c r="V106" s="5"/>
    </row>
    <row r="107" spans="1:23" ht="15" customHeight="1">
      <c r="A107" s="39">
        <v>7955832052</v>
      </c>
      <c r="B107" s="5" t="str">
        <f>MID(Table[[#This Row],[Ativo]],1,2)</f>
        <v>79</v>
      </c>
      <c r="C107" s="5" t="s">
        <v>192</v>
      </c>
      <c r="D107" s="5" t="s">
        <v>192</v>
      </c>
      <c r="E107" s="5" t="s">
        <v>76</v>
      </c>
      <c r="F107" s="4" t="str">
        <f>IFERROR(_xlfn.XLOOKUP(Table[[#This Row],[Ativo]],Pendentes[COD_RELIGADOR],Pendentes[SS_ORIGINAL]),"CONCLUÍDA")</f>
        <v>ETO-TELE 00982/2026</v>
      </c>
      <c r="J107" s="29"/>
      <c r="K107" s="31"/>
      <c r="L107" t="str">
        <f>IFERROR(_xlfn.XLOOKUP(Table[[#This Row],[Ativo]],Pendentes[COD_RELIGADOR],Pendentes[DESCRICAO]),"")</f>
        <v>SEGUE SOLICITAÇÃO DE SERVIÇO PARA REALIZAR VERIFICAÇÃO DO RL 7955832052 EQUIPAMENTO DE INTEELIGAÇÃO O MESMO ESTA SEM COMUNICAÇÃO ...FOI REALIZADO PRIMEIRO ATAQUE COM EQUIPE SINERGIA DE FORMOSO EO EQUIPAMENTO NÃO VOLTOU</v>
      </c>
      <c r="M107" s="5" t="s">
        <v>696</v>
      </c>
      <c r="N107" s="5"/>
      <c r="O107" s="5"/>
      <c r="P107" s="5"/>
      <c r="Q107" s="5"/>
      <c r="R107" s="5"/>
      <c r="S107" s="5"/>
      <c r="T107" s="5"/>
      <c r="U107" s="5">
        <f>SUM(Table[[#This Row],[Premissa 1]:[Premissa 8]])</f>
        <v>0</v>
      </c>
      <c r="V107" s="5"/>
    </row>
    <row r="108" spans="1:23" ht="15" customHeight="1">
      <c r="A108" s="4">
        <v>7930359149</v>
      </c>
      <c r="B108" s="5" t="str">
        <f>MID(Table[[#This Row],[Ativo]],1,2)</f>
        <v>79</v>
      </c>
      <c r="C108" s="5" t="s">
        <v>257</v>
      </c>
      <c r="D108" s="5" t="s">
        <v>210</v>
      </c>
      <c r="E108" s="5" t="s">
        <v>42</v>
      </c>
      <c r="F108" s="4" t="str">
        <f>IFERROR(_xlfn.XLOOKUP(Table[[#This Row],[Ativo]],Pendentes[COD_RELIGADOR],Pendentes[SS_ORIGINAL]),"CONCLUÍDA")</f>
        <v>ETO-COEP 00138/2026</v>
      </c>
      <c r="J108" s="29"/>
      <c r="K108" s="31"/>
      <c r="L108" t="str">
        <f>IFERROR(_xlfn.XLOOKUP(Table[[#This Row],[Ativo]],Pendentes[COD_RELIGADOR],Pendentes[DESCRICAO]),"")</f>
        <v>PARECER DMSL 07/07/2026: equipamento tem que ser subistuido pois não faz comando, parte ativa com defeito FEITO O PRIMEIRO ATAQUE NO RELIGADOR 7930359149 E MESMO NÃO ACEITA COMANDO NEM LOCAL E NEM REMOTO SEGUNDO EQUIPE 149OP02 E PLACA DO RL ESTA CARBONIZADA COM SINAL DE CURTO.</v>
      </c>
      <c r="M108" s="5" t="s">
        <v>696</v>
      </c>
      <c r="N108" s="5"/>
      <c r="O108" s="5"/>
      <c r="P108" s="5"/>
      <c r="Q108" s="5"/>
      <c r="R108" s="5"/>
      <c r="S108" s="5"/>
      <c r="T108" s="5"/>
      <c r="U108" s="5">
        <f>SUM(Table[[#This Row],[Premissa 1]:[Premissa 8]])</f>
        <v>0</v>
      </c>
      <c r="V108" s="5"/>
    </row>
    <row r="109" spans="1:23" ht="15" customHeight="1">
      <c r="A109" s="39">
        <v>7902098003</v>
      </c>
      <c r="B109" s="5" t="str">
        <f>MID(Table[[#This Row],[Ativo]],1,2)</f>
        <v>79</v>
      </c>
      <c r="C109" s="5" t="s">
        <v>336</v>
      </c>
      <c r="D109" s="5" t="s">
        <v>336</v>
      </c>
      <c r="E109" s="5" t="s">
        <v>76</v>
      </c>
      <c r="F109" s="4" t="str">
        <f>IFERROR(_xlfn.XLOOKUP(Table[[#This Row],[Ativo]],Pendentes[COD_RELIGADOR],Pendentes[SS_ORIGINAL]),"CONCLUÍDA")</f>
        <v>ETO-TELE 00932/2026</v>
      </c>
      <c r="J109" s="29"/>
      <c r="K109" s="31"/>
      <c r="L109" t="str">
        <f>IFERROR(_xlfn.XLOOKUP(Table[[#This Row],[Ativo]],Pendentes[COD_RELIGADOR],Pendentes[DESCRICAO]),"")</f>
        <v>Segue SS de religador 7902098003 sem comunicação. Foi realizado o primeiro ataque porem o mesmo não retornou a comunicação.</v>
      </c>
      <c r="M109" s="5" t="s">
        <v>696</v>
      </c>
      <c r="N109" s="5"/>
      <c r="O109" s="5"/>
      <c r="P109" s="5"/>
      <c r="Q109" s="5"/>
      <c r="R109" s="5"/>
      <c r="S109" s="5"/>
      <c r="T109" s="5"/>
      <c r="U109" s="5">
        <f>SUM(Table[[#This Row],[Premissa 1]:[Premissa 8]])</f>
        <v>0</v>
      </c>
      <c r="V109" s="5"/>
    </row>
    <row r="110" spans="1:23" ht="15" customHeight="1">
      <c r="A110" s="4">
        <v>7953211079</v>
      </c>
      <c r="B110" s="5" t="str">
        <f>MID(Table[[#This Row],[Ativo]],1,2)</f>
        <v>79</v>
      </c>
      <c r="C110" s="5" t="s">
        <v>376</v>
      </c>
      <c r="D110" s="5" t="s">
        <v>50</v>
      </c>
      <c r="E110" s="5" t="s">
        <v>51</v>
      </c>
      <c r="F110" s="4" t="str">
        <f>IFERROR(_xlfn.XLOOKUP(Table[[#This Row],[Ativo]],Pendentes[COD_RELIGADOR],Pendentes[SS_ORIGINAL]),"CONCLUÍDA")</f>
        <v>ETO-COEP 00147/2026</v>
      </c>
      <c r="J110" s="29"/>
      <c r="K110" s="31"/>
      <c r="L110" t="str">
        <f>IFERROR(_xlfn.XLOOKUP(Table[[#This Row],[Ativo]],Pendentes[COD_RELIGADOR],Pendentes[DESCRICAO]),"")</f>
        <v>20/07 PARECER COEP: EQUIPAMENTO SELECIONADO PARA COMPRASegue nota para substituir relé religador avariado marca noja , equipamento N: 7953211079 - Itapiratins .Obs: informação repassado pelo técnico DMSL Bruno .</v>
      </c>
      <c r="M110" s="5" t="s">
        <v>696</v>
      </c>
      <c r="N110" s="5"/>
      <c r="O110" s="5"/>
      <c r="P110" s="5"/>
      <c r="Q110" s="5"/>
      <c r="R110" s="5"/>
      <c r="S110" s="5"/>
      <c r="T110" s="5"/>
      <c r="U110" s="5">
        <f>SUM(Table[[#This Row],[Premissa 1]:[Premissa 8]])</f>
        <v>0</v>
      </c>
      <c r="V110" s="5"/>
    </row>
    <row r="111" spans="1:23" ht="15" customHeight="1">
      <c r="A111" s="4">
        <v>7949648145</v>
      </c>
      <c r="B111" s="5" t="str">
        <f>MID(Table[[#This Row],[Ativo]],1,2)</f>
        <v>79</v>
      </c>
      <c r="C111" s="5" t="s">
        <v>380</v>
      </c>
      <c r="D111" s="5" t="s">
        <v>132</v>
      </c>
      <c r="E111" s="5" t="s">
        <v>51</v>
      </c>
      <c r="F111" s="4" t="str">
        <f>IFERROR(_xlfn.XLOOKUP(Table[[#This Row],[Ativo]],Pendentes[COD_RELIGADOR],Pendentes[SS_ORIGINAL]),"CONCLUÍDA")</f>
        <v>ETO-TELE 00929/2026</v>
      </c>
      <c r="J111" s="29"/>
      <c r="K111" s="31"/>
      <c r="L111" t="str">
        <f>IFERROR(_xlfn.XLOOKUP(Table[[#This Row],[Ativo]],Pendentes[COD_RELIGADOR],Pendentes[DESCRICAO]),"")</f>
        <v>FEITO PRIMEIRO ATAQUE COM A EQUIPE LOCAL E NÃO VOLTOU A COMUNICAR. PROVIDENCIAR MANUTENÇÃO PARA O MESMO.</v>
      </c>
      <c r="M111" s="5" t="s">
        <v>696</v>
      </c>
      <c r="N111" s="5"/>
      <c r="O111" s="5"/>
      <c r="P111" s="5"/>
      <c r="Q111" s="5"/>
      <c r="R111" s="5"/>
      <c r="S111" s="5"/>
      <c r="T111" s="5"/>
      <c r="U111" s="5">
        <f>SUM(Table[[#This Row],[Premissa 1]:[Premissa 8]])</f>
        <v>0</v>
      </c>
      <c r="V111" s="5"/>
    </row>
    <row r="112" spans="1:23" ht="15" customHeight="1">
      <c r="A112" s="39">
        <v>7957021094</v>
      </c>
      <c r="B112" s="5" t="str">
        <f>MID(Table[[#This Row],[Ativo]],1,2)</f>
        <v>79</v>
      </c>
      <c r="C112" s="5" t="s">
        <v>177</v>
      </c>
      <c r="D112" s="5" t="s">
        <v>177</v>
      </c>
      <c r="E112" s="5" t="s">
        <v>76</v>
      </c>
      <c r="F112" s="4" t="str">
        <f>IFERROR(_xlfn.XLOOKUP(Table[[#This Row],[Ativo]],Pendentes[COD_RELIGADOR],Pendentes[SS_ORIGINAL]),"CONCLUÍDA")</f>
        <v>CONCLUÍDA</v>
      </c>
      <c r="J112" s="29"/>
      <c r="K112" s="31"/>
      <c r="L112" t="str">
        <f>IFERROR(_xlfn.XLOOKUP(Table[[#This Row],[Ativo]],Pendentes[COD_RELIGADOR],Pendentes[DESCRICAO]),"")</f>
        <v/>
      </c>
      <c r="M112" s="5" t="s">
        <v>696</v>
      </c>
      <c r="N112" s="5"/>
      <c r="O112" s="5"/>
      <c r="P112" s="5"/>
      <c r="Q112" s="5"/>
      <c r="R112" s="5"/>
      <c r="S112" s="5"/>
      <c r="T112" s="5"/>
      <c r="U112" s="5">
        <f>SUM(Table[[#This Row],[Premissa 1]:[Premissa 8]])</f>
        <v>0</v>
      </c>
      <c r="V112" s="5"/>
    </row>
    <row r="113" spans="1:22" ht="15" customHeight="1">
      <c r="A113" s="4">
        <v>7908300096</v>
      </c>
      <c r="B113" s="5" t="str">
        <f>MID(Table[[#This Row],[Ativo]],1,2)</f>
        <v>79</v>
      </c>
      <c r="C113" s="5" t="s">
        <v>316</v>
      </c>
      <c r="D113" s="5" t="s">
        <v>108</v>
      </c>
      <c r="E113" s="5" t="s">
        <v>42</v>
      </c>
      <c r="F113" s="4" t="str">
        <f>IFERROR(_xlfn.XLOOKUP(Table[[#This Row],[Ativo]],Pendentes[COD_RELIGADOR],Pendentes[SS_ORIGINAL]),"CONCLUÍDA")</f>
        <v>ETO-TELE 00938/2026</v>
      </c>
      <c r="J113" s="29"/>
      <c r="K113" s="31"/>
      <c r="L113" t="str">
        <f>IFERROR(_xlfn.XLOOKUP(Table[[#This Row],[Ativo]],Pendentes[COD_RELIGADOR],Pendentes[DESCRICAO]),"")</f>
        <v>Segue nota para verificar falha intermitência na comunicação RL 7908300096 RDU- Pindorama .</v>
      </c>
      <c r="M113" s="5" t="s">
        <v>696</v>
      </c>
      <c r="N113" s="5"/>
      <c r="O113" s="5"/>
      <c r="P113" s="5"/>
      <c r="Q113" s="5"/>
      <c r="R113" s="5"/>
      <c r="S113" s="5"/>
      <c r="T113" s="5"/>
      <c r="U113" s="5">
        <f>SUM(Table[[#This Row],[Premissa 1]:[Premissa 8]])</f>
        <v>0</v>
      </c>
      <c r="V113" s="5"/>
    </row>
    <row r="114" spans="1:22" ht="15" customHeight="1">
      <c r="A114" s="4">
        <v>7953570026</v>
      </c>
      <c r="B114" s="5" t="str">
        <f>MID(Table[[#This Row],[Ativo]],1,2)</f>
        <v>79</v>
      </c>
      <c r="C114" s="5" t="s">
        <v>108</v>
      </c>
      <c r="D114" s="5" t="s">
        <v>108</v>
      </c>
      <c r="E114" s="5" t="s">
        <v>42</v>
      </c>
      <c r="F114" s="4" t="str">
        <f>IFERROR(_xlfn.XLOOKUP(Table[[#This Row],[Ativo]],Pendentes[COD_RELIGADOR],Pendentes[SS_ORIGINAL]),"CONCLUÍDA")</f>
        <v>ETO-TELE 00892/2026</v>
      </c>
      <c r="J114" s="29"/>
      <c r="K114" s="31"/>
      <c r="L114" t="str">
        <f>IFERROR(_xlfn.XLOOKUP(Table[[#This Row],[Ativo]],Pendentes[COD_RELIGADOR],Pendentes[DESCRICAO]),"")</f>
        <v>Segue RL 7953570026 O MESMO FOI FEITO PRIMEIRO ATAQUE, painel do religador acendeu porem não voltou a comunicação junto ao SCADA, equipe fez teste em comando local, tudo normal porem sem retorno de comunicação, rl na SE DE PONTE ALTA</v>
      </c>
      <c r="M114" s="5" t="s">
        <v>696</v>
      </c>
      <c r="N114" s="5"/>
      <c r="O114" s="5"/>
      <c r="P114" s="5"/>
      <c r="Q114" s="5"/>
      <c r="R114" s="5"/>
      <c r="S114" s="5"/>
      <c r="T114" s="5"/>
      <c r="U114" s="5">
        <f>SUM(Table[[#This Row],[Premissa 1]:[Premissa 8]])</f>
        <v>0</v>
      </c>
      <c r="V114" s="5"/>
    </row>
    <row r="115" spans="1:22" ht="15" customHeight="1">
      <c r="A115" s="4">
        <v>7911120026</v>
      </c>
      <c r="B115" s="5" t="str">
        <f>MID(Table[[#This Row],[Ativo]],1,2)</f>
        <v>79</v>
      </c>
      <c r="C115" s="5" t="s">
        <v>108</v>
      </c>
      <c r="D115" s="5" t="s">
        <v>108</v>
      </c>
      <c r="E115" s="5" t="s">
        <v>42</v>
      </c>
      <c r="F115" s="4" t="str">
        <f>IFERROR(_xlfn.XLOOKUP(Table[[#This Row],[Ativo]],Pendentes[COD_RELIGADOR],Pendentes[SS_ORIGINAL]),"CONCLUÍDA")</f>
        <v>DG-RD-PO 00444/2026</v>
      </c>
      <c r="G115" s="4" t="s">
        <v>716</v>
      </c>
      <c r="H115" s="4" t="s">
        <v>497</v>
      </c>
      <c r="J115" s="29"/>
      <c r="K115" s="31"/>
      <c r="L115" t="str">
        <f>IFERROR(_xlfn.XLOOKUP(Table[[#This Row],[Ativo]],Pendentes[COD_RELIGADOR],Pendentes[DESCRICAO]),"")</f>
        <v>Segue nota para recuperar malha de aterramento no RL 7911120026 RDU- Ponte Alta .OBS: Provavelmente foi furtado cabos de aterramento   .</v>
      </c>
      <c r="M115" s="5" t="s">
        <v>696</v>
      </c>
      <c r="N115" s="5"/>
      <c r="O115" s="5"/>
      <c r="P115" s="5"/>
      <c r="Q115" s="5"/>
      <c r="R115" s="5"/>
      <c r="S115" s="5"/>
      <c r="T115" s="5"/>
      <c r="U115" s="5">
        <f>SUM(Table[[#This Row],[Premissa 1]:[Premissa 8]])</f>
        <v>0</v>
      </c>
      <c r="V115" s="5"/>
    </row>
    <row r="116" spans="1:22" ht="15" customHeight="1">
      <c r="A116" s="39">
        <v>5820790038</v>
      </c>
      <c r="B116" s="5" t="str">
        <f>MID(Table[[#This Row],[Ativo]],1,2)</f>
        <v>58</v>
      </c>
      <c r="C116" s="5" t="s">
        <v>564</v>
      </c>
      <c r="D116" s="5" t="s">
        <v>75</v>
      </c>
      <c r="E116" s="5" t="s">
        <v>76</v>
      </c>
      <c r="F116" s="4" t="str">
        <f>IFERROR(_xlfn.XLOOKUP(Table[[#This Row],[Ativo]],Pendentes[COD_RELIGADOR],Pendentes[SS_ORIGINAL]),"CONCLUÍDA")</f>
        <v>CONCLUÍDA</v>
      </c>
      <c r="J116" s="29"/>
      <c r="K116" s="31"/>
      <c r="L116" t="str">
        <f>IFERROR(_xlfn.XLOOKUP(Table[[#This Row],[Ativo]],Pendentes[COD_RELIGADOR],Pendentes[DESCRICAO]),"")</f>
        <v/>
      </c>
      <c r="M116" s="5" t="s">
        <v>696</v>
      </c>
      <c r="N116" s="5"/>
      <c r="O116" s="5"/>
      <c r="P116" s="5"/>
      <c r="Q116" s="5"/>
      <c r="R116" s="5"/>
      <c r="S116" s="5"/>
      <c r="T116" s="5"/>
      <c r="U116" s="5">
        <f>SUM(Table[[#This Row],[Premissa 1]:[Premissa 8]])</f>
        <v>0</v>
      </c>
      <c r="V116" s="5"/>
    </row>
    <row r="117" spans="1:22" ht="15" customHeight="1">
      <c r="A117" s="4">
        <v>7934697002</v>
      </c>
      <c r="B117" s="5" t="str">
        <f>MID(Table[[#This Row],[Ativo]],1,2)</f>
        <v>79</v>
      </c>
      <c r="C117" s="5" t="s">
        <v>223</v>
      </c>
      <c r="D117" s="5" t="s">
        <v>223</v>
      </c>
      <c r="E117" s="5" t="s">
        <v>51</v>
      </c>
      <c r="F117" s="4" t="str">
        <f>IFERROR(_xlfn.XLOOKUP(Table[[#This Row],[Ativo]],Pendentes[COD_RELIGADOR],Pendentes[SS_ORIGINAL]),"CONCLUÍDA")</f>
        <v>CONCLUÍDA</v>
      </c>
      <c r="J117" s="29"/>
      <c r="K117" s="31"/>
      <c r="L117" t="str">
        <f>IFERROR(_xlfn.XLOOKUP(Table[[#This Row],[Ativo]],Pendentes[COD_RELIGADOR],Pendentes[DESCRICAO]),"")</f>
        <v/>
      </c>
      <c r="M117" s="5" t="s">
        <v>696</v>
      </c>
      <c r="N117" s="5"/>
      <c r="O117" s="5"/>
      <c r="P117" s="5"/>
      <c r="Q117" s="5"/>
      <c r="R117" s="5"/>
      <c r="S117" s="5"/>
      <c r="T117" s="5"/>
      <c r="U117" s="5">
        <f>SUM(Table[[#This Row],[Premissa 1]:[Premissa 8]])</f>
        <v>0</v>
      </c>
      <c r="V117" s="5"/>
    </row>
    <row r="118" spans="1:22" ht="15" customHeight="1">
      <c r="A118" s="4">
        <v>7908716091</v>
      </c>
      <c r="B118" s="5" t="str">
        <f>MID(Table[[#This Row],[Ativo]],1,2)</f>
        <v>79</v>
      </c>
      <c r="F118" s="4" t="str">
        <f>IFERROR(_xlfn.XLOOKUP(Table[[#This Row],[Ativo]],Pendentes[COD_RELIGADOR],Pendentes[SS_ORIGINAL]),"CONCLUÍDA")</f>
        <v>ETO-TELE 01019/2026</v>
      </c>
      <c r="G118" s="4" t="s">
        <v>964</v>
      </c>
      <c r="J118" s="29"/>
      <c r="K118" s="31"/>
      <c r="L118" t="str">
        <f>IFERROR(_xlfn.XLOOKUP(Table[[#This Row],[Ativo]],Pendentes[COD_RELIGADOR],Pendentes[DESCRICAO]),"")</f>
        <v>Segue nota para verificar falha de comunicação no religador 7908716091 - Rural -  Almas  .Equipamento perdeu a comunicação quando faltou CA , porém mesmo ao retorna o CA não retornou à comunicação !</v>
      </c>
      <c r="M118" s="5"/>
      <c r="N118" s="5"/>
      <c r="O118" s="5"/>
      <c r="P118" s="5"/>
      <c r="Q118" s="5"/>
      <c r="R118" s="5"/>
      <c r="S118" s="5"/>
      <c r="T118" s="5"/>
      <c r="U118" s="5">
        <f>SUM(Table[[#This Row],[Premissa 1]:[Premissa 8]])</f>
        <v>0</v>
      </c>
      <c r="V118" s="5"/>
    </row>
    <row r="119" spans="1:22" ht="15" customHeight="1">
      <c r="A119" s="4">
        <v>5848305116</v>
      </c>
      <c r="B119" s="5" t="str">
        <f>MID(Table[[#This Row],[Ativo]],1,2)</f>
        <v>58</v>
      </c>
      <c r="F119" s="4" t="str">
        <f>IFERROR(_xlfn.XLOOKUP(Table[[#This Row],[Ativo]],Pendentes[COD_RELIGADOR],Pendentes[SS_ORIGINAL]),"CONCLUÍDA")</f>
        <v>ETO-TELE 01005/2026</v>
      </c>
      <c r="G119" s="4" t="s">
        <v>964</v>
      </c>
      <c r="J119" s="29"/>
      <c r="K119" s="31"/>
      <c r="L119" t="str">
        <f>IFERROR(_xlfn.XLOOKUP(Table[[#This Row],[Ativo]],Pendentes[COD_RELIGADOR],Pendentes[DESCRICAO]),"")</f>
        <v>Segue nota para verificar falha e constantes travamento no regulador de tensão 5848305116 - chapada da Natividade .Foi identificado que regulador está com divergência em TAP"S analógico e digital .Foi executado comandos no relé para comutar TAP na fase AB foi executado no relé , porém não alterou analógico e nem fez barulho algum , a princípio a fase C está normal .</v>
      </c>
      <c r="M119" s="5"/>
      <c r="N119" s="5"/>
      <c r="O119" s="5"/>
      <c r="P119" s="5"/>
      <c r="Q119" s="5"/>
      <c r="R119" s="5"/>
      <c r="S119" s="5"/>
      <c r="T119" s="5"/>
      <c r="U119" s="5">
        <f>SUM(Table[[#This Row],[Premissa 1]:[Premissa 8]])</f>
        <v>0</v>
      </c>
      <c r="V119" s="5"/>
    </row>
    <row r="120" spans="1:22" ht="15" customHeight="1">
      <c r="A120" s="4">
        <v>7961368005</v>
      </c>
      <c r="B120" s="5" t="str">
        <f>MID(Table[[#This Row],[Ativo]],1,2)</f>
        <v>79</v>
      </c>
      <c r="F120" s="4" t="str">
        <f>IFERROR(_xlfn.XLOOKUP(Table[[#This Row],[Ativo]],Pendentes[COD_RELIGADOR],Pendentes[SS_ORIGINAL]),"CONCLUÍDA")</f>
        <v>ETO-TELE 01007/2026</v>
      </c>
      <c r="G120" s="4" t="s">
        <v>964</v>
      </c>
      <c r="J120" s="29"/>
      <c r="K120" s="31"/>
      <c r="L120" t="str">
        <f>IFERROR(_xlfn.XLOOKUP(Table[[#This Row],[Ativo]],Pendentes[COD_RELIGADOR],Pendentes[DESCRICAO]),"")</f>
        <v>Favor verifcar Religador 7961368005 , equipamento sem comunicação , feito primeiro ataque com equipe operacional , porem não ouve retorno .</v>
      </c>
      <c r="M120" s="5"/>
      <c r="N120" s="5"/>
      <c r="O120" s="5"/>
      <c r="P120" s="5"/>
      <c r="Q120" s="5"/>
      <c r="R120" s="5"/>
      <c r="S120" s="5"/>
      <c r="T120" s="5"/>
      <c r="U120" s="5">
        <f>SUM(Table[[#This Row],[Premissa 1]:[Premissa 8]])</f>
        <v>0</v>
      </c>
      <c r="V120" s="5"/>
    </row>
    <row r="121" spans="1:22" ht="15" customHeight="1">
      <c r="A121" s="4">
        <v>7929663074</v>
      </c>
      <c r="B121" s="5" t="str">
        <f>MID(Table[[#This Row],[Ativo]],1,2)</f>
        <v>79</v>
      </c>
      <c r="F121" s="4" t="str">
        <f>IFERROR(_xlfn.XLOOKUP(Table[[#This Row],[Ativo]],Pendentes[COD_RELIGADOR],Pendentes[SS_ORIGINAL]),"CONCLUÍDA")</f>
        <v>ETO-TELE 01026/2026</v>
      </c>
      <c r="G121" s="4" t="s">
        <v>964</v>
      </c>
      <c r="J121" s="29"/>
      <c r="K121" s="31"/>
      <c r="L121" t="str">
        <f>IFERROR(_xlfn.XLOOKUP(Table[[#This Row],[Ativo]],Pendentes[COD_RELIGADOR],Pendentes[DESCRICAO]),"")</f>
        <v>Segue nota para verificar falha de comunicação no religador 7929663074  rural - Dianópolis  .Equipamento perde a comunicação quando falta CA !</v>
      </c>
      <c r="M121" s="5"/>
      <c r="N121" s="5"/>
      <c r="O121" s="5"/>
      <c r="P121" s="5"/>
      <c r="Q121" s="5"/>
      <c r="R121" s="5"/>
      <c r="S121" s="5"/>
      <c r="T121" s="5"/>
      <c r="U121" s="5">
        <f>SUM(Table[[#This Row],[Premissa 1]:[Premissa 8]])</f>
        <v>0</v>
      </c>
      <c r="V121" s="5"/>
    </row>
    <row r="122" spans="1:22" ht="15" customHeight="1">
      <c r="A122" s="4">
        <v>7900722193</v>
      </c>
      <c r="B122" s="5" t="str">
        <f>MID(Table[[#This Row],[Ativo]],1,2)</f>
        <v>79</v>
      </c>
      <c r="F122" s="4" t="str">
        <f>IFERROR(_xlfn.XLOOKUP(Table[[#This Row],[Ativo]],Pendentes[COD_RELIGADOR],Pendentes[SS_ORIGINAL]),"CONCLUÍDA")</f>
        <v>ETO-TELE 01029/2026</v>
      </c>
      <c r="G122" s="4" t="s">
        <v>964</v>
      </c>
      <c r="J122" s="29"/>
      <c r="K122" s="31"/>
      <c r="L122" t="str">
        <f>IFERROR(_xlfn.XLOOKUP(Table[[#This Row],[Ativo]],Pendentes[COD_RELIGADOR],Pendentes[DESCRICAO]),"")</f>
        <v>Religador sem comunicação, apos primeiro ataque não retornou a comunicação.</v>
      </c>
      <c r="M122" s="5"/>
      <c r="N122" s="5"/>
      <c r="O122" s="5"/>
      <c r="P122" s="5"/>
      <c r="Q122" s="5"/>
      <c r="R122" s="5"/>
      <c r="S122" s="5"/>
      <c r="T122" s="5"/>
      <c r="U122" s="5">
        <f>SUM(Table[[#This Row],[Premissa 1]:[Premissa 8]])</f>
        <v>0</v>
      </c>
      <c r="V122" s="5"/>
    </row>
    <row r="123" spans="1:22" ht="15" customHeight="1">
      <c r="A123" s="4">
        <v>7955792076</v>
      </c>
      <c r="B123" s="5" t="str">
        <f>MID(Table[[#This Row],[Ativo]],1,2)</f>
        <v>79</v>
      </c>
      <c r="F123" s="4" t="str">
        <f>IFERROR(_xlfn.XLOOKUP(Table[[#This Row],[Ativo]],Pendentes[COD_RELIGADOR],Pendentes[SS_ORIGINAL]),"CONCLUÍDA")</f>
        <v>ETO-TELE 00999/2026</v>
      </c>
      <c r="G123" s="4" t="s">
        <v>964</v>
      </c>
      <c r="J123" s="29"/>
      <c r="K123" s="31"/>
      <c r="L123" t="str">
        <f>IFERROR(_xlfn.XLOOKUP(Table[[#This Row],[Ativo]],Pendentes[COD_RELIGADOR],Pendentes[DESCRICAO]),"")</f>
        <v>RELIGADOR DE POSTE 7955792076 SEM COMUNIÇÃO COM COI ,FEITO PRIMEIRO ATAQUE COM EQUIPE OPERACIONAL O MESMO NÃO RETORNOU A COMUNICAÇÃO ENVIAR EQUIPE ESPECIAL VERIFICAR EM CAMPO</v>
      </c>
      <c r="M123" s="5"/>
      <c r="N123" s="5"/>
      <c r="O123" s="5"/>
      <c r="P123" s="5"/>
      <c r="Q123" s="5"/>
      <c r="R123" s="5"/>
      <c r="S123" s="5"/>
      <c r="T123" s="5"/>
      <c r="U123" s="5">
        <f>SUM(Table[[#This Row],[Premissa 1]:[Premissa 8]])</f>
        <v>0</v>
      </c>
      <c r="V123" s="5"/>
    </row>
    <row r="124" spans="1:22" ht="15" customHeight="1">
      <c r="A124" s="4">
        <v>5839141113</v>
      </c>
      <c r="B124" s="5" t="str">
        <f>MID(Table[[#This Row],[Ativo]],1,2)</f>
        <v>58</v>
      </c>
      <c r="F124" s="4" t="str">
        <f>IFERROR(_xlfn.XLOOKUP(Table[[#This Row],[Ativo]],Pendentes[COD_RELIGADOR],Pendentes[SS_ORIGINAL]),"CONCLUÍDA")</f>
        <v>ETO-TELE 00985/2026</v>
      </c>
      <c r="G124" s="4" t="s">
        <v>964</v>
      </c>
      <c r="J124" s="29"/>
      <c r="K124" s="31"/>
      <c r="L124" t="str">
        <f>IFERROR(_xlfn.XLOOKUP(Table[[#This Row],[Ativo]],Pendentes[COD_RELIGADOR],Pendentes[DESCRICAO]),"")</f>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v>
      </c>
      <c r="M124" s="5"/>
      <c r="N124" s="5"/>
      <c r="O124" s="5"/>
      <c r="P124" s="5"/>
      <c r="Q124" s="5"/>
      <c r="R124" s="5"/>
      <c r="S124" s="5"/>
      <c r="T124" s="5"/>
      <c r="U124" s="5">
        <f>SUM(Table[[#This Row],[Premissa 1]:[Premissa 8]])</f>
        <v>0</v>
      </c>
      <c r="V124" s="5"/>
    </row>
    <row r="125" spans="1:22" ht="15" customHeight="1">
      <c r="A125" s="4">
        <v>7908683122</v>
      </c>
      <c r="B125" s="5" t="str">
        <f>MID(Table[[#This Row],[Ativo]],1,2)</f>
        <v>79</v>
      </c>
      <c r="F125" s="4" t="str">
        <f>IFERROR(_xlfn.XLOOKUP(Table[[#This Row],[Ativo]],Pendentes[COD_RELIGADOR],Pendentes[SS_ORIGINAL]),"CONCLUÍDA")</f>
        <v>ETO-TELE 00998/2026</v>
      </c>
      <c r="G125" s="4" t="s">
        <v>964</v>
      </c>
      <c r="J125" s="29"/>
      <c r="K125" s="31"/>
      <c r="L125" t="str">
        <f>IFERROR(_xlfn.XLOOKUP(Table[[#This Row],[Ativo]],Pendentes[COD_RELIGADOR],Pendentes[DESCRICAO]),"")</f>
        <v>rl 7908683122  retirado de operaçao devido falha na base do rele  equipamento.</v>
      </c>
      <c r="M125" s="5"/>
      <c r="N125" s="5"/>
      <c r="O125" s="5"/>
      <c r="P125" s="5"/>
      <c r="Q125" s="5"/>
      <c r="R125" s="5"/>
      <c r="S125" s="5"/>
      <c r="T125" s="5"/>
      <c r="U125" s="5">
        <f>SUM(Table[[#This Row],[Premissa 1]:[Premissa 8]])</f>
        <v>0</v>
      </c>
      <c r="V125" s="5"/>
    </row>
    <row r="126" spans="1:22" ht="15" customHeight="1">
      <c r="A126" s="4">
        <v>7923110021</v>
      </c>
      <c r="B126" s="5" t="str">
        <f>MID(Table[[#This Row],[Ativo]],1,2)</f>
        <v>79</v>
      </c>
      <c r="F126" s="4" t="str">
        <f>IFERROR(_xlfn.XLOOKUP(Table[[#This Row],[Ativo]],Pendentes[COD_RELIGADOR],Pendentes[SS_ORIGINAL]),"CONCLUÍDA")</f>
        <v>ETO-TELE 01027/2026</v>
      </c>
      <c r="G126" s="4" t="s">
        <v>964</v>
      </c>
      <c r="J126" s="29"/>
      <c r="K126" s="31"/>
      <c r="L126" t="str">
        <f>IFERROR(_xlfn.XLOOKUP(Table[[#This Row],[Ativo]],Pendentes[COD_RELIGADOR],Pendentes[DESCRICAO]),"")</f>
        <v>Segue SS para verificar falha de comunicação no religador 7923110021. Equipe foi no local realizar primeiro ataque e informou que o radio de comunicação encontra-se com defeito</v>
      </c>
      <c r="M126" s="5"/>
      <c r="N126" s="5"/>
      <c r="O126" s="5"/>
      <c r="P126" s="5"/>
      <c r="Q126" s="5"/>
      <c r="R126" s="5"/>
      <c r="S126" s="5"/>
      <c r="T126" s="5"/>
      <c r="U126" s="5">
        <f>SUM(Table[[#This Row],[Premissa 1]:[Premissa 8]])</f>
        <v>0</v>
      </c>
      <c r="V126" s="5"/>
    </row>
    <row r="127" spans="1:22" ht="15" customHeight="1">
      <c r="A127" s="4">
        <v>7900001096</v>
      </c>
      <c r="B127" s="5" t="str">
        <f>MID(Table[[#This Row],[Ativo]],1,2)</f>
        <v>79</v>
      </c>
      <c r="F127" s="4" t="str">
        <f>IFERROR(_xlfn.XLOOKUP(Table[[#This Row],[Ativo]],Pendentes[COD_RELIGADOR],Pendentes[SS_ORIGINAL]),"CONCLUÍDA")</f>
        <v>ETO-TELE 01018/2026</v>
      </c>
      <c r="G127" s="4" t="s">
        <v>964</v>
      </c>
      <c r="J127" s="29"/>
      <c r="K127" s="31"/>
      <c r="L127" t="str">
        <f>IFERROR(_xlfn.XLOOKUP(Table[[#This Row],[Ativo]],Pendentes[COD_RELIGADOR],Pendentes[DESCRICAO]),"")</f>
        <v>Segue nota para falha de comunicação no religador 7900001096 - Rural - Pindorama .Equipamento perdeu a comunicação quando faltou CA , porém mesmo ao retorna o CA não retornou a comunicação !Feito primeiro ataque sem sucesso !</v>
      </c>
      <c r="M127" s="5"/>
      <c r="N127" s="5"/>
      <c r="O127" s="5"/>
      <c r="P127" s="5"/>
      <c r="Q127" s="5"/>
      <c r="R127" s="5"/>
      <c r="S127" s="5"/>
      <c r="T127" s="5"/>
      <c r="U127" s="5">
        <f>SUM(Table[[#This Row],[Premissa 1]:[Premissa 8]])</f>
        <v>0</v>
      </c>
      <c r="V127" s="5"/>
    </row>
    <row r="128" spans="1:22" ht="15" customHeight="1">
      <c r="A128" s="4">
        <v>7900451096</v>
      </c>
      <c r="B128" s="5" t="str">
        <f>MID(Table[[#This Row],[Ativo]],1,2)</f>
        <v>79</v>
      </c>
      <c r="F128" s="4" t="str">
        <f>IFERROR(_xlfn.XLOOKUP(Table[[#This Row],[Ativo]],Pendentes[COD_RELIGADOR],Pendentes[SS_ORIGINAL]),"CONCLUÍDA")</f>
        <v>ETO-TELE 01020/2026</v>
      </c>
      <c r="G128" s="4" t="s">
        <v>964</v>
      </c>
      <c r="J128" s="29"/>
      <c r="K128" s="31"/>
      <c r="L128" t="str">
        <f>IFERROR(_xlfn.XLOOKUP(Table[[#This Row],[Ativo]],Pendentes[COD_RELIGADOR],Pendentes[DESCRICAO]),"")</f>
        <v>Segue nota para verificar falha de comunicação no religador 7900451096 - Rural -  Pindorama  .Equipamento perde a comunicação quando falta CA !</v>
      </c>
      <c r="M128" s="5"/>
      <c r="N128" s="5"/>
      <c r="O128" s="5"/>
      <c r="P128" s="5"/>
      <c r="Q128" s="5"/>
      <c r="R128" s="5"/>
      <c r="S128" s="5"/>
      <c r="T128" s="5"/>
      <c r="U128" s="5">
        <f>SUM(Table[[#This Row],[Premissa 1]:[Premissa 8]])</f>
        <v>0</v>
      </c>
      <c r="V128" s="5"/>
    </row>
    <row r="129" spans="1:22" ht="15" customHeight="1">
      <c r="A129" s="4">
        <v>7900259096</v>
      </c>
      <c r="B129" s="5" t="str">
        <f>MID(Table[[#This Row],[Ativo]],1,2)</f>
        <v>79</v>
      </c>
      <c r="F129" s="4" t="str">
        <f>IFERROR(_xlfn.XLOOKUP(Table[[#This Row],[Ativo]],Pendentes[COD_RELIGADOR],Pendentes[SS_ORIGINAL]),"CONCLUÍDA")</f>
        <v>ETO-TELE 01021/2026</v>
      </c>
      <c r="G129" s="4" t="s">
        <v>964</v>
      </c>
      <c r="J129" s="29"/>
      <c r="K129" s="31"/>
      <c r="L129" t="str">
        <f>IFERROR(_xlfn.XLOOKUP(Table[[#This Row],[Ativo]],Pendentes[COD_RELIGADOR],Pendentes[DESCRICAO]),"")</f>
        <v>Boa noite .Segue nota para verificar falha de comunicação no religador 7900259096 -  Pindorama .Equipamento perde a comunicação quando falta CA !</v>
      </c>
      <c r="M129" s="5"/>
      <c r="N129" s="5"/>
      <c r="O129" s="5"/>
      <c r="P129" s="5"/>
      <c r="Q129" s="5"/>
      <c r="R129" s="5"/>
      <c r="S129" s="5"/>
      <c r="T129" s="5"/>
      <c r="U129" s="5">
        <f>SUM(Table[[#This Row],[Premissa 1]:[Premissa 8]])</f>
        <v>0</v>
      </c>
      <c r="V129" s="5"/>
    </row>
    <row r="130" spans="1:22" ht="15" customHeight="1">
      <c r="A130" s="4">
        <v>7962734119</v>
      </c>
      <c r="B130" s="5" t="str">
        <f>MID(Table[[#This Row],[Ativo]],1,2)</f>
        <v>79</v>
      </c>
      <c r="F130" s="4" t="str">
        <f>IFERROR(_xlfn.XLOOKUP(Table[[#This Row],[Ativo]],Pendentes[COD_RELIGADOR],Pendentes[SS_ORIGINAL]),"CONCLUÍDA")</f>
        <v>ETO-TELE 01008/2026</v>
      </c>
      <c r="G130" s="4" t="s">
        <v>964</v>
      </c>
      <c r="J130" s="29"/>
      <c r="K130" s="31"/>
      <c r="L130" t="str">
        <f>IFERROR(_xlfn.XLOOKUP(Table[[#This Row],[Ativo]],Pendentes[COD_RELIGADOR],Pendentes[DESCRICAO]),"")</f>
        <v>por favor deslocar equipe da manutenção no RL 7962734119 por que foi feito o primeiro ataque no mesmo mais não voltou comunção no sistema escada</v>
      </c>
      <c r="M130" s="5"/>
      <c r="N130" s="5"/>
      <c r="O130" s="5"/>
      <c r="P130" s="5"/>
      <c r="Q130" s="5"/>
      <c r="R130" s="5"/>
      <c r="S130" s="5"/>
      <c r="T130" s="5"/>
      <c r="U130" s="5">
        <f>SUM(Table[[#This Row],[Premissa 1]:[Premissa 8]])</f>
        <v>0</v>
      </c>
      <c r="V130" s="5"/>
    </row>
    <row r="131" spans="1:22" ht="15" customHeight="1">
      <c r="B131" s="5" t="str">
        <f>MID(Table[[#This Row],[Ativo]],1,2)</f>
        <v/>
      </c>
      <c r="J131" s="29"/>
      <c r="K131" s="31"/>
      <c r="L131" t="str">
        <f>IFERROR(_xlfn.XLOOKUP(Table[[#This Row],[Ativo]],Pendentes[COD_RELIGADOR],Pendentes[DESCRICAO]),"")</f>
        <v/>
      </c>
      <c r="M131" s="5"/>
      <c r="N131" s="5"/>
      <c r="O131" s="5"/>
      <c r="P131" s="5"/>
      <c r="Q131" s="5"/>
      <c r="R131" s="5"/>
      <c r="S131" s="5"/>
      <c r="T131" s="5"/>
      <c r="U131" s="5">
        <f>SUM(Table[[#This Row],[Premissa 1]:[Premissa 8]])</f>
        <v>0</v>
      </c>
      <c r="V131" s="5"/>
    </row>
    <row r="135" spans="1:22" ht="15" customHeight="1">
      <c r="B135" s="47"/>
    </row>
  </sheetData>
  <mergeCells count="1">
    <mergeCell ref="Y1:Z1"/>
  </mergeCells>
  <conditionalFormatting sqref="A1:A61 A63:A1048576">
    <cfRule type="duplicateValues" dxfId="31" priority="2"/>
  </conditionalFormatting>
  <conditionalFormatting sqref="A62">
    <cfRule type="duplicateValues" dxfId="30" priority="1"/>
  </conditionalFormatting>
  <conditionalFormatting sqref="F1:K2 G3:K52 F3:F117 H53:K53 F118:K118 L119:O123 G116:K117 H115:K115 F132:K1048576 H124:K131 F119:G131 G54:K114">
    <cfRule type="cellIs" dxfId="29" priority="3" operator="equal">
      <formula>"CONCLUÍDA"</formula>
    </cfRule>
  </conditionalFormatting>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4CA31-C363-4ED3-A0AE-93265F3F5281}">
  <dimension ref="A1:AA117"/>
  <sheetViews>
    <sheetView workbookViewId="0">
      <selection activeCell="E122" sqref="E122"/>
    </sheetView>
  </sheetViews>
  <sheetFormatPr defaultRowHeight="15"/>
  <cols>
    <col min="1" max="1" width="33.28515625" bestFit="1" customWidth="1"/>
    <col min="2" max="2" width="90.140625" bestFit="1" customWidth="1"/>
    <col min="3" max="4" width="36.140625" customWidth="1"/>
    <col min="5" max="5" width="26" customWidth="1"/>
    <col min="7" max="7" width="29.140625" bestFit="1" customWidth="1"/>
    <col min="8" max="8" width="25.140625" bestFit="1" customWidth="1"/>
    <col min="10" max="10" width="21.5703125" bestFit="1" customWidth="1"/>
    <col min="11" max="11" width="32.7109375" customWidth="1"/>
    <col min="12" max="12" width="56.85546875" bestFit="1" customWidth="1"/>
  </cols>
  <sheetData>
    <row r="1" spans="1:27">
      <c r="A1" t="s">
        <v>965</v>
      </c>
      <c r="B1" t="s">
        <v>965</v>
      </c>
      <c r="C1" t="s">
        <v>966</v>
      </c>
      <c r="D1" t="s">
        <v>965</v>
      </c>
      <c r="E1" t="s">
        <v>965</v>
      </c>
      <c r="F1" t="s">
        <v>965</v>
      </c>
      <c r="G1" t="s">
        <v>965</v>
      </c>
      <c r="H1" t="s">
        <v>965</v>
      </c>
      <c r="I1" t="s">
        <v>965</v>
      </c>
      <c r="J1" t="s">
        <v>965</v>
      </c>
      <c r="K1" t="s">
        <v>965</v>
      </c>
      <c r="L1" t="s">
        <v>965</v>
      </c>
      <c r="M1" t="s">
        <v>965</v>
      </c>
      <c r="N1" t="s">
        <v>965</v>
      </c>
      <c r="O1" t="s">
        <v>965</v>
      </c>
      <c r="P1" t="s">
        <v>965</v>
      </c>
      <c r="Q1" t="s">
        <v>965</v>
      </c>
      <c r="R1" t="s">
        <v>965</v>
      </c>
      <c r="S1" t="s">
        <v>965</v>
      </c>
      <c r="T1" t="s">
        <v>965</v>
      </c>
      <c r="U1" t="s">
        <v>965</v>
      </c>
      <c r="V1" t="s">
        <v>965</v>
      </c>
      <c r="W1" t="s">
        <v>965</v>
      </c>
      <c r="X1" t="s">
        <v>965</v>
      </c>
      <c r="Y1" t="s">
        <v>965</v>
      </c>
      <c r="Z1" t="s">
        <v>965</v>
      </c>
      <c r="AA1" t="s">
        <v>965</v>
      </c>
    </row>
    <row r="2" spans="1:27">
      <c r="E2">
        <v>5800291077</v>
      </c>
      <c r="F2" t="s">
        <v>10</v>
      </c>
      <c r="G2" t="s">
        <v>144</v>
      </c>
      <c r="H2" t="s">
        <v>57</v>
      </c>
      <c r="I2" t="s">
        <v>51</v>
      </c>
      <c r="J2" t="s">
        <v>437</v>
      </c>
      <c r="M2" t="s">
        <v>438</v>
      </c>
      <c r="P2" t="s">
        <v>439</v>
      </c>
      <c r="Q2">
        <v>40</v>
      </c>
      <c r="R2">
        <v>20</v>
      </c>
      <c r="S2">
        <v>20</v>
      </c>
      <c r="T2">
        <v>20</v>
      </c>
      <c r="U2">
        <v>20</v>
      </c>
      <c r="V2" t="s">
        <v>45</v>
      </c>
      <c r="W2" t="s">
        <v>45</v>
      </c>
      <c r="X2" t="s">
        <v>45</v>
      </c>
      <c r="Y2">
        <v>120</v>
      </c>
      <c r="Z2" t="s">
        <v>9</v>
      </c>
      <c r="AA2" t="s">
        <v>440</v>
      </c>
    </row>
    <row r="3" spans="1:27">
      <c r="A3" t="s">
        <v>967</v>
      </c>
      <c r="B3" t="s">
        <v>968</v>
      </c>
      <c r="E3">
        <v>5854566043</v>
      </c>
      <c r="F3" t="s">
        <v>10</v>
      </c>
      <c r="G3" t="s">
        <v>40</v>
      </c>
      <c r="H3" t="s">
        <v>41</v>
      </c>
      <c r="I3" t="s">
        <v>42</v>
      </c>
      <c r="J3" t="s">
        <v>856</v>
      </c>
      <c r="K3" t="s">
        <v>467</v>
      </c>
      <c r="L3" t="s">
        <v>534</v>
      </c>
      <c r="M3" t="s">
        <v>443</v>
      </c>
      <c r="N3" t="s">
        <v>444</v>
      </c>
      <c r="O3">
        <v>1</v>
      </c>
      <c r="P3" t="s">
        <v>969</v>
      </c>
      <c r="Q3">
        <v>40</v>
      </c>
      <c r="R3">
        <v>20</v>
      </c>
      <c r="S3">
        <v>20</v>
      </c>
      <c r="T3">
        <v>10</v>
      </c>
      <c r="U3">
        <v>20</v>
      </c>
      <c r="V3" t="s">
        <v>45</v>
      </c>
      <c r="W3" t="s">
        <v>45</v>
      </c>
      <c r="X3" t="s">
        <v>45</v>
      </c>
      <c r="Y3">
        <v>110</v>
      </c>
      <c r="Z3" t="s">
        <v>9</v>
      </c>
      <c r="AA3" t="s">
        <v>46</v>
      </c>
    </row>
    <row r="4" spans="1:27">
      <c r="E4">
        <v>5800859011</v>
      </c>
      <c r="F4" t="s">
        <v>10</v>
      </c>
      <c r="G4" t="s">
        <v>49</v>
      </c>
      <c r="H4" t="s">
        <v>50</v>
      </c>
      <c r="I4" t="s">
        <v>51</v>
      </c>
      <c r="J4" t="s">
        <v>930</v>
      </c>
      <c r="K4" t="s">
        <v>467</v>
      </c>
      <c r="L4" t="s">
        <v>468</v>
      </c>
      <c r="M4" t="s">
        <v>443</v>
      </c>
      <c r="N4" t="s">
        <v>447</v>
      </c>
      <c r="O4">
        <v>1</v>
      </c>
      <c r="P4" t="s">
        <v>970</v>
      </c>
      <c r="Q4">
        <v>40</v>
      </c>
      <c r="R4">
        <v>20</v>
      </c>
      <c r="S4">
        <v>20</v>
      </c>
      <c r="T4">
        <v>10</v>
      </c>
      <c r="U4">
        <v>20</v>
      </c>
      <c r="V4" t="s">
        <v>45</v>
      </c>
      <c r="W4" t="s">
        <v>45</v>
      </c>
      <c r="X4" t="s">
        <v>45</v>
      </c>
      <c r="Y4">
        <v>110</v>
      </c>
      <c r="Z4" t="s">
        <v>9</v>
      </c>
      <c r="AA4" t="s">
        <v>54</v>
      </c>
    </row>
    <row r="5" spans="1:27">
      <c r="E5">
        <v>5836764032</v>
      </c>
      <c r="F5" t="s">
        <v>10</v>
      </c>
      <c r="G5" t="s">
        <v>448</v>
      </c>
      <c r="H5" t="s">
        <v>449</v>
      </c>
      <c r="I5" t="s">
        <v>76</v>
      </c>
      <c r="J5" t="s">
        <v>437</v>
      </c>
      <c r="M5" t="s">
        <v>438</v>
      </c>
      <c r="P5" t="s">
        <v>439</v>
      </c>
      <c r="Q5">
        <v>40</v>
      </c>
      <c r="R5">
        <v>20</v>
      </c>
      <c r="S5">
        <v>20</v>
      </c>
      <c r="T5">
        <v>10</v>
      </c>
      <c r="U5">
        <v>20</v>
      </c>
      <c r="V5" t="s">
        <v>45</v>
      </c>
      <c r="W5" t="s">
        <v>45</v>
      </c>
      <c r="X5" t="s">
        <v>45</v>
      </c>
      <c r="Y5">
        <v>110</v>
      </c>
      <c r="Z5" t="s">
        <v>9</v>
      </c>
      <c r="AA5" t="s">
        <v>450</v>
      </c>
    </row>
    <row r="6" spans="1:27">
      <c r="E6">
        <v>7923673004</v>
      </c>
      <c r="F6" t="s">
        <v>11</v>
      </c>
      <c r="G6" t="s">
        <v>57</v>
      </c>
      <c r="H6" t="s">
        <v>57</v>
      </c>
      <c r="I6" t="s">
        <v>51</v>
      </c>
      <c r="J6" t="s">
        <v>55</v>
      </c>
      <c r="K6" t="s">
        <v>451</v>
      </c>
      <c r="L6" t="s">
        <v>452</v>
      </c>
      <c r="N6" t="s">
        <v>460</v>
      </c>
      <c r="O6">
        <v>1</v>
      </c>
      <c r="P6" t="s">
        <v>59</v>
      </c>
      <c r="Q6">
        <v>15</v>
      </c>
      <c r="R6">
        <v>20</v>
      </c>
      <c r="S6">
        <v>15</v>
      </c>
      <c r="T6">
        <v>15</v>
      </c>
      <c r="U6">
        <v>15</v>
      </c>
      <c r="V6">
        <v>10</v>
      </c>
      <c r="W6">
        <v>0</v>
      </c>
      <c r="X6">
        <v>15</v>
      </c>
      <c r="Y6">
        <v>105</v>
      </c>
      <c r="Z6" t="s">
        <v>9</v>
      </c>
      <c r="AA6" t="s">
        <v>60</v>
      </c>
    </row>
    <row r="7" spans="1:27">
      <c r="E7">
        <v>7931608059</v>
      </c>
      <c r="F7" t="s">
        <v>11</v>
      </c>
      <c r="G7" t="s">
        <v>62</v>
      </c>
      <c r="H7" t="s">
        <v>62</v>
      </c>
      <c r="I7" t="s">
        <v>42</v>
      </c>
      <c r="J7" t="s">
        <v>61</v>
      </c>
      <c r="K7" t="s">
        <v>451</v>
      </c>
      <c r="N7" t="s">
        <v>454</v>
      </c>
      <c r="O7">
        <v>1</v>
      </c>
      <c r="P7" t="s">
        <v>64</v>
      </c>
      <c r="Q7">
        <v>15</v>
      </c>
      <c r="R7">
        <v>20</v>
      </c>
      <c r="S7">
        <v>15</v>
      </c>
      <c r="T7">
        <v>15</v>
      </c>
      <c r="U7">
        <v>15</v>
      </c>
      <c r="V7">
        <v>10</v>
      </c>
      <c r="W7">
        <v>0</v>
      </c>
      <c r="X7">
        <v>15</v>
      </c>
      <c r="Y7">
        <v>105</v>
      </c>
      <c r="Z7" t="s">
        <v>9</v>
      </c>
      <c r="AA7" t="s">
        <v>65</v>
      </c>
    </row>
    <row r="8" spans="1:27">
      <c r="E8">
        <v>7931610122</v>
      </c>
      <c r="F8" t="s">
        <v>11</v>
      </c>
      <c r="G8" t="s">
        <v>68</v>
      </c>
      <c r="H8" t="s">
        <v>68</v>
      </c>
      <c r="I8" t="s">
        <v>42</v>
      </c>
      <c r="J8" t="s">
        <v>971</v>
      </c>
      <c r="K8" t="s">
        <v>445</v>
      </c>
      <c r="L8" t="s">
        <v>496</v>
      </c>
      <c r="M8" t="s">
        <v>443</v>
      </c>
      <c r="N8" t="s">
        <v>457</v>
      </c>
      <c r="O8">
        <v>1</v>
      </c>
      <c r="P8" t="s">
        <v>972</v>
      </c>
      <c r="Q8">
        <v>15</v>
      </c>
      <c r="R8">
        <v>20</v>
      </c>
      <c r="S8">
        <v>15</v>
      </c>
      <c r="T8">
        <v>15</v>
      </c>
      <c r="U8">
        <v>15</v>
      </c>
      <c r="V8">
        <v>10</v>
      </c>
      <c r="W8">
        <v>0</v>
      </c>
      <c r="X8">
        <v>15</v>
      </c>
      <c r="Y8">
        <v>105</v>
      </c>
      <c r="Z8" t="s">
        <v>9</v>
      </c>
      <c r="AA8" t="s">
        <v>71</v>
      </c>
    </row>
    <row r="9" spans="1:27">
      <c r="E9">
        <v>7900648055</v>
      </c>
      <c r="F9" t="s">
        <v>11</v>
      </c>
      <c r="G9" t="s">
        <v>458</v>
      </c>
      <c r="H9" t="s">
        <v>210</v>
      </c>
      <c r="I9" t="s">
        <v>42</v>
      </c>
      <c r="J9" t="s">
        <v>437</v>
      </c>
      <c r="P9" t="s">
        <v>439</v>
      </c>
      <c r="Q9">
        <v>15</v>
      </c>
      <c r="R9">
        <v>20</v>
      </c>
      <c r="S9">
        <v>15</v>
      </c>
      <c r="T9">
        <v>15</v>
      </c>
      <c r="U9">
        <v>15</v>
      </c>
      <c r="V9">
        <v>10</v>
      </c>
      <c r="W9">
        <v>0</v>
      </c>
      <c r="X9">
        <v>15</v>
      </c>
      <c r="Y9">
        <v>105</v>
      </c>
      <c r="Z9" t="s">
        <v>9</v>
      </c>
      <c r="AA9" t="s">
        <v>459</v>
      </c>
    </row>
    <row r="10" spans="1:27">
      <c r="E10">
        <v>7947203070</v>
      </c>
      <c r="F10" t="s">
        <v>11</v>
      </c>
      <c r="G10" t="s">
        <v>81</v>
      </c>
      <c r="H10" t="s">
        <v>62</v>
      </c>
      <c r="I10" t="s">
        <v>42</v>
      </c>
      <c r="J10" t="s">
        <v>80</v>
      </c>
      <c r="K10" t="s">
        <v>451</v>
      </c>
      <c r="L10" t="s">
        <v>452</v>
      </c>
      <c r="N10" t="s">
        <v>460</v>
      </c>
      <c r="O10">
        <v>1</v>
      </c>
      <c r="P10" t="s">
        <v>83</v>
      </c>
      <c r="Q10">
        <v>10</v>
      </c>
      <c r="R10">
        <v>20</v>
      </c>
      <c r="S10">
        <v>15</v>
      </c>
      <c r="T10">
        <v>15</v>
      </c>
      <c r="U10">
        <v>15</v>
      </c>
      <c r="V10">
        <v>10</v>
      </c>
      <c r="W10">
        <v>0</v>
      </c>
      <c r="X10">
        <v>15</v>
      </c>
      <c r="Y10">
        <v>100</v>
      </c>
      <c r="Z10" t="s">
        <v>9</v>
      </c>
      <c r="AA10" t="s">
        <v>84</v>
      </c>
    </row>
    <row r="11" spans="1:27">
      <c r="E11">
        <v>5856070091</v>
      </c>
      <c r="F11" t="s">
        <v>10</v>
      </c>
      <c r="G11" t="s">
        <v>74</v>
      </c>
      <c r="H11" t="s">
        <v>75</v>
      </c>
      <c r="I11" t="s">
        <v>76</v>
      </c>
      <c r="J11" t="s">
        <v>973</v>
      </c>
      <c r="K11" t="s">
        <v>451</v>
      </c>
      <c r="L11" t="s">
        <v>557</v>
      </c>
      <c r="N11" t="s">
        <v>462</v>
      </c>
      <c r="O11">
        <v>3</v>
      </c>
      <c r="P11" t="s">
        <v>78</v>
      </c>
      <c r="Q11">
        <v>40</v>
      </c>
      <c r="R11">
        <v>20</v>
      </c>
      <c r="S11">
        <v>20</v>
      </c>
      <c r="T11">
        <v>20</v>
      </c>
      <c r="U11">
        <v>0</v>
      </c>
      <c r="V11" t="s">
        <v>45</v>
      </c>
      <c r="W11" t="s">
        <v>45</v>
      </c>
      <c r="X11" t="s">
        <v>45</v>
      </c>
      <c r="Y11">
        <v>100</v>
      </c>
      <c r="Z11" t="s">
        <v>9</v>
      </c>
      <c r="AA11" t="s">
        <v>79</v>
      </c>
    </row>
    <row r="12" spans="1:27">
      <c r="E12">
        <v>7903569004</v>
      </c>
      <c r="F12" t="s">
        <v>11</v>
      </c>
      <c r="G12" t="s">
        <v>57</v>
      </c>
      <c r="H12" t="s">
        <v>57</v>
      </c>
      <c r="I12" t="s">
        <v>51</v>
      </c>
      <c r="J12" t="s">
        <v>437</v>
      </c>
      <c r="P12" t="s">
        <v>439</v>
      </c>
      <c r="Q12">
        <v>15</v>
      </c>
      <c r="R12">
        <v>20</v>
      </c>
      <c r="S12">
        <v>5</v>
      </c>
      <c r="T12">
        <v>15</v>
      </c>
      <c r="U12">
        <v>15</v>
      </c>
      <c r="V12">
        <v>10</v>
      </c>
      <c r="W12">
        <v>0</v>
      </c>
      <c r="X12">
        <v>15</v>
      </c>
      <c r="Y12">
        <v>95</v>
      </c>
      <c r="Z12" t="s">
        <v>9</v>
      </c>
      <c r="AA12" t="s">
        <v>463</v>
      </c>
    </row>
    <row r="13" spans="1:27">
      <c r="E13">
        <v>7925744087</v>
      </c>
      <c r="F13" t="s">
        <v>11</v>
      </c>
      <c r="G13" t="s">
        <v>91</v>
      </c>
      <c r="H13" t="s">
        <v>50</v>
      </c>
      <c r="I13" t="s">
        <v>51</v>
      </c>
      <c r="J13" t="s">
        <v>90</v>
      </c>
      <c r="K13" t="s">
        <v>451</v>
      </c>
      <c r="L13" t="s">
        <v>464</v>
      </c>
      <c r="N13" t="s">
        <v>465</v>
      </c>
      <c r="O13">
        <v>1</v>
      </c>
      <c r="P13" t="s">
        <v>93</v>
      </c>
      <c r="Q13">
        <v>15</v>
      </c>
      <c r="R13">
        <v>20</v>
      </c>
      <c r="S13">
        <v>5</v>
      </c>
      <c r="T13">
        <v>15</v>
      </c>
      <c r="U13">
        <v>15</v>
      </c>
      <c r="V13">
        <v>10</v>
      </c>
      <c r="W13">
        <v>0</v>
      </c>
      <c r="X13">
        <v>15</v>
      </c>
      <c r="Y13">
        <v>95</v>
      </c>
      <c r="Z13" t="s">
        <v>9</v>
      </c>
      <c r="AA13" t="s">
        <v>94</v>
      </c>
    </row>
    <row r="14" spans="1:27">
      <c r="A14" t="s">
        <v>974</v>
      </c>
      <c r="B14" t="s">
        <v>975</v>
      </c>
      <c r="D14" t="e" cm="1">
        <f t="array" ref="D14">_xlfn.XLOOKUP(_xlfn.NUMBERVALUE(E14),_xlfn.NUMBERVALUE([5]Planilha1!$C$2:$C$34),[5]Planilha1!$T$3:$T$34)</f>
        <v>#VALUE!</v>
      </c>
      <c r="E14" s="33">
        <v>7900117013</v>
      </c>
      <c r="F14" t="s">
        <v>11</v>
      </c>
      <c r="G14" t="s">
        <v>97</v>
      </c>
      <c r="H14" t="s">
        <v>97</v>
      </c>
      <c r="I14" t="s">
        <v>42</v>
      </c>
      <c r="J14" t="s">
        <v>976</v>
      </c>
      <c r="K14" t="s">
        <v>467</v>
      </c>
      <c r="L14" t="s">
        <v>466</v>
      </c>
      <c r="M14" t="s">
        <v>443</v>
      </c>
      <c r="N14" t="s">
        <v>460</v>
      </c>
      <c r="O14">
        <v>1</v>
      </c>
      <c r="P14" t="s">
        <v>977</v>
      </c>
      <c r="Q14">
        <v>15</v>
      </c>
      <c r="R14">
        <v>20</v>
      </c>
      <c r="S14">
        <v>15</v>
      </c>
      <c r="T14">
        <v>15</v>
      </c>
      <c r="U14">
        <v>15</v>
      </c>
      <c r="V14">
        <v>0</v>
      </c>
      <c r="W14">
        <v>0</v>
      </c>
      <c r="X14">
        <v>15</v>
      </c>
      <c r="Y14">
        <v>95</v>
      </c>
      <c r="Z14" t="s">
        <v>9</v>
      </c>
      <c r="AA14" t="s">
        <v>100</v>
      </c>
    </row>
    <row r="15" spans="1:27">
      <c r="E15">
        <v>7929376022</v>
      </c>
      <c r="F15" t="s">
        <v>11</v>
      </c>
      <c r="G15" t="s">
        <v>102</v>
      </c>
      <c r="H15" t="s">
        <v>57</v>
      </c>
      <c r="I15" t="s">
        <v>51</v>
      </c>
      <c r="J15" t="s">
        <v>101</v>
      </c>
      <c r="K15" t="s">
        <v>467</v>
      </c>
      <c r="L15" t="s">
        <v>468</v>
      </c>
      <c r="M15" t="s">
        <v>443</v>
      </c>
      <c r="N15" t="s">
        <v>469</v>
      </c>
      <c r="O15">
        <v>1</v>
      </c>
      <c r="P15" t="s">
        <v>104</v>
      </c>
      <c r="Q15">
        <v>15</v>
      </c>
      <c r="R15">
        <v>20</v>
      </c>
      <c r="S15">
        <v>5</v>
      </c>
      <c r="T15">
        <v>15</v>
      </c>
      <c r="U15">
        <v>15</v>
      </c>
      <c r="V15">
        <v>10</v>
      </c>
      <c r="W15">
        <v>0</v>
      </c>
      <c r="X15">
        <v>15</v>
      </c>
      <c r="Y15">
        <v>95</v>
      </c>
      <c r="Z15" t="s">
        <v>9</v>
      </c>
      <c r="AA15" t="s">
        <v>105</v>
      </c>
    </row>
    <row r="16" spans="1:27">
      <c r="E16">
        <v>7908705049</v>
      </c>
      <c r="F16" t="s">
        <v>11</v>
      </c>
      <c r="G16" t="s">
        <v>86</v>
      </c>
      <c r="H16" t="s">
        <v>75</v>
      </c>
      <c r="I16" t="s">
        <v>76</v>
      </c>
      <c r="J16" t="s">
        <v>85</v>
      </c>
      <c r="K16" t="s">
        <v>445</v>
      </c>
      <c r="L16" t="s">
        <v>978</v>
      </c>
      <c r="M16" t="s">
        <v>443</v>
      </c>
      <c r="N16" t="s">
        <v>469</v>
      </c>
      <c r="O16">
        <v>1</v>
      </c>
      <c r="P16" t="s">
        <v>88</v>
      </c>
      <c r="Q16">
        <v>15</v>
      </c>
      <c r="R16">
        <v>20</v>
      </c>
      <c r="S16">
        <v>5</v>
      </c>
      <c r="T16">
        <v>15</v>
      </c>
      <c r="U16">
        <v>15</v>
      </c>
      <c r="V16">
        <v>0</v>
      </c>
      <c r="W16">
        <v>10</v>
      </c>
      <c r="X16">
        <v>15</v>
      </c>
      <c r="Y16">
        <v>95</v>
      </c>
      <c r="Z16" t="s">
        <v>9</v>
      </c>
      <c r="AA16" t="s">
        <v>89</v>
      </c>
    </row>
    <row r="17" spans="1:27">
      <c r="A17" t="s">
        <v>967</v>
      </c>
      <c r="B17" t="s">
        <v>979</v>
      </c>
      <c r="E17">
        <v>7933726256</v>
      </c>
      <c r="F17" t="s">
        <v>11</v>
      </c>
      <c r="G17" t="s">
        <v>107</v>
      </c>
      <c r="H17" t="s">
        <v>108</v>
      </c>
      <c r="I17" t="s">
        <v>42</v>
      </c>
      <c r="J17" t="s">
        <v>106</v>
      </c>
      <c r="K17" t="s">
        <v>471</v>
      </c>
      <c r="L17" t="s">
        <v>472</v>
      </c>
      <c r="M17" t="s">
        <v>443</v>
      </c>
      <c r="N17" t="s">
        <v>473</v>
      </c>
      <c r="O17">
        <v>1</v>
      </c>
      <c r="P17" t="s">
        <v>110</v>
      </c>
      <c r="Q17">
        <v>15</v>
      </c>
      <c r="R17">
        <v>10</v>
      </c>
      <c r="S17">
        <v>15</v>
      </c>
      <c r="T17">
        <v>15</v>
      </c>
      <c r="U17">
        <v>15</v>
      </c>
      <c r="V17">
        <v>10</v>
      </c>
      <c r="W17">
        <v>0</v>
      </c>
      <c r="X17">
        <v>15</v>
      </c>
      <c r="Y17">
        <v>95</v>
      </c>
      <c r="Z17" t="s">
        <v>9</v>
      </c>
      <c r="AA17" t="s">
        <v>111</v>
      </c>
    </row>
    <row r="18" spans="1:27">
      <c r="E18">
        <v>7933766059</v>
      </c>
      <c r="F18" t="s">
        <v>11</v>
      </c>
      <c r="G18" t="s">
        <v>62</v>
      </c>
      <c r="H18" t="s">
        <v>62</v>
      </c>
      <c r="I18" t="s">
        <v>42</v>
      </c>
      <c r="J18" t="s">
        <v>980</v>
      </c>
      <c r="K18" t="s">
        <v>445</v>
      </c>
      <c r="L18" t="s">
        <v>981</v>
      </c>
      <c r="M18" t="s">
        <v>443</v>
      </c>
      <c r="N18" t="s">
        <v>473</v>
      </c>
      <c r="O18">
        <v>1</v>
      </c>
      <c r="P18" t="s">
        <v>982</v>
      </c>
      <c r="Q18">
        <v>15</v>
      </c>
      <c r="R18">
        <v>20</v>
      </c>
      <c r="S18">
        <v>5</v>
      </c>
      <c r="T18">
        <v>15</v>
      </c>
      <c r="U18">
        <v>15</v>
      </c>
      <c r="V18">
        <v>0</v>
      </c>
      <c r="W18">
        <v>10</v>
      </c>
      <c r="X18">
        <v>15</v>
      </c>
      <c r="Y18">
        <v>95</v>
      </c>
      <c r="Z18" t="s">
        <v>9</v>
      </c>
      <c r="AA18" t="s">
        <v>115</v>
      </c>
    </row>
    <row r="19" spans="1:27">
      <c r="A19" t="s">
        <v>967</v>
      </c>
      <c r="B19" t="s">
        <v>983</v>
      </c>
      <c r="E19">
        <v>7900594026</v>
      </c>
      <c r="F19" t="s">
        <v>11</v>
      </c>
      <c r="G19" t="s">
        <v>108</v>
      </c>
      <c r="H19" t="s">
        <v>108</v>
      </c>
      <c r="I19" t="s">
        <v>42</v>
      </c>
      <c r="J19" t="s">
        <v>984</v>
      </c>
      <c r="K19" t="s">
        <v>445</v>
      </c>
      <c r="L19" t="s">
        <v>985</v>
      </c>
      <c r="M19" t="s">
        <v>443</v>
      </c>
      <c r="N19" t="s">
        <v>469</v>
      </c>
      <c r="O19">
        <v>1</v>
      </c>
      <c r="P19" t="s">
        <v>986</v>
      </c>
      <c r="Q19">
        <v>15</v>
      </c>
      <c r="R19">
        <v>20</v>
      </c>
      <c r="S19">
        <v>15</v>
      </c>
      <c r="T19">
        <v>15</v>
      </c>
      <c r="U19">
        <v>15</v>
      </c>
      <c r="V19">
        <v>0</v>
      </c>
      <c r="W19">
        <v>0</v>
      </c>
      <c r="X19">
        <v>15</v>
      </c>
      <c r="Y19">
        <v>95</v>
      </c>
      <c r="Z19" t="s">
        <v>9</v>
      </c>
      <c r="AA19" t="s">
        <v>119</v>
      </c>
    </row>
    <row r="20" spans="1:27">
      <c r="E20">
        <v>7921040031</v>
      </c>
      <c r="F20" t="s">
        <v>11</v>
      </c>
      <c r="G20" t="s">
        <v>476</v>
      </c>
      <c r="H20" t="s">
        <v>186</v>
      </c>
      <c r="I20" t="s">
        <v>42</v>
      </c>
      <c r="J20" t="s">
        <v>437</v>
      </c>
      <c r="M20" t="s">
        <v>438</v>
      </c>
      <c r="P20" t="s">
        <v>439</v>
      </c>
      <c r="Q20">
        <v>15</v>
      </c>
      <c r="R20">
        <v>20</v>
      </c>
      <c r="S20">
        <v>5</v>
      </c>
      <c r="T20">
        <v>15</v>
      </c>
      <c r="U20">
        <v>15</v>
      </c>
      <c r="V20">
        <v>10</v>
      </c>
      <c r="W20">
        <v>0</v>
      </c>
      <c r="X20">
        <v>15</v>
      </c>
      <c r="Y20">
        <v>95</v>
      </c>
      <c r="Z20" t="s">
        <v>9</v>
      </c>
      <c r="AA20" t="s">
        <v>477</v>
      </c>
    </row>
    <row r="21" spans="1:27">
      <c r="E21">
        <v>7957620015</v>
      </c>
      <c r="F21" t="s">
        <v>11</v>
      </c>
      <c r="G21" t="s">
        <v>283</v>
      </c>
      <c r="H21" t="s">
        <v>50</v>
      </c>
      <c r="I21" t="s">
        <v>51</v>
      </c>
      <c r="J21" t="s">
        <v>437</v>
      </c>
      <c r="M21" t="s">
        <v>438</v>
      </c>
      <c r="P21" t="s">
        <v>439</v>
      </c>
      <c r="Q21">
        <v>15</v>
      </c>
      <c r="R21">
        <v>20</v>
      </c>
      <c r="S21">
        <v>15</v>
      </c>
      <c r="T21">
        <v>15</v>
      </c>
      <c r="U21">
        <v>15</v>
      </c>
      <c r="V21">
        <v>0</v>
      </c>
      <c r="W21">
        <v>0</v>
      </c>
      <c r="X21">
        <v>15</v>
      </c>
      <c r="Y21">
        <v>95</v>
      </c>
      <c r="Z21" t="s">
        <v>9</v>
      </c>
      <c r="AA21" t="s">
        <v>478</v>
      </c>
    </row>
    <row r="22" spans="1:27">
      <c r="A22" t="s">
        <v>967</v>
      </c>
      <c r="B22" t="s">
        <v>987</v>
      </c>
      <c r="E22">
        <v>7927413001</v>
      </c>
      <c r="F22" t="s">
        <v>11</v>
      </c>
      <c r="G22" t="s">
        <v>41</v>
      </c>
      <c r="H22" t="s">
        <v>41</v>
      </c>
      <c r="I22" t="s">
        <v>42</v>
      </c>
      <c r="J22" t="s">
        <v>988</v>
      </c>
      <c r="K22" t="s">
        <v>451</v>
      </c>
      <c r="L22" t="s">
        <v>452</v>
      </c>
      <c r="N22" t="s">
        <v>469</v>
      </c>
      <c r="O22">
        <v>1</v>
      </c>
      <c r="P22" t="s">
        <v>479</v>
      </c>
      <c r="Q22">
        <v>15</v>
      </c>
      <c r="R22">
        <v>5</v>
      </c>
      <c r="S22">
        <v>15</v>
      </c>
      <c r="T22">
        <v>15</v>
      </c>
      <c r="U22">
        <v>15</v>
      </c>
      <c r="V22">
        <v>10</v>
      </c>
      <c r="W22">
        <v>0</v>
      </c>
      <c r="X22">
        <v>15</v>
      </c>
      <c r="Y22">
        <v>90</v>
      </c>
      <c r="Z22" t="s">
        <v>9</v>
      </c>
      <c r="AA22" t="s">
        <v>123</v>
      </c>
    </row>
    <row r="23" spans="1:27">
      <c r="A23" t="s">
        <v>974</v>
      </c>
      <c r="B23" s="7" t="s">
        <v>989</v>
      </c>
      <c r="D23" t="e" cm="1">
        <f t="array" ref="D23">_xlfn.XLOOKUP(_xlfn.NUMBERVALUE(E23),_xlfn.NUMBERVALUE([5]Planilha1!$C$2:$C$34),[5]Planilha1!$T$3:$T$34)</f>
        <v>#VALUE!</v>
      </c>
      <c r="E23">
        <v>7908686014</v>
      </c>
      <c r="F23" t="s">
        <v>11</v>
      </c>
      <c r="G23" t="s">
        <v>126</v>
      </c>
      <c r="H23" t="s">
        <v>97</v>
      </c>
      <c r="I23" t="s">
        <v>42</v>
      </c>
      <c r="J23" t="s">
        <v>124</v>
      </c>
      <c r="K23" t="s">
        <v>445</v>
      </c>
      <c r="L23" t="s">
        <v>496</v>
      </c>
      <c r="M23" t="s">
        <v>443</v>
      </c>
      <c r="N23" t="s">
        <v>480</v>
      </c>
      <c r="O23">
        <v>1</v>
      </c>
      <c r="P23" t="s">
        <v>128</v>
      </c>
      <c r="Q23">
        <v>15</v>
      </c>
      <c r="R23">
        <v>20</v>
      </c>
      <c r="S23">
        <v>0</v>
      </c>
      <c r="T23">
        <v>15</v>
      </c>
      <c r="U23">
        <v>15</v>
      </c>
      <c r="V23">
        <v>10</v>
      </c>
      <c r="W23">
        <v>0</v>
      </c>
      <c r="X23">
        <v>15</v>
      </c>
      <c r="Y23">
        <v>90</v>
      </c>
      <c r="Z23" t="s">
        <v>9</v>
      </c>
      <c r="AA23" t="s">
        <v>129</v>
      </c>
    </row>
    <row r="24" spans="1:27">
      <c r="A24" t="s">
        <v>967</v>
      </c>
      <c r="B24" t="s">
        <v>571</v>
      </c>
      <c r="E24">
        <v>5800440256</v>
      </c>
      <c r="F24" t="s">
        <v>10</v>
      </c>
      <c r="G24" t="s">
        <v>107</v>
      </c>
      <c r="H24" t="s">
        <v>108</v>
      </c>
      <c r="I24" t="s">
        <v>42</v>
      </c>
      <c r="J24" t="s">
        <v>437</v>
      </c>
      <c r="P24" t="s">
        <v>439</v>
      </c>
      <c r="Q24">
        <v>20</v>
      </c>
      <c r="R24">
        <v>20</v>
      </c>
      <c r="S24">
        <v>20</v>
      </c>
      <c r="T24">
        <v>10</v>
      </c>
      <c r="U24">
        <v>20</v>
      </c>
      <c r="V24" t="s">
        <v>45</v>
      </c>
      <c r="W24" t="s">
        <v>45</v>
      </c>
      <c r="X24" t="s">
        <v>45</v>
      </c>
      <c r="Y24">
        <v>90</v>
      </c>
      <c r="Z24" t="s">
        <v>9</v>
      </c>
      <c r="AA24" t="s">
        <v>481</v>
      </c>
    </row>
    <row r="25" spans="1:27">
      <c r="E25">
        <v>7943790134</v>
      </c>
      <c r="F25" t="s">
        <v>11</v>
      </c>
      <c r="G25" t="s">
        <v>131</v>
      </c>
      <c r="H25" t="s">
        <v>132</v>
      </c>
      <c r="I25" t="s">
        <v>51</v>
      </c>
      <c r="J25" t="s">
        <v>130</v>
      </c>
      <c r="K25" t="s">
        <v>482</v>
      </c>
      <c r="M25" t="s">
        <v>443</v>
      </c>
      <c r="N25" t="s">
        <v>480</v>
      </c>
      <c r="O25">
        <v>1</v>
      </c>
      <c r="P25" t="s">
        <v>134</v>
      </c>
      <c r="Q25">
        <v>15</v>
      </c>
      <c r="R25">
        <v>10</v>
      </c>
      <c r="S25">
        <v>5</v>
      </c>
      <c r="T25">
        <v>15</v>
      </c>
      <c r="U25">
        <v>15</v>
      </c>
      <c r="V25">
        <v>10</v>
      </c>
      <c r="W25">
        <v>0</v>
      </c>
      <c r="X25">
        <v>15</v>
      </c>
      <c r="Y25">
        <v>85</v>
      </c>
      <c r="Z25" t="s">
        <v>9</v>
      </c>
      <c r="AA25" t="s">
        <v>135</v>
      </c>
    </row>
    <row r="26" spans="1:27">
      <c r="A26" t="s">
        <v>967</v>
      </c>
      <c r="B26" t="s">
        <v>990</v>
      </c>
      <c r="E26">
        <v>7900453110</v>
      </c>
      <c r="F26" t="s">
        <v>11</v>
      </c>
      <c r="G26" t="s">
        <v>137</v>
      </c>
      <c r="H26" t="s">
        <v>41</v>
      </c>
      <c r="I26" t="s">
        <v>42</v>
      </c>
      <c r="J26" t="s">
        <v>136</v>
      </c>
      <c r="K26" t="s">
        <v>451</v>
      </c>
      <c r="L26" t="s">
        <v>991</v>
      </c>
      <c r="N26" t="s">
        <v>480</v>
      </c>
      <c r="O26">
        <v>1</v>
      </c>
      <c r="P26" t="s">
        <v>139</v>
      </c>
      <c r="Q26">
        <v>15</v>
      </c>
      <c r="R26">
        <v>10</v>
      </c>
      <c r="S26">
        <v>5</v>
      </c>
      <c r="T26">
        <v>15</v>
      </c>
      <c r="U26">
        <v>15</v>
      </c>
      <c r="V26">
        <v>10</v>
      </c>
      <c r="W26">
        <v>0</v>
      </c>
      <c r="X26">
        <v>15</v>
      </c>
      <c r="Y26">
        <v>85</v>
      </c>
      <c r="Z26" t="s">
        <v>9</v>
      </c>
      <c r="AA26" t="s">
        <v>140</v>
      </c>
    </row>
    <row r="27" spans="1:27">
      <c r="E27">
        <v>7925871077</v>
      </c>
      <c r="F27" t="s">
        <v>11</v>
      </c>
      <c r="G27" t="s">
        <v>144</v>
      </c>
      <c r="H27" t="s">
        <v>57</v>
      </c>
      <c r="I27" t="s">
        <v>51</v>
      </c>
      <c r="J27" t="s">
        <v>143</v>
      </c>
      <c r="K27" t="s">
        <v>484</v>
      </c>
      <c r="N27" t="s">
        <v>480</v>
      </c>
      <c r="O27">
        <v>1</v>
      </c>
      <c r="P27" t="s">
        <v>146</v>
      </c>
      <c r="Q27">
        <v>15</v>
      </c>
      <c r="R27">
        <v>10</v>
      </c>
      <c r="S27">
        <v>15</v>
      </c>
      <c r="T27">
        <v>15</v>
      </c>
      <c r="U27">
        <v>15</v>
      </c>
      <c r="V27">
        <v>10</v>
      </c>
      <c r="W27">
        <v>0</v>
      </c>
      <c r="X27">
        <v>0</v>
      </c>
      <c r="Y27">
        <v>80</v>
      </c>
      <c r="Z27" t="s">
        <v>9</v>
      </c>
      <c r="AA27" t="s">
        <v>147</v>
      </c>
    </row>
    <row r="28" spans="1:27">
      <c r="A28" t="s">
        <v>967</v>
      </c>
      <c r="B28" t="s">
        <v>992</v>
      </c>
      <c r="E28">
        <v>5803327001</v>
      </c>
      <c r="F28" t="s">
        <v>10</v>
      </c>
      <c r="G28" t="s">
        <v>41</v>
      </c>
      <c r="H28" t="s">
        <v>41</v>
      </c>
      <c r="I28" t="s">
        <v>42</v>
      </c>
      <c r="J28" t="s">
        <v>993</v>
      </c>
      <c r="K28" t="s">
        <v>485</v>
      </c>
      <c r="L28" t="s">
        <v>486</v>
      </c>
      <c r="N28" t="s">
        <v>487</v>
      </c>
      <c r="O28">
        <v>1</v>
      </c>
      <c r="P28" t="s">
        <v>150</v>
      </c>
      <c r="Q28">
        <v>40</v>
      </c>
      <c r="R28">
        <v>0</v>
      </c>
      <c r="S28">
        <v>0</v>
      </c>
      <c r="T28">
        <v>20</v>
      </c>
      <c r="U28">
        <v>20</v>
      </c>
      <c r="V28" t="s">
        <v>45</v>
      </c>
      <c r="W28" t="s">
        <v>45</v>
      </c>
      <c r="X28" t="s">
        <v>45</v>
      </c>
      <c r="Y28">
        <v>80</v>
      </c>
      <c r="Z28" t="s">
        <v>13</v>
      </c>
      <c r="AA28" t="s">
        <v>151</v>
      </c>
    </row>
    <row r="29" spans="1:27">
      <c r="E29">
        <v>7900230155</v>
      </c>
      <c r="F29" t="s">
        <v>11</v>
      </c>
      <c r="G29" t="s">
        <v>153</v>
      </c>
      <c r="H29" t="s">
        <v>154</v>
      </c>
      <c r="I29" t="s">
        <v>51</v>
      </c>
      <c r="J29" t="s">
        <v>152</v>
      </c>
      <c r="K29" t="s">
        <v>471</v>
      </c>
      <c r="M29" t="s">
        <v>443</v>
      </c>
      <c r="N29" t="s">
        <v>489</v>
      </c>
      <c r="O29">
        <v>1</v>
      </c>
      <c r="P29" t="s">
        <v>156</v>
      </c>
      <c r="Q29">
        <v>15</v>
      </c>
      <c r="R29">
        <v>20</v>
      </c>
      <c r="S29">
        <v>5</v>
      </c>
      <c r="T29">
        <v>15</v>
      </c>
      <c r="U29">
        <v>0</v>
      </c>
      <c r="V29">
        <v>10</v>
      </c>
      <c r="W29">
        <v>0</v>
      </c>
      <c r="X29">
        <v>15</v>
      </c>
      <c r="Y29">
        <v>80</v>
      </c>
      <c r="Z29" t="s">
        <v>9</v>
      </c>
      <c r="AA29" t="s">
        <v>157</v>
      </c>
    </row>
    <row r="30" spans="1:27">
      <c r="E30">
        <v>7900543083</v>
      </c>
      <c r="F30" t="s">
        <v>11</v>
      </c>
      <c r="G30" t="s">
        <v>490</v>
      </c>
      <c r="H30" t="s">
        <v>62</v>
      </c>
      <c r="I30" t="s">
        <v>42</v>
      </c>
      <c r="J30" t="s">
        <v>437</v>
      </c>
      <c r="M30" t="s">
        <v>438</v>
      </c>
      <c r="P30" t="s">
        <v>439</v>
      </c>
      <c r="Q30">
        <v>15</v>
      </c>
      <c r="R30">
        <v>20</v>
      </c>
      <c r="S30">
        <v>5</v>
      </c>
      <c r="T30">
        <v>15</v>
      </c>
      <c r="U30">
        <v>0</v>
      </c>
      <c r="V30">
        <v>0</v>
      </c>
      <c r="W30">
        <v>10</v>
      </c>
      <c r="X30">
        <v>15</v>
      </c>
      <c r="Y30">
        <v>80</v>
      </c>
      <c r="Z30" t="s">
        <v>9</v>
      </c>
      <c r="AA30" t="s">
        <v>491</v>
      </c>
    </row>
    <row r="31" spans="1:27">
      <c r="E31">
        <v>7900930040</v>
      </c>
      <c r="F31" t="s">
        <v>11</v>
      </c>
      <c r="G31" t="s">
        <v>492</v>
      </c>
      <c r="H31" t="s">
        <v>57</v>
      </c>
      <c r="I31" t="s">
        <v>51</v>
      </c>
      <c r="J31" t="s">
        <v>437</v>
      </c>
      <c r="M31" t="s">
        <v>438</v>
      </c>
      <c r="P31" t="s">
        <v>439</v>
      </c>
      <c r="Q31">
        <v>15</v>
      </c>
      <c r="R31">
        <v>20</v>
      </c>
      <c r="S31">
        <v>5</v>
      </c>
      <c r="T31">
        <v>15</v>
      </c>
      <c r="U31">
        <v>0</v>
      </c>
      <c r="V31">
        <v>0</v>
      </c>
      <c r="W31">
        <v>10</v>
      </c>
      <c r="X31">
        <v>15</v>
      </c>
      <c r="Y31">
        <v>80</v>
      </c>
      <c r="Z31" t="s">
        <v>9</v>
      </c>
      <c r="AA31" t="s">
        <v>493</v>
      </c>
    </row>
    <row r="32" spans="1:27">
      <c r="E32">
        <v>7931383086</v>
      </c>
      <c r="F32" t="s">
        <v>11</v>
      </c>
      <c r="G32" t="s">
        <v>209</v>
      </c>
      <c r="H32" t="s">
        <v>210</v>
      </c>
      <c r="I32" t="s">
        <v>42</v>
      </c>
      <c r="J32" t="s">
        <v>437</v>
      </c>
      <c r="M32" t="s">
        <v>438</v>
      </c>
      <c r="P32" t="s">
        <v>439</v>
      </c>
      <c r="Q32">
        <v>15</v>
      </c>
      <c r="R32">
        <v>20</v>
      </c>
      <c r="S32">
        <v>5</v>
      </c>
      <c r="T32">
        <v>15</v>
      </c>
      <c r="U32">
        <v>0</v>
      </c>
      <c r="V32">
        <v>10</v>
      </c>
      <c r="W32">
        <v>0</v>
      </c>
      <c r="X32">
        <v>15</v>
      </c>
      <c r="Y32">
        <v>80</v>
      </c>
      <c r="Z32" t="s">
        <v>9</v>
      </c>
      <c r="AA32" t="s">
        <v>494</v>
      </c>
    </row>
    <row r="33" spans="1:27">
      <c r="A33" t="s">
        <v>967</v>
      </c>
      <c r="B33" t="s">
        <v>987</v>
      </c>
      <c r="E33">
        <v>7908302256</v>
      </c>
      <c r="F33" t="s">
        <v>11</v>
      </c>
      <c r="G33" t="s">
        <v>107</v>
      </c>
      <c r="H33" t="s">
        <v>108</v>
      </c>
      <c r="I33" t="s">
        <v>42</v>
      </c>
      <c r="J33" t="s">
        <v>437</v>
      </c>
      <c r="K33" t="s">
        <v>484</v>
      </c>
      <c r="L33" t="s">
        <v>994</v>
      </c>
      <c r="P33" t="s">
        <v>439</v>
      </c>
      <c r="Q33">
        <v>5</v>
      </c>
      <c r="R33">
        <v>10</v>
      </c>
      <c r="S33">
        <v>5</v>
      </c>
      <c r="T33">
        <v>15</v>
      </c>
      <c r="U33">
        <v>15</v>
      </c>
      <c r="V33">
        <v>10</v>
      </c>
      <c r="W33">
        <v>0</v>
      </c>
      <c r="X33">
        <v>15</v>
      </c>
      <c r="Y33">
        <v>75</v>
      </c>
      <c r="Z33" t="s">
        <v>13</v>
      </c>
      <c r="AA33" t="s">
        <v>160</v>
      </c>
    </row>
    <row r="34" spans="1:27">
      <c r="E34">
        <v>5800371025</v>
      </c>
      <c r="F34" t="s">
        <v>10</v>
      </c>
      <c r="G34" t="s">
        <v>162</v>
      </c>
      <c r="H34" t="s">
        <v>154</v>
      </c>
      <c r="I34" t="s">
        <v>51</v>
      </c>
      <c r="J34" t="s">
        <v>942</v>
      </c>
      <c r="K34" t="s">
        <v>467</v>
      </c>
      <c r="L34" t="s">
        <v>504</v>
      </c>
      <c r="M34" t="s">
        <v>443</v>
      </c>
      <c r="N34" t="s">
        <v>460</v>
      </c>
      <c r="O34">
        <v>1</v>
      </c>
      <c r="P34" t="s">
        <v>995</v>
      </c>
      <c r="Q34">
        <v>0</v>
      </c>
      <c r="R34">
        <v>20</v>
      </c>
      <c r="S34">
        <v>20</v>
      </c>
      <c r="T34">
        <v>10</v>
      </c>
      <c r="U34">
        <v>20</v>
      </c>
      <c r="V34" t="s">
        <v>45</v>
      </c>
      <c r="W34" t="s">
        <v>45</v>
      </c>
      <c r="X34" t="s">
        <v>45</v>
      </c>
      <c r="Y34">
        <v>70</v>
      </c>
      <c r="Z34" t="s">
        <v>13</v>
      </c>
      <c r="AA34" t="s">
        <v>165</v>
      </c>
    </row>
    <row r="35" spans="1:27">
      <c r="A35" t="s">
        <v>974</v>
      </c>
      <c r="B35" t="s">
        <v>996</v>
      </c>
      <c r="D35" t="e" cm="1">
        <f t="array" ref="D35">_xlfn.XLOOKUP(_xlfn.NUMBERVALUE(E35),_xlfn.NUMBERVALUE([5]Planilha1!$C$2:$C$34),[5]Planilha1!$T$3:$T$34)</f>
        <v>#VALUE!</v>
      </c>
      <c r="E35">
        <v>7926089013</v>
      </c>
      <c r="F35" t="s">
        <v>11</v>
      </c>
      <c r="G35" t="s">
        <v>97</v>
      </c>
      <c r="H35" t="s">
        <v>97</v>
      </c>
      <c r="I35" t="s">
        <v>42</v>
      </c>
      <c r="J35" t="s">
        <v>171</v>
      </c>
      <c r="K35" t="s">
        <v>451</v>
      </c>
      <c r="N35" t="s">
        <v>480</v>
      </c>
      <c r="O35">
        <v>1</v>
      </c>
      <c r="P35" t="s">
        <v>173</v>
      </c>
      <c r="Q35">
        <v>15</v>
      </c>
      <c r="R35">
        <v>10</v>
      </c>
      <c r="S35">
        <v>5</v>
      </c>
      <c r="T35">
        <v>15</v>
      </c>
      <c r="U35">
        <v>15</v>
      </c>
      <c r="V35">
        <v>10</v>
      </c>
      <c r="W35">
        <v>0</v>
      </c>
      <c r="X35">
        <v>0</v>
      </c>
      <c r="Y35">
        <v>70</v>
      </c>
      <c r="Z35" t="s">
        <v>13</v>
      </c>
      <c r="AA35" t="s">
        <v>174</v>
      </c>
    </row>
    <row r="36" spans="1:27">
      <c r="E36">
        <v>7925087021</v>
      </c>
      <c r="F36" t="s">
        <v>11</v>
      </c>
      <c r="G36" t="s">
        <v>176</v>
      </c>
      <c r="H36" t="s">
        <v>177</v>
      </c>
      <c r="I36" t="s">
        <v>76</v>
      </c>
      <c r="J36" t="s">
        <v>997</v>
      </c>
      <c r="K36" t="s">
        <v>445</v>
      </c>
      <c r="L36" t="s">
        <v>496</v>
      </c>
      <c r="M36" t="s">
        <v>443</v>
      </c>
      <c r="N36" t="s">
        <v>480</v>
      </c>
      <c r="O36">
        <v>1</v>
      </c>
      <c r="P36" t="s">
        <v>179</v>
      </c>
      <c r="Q36">
        <v>15</v>
      </c>
      <c r="R36">
        <v>10</v>
      </c>
      <c r="S36">
        <v>5</v>
      </c>
      <c r="T36">
        <v>0</v>
      </c>
      <c r="U36">
        <v>15</v>
      </c>
      <c r="V36">
        <v>10</v>
      </c>
      <c r="W36">
        <v>0</v>
      </c>
      <c r="X36">
        <v>15</v>
      </c>
      <c r="Y36">
        <v>70</v>
      </c>
      <c r="Z36" t="s">
        <v>13</v>
      </c>
      <c r="AA36" t="s">
        <v>180</v>
      </c>
    </row>
    <row r="37" spans="1:27">
      <c r="A37" t="s">
        <v>974</v>
      </c>
      <c r="B37" s="7" t="s">
        <v>998</v>
      </c>
      <c r="C37" s="7"/>
      <c r="D37" t="e" cm="1">
        <f t="array" ref="D37">_xlfn.XLOOKUP(_xlfn.NUMBERVALUE(E37),_xlfn.NUMBERVALUE([5]Planilha1!$C$2:$C$34),[5]Planilha1!$T$3:$T$34)</f>
        <v>#VALUE!</v>
      </c>
      <c r="E37">
        <v>5801866013</v>
      </c>
      <c r="F37" t="s">
        <v>10</v>
      </c>
      <c r="G37" t="s">
        <v>97</v>
      </c>
      <c r="H37" t="s">
        <v>97</v>
      </c>
      <c r="I37" t="s">
        <v>42</v>
      </c>
      <c r="J37" t="s">
        <v>670</v>
      </c>
      <c r="K37" t="s">
        <v>445</v>
      </c>
      <c r="L37" t="s">
        <v>496</v>
      </c>
      <c r="M37" t="s">
        <v>443</v>
      </c>
      <c r="N37" t="s">
        <v>444</v>
      </c>
      <c r="O37">
        <v>1</v>
      </c>
      <c r="P37" t="s">
        <v>671</v>
      </c>
      <c r="Q37">
        <v>0</v>
      </c>
      <c r="R37">
        <v>20</v>
      </c>
      <c r="S37">
        <v>20</v>
      </c>
      <c r="T37">
        <v>20</v>
      </c>
      <c r="U37">
        <v>10</v>
      </c>
      <c r="V37" t="s">
        <v>45</v>
      </c>
      <c r="W37" t="s">
        <v>45</v>
      </c>
      <c r="X37" t="s">
        <v>45</v>
      </c>
      <c r="Y37">
        <v>70</v>
      </c>
      <c r="Z37" t="s">
        <v>13</v>
      </c>
      <c r="AA37" t="s">
        <v>184</v>
      </c>
    </row>
    <row r="38" spans="1:27">
      <c r="E38">
        <v>5865120195</v>
      </c>
      <c r="F38" t="s">
        <v>10</v>
      </c>
      <c r="G38" t="s">
        <v>167</v>
      </c>
      <c r="H38" t="s">
        <v>50</v>
      </c>
      <c r="I38" t="s">
        <v>51</v>
      </c>
      <c r="J38" t="s">
        <v>166</v>
      </c>
      <c r="K38" t="s">
        <v>471</v>
      </c>
      <c r="N38" t="s">
        <v>497</v>
      </c>
      <c r="O38">
        <v>1</v>
      </c>
      <c r="P38" t="s">
        <v>169</v>
      </c>
      <c r="Q38">
        <v>20</v>
      </c>
      <c r="R38">
        <v>20</v>
      </c>
      <c r="S38">
        <v>20</v>
      </c>
      <c r="T38">
        <v>10</v>
      </c>
      <c r="U38">
        <v>0</v>
      </c>
      <c r="V38" t="s">
        <v>45</v>
      </c>
      <c r="W38" t="s">
        <v>45</v>
      </c>
      <c r="X38" t="s">
        <v>45</v>
      </c>
      <c r="Y38">
        <v>70</v>
      </c>
      <c r="Z38" t="s">
        <v>13</v>
      </c>
      <c r="AA38" t="s">
        <v>170</v>
      </c>
    </row>
    <row r="39" spans="1:27">
      <c r="A39" t="s">
        <v>999</v>
      </c>
      <c r="E39">
        <v>5853360007</v>
      </c>
      <c r="F39" t="s">
        <v>10</v>
      </c>
      <c r="G39" t="s">
        <v>186</v>
      </c>
      <c r="H39" t="s">
        <v>186</v>
      </c>
      <c r="I39" t="s">
        <v>42</v>
      </c>
      <c r="J39" t="s">
        <v>185</v>
      </c>
      <c r="K39" t="s">
        <v>498</v>
      </c>
      <c r="L39" t="s">
        <v>499</v>
      </c>
      <c r="N39" t="s">
        <v>497</v>
      </c>
      <c r="O39">
        <v>1</v>
      </c>
      <c r="P39" t="s">
        <v>188</v>
      </c>
      <c r="Q39">
        <v>0</v>
      </c>
      <c r="R39">
        <v>20</v>
      </c>
      <c r="S39">
        <v>20</v>
      </c>
      <c r="T39">
        <v>10</v>
      </c>
      <c r="U39">
        <v>20</v>
      </c>
      <c r="V39" t="s">
        <v>45</v>
      </c>
      <c r="W39" t="s">
        <v>45</v>
      </c>
      <c r="X39" t="s">
        <v>45</v>
      </c>
      <c r="Y39">
        <v>70</v>
      </c>
      <c r="Z39" t="s">
        <v>13</v>
      </c>
      <c r="AA39" t="s">
        <v>189</v>
      </c>
    </row>
    <row r="40" spans="1:27">
      <c r="E40">
        <v>5800366016</v>
      </c>
      <c r="F40" t="s">
        <v>10</v>
      </c>
      <c r="G40" t="s">
        <v>500</v>
      </c>
      <c r="H40" t="s">
        <v>223</v>
      </c>
      <c r="I40" t="s">
        <v>51</v>
      </c>
      <c r="J40" t="s">
        <v>437</v>
      </c>
      <c r="M40" t="s">
        <v>438</v>
      </c>
      <c r="P40" t="s">
        <v>439</v>
      </c>
      <c r="Q40">
        <v>0</v>
      </c>
      <c r="R40">
        <v>20</v>
      </c>
      <c r="S40">
        <v>20</v>
      </c>
      <c r="T40">
        <v>20</v>
      </c>
      <c r="U40">
        <v>10</v>
      </c>
      <c r="V40" t="s">
        <v>45</v>
      </c>
      <c r="W40" t="s">
        <v>45</v>
      </c>
      <c r="X40" t="s">
        <v>45</v>
      </c>
      <c r="Y40">
        <v>70</v>
      </c>
      <c r="Z40" t="s">
        <v>13</v>
      </c>
      <c r="AA40" t="s">
        <v>501</v>
      </c>
    </row>
    <row r="41" spans="1:27">
      <c r="E41">
        <v>7955523028</v>
      </c>
      <c r="F41" t="s">
        <v>11</v>
      </c>
      <c r="G41" t="s">
        <v>502</v>
      </c>
      <c r="H41" t="s">
        <v>75</v>
      </c>
      <c r="I41" t="s">
        <v>76</v>
      </c>
      <c r="J41" t="s">
        <v>437</v>
      </c>
      <c r="M41" t="s">
        <v>438</v>
      </c>
      <c r="P41" t="s">
        <v>439</v>
      </c>
      <c r="Q41">
        <v>15</v>
      </c>
      <c r="R41">
        <v>10</v>
      </c>
      <c r="S41">
        <v>5</v>
      </c>
      <c r="T41">
        <v>15</v>
      </c>
      <c r="U41">
        <v>15</v>
      </c>
      <c r="V41">
        <v>10</v>
      </c>
      <c r="W41">
        <v>0</v>
      </c>
      <c r="X41">
        <v>0</v>
      </c>
      <c r="Y41">
        <v>70</v>
      </c>
      <c r="Z41" t="s">
        <v>13</v>
      </c>
      <c r="AA41" t="s">
        <v>503</v>
      </c>
    </row>
    <row r="42" spans="1:27">
      <c r="E42">
        <v>7900573047</v>
      </c>
      <c r="F42" t="s">
        <v>11</v>
      </c>
      <c r="G42" t="s">
        <v>191</v>
      </c>
      <c r="H42" t="s">
        <v>449</v>
      </c>
      <c r="I42" t="s">
        <v>76</v>
      </c>
      <c r="J42" t="s">
        <v>1000</v>
      </c>
      <c r="K42" t="s">
        <v>445</v>
      </c>
      <c r="L42" t="s">
        <v>496</v>
      </c>
      <c r="M42" t="s">
        <v>443</v>
      </c>
      <c r="N42" t="s">
        <v>469</v>
      </c>
      <c r="O42">
        <v>1</v>
      </c>
      <c r="P42" t="s">
        <v>194</v>
      </c>
      <c r="Q42">
        <v>5</v>
      </c>
      <c r="R42">
        <v>5</v>
      </c>
      <c r="S42">
        <v>15</v>
      </c>
      <c r="T42">
        <v>0</v>
      </c>
      <c r="U42">
        <v>15</v>
      </c>
      <c r="V42">
        <v>10</v>
      </c>
      <c r="W42">
        <v>0</v>
      </c>
      <c r="X42">
        <v>15</v>
      </c>
      <c r="Y42">
        <v>65</v>
      </c>
      <c r="Z42" t="s">
        <v>13</v>
      </c>
      <c r="AA42" t="s">
        <v>195</v>
      </c>
    </row>
    <row r="43" spans="1:27">
      <c r="A43" t="s">
        <v>967</v>
      </c>
      <c r="B43" t="s">
        <v>1001</v>
      </c>
      <c r="E43">
        <v>7953610256</v>
      </c>
      <c r="F43" t="s">
        <v>11</v>
      </c>
      <c r="G43" t="s">
        <v>107</v>
      </c>
      <c r="H43" t="s">
        <v>108</v>
      </c>
      <c r="I43" t="s">
        <v>42</v>
      </c>
      <c r="J43" t="s">
        <v>1002</v>
      </c>
      <c r="K43" t="s">
        <v>467</v>
      </c>
      <c r="L43" t="s">
        <v>504</v>
      </c>
      <c r="N43" t="s">
        <v>465</v>
      </c>
      <c r="O43">
        <v>1</v>
      </c>
      <c r="P43" t="s">
        <v>1003</v>
      </c>
      <c r="Q43">
        <v>5</v>
      </c>
      <c r="R43">
        <v>5</v>
      </c>
      <c r="S43">
        <v>15</v>
      </c>
      <c r="T43">
        <v>15</v>
      </c>
      <c r="U43">
        <v>0</v>
      </c>
      <c r="V43">
        <v>0</v>
      </c>
      <c r="W43">
        <v>10</v>
      </c>
      <c r="X43">
        <v>15</v>
      </c>
      <c r="Y43">
        <v>65</v>
      </c>
      <c r="Z43" t="s">
        <v>13</v>
      </c>
      <c r="AA43" t="s">
        <v>198</v>
      </c>
    </row>
    <row r="44" spans="1:27">
      <c r="E44">
        <v>5800438116</v>
      </c>
      <c r="F44" t="s">
        <v>10</v>
      </c>
      <c r="G44" t="s">
        <v>200</v>
      </c>
      <c r="H44" t="s">
        <v>75</v>
      </c>
      <c r="I44" t="s">
        <v>76</v>
      </c>
      <c r="J44" t="s">
        <v>199</v>
      </c>
      <c r="K44" t="s">
        <v>445</v>
      </c>
      <c r="L44" t="s">
        <v>496</v>
      </c>
      <c r="M44" t="s">
        <v>443</v>
      </c>
      <c r="N44" t="s">
        <v>444</v>
      </c>
      <c r="O44">
        <v>2</v>
      </c>
      <c r="P44" t="s">
        <v>201</v>
      </c>
      <c r="Q44">
        <v>0</v>
      </c>
      <c r="R44">
        <v>20</v>
      </c>
      <c r="S44">
        <v>20</v>
      </c>
      <c r="T44">
        <v>20</v>
      </c>
      <c r="U44">
        <v>0</v>
      </c>
      <c r="V44" t="s">
        <v>45</v>
      </c>
      <c r="W44" t="s">
        <v>45</v>
      </c>
      <c r="X44" t="s">
        <v>45</v>
      </c>
      <c r="Y44">
        <v>60</v>
      </c>
      <c r="Z44" t="s">
        <v>14</v>
      </c>
      <c r="AA44" t="s">
        <v>202</v>
      </c>
    </row>
    <row r="45" spans="1:27">
      <c r="E45">
        <v>5800090147</v>
      </c>
      <c r="F45" t="s">
        <v>10</v>
      </c>
      <c r="G45" t="s">
        <v>506</v>
      </c>
      <c r="H45" t="s">
        <v>75</v>
      </c>
      <c r="I45" t="s">
        <v>76</v>
      </c>
      <c r="J45" t="s">
        <v>1004</v>
      </c>
      <c r="P45" t="s">
        <v>1005</v>
      </c>
      <c r="Q45">
        <v>0</v>
      </c>
      <c r="R45">
        <v>20</v>
      </c>
      <c r="S45">
        <v>20</v>
      </c>
      <c r="T45">
        <v>10</v>
      </c>
      <c r="U45">
        <v>10</v>
      </c>
      <c r="V45" t="s">
        <v>45</v>
      </c>
      <c r="W45" t="s">
        <v>45</v>
      </c>
      <c r="X45" t="s">
        <v>45</v>
      </c>
      <c r="Y45">
        <v>60</v>
      </c>
      <c r="Z45" t="s">
        <v>14</v>
      </c>
      <c r="AA45" t="s">
        <v>507</v>
      </c>
    </row>
    <row r="46" spans="1:27">
      <c r="E46">
        <v>5840227063</v>
      </c>
      <c r="F46" t="s">
        <v>10</v>
      </c>
      <c r="G46" t="s">
        <v>204</v>
      </c>
      <c r="H46" t="s">
        <v>154</v>
      </c>
      <c r="I46" t="s">
        <v>51</v>
      </c>
      <c r="J46" t="s">
        <v>1006</v>
      </c>
      <c r="K46" t="s">
        <v>495</v>
      </c>
      <c r="P46" t="s">
        <v>508</v>
      </c>
      <c r="Q46">
        <v>0</v>
      </c>
      <c r="R46">
        <v>20</v>
      </c>
      <c r="S46">
        <v>20</v>
      </c>
      <c r="T46">
        <v>10</v>
      </c>
      <c r="U46">
        <v>10</v>
      </c>
      <c r="V46" t="s">
        <v>45</v>
      </c>
      <c r="W46" t="s">
        <v>45</v>
      </c>
      <c r="X46" t="s">
        <v>45</v>
      </c>
      <c r="Y46">
        <v>60</v>
      </c>
      <c r="Z46" t="s">
        <v>14</v>
      </c>
      <c r="AA46" t="s">
        <v>207</v>
      </c>
    </row>
    <row r="47" spans="1:27">
      <c r="E47">
        <v>5846328094</v>
      </c>
      <c r="F47" t="s">
        <v>10</v>
      </c>
      <c r="G47" t="s">
        <v>177</v>
      </c>
      <c r="H47" t="s">
        <v>177</v>
      </c>
      <c r="I47" t="s">
        <v>76</v>
      </c>
      <c r="J47" t="s">
        <v>214</v>
      </c>
      <c r="K47" t="s">
        <v>482</v>
      </c>
      <c r="M47" t="s">
        <v>443</v>
      </c>
      <c r="N47" t="s">
        <v>497</v>
      </c>
      <c r="O47">
        <v>1</v>
      </c>
      <c r="P47" t="s">
        <v>216</v>
      </c>
      <c r="Q47">
        <v>0</v>
      </c>
      <c r="R47">
        <v>20</v>
      </c>
      <c r="S47">
        <v>20</v>
      </c>
      <c r="T47">
        <v>10</v>
      </c>
      <c r="U47">
        <v>10</v>
      </c>
      <c r="V47" t="s">
        <v>45</v>
      </c>
      <c r="W47" t="s">
        <v>45</v>
      </c>
      <c r="X47" t="s">
        <v>45</v>
      </c>
      <c r="Y47">
        <v>60</v>
      </c>
      <c r="Z47" t="s">
        <v>14</v>
      </c>
      <c r="AA47" t="s">
        <v>217</v>
      </c>
    </row>
    <row r="48" spans="1:27">
      <c r="E48">
        <v>5851753086</v>
      </c>
      <c r="F48" t="s">
        <v>10</v>
      </c>
      <c r="G48" t="s">
        <v>209</v>
      </c>
      <c r="H48" t="s">
        <v>210</v>
      </c>
      <c r="I48" t="s">
        <v>42</v>
      </c>
      <c r="J48" t="s">
        <v>208</v>
      </c>
      <c r="K48" t="s">
        <v>482</v>
      </c>
      <c r="M48" t="s">
        <v>443</v>
      </c>
      <c r="N48" t="s">
        <v>497</v>
      </c>
      <c r="O48">
        <v>1</v>
      </c>
      <c r="P48" t="s">
        <v>212</v>
      </c>
      <c r="Q48">
        <v>0</v>
      </c>
      <c r="R48">
        <v>20</v>
      </c>
      <c r="S48">
        <v>20</v>
      </c>
      <c r="T48">
        <v>10</v>
      </c>
      <c r="U48">
        <v>10</v>
      </c>
      <c r="V48" t="s">
        <v>45</v>
      </c>
      <c r="W48" t="s">
        <v>45</v>
      </c>
      <c r="X48" t="s">
        <v>45</v>
      </c>
      <c r="Y48">
        <v>60</v>
      </c>
      <c r="Z48" t="s">
        <v>14</v>
      </c>
      <c r="AA48" t="s">
        <v>213</v>
      </c>
    </row>
    <row r="49" spans="1:27">
      <c r="E49">
        <v>7903112004</v>
      </c>
      <c r="F49" t="s">
        <v>11</v>
      </c>
      <c r="G49" t="s">
        <v>57</v>
      </c>
      <c r="H49" t="s">
        <v>57</v>
      </c>
      <c r="I49" t="s">
        <v>51</v>
      </c>
      <c r="J49" t="s">
        <v>218</v>
      </c>
      <c r="K49" t="s">
        <v>467</v>
      </c>
      <c r="L49" t="s">
        <v>509</v>
      </c>
      <c r="M49" t="s">
        <v>443</v>
      </c>
      <c r="N49" t="s">
        <v>480</v>
      </c>
      <c r="O49">
        <v>1</v>
      </c>
      <c r="P49" t="s">
        <v>1007</v>
      </c>
      <c r="Q49">
        <v>15</v>
      </c>
      <c r="R49">
        <v>10</v>
      </c>
      <c r="S49">
        <v>5</v>
      </c>
      <c r="T49">
        <v>15</v>
      </c>
      <c r="U49">
        <v>0</v>
      </c>
      <c r="V49">
        <v>10</v>
      </c>
      <c r="W49">
        <v>0</v>
      </c>
      <c r="X49">
        <v>0</v>
      </c>
      <c r="Y49">
        <v>55</v>
      </c>
      <c r="Z49" t="s">
        <v>13</v>
      </c>
      <c r="AA49" t="s">
        <v>220</v>
      </c>
    </row>
    <row r="50" spans="1:27">
      <c r="E50">
        <v>7920024127</v>
      </c>
      <c r="F50" t="s">
        <v>11</v>
      </c>
      <c r="G50" t="s">
        <v>222</v>
      </c>
      <c r="H50" t="s">
        <v>223</v>
      </c>
      <c r="I50" t="s">
        <v>51</v>
      </c>
      <c r="J50" t="s">
        <v>221</v>
      </c>
      <c r="K50" t="s">
        <v>451</v>
      </c>
      <c r="N50" t="s">
        <v>510</v>
      </c>
      <c r="O50">
        <v>1</v>
      </c>
      <c r="P50" t="s">
        <v>225</v>
      </c>
      <c r="Q50">
        <v>15</v>
      </c>
      <c r="R50">
        <v>10</v>
      </c>
      <c r="S50">
        <v>5</v>
      </c>
      <c r="T50">
        <v>15</v>
      </c>
      <c r="U50">
        <v>0</v>
      </c>
      <c r="V50">
        <v>10</v>
      </c>
      <c r="W50">
        <v>0</v>
      </c>
      <c r="X50">
        <v>0</v>
      </c>
      <c r="Y50">
        <v>55</v>
      </c>
      <c r="Z50" t="s">
        <v>13</v>
      </c>
      <c r="AA50" t="s">
        <v>226</v>
      </c>
    </row>
    <row r="51" spans="1:27">
      <c r="A51" t="s">
        <v>967</v>
      </c>
      <c r="B51" t="s">
        <v>990</v>
      </c>
      <c r="E51">
        <v>7927646026</v>
      </c>
      <c r="F51" t="s">
        <v>11</v>
      </c>
      <c r="G51" t="s">
        <v>108</v>
      </c>
      <c r="H51" t="s">
        <v>108</v>
      </c>
      <c r="I51" t="s">
        <v>42</v>
      </c>
      <c r="J51" t="s">
        <v>227</v>
      </c>
      <c r="K51" t="s">
        <v>451</v>
      </c>
      <c r="N51" t="s">
        <v>480</v>
      </c>
      <c r="O51">
        <v>1</v>
      </c>
      <c r="P51" t="s">
        <v>228</v>
      </c>
      <c r="Q51">
        <v>15</v>
      </c>
      <c r="R51">
        <v>10</v>
      </c>
      <c r="S51">
        <v>5</v>
      </c>
      <c r="T51">
        <v>0</v>
      </c>
      <c r="U51">
        <v>15</v>
      </c>
      <c r="V51">
        <v>0</v>
      </c>
      <c r="W51">
        <v>10</v>
      </c>
      <c r="X51">
        <v>0</v>
      </c>
      <c r="Y51">
        <v>55</v>
      </c>
      <c r="Z51" t="s">
        <v>13</v>
      </c>
      <c r="AA51" t="s">
        <v>229</v>
      </c>
    </row>
    <row r="52" spans="1:27">
      <c r="A52" t="s">
        <v>967</v>
      </c>
      <c r="B52" t="s">
        <v>1008</v>
      </c>
      <c r="E52">
        <v>7927169001</v>
      </c>
      <c r="F52" t="s">
        <v>11</v>
      </c>
      <c r="G52" t="s">
        <v>41</v>
      </c>
      <c r="H52" t="s">
        <v>41</v>
      </c>
      <c r="I52" t="s">
        <v>42</v>
      </c>
      <c r="J52" t="s">
        <v>1009</v>
      </c>
      <c r="K52" t="s">
        <v>445</v>
      </c>
      <c r="L52" t="s">
        <v>496</v>
      </c>
      <c r="M52" t="s">
        <v>443</v>
      </c>
      <c r="N52" t="s">
        <v>480</v>
      </c>
      <c r="P52" t="s">
        <v>1010</v>
      </c>
      <c r="Q52">
        <v>5</v>
      </c>
      <c r="R52">
        <v>5</v>
      </c>
      <c r="S52">
        <v>15</v>
      </c>
      <c r="T52">
        <v>0</v>
      </c>
      <c r="U52">
        <v>15</v>
      </c>
      <c r="V52">
        <v>0</v>
      </c>
      <c r="W52">
        <v>0</v>
      </c>
      <c r="X52">
        <v>15</v>
      </c>
      <c r="Y52">
        <v>55</v>
      </c>
      <c r="Z52" t="s">
        <v>13</v>
      </c>
      <c r="AA52" t="s">
        <v>232</v>
      </c>
    </row>
    <row r="53" spans="1:27">
      <c r="E53">
        <v>7900018004</v>
      </c>
      <c r="F53" t="s">
        <v>11</v>
      </c>
      <c r="G53" t="s">
        <v>57</v>
      </c>
      <c r="H53" t="s">
        <v>57</v>
      </c>
      <c r="I53" t="s">
        <v>51</v>
      </c>
      <c r="J53" t="s">
        <v>437</v>
      </c>
      <c r="M53" t="s">
        <v>438</v>
      </c>
      <c r="P53" t="s">
        <v>439</v>
      </c>
      <c r="Q53">
        <v>15</v>
      </c>
      <c r="R53">
        <v>10</v>
      </c>
      <c r="S53">
        <v>5</v>
      </c>
      <c r="T53">
        <v>15</v>
      </c>
      <c r="U53">
        <v>0</v>
      </c>
      <c r="V53">
        <v>10</v>
      </c>
      <c r="W53">
        <v>0</v>
      </c>
      <c r="X53">
        <v>0</v>
      </c>
      <c r="Y53">
        <v>55</v>
      </c>
      <c r="Z53" t="s">
        <v>13</v>
      </c>
      <c r="AA53" t="s">
        <v>511</v>
      </c>
    </row>
    <row r="54" spans="1:27">
      <c r="E54">
        <v>7934698002</v>
      </c>
      <c r="F54" t="s">
        <v>11</v>
      </c>
      <c r="G54" t="s">
        <v>223</v>
      </c>
      <c r="H54" t="s">
        <v>223</v>
      </c>
      <c r="I54" t="s">
        <v>51</v>
      </c>
      <c r="J54" t="s">
        <v>437</v>
      </c>
      <c r="M54" t="s">
        <v>438</v>
      </c>
      <c r="P54" t="s">
        <v>439</v>
      </c>
      <c r="Q54">
        <v>5</v>
      </c>
      <c r="R54">
        <v>5</v>
      </c>
      <c r="S54">
        <v>5</v>
      </c>
      <c r="T54">
        <v>0</v>
      </c>
      <c r="U54">
        <v>15</v>
      </c>
      <c r="V54">
        <v>0</v>
      </c>
      <c r="W54">
        <v>10</v>
      </c>
      <c r="X54">
        <v>15</v>
      </c>
      <c r="Y54">
        <v>55</v>
      </c>
      <c r="Z54" t="s">
        <v>13</v>
      </c>
      <c r="AA54" t="s">
        <v>512</v>
      </c>
    </row>
    <row r="55" spans="1:27">
      <c r="A55" t="s">
        <v>967</v>
      </c>
      <c r="B55" t="s">
        <v>1011</v>
      </c>
      <c r="E55" s="32">
        <v>7930428001</v>
      </c>
      <c r="F55" t="s">
        <v>11</v>
      </c>
      <c r="G55" t="s">
        <v>41</v>
      </c>
      <c r="H55" t="s">
        <v>41</v>
      </c>
      <c r="I55" t="s">
        <v>42</v>
      </c>
      <c r="J55" t="s">
        <v>1012</v>
      </c>
      <c r="K55" t="s">
        <v>484</v>
      </c>
      <c r="N55" t="s">
        <v>480</v>
      </c>
      <c r="O55">
        <v>1</v>
      </c>
      <c r="P55" t="s">
        <v>1013</v>
      </c>
      <c r="Q55">
        <v>5</v>
      </c>
      <c r="R55">
        <v>5</v>
      </c>
      <c r="S55">
        <v>15</v>
      </c>
      <c r="T55">
        <v>0</v>
      </c>
      <c r="U55">
        <v>15</v>
      </c>
      <c r="V55">
        <v>10</v>
      </c>
      <c r="W55">
        <v>0</v>
      </c>
      <c r="X55">
        <v>0</v>
      </c>
      <c r="Y55">
        <v>50</v>
      </c>
      <c r="Z55" t="s">
        <v>13</v>
      </c>
      <c r="AA55" t="s">
        <v>241</v>
      </c>
    </row>
    <row r="56" spans="1:27">
      <c r="E56">
        <v>7936038076</v>
      </c>
      <c r="F56" t="s">
        <v>11</v>
      </c>
      <c r="G56" t="s">
        <v>335</v>
      </c>
      <c r="H56" t="s">
        <v>336</v>
      </c>
      <c r="I56" t="s">
        <v>76</v>
      </c>
      <c r="J56" t="s">
        <v>437</v>
      </c>
      <c r="K56" t="s">
        <v>484</v>
      </c>
      <c r="N56" t="s">
        <v>480</v>
      </c>
      <c r="O56">
        <v>1</v>
      </c>
      <c r="P56" t="s">
        <v>439</v>
      </c>
      <c r="Q56">
        <v>5</v>
      </c>
      <c r="R56">
        <v>5</v>
      </c>
      <c r="S56">
        <v>15</v>
      </c>
      <c r="T56">
        <v>0</v>
      </c>
      <c r="U56">
        <v>15</v>
      </c>
      <c r="V56">
        <v>10</v>
      </c>
      <c r="W56">
        <v>0</v>
      </c>
      <c r="X56">
        <v>0</v>
      </c>
      <c r="Y56">
        <v>50</v>
      </c>
      <c r="Z56" t="s">
        <v>13</v>
      </c>
      <c r="AA56" t="s">
        <v>513</v>
      </c>
    </row>
    <row r="57" spans="1:27">
      <c r="E57">
        <v>7955520116</v>
      </c>
      <c r="F57" t="s">
        <v>11</v>
      </c>
      <c r="G57" t="s">
        <v>200</v>
      </c>
      <c r="H57" t="s">
        <v>75</v>
      </c>
      <c r="I57" t="s">
        <v>76</v>
      </c>
      <c r="J57" t="s">
        <v>437</v>
      </c>
      <c r="K57" t="s">
        <v>467</v>
      </c>
      <c r="L57" t="s">
        <v>1014</v>
      </c>
      <c r="N57" t="s">
        <v>480</v>
      </c>
      <c r="O57">
        <v>1</v>
      </c>
      <c r="P57" t="s">
        <v>439</v>
      </c>
      <c r="Q57">
        <v>5</v>
      </c>
      <c r="R57">
        <v>5</v>
      </c>
      <c r="S57">
        <v>15</v>
      </c>
      <c r="T57">
        <v>0</v>
      </c>
      <c r="U57">
        <v>0</v>
      </c>
      <c r="V57">
        <v>10</v>
      </c>
      <c r="W57">
        <v>0</v>
      </c>
      <c r="X57">
        <v>15</v>
      </c>
      <c r="Y57">
        <v>50</v>
      </c>
      <c r="Z57" t="s">
        <v>13</v>
      </c>
      <c r="AA57" t="s">
        <v>515</v>
      </c>
    </row>
    <row r="58" spans="1:27">
      <c r="E58">
        <v>5800291035</v>
      </c>
      <c r="F58" t="s">
        <v>10</v>
      </c>
      <c r="G58" t="s">
        <v>234</v>
      </c>
      <c r="H58" t="s">
        <v>108</v>
      </c>
      <c r="I58" t="s">
        <v>42</v>
      </c>
      <c r="J58" t="s">
        <v>233</v>
      </c>
      <c r="K58" t="s">
        <v>497</v>
      </c>
      <c r="N58" t="s">
        <v>497</v>
      </c>
      <c r="O58">
        <v>1</v>
      </c>
      <c r="P58" t="s">
        <v>236</v>
      </c>
      <c r="Q58">
        <v>0</v>
      </c>
      <c r="R58">
        <v>20</v>
      </c>
      <c r="S58">
        <v>20</v>
      </c>
      <c r="T58">
        <v>10</v>
      </c>
      <c r="U58">
        <v>0</v>
      </c>
      <c r="V58" t="s">
        <v>45</v>
      </c>
      <c r="W58" t="s">
        <v>45</v>
      </c>
      <c r="X58" t="s">
        <v>45</v>
      </c>
      <c r="Y58">
        <v>50</v>
      </c>
      <c r="Z58" t="s">
        <v>14</v>
      </c>
      <c r="AA58" t="s">
        <v>237</v>
      </c>
    </row>
    <row r="59" spans="1:27">
      <c r="A59" t="s">
        <v>974</v>
      </c>
      <c r="B59" s="7" t="s">
        <v>1015</v>
      </c>
      <c r="C59" s="7"/>
      <c r="D59" t="e" cm="1">
        <f t="array" ref="D59">_xlfn.XLOOKUP(_xlfn.NUMBERVALUE(E59),_xlfn.NUMBERVALUE([5]Planilha1!$C$2:$C$34),[5]Planilha1!$T$3:$T$34)</f>
        <v>#VALUE!</v>
      </c>
      <c r="E59">
        <v>5827102054</v>
      </c>
      <c r="F59" t="s">
        <v>10</v>
      </c>
      <c r="G59" t="s">
        <v>243</v>
      </c>
      <c r="H59" t="s">
        <v>97</v>
      </c>
      <c r="I59" t="s">
        <v>42</v>
      </c>
      <c r="J59" t="s">
        <v>242</v>
      </c>
      <c r="K59" t="s">
        <v>1016</v>
      </c>
      <c r="M59" t="s">
        <v>443</v>
      </c>
      <c r="N59" t="s">
        <v>1017</v>
      </c>
      <c r="O59">
        <v>1</v>
      </c>
      <c r="P59" t="s">
        <v>245</v>
      </c>
      <c r="Q59">
        <v>0</v>
      </c>
      <c r="R59">
        <v>20</v>
      </c>
      <c r="S59">
        <v>20</v>
      </c>
      <c r="T59">
        <v>10</v>
      </c>
      <c r="U59">
        <v>0</v>
      </c>
      <c r="V59" t="s">
        <v>45</v>
      </c>
      <c r="W59" t="s">
        <v>45</v>
      </c>
      <c r="X59" t="s">
        <v>45</v>
      </c>
      <c r="Y59">
        <v>50</v>
      </c>
      <c r="Z59" t="s">
        <v>14</v>
      </c>
      <c r="AA59" t="s">
        <v>246</v>
      </c>
    </row>
    <row r="60" spans="1:27">
      <c r="E60">
        <v>5850308009</v>
      </c>
      <c r="F60" t="s">
        <v>10</v>
      </c>
      <c r="G60" t="s">
        <v>50</v>
      </c>
      <c r="H60" t="s">
        <v>50</v>
      </c>
      <c r="I60" t="s">
        <v>51</v>
      </c>
      <c r="J60" t="s">
        <v>1018</v>
      </c>
      <c r="P60" t="s">
        <v>1019</v>
      </c>
      <c r="Q60">
        <v>0</v>
      </c>
      <c r="R60">
        <v>20</v>
      </c>
      <c r="S60">
        <v>20</v>
      </c>
      <c r="T60">
        <v>0</v>
      </c>
      <c r="U60">
        <v>10</v>
      </c>
      <c r="V60" t="s">
        <v>45</v>
      </c>
      <c r="W60" t="s">
        <v>45</v>
      </c>
      <c r="X60" t="s">
        <v>45</v>
      </c>
      <c r="Y60">
        <v>50</v>
      </c>
      <c r="Z60" t="s">
        <v>14</v>
      </c>
      <c r="AA60" t="s">
        <v>517</v>
      </c>
    </row>
    <row r="61" spans="1:27">
      <c r="E61">
        <v>7900535058</v>
      </c>
      <c r="F61" t="s">
        <v>11</v>
      </c>
      <c r="G61" t="s">
        <v>248</v>
      </c>
      <c r="H61" t="s">
        <v>57</v>
      </c>
      <c r="I61" t="s">
        <v>51</v>
      </c>
      <c r="J61" t="s">
        <v>247</v>
      </c>
      <c r="K61" t="s">
        <v>451</v>
      </c>
      <c r="N61" t="s">
        <v>460</v>
      </c>
      <c r="O61">
        <v>1</v>
      </c>
      <c r="P61" t="s">
        <v>250</v>
      </c>
      <c r="Q61">
        <v>5</v>
      </c>
      <c r="R61">
        <v>10</v>
      </c>
      <c r="S61">
        <v>5</v>
      </c>
      <c r="T61">
        <v>0</v>
      </c>
      <c r="U61">
        <v>15</v>
      </c>
      <c r="V61">
        <v>10</v>
      </c>
      <c r="W61">
        <v>0</v>
      </c>
      <c r="X61">
        <v>0</v>
      </c>
      <c r="Y61">
        <v>45</v>
      </c>
      <c r="Z61" t="s">
        <v>14</v>
      </c>
      <c r="AA61" t="s">
        <v>251</v>
      </c>
    </row>
    <row r="62" spans="1:27">
      <c r="E62">
        <v>7927713200</v>
      </c>
      <c r="F62" t="s">
        <v>11</v>
      </c>
      <c r="G62" t="s">
        <v>327</v>
      </c>
      <c r="H62" t="s">
        <v>177</v>
      </c>
      <c r="I62" t="s">
        <v>76</v>
      </c>
      <c r="J62" t="s">
        <v>437</v>
      </c>
      <c r="K62" t="s">
        <v>484</v>
      </c>
      <c r="N62" t="s">
        <v>480</v>
      </c>
      <c r="P62" t="s">
        <v>439</v>
      </c>
      <c r="Q62">
        <v>5</v>
      </c>
      <c r="R62">
        <v>5</v>
      </c>
      <c r="S62">
        <v>5</v>
      </c>
      <c r="T62">
        <v>0</v>
      </c>
      <c r="U62">
        <v>15</v>
      </c>
      <c r="V62">
        <v>10</v>
      </c>
      <c r="W62">
        <v>0</v>
      </c>
      <c r="X62">
        <v>0</v>
      </c>
      <c r="Y62">
        <v>40</v>
      </c>
      <c r="Z62" t="s">
        <v>14</v>
      </c>
      <c r="AA62" t="s">
        <v>518</v>
      </c>
    </row>
    <row r="63" spans="1:27">
      <c r="E63">
        <v>7937102148</v>
      </c>
      <c r="F63" t="s">
        <v>11</v>
      </c>
      <c r="G63" t="s">
        <v>262</v>
      </c>
      <c r="H63" t="s">
        <v>177</v>
      </c>
      <c r="I63" t="s">
        <v>76</v>
      </c>
      <c r="J63" t="s">
        <v>261</v>
      </c>
      <c r="K63" t="s">
        <v>1020</v>
      </c>
      <c r="N63" t="s">
        <v>480</v>
      </c>
      <c r="P63" t="s">
        <v>264</v>
      </c>
      <c r="Q63">
        <v>5</v>
      </c>
      <c r="R63">
        <v>5</v>
      </c>
      <c r="S63">
        <v>5</v>
      </c>
      <c r="T63">
        <v>0</v>
      </c>
      <c r="U63">
        <v>15</v>
      </c>
      <c r="V63">
        <v>10</v>
      </c>
      <c r="W63">
        <v>0</v>
      </c>
      <c r="X63">
        <v>0</v>
      </c>
      <c r="Y63">
        <v>40</v>
      </c>
      <c r="Z63" t="s">
        <v>14</v>
      </c>
      <c r="AA63" t="s">
        <v>265</v>
      </c>
    </row>
    <row r="64" spans="1:27">
      <c r="E64">
        <v>7944559149</v>
      </c>
      <c r="F64" t="s">
        <v>11</v>
      </c>
      <c r="G64" t="s">
        <v>257</v>
      </c>
      <c r="H64" t="s">
        <v>210</v>
      </c>
      <c r="I64" t="s">
        <v>42</v>
      </c>
      <c r="J64" t="s">
        <v>256</v>
      </c>
      <c r="K64" t="s">
        <v>1021</v>
      </c>
      <c r="P64" t="s">
        <v>1022</v>
      </c>
      <c r="Q64">
        <v>5</v>
      </c>
      <c r="R64">
        <v>10</v>
      </c>
      <c r="S64">
        <v>0</v>
      </c>
      <c r="T64">
        <v>0</v>
      </c>
      <c r="U64">
        <v>15</v>
      </c>
      <c r="V64">
        <v>10</v>
      </c>
      <c r="W64">
        <v>0</v>
      </c>
      <c r="X64">
        <v>0</v>
      </c>
      <c r="Y64">
        <v>40</v>
      </c>
      <c r="Z64" t="s">
        <v>14</v>
      </c>
      <c r="AA64" t="s">
        <v>260</v>
      </c>
    </row>
    <row r="65" spans="1:27">
      <c r="E65">
        <v>5800961074</v>
      </c>
      <c r="F65" t="s">
        <v>10</v>
      </c>
      <c r="G65" t="s">
        <v>75</v>
      </c>
      <c r="H65" t="s">
        <v>75</v>
      </c>
      <c r="I65" t="s">
        <v>76</v>
      </c>
      <c r="J65" t="s">
        <v>252</v>
      </c>
      <c r="K65" t="s">
        <v>1023</v>
      </c>
      <c r="N65" t="s">
        <v>1024</v>
      </c>
      <c r="P65" t="s">
        <v>254</v>
      </c>
      <c r="Q65">
        <v>20</v>
      </c>
      <c r="R65">
        <v>0</v>
      </c>
      <c r="S65">
        <v>0</v>
      </c>
      <c r="T65">
        <v>20</v>
      </c>
      <c r="U65">
        <v>0</v>
      </c>
      <c r="V65" t="s">
        <v>45</v>
      </c>
      <c r="W65" t="s">
        <v>45</v>
      </c>
      <c r="X65" t="s">
        <v>45</v>
      </c>
      <c r="Y65">
        <v>40</v>
      </c>
      <c r="Z65" t="s">
        <v>14</v>
      </c>
      <c r="AA65" t="s">
        <v>255</v>
      </c>
    </row>
    <row r="66" spans="1:27">
      <c r="A66" t="s">
        <v>967</v>
      </c>
      <c r="B66" t="s">
        <v>1025</v>
      </c>
      <c r="E66">
        <v>7908249152</v>
      </c>
      <c r="F66" t="s">
        <v>11</v>
      </c>
      <c r="G66" t="s">
        <v>291</v>
      </c>
      <c r="H66" t="s">
        <v>41</v>
      </c>
      <c r="I66" t="s">
        <v>42</v>
      </c>
      <c r="J66" t="s">
        <v>290</v>
      </c>
      <c r="K66" t="s">
        <v>1021</v>
      </c>
      <c r="N66" t="s">
        <v>544</v>
      </c>
      <c r="P66" t="s">
        <v>1026</v>
      </c>
      <c r="Q66">
        <v>5</v>
      </c>
      <c r="R66">
        <v>5</v>
      </c>
      <c r="S66">
        <v>0</v>
      </c>
      <c r="T66">
        <v>0</v>
      </c>
      <c r="U66">
        <v>15</v>
      </c>
      <c r="V66">
        <v>10</v>
      </c>
      <c r="W66">
        <v>0</v>
      </c>
      <c r="X66">
        <v>0</v>
      </c>
      <c r="Y66">
        <v>35</v>
      </c>
      <c r="Z66" t="s">
        <v>14</v>
      </c>
      <c r="AA66" t="s">
        <v>293</v>
      </c>
    </row>
    <row r="67" spans="1:27">
      <c r="E67">
        <v>7922995039</v>
      </c>
      <c r="F67" t="s">
        <v>11</v>
      </c>
      <c r="G67" t="s">
        <v>267</v>
      </c>
      <c r="H67" t="s">
        <v>132</v>
      </c>
      <c r="I67" t="s">
        <v>51</v>
      </c>
      <c r="J67" t="s">
        <v>266</v>
      </c>
      <c r="K67" t="s">
        <v>1027</v>
      </c>
      <c r="M67" t="s">
        <v>522</v>
      </c>
      <c r="N67" t="s">
        <v>453</v>
      </c>
      <c r="P67" t="s">
        <v>269</v>
      </c>
      <c r="Q67">
        <v>5</v>
      </c>
      <c r="R67">
        <v>5</v>
      </c>
      <c r="S67">
        <v>0</v>
      </c>
      <c r="T67">
        <v>0</v>
      </c>
      <c r="U67">
        <v>15</v>
      </c>
      <c r="V67">
        <v>10</v>
      </c>
      <c r="W67">
        <v>0</v>
      </c>
      <c r="X67">
        <v>0</v>
      </c>
      <c r="Y67">
        <v>35</v>
      </c>
      <c r="Z67" t="s">
        <v>14</v>
      </c>
      <c r="AA67" t="s">
        <v>270</v>
      </c>
    </row>
    <row r="68" spans="1:27">
      <c r="E68">
        <v>7925733015</v>
      </c>
      <c r="F68" t="s">
        <v>11</v>
      </c>
      <c r="G68" t="s">
        <v>283</v>
      </c>
      <c r="H68" t="s">
        <v>50</v>
      </c>
      <c r="I68" t="s">
        <v>51</v>
      </c>
      <c r="J68" t="s">
        <v>282</v>
      </c>
      <c r="K68" t="s">
        <v>451</v>
      </c>
      <c r="P68" t="s">
        <v>285</v>
      </c>
      <c r="Q68">
        <v>5</v>
      </c>
      <c r="R68">
        <v>5</v>
      </c>
      <c r="S68">
        <v>0</v>
      </c>
      <c r="T68">
        <v>0</v>
      </c>
      <c r="U68">
        <v>15</v>
      </c>
      <c r="V68">
        <v>10</v>
      </c>
      <c r="W68">
        <v>0</v>
      </c>
      <c r="X68">
        <v>0</v>
      </c>
      <c r="Y68">
        <v>35</v>
      </c>
      <c r="Z68" t="s">
        <v>14</v>
      </c>
      <c r="AA68" t="s">
        <v>286</v>
      </c>
    </row>
    <row r="69" spans="1:27">
      <c r="E69">
        <v>7927396052</v>
      </c>
      <c r="F69" t="s">
        <v>11</v>
      </c>
      <c r="G69" t="s">
        <v>192</v>
      </c>
      <c r="H69" t="s">
        <v>192</v>
      </c>
      <c r="I69" t="s">
        <v>76</v>
      </c>
      <c r="J69" t="s">
        <v>278</v>
      </c>
      <c r="K69" t="s">
        <v>451</v>
      </c>
      <c r="N69" t="s">
        <v>480</v>
      </c>
      <c r="P69" t="s">
        <v>280</v>
      </c>
      <c r="Q69">
        <v>5</v>
      </c>
      <c r="R69">
        <v>5</v>
      </c>
      <c r="S69">
        <v>0</v>
      </c>
      <c r="T69">
        <v>0</v>
      </c>
      <c r="U69">
        <v>15</v>
      </c>
      <c r="V69">
        <v>10</v>
      </c>
      <c r="W69">
        <v>0</v>
      </c>
      <c r="X69">
        <v>0</v>
      </c>
      <c r="Y69">
        <v>35</v>
      </c>
      <c r="Z69" t="s">
        <v>14</v>
      </c>
      <c r="AA69" t="s">
        <v>281</v>
      </c>
    </row>
    <row r="70" spans="1:27">
      <c r="E70">
        <v>7933585074</v>
      </c>
      <c r="F70" t="s">
        <v>11</v>
      </c>
      <c r="G70" t="s">
        <v>75</v>
      </c>
      <c r="H70" t="s">
        <v>75</v>
      </c>
      <c r="I70" t="s">
        <v>76</v>
      </c>
      <c r="J70" t="s">
        <v>271</v>
      </c>
      <c r="K70" t="s">
        <v>1021</v>
      </c>
      <c r="N70" t="s">
        <v>480</v>
      </c>
      <c r="P70" t="s">
        <v>523</v>
      </c>
      <c r="Q70">
        <v>5</v>
      </c>
      <c r="R70">
        <v>5</v>
      </c>
      <c r="S70">
        <v>15</v>
      </c>
      <c r="T70">
        <v>0</v>
      </c>
      <c r="U70">
        <v>0</v>
      </c>
      <c r="V70">
        <v>0</v>
      </c>
      <c r="W70">
        <v>10</v>
      </c>
      <c r="X70">
        <v>0</v>
      </c>
      <c r="Y70">
        <v>35</v>
      </c>
      <c r="Z70" t="s">
        <v>14</v>
      </c>
      <c r="AA70" t="s">
        <v>273</v>
      </c>
    </row>
    <row r="71" spans="1:27">
      <c r="E71">
        <v>7942572059</v>
      </c>
      <c r="F71" t="s">
        <v>11</v>
      </c>
      <c r="G71" t="s">
        <v>62</v>
      </c>
      <c r="H71" t="s">
        <v>62</v>
      </c>
      <c r="I71" t="s">
        <v>42</v>
      </c>
      <c r="J71" t="s">
        <v>1028</v>
      </c>
      <c r="K71" t="s">
        <v>497</v>
      </c>
      <c r="M71" t="s">
        <v>522</v>
      </c>
      <c r="P71" t="s">
        <v>1029</v>
      </c>
      <c r="Q71">
        <v>5</v>
      </c>
      <c r="R71">
        <v>5</v>
      </c>
      <c r="S71">
        <v>15</v>
      </c>
      <c r="T71">
        <v>0</v>
      </c>
      <c r="U71">
        <v>0</v>
      </c>
      <c r="V71">
        <v>0</v>
      </c>
      <c r="W71">
        <v>10</v>
      </c>
      <c r="X71">
        <v>0</v>
      </c>
      <c r="Y71">
        <v>35</v>
      </c>
      <c r="Z71" t="s">
        <v>14</v>
      </c>
      <c r="AA71" t="s">
        <v>297</v>
      </c>
    </row>
    <row r="72" spans="1:27">
      <c r="E72">
        <v>7944319149</v>
      </c>
      <c r="F72" t="s">
        <v>11</v>
      </c>
      <c r="G72" t="s">
        <v>257</v>
      </c>
      <c r="H72" t="s">
        <v>210</v>
      </c>
      <c r="I72" t="s">
        <v>42</v>
      </c>
      <c r="J72" t="s">
        <v>437</v>
      </c>
      <c r="M72" t="s">
        <v>438</v>
      </c>
      <c r="N72" t="s">
        <v>480</v>
      </c>
      <c r="P72" t="s">
        <v>439</v>
      </c>
      <c r="Q72">
        <v>5</v>
      </c>
      <c r="R72">
        <v>5</v>
      </c>
      <c r="S72">
        <v>15</v>
      </c>
      <c r="T72">
        <v>0</v>
      </c>
      <c r="U72">
        <v>0</v>
      </c>
      <c r="V72">
        <v>0</v>
      </c>
      <c r="W72">
        <v>10</v>
      </c>
      <c r="X72">
        <v>0</v>
      </c>
      <c r="Y72">
        <v>35</v>
      </c>
      <c r="Z72" t="s">
        <v>14</v>
      </c>
      <c r="AA72" t="s">
        <v>524</v>
      </c>
    </row>
    <row r="73" spans="1:27">
      <c r="E73">
        <v>7955986084</v>
      </c>
      <c r="F73" t="s">
        <v>11</v>
      </c>
      <c r="G73" t="s">
        <v>210</v>
      </c>
      <c r="H73" t="s">
        <v>210</v>
      </c>
      <c r="I73" t="s">
        <v>42</v>
      </c>
      <c r="J73" t="s">
        <v>437</v>
      </c>
      <c r="K73" t="s">
        <v>1030</v>
      </c>
      <c r="P73" t="s">
        <v>439</v>
      </c>
      <c r="Q73">
        <v>5</v>
      </c>
      <c r="R73">
        <v>5</v>
      </c>
      <c r="S73">
        <v>0</v>
      </c>
      <c r="T73">
        <v>0</v>
      </c>
      <c r="U73">
        <v>15</v>
      </c>
      <c r="V73">
        <v>10</v>
      </c>
      <c r="W73">
        <v>0</v>
      </c>
      <c r="X73">
        <v>0</v>
      </c>
      <c r="Y73">
        <v>35</v>
      </c>
      <c r="Z73" t="s">
        <v>14</v>
      </c>
      <c r="AA73" t="s">
        <v>277</v>
      </c>
    </row>
    <row r="74" spans="1:27">
      <c r="E74">
        <v>7967181127</v>
      </c>
      <c r="F74" t="s">
        <v>11</v>
      </c>
      <c r="G74" t="s">
        <v>222</v>
      </c>
      <c r="H74" t="s">
        <v>223</v>
      </c>
      <c r="I74" t="s">
        <v>51</v>
      </c>
      <c r="J74" t="s">
        <v>437</v>
      </c>
      <c r="K74" t="s">
        <v>525</v>
      </c>
      <c r="P74" t="s">
        <v>439</v>
      </c>
      <c r="Q74">
        <v>5</v>
      </c>
      <c r="R74">
        <v>5</v>
      </c>
      <c r="S74">
        <v>0</v>
      </c>
      <c r="T74">
        <v>0</v>
      </c>
      <c r="U74">
        <v>15</v>
      </c>
      <c r="V74">
        <v>10</v>
      </c>
      <c r="W74">
        <v>0</v>
      </c>
      <c r="X74">
        <v>0</v>
      </c>
      <c r="Y74">
        <v>35</v>
      </c>
      <c r="Z74" t="s">
        <v>14</v>
      </c>
      <c r="AA74" t="s">
        <v>527</v>
      </c>
    </row>
    <row r="75" spans="1:27">
      <c r="E75">
        <v>7900525015</v>
      </c>
      <c r="F75" t="s">
        <v>11</v>
      </c>
      <c r="G75" t="s">
        <v>283</v>
      </c>
      <c r="H75" t="s">
        <v>50</v>
      </c>
      <c r="I75" t="s">
        <v>51</v>
      </c>
      <c r="J75" t="s">
        <v>287</v>
      </c>
      <c r="K75" t="s">
        <v>1031</v>
      </c>
      <c r="P75" t="s">
        <v>288</v>
      </c>
      <c r="Q75">
        <v>5</v>
      </c>
      <c r="R75">
        <v>5</v>
      </c>
      <c r="S75">
        <v>0</v>
      </c>
      <c r="T75">
        <v>0</v>
      </c>
      <c r="U75">
        <v>15</v>
      </c>
      <c r="V75">
        <v>10</v>
      </c>
      <c r="W75">
        <v>0</v>
      </c>
      <c r="X75">
        <v>0</v>
      </c>
      <c r="Y75">
        <v>35</v>
      </c>
      <c r="Z75" t="s">
        <v>14</v>
      </c>
      <c r="AA75" t="s">
        <v>289</v>
      </c>
    </row>
    <row r="76" spans="1:27">
      <c r="E76">
        <v>7928564039</v>
      </c>
      <c r="F76" t="s">
        <v>11</v>
      </c>
      <c r="G76" t="s">
        <v>267</v>
      </c>
      <c r="H76" t="s">
        <v>132</v>
      </c>
      <c r="I76" t="s">
        <v>51</v>
      </c>
      <c r="J76" t="s">
        <v>298</v>
      </c>
      <c r="K76" t="s">
        <v>1032</v>
      </c>
      <c r="N76" t="s">
        <v>1033</v>
      </c>
      <c r="P76" t="s">
        <v>1034</v>
      </c>
      <c r="Q76">
        <v>5</v>
      </c>
      <c r="R76">
        <v>10</v>
      </c>
      <c r="S76">
        <v>5</v>
      </c>
      <c r="T76">
        <v>0</v>
      </c>
      <c r="U76">
        <v>0</v>
      </c>
      <c r="V76">
        <v>10</v>
      </c>
      <c r="W76">
        <v>0</v>
      </c>
      <c r="X76">
        <v>0</v>
      </c>
      <c r="Y76">
        <v>30</v>
      </c>
      <c r="Z76" t="s">
        <v>14</v>
      </c>
      <c r="AA76" t="s">
        <v>300</v>
      </c>
    </row>
    <row r="77" spans="1:27" s="36" customFormat="1">
      <c r="A77" s="36" t="s">
        <v>974</v>
      </c>
      <c r="B77" s="36" t="s">
        <v>1035</v>
      </c>
      <c r="C77" s="37" t="s">
        <v>1036</v>
      </c>
      <c r="D77" t="e" cm="1">
        <f t="array" ref="D77">_xlfn.XLOOKUP(_xlfn.NUMBERVALUE(E77),_xlfn.NUMBERVALUE([5]Planilha1!$C$2:$C$34),[5]Planilha1!$T$3:$T$34)</f>
        <v>#VALUE!</v>
      </c>
      <c r="E77" s="36">
        <v>7957126085</v>
      </c>
      <c r="F77" s="36" t="s">
        <v>11</v>
      </c>
      <c r="G77" s="36" t="s">
        <v>528</v>
      </c>
      <c r="H77" s="36" t="s">
        <v>97</v>
      </c>
      <c r="I77" s="36" t="s">
        <v>42</v>
      </c>
      <c r="J77" s="36" t="s">
        <v>1037</v>
      </c>
      <c r="K77" s="35" t="s">
        <v>1038</v>
      </c>
      <c r="M77" s="36" t="s">
        <v>443</v>
      </c>
      <c r="N77" s="36" t="s">
        <v>1039</v>
      </c>
      <c r="P77" s="36" t="s">
        <v>1040</v>
      </c>
      <c r="Q77" s="36">
        <v>5</v>
      </c>
      <c r="R77" s="36">
        <v>10</v>
      </c>
      <c r="S77" s="36">
        <v>5</v>
      </c>
      <c r="T77" s="36">
        <v>0</v>
      </c>
      <c r="U77" s="36">
        <v>0</v>
      </c>
      <c r="V77" s="36">
        <v>10</v>
      </c>
      <c r="W77" s="36">
        <v>0</v>
      </c>
      <c r="X77" s="36">
        <v>0</v>
      </c>
      <c r="Y77" s="36">
        <v>30</v>
      </c>
      <c r="Z77" s="36" t="s">
        <v>14</v>
      </c>
      <c r="AA77" s="36" t="s">
        <v>529</v>
      </c>
    </row>
    <row r="78" spans="1:27">
      <c r="E78">
        <v>5841308190</v>
      </c>
      <c r="F78" t="s">
        <v>10</v>
      </c>
      <c r="G78" t="s">
        <v>530</v>
      </c>
      <c r="H78" t="s">
        <v>75</v>
      </c>
      <c r="I78" t="s">
        <v>76</v>
      </c>
      <c r="J78" t="s">
        <v>437</v>
      </c>
      <c r="M78" t="s">
        <v>531</v>
      </c>
      <c r="N78" t="s">
        <v>45</v>
      </c>
      <c r="P78" t="s">
        <v>439</v>
      </c>
      <c r="Q78">
        <v>0</v>
      </c>
      <c r="R78">
        <v>20</v>
      </c>
      <c r="S78">
        <v>0</v>
      </c>
      <c r="T78">
        <v>10</v>
      </c>
      <c r="U78">
        <v>0</v>
      </c>
      <c r="V78" t="s">
        <v>45</v>
      </c>
      <c r="W78" t="s">
        <v>45</v>
      </c>
      <c r="X78" t="s">
        <v>45</v>
      </c>
      <c r="Y78">
        <v>30</v>
      </c>
      <c r="Z78" t="s">
        <v>15</v>
      </c>
      <c r="AA78" t="s">
        <v>532</v>
      </c>
    </row>
    <row r="79" spans="1:27">
      <c r="E79">
        <v>5844630060</v>
      </c>
      <c r="F79" t="s">
        <v>10</v>
      </c>
      <c r="G79" t="s">
        <v>533</v>
      </c>
      <c r="H79" t="s">
        <v>154</v>
      </c>
      <c r="I79" t="s">
        <v>51</v>
      </c>
      <c r="J79" t="s">
        <v>918</v>
      </c>
      <c r="K79" t="s">
        <v>467</v>
      </c>
      <c r="N79" t="s">
        <v>1041</v>
      </c>
      <c r="P79" t="s">
        <v>1042</v>
      </c>
      <c r="Q79">
        <v>20</v>
      </c>
      <c r="R79">
        <v>0</v>
      </c>
      <c r="S79">
        <v>0</v>
      </c>
      <c r="T79">
        <v>10</v>
      </c>
      <c r="U79">
        <v>0</v>
      </c>
      <c r="V79" t="s">
        <v>45</v>
      </c>
      <c r="W79" t="s">
        <v>45</v>
      </c>
      <c r="X79" t="s">
        <v>45</v>
      </c>
      <c r="Y79">
        <v>30</v>
      </c>
      <c r="Z79" t="s">
        <v>15</v>
      </c>
      <c r="AA79" t="s">
        <v>535</v>
      </c>
    </row>
    <row r="80" spans="1:27">
      <c r="E80">
        <v>5855411017</v>
      </c>
      <c r="F80" t="s">
        <v>10</v>
      </c>
      <c r="G80" t="s">
        <v>302</v>
      </c>
      <c r="H80" t="s">
        <v>186</v>
      </c>
      <c r="I80" t="s">
        <v>42</v>
      </c>
      <c r="J80" t="s">
        <v>1043</v>
      </c>
      <c r="K80" t="s">
        <v>1044</v>
      </c>
      <c r="N80" t="s">
        <v>460</v>
      </c>
      <c r="P80" t="s">
        <v>538</v>
      </c>
      <c r="Q80">
        <v>0</v>
      </c>
      <c r="R80">
        <v>0</v>
      </c>
      <c r="S80">
        <v>0</v>
      </c>
      <c r="T80">
        <v>10</v>
      </c>
      <c r="U80">
        <v>20</v>
      </c>
      <c r="V80" t="s">
        <v>45</v>
      </c>
      <c r="W80" t="s">
        <v>45</v>
      </c>
      <c r="X80" t="s">
        <v>45</v>
      </c>
      <c r="Y80">
        <v>30</v>
      </c>
      <c r="Z80" t="s">
        <v>15</v>
      </c>
      <c r="AA80" t="s">
        <v>305</v>
      </c>
    </row>
    <row r="81" spans="1:27">
      <c r="A81" t="s">
        <v>967</v>
      </c>
      <c r="B81" t="s">
        <v>571</v>
      </c>
      <c r="E81">
        <v>7900505026</v>
      </c>
      <c r="F81" t="s">
        <v>11</v>
      </c>
      <c r="G81" t="s">
        <v>108</v>
      </c>
      <c r="H81" t="s">
        <v>108</v>
      </c>
      <c r="I81" t="s">
        <v>42</v>
      </c>
      <c r="J81" t="s">
        <v>437</v>
      </c>
      <c r="K81" t="s">
        <v>1045</v>
      </c>
      <c r="N81" t="s">
        <v>453</v>
      </c>
      <c r="P81" t="s">
        <v>439</v>
      </c>
      <c r="Q81">
        <v>5</v>
      </c>
      <c r="R81">
        <v>5</v>
      </c>
      <c r="S81">
        <v>5</v>
      </c>
      <c r="T81">
        <v>0</v>
      </c>
      <c r="U81">
        <v>0</v>
      </c>
      <c r="V81">
        <v>0</v>
      </c>
      <c r="W81">
        <v>10</v>
      </c>
      <c r="X81">
        <v>0</v>
      </c>
      <c r="Y81">
        <v>25</v>
      </c>
      <c r="Z81" t="s">
        <v>15</v>
      </c>
      <c r="AA81" t="s">
        <v>539</v>
      </c>
    </row>
    <row r="82" spans="1:27">
      <c r="E82">
        <v>7908196047</v>
      </c>
      <c r="F82" t="s">
        <v>11</v>
      </c>
      <c r="G82" t="s">
        <v>191</v>
      </c>
      <c r="H82" t="s">
        <v>449</v>
      </c>
      <c r="I82" t="s">
        <v>76</v>
      </c>
      <c r="J82" t="s">
        <v>437</v>
      </c>
      <c r="N82" t="s">
        <v>453</v>
      </c>
      <c r="P82" t="s">
        <v>439</v>
      </c>
      <c r="Q82">
        <v>5</v>
      </c>
      <c r="R82">
        <v>5</v>
      </c>
      <c r="S82">
        <v>5</v>
      </c>
      <c r="T82">
        <v>0</v>
      </c>
      <c r="U82">
        <v>0</v>
      </c>
      <c r="V82">
        <v>0</v>
      </c>
      <c r="W82">
        <v>10</v>
      </c>
      <c r="X82">
        <v>0</v>
      </c>
      <c r="Y82">
        <v>25</v>
      </c>
      <c r="Z82" t="s">
        <v>15</v>
      </c>
      <c r="AA82" t="s">
        <v>308</v>
      </c>
    </row>
    <row r="83" spans="1:27">
      <c r="A83" t="s">
        <v>974</v>
      </c>
      <c r="B83" t="s">
        <v>1046</v>
      </c>
      <c r="D83" t="e" cm="1">
        <f t="array" ref="D83">_xlfn.XLOOKUP(_xlfn.NUMBERVALUE(E83),_xlfn.NUMBERVALUE([5]Planilha1!$C$2:$C$34),[5]Planilha1!$T$3:$T$34)</f>
        <v>#VALUE!</v>
      </c>
      <c r="E83">
        <v>7921202014</v>
      </c>
      <c r="F83" t="s">
        <v>11</v>
      </c>
      <c r="G83" t="s">
        <v>126</v>
      </c>
      <c r="H83" t="s">
        <v>97</v>
      </c>
      <c r="I83" t="s">
        <v>42</v>
      </c>
      <c r="J83" t="s">
        <v>319</v>
      </c>
      <c r="K83" t="s">
        <v>1047</v>
      </c>
      <c r="P83" t="s">
        <v>1048</v>
      </c>
      <c r="Q83">
        <v>5</v>
      </c>
      <c r="R83">
        <v>5</v>
      </c>
      <c r="S83">
        <v>5</v>
      </c>
      <c r="T83">
        <v>0</v>
      </c>
      <c r="U83">
        <v>0</v>
      </c>
      <c r="V83">
        <v>10</v>
      </c>
      <c r="W83">
        <v>0</v>
      </c>
      <c r="X83">
        <v>0</v>
      </c>
      <c r="Y83">
        <v>25</v>
      </c>
      <c r="Z83" t="s">
        <v>15</v>
      </c>
      <c r="AA83" t="s">
        <v>322</v>
      </c>
    </row>
    <row r="84" spans="1:27">
      <c r="E84">
        <v>7923927122</v>
      </c>
      <c r="F84" t="s">
        <v>11</v>
      </c>
      <c r="G84" t="s">
        <v>68</v>
      </c>
      <c r="H84" t="s">
        <v>68</v>
      </c>
      <c r="I84" t="s">
        <v>42</v>
      </c>
      <c r="J84" t="s">
        <v>1049</v>
      </c>
      <c r="K84" t="s">
        <v>1050</v>
      </c>
      <c r="N84" t="s">
        <v>1051</v>
      </c>
      <c r="P84" t="s">
        <v>1052</v>
      </c>
      <c r="Q84">
        <v>15</v>
      </c>
      <c r="R84">
        <v>0</v>
      </c>
      <c r="S84">
        <v>0</v>
      </c>
      <c r="T84">
        <v>0</v>
      </c>
      <c r="U84">
        <v>0</v>
      </c>
      <c r="V84">
        <v>10</v>
      </c>
      <c r="W84">
        <v>0</v>
      </c>
      <c r="X84">
        <v>0</v>
      </c>
      <c r="Y84">
        <v>25</v>
      </c>
      <c r="Z84" t="s">
        <v>15</v>
      </c>
      <c r="AA84" t="s">
        <v>314</v>
      </c>
    </row>
    <row r="85" spans="1:27">
      <c r="A85" t="s">
        <v>967</v>
      </c>
      <c r="B85" t="s">
        <v>1053</v>
      </c>
      <c r="E85">
        <v>7927446001</v>
      </c>
      <c r="F85" t="s">
        <v>11</v>
      </c>
      <c r="G85" t="s">
        <v>41</v>
      </c>
      <c r="H85" t="s">
        <v>41</v>
      </c>
      <c r="I85" t="s">
        <v>42</v>
      </c>
      <c r="J85" t="s">
        <v>323</v>
      </c>
      <c r="K85" t="s">
        <v>1054</v>
      </c>
      <c r="N85" t="s">
        <v>1055</v>
      </c>
      <c r="P85" t="s">
        <v>324</v>
      </c>
      <c r="Q85">
        <v>5</v>
      </c>
      <c r="R85">
        <v>5</v>
      </c>
      <c r="S85">
        <v>5</v>
      </c>
      <c r="T85">
        <v>0</v>
      </c>
      <c r="U85">
        <v>0</v>
      </c>
      <c r="V85">
        <v>10</v>
      </c>
      <c r="W85">
        <v>0</v>
      </c>
      <c r="X85">
        <v>0</v>
      </c>
      <c r="Y85">
        <v>25</v>
      </c>
      <c r="Z85" t="s">
        <v>15</v>
      </c>
      <c r="AA85" t="s">
        <v>325</v>
      </c>
    </row>
    <row r="86" spans="1:27">
      <c r="E86">
        <v>7928241200</v>
      </c>
      <c r="F86" t="s">
        <v>11</v>
      </c>
      <c r="G86" t="s">
        <v>327</v>
      </c>
      <c r="H86" t="s">
        <v>177</v>
      </c>
      <c r="I86" t="s">
        <v>76</v>
      </c>
      <c r="J86" t="s">
        <v>326</v>
      </c>
      <c r="K86" t="s">
        <v>1056</v>
      </c>
      <c r="N86" t="s">
        <v>1051</v>
      </c>
      <c r="P86" t="s">
        <v>1057</v>
      </c>
      <c r="Q86">
        <v>5</v>
      </c>
      <c r="R86">
        <v>5</v>
      </c>
      <c r="S86">
        <v>5</v>
      </c>
      <c r="T86">
        <v>0</v>
      </c>
      <c r="U86">
        <v>0</v>
      </c>
      <c r="V86">
        <v>10</v>
      </c>
      <c r="W86">
        <v>0</v>
      </c>
      <c r="X86">
        <v>0</v>
      </c>
      <c r="Y86">
        <v>25</v>
      </c>
      <c r="Z86" t="s">
        <v>15</v>
      </c>
      <c r="AA86" t="s">
        <v>330</v>
      </c>
    </row>
    <row r="87" spans="1:27">
      <c r="E87">
        <v>7942485096</v>
      </c>
      <c r="F87" t="s">
        <v>11</v>
      </c>
      <c r="G87" t="s">
        <v>316</v>
      </c>
      <c r="H87" t="s">
        <v>108</v>
      </c>
      <c r="I87" t="s">
        <v>42</v>
      </c>
      <c r="J87" t="s">
        <v>315</v>
      </c>
      <c r="K87" t="s">
        <v>451</v>
      </c>
      <c r="N87" t="s">
        <v>1058</v>
      </c>
      <c r="P87" t="s">
        <v>317</v>
      </c>
      <c r="Q87">
        <v>5</v>
      </c>
      <c r="R87">
        <v>5</v>
      </c>
      <c r="S87">
        <v>5</v>
      </c>
      <c r="T87">
        <v>0</v>
      </c>
      <c r="U87">
        <v>0</v>
      </c>
      <c r="V87">
        <v>10</v>
      </c>
      <c r="W87">
        <v>0</v>
      </c>
      <c r="X87">
        <v>0</v>
      </c>
      <c r="Y87">
        <v>25</v>
      </c>
      <c r="Z87" t="s">
        <v>15</v>
      </c>
      <c r="AA87" t="s">
        <v>318</v>
      </c>
    </row>
    <row r="88" spans="1:27">
      <c r="E88">
        <v>7955430075</v>
      </c>
      <c r="F88" t="s">
        <v>11</v>
      </c>
      <c r="G88" t="s">
        <v>540</v>
      </c>
      <c r="H88" t="s">
        <v>210</v>
      </c>
      <c r="I88" t="s">
        <v>42</v>
      </c>
      <c r="J88" t="s">
        <v>437</v>
      </c>
      <c r="K88" t="s">
        <v>1059</v>
      </c>
      <c r="M88" t="s">
        <v>522</v>
      </c>
      <c r="N88" t="s">
        <v>1051</v>
      </c>
      <c r="P88" t="s">
        <v>439</v>
      </c>
      <c r="Q88">
        <v>5</v>
      </c>
      <c r="R88">
        <v>5</v>
      </c>
      <c r="S88">
        <v>5</v>
      </c>
      <c r="T88">
        <v>0</v>
      </c>
      <c r="U88">
        <v>0</v>
      </c>
      <c r="V88">
        <v>0</v>
      </c>
      <c r="W88">
        <v>10</v>
      </c>
      <c r="X88">
        <v>0</v>
      </c>
      <c r="Y88">
        <v>25</v>
      </c>
      <c r="Z88" t="s">
        <v>15</v>
      </c>
      <c r="AA88" t="s">
        <v>541</v>
      </c>
    </row>
    <row r="89" spans="1:27">
      <c r="E89">
        <v>7955686076</v>
      </c>
      <c r="F89" t="s">
        <v>11</v>
      </c>
      <c r="G89" t="s">
        <v>335</v>
      </c>
      <c r="H89" t="s">
        <v>336</v>
      </c>
      <c r="I89" t="s">
        <v>76</v>
      </c>
      <c r="J89" t="s">
        <v>437</v>
      </c>
      <c r="M89" t="s">
        <v>438</v>
      </c>
      <c r="N89" t="s">
        <v>45</v>
      </c>
      <c r="P89" t="s">
        <v>439</v>
      </c>
      <c r="Q89">
        <v>5</v>
      </c>
      <c r="R89">
        <v>5</v>
      </c>
      <c r="S89">
        <v>0</v>
      </c>
      <c r="T89">
        <v>0</v>
      </c>
      <c r="U89">
        <v>15</v>
      </c>
      <c r="V89">
        <v>0</v>
      </c>
      <c r="W89">
        <v>0</v>
      </c>
      <c r="X89">
        <v>0</v>
      </c>
      <c r="Y89">
        <v>25</v>
      </c>
      <c r="Z89" t="s">
        <v>15</v>
      </c>
      <c r="AA89" t="s">
        <v>542</v>
      </c>
    </row>
    <row r="90" spans="1:27" s="34" customFormat="1">
      <c r="E90" s="34">
        <v>7955946007</v>
      </c>
      <c r="F90" s="34" t="s">
        <v>11</v>
      </c>
      <c r="G90" s="34" t="s">
        <v>186</v>
      </c>
      <c r="H90" s="34" t="s">
        <v>186</v>
      </c>
      <c r="I90" s="34" t="s">
        <v>42</v>
      </c>
      <c r="J90" s="34" t="s">
        <v>437</v>
      </c>
      <c r="K90" s="34" t="s">
        <v>1060</v>
      </c>
      <c r="P90" s="34" t="s">
        <v>439</v>
      </c>
      <c r="Q90" s="34">
        <v>5</v>
      </c>
      <c r="R90" s="34">
        <v>5</v>
      </c>
      <c r="S90" s="34">
        <v>5</v>
      </c>
      <c r="T90" s="34">
        <v>0</v>
      </c>
      <c r="U90" s="34">
        <v>0</v>
      </c>
      <c r="V90" s="34">
        <v>0</v>
      </c>
      <c r="W90" s="34">
        <v>10</v>
      </c>
      <c r="X90" s="34">
        <v>0</v>
      </c>
      <c r="Y90" s="34">
        <v>25</v>
      </c>
      <c r="Z90" s="34" t="s">
        <v>15</v>
      </c>
      <c r="AA90" s="34" t="s">
        <v>311</v>
      </c>
    </row>
    <row r="91" spans="1:27">
      <c r="E91">
        <v>7901110084</v>
      </c>
      <c r="F91" t="s">
        <v>11</v>
      </c>
      <c r="G91" t="s">
        <v>210</v>
      </c>
      <c r="H91" t="s">
        <v>210</v>
      </c>
      <c r="I91" t="s">
        <v>42</v>
      </c>
      <c r="J91" t="s">
        <v>331</v>
      </c>
      <c r="K91" t="s">
        <v>1061</v>
      </c>
      <c r="P91" t="s">
        <v>332</v>
      </c>
      <c r="Q91">
        <v>5</v>
      </c>
      <c r="R91">
        <v>5</v>
      </c>
      <c r="S91">
        <v>0</v>
      </c>
      <c r="T91">
        <v>0</v>
      </c>
      <c r="U91">
        <v>0</v>
      </c>
      <c r="V91">
        <v>0</v>
      </c>
      <c r="W91">
        <v>10</v>
      </c>
      <c r="X91">
        <v>0</v>
      </c>
      <c r="Y91">
        <v>20</v>
      </c>
      <c r="Z91" t="s">
        <v>15</v>
      </c>
      <c r="AA91" t="s">
        <v>333</v>
      </c>
    </row>
    <row r="92" spans="1:27">
      <c r="E92">
        <v>7908206074</v>
      </c>
      <c r="F92" t="s">
        <v>11</v>
      </c>
      <c r="G92" t="s">
        <v>75</v>
      </c>
      <c r="H92" t="s">
        <v>75</v>
      </c>
      <c r="I92" t="s">
        <v>76</v>
      </c>
      <c r="J92" t="s">
        <v>437</v>
      </c>
      <c r="K92" t="s">
        <v>1062</v>
      </c>
      <c r="M92" t="s">
        <v>522</v>
      </c>
      <c r="N92" t="s">
        <v>480</v>
      </c>
      <c r="P92" t="s">
        <v>439</v>
      </c>
      <c r="Q92">
        <v>5</v>
      </c>
      <c r="R92">
        <v>5</v>
      </c>
      <c r="S92">
        <v>0</v>
      </c>
      <c r="T92">
        <v>0</v>
      </c>
      <c r="U92">
        <v>0</v>
      </c>
      <c r="V92">
        <v>0</v>
      </c>
      <c r="W92">
        <v>10</v>
      </c>
      <c r="X92">
        <v>0</v>
      </c>
      <c r="Y92">
        <v>20</v>
      </c>
      <c r="Z92" t="s">
        <v>15</v>
      </c>
      <c r="AA92" t="s">
        <v>543</v>
      </c>
    </row>
    <row r="93" spans="1:27">
      <c r="E93">
        <v>7908708116</v>
      </c>
      <c r="F93" t="s">
        <v>11</v>
      </c>
      <c r="G93" t="s">
        <v>200</v>
      </c>
      <c r="H93" t="s">
        <v>75</v>
      </c>
      <c r="I93" t="s">
        <v>76</v>
      </c>
      <c r="J93" t="s">
        <v>437</v>
      </c>
      <c r="K93" t="s">
        <v>484</v>
      </c>
      <c r="N93" t="s">
        <v>544</v>
      </c>
      <c r="P93" t="s">
        <v>439</v>
      </c>
      <c r="Q93">
        <v>5</v>
      </c>
      <c r="R93">
        <v>5</v>
      </c>
      <c r="S93">
        <v>0</v>
      </c>
      <c r="T93">
        <v>0</v>
      </c>
      <c r="U93">
        <v>0</v>
      </c>
      <c r="V93">
        <v>0</v>
      </c>
      <c r="W93">
        <v>10</v>
      </c>
      <c r="X93">
        <v>0</v>
      </c>
      <c r="Y93">
        <v>20</v>
      </c>
      <c r="Z93" t="s">
        <v>15</v>
      </c>
      <c r="AA93" t="s">
        <v>545</v>
      </c>
    </row>
    <row r="94" spans="1:27">
      <c r="E94">
        <v>7910027196</v>
      </c>
      <c r="F94" t="s">
        <v>11</v>
      </c>
      <c r="G94" t="s">
        <v>546</v>
      </c>
      <c r="H94" t="s">
        <v>62</v>
      </c>
      <c r="I94" t="s">
        <v>42</v>
      </c>
      <c r="J94" t="s">
        <v>437</v>
      </c>
      <c r="K94" t="s">
        <v>547</v>
      </c>
      <c r="N94" t="s">
        <v>548</v>
      </c>
      <c r="P94" t="s">
        <v>439</v>
      </c>
      <c r="Q94">
        <v>5</v>
      </c>
      <c r="R94">
        <v>5</v>
      </c>
      <c r="S94">
        <v>0</v>
      </c>
      <c r="T94">
        <v>0</v>
      </c>
      <c r="U94">
        <v>0</v>
      </c>
      <c r="V94">
        <v>0</v>
      </c>
      <c r="W94">
        <v>10</v>
      </c>
      <c r="X94">
        <v>0</v>
      </c>
      <c r="Y94">
        <v>20</v>
      </c>
      <c r="Z94" t="s">
        <v>15</v>
      </c>
      <c r="AA94" t="s">
        <v>549</v>
      </c>
    </row>
    <row r="95" spans="1:27">
      <c r="E95">
        <v>7913662076</v>
      </c>
      <c r="F95" t="s">
        <v>11</v>
      </c>
      <c r="G95" t="s">
        <v>335</v>
      </c>
      <c r="H95" t="s">
        <v>336</v>
      </c>
      <c r="I95" t="s">
        <v>76</v>
      </c>
      <c r="J95" t="s">
        <v>334</v>
      </c>
      <c r="K95" t="s">
        <v>550</v>
      </c>
      <c r="P95" t="s">
        <v>338</v>
      </c>
      <c r="Q95">
        <v>5</v>
      </c>
      <c r="R95">
        <v>5</v>
      </c>
      <c r="S95">
        <v>0</v>
      </c>
      <c r="T95">
        <v>0</v>
      </c>
      <c r="U95">
        <v>0</v>
      </c>
      <c r="V95">
        <v>10</v>
      </c>
      <c r="W95">
        <v>0</v>
      </c>
      <c r="X95">
        <v>0</v>
      </c>
      <c r="Y95">
        <v>20</v>
      </c>
      <c r="Z95" t="s">
        <v>15</v>
      </c>
      <c r="AA95" t="s">
        <v>339</v>
      </c>
    </row>
    <row r="96" spans="1:27">
      <c r="E96">
        <v>5862236091</v>
      </c>
      <c r="F96" t="s">
        <v>10</v>
      </c>
      <c r="G96" t="s">
        <v>74</v>
      </c>
      <c r="H96" t="s">
        <v>75</v>
      </c>
      <c r="I96" t="s">
        <v>76</v>
      </c>
      <c r="J96" t="s">
        <v>882</v>
      </c>
      <c r="K96" t="s">
        <v>1063</v>
      </c>
      <c r="L96" t="s">
        <v>1064</v>
      </c>
      <c r="N96" t="s">
        <v>1041</v>
      </c>
      <c r="P96" t="s">
        <v>551</v>
      </c>
      <c r="Q96">
        <v>0</v>
      </c>
      <c r="R96">
        <v>0</v>
      </c>
      <c r="S96">
        <v>0</v>
      </c>
      <c r="T96">
        <v>20</v>
      </c>
      <c r="U96">
        <v>0</v>
      </c>
      <c r="V96" t="s">
        <v>45</v>
      </c>
      <c r="W96" t="s">
        <v>45</v>
      </c>
      <c r="X96" t="s">
        <v>45</v>
      </c>
      <c r="Y96">
        <v>20</v>
      </c>
      <c r="Z96" t="s">
        <v>15</v>
      </c>
      <c r="AA96" t="s">
        <v>343</v>
      </c>
    </row>
    <row r="97" spans="1:27">
      <c r="E97">
        <v>5836786094</v>
      </c>
      <c r="F97" t="s">
        <v>10</v>
      </c>
      <c r="G97" t="s">
        <v>177</v>
      </c>
      <c r="H97" t="s">
        <v>177</v>
      </c>
      <c r="I97" t="s">
        <v>76</v>
      </c>
      <c r="J97" t="s">
        <v>344</v>
      </c>
      <c r="K97" t="s">
        <v>1065</v>
      </c>
      <c r="P97" t="s">
        <v>1066</v>
      </c>
      <c r="Q97">
        <v>0</v>
      </c>
      <c r="R97">
        <v>0</v>
      </c>
      <c r="S97">
        <v>0</v>
      </c>
      <c r="T97">
        <v>10</v>
      </c>
      <c r="U97">
        <v>10</v>
      </c>
      <c r="V97" t="s">
        <v>45</v>
      </c>
      <c r="W97" t="s">
        <v>45</v>
      </c>
      <c r="X97" t="s">
        <v>45</v>
      </c>
      <c r="Y97">
        <v>20</v>
      </c>
      <c r="Z97" t="s">
        <v>15</v>
      </c>
      <c r="AA97" t="s">
        <v>346</v>
      </c>
    </row>
    <row r="98" spans="1:27">
      <c r="A98" t="s">
        <v>974</v>
      </c>
      <c r="D98" t="e" cm="1">
        <f t="array" ref="D98">_xlfn.XLOOKUP(_xlfn.NUMBERVALUE(E98),_xlfn.NUMBERVALUE([5]Planilha1!$C$2:$C$34),[5]Planilha1!$T$3:$T$34)</f>
        <v>#VALUE!</v>
      </c>
      <c r="E98">
        <v>7919270014</v>
      </c>
      <c r="F98" t="s">
        <v>11</v>
      </c>
      <c r="G98" t="s">
        <v>126</v>
      </c>
      <c r="H98" t="s">
        <v>97</v>
      </c>
      <c r="I98" t="s">
        <v>42</v>
      </c>
      <c r="J98" t="s">
        <v>1067</v>
      </c>
      <c r="K98" t="s">
        <v>550</v>
      </c>
      <c r="P98" t="s">
        <v>1068</v>
      </c>
      <c r="Q98">
        <v>5</v>
      </c>
      <c r="R98">
        <v>5</v>
      </c>
      <c r="S98">
        <v>0</v>
      </c>
      <c r="T98">
        <v>0</v>
      </c>
      <c r="U98">
        <v>0</v>
      </c>
      <c r="V98">
        <v>10</v>
      </c>
      <c r="W98">
        <v>0</v>
      </c>
      <c r="X98">
        <v>0</v>
      </c>
      <c r="Y98">
        <v>20</v>
      </c>
      <c r="Z98" t="s">
        <v>15</v>
      </c>
      <c r="AA98" t="s">
        <v>350</v>
      </c>
    </row>
    <row r="99" spans="1:27">
      <c r="E99">
        <v>7926442035</v>
      </c>
      <c r="F99" t="s">
        <v>11</v>
      </c>
      <c r="G99" t="s">
        <v>234</v>
      </c>
      <c r="H99" t="s">
        <v>108</v>
      </c>
      <c r="I99" t="s">
        <v>42</v>
      </c>
      <c r="J99" t="s">
        <v>351</v>
      </c>
      <c r="K99" t="s">
        <v>451</v>
      </c>
      <c r="P99" t="s">
        <v>352</v>
      </c>
      <c r="Q99">
        <v>5</v>
      </c>
      <c r="R99">
        <v>5</v>
      </c>
      <c r="S99">
        <v>0</v>
      </c>
      <c r="T99">
        <v>0</v>
      </c>
      <c r="U99">
        <v>0</v>
      </c>
      <c r="V99">
        <v>0</v>
      </c>
      <c r="W99">
        <v>10</v>
      </c>
      <c r="X99">
        <v>0</v>
      </c>
      <c r="Y99">
        <v>20</v>
      </c>
      <c r="Z99" t="s">
        <v>15</v>
      </c>
      <c r="AA99" t="s">
        <v>353</v>
      </c>
    </row>
    <row r="100" spans="1:27">
      <c r="E100">
        <v>7954668084</v>
      </c>
      <c r="F100" t="s">
        <v>11</v>
      </c>
      <c r="G100" t="s">
        <v>210</v>
      </c>
      <c r="H100" t="s">
        <v>210</v>
      </c>
      <c r="I100" t="s">
        <v>42</v>
      </c>
      <c r="J100" t="s">
        <v>437</v>
      </c>
      <c r="N100" t="s">
        <v>553</v>
      </c>
      <c r="P100" t="s">
        <v>439</v>
      </c>
      <c r="Q100">
        <v>5</v>
      </c>
      <c r="R100">
        <v>5</v>
      </c>
      <c r="S100">
        <v>0</v>
      </c>
      <c r="T100">
        <v>0</v>
      </c>
      <c r="U100">
        <v>0</v>
      </c>
      <c r="V100">
        <v>0</v>
      </c>
      <c r="W100">
        <v>10</v>
      </c>
      <c r="Y100">
        <v>20</v>
      </c>
      <c r="Z100" t="s">
        <v>15</v>
      </c>
      <c r="AA100" t="s">
        <v>554</v>
      </c>
    </row>
    <row r="101" spans="1:27">
      <c r="A101" t="s">
        <v>1069</v>
      </c>
      <c r="E101">
        <v>7938137007</v>
      </c>
      <c r="F101" t="s">
        <v>11</v>
      </c>
      <c r="G101" t="s">
        <v>186</v>
      </c>
      <c r="H101" t="s">
        <v>186</v>
      </c>
      <c r="I101" t="s">
        <v>42</v>
      </c>
      <c r="J101" t="s">
        <v>1070</v>
      </c>
      <c r="K101" t="s">
        <v>1071</v>
      </c>
      <c r="L101" t="s">
        <v>1072</v>
      </c>
      <c r="N101" t="s">
        <v>1073</v>
      </c>
      <c r="P101" t="s">
        <v>1074</v>
      </c>
      <c r="Q101">
        <v>5</v>
      </c>
      <c r="R101">
        <v>5</v>
      </c>
      <c r="S101">
        <v>5</v>
      </c>
      <c r="T101">
        <v>0</v>
      </c>
      <c r="U101">
        <v>0</v>
      </c>
      <c r="V101">
        <v>0</v>
      </c>
      <c r="W101">
        <v>0</v>
      </c>
      <c r="X101">
        <v>0</v>
      </c>
      <c r="Y101">
        <v>15</v>
      </c>
      <c r="Z101" t="s">
        <v>15</v>
      </c>
      <c r="AA101" t="s">
        <v>356</v>
      </c>
    </row>
    <row r="102" spans="1:27">
      <c r="E102">
        <v>5856156091</v>
      </c>
      <c r="F102" t="s">
        <v>10</v>
      </c>
      <c r="G102" t="s">
        <v>74</v>
      </c>
      <c r="H102" t="s">
        <v>75</v>
      </c>
      <c r="I102" t="s">
        <v>76</v>
      </c>
      <c r="J102" t="s">
        <v>357</v>
      </c>
      <c r="K102" t="s">
        <v>1075</v>
      </c>
      <c r="N102" t="s">
        <v>1076</v>
      </c>
      <c r="P102" t="s">
        <v>358</v>
      </c>
      <c r="Q102">
        <v>0</v>
      </c>
      <c r="R102">
        <v>0</v>
      </c>
      <c r="S102">
        <v>0</v>
      </c>
      <c r="T102">
        <v>0</v>
      </c>
      <c r="U102">
        <v>0</v>
      </c>
      <c r="V102" t="s">
        <v>45</v>
      </c>
      <c r="W102" t="s">
        <v>45</v>
      </c>
      <c r="X102" t="s">
        <v>45</v>
      </c>
      <c r="Y102">
        <v>0</v>
      </c>
      <c r="Z102" t="s">
        <v>15</v>
      </c>
      <c r="AA102" t="s">
        <v>359</v>
      </c>
    </row>
    <row r="103" spans="1:27">
      <c r="E103">
        <v>5858783119</v>
      </c>
      <c r="F103" t="s">
        <v>10</v>
      </c>
      <c r="G103" t="s">
        <v>361</v>
      </c>
      <c r="H103" t="s">
        <v>223</v>
      </c>
      <c r="I103" t="s">
        <v>51</v>
      </c>
      <c r="J103" t="s">
        <v>889</v>
      </c>
      <c r="K103" t="s">
        <v>558</v>
      </c>
      <c r="N103" t="s">
        <v>559</v>
      </c>
      <c r="P103" t="s">
        <v>1077</v>
      </c>
      <c r="Q103">
        <v>0</v>
      </c>
      <c r="R103">
        <v>0</v>
      </c>
      <c r="S103">
        <v>0</v>
      </c>
      <c r="T103">
        <v>0</v>
      </c>
      <c r="U103">
        <v>0</v>
      </c>
      <c r="V103" t="s">
        <v>45</v>
      </c>
      <c r="W103" t="s">
        <v>45</v>
      </c>
      <c r="X103" t="s">
        <v>45</v>
      </c>
      <c r="Y103">
        <v>0</v>
      </c>
      <c r="Z103" t="s">
        <v>15</v>
      </c>
      <c r="AA103" t="s">
        <v>364</v>
      </c>
    </row>
    <row r="104" spans="1:27">
      <c r="E104">
        <v>7900532053</v>
      </c>
      <c r="F104" t="s">
        <v>11</v>
      </c>
      <c r="G104" t="s">
        <v>560</v>
      </c>
      <c r="H104" t="s">
        <v>223</v>
      </c>
      <c r="I104" t="s">
        <v>51</v>
      </c>
      <c r="J104" t="s">
        <v>437</v>
      </c>
      <c r="K104" t="s">
        <v>561</v>
      </c>
      <c r="N104" t="s">
        <v>453</v>
      </c>
      <c r="P104" t="s">
        <v>439</v>
      </c>
      <c r="Q104">
        <v>0</v>
      </c>
      <c r="R104">
        <v>0</v>
      </c>
      <c r="S104">
        <v>0</v>
      </c>
      <c r="T104">
        <v>0</v>
      </c>
      <c r="U104">
        <v>0</v>
      </c>
      <c r="V104">
        <v>0</v>
      </c>
      <c r="W104">
        <v>0</v>
      </c>
      <c r="X104">
        <v>0</v>
      </c>
      <c r="Y104">
        <v>0</v>
      </c>
      <c r="Z104" t="s">
        <v>45</v>
      </c>
      <c r="AA104" t="s">
        <v>562</v>
      </c>
    </row>
    <row r="105" spans="1:27">
      <c r="E105">
        <v>7925713040</v>
      </c>
      <c r="F105" t="s">
        <v>11</v>
      </c>
      <c r="G105" t="s">
        <v>492</v>
      </c>
      <c r="H105" t="s">
        <v>57</v>
      </c>
      <c r="I105" t="s">
        <v>51</v>
      </c>
      <c r="J105" t="s">
        <v>672</v>
      </c>
      <c r="P105" t="s">
        <v>673</v>
      </c>
      <c r="Q105" t="s">
        <v>696</v>
      </c>
      <c r="Y105">
        <v>0</v>
      </c>
    </row>
    <row r="106" spans="1:27">
      <c r="E106">
        <v>7948412064</v>
      </c>
      <c r="F106" t="s">
        <v>11</v>
      </c>
      <c r="G106" t="s">
        <v>563</v>
      </c>
      <c r="H106" t="s">
        <v>50</v>
      </c>
      <c r="I106" t="s">
        <v>51</v>
      </c>
      <c r="J106" t="s">
        <v>665</v>
      </c>
      <c r="P106" t="s">
        <v>667</v>
      </c>
      <c r="Q106" t="s">
        <v>696</v>
      </c>
      <c r="Y106">
        <v>0</v>
      </c>
    </row>
    <row r="107" spans="1:27">
      <c r="E107">
        <v>7955832052</v>
      </c>
      <c r="F107" t="s">
        <v>11</v>
      </c>
      <c r="G107" t="s">
        <v>192</v>
      </c>
      <c r="H107" t="s">
        <v>192</v>
      </c>
      <c r="I107" t="s">
        <v>76</v>
      </c>
      <c r="J107" t="s">
        <v>365</v>
      </c>
      <c r="P107" t="s">
        <v>367</v>
      </c>
      <c r="Q107" t="s">
        <v>696</v>
      </c>
      <c r="Y107">
        <v>0</v>
      </c>
    </row>
    <row r="108" spans="1:27">
      <c r="E108">
        <v>7930359149</v>
      </c>
      <c r="F108" t="s">
        <v>11</v>
      </c>
      <c r="G108" t="s">
        <v>257</v>
      </c>
      <c r="H108" t="s">
        <v>210</v>
      </c>
      <c r="I108" t="s">
        <v>42</v>
      </c>
      <c r="J108" t="s">
        <v>369</v>
      </c>
      <c r="P108" t="s">
        <v>371</v>
      </c>
      <c r="Q108" t="s">
        <v>696</v>
      </c>
      <c r="Y108">
        <v>0</v>
      </c>
    </row>
    <row r="109" spans="1:27">
      <c r="E109">
        <v>7902098003</v>
      </c>
      <c r="F109" t="s">
        <v>11</v>
      </c>
      <c r="G109" t="s">
        <v>336</v>
      </c>
      <c r="H109" t="s">
        <v>336</v>
      </c>
      <c r="I109" t="s">
        <v>76</v>
      </c>
      <c r="J109" t="s">
        <v>372</v>
      </c>
      <c r="P109" t="s">
        <v>374</v>
      </c>
      <c r="Q109" t="s">
        <v>696</v>
      </c>
      <c r="Y109">
        <v>0</v>
      </c>
    </row>
    <row r="110" spans="1:27">
      <c r="E110">
        <v>7953211079</v>
      </c>
      <c r="F110" t="s">
        <v>11</v>
      </c>
      <c r="G110" t="s">
        <v>376</v>
      </c>
      <c r="H110" t="s">
        <v>50</v>
      </c>
      <c r="I110" t="s">
        <v>51</v>
      </c>
      <c r="J110" t="s">
        <v>1078</v>
      </c>
      <c r="P110" t="s">
        <v>1079</v>
      </c>
      <c r="Q110" t="s">
        <v>696</v>
      </c>
      <c r="Y110">
        <v>0</v>
      </c>
    </row>
    <row r="111" spans="1:27">
      <c r="E111">
        <v>7949648145</v>
      </c>
      <c r="F111" t="s">
        <v>11</v>
      </c>
      <c r="G111" t="s">
        <v>380</v>
      </c>
      <c r="H111" t="s">
        <v>132</v>
      </c>
      <c r="I111" t="s">
        <v>51</v>
      </c>
      <c r="J111" t="s">
        <v>379</v>
      </c>
      <c r="P111" t="s">
        <v>382</v>
      </c>
      <c r="Q111" t="s">
        <v>696</v>
      </c>
      <c r="Y111">
        <v>0</v>
      </c>
    </row>
    <row r="112" spans="1:27">
      <c r="E112">
        <v>7957021094</v>
      </c>
      <c r="F112" t="s">
        <v>11</v>
      </c>
      <c r="G112" t="s">
        <v>177</v>
      </c>
      <c r="H112" t="s">
        <v>177</v>
      </c>
      <c r="I112" t="s">
        <v>76</v>
      </c>
      <c r="J112" t="s">
        <v>437</v>
      </c>
      <c r="P112" t="s">
        <v>439</v>
      </c>
      <c r="Q112" t="s">
        <v>696</v>
      </c>
      <c r="Y112">
        <v>0</v>
      </c>
    </row>
    <row r="113" spans="1:25">
      <c r="E113">
        <v>7908300096</v>
      </c>
      <c r="F113" t="s">
        <v>11</v>
      </c>
      <c r="G113" t="s">
        <v>316</v>
      </c>
      <c r="H113" t="s">
        <v>108</v>
      </c>
      <c r="I113" t="s">
        <v>42</v>
      </c>
      <c r="J113" t="s">
        <v>383</v>
      </c>
      <c r="P113" t="s">
        <v>384</v>
      </c>
      <c r="Q113" t="s">
        <v>696</v>
      </c>
      <c r="Y113">
        <v>0</v>
      </c>
    </row>
    <row r="114" spans="1:25">
      <c r="A114" t="s">
        <v>967</v>
      </c>
      <c r="B114" t="s">
        <v>1011</v>
      </c>
      <c r="E114">
        <v>7953570026</v>
      </c>
      <c r="F114" t="s">
        <v>11</v>
      </c>
      <c r="G114" t="s">
        <v>108</v>
      </c>
      <c r="H114" t="s">
        <v>108</v>
      </c>
      <c r="I114" t="s">
        <v>42</v>
      </c>
      <c r="J114" t="s">
        <v>385</v>
      </c>
      <c r="P114" t="s">
        <v>386</v>
      </c>
      <c r="Q114" t="s">
        <v>696</v>
      </c>
      <c r="Y114">
        <v>0</v>
      </c>
    </row>
    <row r="115" spans="1:25">
      <c r="A115" t="s">
        <v>967</v>
      </c>
      <c r="B115" s="7" t="s">
        <v>1080</v>
      </c>
      <c r="C115" s="7"/>
      <c r="D115" s="7"/>
      <c r="E115">
        <v>7911120026</v>
      </c>
      <c r="F115" t="s">
        <v>11</v>
      </c>
      <c r="G115" t="s">
        <v>108</v>
      </c>
      <c r="H115" t="s">
        <v>108</v>
      </c>
      <c r="I115" t="s">
        <v>42</v>
      </c>
      <c r="J115" t="s">
        <v>387</v>
      </c>
      <c r="K115" t="s">
        <v>497</v>
      </c>
      <c r="P115" t="s">
        <v>389</v>
      </c>
      <c r="Q115" t="s">
        <v>696</v>
      </c>
      <c r="Y115">
        <v>0</v>
      </c>
    </row>
    <row r="116" spans="1:25">
      <c r="E116">
        <v>5820790038</v>
      </c>
      <c r="F116" t="s">
        <v>10</v>
      </c>
      <c r="G116" t="s">
        <v>564</v>
      </c>
      <c r="H116" t="s">
        <v>75</v>
      </c>
      <c r="I116" t="s">
        <v>76</v>
      </c>
      <c r="J116" t="s">
        <v>437</v>
      </c>
      <c r="P116" t="s">
        <v>439</v>
      </c>
      <c r="Q116" t="s">
        <v>696</v>
      </c>
      <c r="Y116">
        <v>0</v>
      </c>
    </row>
    <row r="117" spans="1:25">
      <c r="E117">
        <v>7934697002</v>
      </c>
      <c r="F117" t="s">
        <v>11</v>
      </c>
      <c r="G117" t="s">
        <v>223</v>
      </c>
      <c r="H117" t="s">
        <v>223</v>
      </c>
      <c r="I117" t="s">
        <v>51</v>
      </c>
      <c r="J117" t="s">
        <v>674</v>
      </c>
      <c r="P117" t="s">
        <v>676</v>
      </c>
      <c r="Q117" t="s">
        <v>696</v>
      </c>
      <c r="Y117">
        <v>0</v>
      </c>
    </row>
  </sheetData>
  <autoFilter ref="A1:AA117" xr:uid="{31A4CA31-C363-4ED3-A0AE-93265F3F5281}"/>
  <pageMargins left="0.511811024" right="0.511811024" top="0.78740157499999996" bottom="0.78740157499999996" header="0.31496062000000002" footer="0.31496062000000002"/>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72F9E-5EBC-4832-9F56-A7DB9B7501D6}">
  <dimension ref="A1:G276"/>
  <sheetViews>
    <sheetView workbookViewId="0"/>
  </sheetViews>
  <sheetFormatPr defaultRowHeight="15"/>
  <cols>
    <col min="1" max="1" width="12" bestFit="1" customWidth="1"/>
    <col min="2" max="2" width="11.85546875" bestFit="1" customWidth="1"/>
    <col min="3" max="3" width="32.85546875" bestFit="1" customWidth="1"/>
    <col min="4" max="4" width="11.42578125" bestFit="1" customWidth="1"/>
    <col min="5" max="6" width="25.140625" bestFit="1" customWidth="1"/>
    <col min="7" max="7" width="15.140625" bestFit="1" customWidth="1"/>
  </cols>
  <sheetData>
    <row r="1" spans="1:7">
      <c r="A1" t="s">
        <v>1081</v>
      </c>
      <c r="B1" t="s">
        <v>1082</v>
      </c>
      <c r="C1" t="s">
        <v>1083</v>
      </c>
      <c r="D1" t="s">
        <v>1084</v>
      </c>
      <c r="E1" t="s">
        <v>1085</v>
      </c>
      <c r="F1" t="s">
        <v>1086</v>
      </c>
      <c r="G1" t="s">
        <v>1087</v>
      </c>
    </row>
    <row r="2" spans="1:7">
      <c r="A2">
        <v>233</v>
      </c>
      <c r="B2" t="s">
        <v>1088</v>
      </c>
      <c r="C2" t="s">
        <v>1089</v>
      </c>
      <c r="D2" t="s">
        <v>1090</v>
      </c>
      <c r="E2" t="s">
        <v>210</v>
      </c>
      <c r="F2" t="s">
        <v>210</v>
      </c>
      <c r="G2" t="s">
        <v>42</v>
      </c>
    </row>
    <row r="3" spans="1:7">
      <c r="A3">
        <v>123</v>
      </c>
      <c r="B3" t="s">
        <v>1091</v>
      </c>
      <c r="C3" t="s">
        <v>1092</v>
      </c>
      <c r="D3" t="s">
        <v>1093</v>
      </c>
      <c r="E3" t="s">
        <v>223</v>
      </c>
      <c r="F3" t="s">
        <v>223</v>
      </c>
      <c r="G3" t="s">
        <v>51</v>
      </c>
    </row>
    <row r="4" spans="1:7">
      <c r="A4">
        <v>37</v>
      </c>
      <c r="B4" t="s">
        <v>1094</v>
      </c>
      <c r="C4" t="s">
        <v>1095</v>
      </c>
      <c r="D4" t="s">
        <v>1096</v>
      </c>
      <c r="E4" t="s">
        <v>336</v>
      </c>
      <c r="F4" t="s">
        <v>336</v>
      </c>
      <c r="G4" t="s">
        <v>76</v>
      </c>
    </row>
    <row r="5" spans="1:7">
      <c r="A5">
        <v>91</v>
      </c>
      <c r="B5" t="s">
        <v>1097</v>
      </c>
      <c r="C5" t="s">
        <v>74</v>
      </c>
      <c r="D5" t="s">
        <v>1098</v>
      </c>
      <c r="E5" t="s">
        <v>75</v>
      </c>
      <c r="F5" t="s">
        <v>75</v>
      </c>
      <c r="G5" t="s">
        <v>76</v>
      </c>
    </row>
    <row r="6" spans="1:7">
      <c r="A6">
        <v>128</v>
      </c>
      <c r="B6" t="s">
        <v>1099</v>
      </c>
      <c r="C6" t="s">
        <v>1100</v>
      </c>
      <c r="D6" t="s">
        <v>1098</v>
      </c>
      <c r="E6" t="s">
        <v>75</v>
      </c>
      <c r="F6" t="s">
        <v>75</v>
      </c>
      <c r="G6" t="s">
        <v>76</v>
      </c>
    </row>
    <row r="7" spans="1:7">
      <c r="A7">
        <v>217</v>
      </c>
      <c r="B7" t="s">
        <v>1099</v>
      </c>
      <c r="C7" t="s">
        <v>1101</v>
      </c>
      <c r="D7" t="s">
        <v>1102</v>
      </c>
      <c r="E7" t="s">
        <v>132</v>
      </c>
      <c r="F7" t="s">
        <v>132</v>
      </c>
      <c r="G7" t="s">
        <v>51</v>
      </c>
    </row>
    <row r="8" spans="1:7">
      <c r="A8">
        <v>146</v>
      </c>
      <c r="B8" t="s">
        <v>1099</v>
      </c>
      <c r="C8" t="s">
        <v>1103</v>
      </c>
      <c r="D8" t="s">
        <v>1104</v>
      </c>
      <c r="E8" t="s">
        <v>50</v>
      </c>
      <c r="F8" t="s">
        <v>50</v>
      </c>
      <c r="G8" t="s">
        <v>51</v>
      </c>
    </row>
    <row r="9" spans="1:7">
      <c r="A9">
        <v>36</v>
      </c>
      <c r="B9" t="s">
        <v>1105</v>
      </c>
      <c r="C9" t="s">
        <v>449</v>
      </c>
      <c r="D9" t="s">
        <v>1106</v>
      </c>
      <c r="E9" t="s">
        <v>192</v>
      </c>
      <c r="F9" t="s">
        <v>449</v>
      </c>
      <c r="G9" t="s">
        <v>76</v>
      </c>
    </row>
    <row r="10" spans="1:7">
      <c r="A10">
        <v>138</v>
      </c>
      <c r="B10" t="s">
        <v>1107</v>
      </c>
      <c r="C10" t="s">
        <v>1108</v>
      </c>
      <c r="D10" t="s">
        <v>1098</v>
      </c>
      <c r="E10" t="s">
        <v>75</v>
      </c>
      <c r="F10" t="s">
        <v>75</v>
      </c>
      <c r="G10" t="s">
        <v>76</v>
      </c>
    </row>
    <row r="11" spans="1:7">
      <c r="A11">
        <v>98</v>
      </c>
      <c r="B11" t="s">
        <v>1109</v>
      </c>
      <c r="C11" t="s">
        <v>1110</v>
      </c>
      <c r="D11" t="s">
        <v>1093</v>
      </c>
      <c r="E11" t="s">
        <v>223</v>
      </c>
      <c r="F11" t="s">
        <v>223</v>
      </c>
      <c r="G11" t="s">
        <v>51</v>
      </c>
    </row>
    <row r="12" spans="1:7">
      <c r="A12">
        <v>109</v>
      </c>
      <c r="B12" t="s">
        <v>1111</v>
      </c>
      <c r="C12" t="s">
        <v>1112</v>
      </c>
      <c r="D12" t="s">
        <v>1093</v>
      </c>
      <c r="E12" t="s">
        <v>223</v>
      </c>
      <c r="F12" t="s">
        <v>223</v>
      </c>
      <c r="G12" t="s">
        <v>51</v>
      </c>
    </row>
    <row r="13" spans="1:7">
      <c r="A13">
        <v>83</v>
      </c>
      <c r="B13" t="s">
        <v>1113</v>
      </c>
      <c r="C13" t="s">
        <v>490</v>
      </c>
      <c r="D13" t="s">
        <v>1114</v>
      </c>
      <c r="E13" t="s">
        <v>62</v>
      </c>
      <c r="F13" t="s">
        <v>62</v>
      </c>
      <c r="G13" t="s">
        <v>42</v>
      </c>
    </row>
    <row r="14" spans="1:7">
      <c r="A14">
        <v>260</v>
      </c>
      <c r="B14" t="s">
        <v>1115</v>
      </c>
      <c r="C14" t="s">
        <v>1116</v>
      </c>
      <c r="D14" t="s">
        <v>1117</v>
      </c>
      <c r="E14" t="s">
        <v>177</v>
      </c>
      <c r="F14" t="s">
        <v>177</v>
      </c>
      <c r="G14" t="s">
        <v>76</v>
      </c>
    </row>
    <row r="15" spans="1:7">
      <c r="A15">
        <v>197</v>
      </c>
      <c r="B15" t="s">
        <v>1118</v>
      </c>
      <c r="C15" t="s">
        <v>1119</v>
      </c>
      <c r="D15" t="s">
        <v>1093</v>
      </c>
      <c r="E15" t="s">
        <v>223</v>
      </c>
      <c r="F15" t="s">
        <v>57</v>
      </c>
      <c r="G15" t="s">
        <v>51</v>
      </c>
    </row>
    <row r="16" spans="1:7">
      <c r="A16">
        <v>40</v>
      </c>
      <c r="B16" t="s">
        <v>1118</v>
      </c>
      <c r="C16" t="s">
        <v>492</v>
      </c>
      <c r="D16" t="s">
        <v>1118</v>
      </c>
      <c r="E16" t="s">
        <v>57</v>
      </c>
      <c r="F16" t="s">
        <v>57</v>
      </c>
      <c r="G16" t="s">
        <v>51</v>
      </c>
    </row>
    <row r="17" spans="1:7">
      <c r="A17">
        <v>55</v>
      </c>
      <c r="B17" t="s">
        <v>1118</v>
      </c>
      <c r="C17" t="s">
        <v>458</v>
      </c>
      <c r="D17" t="s">
        <v>1090</v>
      </c>
      <c r="E17" t="s">
        <v>210</v>
      </c>
      <c r="F17" t="s">
        <v>210</v>
      </c>
      <c r="G17" t="s">
        <v>42</v>
      </c>
    </row>
    <row r="18" spans="1:7">
      <c r="A18">
        <v>32</v>
      </c>
      <c r="B18" t="s">
        <v>1118</v>
      </c>
      <c r="C18" t="s">
        <v>448</v>
      </c>
      <c r="D18" t="s">
        <v>1106</v>
      </c>
      <c r="E18" t="s">
        <v>192</v>
      </c>
      <c r="F18" t="s">
        <v>449</v>
      </c>
      <c r="G18" t="s">
        <v>76</v>
      </c>
    </row>
    <row r="19" spans="1:7">
      <c r="A19">
        <v>4</v>
      </c>
      <c r="B19" t="s">
        <v>1118</v>
      </c>
      <c r="C19" t="s">
        <v>57</v>
      </c>
      <c r="D19" t="s">
        <v>1118</v>
      </c>
      <c r="E19" t="s">
        <v>57</v>
      </c>
      <c r="F19" t="s">
        <v>57</v>
      </c>
      <c r="G19" t="s">
        <v>51</v>
      </c>
    </row>
    <row r="20" spans="1:7">
      <c r="A20">
        <v>157</v>
      </c>
      <c r="B20" t="s">
        <v>1118</v>
      </c>
      <c r="C20" t="s">
        <v>1120</v>
      </c>
      <c r="D20" t="s">
        <v>1093</v>
      </c>
      <c r="E20" t="s">
        <v>223</v>
      </c>
      <c r="F20" t="s">
        <v>223</v>
      </c>
      <c r="G20" t="s">
        <v>51</v>
      </c>
    </row>
    <row r="21" spans="1:7">
      <c r="A21">
        <v>39</v>
      </c>
      <c r="B21" t="s">
        <v>1118</v>
      </c>
      <c r="C21" t="s">
        <v>267</v>
      </c>
      <c r="D21" t="s">
        <v>1102</v>
      </c>
      <c r="E21" t="s">
        <v>132</v>
      </c>
      <c r="F21" t="s">
        <v>132</v>
      </c>
      <c r="G21" t="s">
        <v>51</v>
      </c>
    </row>
    <row r="22" spans="1:7">
      <c r="A22">
        <v>25</v>
      </c>
      <c r="B22" t="s">
        <v>1118</v>
      </c>
      <c r="C22" t="s">
        <v>162</v>
      </c>
      <c r="D22" t="s">
        <v>1121</v>
      </c>
      <c r="E22" t="s">
        <v>154</v>
      </c>
      <c r="F22" t="s">
        <v>154</v>
      </c>
      <c r="G22" t="s">
        <v>51</v>
      </c>
    </row>
    <row r="23" spans="1:7">
      <c r="A23">
        <v>5</v>
      </c>
      <c r="B23" t="s">
        <v>1122</v>
      </c>
      <c r="C23" t="s">
        <v>395</v>
      </c>
      <c r="D23" t="s">
        <v>1098</v>
      </c>
      <c r="E23" t="s">
        <v>75</v>
      </c>
      <c r="F23" t="s">
        <v>75</v>
      </c>
      <c r="G23" t="s">
        <v>76</v>
      </c>
    </row>
    <row r="24" spans="1:7">
      <c r="A24">
        <v>45</v>
      </c>
      <c r="B24" t="s">
        <v>1102</v>
      </c>
      <c r="C24" t="s">
        <v>132</v>
      </c>
      <c r="D24" t="s">
        <v>1102</v>
      </c>
      <c r="E24" t="s">
        <v>132</v>
      </c>
      <c r="F24" t="s">
        <v>132</v>
      </c>
      <c r="G24" t="s">
        <v>51</v>
      </c>
    </row>
    <row r="25" spans="1:7">
      <c r="A25">
        <v>49</v>
      </c>
      <c r="B25" t="s">
        <v>1123</v>
      </c>
      <c r="C25" t="s">
        <v>86</v>
      </c>
      <c r="D25" t="s">
        <v>1098</v>
      </c>
      <c r="E25" t="s">
        <v>75</v>
      </c>
      <c r="F25" t="s">
        <v>75</v>
      </c>
      <c r="G25" t="s">
        <v>76</v>
      </c>
    </row>
    <row r="26" spans="1:7">
      <c r="A26">
        <v>65</v>
      </c>
      <c r="B26" t="s">
        <v>1124</v>
      </c>
      <c r="C26" t="s">
        <v>1125</v>
      </c>
      <c r="D26" t="s">
        <v>1102</v>
      </c>
      <c r="E26" t="s">
        <v>132</v>
      </c>
      <c r="F26" t="s">
        <v>132</v>
      </c>
      <c r="G26" t="s">
        <v>51</v>
      </c>
    </row>
    <row r="27" spans="1:7">
      <c r="A27">
        <v>114</v>
      </c>
      <c r="B27" t="s">
        <v>1126</v>
      </c>
      <c r="C27" t="s">
        <v>1127</v>
      </c>
      <c r="D27" t="s">
        <v>1098</v>
      </c>
      <c r="E27" t="s">
        <v>75</v>
      </c>
      <c r="F27" t="s">
        <v>75</v>
      </c>
      <c r="G27" t="s">
        <v>76</v>
      </c>
    </row>
    <row r="28" spans="1:7">
      <c r="A28">
        <v>22</v>
      </c>
      <c r="B28" t="s">
        <v>1128</v>
      </c>
      <c r="C28" t="s">
        <v>102</v>
      </c>
      <c r="D28" t="s">
        <v>1118</v>
      </c>
      <c r="E28" t="s">
        <v>57</v>
      </c>
      <c r="F28" t="s">
        <v>223</v>
      </c>
      <c r="G28" t="s">
        <v>51</v>
      </c>
    </row>
    <row r="29" spans="1:7">
      <c r="A29">
        <v>244</v>
      </c>
      <c r="B29" t="s">
        <v>1129</v>
      </c>
      <c r="C29" t="s">
        <v>1130</v>
      </c>
      <c r="D29" t="s">
        <v>1106</v>
      </c>
      <c r="E29" t="s">
        <v>192</v>
      </c>
      <c r="F29" t="s">
        <v>449</v>
      </c>
      <c r="G29" t="s">
        <v>76</v>
      </c>
    </row>
    <row r="30" spans="1:7">
      <c r="A30">
        <v>63</v>
      </c>
      <c r="B30" t="s">
        <v>1131</v>
      </c>
      <c r="C30" t="s">
        <v>204</v>
      </c>
      <c r="D30" t="s">
        <v>1121</v>
      </c>
      <c r="E30" t="s">
        <v>154</v>
      </c>
      <c r="F30" t="s">
        <v>154</v>
      </c>
      <c r="G30" t="s">
        <v>51</v>
      </c>
    </row>
    <row r="31" spans="1:7">
      <c r="A31">
        <v>254</v>
      </c>
      <c r="B31" t="s">
        <v>1132</v>
      </c>
      <c r="C31" t="s">
        <v>1133</v>
      </c>
      <c r="D31" t="s">
        <v>1114</v>
      </c>
      <c r="E31" t="s">
        <v>62</v>
      </c>
      <c r="F31" t="s">
        <v>62</v>
      </c>
      <c r="G31" t="s">
        <v>42</v>
      </c>
    </row>
    <row r="32" spans="1:7">
      <c r="A32">
        <v>170</v>
      </c>
      <c r="B32" t="s">
        <v>1132</v>
      </c>
      <c r="C32" t="s">
        <v>1134</v>
      </c>
      <c r="D32" t="s">
        <v>1118</v>
      </c>
      <c r="E32" t="s">
        <v>57</v>
      </c>
      <c r="F32" t="s">
        <v>57</v>
      </c>
      <c r="G32" t="s">
        <v>51</v>
      </c>
    </row>
    <row r="33" spans="1:7">
      <c r="A33">
        <v>265</v>
      </c>
      <c r="B33" t="s">
        <v>1132</v>
      </c>
      <c r="C33" t="s">
        <v>1135</v>
      </c>
      <c r="D33" t="s">
        <v>1118</v>
      </c>
      <c r="E33" t="s">
        <v>57</v>
      </c>
      <c r="F33" t="s">
        <v>57</v>
      </c>
      <c r="G33" t="s">
        <v>51</v>
      </c>
    </row>
    <row r="34" spans="1:7">
      <c r="A34">
        <v>17</v>
      </c>
      <c r="B34" t="s">
        <v>1132</v>
      </c>
      <c r="C34" t="s">
        <v>302</v>
      </c>
      <c r="D34" t="s">
        <v>1136</v>
      </c>
      <c r="E34" t="s">
        <v>186</v>
      </c>
      <c r="F34" t="s">
        <v>186</v>
      </c>
      <c r="G34" t="s">
        <v>42</v>
      </c>
    </row>
    <row r="35" spans="1:7">
      <c r="A35">
        <v>130</v>
      </c>
      <c r="B35" t="s">
        <v>1137</v>
      </c>
      <c r="C35" t="s">
        <v>1138</v>
      </c>
      <c r="D35" t="s">
        <v>1102</v>
      </c>
      <c r="E35" t="s">
        <v>132</v>
      </c>
      <c r="F35" t="s">
        <v>132</v>
      </c>
      <c r="G35" t="s">
        <v>51</v>
      </c>
    </row>
    <row r="36" spans="1:7">
      <c r="A36">
        <v>153</v>
      </c>
      <c r="B36" t="s">
        <v>1139</v>
      </c>
      <c r="C36" t="s">
        <v>1140</v>
      </c>
      <c r="D36" t="s">
        <v>1121</v>
      </c>
      <c r="E36" t="s">
        <v>154</v>
      </c>
      <c r="F36" t="s">
        <v>154</v>
      </c>
      <c r="G36" t="s">
        <v>51</v>
      </c>
    </row>
    <row r="37" spans="1:7">
      <c r="A37">
        <v>158</v>
      </c>
      <c r="B37" t="s">
        <v>1141</v>
      </c>
      <c r="C37" t="s">
        <v>1142</v>
      </c>
      <c r="D37" t="s">
        <v>1118</v>
      </c>
      <c r="E37" t="s">
        <v>57</v>
      </c>
      <c r="F37" t="s">
        <v>57</v>
      </c>
      <c r="G37" t="s">
        <v>51</v>
      </c>
    </row>
    <row r="38" spans="1:7">
      <c r="A38">
        <v>166</v>
      </c>
      <c r="B38" t="s">
        <v>1143</v>
      </c>
      <c r="C38" t="s">
        <v>1144</v>
      </c>
      <c r="D38" t="s">
        <v>1102</v>
      </c>
      <c r="E38" t="s">
        <v>132</v>
      </c>
      <c r="F38" t="s">
        <v>132</v>
      </c>
      <c r="G38" t="s">
        <v>51</v>
      </c>
    </row>
    <row r="39" spans="1:7">
      <c r="A39">
        <v>18</v>
      </c>
      <c r="B39" t="s">
        <v>1145</v>
      </c>
      <c r="C39" t="s">
        <v>1146</v>
      </c>
      <c r="D39" t="s">
        <v>1104</v>
      </c>
      <c r="E39" t="s">
        <v>50</v>
      </c>
      <c r="F39" t="s">
        <v>50</v>
      </c>
      <c r="G39" t="s">
        <v>51</v>
      </c>
    </row>
    <row r="40" spans="1:7">
      <c r="A40">
        <v>150</v>
      </c>
      <c r="B40" t="s">
        <v>1147</v>
      </c>
      <c r="C40" t="s">
        <v>1148</v>
      </c>
      <c r="D40" t="s">
        <v>1098</v>
      </c>
      <c r="E40" t="s">
        <v>75</v>
      </c>
      <c r="F40" t="s">
        <v>75</v>
      </c>
      <c r="G40" t="s">
        <v>76</v>
      </c>
    </row>
    <row r="41" spans="1:7">
      <c r="A41">
        <v>64</v>
      </c>
      <c r="B41" t="s">
        <v>1149</v>
      </c>
      <c r="C41" t="s">
        <v>563</v>
      </c>
      <c r="D41" t="s">
        <v>1104</v>
      </c>
      <c r="E41" t="s">
        <v>50</v>
      </c>
      <c r="F41" t="s">
        <v>50</v>
      </c>
      <c r="G41" t="s">
        <v>51</v>
      </c>
    </row>
    <row r="42" spans="1:7">
      <c r="A42">
        <v>62</v>
      </c>
      <c r="B42" t="s">
        <v>1149</v>
      </c>
      <c r="C42" t="s">
        <v>1150</v>
      </c>
      <c r="D42" t="s">
        <v>1121</v>
      </c>
      <c r="E42" t="s">
        <v>154</v>
      </c>
      <c r="F42" t="s">
        <v>154</v>
      </c>
      <c r="G42" t="s">
        <v>51</v>
      </c>
    </row>
    <row r="43" spans="1:7">
      <c r="A43">
        <v>167</v>
      </c>
      <c r="B43" t="s">
        <v>1151</v>
      </c>
      <c r="C43" t="s">
        <v>1152</v>
      </c>
      <c r="D43" t="s">
        <v>1093</v>
      </c>
      <c r="E43" t="s">
        <v>223</v>
      </c>
      <c r="F43" t="s">
        <v>223</v>
      </c>
      <c r="G43" t="s">
        <v>51</v>
      </c>
    </row>
    <row r="44" spans="1:7">
      <c r="A44">
        <v>71</v>
      </c>
      <c r="B44" t="s">
        <v>1151</v>
      </c>
      <c r="C44" t="s">
        <v>1153</v>
      </c>
      <c r="D44" t="s">
        <v>1154</v>
      </c>
      <c r="E44" t="s">
        <v>41</v>
      </c>
      <c r="F44" t="s">
        <v>41</v>
      </c>
      <c r="G44" t="s">
        <v>42</v>
      </c>
    </row>
    <row r="45" spans="1:7">
      <c r="A45">
        <v>68</v>
      </c>
      <c r="B45" t="s">
        <v>1155</v>
      </c>
      <c r="C45" t="s">
        <v>1156</v>
      </c>
      <c r="D45" t="s">
        <v>1102</v>
      </c>
      <c r="E45" t="s">
        <v>132</v>
      </c>
      <c r="F45" t="s">
        <v>132</v>
      </c>
      <c r="G45" t="s">
        <v>51</v>
      </c>
    </row>
    <row r="46" spans="1:7">
      <c r="A46">
        <v>240</v>
      </c>
      <c r="B46" t="s">
        <v>1155</v>
      </c>
      <c r="C46" t="s">
        <v>1157</v>
      </c>
      <c r="D46" t="s">
        <v>1114</v>
      </c>
      <c r="E46" t="s">
        <v>62</v>
      </c>
      <c r="F46" t="s">
        <v>62</v>
      </c>
      <c r="G46" t="s">
        <v>42</v>
      </c>
    </row>
    <row r="47" spans="1:7">
      <c r="A47">
        <v>156</v>
      </c>
      <c r="B47" t="s">
        <v>1158</v>
      </c>
      <c r="C47" t="s">
        <v>1159</v>
      </c>
      <c r="D47" t="s">
        <v>1093</v>
      </c>
      <c r="E47" t="s">
        <v>223</v>
      </c>
      <c r="F47" t="s">
        <v>223</v>
      </c>
      <c r="G47" t="s">
        <v>51</v>
      </c>
    </row>
    <row r="48" spans="1:7">
      <c r="A48">
        <v>182</v>
      </c>
      <c r="B48" t="s">
        <v>1160</v>
      </c>
      <c r="C48" t="s">
        <v>1161</v>
      </c>
      <c r="D48" t="s">
        <v>1162</v>
      </c>
      <c r="E48" t="s">
        <v>97</v>
      </c>
      <c r="F48" t="s">
        <v>97</v>
      </c>
      <c r="G48" t="s">
        <v>42</v>
      </c>
    </row>
    <row r="49" spans="1:7">
      <c r="A49">
        <v>115</v>
      </c>
      <c r="B49" t="s">
        <v>1160</v>
      </c>
      <c r="C49" t="s">
        <v>1163</v>
      </c>
      <c r="D49" t="s">
        <v>1162</v>
      </c>
      <c r="E49" t="s">
        <v>97</v>
      </c>
      <c r="F49" t="s">
        <v>97</v>
      </c>
      <c r="G49" t="s">
        <v>42</v>
      </c>
    </row>
    <row r="50" spans="1:7">
      <c r="A50">
        <v>193</v>
      </c>
      <c r="B50" t="s">
        <v>1160</v>
      </c>
      <c r="C50" t="s">
        <v>402</v>
      </c>
      <c r="D50" t="s">
        <v>1118</v>
      </c>
      <c r="E50" t="s">
        <v>57</v>
      </c>
      <c r="F50" t="s">
        <v>57</v>
      </c>
      <c r="G50" t="s">
        <v>51</v>
      </c>
    </row>
    <row r="51" spans="1:7">
      <c r="A51">
        <v>199</v>
      </c>
      <c r="B51" t="s">
        <v>1164</v>
      </c>
      <c r="C51" t="s">
        <v>1165</v>
      </c>
      <c r="D51" t="s">
        <v>1166</v>
      </c>
      <c r="E51" t="s">
        <v>68</v>
      </c>
      <c r="F51" t="s">
        <v>68</v>
      </c>
      <c r="G51" t="s">
        <v>42</v>
      </c>
    </row>
    <row r="52" spans="1:7">
      <c r="A52">
        <v>249</v>
      </c>
      <c r="B52" t="s">
        <v>1164</v>
      </c>
      <c r="C52" t="s">
        <v>1167</v>
      </c>
      <c r="D52" t="s">
        <v>1104</v>
      </c>
      <c r="E52" t="s">
        <v>50</v>
      </c>
      <c r="F52" t="s">
        <v>50</v>
      </c>
      <c r="G52" t="s">
        <v>51</v>
      </c>
    </row>
    <row r="53" spans="1:7">
      <c r="A53">
        <v>42</v>
      </c>
      <c r="B53" t="s">
        <v>1168</v>
      </c>
      <c r="C53" t="s">
        <v>1169</v>
      </c>
      <c r="D53" t="s">
        <v>1096</v>
      </c>
      <c r="E53" t="s">
        <v>336</v>
      </c>
      <c r="F53" t="s">
        <v>336</v>
      </c>
      <c r="G53" t="s">
        <v>76</v>
      </c>
    </row>
    <row r="54" spans="1:7">
      <c r="A54">
        <v>56</v>
      </c>
      <c r="B54" t="s">
        <v>1168</v>
      </c>
      <c r="C54" t="s">
        <v>1170</v>
      </c>
      <c r="D54" t="s">
        <v>1118</v>
      </c>
      <c r="E54" t="s">
        <v>57</v>
      </c>
      <c r="F54" t="s">
        <v>57</v>
      </c>
      <c r="G54" t="s">
        <v>51</v>
      </c>
    </row>
    <row r="55" spans="1:7">
      <c r="A55">
        <v>133</v>
      </c>
      <c r="B55" t="s">
        <v>1168</v>
      </c>
      <c r="C55" t="s">
        <v>1171</v>
      </c>
      <c r="D55" t="s">
        <v>1102</v>
      </c>
      <c r="E55" t="s">
        <v>132</v>
      </c>
      <c r="F55" t="s">
        <v>132</v>
      </c>
      <c r="G55" t="s">
        <v>51</v>
      </c>
    </row>
    <row r="56" spans="1:7">
      <c r="A56">
        <v>149</v>
      </c>
      <c r="B56" t="s">
        <v>1172</v>
      </c>
      <c r="C56" t="s">
        <v>257</v>
      </c>
      <c r="D56" t="s">
        <v>1090</v>
      </c>
      <c r="E56" t="s">
        <v>210</v>
      </c>
      <c r="F56" t="s">
        <v>210</v>
      </c>
      <c r="G56" t="s">
        <v>42</v>
      </c>
    </row>
    <row r="57" spans="1:7">
      <c r="A57">
        <v>264</v>
      </c>
      <c r="B57" t="s">
        <v>1173</v>
      </c>
      <c r="C57" t="s">
        <v>1174</v>
      </c>
      <c r="D57" t="s">
        <v>1098</v>
      </c>
      <c r="E57" t="s">
        <v>75</v>
      </c>
      <c r="F57" t="s">
        <v>75</v>
      </c>
      <c r="G57" t="s">
        <v>76</v>
      </c>
    </row>
    <row r="58" spans="1:7">
      <c r="A58">
        <v>195</v>
      </c>
      <c r="B58" t="s">
        <v>1175</v>
      </c>
      <c r="C58" t="s">
        <v>167</v>
      </c>
      <c r="D58" t="s">
        <v>1104</v>
      </c>
      <c r="E58" t="s">
        <v>50</v>
      </c>
      <c r="F58" t="s">
        <v>50</v>
      </c>
      <c r="G58" t="s">
        <v>51</v>
      </c>
    </row>
    <row r="59" spans="1:7">
      <c r="A59">
        <v>237</v>
      </c>
      <c r="B59" t="s">
        <v>1175</v>
      </c>
      <c r="C59" t="s">
        <v>1176</v>
      </c>
      <c r="D59" t="s">
        <v>1102</v>
      </c>
      <c r="E59" t="s">
        <v>132</v>
      </c>
      <c r="F59" t="s">
        <v>132</v>
      </c>
      <c r="G59" t="s">
        <v>51</v>
      </c>
    </row>
    <row r="60" spans="1:7">
      <c r="A60">
        <v>143</v>
      </c>
      <c r="B60" t="s">
        <v>1175</v>
      </c>
      <c r="C60" t="s">
        <v>1177</v>
      </c>
      <c r="D60" t="s">
        <v>1102</v>
      </c>
      <c r="E60" t="s">
        <v>132</v>
      </c>
      <c r="F60" t="s">
        <v>132</v>
      </c>
      <c r="G60" t="s">
        <v>51</v>
      </c>
    </row>
    <row r="61" spans="1:7">
      <c r="A61">
        <v>99</v>
      </c>
      <c r="B61" t="s">
        <v>1175</v>
      </c>
      <c r="C61" t="s">
        <v>1178</v>
      </c>
      <c r="D61" t="s">
        <v>1102</v>
      </c>
      <c r="E61" t="s">
        <v>132</v>
      </c>
      <c r="F61" t="s">
        <v>132</v>
      </c>
      <c r="G61" t="s">
        <v>51</v>
      </c>
    </row>
    <row r="62" spans="1:7">
      <c r="A62">
        <v>176</v>
      </c>
      <c r="B62" t="s">
        <v>1175</v>
      </c>
      <c r="C62" t="s">
        <v>1179</v>
      </c>
      <c r="D62" t="s">
        <v>1102</v>
      </c>
      <c r="E62" t="s">
        <v>132</v>
      </c>
      <c r="F62" t="s">
        <v>132</v>
      </c>
      <c r="G62" t="s">
        <v>51</v>
      </c>
    </row>
    <row r="63" spans="1:7">
      <c r="A63">
        <v>218</v>
      </c>
      <c r="B63" t="s">
        <v>1175</v>
      </c>
      <c r="C63" t="s">
        <v>1180</v>
      </c>
      <c r="D63" t="s">
        <v>1102</v>
      </c>
      <c r="E63" t="s">
        <v>132</v>
      </c>
      <c r="F63" t="s">
        <v>132</v>
      </c>
      <c r="G63" t="s">
        <v>51</v>
      </c>
    </row>
    <row r="64" spans="1:7">
      <c r="A64">
        <v>178</v>
      </c>
      <c r="B64" t="s">
        <v>1175</v>
      </c>
      <c r="C64" t="s">
        <v>1181</v>
      </c>
      <c r="D64" t="s">
        <v>1102</v>
      </c>
      <c r="E64" t="s">
        <v>132</v>
      </c>
      <c r="F64" t="s">
        <v>132</v>
      </c>
      <c r="G64" t="s">
        <v>51</v>
      </c>
    </row>
    <row r="65" spans="1:7">
      <c r="A65">
        <v>116</v>
      </c>
      <c r="B65" t="s">
        <v>1182</v>
      </c>
      <c r="C65" t="s">
        <v>200</v>
      </c>
      <c r="D65" t="s">
        <v>1098</v>
      </c>
      <c r="E65" t="s">
        <v>75</v>
      </c>
      <c r="F65" t="s">
        <v>75</v>
      </c>
      <c r="G65" t="s">
        <v>76</v>
      </c>
    </row>
    <row r="66" spans="1:7">
      <c r="A66">
        <v>253</v>
      </c>
      <c r="B66" t="s">
        <v>1182</v>
      </c>
      <c r="C66" t="s">
        <v>1183</v>
      </c>
      <c r="D66" t="s">
        <v>1162</v>
      </c>
      <c r="E66" t="s">
        <v>97</v>
      </c>
      <c r="F66" t="s">
        <v>97</v>
      </c>
      <c r="G66" t="s">
        <v>42</v>
      </c>
    </row>
    <row r="67" spans="1:7">
      <c r="A67">
        <v>23</v>
      </c>
      <c r="B67" t="s">
        <v>1121</v>
      </c>
      <c r="C67" t="s">
        <v>154</v>
      </c>
      <c r="D67" t="s">
        <v>1121</v>
      </c>
      <c r="E67" t="s">
        <v>154</v>
      </c>
      <c r="F67" t="s">
        <v>154</v>
      </c>
      <c r="G67" t="s">
        <v>51</v>
      </c>
    </row>
    <row r="68" spans="1:7">
      <c r="A68">
        <v>33</v>
      </c>
      <c r="B68" t="s">
        <v>1121</v>
      </c>
      <c r="C68" t="s">
        <v>633</v>
      </c>
      <c r="D68" t="s">
        <v>1104</v>
      </c>
      <c r="E68" t="s">
        <v>50</v>
      </c>
      <c r="F68" t="s">
        <v>50</v>
      </c>
      <c r="G68" t="s">
        <v>51</v>
      </c>
    </row>
    <row r="69" spans="1:7">
      <c r="A69">
        <v>50</v>
      </c>
      <c r="B69" t="s">
        <v>1184</v>
      </c>
      <c r="C69" t="s">
        <v>1185</v>
      </c>
      <c r="D69" t="s">
        <v>1098</v>
      </c>
      <c r="E69" t="s">
        <v>75</v>
      </c>
      <c r="F69" t="s">
        <v>75</v>
      </c>
      <c r="G69" t="s">
        <v>76</v>
      </c>
    </row>
    <row r="70" spans="1:7">
      <c r="A70">
        <v>72</v>
      </c>
      <c r="B70" t="s">
        <v>1186</v>
      </c>
      <c r="C70" t="s">
        <v>588</v>
      </c>
      <c r="D70" t="s">
        <v>1098</v>
      </c>
      <c r="E70" t="s">
        <v>75</v>
      </c>
      <c r="F70" t="s">
        <v>75</v>
      </c>
      <c r="G70" t="s">
        <v>76</v>
      </c>
    </row>
    <row r="71" spans="1:7">
      <c r="A71">
        <v>113</v>
      </c>
      <c r="B71" t="s">
        <v>1187</v>
      </c>
      <c r="C71" t="s">
        <v>409</v>
      </c>
      <c r="D71" t="s">
        <v>1104</v>
      </c>
      <c r="E71" t="s">
        <v>50</v>
      </c>
      <c r="F71" t="s">
        <v>50</v>
      </c>
      <c r="G71" t="s">
        <v>51</v>
      </c>
    </row>
    <row r="72" spans="1:7">
      <c r="A72">
        <v>225</v>
      </c>
      <c r="B72" t="s">
        <v>1187</v>
      </c>
      <c r="C72" t="s">
        <v>1188</v>
      </c>
      <c r="D72" t="s">
        <v>1104</v>
      </c>
      <c r="E72" t="s">
        <v>50</v>
      </c>
      <c r="F72" t="s">
        <v>50</v>
      </c>
      <c r="G72" t="s">
        <v>51</v>
      </c>
    </row>
    <row r="73" spans="1:7">
      <c r="A73">
        <v>12</v>
      </c>
      <c r="B73" t="s">
        <v>1189</v>
      </c>
      <c r="C73" t="s">
        <v>1190</v>
      </c>
      <c r="D73" t="s">
        <v>1162</v>
      </c>
      <c r="E73" t="s">
        <v>97</v>
      </c>
      <c r="F73" t="s">
        <v>97</v>
      </c>
      <c r="G73" t="s">
        <v>42</v>
      </c>
    </row>
    <row r="74" spans="1:7">
      <c r="A74">
        <v>41</v>
      </c>
      <c r="B74" t="s">
        <v>1189</v>
      </c>
      <c r="C74" t="s">
        <v>1191</v>
      </c>
      <c r="D74" t="s">
        <v>1096</v>
      </c>
      <c r="E74" t="s">
        <v>336</v>
      </c>
      <c r="F74" t="s">
        <v>336</v>
      </c>
      <c r="G74" t="s">
        <v>76</v>
      </c>
    </row>
    <row r="75" spans="1:7">
      <c r="A75">
        <v>80</v>
      </c>
      <c r="B75" t="s">
        <v>1192</v>
      </c>
      <c r="C75" t="s">
        <v>1193</v>
      </c>
      <c r="D75" t="s">
        <v>1093</v>
      </c>
      <c r="E75" t="s">
        <v>223</v>
      </c>
      <c r="F75" t="s">
        <v>223</v>
      </c>
      <c r="G75" t="s">
        <v>51</v>
      </c>
    </row>
    <row r="76" spans="1:7">
      <c r="A76">
        <v>74</v>
      </c>
      <c r="B76" t="s">
        <v>1098</v>
      </c>
      <c r="C76" t="s">
        <v>75</v>
      </c>
      <c r="D76" t="s">
        <v>1098</v>
      </c>
      <c r="E76" t="s">
        <v>75</v>
      </c>
      <c r="F76" t="s">
        <v>75</v>
      </c>
      <c r="G76" t="s">
        <v>76</v>
      </c>
    </row>
    <row r="77" spans="1:7">
      <c r="A77">
        <v>84</v>
      </c>
      <c r="B77" t="s">
        <v>1090</v>
      </c>
      <c r="C77" t="s">
        <v>210</v>
      </c>
      <c r="D77" t="s">
        <v>1090</v>
      </c>
      <c r="E77" t="s">
        <v>210</v>
      </c>
      <c r="F77" t="s">
        <v>210</v>
      </c>
      <c r="G77" t="s">
        <v>42</v>
      </c>
    </row>
    <row r="78" spans="1:7">
      <c r="A78">
        <v>75</v>
      </c>
      <c r="B78" t="s">
        <v>1194</v>
      </c>
      <c r="C78" t="s">
        <v>540</v>
      </c>
      <c r="D78" t="s">
        <v>1090</v>
      </c>
      <c r="E78" t="s">
        <v>210</v>
      </c>
      <c r="F78" t="s">
        <v>210</v>
      </c>
      <c r="G78" t="s">
        <v>42</v>
      </c>
    </row>
    <row r="79" spans="1:7">
      <c r="A79">
        <v>139</v>
      </c>
      <c r="B79" t="s">
        <v>1195</v>
      </c>
      <c r="C79" t="s">
        <v>1196</v>
      </c>
      <c r="D79" t="s">
        <v>1106</v>
      </c>
      <c r="E79" t="s">
        <v>192</v>
      </c>
      <c r="F79" t="s">
        <v>449</v>
      </c>
      <c r="G79" t="s">
        <v>76</v>
      </c>
    </row>
    <row r="80" spans="1:7">
      <c r="A80">
        <v>76</v>
      </c>
      <c r="B80" t="s">
        <v>1197</v>
      </c>
      <c r="C80" t="s">
        <v>335</v>
      </c>
      <c r="D80" t="s">
        <v>1096</v>
      </c>
      <c r="E80" t="s">
        <v>336</v>
      </c>
      <c r="F80" t="s">
        <v>336</v>
      </c>
      <c r="G80" t="s">
        <v>76</v>
      </c>
    </row>
    <row r="81" spans="1:7">
      <c r="A81">
        <v>188</v>
      </c>
      <c r="B81" t="s">
        <v>1198</v>
      </c>
      <c r="C81" t="s">
        <v>1199</v>
      </c>
      <c r="D81" t="s">
        <v>1154</v>
      </c>
      <c r="E81" t="s">
        <v>41</v>
      </c>
      <c r="F81" t="s">
        <v>41</v>
      </c>
      <c r="G81" t="s">
        <v>42</v>
      </c>
    </row>
    <row r="82" spans="1:7">
      <c r="A82">
        <v>134</v>
      </c>
      <c r="B82" t="s">
        <v>1200</v>
      </c>
      <c r="C82" t="s">
        <v>131</v>
      </c>
      <c r="D82" t="s">
        <v>1102</v>
      </c>
      <c r="E82" t="s">
        <v>132</v>
      </c>
      <c r="F82" t="s">
        <v>132</v>
      </c>
      <c r="G82" t="s">
        <v>51</v>
      </c>
    </row>
    <row r="83" spans="1:7">
      <c r="A83">
        <v>44</v>
      </c>
      <c r="B83" t="s">
        <v>1201</v>
      </c>
      <c r="C83" t="s">
        <v>1202</v>
      </c>
      <c r="D83" t="s">
        <v>1154</v>
      </c>
      <c r="E83" t="s">
        <v>41</v>
      </c>
      <c r="F83" t="s">
        <v>41</v>
      </c>
      <c r="G83" t="s">
        <v>42</v>
      </c>
    </row>
    <row r="84" spans="1:7">
      <c r="A84">
        <v>47</v>
      </c>
      <c r="B84" t="s">
        <v>1203</v>
      </c>
      <c r="C84" t="s">
        <v>191</v>
      </c>
      <c r="D84" t="s">
        <v>1106</v>
      </c>
      <c r="E84" t="s">
        <v>192</v>
      </c>
      <c r="F84" t="s">
        <v>449</v>
      </c>
      <c r="G84" t="s">
        <v>76</v>
      </c>
    </row>
    <row r="85" spans="1:7">
      <c r="A85">
        <v>19</v>
      </c>
      <c r="B85" t="s">
        <v>1204</v>
      </c>
      <c r="C85" t="s">
        <v>1205</v>
      </c>
      <c r="D85" t="s">
        <v>1118</v>
      </c>
      <c r="E85" t="s">
        <v>57</v>
      </c>
      <c r="F85" t="s">
        <v>57</v>
      </c>
      <c r="G85" t="s">
        <v>51</v>
      </c>
    </row>
    <row r="86" spans="1:7">
      <c r="A86">
        <v>184</v>
      </c>
      <c r="B86" t="s">
        <v>1206</v>
      </c>
      <c r="C86" t="s">
        <v>1207</v>
      </c>
      <c r="D86" t="s">
        <v>1093</v>
      </c>
      <c r="E86" t="s">
        <v>223</v>
      </c>
      <c r="F86" t="s">
        <v>57</v>
      </c>
      <c r="G86" t="s">
        <v>51</v>
      </c>
    </row>
    <row r="87" spans="1:7">
      <c r="A87">
        <v>169</v>
      </c>
      <c r="B87" t="s">
        <v>1208</v>
      </c>
      <c r="C87" t="s">
        <v>1209</v>
      </c>
      <c r="D87" t="s">
        <v>1093</v>
      </c>
      <c r="E87" t="s">
        <v>223</v>
      </c>
      <c r="F87" t="s">
        <v>223</v>
      </c>
      <c r="G87" t="s">
        <v>51</v>
      </c>
    </row>
    <row r="88" spans="1:7">
      <c r="A88">
        <v>214</v>
      </c>
      <c r="B88" t="s">
        <v>1208</v>
      </c>
      <c r="C88" t="s">
        <v>1210</v>
      </c>
      <c r="D88" t="s">
        <v>1102</v>
      </c>
      <c r="E88" t="s">
        <v>132</v>
      </c>
      <c r="F88" t="s">
        <v>132</v>
      </c>
      <c r="G88" t="s">
        <v>51</v>
      </c>
    </row>
    <row r="89" spans="1:7">
      <c r="A89">
        <v>52</v>
      </c>
      <c r="B89" t="s">
        <v>1106</v>
      </c>
      <c r="C89" t="s">
        <v>192</v>
      </c>
      <c r="D89" t="s">
        <v>1106</v>
      </c>
      <c r="E89" t="s">
        <v>192</v>
      </c>
      <c r="F89" t="s">
        <v>449</v>
      </c>
      <c r="G89" t="s">
        <v>76</v>
      </c>
    </row>
    <row r="90" spans="1:7">
      <c r="A90">
        <v>48</v>
      </c>
      <c r="B90" t="s">
        <v>1106</v>
      </c>
      <c r="C90" t="s">
        <v>1211</v>
      </c>
      <c r="D90" t="s">
        <v>1104</v>
      </c>
      <c r="E90" t="s">
        <v>50</v>
      </c>
      <c r="F90" t="s">
        <v>50</v>
      </c>
      <c r="G90" t="s">
        <v>51</v>
      </c>
    </row>
    <row r="91" spans="1:7">
      <c r="A91">
        <v>231</v>
      </c>
      <c r="B91" t="s">
        <v>1212</v>
      </c>
      <c r="C91" t="s">
        <v>1213</v>
      </c>
      <c r="D91" t="s">
        <v>1102</v>
      </c>
      <c r="E91" t="s">
        <v>132</v>
      </c>
      <c r="F91" t="s">
        <v>132</v>
      </c>
      <c r="G91" t="s">
        <v>51</v>
      </c>
    </row>
    <row r="92" spans="1:7">
      <c r="A92">
        <v>87</v>
      </c>
      <c r="B92" t="s">
        <v>1214</v>
      </c>
      <c r="C92" t="s">
        <v>91</v>
      </c>
      <c r="D92" t="s">
        <v>1104</v>
      </c>
      <c r="E92" t="s">
        <v>50</v>
      </c>
      <c r="F92" t="s">
        <v>50</v>
      </c>
      <c r="G92" t="s">
        <v>51</v>
      </c>
    </row>
    <row r="93" spans="1:7">
      <c r="A93">
        <v>112</v>
      </c>
      <c r="B93" t="s">
        <v>1214</v>
      </c>
      <c r="C93" t="s">
        <v>1215</v>
      </c>
      <c r="D93" t="s">
        <v>1104</v>
      </c>
      <c r="E93" t="s">
        <v>50</v>
      </c>
      <c r="F93" t="s">
        <v>50</v>
      </c>
      <c r="G93" t="s">
        <v>51</v>
      </c>
    </row>
    <row r="94" spans="1:7">
      <c r="A94">
        <v>77</v>
      </c>
      <c r="B94" t="s">
        <v>1214</v>
      </c>
      <c r="C94" t="s">
        <v>144</v>
      </c>
      <c r="D94" t="s">
        <v>1118</v>
      </c>
      <c r="E94" t="s">
        <v>57</v>
      </c>
      <c r="F94" t="s">
        <v>57</v>
      </c>
      <c r="G94" t="s">
        <v>51</v>
      </c>
    </row>
    <row r="95" spans="1:7">
      <c r="A95">
        <v>162</v>
      </c>
      <c r="B95" t="s">
        <v>1216</v>
      </c>
      <c r="C95" t="s">
        <v>1217</v>
      </c>
      <c r="D95" t="s">
        <v>1102</v>
      </c>
      <c r="E95" t="s">
        <v>132</v>
      </c>
      <c r="F95" t="s">
        <v>132</v>
      </c>
      <c r="G95" t="s">
        <v>51</v>
      </c>
    </row>
    <row r="96" spans="1:7">
      <c r="A96">
        <v>140</v>
      </c>
      <c r="B96" t="s">
        <v>1216</v>
      </c>
      <c r="C96" t="s">
        <v>1218</v>
      </c>
      <c r="D96" t="s">
        <v>1102</v>
      </c>
      <c r="E96" t="s">
        <v>132</v>
      </c>
      <c r="F96" t="s">
        <v>132</v>
      </c>
      <c r="G96" t="s">
        <v>51</v>
      </c>
    </row>
    <row r="97" spans="1:7">
      <c r="A97">
        <v>179</v>
      </c>
      <c r="B97" t="s">
        <v>1216</v>
      </c>
      <c r="C97" t="s">
        <v>1219</v>
      </c>
      <c r="D97" t="s">
        <v>1093</v>
      </c>
      <c r="E97" t="s">
        <v>223</v>
      </c>
      <c r="F97" t="s">
        <v>223</v>
      </c>
      <c r="G97" t="s">
        <v>51</v>
      </c>
    </row>
    <row r="98" spans="1:7">
      <c r="A98">
        <v>219</v>
      </c>
      <c r="B98" t="s">
        <v>1216</v>
      </c>
      <c r="C98" t="s">
        <v>1220</v>
      </c>
      <c r="D98" t="s">
        <v>1102</v>
      </c>
      <c r="E98" t="s">
        <v>132</v>
      </c>
      <c r="F98" t="s">
        <v>132</v>
      </c>
      <c r="G98" t="s">
        <v>51</v>
      </c>
    </row>
    <row r="99" spans="1:7">
      <c r="A99">
        <v>9</v>
      </c>
      <c r="B99" t="s">
        <v>1104</v>
      </c>
      <c r="C99" t="s">
        <v>50</v>
      </c>
      <c r="D99" t="s">
        <v>1104</v>
      </c>
      <c r="E99" t="s">
        <v>50</v>
      </c>
      <c r="F99" t="s">
        <v>50</v>
      </c>
      <c r="G99" t="s">
        <v>51</v>
      </c>
    </row>
    <row r="100" spans="1:7">
      <c r="A100">
        <v>3</v>
      </c>
      <c r="B100" t="s">
        <v>1096</v>
      </c>
      <c r="C100" t="s">
        <v>336</v>
      </c>
      <c r="D100" t="s">
        <v>1096</v>
      </c>
      <c r="E100" t="s">
        <v>336</v>
      </c>
      <c r="F100" t="s">
        <v>336</v>
      </c>
      <c r="G100" t="s">
        <v>76</v>
      </c>
    </row>
    <row r="101" spans="1:7">
      <c r="A101">
        <v>275</v>
      </c>
      <c r="B101" t="s">
        <v>1221</v>
      </c>
      <c r="C101" t="s">
        <v>1222</v>
      </c>
      <c r="D101" t="s">
        <v>1106</v>
      </c>
      <c r="E101" t="s">
        <v>192</v>
      </c>
      <c r="F101" t="s">
        <v>336</v>
      </c>
      <c r="G101" t="s">
        <v>76</v>
      </c>
    </row>
    <row r="102" spans="1:7">
      <c r="A102">
        <v>250</v>
      </c>
      <c r="B102" t="s">
        <v>1223</v>
      </c>
      <c r="C102" t="s">
        <v>1224</v>
      </c>
      <c r="D102" t="s">
        <v>1154</v>
      </c>
      <c r="E102" t="s">
        <v>41</v>
      </c>
      <c r="F102" t="s">
        <v>41</v>
      </c>
      <c r="G102" t="s">
        <v>42</v>
      </c>
    </row>
    <row r="103" spans="1:7">
      <c r="A103">
        <v>78</v>
      </c>
      <c r="B103" t="s">
        <v>1225</v>
      </c>
      <c r="C103" t="s">
        <v>1226</v>
      </c>
      <c r="D103" t="s">
        <v>1104</v>
      </c>
      <c r="E103" t="s">
        <v>50</v>
      </c>
      <c r="F103" t="s">
        <v>50</v>
      </c>
      <c r="G103" t="s">
        <v>51</v>
      </c>
    </row>
    <row r="104" spans="1:7">
      <c r="A104">
        <v>81</v>
      </c>
      <c r="B104" t="s">
        <v>1225</v>
      </c>
      <c r="C104" t="s">
        <v>1227</v>
      </c>
      <c r="D104" t="s">
        <v>1102</v>
      </c>
      <c r="E104" t="s">
        <v>132</v>
      </c>
      <c r="F104" t="s">
        <v>132</v>
      </c>
      <c r="G104" t="s">
        <v>51</v>
      </c>
    </row>
    <row r="105" spans="1:7">
      <c r="A105">
        <v>79</v>
      </c>
      <c r="B105" t="s">
        <v>1225</v>
      </c>
      <c r="C105" t="s">
        <v>376</v>
      </c>
      <c r="D105" t="s">
        <v>1104</v>
      </c>
      <c r="E105" t="s">
        <v>50</v>
      </c>
      <c r="F105" t="s">
        <v>50</v>
      </c>
      <c r="G105" t="s">
        <v>51</v>
      </c>
    </row>
    <row r="106" spans="1:7">
      <c r="A106">
        <v>24</v>
      </c>
      <c r="B106" t="s">
        <v>1225</v>
      </c>
      <c r="C106" t="s">
        <v>1228</v>
      </c>
      <c r="D106" t="s">
        <v>1104</v>
      </c>
      <c r="E106" t="s">
        <v>50</v>
      </c>
      <c r="F106" t="s">
        <v>50</v>
      </c>
      <c r="G106" t="s">
        <v>51</v>
      </c>
    </row>
    <row r="107" spans="1:7">
      <c r="A107">
        <v>144</v>
      </c>
      <c r="B107" t="s">
        <v>1225</v>
      </c>
      <c r="C107" t="s">
        <v>1229</v>
      </c>
      <c r="D107" t="s">
        <v>1102</v>
      </c>
      <c r="E107" t="s">
        <v>132</v>
      </c>
      <c r="F107" t="s">
        <v>132</v>
      </c>
      <c r="G107" t="s">
        <v>51</v>
      </c>
    </row>
    <row r="108" spans="1:7">
      <c r="A108">
        <v>160</v>
      </c>
      <c r="B108" t="s">
        <v>1230</v>
      </c>
      <c r="C108" t="s">
        <v>1231</v>
      </c>
      <c r="D108" t="s">
        <v>1118</v>
      </c>
      <c r="E108" t="s">
        <v>57</v>
      </c>
      <c r="F108" t="s">
        <v>57</v>
      </c>
      <c r="G108" t="s">
        <v>51</v>
      </c>
    </row>
    <row r="109" spans="1:7">
      <c r="A109">
        <v>186</v>
      </c>
      <c r="B109" t="s">
        <v>1232</v>
      </c>
      <c r="C109" t="s">
        <v>1233</v>
      </c>
      <c r="D109" t="s">
        <v>1117</v>
      </c>
      <c r="E109" t="s">
        <v>177</v>
      </c>
      <c r="F109" t="s">
        <v>177</v>
      </c>
      <c r="G109" t="s">
        <v>76</v>
      </c>
    </row>
    <row r="110" spans="1:7">
      <c r="A110">
        <v>154</v>
      </c>
      <c r="B110" t="s">
        <v>1234</v>
      </c>
      <c r="C110" t="s">
        <v>1235</v>
      </c>
      <c r="D110" t="s">
        <v>1121</v>
      </c>
      <c r="E110" t="s">
        <v>154</v>
      </c>
      <c r="F110" t="s">
        <v>154</v>
      </c>
      <c r="G110" t="s">
        <v>51</v>
      </c>
    </row>
    <row r="111" spans="1:7">
      <c r="A111">
        <v>228</v>
      </c>
      <c r="B111" t="s">
        <v>1236</v>
      </c>
      <c r="C111" t="s">
        <v>1237</v>
      </c>
      <c r="D111" t="s">
        <v>1102</v>
      </c>
      <c r="E111" t="s">
        <v>132</v>
      </c>
      <c r="F111" t="s">
        <v>132</v>
      </c>
      <c r="G111" t="s">
        <v>51</v>
      </c>
    </row>
    <row r="112" spans="1:7">
      <c r="A112">
        <v>220</v>
      </c>
      <c r="B112" t="s">
        <v>1238</v>
      </c>
      <c r="C112" t="s">
        <v>1239</v>
      </c>
      <c r="D112" t="s">
        <v>1102</v>
      </c>
      <c r="E112" t="s">
        <v>132</v>
      </c>
      <c r="F112" t="s">
        <v>132</v>
      </c>
      <c r="G112" t="s">
        <v>51</v>
      </c>
    </row>
    <row r="113" spans="1:7">
      <c r="A113">
        <v>73</v>
      </c>
      <c r="B113" t="s">
        <v>1238</v>
      </c>
      <c r="C113" t="s">
        <v>1240</v>
      </c>
      <c r="D113" t="s">
        <v>1162</v>
      </c>
      <c r="E113" t="s">
        <v>97</v>
      </c>
      <c r="F113" t="s">
        <v>97</v>
      </c>
      <c r="G113" t="s">
        <v>42</v>
      </c>
    </row>
    <row r="114" spans="1:7">
      <c r="A114">
        <v>242</v>
      </c>
      <c r="B114" t="s">
        <v>1238</v>
      </c>
      <c r="C114" t="s">
        <v>1241</v>
      </c>
      <c r="D114" t="s">
        <v>1098</v>
      </c>
      <c r="E114" t="s">
        <v>75</v>
      </c>
      <c r="F114" t="s">
        <v>75</v>
      </c>
      <c r="G114" t="s">
        <v>76</v>
      </c>
    </row>
    <row r="115" spans="1:7">
      <c r="A115">
        <v>266</v>
      </c>
      <c r="B115" t="s">
        <v>1238</v>
      </c>
      <c r="C115" t="s">
        <v>1242</v>
      </c>
      <c r="D115" t="s">
        <v>1117</v>
      </c>
      <c r="E115" t="s">
        <v>177</v>
      </c>
      <c r="F115" t="s">
        <v>177</v>
      </c>
      <c r="G115" t="s">
        <v>76</v>
      </c>
    </row>
    <row r="116" spans="1:7">
      <c r="A116">
        <v>196</v>
      </c>
      <c r="B116" t="s">
        <v>1238</v>
      </c>
      <c r="C116" t="s">
        <v>546</v>
      </c>
      <c r="D116" t="s">
        <v>1114</v>
      </c>
      <c r="E116" t="s">
        <v>62</v>
      </c>
      <c r="F116" t="s">
        <v>62</v>
      </c>
      <c r="G116" t="s">
        <v>42</v>
      </c>
    </row>
    <row r="117" spans="1:7">
      <c r="A117">
        <v>222</v>
      </c>
      <c r="B117" t="s">
        <v>1238</v>
      </c>
      <c r="C117" t="s">
        <v>1243</v>
      </c>
      <c r="D117" t="s">
        <v>1102</v>
      </c>
      <c r="E117" t="s">
        <v>132</v>
      </c>
      <c r="F117" t="s">
        <v>132</v>
      </c>
      <c r="G117" t="s">
        <v>51</v>
      </c>
    </row>
    <row r="118" spans="1:7">
      <c r="A118">
        <v>10</v>
      </c>
      <c r="B118" t="s">
        <v>1244</v>
      </c>
      <c r="C118" t="s">
        <v>1245</v>
      </c>
      <c r="D118" t="s">
        <v>1136</v>
      </c>
      <c r="E118" t="s">
        <v>186</v>
      </c>
      <c r="F118" t="s">
        <v>68</v>
      </c>
      <c r="G118" t="s">
        <v>42</v>
      </c>
    </row>
    <row r="119" spans="1:7">
      <c r="A119">
        <v>51</v>
      </c>
      <c r="B119" t="s">
        <v>1246</v>
      </c>
      <c r="C119" t="s">
        <v>1247</v>
      </c>
      <c r="D119" t="s">
        <v>1098</v>
      </c>
      <c r="E119" t="s">
        <v>75</v>
      </c>
      <c r="F119" t="s">
        <v>75</v>
      </c>
      <c r="G119" t="s">
        <v>76</v>
      </c>
    </row>
    <row r="120" spans="1:7">
      <c r="A120">
        <v>82</v>
      </c>
      <c r="B120" t="s">
        <v>1248</v>
      </c>
      <c r="C120" t="s">
        <v>1249</v>
      </c>
      <c r="D120" t="s">
        <v>1114</v>
      </c>
      <c r="E120" t="s">
        <v>62</v>
      </c>
      <c r="F120" t="s">
        <v>62</v>
      </c>
      <c r="G120" t="s">
        <v>42</v>
      </c>
    </row>
    <row r="121" spans="1:7">
      <c r="A121">
        <v>171</v>
      </c>
      <c r="B121" t="s">
        <v>1250</v>
      </c>
      <c r="C121" t="s">
        <v>1251</v>
      </c>
      <c r="D121" t="s">
        <v>1093</v>
      </c>
      <c r="E121" t="s">
        <v>223</v>
      </c>
      <c r="F121" t="s">
        <v>223</v>
      </c>
      <c r="G121" t="s">
        <v>51</v>
      </c>
    </row>
    <row r="122" spans="1:7">
      <c r="A122">
        <v>164</v>
      </c>
      <c r="B122" t="s">
        <v>1252</v>
      </c>
      <c r="C122" t="s">
        <v>1253</v>
      </c>
      <c r="D122" t="s">
        <v>1102</v>
      </c>
      <c r="E122" t="s">
        <v>132</v>
      </c>
      <c r="F122" t="s">
        <v>132</v>
      </c>
      <c r="G122" t="s">
        <v>51</v>
      </c>
    </row>
    <row r="123" spans="1:7">
      <c r="A123">
        <v>163</v>
      </c>
      <c r="B123" t="s">
        <v>1254</v>
      </c>
      <c r="C123" t="s">
        <v>1255</v>
      </c>
      <c r="D123" t="s">
        <v>1102</v>
      </c>
      <c r="E123" t="s">
        <v>132</v>
      </c>
      <c r="F123" t="s">
        <v>132</v>
      </c>
      <c r="G123" t="s">
        <v>51</v>
      </c>
    </row>
    <row r="124" spans="1:7">
      <c r="A124">
        <v>187</v>
      </c>
      <c r="B124" t="s">
        <v>1254</v>
      </c>
      <c r="C124" t="s">
        <v>1256</v>
      </c>
      <c r="D124" t="s">
        <v>1166</v>
      </c>
      <c r="E124" t="s">
        <v>68</v>
      </c>
      <c r="F124" t="s">
        <v>68</v>
      </c>
      <c r="G124" t="s">
        <v>42</v>
      </c>
    </row>
    <row r="125" spans="1:7">
      <c r="A125">
        <v>174</v>
      </c>
      <c r="B125" t="s">
        <v>1257</v>
      </c>
      <c r="C125" t="s">
        <v>1258</v>
      </c>
      <c r="D125" t="s">
        <v>1104</v>
      </c>
      <c r="E125" t="s">
        <v>50</v>
      </c>
      <c r="F125" t="s">
        <v>50</v>
      </c>
      <c r="G125" t="s">
        <v>51</v>
      </c>
    </row>
    <row r="126" spans="1:7">
      <c r="A126">
        <v>86</v>
      </c>
      <c r="B126" t="s">
        <v>1257</v>
      </c>
      <c r="C126" t="s">
        <v>209</v>
      </c>
      <c r="D126" t="s">
        <v>1090</v>
      </c>
      <c r="E126" t="s">
        <v>210</v>
      </c>
      <c r="F126" t="s">
        <v>210</v>
      </c>
      <c r="G126" t="s">
        <v>42</v>
      </c>
    </row>
    <row r="127" spans="1:7">
      <c r="A127">
        <v>118</v>
      </c>
      <c r="B127" t="s">
        <v>1257</v>
      </c>
      <c r="C127" t="s">
        <v>1259</v>
      </c>
      <c r="D127" t="s">
        <v>1106</v>
      </c>
      <c r="E127" t="s">
        <v>192</v>
      </c>
      <c r="F127" t="s">
        <v>449</v>
      </c>
      <c r="G127" t="s">
        <v>76</v>
      </c>
    </row>
    <row r="128" spans="1:7">
      <c r="A128">
        <v>185</v>
      </c>
      <c r="B128" t="s">
        <v>1257</v>
      </c>
      <c r="C128" t="s">
        <v>1260</v>
      </c>
      <c r="D128" t="s">
        <v>1121</v>
      </c>
      <c r="E128" t="s">
        <v>154</v>
      </c>
      <c r="F128" t="s">
        <v>154</v>
      </c>
      <c r="G128" t="s">
        <v>51</v>
      </c>
    </row>
    <row r="129" spans="1:7">
      <c r="A129">
        <v>256</v>
      </c>
      <c r="B129" t="s">
        <v>1261</v>
      </c>
      <c r="C129" t="s">
        <v>107</v>
      </c>
      <c r="D129" t="s">
        <v>1262</v>
      </c>
      <c r="E129" t="s">
        <v>108</v>
      </c>
      <c r="F129" t="s">
        <v>108</v>
      </c>
      <c r="G129" t="s">
        <v>42</v>
      </c>
    </row>
    <row r="130" spans="1:7">
      <c r="A130">
        <v>120</v>
      </c>
      <c r="B130" t="s">
        <v>1261</v>
      </c>
      <c r="C130" t="s">
        <v>1263</v>
      </c>
      <c r="D130" t="s">
        <v>1093</v>
      </c>
      <c r="E130" t="s">
        <v>223</v>
      </c>
      <c r="F130" t="s">
        <v>223</v>
      </c>
      <c r="G130" t="s">
        <v>51</v>
      </c>
    </row>
    <row r="131" spans="1:7">
      <c r="A131">
        <v>145</v>
      </c>
      <c r="B131" t="s">
        <v>1264</v>
      </c>
      <c r="C131" t="s">
        <v>380</v>
      </c>
      <c r="D131" t="s">
        <v>1102</v>
      </c>
      <c r="E131" t="s">
        <v>132</v>
      </c>
      <c r="F131" t="s">
        <v>132</v>
      </c>
      <c r="G131" t="s">
        <v>51</v>
      </c>
    </row>
    <row r="132" spans="1:7">
      <c r="A132">
        <v>268</v>
      </c>
      <c r="B132" t="s">
        <v>1265</v>
      </c>
      <c r="C132" t="s">
        <v>1266</v>
      </c>
      <c r="D132" t="s">
        <v>1098</v>
      </c>
      <c r="E132" t="s">
        <v>75</v>
      </c>
      <c r="F132" t="s">
        <v>75</v>
      </c>
      <c r="G132" t="s">
        <v>76</v>
      </c>
    </row>
    <row r="133" spans="1:7">
      <c r="A133">
        <v>106</v>
      </c>
      <c r="B133" t="s">
        <v>1267</v>
      </c>
      <c r="C133" t="s">
        <v>1268</v>
      </c>
      <c r="D133" t="s">
        <v>1106</v>
      </c>
      <c r="E133" t="s">
        <v>192</v>
      </c>
      <c r="F133" t="s">
        <v>449</v>
      </c>
      <c r="G133" t="s">
        <v>76</v>
      </c>
    </row>
    <row r="134" spans="1:7">
      <c r="A134">
        <v>7</v>
      </c>
      <c r="B134" t="s">
        <v>1136</v>
      </c>
      <c r="C134" t="s">
        <v>186</v>
      </c>
      <c r="D134" t="s">
        <v>1136</v>
      </c>
      <c r="E134" t="s">
        <v>186</v>
      </c>
      <c r="F134" t="s">
        <v>186</v>
      </c>
      <c r="G134" t="s">
        <v>42</v>
      </c>
    </row>
    <row r="135" spans="1:7">
      <c r="A135">
        <v>224</v>
      </c>
      <c r="B135" t="s">
        <v>1136</v>
      </c>
      <c r="C135" t="s">
        <v>1269</v>
      </c>
      <c r="D135" t="s">
        <v>1104</v>
      </c>
      <c r="E135" t="s">
        <v>50</v>
      </c>
      <c r="F135" t="s">
        <v>50</v>
      </c>
      <c r="G135" t="s">
        <v>51</v>
      </c>
    </row>
    <row r="136" spans="1:7">
      <c r="A136">
        <v>8</v>
      </c>
      <c r="B136" t="s">
        <v>1136</v>
      </c>
      <c r="C136" t="s">
        <v>1270</v>
      </c>
      <c r="D136" t="s">
        <v>1136</v>
      </c>
      <c r="E136" t="s">
        <v>186</v>
      </c>
      <c r="F136" t="s">
        <v>186</v>
      </c>
      <c r="G136" t="s">
        <v>42</v>
      </c>
    </row>
    <row r="137" spans="1:7">
      <c r="A137">
        <v>35</v>
      </c>
      <c r="B137" t="s">
        <v>1271</v>
      </c>
      <c r="C137" t="s">
        <v>234</v>
      </c>
      <c r="D137" t="s">
        <v>1262</v>
      </c>
      <c r="E137" t="s">
        <v>108</v>
      </c>
      <c r="F137" t="s">
        <v>108</v>
      </c>
      <c r="G137" t="s">
        <v>42</v>
      </c>
    </row>
    <row r="138" spans="1:7">
      <c r="A138">
        <v>85</v>
      </c>
      <c r="B138" t="s">
        <v>1271</v>
      </c>
      <c r="C138" t="s">
        <v>528</v>
      </c>
      <c r="D138" t="s">
        <v>1162</v>
      </c>
      <c r="E138" t="s">
        <v>97</v>
      </c>
      <c r="F138" t="s">
        <v>97</v>
      </c>
      <c r="G138" t="s">
        <v>42</v>
      </c>
    </row>
    <row r="139" spans="1:7">
      <c r="A139">
        <v>117</v>
      </c>
      <c r="B139" t="s">
        <v>1272</v>
      </c>
      <c r="C139" t="s">
        <v>1273</v>
      </c>
      <c r="D139" t="s">
        <v>1102</v>
      </c>
      <c r="E139" t="s">
        <v>132</v>
      </c>
      <c r="F139" t="s">
        <v>132</v>
      </c>
      <c r="G139" t="s">
        <v>51</v>
      </c>
    </row>
    <row r="140" spans="1:7">
      <c r="A140">
        <v>269</v>
      </c>
      <c r="B140" t="s">
        <v>1272</v>
      </c>
      <c r="C140" t="s">
        <v>1274</v>
      </c>
      <c r="D140" t="s">
        <v>1154</v>
      </c>
      <c r="E140" t="s">
        <v>41</v>
      </c>
      <c r="F140" t="s">
        <v>41</v>
      </c>
      <c r="G140" t="s">
        <v>42</v>
      </c>
    </row>
    <row r="141" spans="1:7">
      <c r="A141">
        <v>159</v>
      </c>
      <c r="B141" t="s">
        <v>1275</v>
      </c>
      <c r="C141" t="s">
        <v>1276</v>
      </c>
      <c r="D141" t="s">
        <v>1118</v>
      </c>
      <c r="E141" t="s">
        <v>57</v>
      </c>
      <c r="F141" t="s">
        <v>57</v>
      </c>
      <c r="G141" t="s">
        <v>51</v>
      </c>
    </row>
    <row r="142" spans="1:7">
      <c r="A142">
        <v>28</v>
      </c>
      <c r="B142" t="s">
        <v>1277</v>
      </c>
      <c r="C142" t="s">
        <v>502</v>
      </c>
      <c r="D142" t="s">
        <v>1098</v>
      </c>
      <c r="E142" t="s">
        <v>75</v>
      </c>
      <c r="F142" t="s">
        <v>75</v>
      </c>
      <c r="G142" t="s">
        <v>76</v>
      </c>
    </row>
    <row r="143" spans="1:7">
      <c r="A143">
        <v>90</v>
      </c>
      <c r="B143" t="s">
        <v>1278</v>
      </c>
      <c r="C143" t="s">
        <v>1279</v>
      </c>
      <c r="D143" t="s">
        <v>1093</v>
      </c>
      <c r="E143" t="s">
        <v>223</v>
      </c>
      <c r="F143" t="s">
        <v>223</v>
      </c>
      <c r="G143" t="s">
        <v>51</v>
      </c>
    </row>
    <row r="144" spans="1:7">
      <c r="A144">
        <v>60</v>
      </c>
      <c r="B144" t="s">
        <v>1280</v>
      </c>
      <c r="C144" t="s">
        <v>533</v>
      </c>
      <c r="D144" t="s">
        <v>1121</v>
      </c>
      <c r="E144" t="s">
        <v>154</v>
      </c>
      <c r="F144" t="s">
        <v>154</v>
      </c>
      <c r="G144" t="s">
        <v>51</v>
      </c>
    </row>
    <row r="145" spans="1:7">
      <c r="A145">
        <v>189</v>
      </c>
      <c r="B145" t="s">
        <v>1280</v>
      </c>
      <c r="C145" t="s">
        <v>1281</v>
      </c>
      <c r="D145" t="s">
        <v>1154</v>
      </c>
      <c r="E145" t="s">
        <v>41</v>
      </c>
      <c r="F145" t="s">
        <v>41</v>
      </c>
      <c r="G145" t="s">
        <v>42</v>
      </c>
    </row>
    <row r="146" spans="1:7">
      <c r="A146">
        <v>46</v>
      </c>
      <c r="B146" t="s">
        <v>1280</v>
      </c>
      <c r="C146" t="s">
        <v>1282</v>
      </c>
      <c r="D146" t="s">
        <v>1162</v>
      </c>
      <c r="E146" t="s">
        <v>97</v>
      </c>
      <c r="F146" t="s">
        <v>97</v>
      </c>
      <c r="G146" t="s">
        <v>42</v>
      </c>
    </row>
    <row r="147" spans="1:7">
      <c r="A147">
        <v>92</v>
      </c>
      <c r="B147" t="s">
        <v>1280</v>
      </c>
      <c r="C147" t="s">
        <v>611</v>
      </c>
      <c r="D147" t="s">
        <v>1114</v>
      </c>
      <c r="E147" t="s">
        <v>62</v>
      </c>
      <c r="F147" t="s">
        <v>62</v>
      </c>
      <c r="G147" t="s">
        <v>42</v>
      </c>
    </row>
    <row r="148" spans="1:7">
      <c r="A148">
        <v>20</v>
      </c>
      <c r="B148" t="s">
        <v>1280</v>
      </c>
      <c r="C148" t="s">
        <v>1283</v>
      </c>
      <c r="D148" t="s">
        <v>1098</v>
      </c>
      <c r="E148" t="s">
        <v>75</v>
      </c>
      <c r="F148" t="s">
        <v>75</v>
      </c>
      <c r="G148" t="s">
        <v>76</v>
      </c>
    </row>
    <row r="149" spans="1:7">
      <c r="A149">
        <v>57</v>
      </c>
      <c r="B149" t="s">
        <v>1280</v>
      </c>
      <c r="C149" t="s">
        <v>1284</v>
      </c>
      <c r="D149" t="s">
        <v>1118</v>
      </c>
      <c r="E149" t="s">
        <v>57</v>
      </c>
      <c r="F149" t="s">
        <v>57</v>
      </c>
      <c r="G149" t="s">
        <v>51</v>
      </c>
    </row>
    <row r="150" spans="1:7">
      <c r="A150">
        <v>236</v>
      </c>
      <c r="B150" t="s">
        <v>1280</v>
      </c>
      <c r="C150" t="s">
        <v>1285</v>
      </c>
      <c r="D150" t="s">
        <v>1117</v>
      </c>
      <c r="E150" t="s">
        <v>177</v>
      </c>
      <c r="F150" t="s">
        <v>177</v>
      </c>
      <c r="G150" t="s">
        <v>76</v>
      </c>
    </row>
    <row r="151" spans="1:7">
      <c r="A151">
        <v>252</v>
      </c>
      <c r="B151" t="s">
        <v>1280</v>
      </c>
      <c r="C151" t="s">
        <v>1286</v>
      </c>
      <c r="D151" t="s">
        <v>1114</v>
      </c>
      <c r="E151" t="s">
        <v>62</v>
      </c>
      <c r="F151" t="s">
        <v>62</v>
      </c>
      <c r="G151" t="s">
        <v>42</v>
      </c>
    </row>
    <row r="152" spans="1:7">
      <c r="A152">
        <v>190</v>
      </c>
      <c r="B152" t="s">
        <v>1280</v>
      </c>
      <c r="C152" t="s">
        <v>530</v>
      </c>
      <c r="D152" t="s">
        <v>1098</v>
      </c>
      <c r="E152" t="s">
        <v>75</v>
      </c>
      <c r="F152" t="s">
        <v>75</v>
      </c>
      <c r="G152" t="s">
        <v>76</v>
      </c>
    </row>
    <row r="153" spans="1:7">
      <c r="A153">
        <v>191</v>
      </c>
      <c r="B153" t="s">
        <v>1280</v>
      </c>
      <c r="C153" t="s">
        <v>1287</v>
      </c>
      <c r="D153" t="s">
        <v>1104</v>
      </c>
      <c r="E153" t="s">
        <v>50</v>
      </c>
      <c r="F153" t="s">
        <v>50</v>
      </c>
      <c r="G153" t="s">
        <v>51</v>
      </c>
    </row>
    <row r="154" spans="1:7">
      <c r="A154">
        <v>141</v>
      </c>
      <c r="B154" t="s">
        <v>1288</v>
      </c>
      <c r="C154" t="s">
        <v>1289</v>
      </c>
      <c r="D154" t="s">
        <v>1102</v>
      </c>
      <c r="E154" t="s">
        <v>132</v>
      </c>
      <c r="F154" t="s">
        <v>132</v>
      </c>
      <c r="G154" t="s">
        <v>51</v>
      </c>
    </row>
    <row r="155" spans="1:7">
      <c r="A155">
        <v>105</v>
      </c>
      <c r="B155" t="s">
        <v>1290</v>
      </c>
      <c r="C155" t="s">
        <v>1291</v>
      </c>
      <c r="D155" t="s">
        <v>1154</v>
      </c>
      <c r="E155" t="s">
        <v>41</v>
      </c>
      <c r="F155" t="s">
        <v>41</v>
      </c>
      <c r="G155" t="s">
        <v>42</v>
      </c>
    </row>
    <row r="156" spans="1:7">
      <c r="A156">
        <v>122</v>
      </c>
      <c r="B156" t="s">
        <v>1166</v>
      </c>
      <c r="C156" t="s">
        <v>68</v>
      </c>
      <c r="D156" t="s">
        <v>1166</v>
      </c>
      <c r="E156" t="s">
        <v>68</v>
      </c>
      <c r="F156" t="s">
        <v>68</v>
      </c>
      <c r="G156" t="s">
        <v>42</v>
      </c>
    </row>
    <row r="157" spans="1:7">
      <c r="A157">
        <v>155</v>
      </c>
      <c r="B157" t="s">
        <v>1166</v>
      </c>
      <c r="C157" t="s">
        <v>153</v>
      </c>
      <c r="D157" t="s">
        <v>1121</v>
      </c>
      <c r="E157" t="s">
        <v>154</v>
      </c>
      <c r="F157" t="s">
        <v>154</v>
      </c>
      <c r="G157" t="s">
        <v>51</v>
      </c>
    </row>
    <row r="158" spans="1:7">
      <c r="A158">
        <v>127</v>
      </c>
      <c r="B158" t="s">
        <v>1166</v>
      </c>
      <c r="C158" t="s">
        <v>222</v>
      </c>
      <c r="D158" t="s">
        <v>1093</v>
      </c>
      <c r="E158" t="s">
        <v>223</v>
      </c>
      <c r="F158" t="s">
        <v>223</v>
      </c>
      <c r="G158" t="s">
        <v>51</v>
      </c>
    </row>
    <row r="159" spans="1:7">
      <c r="A159">
        <v>29</v>
      </c>
      <c r="B159" t="s">
        <v>1166</v>
      </c>
      <c r="C159" t="s">
        <v>1292</v>
      </c>
      <c r="D159" t="s">
        <v>1117</v>
      </c>
      <c r="E159" t="s">
        <v>177</v>
      </c>
      <c r="F159" t="s">
        <v>177</v>
      </c>
      <c r="G159" t="s">
        <v>76</v>
      </c>
    </row>
    <row r="160" spans="1:7">
      <c r="A160">
        <v>13</v>
      </c>
      <c r="B160" t="s">
        <v>1162</v>
      </c>
      <c r="C160" t="s">
        <v>97</v>
      </c>
      <c r="D160" t="s">
        <v>1162</v>
      </c>
      <c r="E160" t="s">
        <v>97</v>
      </c>
      <c r="F160" t="s">
        <v>97</v>
      </c>
      <c r="G160" t="s">
        <v>42</v>
      </c>
    </row>
    <row r="161" spans="1:7">
      <c r="A161">
        <v>21</v>
      </c>
      <c r="B161" t="s">
        <v>1162</v>
      </c>
      <c r="C161" t="s">
        <v>176</v>
      </c>
      <c r="D161" t="s">
        <v>1117</v>
      </c>
      <c r="E161" t="s">
        <v>177</v>
      </c>
      <c r="F161" t="s">
        <v>177</v>
      </c>
      <c r="G161" t="s">
        <v>76</v>
      </c>
    </row>
    <row r="162" spans="1:7">
      <c r="A162">
        <v>136</v>
      </c>
      <c r="B162" t="s">
        <v>1293</v>
      </c>
      <c r="C162" t="s">
        <v>1294</v>
      </c>
      <c r="D162" t="s">
        <v>1121</v>
      </c>
      <c r="E162" t="s">
        <v>154</v>
      </c>
      <c r="F162" t="s">
        <v>154</v>
      </c>
      <c r="G162" t="s">
        <v>51</v>
      </c>
    </row>
    <row r="163" spans="1:7">
      <c r="A163">
        <v>135</v>
      </c>
      <c r="B163" t="s">
        <v>1295</v>
      </c>
      <c r="C163" t="s">
        <v>1296</v>
      </c>
      <c r="D163" t="s">
        <v>1102</v>
      </c>
      <c r="E163" t="s">
        <v>132</v>
      </c>
      <c r="F163" t="s">
        <v>132</v>
      </c>
      <c r="G163" t="s">
        <v>51</v>
      </c>
    </row>
    <row r="164" spans="1:7">
      <c r="A164">
        <v>15</v>
      </c>
      <c r="B164" t="s">
        <v>1295</v>
      </c>
      <c r="C164" t="s">
        <v>283</v>
      </c>
      <c r="D164" t="s">
        <v>1104</v>
      </c>
      <c r="E164" t="s">
        <v>50</v>
      </c>
      <c r="F164" t="s">
        <v>50</v>
      </c>
      <c r="G164" t="s">
        <v>51</v>
      </c>
    </row>
    <row r="165" spans="1:7">
      <c r="A165">
        <v>94</v>
      </c>
      <c r="B165" t="s">
        <v>1117</v>
      </c>
      <c r="C165" t="s">
        <v>177</v>
      </c>
      <c r="D165" t="s">
        <v>1117</v>
      </c>
      <c r="E165" t="s">
        <v>177</v>
      </c>
      <c r="F165" t="s">
        <v>177</v>
      </c>
      <c r="G165" t="s">
        <v>76</v>
      </c>
    </row>
    <row r="166" spans="1:7">
      <c r="A166">
        <v>121</v>
      </c>
      <c r="B166" t="s">
        <v>1117</v>
      </c>
      <c r="C166" t="s">
        <v>1297</v>
      </c>
      <c r="D166" t="s">
        <v>1104</v>
      </c>
      <c r="E166" t="s">
        <v>50</v>
      </c>
      <c r="F166" t="s">
        <v>50</v>
      </c>
      <c r="G166" t="s">
        <v>51</v>
      </c>
    </row>
    <row r="167" spans="1:7">
      <c r="A167">
        <v>111</v>
      </c>
      <c r="B167" t="s">
        <v>1298</v>
      </c>
      <c r="C167" t="s">
        <v>600</v>
      </c>
      <c r="D167" t="s">
        <v>1104</v>
      </c>
      <c r="E167" t="s">
        <v>50</v>
      </c>
      <c r="F167" t="s">
        <v>50</v>
      </c>
      <c r="G167" t="s">
        <v>51</v>
      </c>
    </row>
    <row r="168" spans="1:7">
      <c r="A168">
        <v>221</v>
      </c>
      <c r="B168" t="s">
        <v>1298</v>
      </c>
      <c r="C168" t="s">
        <v>1299</v>
      </c>
      <c r="D168" t="s">
        <v>1102</v>
      </c>
      <c r="E168" t="s">
        <v>132</v>
      </c>
      <c r="F168" t="s">
        <v>132</v>
      </c>
      <c r="G168" t="s">
        <v>51</v>
      </c>
    </row>
    <row r="169" spans="1:7">
      <c r="A169">
        <v>126</v>
      </c>
      <c r="B169" t="s">
        <v>1300</v>
      </c>
      <c r="C169" t="s">
        <v>1301</v>
      </c>
      <c r="D169" t="s">
        <v>1093</v>
      </c>
      <c r="E169" t="s">
        <v>223</v>
      </c>
      <c r="F169" t="s">
        <v>223</v>
      </c>
      <c r="G169" t="s">
        <v>51</v>
      </c>
    </row>
    <row r="170" spans="1:7">
      <c r="A170">
        <v>96</v>
      </c>
      <c r="B170" t="s">
        <v>1302</v>
      </c>
      <c r="C170" t="s">
        <v>316</v>
      </c>
      <c r="D170" t="s">
        <v>1262</v>
      </c>
      <c r="E170" t="s">
        <v>108</v>
      </c>
      <c r="F170" t="s">
        <v>108</v>
      </c>
      <c r="G170" t="s">
        <v>42</v>
      </c>
    </row>
    <row r="171" spans="1:7">
      <c r="A171">
        <v>53</v>
      </c>
      <c r="B171" t="s">
        <v>1303</v>
      </c>
      <c r="C171" t="s">
        <v>560</v>
      </c>
      <c r="D171" t="s">
        <v>1093</v>
      </c>
      <c r="E171" t="s">
        <v>223</v>
      </c>
      <c r="F171" t="s">
        <v>223</v>
      </c>
      <c r="G171" t="s">
        <v>51</v>
      </c>
    </row>
    <row r="172" spans="1:7">
      <c r="A172">
        <v>14</v>
      </c>
      <c r="B172" t="s">
        <v>1304</v>
      </c>
      <c r="C172" t="s">
        <v>126</v>
      </c>
      <c r="D172" t="s">
        <v>1162</v>
      </c>
      <c r="E172" t="s">
        <v>97</v>
      </c>
      <c r="F172" t="s">
        <v>97</v>
      </c>
      <c r="G172" t="s">
        <v>42</v>
      </c>
    </row>
    <row r="173" spans="1:7">
      <c r="A173">
        <v>183</v>
      </c>
      <c r="B173" t="s">
        <v>1262</v>
      </c>
      <c r="C173" t="s">
        <v>1305</v>
      </c>
      <c r="D173" t="s">
        <v>1093</v>
      </c>
      <c r="E173" t="s">
        <v>223</v>
      </c>
      <c r="F173" t="s">
        <v>223</v>
      </c>
      <c r="G173" t="s">
        <v>51</v>
      </c>
    </row>
    <row r="174" spans="1:7">
      <c r="A174">
        <v>27</v>
      </c>
      <c r="B174" t="s">
        <v>1262</v>
      </c>
      <c r="C174" t="s">
        <v>620</v>
      </c>
      <c r="D174" t="s">
        <v>1098</v>
      </c>
      <c r="E174" t="s">
        <v>75</v>
      </c>
      <c r="F174" t="s">
        <v>75</v>
      </c>
      <c r="G174" t="s">
        <v>76</v>
      </c>
    </row>
    <row r="175" spans="1:7">
      <c r="A175">
        <v>26</v>
      </c>
      <c r="B175" t="s">
        <v>1262</v>
      </c>
      <c r="C175" t="s">
        <v>108</v>
      </c>
      <c r="D175" t="s">
        <v>1262</v>
      </c>
      <c r="E175" t="s">
        <v>108</v>
      </c>
      <c r="F175" t="s">
        <v>108</v>
      </c>
      <c r="G175" t="s">
        <v>42</v>
      </c>
    </row>
    <row r="176" spans="1:7">
      <c r="A176">
        <v>101</v>
      </c>
      <c r="B176" t="s">
        <v>1154</v>
      </c>
      <c r="C176" t="s">
        <v>1306</v>
      </c>
      <c r="D176" t="s">
        <v>1098</v>
      </c>
      <c r="E176" t="s">
        <v>75</v>
      </c>
      <c r="F176" t="s">
        <v>75</v>
      </c>
      <c r="G176" t="s">
        <v>76</v>
      </c>
    </row>
    <row r="177" spans="1:7">
      <c r="A177">
        <v>137</v>
      </c>
      <c r="B177" t="s">
        <v>1154</v>
      </c>
      <c r="C177" t="s">
        <v>1307</v>
      </c>
      <c r="D177" t="s">
        <v>1118</v>
      </c>
      <c r="E177" t="s">
        <v>57</v>
      </c>
      <c r="F177" t="s">
        <v>57</v>
      </c>
      <c r="G177" t="s">
        <v>51</v>
      </c>
    </row>
    <row r="178" spans="1:7">
      <c r="A178">
        <v>1</v>
      </c>
      <c r="B178" t="s">
        <v>1154</v>
      </c>
      <c r="C178" t="s">
        <v>41</v>
      </c>
      <c r="D178" t="s">
        <v>1154</v>
      </c>
      <c r="E178" t="s">
        <v>41</v>
      </c>
      <c r="F178" t="s">
        <v>41</v>
      </c>
      <c r="G178" t="s">
        <v>42</v>
      </c>
    </row>
    <row r="179" spans="1:7">
      <c r="A179">
        <v>198</v>
      </c>
      <c r="B179" t="s">
        <v>1308</v>
      </c>
      <c r="C179" t="s">
        <v>1309</v>
      </c>
      <c r="D179" t="s">
        <v>1093</v>
      </c>
      <c r="E179" t="s">
        <v>223</v>
      </c>
      <c r="F179" t="s">
        <v>223</v>
      </c>
      <c r="G179" t="s">
        <v>51</v>
      </c>
    </row>
    <row r="180" spans="1:7">
      <c r="A180">
        <v>239</v>
      </c>
      <c r="B180" t="s">
        <v>1308</v>
      </c>
      <c r="C180" t="s">
        <v>1310</v>
      </c>
      <c r="D180" t="s">
        <v>1102</v>
      </c>
      <c r="E180" t="s">
        <v>132</v>
      </c>
      <c r="F180" t="s">
        <v>132</v>
      </c>
      <c r="G180" t="s">
        <v>51</v>
      </c>
    </row>
    <row r="181" spans="1:7">
      <c r="A181">
        <v>248</v>
      </c>
      <c r="B181" t="s">
        <v>1308</v>
      </c>
      <c r="C181" t="s">
        <v>1311</v>
      </c>
      <c r="D181" t="s">
        <v>1104</v>
      </c>
      <c r="E181" t="s">
        <v>50</v>
      </c>
      <c r="F181" t="s">
        <v>50</v>
      </c>
      <c r="G181" t="s">
        <v>51</v>
      </c>
    </row>
    <row r="182" spans="1:7">
      <c r="A182">
        <v>234</v>
      </c>
      <c r="B182" t="s">
        <v>1308</v>
      </c>
      <c r="C182" t="s">
        <v>1312</v>
      </c>
      <c r="D182" t="s">
        <v>1098</v>
      </c>
      <c r="E182" t="s">
        <v>75</v>
      </c>
      <c r="F182" t="s">
        <v>75</v>
      </c>
      <c r="G182" t="s">
        <v>76</v>
      </c>
    </row>
    <row r="183" spans="1:7">
      <c r="A183">
        <v>247</v>
      </c>
      <c r="B183" t="s">
        <v>1308</v>
      </c>
      <c r="C183" t="s">
        <v>1313</v>
      </c>
      <c r="D183" t="s">
        <v>1093</v>
      </c>
      <c r="E183" t="s">
        <v>223</v>
      </c>
      <c r="F183" t="s">
        <v>223</v>
      </c>
      <c r="G183" t="s">
        <v>51</v>
      </c>
    </row>
    <row r="184" spans="1:7">
      <c r="A184">
        <v>230</v>
      </c>
      <c r="B184" t="s">
        <v>1308</v>
      </c>
      <c r="C184" t="s">
        <v>1314</v>
      </c>
      <c r="D184" t="s">
        <v>1102</v>
      </c>
      <c r="E184" t="s">
        <v>132</v>
      </c>
      <c r="F184" t="s">
        <v>132</v>
      </c>
      <c r="G184" t="s">
        <v>51</v>
      </c>
    </row>
    <row r="185" spans="1:7">
      <c r="A185">
        <v>201</v>
      </c>
      <c r="B185" t="s">
        <v>1308</v>
      </c>
      <c r="C185" t="s">
        <v>1315</v>
      </c>
      <c r="D185" t="s">
        <v>1118</v>
      </c>
      <c r="E185" t="s">
        <v>57</v>
      </c>
      <c r="F185" t="s">
        <v>57</v>
      </c>
      <c r="G185" t="s">
        <v>51</v>
      </c>
    </row>
    <row r="186" spans="1:7">
      <c r="A186">
        <v>205</v>
      </c>
      <c r="B186" t="s">
        <v>1308</v>
      </c>
      <c r="C186" t="s">
        <v>1316</v>
      </c>
      <c r="D186" t="s">
        <v>1093</v>
      </c>
      <c r="E186" t="s">
        <v>223</v>
      </c>
      <c r="F186" t="s">
        <v>223</v>
      </c>
      <c r="G186" t="s">
        <v>51</v>
      </c>
    </row>
    <row r="187" spans="1:7">
      <c r="A187">
        <v>194</v>
      </c>
      <c r="B187" t="s">
        <v>1308</v>
      </c>
      <c r="C187" t="s">
        <v>1317</v>
      </c>
      <c r="D187" t="s">
        <v>1121</v>
      </c>
      <c r="E187" t="s">
        <v>154</v>
      </c>
      <c r="F187" t="s">
        <v>154</v>
      </c>
      <c r="G187" t="s">
        <v>51</v>
      </c>
    </row>
    <row r="188" spans="1:7">
      <c r="A188">
        <v>172</v>
      </c>
      <c r="B188" t="s">
        <v>1308</v>
      </c>
      <c r="C188" t="s">
        <v>1318</v>
      </c>
      <c r="D188" t="s">
        <v>1093</v>
      </c>
      <c r="E188" t="s">
        <v>223</v>
      </c>
      <c r="F188" t="s">
        <v>223</v>
      </c>
      <c r="G188" t="s">
        <v>51</v>
      </c>
    </row>
    <row r="189" spans="1:7">
      <c r="A189">
        <v>173</v>
      </c>
      <c r="B189" t="s">
        <v>1308</v>
      </c>
      <c r="C189" t="s">
        <v>1319</v>
      </c>
      <c r="D189" t="s">
        <v>1118</v>
      </c>
      <c r="E189" t="s">
        <v>57</v>
      </c>
      <c r="F189" t="s">
        <v>57</v>
      </c>
      <c r="G189" t="s">
        <v>51</v>
      </c>
    </row>
    <row r="190" spans="1:7">
      <c r="A190">
        <v>177</v>
      </c>
      <c r="B190" t="s">
        <v>1308</v>
      </c>
      <c r="C190" t="s">
        <v>1320</v>
      </c>
      <c r="D190" t="s">
        <v>1118</v>
      </c>
      <c r="E190" t="s">
        <v>57</v>
      </c>
      <c r="F190" t="s">
        <v>57</v>
      </c>
      <c r="G190" t="s">
        <v>51</v>
      </c>
    </row>
    <row r="191" spans="1:7">
      <c r="A191">
        <v>208</v>
      </c>
      <c r="B191" t="s">
        <v>1308</v>
      </c>
      <c r="C191" t="s">
        <v>1321</v>
      </c>
      <c r="D191" t="s">
        <v>1093</v>
      </c>
      <c r="E191" t="s">
        <v>223</v>
      </c>
      <c r="F191" t="s">
        <v>223</v>
      </c>
      <c r="G191" t="s">
        <v>51</v>
      </c>
    </row>
    <row r="192" spans="1:7">
      <c r="A192">
        <v>213</v>
      </c>
      <c r="B192" t="s">
        <v>1308</v>
      </c>
      <c r="C192" t="s">
        <v>1322</v>
      </c>
      <c r="D192" t="s">
        <v>1093</v>
      </c>
      <c r="E192" t="s">
        <v>223</v>
      </c>
      <c r="F192" t="s">
        <v>223</v>
      </c>
      <c r="G192" t="s">
        <v>51</v>
      </c>
    </row>
    <row r="193" spans="1:7">
      <c r="A193">
        <v>235</v>
      </c>
      <c r="B193" t="s">
        <v>1308</v>
      </c>
      <c r="C193" t="s">
        <v>1323</v>
      </c>
      <c r="D193" t="s">
        <v>1098</v>
      </c>
      <c r="E193" t="s">
        <v>75</v>
      </c>
      <c r="F193" t="s">
        <v>75</v>
      </c>
      <c r="G193" t="s">
        <v>76</v>
      </c>
    </row>
    <row r="194" spans="1:7">
      <c r="A194">
        <v>212</v>
      </c>
      <c r="B194" t="s">
        <v>1308</v>
      </c>
      <c r="C194" t="s">
        <v>1324</v>
      </c>
      <c r="D194" t="s">
        <v>1093</v>
      </c>
      <c r="E194" t="s">
        <v>223</v>
      </c>
      <c r="F194" t="s">
        <v>223</v>
      </c>
      <c r="G194" t="s">
        <v>51</v>
      </c>
    </row>
    <row r="195" spans="1:7">
      <c r="A195">
        <v>223</v>
      </c>
      <c r="B195" t="s">
        <v>1308</v>
      </c>
      <c r="C195" t="s">
        <v>1325</v>
      </c>
      <c r="D195" t="s">
        <v>1104</v>
      </c>
      <c r="E195" t="s">
        <v>50</v>
      </c>
      <c r="F195" t="s">
        <v>50</v>
      </c>
      <c r="G195" t="s">
        <v>51</v>
      </c>
    </row>
    <row r="196" spans="1:7">
      <c r="A196">
        <v>206</v>
      </c>
      <c r="B196" t="s">
        <v>1308</v>
      </c>
      <c r="C196" t="s">
        <v>1326</v>
      </c>
      <c r="D196" t="s">
        <v>1093</v>
      </c>
      <c r="E196" t="s">
        <v>223</v>
      </c>
      <c r="F196" t="s">
        <v>223</v>
      </c>
      <c r="G196" t="s">
        <v>51</v>
      </c>
    </row>
    <row r="197" spans="1:7">
      <c r="A197">
        <v>209</v>
      </c>
      <c r="B197" t="s">
        <v>1308</v>
      </c>
      <c r="C197" t="s">
        <v>1327</v>
      </c>
      <c r="D197" t="s">
        <v>1093</v>
      </c>
      <c r="E197" t="s">
        <v>223</v>
      </c>
      <c r="F197" t="s">
        <v>223</v>
      </c>
      <c r="G197" t="s">
        <v>51</v>
      </c>
    </row>
    <row r="198" spans="1:7">
      <c r="A198">
        <v>210</v>
      </c>
      <c r="B198" t="s">
        <v>1308</v>
      </c>
      <c r="C198" t="s">
        <v>1328</v>
      </c>
      <c r="D198" t="s">
        <v>1093</v>
      </c>
      <c r="E198" t="s">
        <v>223</v>
      </c>
      <c r="F198" t="s">
        <v>223</v>
      </c>
      <c r="G198" t="s">
        <v>51</v>
      </c>
    </row>
    <row r="199" spans="1:7">
      <c r="A199">
        <v>204</v>
      </c>
      <c r="B199" t="s">
        <v>1308</v>
      </c>
      <c r="C199" t="s">
        <v>1329</v>
      </c>
      <c r="D199" t="s">
        <v>1093</v>
      </c>
      <c r="E199" t="s">
        <v>223</v>
      </c>
      <c r="F199" t="s">
        <v>223</v>
      </c>
      <c r="G199" t="s">
        <v>51</v>
      </c>
    </row>
    <row r="200" spans="1:7">
      <c r="A200">
        <v>207</v>
      </c>
      <c r="B200" t="s">
        <v>1308</v>
      </c>
      <c r="C200" t="s">
        <v>1330</v>
      </c>
      <c r="D200" t="s">
        <v>1093</v>
      </c>
      <c r="E200" t="s">
        <v>223</v>
      </c>
      <c r="F200" t="s">
        <v>223</v>
      </c>
      <c r="G200" t="s">
        <v>51</v>
      </c>
    </row>
    <row r="201" spans="1:7">
      <c r="A201">
        <v>175</v>
      </c>
      <c r="B201" t="s">
        <v>1308</v>
      </c>
      <c r="C201" t="s">
        <v>1331</v>
      </c>
      <c r="D201" t="s">
        <v>1118</v>
      </c>
      <c r="E201" t="s">
        <v>57</v>
      </c>
      <c r="F201" t="s">
        <v>57</v>
      </c>
      <c r="G201" t="s">
        <v>51</v>
      </c>
    </row>
    <row r="202" spans="1:7">
      <c r="A202">
        <v>202</v>
      </c>
      <c r="B202" t="s">
        <v>1308</v>
      </c>
      <c r="C202" t="s">
        <v>1332</v>
      </c>
      <c r="D202" t="s">
        <v>1093</v>
      </c>
      <c r="E202" t="s">
        <v>223</v>
      </c>
      <c r="F202" t="s">
        <v>223</v>
      </c>
      <c r="G202" t="s">
        <v>51</v>
      </c>
    </row>
    <row r="203" spans="1:7">
      <c r="A203">
        <v>203</v>
      </c>
      <c r="B203" t="s">
        <v>1308</v>
      </c>
      <c r="C203" t="s">
        <v>1333</v>
      </c>
      <c r="D203" t="s">
        <v>1093</v>
      </c>
      <c r="E203" t="s">
        <v>223</v>
      </c>
      <c r="F203" t="s">
        <v>223</v>
      </c>
      <c r="G203" t="s">
        <v>51</v>
      </c>
    </row>
    <row r="204" spans="1:7">
      <c r="A204">
        <v>211</v>
      </c>
      <c r="B204" t="s">
        <v>1308</v>
      </c>
      <c r="C204" t="s">
        <v>1334</v>
      </c>
      <c r="D204" t="s">
        <v>1093</v>
      </c>
      <c r="E204" t="s">
        <v>223</v>
      </c>
      <c r="F204" t="s">
        <v>223</v>
      </c>
      <c r="G204" t="s">
        <v>51</v>
      </c>
    </row>
    <row r="205" spans="1:7">
      <c r="A205">
        <v>238</v>
      </c>
      <c r="B205" t="s">
        <v>1308</v>
      </c>
      <c r="C205" t="s">
        <v>1335</v>
      </c>
      <c r="D205" t="s">
        <v>1102</v>
      </c>
      <c r="E205" t="s">
        <v>132</v>
      </c>
      <c r="F205" t="s">
        <v>132</v>
      </c>
      <c r="G205" t="s">
        <v>51</v>
      </c>
    </row>
    <row r="206" spans="1:7">
      <c r="A206">
        <v>273</v>
      </c>
      <c r="B206" t="s">
        <v>1308</v>
      </c>
      <c r="C206" t="s">
        <v>1336</v>
      </c>
      <c r="D206" t="s">
        <v>1154</v>
      </c>
      <c r="E206" t="s">
        <v>41</v>
      </c>
      <c r="F206" t="s">
        <v>41</v>
      </c>
      <c r="G206" t="s">
        <v>42</v>
      </c>
    </row>
    <row r="207" spans="1:7">
      <c r="A207">
        <v>229</v>
      </c>
      <c r="B207" t="s">
        <v>1308</v>
      </c>
      <c r="C207" t="s">
        <v>1337</v>
      </c>
      <c r="D207" t="s">
        <v>1102</v>
      </c>
      <c r="E207" t="s">
        <v>132</v>
      </c>
      <c r="F207" t="s">
        <v>132</v>
      </c>
      <c r="G207" t="s">
        <v>51</v>
      </c>
    </row>
    <row r="208" spans="1:7">
      <c r="A208">
        <v>246</v>
      </c>
      <c r="B208" t="s">
        <v>1308</v>
      </c>
      <c r="C208" t="s">
        <v>1338</v>
      </c>
      <c r="D208" t="s">
        <v>1093</v>
      </c>
      <c r="E208" t="s">
        <v>223</v>
      </c>
      <c r="F208" t="s">
        <v>223</v>
      </c>
      <c r="G208" t="s">
        <v>51</v>
      </c>
    </row>
    <row r="209" spans="1:7">
      <c r="A209">
        <v>131</v>
      </c>
      <c r="B209" t="s">
        <v>1339</v>
      </c>
      <c r="C209" t="s">
        <v>1340</v>
      </c>
      <c r="D209" t="s">
        <v>1102</v>
      </c>
      <c r="E209" t="s">
        <v>132</v>
      </c>
      <c r="F209" t="s">
        <v>132</v>
      </c>
      <c r="G209" t="s">
        <v>51</v>
      </c>
    </row>
    <row r="210" spans="1:7">
      <c r="A210">
        <v>34</v>
      </c>
      <c r="B210" t="s">
        <v>1341</v>
      </c>
      <c r="C210" t="s">
        <v>1342</v>
      </c>
      <c r="D210" t="s">
        <v>1104</v>
      </c>
      <c r="E210" t="s">
        <v>50</v>
      </c>
      <c r="F210" t="s">
        <v>50</v>
      </c>
      <c r="G210" t="s">
        <v>51</v>
      </c>
    </row>
    <row r="211" spans="1:7">
      <c r="A211">
        <v>245</v>
      </c>
      <c r="B211" t="s">
        <v>1343</v>
      </c>
      <c r="C211" t="s">
        <v>1344</v>
      </c>
      <c r="D211" t="s">
        <v>1098</v>
      </c>
      <c r="E211" t="s">
        <v>75</v>
      </c>
      <c r="F211" t="s">
        <v>75</v>
      </c>
      <c r="G211" t="s">
        <v>76</v>
      </c>
    </row>
    <row r="212" spans="1:7">
      <c r="A212">
        <v>54</v>
      </c>
      <c r="B212" t="s">
        <v>1345</v>
      </c>
      <c r="C212" t="s">
        <v>243</v>
      </c>
      <c r="D212" t="s">
        <v>1162</v>
      </c>
      <c r="E212" t="s">
        <v>97</v>
      </c>
      <c r="F212" t="s">
        <v>97</v>
      </c>
      <c r="G212" t="s">
        <v>42</v>
      </c>
    </row>
    <row r="213" spans="1:7">
      <c r="A213">
        <v>95</v>
      </c>
      <c r="B213" t="s">
        <v>1346</v>
      </c>
      <c r="C213" t="s">
        <v>1347</v>
      </c>
      <c r="D213" t="s">
        <v>1096</v>
      </c>
      <c r="E213" t="s">
        <v>336</v>
      </c>
      <c r="F213" t="s">
        <v>336</v>
      </c>
      <c r="G213" t="s">
        <v>76</v>
      </c>
    </row>
    <row r="214" spans="1:7">
      <c r="A214">
        <v>227</v>
      </c>
      <c r="B214" t="s">
        <v>1348</v>
      </c>
      <c r="C214" t="s">
        <v>1349</v>
      </c>
      <c r="D214" t="s">
        <v>1104</v>
      </c>
      <c r="E214" t="s">
        <v>50</v>
      </c>
      <c r="F214" t="s">
        <v>50</v>
      </c>
      <c r="G214" t="s">
        <v>51</v>
      </c>
    </row>
    <row r="215" spans="1:7">
      <c r="A215">
        <v>258</v>
      </c>
      <c r="B215" t="s">
        <v>1350</v>
      </c>
      <c r="C215" t="s">
        <v>1351</v>
      </c>
      <c r="D215" t="s">
        <v>1117</v>
      </c>
      <c r="E215" t="s">
        <v>177</v>
      </c>
      <c r="F215" t="s">
        <v>177</v>
      </c>
      <c r="G215" t="s">
        <v>76</v>
      </c>
    </row>
    <row r="216" spans="1:7">
      <c r="A216">
        <v>124</v>
      </c>
      <c r="B216" t="s">
        <v>1352</v>
      </c>
      <c r="C216" t="s">
        <v>1353</v>
      </c>
      <c r="D216" t="s">
        <v>1093</v>
      </c>
      <c r="E216" t="s">
        <v>223</v>
      </c>
      <c r="F216" t="s">
        <v>223</v>
      </c>
      <c r="G216" t="s">
        <v>51</v>
      </c>
    </row>
    <row r="217" spans="1:7">
      <c r="A217">
        <v>168</v>
      </c>
      <c r="B217" t="s">
        <v>1354</v>
      </c>
      <c r="C217" t="s">
        <v>1355</v>
      </c>
      <c r="D217" t="s">
        <v>1093</v>
      </c>
      <c r="E217" t="s">
        <v>223</v>
      </c>
      <c r="F217" t="s">
        <v>223</v>
      </c>
      <c r="G217" t="s">
        <v>51</v>
      </c>
    </row>
    <row r="218" spans="1:7">
      <c r="A218">
        <v>263</v>
      </c>
      <c r="B218" t="s">
        <v>1356</v>
      </c>
      <c r="C218" t="s">
        <v>1357</v>
      </c>
      <c r="D218" t="s">
        <v>1098</v>
      </c>
      <c r="E218" t="s">
        <v>75</v>
      </c>
      <c r="F218" t="s">
        <v>75</v>
      </c>
      <c r="G218" t="s">
        <v>76</v>
      </c>
    </row>
    <row r="219" spans="1:7">
      <c r="A219">
        <v>31</v>
      </c>
      <c r="B219" t="s">
        <v>1356</v>
      </c>
      <c r="C219" t="s">
        <v>476</v>
      </c>
      <c r="D219" t="s">
        <v>1136</v>
      </c>
      <c r="E219" t="s">
        <v>186</v>
      </c>
      <c r="F219" t="s">
        <v>186</v>
      </c>
      <c r="G219" t="s">
        <v>42</v>
      </c>
    </row>
    <row r="220" spans="1:7">
      <c r="A220">
        <v>70</v>
      </c>
      <c r="B220" t="s">
        <v>1356</v>
      </c>
      <c r="C220" t="s">
        <v>81</v>
      </c>
      <c r="D220" t="s">
        <v>1114</v>
      </c>
      <c r="E220" t="s">
        <v>62</v>
      </c>
      <c r="F220" t="s">
        <v>68</v>
      </c>
      <c r="G220" t="s">
        <v>42</v>
      </c>
    </row>
    <row r="221" spans="1:7">
      <c r="A221">
        <v>226</v>
      </c>
      <c r="B221" t="s">
        <v>1358</v>
      </c>
      <c r="C221" t="s">
        <v>1359</v>
      </c>
      <c r="D221" t="s">
        <v>1162</v>
      </c>
      <c r="E221" t="s">
        <v>97</v>
      </c>
      <c r="F221" t="s">
        <v>97</v>
      </c>
      <c r="G221" t="s">
        <v>42</v>
      </c>
    </row>
    <row r="222" spans="1:7">
      <c r="A222">
        <v>232</v>
      </c>
      <c r="B222" t="s">
        <v>1360</v>
      </c>
      <c r="C222" t="s">
        <v>1361</v>
      </c>
      <c r="D222" t="s">
        <v>1106</v>
      </c>
      <c r="E222" t="s">
        <v>192</v>
      </c>
      <c r="F222" t="s">
        <v>449</v>
      </c>
      <c r="G222" t="s">
        <v>76</v>
      </c>
    </row>
    <row r="223" spans="1:7">
      <c r="A223">
        <v>132</v>
      </c>
      <c r="B223" t="s">
        <v>1362</v>
      </c>
      <c r="C223" t="s">
        <v>1363</v>
      </c>
      <c r="D223" t="s">
        <v>1102</v>
      </c>
      <c r="E223" t="s">
        <v>132</v>
      </c>
      <c r="F223" t="s">
        <v>132</v>
      </c>
      <c r="G223" t="s">
        <v>51</v>
      </c>
    </row>
    <row r="224" spans="1:7">
      <c r="A224">
        <v>107</v>
      </c>
      <c r="B224" t="s">
        <v>1364</v>
      </c>
      <c r="C224" t="s">
        <v>1365</v>
      </c>
      <c r="D224" t="s">
        <v>1106</v>
      </c>
      <c r="E224" t="s">
        <v>192</v>
      </c>
      <c r="F224" t="s">
        <v>449</v>
      </c>
      <c r="G224" t="s">
        <v>76</v>
      </c>
    </row>
    <row r="225" spans="1:7">
      <c r="A225">
        <v>241</v>
      </c>
      <c r="B225" t="s">
        <v>1364</v>
      </c>
      <c r="C225" t="s">
        <v>1366</v>
      </c>
      <c r="D225" t="s">
        <v>1098</v>
      </c>
      <c r="E225" t="s">
        <v>75</v>
      </c>
      <c r="F225" t="s">
        <v>75</v>
      </c>
      <c r="G225" t="s">
        <v>76</v>
      </c>
    </row>
    <row r="226" spans="1:7">
      <c r="A226">
        <v>58</v>
      </c>
      <c r="B226" t="s">
        <v>1364</v>
      </c>
      <c r="C226" t="s">
        <v>248</v>
      </c>
      <c r="D226" t="s">
        <v>1118</v>
      </c>
      <c r="E226" t="s">
        <v>57</v>
      </c>
      <c r="F226" t="s">
        <v>57</v>
      </c>
      <c r="G226" t="s">
        <v>51</v>
      </c>
    </row>
    <row r="227" spans="1:7">
      <c r="A227">
        <v>165</v>
      </c>
      <c r="B227" t="s">
        <v>1364</v>
      </c>
      <c r="C227" t="s">
        <v>1367</v>
      </c>
      <c r="D227" t="s">
        <v>1102</v>
      </c>
      <c r="E227" t="s">
        <v>132</v>
      </c>
      <c r="F227" t="s">
        <v>132</v>
      </c>
      <c r="G227" t="s">
        <v>51</v>
      </c>
    </row>
    <row r="228" spans="1:7">
      <c r="A228">
        <v>104</v>
      </c>
      <c r="B228" t="s">
        <v>1364</v>
      </c>
      <c r="C228" t="s">
        <v>1368</v>
      </c>
      <c r="D228" t="s">
        <v>1104</v>
      </c>
      <c r="E228" t="s">
        <v>50</v>
      </c>
      <c r="F228" t="s">
        <v>50</v>
      </c>
      <c r="G228" t="s">
        <v>51</v>
      </c>
    </row>
    <row r="229" spans="1:7">
      <c r="A229">
        <v>110</v>
      </c>
      <c r="B229" t="s">
        <v>1364</v>
      </c>
      <c r="C229" t="s">
        <v>137</v>
      </c>
      <c r="D229" t="s">
        <v>1154</v>
      </c>
      <c r="E229" t="s">
        <v>41</v>
      </c>
      <c r="F229" t="s">
        <v>41</v>
      </c>
      <c r="G229" t="s">
        <v>42</v>
      </c>
    </row>
    <row r="230" spans="1:7">
      <c r="A230">
        <v>152</v>
      </c>
      <c r="B230" t="s">
        <v>1364</v>
      </c>
      <c r="C230" t="s">
        <v>291</v>
      </c>
      <c r="D230" t="s">
        <v>1154</v>
      </c>
      <c r="E230" t="s">
        <v>41</v>
      </c>
      <c r="F230" t="s">
        <v>41</v>
      </c>
      <c r="G230" t="s">
        <v>42</v>
      </c>
    </row>
    <row r="231" spans="1:7">
      <c r="A231">
        <v>93</v>
      </c>
      <c r="B231" t="s">
        <v>1364</v>
      </c>
      <c r="C231" t="s">
        <v>1369</v>
      </c>
      <c r="D231" t="s">
        <v>1162</v>
      </c>
      <c r="E231" t="s">
        <v>97</v>
      </c>
      <c r="F231" t="s">
        <v>97</v>
      </c>
      <c r="G231" t="s">
        <v>42</v>
      </c>
    </row>
    <row r="232" spans="1:7">
      <c r="A232">
        <v>151</v>
      </c>
      <c r="B232" t="s">
        <v>1364</v>
      </c>
      <c r="C232" t="s">
        <v>1370</v>
      </c>
      <c r="D232" t="s">
        <v>1114</v>
      </c>
      <c r="E232" t="s">
        <v>62</v>
      </c>
      <c r="F232" t="s">
        <v>62</v>
      </c>
      <c r="G232" t="s">
        <v>42</v>
      </c>
    </row>
    <row r="233" spans="1:7">
      <c r="A233">
        <v>129</v>
      </c>
      <c r="B233" t="s">
        <v>1364</v>
      </c>
      <c r="C233" t="s">
        <v>1371</v>
      </c>
      <c r="D233" t="s">
        <v>1093</v>
      </c>
      <c r="E233" t="s">
        <v>223</v>
      </c>
      <c r="F233" t="s">
        <v>223</v>
      </c>
      <c r="G233" t="s">
        <v>51</v>
      </c>
    </row>
    <row r="234" spans="1:7">
      <c r="A234">
        <v>180</v>
      </c>
      <c r="B234" t="s">
        <v>1364</v>
      </c>
      <c r="C234" t="s">
        <v>1372</v>
      </c>
      <c r="D234" t="s">
        <v>1162</v>
      </c>
      <c r="E234" t="s">
        <v>97</v>
      </c>
      <c r="F234" t="s">
        <v>97</v>
      </c>
      <c r="G234" t="s">
        <v>42</v>
      </c>
    </row>
    <row r="235" spans="1:7">
      <c r="A235">
        <v>119</v>
      </c>
      <c r="B235" t="s">
        <v>1373</v>
      </c>
      <c r="C235" t="s">
        <v>361</v>
      </c>
      <c r="D235" t="s">
        <v>1093</v>
      </c>
      <c r="E235" t="s">
        <v>223</v>
      </c>
      <c r="F235" t="s">
        <v>223</v>
      </c>
      <c r="G235" t="s">
        <v>51</v>
      </c>
    </row>
    <row r="236" spans="1:7">
      <c r="A236">
        <v>257</v>
      </c>
      <c r="B236" t="s">
        <v>1373</v>
      </c>
      <c r="C236" t="s">
        <v>1374</v>
      </c>
      <c r="D236" t="s">
        <v>1262</v>
      </c>
      <c r="E236" t="s">
        <v>108</v>
      </c>
      <c r="F236" t="s">
        <v>108</v>
      </c>
      <c r="G236" t="s">
        <v>42</v>
      </c>
    </row>
    <row r="237" spans="1:7">
      <c r="A237">
        <v>251</v>
      </c>
      <c r="B237" t="s">
        <v>1373</v>
      </c>
      <c r="C237" t="s">
        <v>1375</v>
      </c>
      <c r="D237" t="s">
        <v>1154</v>
      </c>
      <c r="E237" t="s">
        <v>41</v>
      </c>
      <c r="F237" t="s">
        <v>41</v>
      </c>
      <c r="G237" t="s">
        <v>42</v>
      </c>
    </row>
    <row r="238" spans="1:7">
      <c r="A238">
        <v>161</v>
      </c>
      <c r="B238" t="s">
        <v>1373</v>
      </c>
      <c r="C238" t="s">
        <v>1376</v>
      </c>
      <c r="D238" t="s">
        <v>1102</v>
      </c>
      <c r="E238" t="s">
        <v>132</v>
      </c>
      <c r="F238" t="s">
        <v>132</v>
      </c>
      <c r="G238" t="s">
        <v>51</v>
      </c>
    </row>
    <row r="239" spans="1:7">
      <c r="A239">
        <v>255</v>
      </c>
      <c r="B239" t="s">
        <v>1373</v>
      </c>
      <c r="C239" t="s">
        <v>1377</v>
      </c>
      <c r="D239" t="s">
        <v>1093</v>
      </c>
      <c r="E239" t="s">
        <v>223</v>
      </c>
      <c r="F239" t="s">
        <v>223</v>
      </c>
      <c r="G239" t="s">
        <v>51</v>
      </c>
    </row>
    <row r="240" spans="1:7">
      <c r="A240">
        <v>262</v>
      </c>
      <c r="B240" t="s">
        <v>1373</v>
      </c>
      <c r="C240" t="s">
        <v>1378</v>
      </c>
      <c r="D240" t="s">
        <v>1106</v>
      </c>
      <c r="E240" t="s">
        <v>192</v>
      </c>
      <c r="F240" t="s">
        <v>449</v>
      </c>
      <c r="G240" t="s">
        <v>76</v>
      </c>
    </row>
    <row r="241" spans="1:7">
      <c r="A241">
        <v>181</v>
      </c>
      <c r="B241" t="s">
        <v>1373</v>
      </c>
      <c r="C241" t="s">
        <v>1379</v>
      </c>
      <c r="D241" t="s">
        <v>1102</v>
      </c>
      <c r="E241" t="s">
        <v>132</v>
      </c>
      <c r="F241" t="s">
        <v>132</v>
      </c>
      <c r="G241" t="s">
        <v>51</v>
      </c>
    </row>
    <row r="242" spans="1:7">
      <c r="A242">
        <v>103</v>
      </c>
      <c r="B242" t="s">
        <v>1373</v>
      </c>
      <c r="C242" t="s">
        <v>1380</v>
      </c>
      <c r="D242" t="s">
        <v>1102</v>
      </c>
      <c r="E242" t="s">
        <v>132</v>
      </c>
      <c r="F242" t="s">
        <v>132</v>
      </c>
      <c r="G242" t="s">
        <v>51</v>
      </c>
    </row>
    <row r="243" spans="1:7">
      <c r="A243">
        <v>125</v>
      </c>
      <c r="B243" t="s">
        <v>1373</v>
      </c>
      <c r="C243" t="s">
        <v>1381</v>
      </c>
      <c r="D243" t="s">
        <v>1093</v>
      </c>
      <c r="E243" t="s">
        <v>223</v>
      </c>
      <c r="F243" t="s">
        <v>223</v>
      </c>
      <c r="G243" t="s">
        <v>51</v>
      </c>
    </row>
    <row r="244" spans="1:7">
      <c r="A244">
        <v>200</v>
      </c>
      <c r="B244" t="s">
        <v>1373</v>
      </c>
      <c r="C244" t="s">
        <v>327</v>
      </c>
      <c r="D244" t="s">
        <v>1117</v>
      </c>
      <c r="E244" t="s">
        <v>177</v>
      </c>
      <c r="F244" t="s">
        <v>177</v>
      </c>
      <c r="G244" t="s">
        <v>76</v>
      </c>
    </row>
    <row r="245" spans="1:7">
      <c r="A245">
        <v>192</v>
      </c>
      <c r="B245" t="s">
        <v>1373</v>
      </c>
      <c r="C245" t="s">
        <v>1382</v>
      </c>
      <c r="D245" t="s">
        <v>1104</v>
      </c>
      <c r="E245" t="s">
        <v>50</v>
      </c>
      <c r="F245" t="s">
        <v>50</v>
      </c>
      <c r="G245" t="s">
        <v>51</v>
      </c>
    </row>
    <row r="246" spans="1:7">
      <c r="A246">
        <v>69</v>
      </c>
      <c r="B246" t="s">
        <v>1373</v>
      </c>
      <c r="C246" t="s">
        <v>1383</v>
      </c>
      <c r="D246" t="s">
        <v>1102</v>
      </c>
      <c r="E246" t="s">
        <v>132</v>
      </c>
      <c r="F246" t="s">
        <v>132</v>
      </c>
      <c r="G246" t="s">
        <v>51</v>
      </c>
    </row>
    <row r="247" spans="1:7">
      <c r="A247">
        <v>148</v>
      </c>
      <c r="B247" t="s">
        <v>1373</v>
      </c>
      <c r="C247" t="s">
        <v>262</v>
      </c>
      <c r="D247" t="s">
        <v>1117</v>
      </c>
      <c r="E247" t="s">
        <v>177</v>
      </c>
      <c r="F247" t="s">
        <v>177</v>
      </c>
      <c r="G247" t="s">
        <v>76</v>
      </c>
    </row>
    <row r="248" spans="1:7">
      <c r="A248">
        <v>259</v>
      </c>
      <c r="B248" t="s">
        <v>1384</v>
      </c>
      <c r="C248" t="s">
        <v>1385</v>
      </c>
      <c r="D248" t="s">
        <v>1117</v>
      </c>
      <c r="E248" t="s">
        <v>177</v>
      </c>
      <c r="F248" t="s">
        <v>177</v>
      </c>
      <c r="G248" t="s">
        <v>76</v>
      </c>
    </row>
    <row r="249" spans="1:7">
      <c r="A249">
        <v>43</v>
      </c>
      <c r="B249" t="s">
        <v>1386</v>
      </c>
      <c r="C249" t="s">
        <v>40</v>
      </c>
      <c r="D249" t="s">
        <v>1154</v>
      </c>
      <c r="E249" t="s">
        <v>41</v>
      </c>
      <c r="F249" t="s">
        <v>41</v>
      </c>
      <c r="G249" t="s">
        <v>42</v>
      </c>
    </row>
    <row r="250" spans="1:7">
      <c r="A250">
        <v>88</v>
      </c>
      <c r="B250" t="s">
        <v>1387</v>
      </c>
      <c r="C250" t="s">
        <v>1388</v>
      </c>
      <c r="D250" t="s">
        <v>1102</v>
      </c>
      <c r="E250" t="s">
        <v>132</v>
      </c>
      <c r="F250" t="s">
        <v>132</v>
      </c>
      <c r="G250" t="s">
        <v>51</v>
      </c>
    </row>
    <row r="251" spans="1:7">
      <c r="A251">
        <v>102</v>
      </c>
      <c r="B251" t="s">
        <v>1389</v>
      </c>
      <c r="C251" t="s">
        <v>1390</v>
      </c>
      <c r="D251" t="s">
        <v>1098</v>
      </c>
      <c r="E251" t="s">
        <v>75</v>
      </c>
      <c r="F251" t="s">
        <v>75</v>
      </c>
      <c r="G251" t="s">
        <v>76</v>
      </c>
    </row>
    <row r="252" spans="1:7">
      <c r="A252">
        <v>89</v>
      </c>
      <c r="B252" t="s">
        <v>1391</v>
      </c>
      <c r="C252" t="s">
        <v>1392</v>
      </c>
      <c r="D252" t="s">
        <v>1096</v>
      </c>
      <c r="E252" t="s">
        <v>336</v>
      </c>
      <c r="F252" t="s">
        <v>336</v>
      </c>
      <c r="G252" t="s">
        <v>76</v>
      </c>
    </row>
    <row r="253" spans="1:7">
      <c r="A253">
        <v>215</v>
      </c>
      <c r="B253" t="s">
        <v>1393</v>
      </c>
      <c r="C253" t="s">
        <v>1394</v>
      </c>
      <c r="D253" t="s">
        <v>1102</v>
      </c>
      <c r="E253" t="s">
        <v>132</v>
      </c>
      <c r="F253" t="s">
        <v>132</v>
      </c>
      <c r="G253" t="s">
        <v>51</v>
      </c>
    </row>
    <row r="254" spans="1:7">
      <c r="A254">
        <v>38</v>
      </c>
      <c r="B254" t="s">
        <v>1395</v>
      </c>
      <c r="C254" t="s">
        <v>564</v>
      </c>
      <c r="D254" t="s">
        <v>1098</v>
      </c>
      <c r="E254" t="s">
        <v>75</v>
      </c>
      <c r="F254" t="s">
        <v>75</v>
      </c>
      <c r="G254" t="s">
        <v>76</v>
      </c>
    </row>
    <row r="255" spans="1:7">
      <c r="A255">
        <v>147</v>
      </c>
      <c r="B255" t="s">
        <v>1396</v>
      </c>
      <c r="C255" t="s">
        <v>506</v>
      </c>
      <c r="D255" t="s">
        <v>1098</v>
      </c>
      <c r="E255" t="s">
        <v>75</v>
      </c>
      <c r="F255" t="s">
        <v>75</v>
      </c>
      <c r="G255" t="s">
        <v>76</v>
      </c>
    </row>
    <row r="256" spans="1:7">
      <c r="A256">
        <v>97</v>
      </c>
      <c r="B256" t="s">
        <v>1397</v>
      </c>
      <c r="C256" t="s">
        <v>1398</v>
      </c>
      <c r="D256" t="s">
        <v>1106</v>
      </c>
      <c r="E256" t="s">
        <v>192</v>
      </c>
      <c r="F256" t="s">
        <v>449</v>
      </c>
      <c r="G256" t="s">
        <v>76</v>
      </c>
    </row>
    <row r="257" spans="1:7">
      <c r="A257">
        <v>59</v>
      </c>
      <c r="B257" t="s">
        <v>1114</v>
      </c>
      <c r="C257" t="s">
        <v>62</v>
      </c>
      <c r="D257" t="s">
        <v>1114</v>
      </c>
      <c r="E257" t="s">
        <v>62</v>
      </c>
      <c r="F257" t="s">
        <v>62</v>
      </c>
      <c r="G257" t="s">
        <v>42</v>
      </c>
    </row>
    <row r="258" spans="1:7">
      <c r="A258">
        <v>100</v>
      </c>
      <c r="B258" t="s">
        <v>1114</v>
      </c>
      <c r="C258" t="s">
        <v>1399</v>
      </c>
      <c r="D258" t="s">
        <v>1114</v>
      </c>
      <c r="E258" t="s">
        <v>62</v>
      </c>
      <c r="F258" t="s">
        <v>62</v>
      </c>
      <c r="G258" t="s">
        <v>42</v>
      </c>
    </row>
    <row r="259" spans="1:7">
      <c r="A259">
        <v>6</v>
      </c>
      <c r="B259" t="s">
        <v>1093</v>
      </c>
      <c r="C259" t="s">
        <v>1400</v>
      </c>
      <c r="D259" t="s">
        <v>1136</v>
      </c>
      <c r="E259" t="s">
        <v>186</v>
      </c>
      <c r="F259" t="s">
        <v>68</v>
      </c>
      <c r="G259" t="s">
        <v>42</v>
      </c>
    </row>
    <row r="260" spans="1:7">
      <c r="A260">
        <v>2</v>
      </c>
      <c r="B260" t="s">
        <v>1093</v>
      </c>
      <c r="C260" t="s">
        <v>223</v>
      </c>
      <c r="D260" t="s">
        <v>1093</v>
      </c>
      <c r="E260" t="s">
        <v>223</v>
      </c>
      <c r="F260" t="s">
        <v>223</v>
      </c>
      <c r="G260" t="s">
        <v>51</v>
      </c>
    </row>
    <row r="261" spans="1:7">
      <c r="A261">
        <v>61</v>
      </c>
      <c r="B261" t="s">
        <v>1401</v>
      </c>
      <c r="C261" t="s">
        <v>1402</v>
      </c>
      <c r="D261" t="s">
        <v>1102</v>
      </c>
      <c r="E261" t="s">
        <v>132</v>
      </c>
      <c r="F261" t="s">
        <v>132</v>
      </c>
      <c r="G261" t="s">
        <v>51</v>
      </c>
    </row>
    <row r="262" spans="1:7">
      <c r="A262">
        <v>243</v>
      </c>
      <c r="B262" t="s">
        <v>1403</v>
      </c>
      <c r="C262" t="s">
        <v>1404</v>
      </c>
      <c r="D262" t="s">
        <v>1096</v>
      </c>
      <c r="E262" t="s">
        <v>336</v>
      </c>
      <c r="F262" t="s">
        <v>336</v>
      </c>
      <c r="G262" t="s">
        <v>76</v>
      </c>
    </row>
    <row r="263" spans="1:7">
      <c r="A263">
        <v>216</v>
      </c>
      <c r="B263" t="s">
        <v>1405</v>
      </c>
      <c r="C263" t="s">
        <v>1406</v>
      </c>
      <c r="D263" t="s">
        <v>1093</v>
      </c>
      <c r="E263" t="s">
        <v>223</v>
      </c>
      <c r="F263" t="s">
        <v>223</v>
      </c>
      <c r="G263" t="s">
        <v>51</v>
      </c>
    </row>
    <row r="264" spans="1:7">
      <c r="A264">
        <v>11</v>
      </c>
      <c r="B264" t="s">
        <v>1407</v>
      </c>
      <c r="C264" t="s">
        <v>49</v>
      </c>
      <c r="D264" t="s">
        <v>1104</v>
      </c>
      <c r="E264" t="s">
        <v>50</v>
      </c>
      <c r="F264" t="s">
        <v>50</v>
      </c>
      <c r="G264" t="s">
        <v>51</v>
      </c>
    </row>
    <row r="265" spans="1:7">
      <c r="A265">
        <v>67</v>
      </c>
      <c r="B265" t="s">
        <v>1407</v>
      </c>
      <c r="C265" t="s">
        <v>1408</v>
      </c>
      <c r="D265" t="s">
        <v>1121</v>
      </c>
      <c r="E265" t="s">
        <v>154</v>
      </c>
      <c r="F265" t="s">
        <v>154</v>
      </c>
      <c r="G265" t="s">
        <v>51</v>
      </c>
    </row>
    <row r="266" spans="1:7">
      <c r="A266">
        <v>66</v>
      </c>
      <c r="B266" t="s">
        <v>1407</v>
      </c>
      <c r="C266" t="s">
        <v>1409</v>
      </c>
      <c r="D266" t="s">
        <v>1104</v>
      </c>
      <c r="E266" t="s">
        <v>50</v>
      </c>
      <c r="F266" t="s">
        <v>50</v>
      </c>
      <c r="G266" t="s">
        <v>51</v>
      </c>
    </row>
    <row r="267" spans="1:7">
      <c r="A267">
        <v>261</v>
      </c>
      <c r="B267" t="s">
        <v>1410</v>
      </c>
      <c r="C267" t="s">
        <v>1411</v>
      </c>
      <c r="D267" t="s">
        <v>1098</v>
      </c>
      <c r="E267" t="s">
        <v>75</v>
      </c>
      <c r="F267" t="s">
        <v>75</v>
      </c>
      <c r="G267" t="s">
        <v>76</v>
      </c>
    </row>
    <row r="268" spans="1:7">
      <c r="A268">
        <v>271</v>
      </c>
      <c r="B268" t="s">
        <v>1410</v>
      </c>
      <c r="C268" t="s">
        <v>1412</v>
      </c>
      <c r="D268" t="s">
        <v>1166</v>
      </c>
      <c r="E268" t="s">
        <v>68</v>
      </c>
      <c r="F268" t="s">
        <v>68</v>
      </c>
      <c r="G268" t="s">
        <v>42</v>
      </c>
    </row>
    <row r="269" spans="1:7">
      <c r="A269">
        <v>270</v>
      </c>
      <c r="B269" t="s">
        <v>1410</v>
      </c>
      <c r="C269" t="s">
        <v>1413</v>
      </c>
      <c r="D269" t="s">
        <v>1117</v>
      </c>
      <c r="E269" t="s">
        <v>177</v>
      </c>
      <c r="F269" t="s">
        <v>177</v>
      </c>
      <c r="G269" t="s">
        <v>76</v>
      </c>
    </row>
    <row r="270" spans="1:7">
      <c r="A270">
        <v>108</v>
      </c>
      <c r="B270" t="s">
        <v>1410</v>
      </c>
      <c r="C270" t="s">
        <v>1414</v>
      </c>
      <c r="D270" t="s">
        <v>1102</v>
      </c>
      <c r="E270" t="s">
        <v>132</v>
      </c>
      <c r="F270" t="s">
        <v>132</v>
      </c>
      <c r="G270" t="s">
        <v>51</v>
      </c>
    </row>
    <row r="271" spans="1:7">
      <c r="A271">
        <v>267</v>
      </c>
      <c r="B271" t="s">
        <v>1410</v>
      </c>
      <c r="C271" t="s">
        <v>1415</v>
      </c>
      <c r="D271" t="s">
        <v>1106</v>
      </c>
      <c r="E271" t="s">
        <v>192</v>
      </c>
      <c r="F271" t="s">
        <v>449</v>
      </c>
      <c r="G271" t="s">
        <v>76</v>
      </c>
    </row>
    <row r="272" spans="1:7">
      <c r="A272">
        <v>142</v>
      </c>
      <c r="B272" t="s">
        <v>1416</v>
      </c>
      <c r="C272" t="s">
        <v>1417</v>
      </c>
      <c r="D272" t="s">
        <v>1102</v>
      </c>
      <c r="E272" t="s">
        <v>132</v>
      </c>
      <c r="F272" t="s">
        <v>132</v>
      </c>
      <c r="G272" t="s">
        <v>51</v>
      </c>
    </row>
    <row r="273" spans="1:7">
      <c r="A273">
        <v>272</v>
      </c>
      <c r="B273" t="s">
        <v>1416</v>
      </c>
      <c r="C273" t="s">
        <v>1418</v>
      </c>
      <c r="D273" t="s">
        <v>1102</v>
      </c>
      <c r="E273" t="s">
        <v>132</v>
      </c>
      <c r="F273" t="s">
        <v>132</v>
      </c>
      <c r="G273" t="s">
        <v>51</v>
      </c>
    </row>
    <row r="274" spans="1:7">
      <c r="A274">
        <v>274</v>
      </c>
      <c r="B274" t="s">
        <v>1416</v>
      </c>
      <c r="C274" t="s">
        <v>1419</v>
      </c>
      <c r="D274" t="s">
        <v>1102</v>
      </c>
      <c r="E274" t="s">
        <v>132</v>
      </c>
      <c r="F274" t="s">
        <v>132</v>
      </c>
      <c r="G274" t="s">
        <v>51</v>
      </c>
    </row>
    <row r="275" spans="1:7">
      <c r="A275">
        <v>16</v>
      </c>
      <c r="B275" t="s">
        <v>1420</v>
      </c>
      <c r="C275" t="s">
        <v>500</v>
      </c>
      <c r="D275" t="s">
        <v>1093</v>
      </c>
      <c r="E275" t="s">
        <v>223</v>
      </c>
      <c r="F275" t="s">
        <v>223</v>
      </c>
      <c r="G275" t="s">
        <v>51</v>
      </c>
    </row>
    <row r="276" spans="1:7">
      <c r="A276">
        <v>30</v>
      </c>
      <c r="B276" t="s">
        <v>1421</v>
      </c>
      <c r="C276" t="s">
        <v>1422</v>
      </c>
      <c r="D276" t="s">
        <v>1093</v>
      </c>
      <c r="E276" t="s">
        <v>223</v>
      </c>
      <c r="F276" t="s">
        <v>223</v>
      </c>
      <c r="G276" t="s">
        <v>51</v>
      </c>
    </row>
  </sheetData>
  <pageMargins left="0.511811024" right="0.511811024" top="0.78740157499999996" bottom="0.78740157499999996" header="0.31496062000000002" footer="0.31496062000000002"/>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000F1-A446-49D1-A101-18454822D61D}">
  <dimension ref="A1:J33"/>
  <sheetViews>
    <sheetView showGridLines="0" zoomScale="85" zoomScaleNormal="85" workbookViewId="0">
      <selection activeCell="B5" sqref="B5:C5"/>
    </sheetView>
  </sheetViews>
  <sheetFormatPr defaultRowHeight="15"/>
  <cols>
    <col min="1" max="1" width="10.85546875" bestFit="1" customWidth="1"/>
    <col min="2" max="5" width="13.7109375" customWidth="1"/>
    <col min="7" max="7" width="10.85546875" bestFit="1" customWidth="1"/>
    <col min="8" max="8" width="13.7109375" customWidth="1"/>
    <col min="9" max="9" width="17.28515625" bestFit="1" customWidth="1"/>
    <col min="10" max="10" width="13.7109375" customWidth="1"/>
  </cols>
  <sheetData>
    <row r="1" spans="1:10">
      <c r="A1" s="119" t="s">
        <v>1423</v>
      </c>
      <c r="B1" s="119"/>
      <c r="C1" s="119"/>
      <c r="D1" s="119"/>
      <c r="E1" s="119"/>
      <c r="G1" s="119" t="s">
        <v>1424</v>
      </c>
      <c r="H1" s="119"/>
      <c r="I1" s="119"/>
      <c r="J1" s="119"/>
    </row>
    <row r="3" spans="1:10">
      <c r="A3" s="1" t="s">
        <v>1425</v>
      </c>
      <c r="B3" s="27" t="s">
        <v>1426</v>
      </c>
      <c r="G3" s="1" t="s">
        <v>1425</v>
      </c>
      <c r="H3" s="2" t="s">
        <v>1427</v>
      </c>
    </row>
    <row r="4" spans="1:10">
      <c r="A4" s="3" t="s">
        <v>1428</v>
      </c>
      <c r="B4" s="4" t="s">
        <v>1429</v>
      </c>
      <c r="C4" s="4" t="s">
        <v>1430</v>
      </c>
      <c r="G4" s="3" t="s">
        <v>1428</v>
      </c>
      <c r="H4" s="4" t="s">
        <v>1431</v>
      </c>
      <c r="I4" s="4" t="s">
        <v>760</v>
      </c>
      <c r="J4" s="4" t="s">
        <v>1432</v>
      </c>
    </row>
    <row r="5" spans="1:10">
      <c r="A5" s="3" t="s">
        <v>1433</v>
      </c>
      <c r="B5" s="4">
        <v>15</v>
      </c>
      <c r="C5" s="4">
        <v>5</v>
      </c>
      <c r="G5" s="3" t="s">
        <v>1433</v>
      </c>
      <c r="H5" s="4">
        <v>40</v>
      </c>
      <c r="I5" s="4">
        <v>0</v>
      </c>
      <c r="J5" s="4">
        <v>20</v>
      </c>
    </row>
    <row r="7" spans="1:10">
      <c r="A7" s="1" t="s">
        <v>1434</v>
      </c>
      <c r="B7" s="27" t="s">
        <v>1435</v>
      </c>
      <c r="G7" s="1" t="s">
        <v>1434</v>
      </c>
      <c r="H7" s="2" t="s">
        <v>1436</v>
      </c>
    </row>
    <row r="8" spans="1:10">
      <c r="A8" s="3" t="s">
        <v>1428</v>
      </c>
      <c r="B8" s="4" t="s">
        <v>1437</v>
      </c>
      <c r="C8" s="4" t="s">
        <v>1438</v>
      </c>
      <c r="D8" s="4" t="s">
        <v>1439</v>
      </c>
      <c r="E8" s="4" t="s">
        <v>1440</v>
      </c>
      <c r="G8" s="3" t="s">
        <v>1428</v>
      </c>
      <c r="H8" s="4" t="s">
        <v>760</v>
      </c>
      <c r="I8" s="4" t="s">
        <v>770</v>
      </c>
      <c r="J8" s="4"/>
    </row>
    <row r="9" spans="1:10">
      <c r="A9" s="3" t="s">
        <v>1433</v>
      </c>
      <c r="B9" s="4">
        <v>20</v>
      </c>
      <c r="C9" s="4">
        <v>10</v>
      </c>
      <c r="D9" s="4">
        <v>10</v>
      </c>
      <c r="E9" s="4">
        <v>5</v>
      </c>
      <c r="G9" s="3" t="s">
        <v>1433</v>
      </c>
      <c r="H9" s="4">
        <v>20</v>
      </c>
      <c r="I9" s="4">
        <v>0</v>
      </c>
      <c r="J9" s="4"/>
    </row>
    <row r="11" spans="1:10">
      <c r="A11" s="1" t="s">
        <v>1441</v>
      </c>
      <c r="B11" s="27" t="s">
        <v>1442</v>
      </c>
      <c r="G11" s="1" t="s">
        <v>1441</v>
      </c>
      <c r="H11" s="2" t="s">
        <v>1443</v>
      </c>
    </row>
    <row r="12" spans="1:10">
      <c r="A12" s="3" t="s">
        <v>1428</v>
      </c>
      <c r="B12" t="s">
        <v>1444</v>
      </c>
      <c r="C12" s="4" t="s">
        <v>1445</v>
      </c>
      <c r="D12" s="4" t="s">
        <v>1446</v>
      </c>
      <c r="G12" s="3" t="s">
        <v>1428</v>
      </c>
      <c r="H12" s="4" t="s">
        <v>760</v>
      </c>
      <c r="I12" s="4" t="s">
        <v>770</v>
      </c>
    </row>
    <row r="13" spans="1:10">
      <c r="A13" s="3" t="s">
        <v>1433</v>
      </c>
      <c r="B13" s="4">
        <v>15</v>
      </c>
      <c r="C13" s="4">
        <v>5</v>
      </c>
      <c r="D13" s="4">
        <v>0</v>
      </c>
      <c r="G13" s="3" t="s">
        <v>1433</v>
      </c>
      <c r="H13" s="4">
        <v>20</v>
      </c>
      <c r="I13" s="4">
        <v>0</v>
      </c>
    </row>
    <row r="15" spans="1:10">
      <c r="A15" s="1" t="s">
        <v>1447</v>
      </c>
      <c r="B15" s="2" t="s">
        <v>1448</v>
      </c>
      <c r="G15" s="1" t="s">
        <v>1447</v>
      </c>
      <c r="H15" s="2" t="s">
        <v>1442</v>
      </c>
    </row>
    <row r="16" spans="1:10">
      <c r="A16" s="3" t="s">
        <v>1428</v>
      </c>
      <c r="B16" s="4" t="s">
        <v>760</v>
      </c>
      <c r="C16" s="4" t="s">
        <v>770</v>
      </c>
      <c r="D16" s="4"/>
      <c r="G16" s="3" t="s">
        <v>1428</v>
      </c>
      <c r="H16" s="4" t="s">
        <v>1444</v>
      </c>
      <c r="I16" s="4" t="s">
        <v>1445</v>
      </c>
      <c r="J16" s="4" t="s">
        <v>1446</v>
      </c>
    </row>
    <row r="17" spans="1:10">
      <c r="A17" s="3" t="s">
        <v>1433</v>
      </c>
      <c r="B17" s="4">
        <v>15</v>
      </c>
      <c r="C17" s="4">
        <v>0</v>
      </c>
      <c r="D17" s="4"/>
      <c r="G17" s="3" t="s">
        <v>1433</v>
      </c>
      <c r="H17" s="4">
        <v>20</v>
      </c>
      <c r="I17" s="4">
        <v>10</v>
      </c>
      <c r="J17" s="4">
        <v>0</v>
      </c>
    </row>
    <row r="19" spans="1:10">
      <c r="A19" s="1" t="s">
        <v>1449</v>
      </c>
      <c r="B19" s="2" t="s">
        <v>1450</v>
      </c>
      <c r="G19" s="1" t="s">
        <v>1449</v>
      </c>
      <c r="H19" s="2" t="s">
        <v>1451</v>
      </c>
    </row>
    <row r="20" spans="1:10">
      <c r="A20" s="3" t="s">
        <v>1428</v>
      </c>
      <c r="B20" s="4" t="s">
        <v>760</v>
      </c>
      <c r="C20" s="4" t="s">
        <v>770</v>
      </c>
      <c r="G20" s="3" t="s">
        <v>1428</v>
      </c>
      <c r="H20" s="4" t="s">
        <v>13</v>
      </c>
      <c r="I20" s="4" t="s">
        <v>1452</v>
      </c>
      <c r="J20" s="4" t="s">
        <v>15</v>
      </c>
    </row>
    <row r="21" spans="1:10">
      <c r="A21" s="3" t="s">
        <v>1433</v>
      </c>
      <c r="B21" s="4">
        <v>15</v>
      </c>
      <c r="C21" s="4">
        <v>0</v>
      </c>
      <c r="G21" s="3" t="s">
        <v>1433</v>
      </c>
      <c r="H21" s="4">
        <v>20</v>
      </c>
      <c r="I21" s="4">
        <v>10</v>
      </c>
      <c r="J21" s="4">
        <v>0</v>
      </c>
    </row>
    <row r="23" spans="1:10">
      <c r="A23" s="1" t="s">
        <v>1453</v>
      </c>
      <c r="B23" s="2" t="s">
        <v>1454</v>
      </c>
    </row>
    <row r="24" spans="1:10">
      <c r="A24" s="3" t="s">
        <v>1428</v>
      </c>
      <c r="B24" s="4" t="s">
        <v>760</v>
      </c>
      <c r="C24" s="4" t="s">
        <v>770</v>
      </c>
      <c r="D24" s="4"/>
      <c r="J24" s="4"/>
    </row>
    <row r="25" spans="1:10">
      <c r="A25" s="3" t="s">
        <v>1433</v>
      </c>
      <c r="B25" s="4">
        <v>10</v>
      </c>
      <c r="C25" s="4">
        <v>0</v>
      </c>
      <c r="D25" s="4"/>
      <c r="J25" s="4"/>
    </row>
    <row r="27" spans="1:10">
      <c r="A27" s="1" t="s">
        <v>1455</v>
      </c>
      <c r="B27" s="2" t="s">
        <v>1456</v>
      </c>
    </row>
    <row r="28" spans="1:10">
      <c r="A28" s="3" t="s">
        <v>1428</v>
      </c>
      <c r="B28" s="4" t="s">
        <v>760</v>
      </c>
      <c r="C28" s="4" t="s">
        <v>770</v>
      </c>
    </row>
    <row r="29" spans="1:10">
      <c r="A29" s="3" t="s">
        <v>1433</v>
      </c>
      <c r="B29" s="4">
        <v>10</v>
      </c>
      <c r="C29" s="4">
        <v>0</v>
      </c>
    </row>
    <row r="31" spans="1:10">
      <c r="A31" s="1" t="s">
        <v>1457</v>
      </c>
      <c r="B31" s="2" t="s">
        <v>1451</v>
      </c>
    </row>
    <row r="32" spans="1:10">
      <c r="A32" s="3" t="s">
        <v>1428</v>
      </c>
      <c r="B32" s="4" t="s">
        <v>13</v>
      </c>
      <c r="C32" s="4" t="s">
        <v>15</v>
      </c>
    </row>
    <row r="33" spans="1:3">
      <c r="A33" s="3" t="s">
        <v>1433</v>
      </c>
      <c r="B33" s="4">
        <v>15</v>
      </c>
      <c r="C33" s="4">
        <v>0</v>
      </c>
    </row>
  </sheetData>
  <mergeCells count="2">
    <mergeCell ref="G1:J1"/>
    <mergeCell ref="A1:E1"/>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5320B-7D16-4FEB-8FEB-22E07DFA6955}">
  <dimension ref="A2:C8"/>
  <sheetViews>
    <sheetView workbookViewId="0">
      <selection activeCell="A6" sqref="A6:C6"/>
    </sheetView>
  </sheetViews>
  <sheetFormatPr defaultRowHeight="15"/>
  <cols>
    <col min="1" max="3" width="15.140625" customWidth="1"/>
  </cols>
  <sheetData>
    <row r="2" spans="1:3">
      <c r="A2" s="119" t="s">
        <v>1458</v>
      </c>
      <c r="B2" s="119"/>
      <c r="C2" s="119"/>
    </row>
    <row r="3" spans="1:3">
      <c r="A3" s="121" t="s">
        <v>1459</v>
      </c>
      <c r="B3" s="120" t="s">
        <v>1460</v>
      </c>
      <c r="C3" s="120"/>
    </row>
    <row r="4" spans="1:3">
      <c r="A4" s="122"/>
      <c r="B4" s="6" t="s">
        <v>5</v>
      </c>
      <c r="C4" s="6" t="s">
        <v>6</v>
      </c>
    </row>
    <row r="5" spans="1:3">
      <c r="A5" s="4" t="s">
        <v>9</v>
      </c>
      <c r="B5" s="4" t="s">
        <v>1461</v>
      </c>
      <c r="C5" s="4" t="s">
        <v>1462</v>
      </c>
    </row>
    <row r="6" spans="1:3">
      <c r="A6" s="4" t="s">
        <v>13</v>
      </c>
      <c r="B6" s="4" t="s">
        <v>1463</v>
      </c>
      <c r="C6" s="4" t="s">
        <v>1464</v>
      </c>
    </row>
    <row r="7" spans="1:3">
      <c r="A7" s="4" t="s">
        <v>14</v>
      </c>
      <c r="B7" s="4" t="s">
        <v>1465</v>
      </c>
      <c r="C7" s="4" t="s">
        <v>1466</v>
      </c>
    </row>
    <row r="8" spans="1:3">
      <c r="A8" s="4" t="s">
        <v>15</v>
      </c>
      <c r="B8" s="4" t="s">
        <v>1467</v>
      </c>
      <c r="C8" s="4" t="s">
        <v>1468</v>
      </c>
    </row>
  </sheetData>
  <mergeCells count="3">
    <mergeCell ref="B3:C3"/>
    <mergeCell ref="A2:C2"/>
    <mergeCell ref="A3:A4"/>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C61C35405610D4F935833E55DC15577" ma:contentTypeVersion="15" ma:contentTypeDescription="Crie um novo documento." ma:contentTypeScope="" ma:versionID="47d50944208328d624b4b5dde74ef3f9">
  <xsd:schema xmlns:xsd="http://www.w3.org/2001/XMLSchema" xmlns:xs="http://www.w3.org/2001/XMLSchema" xmlns:p="http://schemas.microsoft.com/office/2006/metadata/properties" xmlns:ns3="adc70cac-8545-47b7-a261-82d69e6fcca6" xmlns:ns4="5d55b19c-0386-4dff-a730-2149a0284772" targetNamespace="http://schemas.microsoft.com/office/2006/metadata/properties" ma:root="true" ma:fieldsID="f12b118c3348c9ecda710c15958ab482" ns3:_="" ns4:_="">
    <xsd:import namespace="adc70cac-8545-47b7-a261-82d69e6fcca6"/>
    <xsd:import namespace="5d55b19c-0386-4dff-a730-2149a028477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c70cac-8545-47b7-a261-82d69e6fcc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55b19c-0386-4dff-a730-2149a0284772"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SharingHintHash" ma:index="18"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activity xmlns="adc70cac-8545-47b7-a261-82d69e6fcca6" xsi:nil="true"/>
  </documentManagement>
</p:properties>
</file>

<file path=customXml/itemProps1.xml><?xml version="1.0" encoding="utf-8"?>
<ds:datastoreItem xmlns:ds="http://schemas.openxmlformats.org/officeDocument/2006/customXml" ds:itemID="{8A9E584F-9AEE-48EF-A9DF-D30AE344C7BD}"/>
</file>

<file path=customXml/itemProps2.xml><?xml version="1.0" encoding="utf-8"?>
<ds:datastoreItem xmlns:ds="http://schemas.openxmlformats.org/officeDocument/2006/customXml" ds:itemID="{34FFCA0C-2673-4C68-B141-93FFE53670D1}"/>
</file>

<file path=customXml/itemProps3.xml><?xml version="1.0" encoding="utf-8"?>
<ds:datastoreItem xmlns:ds="http://schemas.openxmlformats.org/officeDocument/2006/customXml" ds:itemID="{E0189B59-06FC-466A-AC9B-DE7E0549CB94}"/>
</file>

<file path=customXml/itemProps4.xml><?xml version="1.0" encoding="utf-8"?>
<ds:datastoreItem xmlns:ds="http://schemas.openxmlformats.org/officeDocument/2006/customXml" ds:itemID="{3F613A65-F910-4F47-A469-4F35A755E8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
  <cp:revision/>
  <dcterms:created xsi:type="dcterms:W3CDTF">2016-07-06T08:22:49Z</dcterms:created>
  <dcterms:modified xsi:type="dcterms:W3CDTF">2026-08-13T10:02:21Z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0x0101006C61C35405610D4F935833E55DC15577</vt:lpwstr>
  </property>
</Properties>
</file>
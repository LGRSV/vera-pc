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nergisa-my.sharepoint.com/personal/joao_lagares_energisa_com_br/Documents/"/>
    </mc:Choice>
  </mc:AlternateContent>
  <xr:revisionPtr revIDLastSave="293" documentId="8_{602C67B5-05CC-4CF4-BAE7-DF62510037BE}" xr6:coauthVersionLast="47" xr6:coauthVersionMax="47" xr10:uidLastSave="{D4781F11-10D9-4F08-A16B-AD80FE3D5062}"/>
  <bookViews>
    <workbookView xWindow="-28920" yWindow="-120" windowWidth="29040" windowHeight="15720" tabRatio="500" xr2:uid="{00000000-000D-0000-FFFF-FFFF00000000}"/>
  </bookViews>
  <sheets>
    <sheet name="Dinâmica" sheetId="1" r:id="rId1"/>
    <sheet name="Premissas e Preços" sheetId="3" r:id="rId2"/>
    <sheet name="Detalhe Religadores" sheetId="4" r:id="rId3"/>
    <sheet name="dSeg_Territorial (3)" sheetId="12" r:id="rId4"/>
    <sheet name="Reguladores" sheetId="5" r:id="rId5"/>
    <sheet name="Em Análise" sheetId="6" r:id="rId6"/>
    <sheet name="Repassados" sheetId="7" r:id="rId7"/>
    <sheet name="Banco de capacitor" sheetId="8" r:id="rId8"/>
    <sheet name="Celulas_por_Equip" sheetId="9" r:id="rId9"/>
    <sheet name="Planilha1" sheetId="13" r:id="rId10"/>
    <sheet name="Observacoes" sheetId="10" r:id="rId11"/>
  </sheets>
  <externalReferences>
    <externalReference r:id="rId12"/>
    <externalReference r:id="rId13"/>
  </externalReferences>
  <definedNames>
    <definedName name="_xlnm._FilterDatabase" localSheetId="2" hidden="1">'Detalhe Religadores'!$A$4:$T$65</definedName>
    <definedName name="_xlnm._FilterDatabase" localSheetId="3" hidden="1">'dSeg_Territorial (3)'!$A$1:$J$147</definedName>
    <definedName name="_xlnm._FilterDatabase" localSheetId="9" hidden="1">Planilha1!$A$1:$L$13</definedName>
    <definedName name="_xlnm._FilterDatabase" localSheetId="4" hidden="1">Reguladores!$A$4:$R$18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1" i="13" l="1"/>
  <c r="J2" i="13"/>
  <c r="J10" i="13"/>
  <c r="B17" i="1" l="1"/>
  <c r="F6" i="4"/>
  <c r="F7" i="4"/>
  <c r="F8" i="4"/>
  <c r="F34" i="4"/>
  <c r="F50" i="4"/>
  <c r="F9" i="4"/>
  <c r="F10" i="4"/>
  <c r="F51" i="4"/>
  <c r="F53" i="4"/>
  <c r="F61" i="4"/>
  <c r="F11" i="4"/>
  <c r="F17" i="4"/>
  <c r="F12" i="4"/>
  <c r="F19" i="4"/>
  <c r="F20" i="4"/>
  <c r="F21" i="4"/>
  <c r="F22" i="4"/>
  <c r="F23" i="4"/>
  <c r="F24" i="4"/>
  <c r="F25" i="4"/>
  <c r="F26" i="4"/>
  <c r="F28" i="4"/>
  <c r="F29" i="4"/>
  <c r="F30" i="4"/>
  <c r="F31" i="4"/>
  <c r="F32" i="4"/>
  <c r="F33" i="4"/>
  <c r="F1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15" i="4"/>
  <c r="F16" i="4"/>
  <c r="F52" i="4"/>
  <c r="F18" i="4"/>
  <c r="F54" i="4"/>
  <c r="F55" i="4"/>
  <c r="F56" i="4"/>
  <c r="F57" i="4"/>
  <c r="F58" i="4"/>
  <c r="F59" i="4"/>
  <c r="F60" i="4"/>
  <c r="F62" i="4"/>
  <c r="F27" i="4"/>
  <c r="F63" i="4"/>
  <c r="F64" i="4"/>
  <c r="F5" i="4"/>
  <c r="J6" i="1"/>
  <c r="J5" i="1"/>
  <c r="H7" i="1"/>
  <c r="H8" i="1"/>
  <c r="P17" i="5"/>
  <c r="C7" i="1" s="1"/>
  <c r="O16" i="5"/>
  <c r="Q16" i="5" s="1"/>
  <c r="O12" i="5"/>
  <c r="O9" i="5"/>
  <c r="Q9" i="5" s="1"/>
  <c r="O15" i="5"/>
  <c r="Q15" i="5" s="1"/>
  <c r="O5" i="5"/>
  <c r="C48" i="1" s="1"/>
  <c r="O14" i="5"/>
  <c r="Q14" i="5" s="1"/>
  <c r="O11" i="5"/>
  <c r="Q11" i="5" s="1"/>
  <c r="O8" i="5"/>
  <c r="Q8" i="5" s="1"/>
  <c r="O13" i="5"/>
  <c r="O7" i="5"/>
  <c r="Q7" i="5" s="1"/>
  <c r="O6" i="5"/>
  <c r="Q6" i="5" s="1"/>
  <c r="O10" i="5"/>
  <c r="Q10" i="5" s="1"/>
  <c r="N64" i="4"/>
  <c r="L64" i="4"/>
  <c r="M64" i="4" s="1"/>
  <c r="N63" i="4"/>
  <c r="L63" i="4"/>
  <c r="M63" i="4" s="1"/>
  <c r="N27" i="4"/>
  <c r="L27" i="4"/>
  <c r="M27" i="4" s="1"/>
  <c r="N62" i="4"/>
  <c r="L62" i="4"/>
  <c r="M62" i="4" s="1"/>
  <c r="N60" i="4"/>
  <c r="D26" i="1" s="1"/>
  <c r="L60" i="4"/>
  <c r="M60" i="4" s="1"/>
  <c r="N59" i="4"/>
  <c r="L59" i="4"/>
  <c r="M59" i="4" s="1"/>
  <c r="N58" i="4"/>
  <c r="L58" i="4"/>
  <c r="M58" i="4" s="1"/>
  <c r="N57" i="4"/>
  <c r="L57" i="4"/>
  <c r="M57" i="4" s="1"/>
  <c r="N56" i="4"/>
  <c r="L56" i="4"/>
  <c r="M56" i="4" s="1"/>
  <c r="N55" i="4"/>
  <c r="L55" i="4"/>
  <c r="M55" i="4" s="1"/>
  <c r="N54" i="4"/>
  <c r="L54" i="4"/>
  <c r="M54" i="4" s="1"/>
  <c r="N18" i="4"/>
  <c r="L18" i="4"/>
  <c r="M18" i="4" s="1"/>
  <c r="N52" i="4"/>
  <c r="L52" i="4"/>
  <c r="M52" i="4" s="1"/>
  <c r="N16" i="4"/>
  <c r="L16" i="4"/>
  <c r="M16" i="4" s="1"/>
  <c r="N15" i="4"/>
  <c r="L15" i="4"/>
  <c r="M15" i="4" s="1"/>
  <c r="N49" i="4"/>
  <c r="L49" i="4"/>
  <c r="M49" i="4" s="1"/>
  <c r="N48" i="4"/>
  <c r="L48" i="4"/>
  <c r="M48" i="4" s="1"/>
  <c r="N47" i="4"/>
  <c r="L47" i="4"/>
  <c r="M47" i="4" s="1"/>
  <c r="N46" i="4"/>
  <c r="L46" i="4"/>
  <c r="M46" i="4" s="1"/>
  <c r="N45" i="4"/>
  <c r="L45" i="4"/>
  <c r="M45" i="4" s="1"/>
  <c r="N44" i="4"/>
  <c r="L44" i="4"/>
  <c r="M44" i="4" s="1"/>
  <c r="N43" i="4"/>
  <c r="L43" i="4"/>
  <c r="M43" i="4" s="1"/>
  <c r="N42" i="4"/>
  <c r="L42" i="4"/>
  <c r="M42" i="4" s="1"/>
  <c r="N41" i="4"/>
  <c r="L41" i="4"/>
  <c r="M41" i="4" s="1"/>
  <c r="N40" i="4"/>
  <c r="L40" i="4"/>
  <c r="M40" i="4" s="1"/>
  <c r="N39" i="4"/>
  <c r="L39" i="4"/>
  <c r="M39" i="4" s="1"/>
  <c r="N38" i="4"/>
  <c r="L38" i="4"/>
  <c r="M38" i="4" s="1"/>
  <c r="N37" i="4"/>
  <c r="L37" i="4"/>
  <c r="M37" i="4" s="1"/>
  <c r="N36" i="4"/>
  <c r="L36" i="4"/>
  <c r="M36" i="4" s="1"/>
  <c r="N35" i="4"/>
  <c r="L35" i="4"/>
  <c r="M35" i="4" s="1"/>
  <c r="N14" i="4"/>
  <c r="L14" i="4"/>
  <c r="M14" i="4" s="1"/>
  <c r="N33" i="4"/>
  <c r="L33" i="4"/>
  <c r="M33" i="4" s="1"/>
  <c r="N32" i="4"/>
  <c r="L32" i="4"/>
  <c r="M32" i="4" s="1"/>
  <c r="N31" i="4"/>
  <c r="L31" i="4"/>
  <c r="M31" i="4" s="1"/>
  <c r="N30" i="4"/>
  <c r="L30" i="4"/>
  <c r="M30" i="4" s="1"/>
  <c r="N29" i="4"/>
  <c r="L29" i="4"/>
  <c r="M29" i="4" s="1"/>
  <c r="N28" i="4"/>
  <c r="L28" i="4"/>
  <c r="M28" i="4" s="1"/>
  <c r="N13" i="4"/>
  <c r="L13" i="4"/>
  <c r="M13" i="4" s="1"/>
  <c r="N26" i="4"/>
  <c r="L26" i="4"/>
  <c r="M26" i="4" s="1"/>
  <c r="N25" i="4"/>
  <c r="L25" i="4"/>
  <c r="M25" i="4" s="1"/>
  <c r="N24" i="4"/>
  <c r="L24" i="4"/>
  <c r="M24" i="4" s="1"/>
  <c r="N23" i="4"/>
  <c r="L23" i="4"/>
  <c r="M23" i="4" s="1"/>
  <c r="N22" i="4"/>
  <c r="L22" i="4"/>
  <c r="M22" i="4" s="1"/>
  <c r="N21" i="4"/>
  <c r="L21" i="4"/>
  <c r="M21" i="4" s="1"/>
  <c r="N20" i="4"/>
  <c r="L20" i="4"/>
  <c r="M20" i="4" s="1"/>
  <c r="N19" i="4"/>
  <c r="L19" i="4"/>
  <c r="M19" i="4" s="1"/>
  <c r="N12" i="4"/>
  <c r="L12" i="4"/>
  <c r="M12" i="4" s="1"/>
  <c r="N17" i="4"/>
  <c r="L17" i="4"/>
  <c r="M17" i="4" s="1"/>
  <c r="N11" i="4"/>
  <c r="L11" i="4"/>
  <c r="M11" i="4" s="1"/>
  <c r="N61" i="4"/>
  <c r="L61" i="4"/>
  <c r="M61" i="4" s="1"/>
  <c r="N53" i="4"/>
  <c r="L53" i="4"/>
  <c r="M53" i="4" s="1"/>
  <c r="N51" i="4"/>
  <c r="L51" i="4"/>
  <c r="M51" i="4" s="1"/>
  <c r="N10" i="4"/>
  <c r="L10" i="4"/>
  <c r="M10" i="4" s="1"/>
  <c r="N9" i="4"/>
  <c r="L9" i="4"/>
  <c r="M9" i="4" s="1"/>
  <c r="N50" i="4"/>
  <c r="L50" i="4"/>
  <c r="M50" i="4" s="1"/>
  <c r="N34" i="4"/>
  <c r="L34" i="4"/>
  <c r="M34" i="4" s="1"/>
  <c r="N8" i="4"/>
  <c r="L8" i="4"/>
  <c r="M8" i="4" s="1"/>
  <c r="N7" i="4"/>
  <c r="L7" i="4"/>
  <c r="M7" i="4" s="1"/>
  <c r="N6" i="4"/>
  <c r="L6" i="4"/>
  <c r="M6" i="4" s="1"/>
  <c r="N5" i="4"/>
  <c r="L5" i="4"/>
  <c r="M5" i="4" s="1"/>
  <c r="B63" i="1"/>
  <c r="B62" i="1"/>
  <c r="D58" i="1"/>
  <c r="B58" i="1"/>
  <c r="D57" i="1"/>
  <c r="B57" i="1"/>
  <c r="D52" i="1"/>
  <c r="B52" i="1"/>
  <c r="D51" i="1"/>
  <c r="B51" i="1"/>
  <c r="D50" i="1"/>
  <c r="B50" i="1"/>
  <c r="D49" i="1"/>
  <c r="B49" i="1"/>
  <c r="D48" i="1"/>
  <c r="B48" i="1"/>
  <c r="D43" i="1"/>
  <c r="B43" i="1"/>
  <c r="D42" i="1"/>
  <c r="B42" i="1"/>
  <c r="B36" i="1"/>
  <c r="B35" i="1"/>
  <c r="B34" i="1"/>
  <c r="B33" i="1"/>
  <c r="B32" i="1"/>
  <c r="B27" i="1"/>
  <c r="B26" i="1"/>
  <c r="B25" i="1"/>
  <c r="B24" i="1"/>
  <c r="B23" i="1"/>
  <c r="B22" i="1"/>
  <c r="B16" i="1"/>
  <c r="B15" i="1"/>
  <c r="B14" i="1"/>
  <c r="E7" i="1"/>
  <c r="E9" i="1" s="1"/>
  <c r="T51" i="4" l="1"/>
  <c r="T17" i="4"/>
  <c r="T21" i="4"/>
  <c r="T25" i="4"/>
  <c r="T29" i="4"/>
  <c r="T33" i="4"/>
  <c r="T41" i="4"/>
  <c r="E50" i="1"/>
  <c r="T20" i="4"/>
  <c r="T24" i="4"/>
  <c r="T28" i="4"/>
  <c r="T32" i="4"/>
  <c r="T36" i="4"/>
  <c r="T40" i="4"/>
  <c r="T48" i="4"/>
  <c r="T50" i="4"/>
  <c r="T53" i="4"/>
  <c r="T42" i="4"/>
  <c r="T46" i="4"/>
  <c r="T15" i="4"/>
  <c r="T58" i="4"/>
  <c r="T27" i="4"/>
  <c r="C49" i="1"/>
  <c r="C50" i="1"/>
  <c r="D44" i="1"/>
  <c r="B44" i="1"/>
  <c r="B59" i="1"/>
  <c r="E49" i="1"/>
  <c r="C52" i="1"/>
  <c r="D59" i="1"/>
  <c r="Q12" i="5"/>
  <c r="E52" i="1" s="1"/>
  <c r="C57" i="1"/>
  <c r="D53" i="1"/>
  <c r="O17" i="5"/>
  <c r="B7" i="1" s="1"/>
  <c r="D7" i="1" s="1"/>
  <c r="D25" i="1"/>
  <c r="D33" i="1"/>
  <c r="D17" i="1"/>
  <c r="T9" i="4"/>
  <c r="T61" i="4"/>
  <c r="T19" i="4"/>
  <c r="T23" i="4"/>
  <c r="T13" i="4"/>
  <c r="T31" i="4"/>
  <c r="T35" i="4"/>
  <c r="T16" i="4"/>
  <c r="T55" i="4"/>
  <c r="T59" i="4"/>
  <c r="T63" i="4"/>
  <c r="T52" i="4"/>
  <c r="T56" i="4"/>
  <c r="T64" i="4"/>
  <c r="D16" i="1"/>
  <c r="T11" i="4"/>
  <c r="T39" i="4"/>
  <c r="T43" i="4"/>
  <c r="T47" i="4"/>
  <c r="D15" i="1"/>
  <c r="D14" i="1"/>
  <c r="D32" i="1"/>
  <c r="D23" i="1"/>
  <c r="D34" i="1"/>
  <c r="T37" i="4"/>
  <c r="T45" i="4"/>
  <c r="T49" i="4"/>
  <c r="D36" i="1"/>
  <c r="T26" i="4"/>
  <c r="T30" i="4"/>
  <c r="T14" i="4"/>
  <c r="T18" i="4"/>
  <c r="T57" i="4"/>
  <c r="T62" i="4"/>
  <c r="N65" i="4"/>
  <c r="B28" i="1"/>
  <c r="D22" i="1"/>
  <c r="D35" i="1"/>
  <c r="B18" i="1"/>
  <c r="B37" i="1"/>
  <c r="T44" i="4"/>
  <c r="B53" i="1"/>
  <c r="D27" i="1"/>
  <c r="D24" i="1"/>
  <c r="T22" i="4"/>
  <c r="T38" i="4"/>
  <c r="T54" i="4"/>
  <c r="C17" i="1"/>
  <c r="C24" i="1"/>
  <c r="T6" i="4"/>
  <c r="C36" i="1"/>
  <c r="T7" i="4"/>
  <c r="C34" i="1"/>
  <c r="T12" i="4"/>
  <c r="C15" i="1"/>
  <c r="C33" i="1"/>
  <c r="C22" i="1"/>
  <c r="T8" i="4"/>
  <c r="T10" i="4"/>
  <c r="C23" i="1"/>
  <c r="C26" i="1"/>
  <c r="T60" i="4"/>
  <c r="E26" i="1" s="1"/>
  <c r="T5" i="4"/>
  <c r="C35" i="1"/>
  <c r="C14" i="1"/>
  <c r="M65" i="4"/>
  <c r="C27" i="1"/>
  <c r="T34" i="4"/>
  <c r="C32" i="1"/>
  <c r="C25" i="1"/>
  <c r="C42" i="1"/>
  <c r="C51" i="1"/>
  <c r="C58" i="1"/>
  <c r="Q13" i="5"/>
  <c r="Q5" i="5"/>
  <c r="C16" i="1"/>
  <c r="C43" i="1"/>
  <c r="C53" i="1" l="1"/>
  <c r="E25" i="1"/>
  <c r="E17" i="1"/>
  <c r="C59" i="1"/>
  <c r="C37" i="1"/>
  <c r="E15" i="1"/>
  <c r="E32" i="1"/>
  <c r="D18" i="1"/>
  <c r="D37" i="1"/>
  <c r="E34" i="1"/>
  <c r="C6" i="1"/>
  <c r="C9" i="1" s="1"/>
  <c r="E14" i="1"/>
  <c r="D28" i="1"/>
  <c r="E23" i="1"/>
  <c r="C18" i="1"/>
  <c r="B6" i="1"/>
  <c r="B9" i="1" s="1"/>
  <c r="C44" i="1"/>
  <c r="E16" i="1"/>
  <c r="E33" i="1"/>
  <c r="E22" i="1"/>
  <c r="E48" i="1"/>
  <c r="E58" i="1"/>
  <c r="E43" i="1"/>
  <c r="E35" i="1"/>
  <c r="E27" i="1"/>
  <c r="T65" i="4"/>
  <c r="C28" i="1"/>
  <c r="E24" i="1"/>
  <c r="E36" i="1"/>
  <c r="E57" i="1"/>
  <c r="E51" i="1"/>
  <c r="E42" i="1"/>
  <c r="Q17" i="5"/>
  <c r="E44" i="1" l="1"/>
  <c r="E59" i="1"/>
  <c r="E18" i="1"/>
  <c r="E37" i="1"/>
  <c r="D6" i="1"/>
  <c r="D9" i="1" s="1"/>
  <c r="E53" i="1"/>
  <c r="E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tc={DAAAF77A-0340-45BF-AFFF-13F49071B1D0}</author>
    <author>tc={53C6EAC3-0B44-493D-A671-BF05D67FCD51}</author>
    <author>tc={DE694A0C-3C21-4099-9678-7F182232ADA2}</author>
  </authors>
  <commentList>
    <comment ref="A12" authorId="0" shapeId="0" xr:uid="{DAAAF77A-0340-45BF-AFFF-13F49071B1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está no BI , mas está no nosso posto</t>
      </text>
    </comment>
    <comment ref="A14" authorId="1" shapeId="0" xr:uid="{53C6EAC3-0B44-493D-A671-BF05D67FCD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Avançando só deslocando</t>
      </text>
    </comment>
    <comment ref="A22" authorId="2" shapeId="0" xr:uid="{DE694A0C-3C21-4099-9678-7F182232AD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 SGM , porém não no BI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tc={877B6D68-E5B0-4FB6-8EEF-6F06BDDFEBE2}</author>
    <author>tc={F863B63E-7DF3-40CB-8E09-065D29D4178D}</author>
    <author>tc={283C5327-C857-4C26-92BA-932F371529EA}</author>
  </authors>
  <commentList>
    <comment ref="B2" authorId="0" shapeId="0" xr:uid="{877B6D68-E5B0-4FB6-8EEF-6F06BDDFEB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Daria para consertar , levar para definição pois não tem criticidade</t>
      </text>
    </comment>
    <comment ref="B3" authorId="1" shapeId="0" xr:uid="{F863B63E-7DF3-40CB-8E09-065D29D417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Levar para definição, pois não tem criticidade</t>
      </text>
    </comment>
    <comment ref="A11" authorId="2" shapeId="0" xr:uid="{283C5327-C857-4C26-92BA-932F371529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Confirmar Lara</t>
      </text>
    </comment>
  </commentList>
</comments>
</file>

<file path=xl/sharedStrings.xml><?xml version="1.0" encoding="utf-8"?>
<sst xmlns="http://schemas.openxmlformats.org/spreadsheetml/2006/main" count="3313" uniqueCount="1011">
  <si>
    <t>DINÂMICA — ORÇAMENTO EQUIPAMENTOS ESPECIAIS</t>
  </si>
  <si>
    <t>Custo para consertar, por projeto (religador / regulador / banco de capacitor) e total geral.</t>
  </si>
  <si>
    <t>ORÇAMENTO POR PROJETO (custo para consertar)</t>
  </si>
  <si>
    <t>8495 -Religador</t>
  </si>
  <si>
    <t>8481- regulador</t>
  </si>
  <si>
    <t>Total</t>
  </si>
  <si>
    <t>Projeto</t>
  </si>
  <si>
    <t>Material (R$)</t>
  </si>
  <si>
    <t>Mão de Obra (R$)</t>
  </si>
  <si>
    <t>Custo Total (R$)</t>
  </si>
  <si>
    <t>Nº SS</t>
  </si>
  <si>
    <t>Orçado</t>
  </si>
  <si>
    <t>Religadores</t>
  </si>
  <si>
    <t>Realizado</t>
  </si>
  <si>
    <t>Reguladores</t>
  </si>
  <si>
    <t>N1</t>
  </si>
  <si>
    <t>Banco de capacitor</t>
  </si>
  <si>
    <t>(a definir)</t>
  </si>
  <si>
    <t>N3</t>
  </si>
  <si>
    <t>TOTAL GERAL</t>
  </si>
  <si>
    <t>═══ RELIGADORES ═══</t>
  </si>
  <si>
    <t>Religadores — por status de tratativa</t>
  </si>
  <si>
    <t>Em tratativa - N1 (pendente)</t>
  </si>
  <si>
    <t>Em tratativa - N3 (concluído)</t>
  </si>
  <si>
    <t>Para avançar</t>
  </si>
  <si>
    <t>Reavaliar</t>
  </si>
  <si>
    <t>TOTAL</t>
  </si>
  <si>
    <t>Religadores — por categoria</t>
  </si>
  <si>
    <t>Equipamento completo</t>
  </si>
  <si>
    <t>Parte ativa (Tanque)</t>
  </si>
  <si>
    <t>Controle completo</t>
  </si>
  <si>
    <t>Placa de alimentação CA</t>
  </si>
  <si>
    <t>Relé</t>
  </si>
  <si>
    <t>Componentes/Acessórios</t>
  </si>
  <si>
    <t>Religadores — por criticidade</t>
  </si>
  <si>
    <t>Muito Alta</t>
  </si>
  <si>
    <t>Alta</t>
  </si>
  <si>
    <t>Média</t>
  </si>
  <si>
    <t>Baixa</t>
  </si>
  <si>
    <t>Falta definir</t>
  </si>
  <si>
    <t>═══ REGULADORES ═══</t>
  </si>
  <si>
    <t>Reguladores — por categoria</t>
  </si>
  <si>
    <t>Célula de regulador</t>
  </si>
  <si>
    <t>Reguladores — por criticidade</t>
  </si>
  <si>
    <t>Reguladores — por tensão</t>
  </si>
  <si>
    <t>13,8</t>
  </si>
  <si>
    <t>34,5</t>
  </si>
  <si>
    <t>Itens com preço a confirmar (amarelo)</t>
  </si>
  <si>
    <t>Religadores — nº de itens</t>
  </si>
  <si>
    <t>Reguladores — nº a verificar (kVA)</t>
  </si>
  <si>
    <t>• Orçamento por projeto = custo de material + mão de obra para consertar cada família de equipamento.</t>
  </si>
  <si>
    <t>• Banco de capacitor: deixado em branco propositalmente (a definir).</t>
  </si>
  <si>
    <t>• Tratativa (religadores): N1 = Planilha3 "Pendente"; N3 = Planilha3 "Concluída" (ambos já em tratativa); "Para avançar" = não iniciados.</t>
  </si>
  <si>
    <t>• Reguladores: material por célula (regulador completo = 3 células). 3 códigos sem base têm kVA a confirmar.</t>
  </si>
  <si>
    <t>• Mão de obra (campo): religador R$ 11.016,94 (13,8) / R$ 13.209,34 (34,5); regulador R$ 51.402,14 (13,8) / R$ 80.318,50 (34,5).</t>
  </si>
  <si>
    <t>PREMISSAS E PREÇOS UNITÁRIOS</t>
  </si>
  <si>
    <t>Fonte: abas "Religadores"/"Reguladores" e "VALOR EM ESTOQUE". Altere aqui para recalcular tudo.</t>
  </si>
  <si>
    <t>1) Preço por categoria (religadores)</t>
  </si>
  <si>
    <t>Categoria</t>
  </si>
  <si>
    <t>Tensão (kV)</t>
  </si>
  <si>
    <t>Valor Unitário</t>
  </si>
  <si>
    <t>Composição</t>
  </si>
  <si>
    <t>Códigos</t>
  </si>
  <si>
    <t>Religador + Controle</t>
  </si>
  <si>
    <t>690001 + 690916</t>
  </si>
  <si>
    <t>690005 + 692263</t>
  </si>
  <si>
    <t>Só religador</t>
  </si>
  <si>
    <t>690001</t>
  </si>
  <si>
    <t>690005</t>
  </si>
  <si>
    <t>Só controle</t>
  </si>
  <si>
    <t>690916</t>
  </si>
  <si>
    <t>692263</t>
  </si>
  <si>
    <t>2) Preço de itens granulares (por SS) — buscados na aba VALOR EM ESTOQUE</t>
  </si>
  <si>
    <t>SS</t>
  </si>
  <si>
    <t>Cód. Material</t>
  </si>
  <si>
    <t>Descrição (estoque)</t>
  </si>
  <si>
    <t>Confiança</t>
  </si>
  <si>
    <t>ETO-COEP 00057/2026</t>
  </si>
  <si>
    <t>625510</t>
  </si>
  <si>
    <t>RELE PROT MULTIFUN 50/51 (relé do religador)</t>
  </si>
  <si>
    <t>VERIFICAR</t>
  </si>
  <si>
    <t>ETO-COEP 00062/2026</t>
  </si>
  <si>
    <t>647641</t>
  </si>
  <si>
    <t>PLACA RELIGADOR CIRC IMPRESSO RC10</t>
  </si>
  <si>
    <t>ETO-COEP 00063/2026</t>
  </si>
  <si>
    <t>ETO-COEP 00064/2026</t>
  </si>
  <si>
    <t>ETO-COEP 00073/2026</t>
  </si>
  <si>
    <t>90556</t>
  </si>
  <si>
    <t>CHAVE SECC DISTR FACA 36,2KV 630A (fase C)</t>
  </si>
  <si>
    <t>OK</t>
  </si>
  <si>
    <t>ETO-COEP 00085/2026</t>
  </si>
  <si>
    <t>647877+649399</t>
  </si>
  <si>
    <t>Bateria lítio + Rádio GE Orbit (bucha/trafo s/ código)</t>
  </si>
  <si>
    <t>3) Mão de obra — serviço de campo (valor fixo por equipamento/tensão)</t>
  </si>
  <si>
    <t>Fonte: aba BASE INDISPONIBILIDADE (Relação de Equipamentos Indisponíveis ETO), coluna "Custo MO"</t>
  </si>
  <si>
    <t>Equipamento</t>
  </si>
  <si>
    <t>Valor MO</t>
  </si>
  <si>
    <t>Observação</t>
  </si>
  <si>
    <t>Religador</t>
  </si>
  <si>
    <t>Substituição/instalação em campo</t>
  </si>
  <si>
    <t>Regulador</t>
  </si>
  <si>
    <t>Serviço de campo (parte ativa/comissionamento)</t>
  </si>
  <si>
    <t>4) Reguladores — preço POR CÉLULA (material = nº células × preço; completo = 3 células)</t>
  </si>
  <si>
    <t>Código</t>
  </si>
  <si>
    <t>Tensão / kVA</t>
  </si>
  <si>
    <t>R$ por célula</t>
  </si>
  <si>
    <t>690236</t>
  </si>
  <si>
    <t>13,8 / 239 kVA</t>
  </si>
  <si>
    <t>690669</t>
  </si>
  <si>
    <t>13,8 / 167 kVA</t>
  </si>
  <si>
    <t>690240</t>
  </si>
  <si>
    <t>34,5 / 200 kVA</t>
  </si>
  <si>
    <t>690241</t>
  </si>
  <si>
    <t>34,5 / 400 kVA</t>
  </si>
  <si>
    <t>651638</t>
  </si>
  <si>
    <t>Controle de regulador c/ nobreak</t>
  </si>
  <si>
    <t>DETALHE — RELIGADORES (SS PENDENTE)</t>
  </si>
  <si>
    <t>Custo = Qtd × Valor Unitário. Valor Unitário puxado de "Premissas e Preços". Repassados e Em análise estão em abas próprias.</t>
  </si>
  <si>
    <t>Cód. Equip.</t>
  </si>
  <si>
    <t>Localidade</t>
  </si>
  <si>
    <t>Polo</t>
  </si>
  <si>
    <t>Criticidade</t>
  </si>
  <si>
    <t>tempo fora de operação</t>
  </si>
  <si>
    <t>Categoria de Compra</t>
  </si>
  <si>
    <t>Item a Comprar</t>
  </si>
  <si>
    <t>Qtd</t>
  </si>
  <si>
    <t>Custo Material</t>
  </si>
  <si>
    <t>Custo Mão de Obra</t>
  </si>
  <si>
    <t>Status Tratativa</t>
  </si>
  <si>
    <t>OBRA</t>
  </si>
  <si>
    <t>Preço</t>
  </si>
  <si>
    <t>Custo Total (Mat + MO)</t>
  </si>
  <si>
    <t>7938137007</t>
  </si>
  <si>
    <t>Miracema Do Tocantins</t>
  </si>
  <si>
    <t>Bateria, rádio, bucha fase A, trafo serv. auxiliar</t>
  </si>
  <si>
    <t>0212600423</t>
  </si>
  <si>
    <t>ETO-COEP 00068/2026</t>
  </si>
  <si>
    <t>7929376022</t>
  </si>
  <si>
    <t>Babaculandia</t>
  </si>
  <si>
    <t>Araguaina</t>
  </si>
  <si>
    <t>(ver Premissas)</t>
  </si>
  <si>
    <t>ETO-COEP 00156/2025</t>
  </si>
  <si>
    <t>7957126085</t>
  </si>
  <si>
    <t>Monte Santo Do Tocantins</t>
  </si>
  <si>
    <t>Paraiso Do Tocantins</t>
  </si>
  <si>
    <t>Controle completo + cabo BT</t>
  </si>
  <si>
    <t>0212600428</t>
  </si>
  <si>
    <t>ETO-COEP 00080/2026</t>
  </si>
  <si>
    <t>7900573047</t>
  </si>
  <si>
    <t>Figueiropolis</t>
  </si>
  <si>
    <t>Formoso Do Araguaia</t>
  </si>
  <si>
    <t>Religador completo (→ Noja RC10)</t>
  </si>
  <si>
    <t>0412600391</t>
  </si>
  <si>
    <t>ETO-COEP 00184/2025</t>
  </si>
  <si>
    <t>7903112004</t>
  </si>
  <si>
    <t>Religador completo (Cooper Form6 → Noja RC10)</t>
  </si>
  <si>
    <t>ETO-COEP 00036/2026</t>
  </si>
  <si>
    <t>7927169001</t>
  </si>
  <si>
    <t>Porto Nacional</t>
  </si>
  <si>
    <t>Tanque (parte ativa)</t>
  </si>
  <si>
    <t>0112600425</t>
  </si>
  <si>
    <t>ETO-COEP 00222/2025</t>
  </si>
  <si>
    <t>7925087021</t>
  </si>
  <si>
    <t>Parana</t>
  </si>
  <si>
    <t>Peixe</t>
  </si>
  <si>
    <t>0412600392</t>
  </si>
  <si>
    <t>ETO-COEP 00094/2025</t>
  </si>
  <si>
    <t>7934698002</t>
  </si>
  <si>
    <t>Tocantinopolis</t>
  </si>
  <si>
    <t>Controle completo (caixa)</t>
  </si>
  <si>
    <t>0662600265</t>
  </si>
  <si>
    <t>ETO-COEP 00120/2025</t>
  </si>
  <si>
    <t>Palmeiras Do Tocantins</t>
  </si>
  <si>
    <t>Religador completo (→ Noja RC 10)</t>
  </si>
  <si>
    <t>ETO-COEP 00029/2026</t>
  </si>
  <si>
    <t>7927646026</t>
  </si>
  <si>
    <t>Ponte Alta Tocantins</t>
  </si>
  <si>
    <t>Tanque (parte ativa) + isoladores</t>
  </si>
  <si>
    <t>ETO-COEP 00149/2025</t>
  </si>
  <si>
    <t>7955520116</t>
  </si>
  <si>
    <t>Chapada Da Natividade</t>
  </si>
  <si>
    <t>Dianopolis</t>
  </si>
  <si>
    <t>ETO-COEP 00151/2025</t>
  </si>
  <si>
    <t>7930428001</t>
  </si>
  <si>
    <t>7967181127</t>
  </si>
  <si>
    <t>Chave faca fase C</t>
  </si>
  <si>
    <t>ETO-COEP 00181/2025</t>
  </si>
  <si>
    <t>7943790134</t>
  </si>
  <si>
    <t>Esperantina</t>
  </si>
  <si>
    <t>Augustinopolis</t>
  </si>
  <si>
    <t>Tanque (parte ativa) + comunicação</t>
  </si>
  <si>
    <t>0662600266</t>
  </si>
  <si>
    <t>ETO-COEP 00020/2026</t>
  </si>
  <si>
    <t>7908708116</t>
  </si>
  <si>
    <t>Religador completo (tanque + controle)</t>
  </si>
  <si>
    <t>ETO-COEP 00033/2026</t>
  </si>
  <si>
    <t>7947203070</t>
  </si>
  <si>
    <t>Rio Sono</t>
  </si>
  <si>
    <t>Taquaralto</t>
  </si>
  <si>
    <t>Religador completo</t>
  </si>
  <si>
    <t>ETO-COEP 00038/2026</t>
  </si>
  <si>
    <t>7908249152</t>
  </si>
  <si>
    <t>Santa Rosa Do Tocantins</t>
  </si>
  <si>
    <t>Religador completo (parte ativa + controle)</t>
  </si>
  <si>
    <t>ETO-COEP 00042/2026</t>
  </si>
  <si>
    <t>7900505026</t>
  </si>
  <si>
    <t>ETO-COEP 00060/2026</t>
  </si>
  <si>
    <t>7903569004</t>
  </si>
  <si>
    <t>ETO-COEP 00074/2026</t>
  </si>
  <si>
    <t>7919270014</t>
  </si>
  <si>
    <t>Pium</t>
  </si>
  <si>
    <t>ETO-COEP 00102/2025</t>
  </si>
  <si>
    <t>7900532053</t>
  </si>
  <si>
    <t>Piraque</t>
  </si>
  <si>
    <t>Religador completo + rádio</t>
  </si>
  <si>
    <t>ETO-COEP 00103/2025</t>
  </si>
  <si>
    <t>7910027196</t>
  </si>
  <si>
    <t>Lagoa Do Tocantins</t>
  </si>
  <si>
    <t>Religador completo (exceto rádio)</t>
  </si>
  <si>
    <t>ETO-COEP 00178/2025</t>
  </si>
  <si>
    <t>7900018004</t>
  </si>
  <si>
    <t>ARAGUAINA</t>
  </si>
  <si>
    <t>0612600439</t>
  </si>
  <si>
    <t>OK (Planilha3)</t>
  </si>
  <si>
    <t>ETO-COEP 00143/2025</t>
  </si>
  <si>
    <t>7927446001</t>
  </si>
  <si>
    <t>ETO-COEP 00162/2025</t>
  </si>
  <si>
    <t>7928564039</t>
  </si>
  <si>
    <t>Araguatins</t>
  </si>
  <si>
    <t>ETO-COEP 00168/2025</t>
  </si>
  <si>
    <t>7908196047</t>
  </si>
  <si>
    <t>ETO-COEP 00173/2025</t>
  </si>
  <si>
    <t>7900535058</t>
  </si>
  <si>
    <t>Santa Fe Do Araguaia</t>
  </si>
  <si>
    <t>Religador completo (Cooper → Noja RC10)</t>
  </si>
  <si>
    <t>ETO-COEP 00179/2025</t>
  </si>
  <si>
    <t>7922995039</t>
  </si>
  <si>
    <t>ETO-COEP 00024/2026</t>
  </si>
  <si>
    <t>7933585074</t>
  </si>
  <si>
    <t>ETO-COEP 00084/2026</t>
  </si>
  <si>
    <t>7900117013</t>
  </si>
  <si>
    <t>Religador completo (Cooper Form6 → Noja)</t>
  </si>
  <si>
    <t>0212600422</t>
  </si>
  <si>
    <t>ETO-COEP 00039/2026</t>
  </si>
  <si>
    <t>7926089013</t>
  </si>
  <si>
    <t>ETO-COEP 00040/2026</t>
  </si>
  <si>
    <t>7931608059</t>
  </si>
  <si>
    <t>Tanque (parte ativa) + rádio</t>
  </si>
  <si>
    <t>ETO-COEP 00044/2026</t>
  </si>
  <si>
    <t>7936038076</t>
  </si>
  <si>
    <t>Duere</t>
  </si>
  <si>
    <t>Gurupi</t>
  </si>
  <si>
    <t>ETO-COEP 00045/2026</t>
  </si>
  <si>
    <t>7927396052</t>
  </si>
  <si>
    <t>ETO-COEP 00048/2026</t>
  </si>
  <si>
    <t>7925871077</t>
  </si>
  <si>
    <t>Goiatins</t>
  </si>
  <si>
    <t>ETO-COEP 00050/2026</t>
  </si>
  <si>
    <t>7953610256</t>
  </si>
  <si>
    <t>Mateiros</t>
  </si>
  <si>
    <t>Tanque (parte ativa) + cordão umbilical</t>
  </si>
  <si>
    <t>ETO-COEP 00051/2026</t>
  </si>
  <si>
    <t>7926442035</t>
  </si>
  <si>
    <t>Monte Do Carmo</t>
  </si>
  <si>
    <t>Tanque (parte ativa) + trafo</t>
  </si>
  <si>
    <t>ETO-COEP 00058/2026</t>
  </si>
  <si>
    <t>7925733015</t>
  </si>
  <si>
    <t>Pedro Afonso</t>
  </si>
  <si>
    <t>Guarai</t>
  </si>
  <si>
    <t>ETO-COEP 00059/2026</t>
  </si>
  <si>
    <t>7925744087</t>
  </si>
  <si>
    <t>Goianorte</t>
  </si>
  <si>
    <t>Tanque (parte ativa) + cabo umbilical</t>
  </si>
  <si>
    <t>ETO-COEP 00061/2026</t>
  </si>
  <si>
    <t>7901110084</t>
  </si>
  <si>
    <t>Divinopolis</t>
  </si>
  <si>
    <t>ETO-COEP 00063/2025</t>
  </si>
  <si>
    <t>7908206074</t>
  </si>
  <si>
    <t>ETO-COEP 00071/2026</t>
  </si>
  <si>
    <t>7908302256</t>
  </si>
  <si>
    <t>ETO-COEP 00079/2025</t>
  </si>
  <si>
    <t>7923927122</t>
  </si>
  <si>
    <t>Palmas</t>
  </si>
  <si>
    <t>ETO-COEP 00088/2026</t>
  </si>
  <si>
    <t>7921202014</t>
  </si>
  <si>
    <t>ETO-COEP 00139/2025</t>
  </si>
  <si>
    <t>7928241200</t>
  </si>
  <si>
    <t>Sao Salvador Do Tocantins</t>
  </si>
  <si>
    <t>ETO-COEP 00087/2026</t>
  </si>
  <si>
    <t>7900453110</t>
  </si>
  <si>
    <t>Santa Rita Do Tocantins</t>
  </si>
  <si>
    <t>0312600264</t>
  </si>
  <si>
    <t>ETO-COEP 00082/2026</t>
  </si>
  <si>
    <t>7933766059</t>
  </si>
  <si>
    <t>0112600424</t>
  </si>
  <si>
    <t>ETO-COEP 00158/2025</t>
  </si>
  <si>
    <t>7942485096</t>
  </si>
  <si>
    <t>Pindorama Do Tocantins</t>
  </si>
  <si>
    <t>ETO-COEP 00083/2026</t>
  </si>
  <si>
    <t>7931610122</t>
  </si>
  <si>
    <t>Tanque (parte ativa) + antena</t>
  </si>
  <si>
    <t>0112600383</t>
  </si>
  <si>
    <t>ETO-COEP 00208/2025</t>
  </si>
  <si>
    <t>7955430075</t>
  </si>
  <si>
    <t>Dois Irmaos Do Tocantins</t>
  </si>
  <si>
    <t>ETO-COEP 00220/2025</t>
  </si>
  <si>
    <t>7927713200</t>
  </si>
  <si>
    <t>ETO-COEP 00228/2025</t>
  </si>
  <si>
    <t>7937102148</t>
  </si>
  <si>
    <t>Sao Valerio Da Natividade</t>
  </si>
  <si>
    <t>7955986084</t>
  </si>
  <si>
    <t>7944559149</t>
  </si>
  <si>
    <t>Caseara</t>
  </si>
  <si>
    <t>7955946007</t>
  </si>
  <si>
    <t>7923673004</t>
  </si>
  <si>
    <t>ETO-COEP 00086/2026</t>
  </si>
  <si>
    <t>7908686014</t>
  </si>
  <si>
    <t>0212600425</t>
  </si>
  <si>
    <t>ETO-COEP 00177/2025</t>
  </si>
  <si>
    <t>7908705049</t>
  </si>
  <si>
    <t>AURORA DO TOCANTINS</t>
  </si>
  <si>
    <t>DIANOPOLIS</t>
  </si>
  <si>
    <t>0512600135</t>
  </si>
  <si>
    <t>ETO-COEP 00056/2025</t>
  </si>
  <si>
    <t>7900230155</t>
  </si>
  <si>
    <t>PALMEIRANTE</t>
  </si>
  <si>
    <t>COLINAS DO TOCANTINS</t>
  </si>
  <si>
    <t>0712600318</t>
  </si>
  <si>
    <t>ETO-COEP 00104/2025</t>
  </si>
  <si>
    <t>7957620015</t>
  </si>
  <si>
    <t>PEDRO AFONSO</t>
  </si>
  <si>
    <t>GUARAI</t>
  </si>
  <si>
    <t>0712600316</t>
  </si>
  <si>
    <t>REGULADORES DE TENSÃO (SS PENDENTE) — fora do orçamento de religadores</t>
  </si>
  <si>
    <t>Listados para visibilidade. Preço a definir (célula/controle de regulador depende do tipo/tensão).</t>
  </si>
  <si>
    <t>Preço unit. (R$)</t>
  </si>
  <si>
    <t>Custo Material (R$)</t>
  </si>
  <si>
    <t>Custo Mão de Obra (R$)</t>
  </si>
  <si>
    <t>Confiança / Obs</t>
  </si>
  <si>
    <t>ETO-COEP 00160/2025</t>
  </si>
  <si>
    <t>5854566043</t>
  </si>
  <si>
    <t>Silvanopolis</t>
  </si>
  <si>
    <t>Célula fase B</t>
  </si>
  <si>
    <t>Será resolvido</t>
  </si>
  <si>
    <t>Regulador — campo indicou fase C, DMSL fase B</t>
  </si>
  <si>
    <t>Célula 34,5 kV 400 kVA (cód 690241)</t>
  </si>
  <si>
    <t>ETO-COEP 00187/2025</t>
  </si>
  <si>
    <t>5800371025</t>
  </si>
  <si>
    <t>Arapoema</t>
  </si>
  <si>
    <t>Colinas Do Tocantins</t>
  </si>
  <si>
    <t>Controle + kit comunicação</t>
  </si>
  <si>
    <t>Regulador — relés Toshiba A/B com falha</t>
  </si>
  <si>
    <t>Controle de regulador c/ nobreak (cód 651638)</t>
  </si>
  <si>
    <t>3 Celulas</t>
  </si>
  <si>
    <t>Células 34,5 kV 200 kVA (cód 690240) — categoria corrigida</t>
  </si>
  <si>
    <t>ETO-COEP 00216/2025</t>
  </si>
  <si>
    <t>5827102054</t>
  </si>
  <si>
    <t>Pugmil</t>
  </si>
  <si>
    <t>Nobreak e relé já substituídos em campo</t>
  </si>
  <si>
    <t>ETO-COEP 00171/2025</t>
  </si>
  <si>
    <t>5800438116</t>
  </si>
  <si>
    <t>Células fases B e C</t>
  </si>
  <si>
    <t>Regulador + placa F do controle</t>
  </si>
  <si>
    <t>Células 34,5 kV 200 kVA (cód 690240) — controle não orçado</t>
  </si>
  <si>
    <t>ETO-COEP 00180/2025</t>
  </si>
  <si>
    <t>5850308009</t>
  </si>
  <si>
    <t>ETO-COEP 00077/2026</t>
  </si>
  <si>
    <t>5801866013</t>
  </si>
  <si>
    <t>Célula fase C</t>
  </si>
  <si>
    <t>Regulador — infiltração</t>
  </si>
  <si>
    <t>VERIFICAR kVA — sem base (assumido 13,8 / 239 kVA, cód 690236)</t>
  </si>
  <si>
    <t>ETO-COEP 00221/2025</t>
  </si>
  <si>
    <t>5800961074</t>
  </si>
  <si>
    <t>3 células</t>
  </si>
  <si>
    <t>Regulador + melhorias aterramento</t>
  </si>
  <si>
    <t>ETO-COEP 00199/2025</t>
  </si>
  <si>
    <t>5855411017</t>
  </si>
  <si>
    <t>Barrolandia</t>
  </si>
  <si>
    <t>ETO-COEP 00123/2025</t>
  </si>
  <si>
    <t>5858783119</t>
  </si>
  <si>
    <t>Sao Bento Do Tocantins</t>
  </si>
  <si>
    <t>Regulador — furto de óleo isolante</t>
  </si>
  <si>
    <t>Células 34,5 kV 400 kVA (cód 690241)</t>
  </si>
  <si>
    <t>ETO-COEP 00167/2025</t>
  </si>
  <si>
    <t>5844630060</t>
  </si>
  <si>
    <t>Nova Olinda</t>
  </si>
  <si>
    <t>Célula fase A</t>
  </si>
  <si>
    <t>Regulador — vazamento de óleo</t>
  </si>
  <si>
    <t>Célula 13,8 kV 239 kVA (cód 690236)</t>
  </si>
  <si>
    <t>ETO-COEP 00223/2025</t>
  </si>
  <si>
    <t>5862236091</t>
  </si>
  <si>
    <t>Almas</t>
  </si>
  <si>
    <t>Regra: material = nº de células × preço por célula (regulador completo = 3 células). Controle orçado à parte.</t>
  </si>
  <si>
    <t>EM ANÁLISE — DECIDIR MANUALMENTE</t>
  </si>
  <si>
    <t>Sem definição clara de compra. Não entram no orçamento até você classificar.Lebrando que a classificação foi por meio apenas da descrição da SS</t>
  </si>
  <si>
    <t>Item/Observação</t>
  </si>
  <si>
    <t>Por que está em análise</t>
  </si>
  <si>
    <t>ETO-COEP 00021/2026</t>
  </si>
  <si>
    <t>5803327001</t>
  </si>
  <si>
    <t>Comissionamento completo; cabo umbilical danificado — confirmar compra</t>
  </si>
  <si>
    <t xml:space="preserve">Instalação errada dos COCM´s </t>
  </si>
  <si>
    <t>ETO-COEP 00028/2026</t>
  </si>
  <si>
    <t>7954668084</t>
  </si>
  <si>
    <t>Display queimado, sem parecer DMSL — provável controle, confirmar</t>
  </si>
  <si>
    <t>Sem o Parecer do DMSL</t>
  </si>
  <si>
    <t>ETO-COEP 00055/2026</t>
  </si>
  <si>
    <t>5856156091</t>
  </si>
  <si>
    <t>Furto — aquisição de células de reposição a confirmar (equip. já fornecido)</t>
  </si>
  <si>
    <t>—</t>
  </si>
  <si>
    <t>ETO-COEP 00056/2026</t>
  </si>
  <si>
    <t>5856070091</t>
  </si>
  <si>
    <t>Furto — equipamento já fornecido/substituído; confirmar pendência de compra</t>
  </si>
  <si>
    <t>ETO-COEP 00072/2026</t>
  </si>
  <si>
    <t>7900525015</t>
  </si>
  <si>
    <t>'Substituir religador' porém defeito é nas buchas (A,B,C) — confirmar escopo</t>
  </si>
  <si>
    <t>Dá a entender que apenas as buchas estão danificadas</t>
  </si>
  <si>
    <t>ETO-COEP 00201/2025</t>
  </si>
  <si>
    <t>7944319149</t>
  </si>
  <si>
    <t>Parecer pertence a outro equipamento (7955430075) — verificar</t>
  </si>
  <si>
    <t>Substituir a parte ativa</t>
  </si>
  <si>
    <t>REPASSADOS — DESCONSIDERADOS DO ORÇAMENTO</t>
  </si>
  <si>
    <t>Já resolvidos / repassados. Mantidos só para referência.</t>
  </si>
  <si>
    <t>Item</t>
  </si>
  <si>
    <t>Palmeirante</t>
  </si>
  <si>
    <t>+ para-raio trafo + chave saída fase C</t>
  </si>
  <si>
    <t>Entra apenas o Tanque</t>
  </si>
  <si>
    <t>Tanque</t>
  </si>
  <si>
    <t>Modernização — defeito no controle</t>
  </si>
  <si>
    <t>Entra o Religador completo</t>
  </si>
  <si>
    <t>3 celulas</t>
  </si>
  <si>
    <t>ETO-COEP 00081/2026</t>
  </si>
  <si>
    <t>Controle completo + antena + cabo umbilical</t>
  </si>
  <si>
    <t>Rádio, módulo SIM, relé e fonte danificados</t>
  </si>
  <si>
    <t>Entra o Rádio,módulo SIM, relé e fontes danificados</t>
  </si>
  <si>
    <t>ETO-COEP 00066/2026</t>
  </si>
  <si>
    <t>5800291077</t>
  </si>
  <si>
    <t>Regulador — fase B em curto</t>
  </si>
  <si>
    <t>Verificar o repasse</t>
  </si>
  <si>
    <t>ETO-COEP 00067/2026</t>
  </si>
  <si>
    <t>7925737080</t>
  </si>
  <si>
    <t>Darcinopolis</t>
  </si>
  <si>
    <t>2 para-raios (fases B e C)</t>
  </si>
  <si>
    <t>Visor apagado — verificar controle</t>
  </si>
  <si>
    <t>Não entra no orçamento</t>
  </si>
  <si>
    <t>ETO-COEP 00076/2026</t>
  </si>
  <si>
    <t>7962635060</t>
  </si>
  <si>
    <t>Transformador (furtado)</t>
  </si>
  <si>
    <t>Restante é comissionamento</t>
  </si>
  <si>
    <t>MÊS</t>
  </si>
  <si>
    <t>ANO_SS</t>
  </si>
  <si>
    <t>SS_ORIGINAL</t>
  </si>
  <si>
    <t>POSTO_SGM</t>
  </si>
  <si>
    <t>EQUIPAMENTO</t>
  </si>
  <si>
    <t>COD_ELE</t>
  </si>
  <si>
    <t>TIPO_ATIVO</t>
  </si>
  <si>
    <t>DTA_OCORRENCIA</t>
  </si>
  <si>
    <t>DTA_ABERTURA</t>
  </si>
  <si>
    <t>DTA_LIMITE</t>
  </si>
  <si>
    <t>PRIORIDADE</t>
  </si>
  <si>
    <t>RESP_ABERTURA</t>
  </si>
  <si>
    <t>STATUS</t>
  </si>
  <si>
    <t>DTA_REPASSE</t>
  </si>
  <si>
    <t>COD_LOC</t>
  </si>
  <si>
    <t>COD_ALIMENTADOR</t>
  </si>
  <si>
    <t>DESCRIÇÃO</t>
  </si>
  <si>
    <t>PENDENCIA_DO_ATIVO</t>
  </si>
  <si>
    <t>QTD_CELULAS_TROCAR</t>
  </si>
  <si>
    <t>FASES_IDENTIFICADAS</t>
  </si>
  <si>
    <t>CRITERIO_LEITURA</t>
  </si>
  <si>
    <t>Jan</t>
  </si>
  <si>
    <t>2026</t>
  </si>
  <si>
    <t>ETO-COEP 00002/2026</t>
  </si>
  <si>
    <t>ETO-COEP</t>
  </si>
  <si>
    <t>5900038047</t>
  </si>
  <si>
    <t>59</t>
  </si>
  <si>
    <t>CAPACITOR</t>
  </si>
  <si>
    <t>EMERGENCIAL</t>
  </si>
  <si>
    <t>JONATAN ALVES DE SOUZA</t>
  </si>
  <si>
    <t>SS PENDENTE</t>
  </si>
  <si>
    <t>47</t>
  </si>
  <si>
    <t>AL01033047</t>
  </si>
  <si>
    <t>SEGUE SOLICITAÇÃO DE SERVIÇO PARA BANCO CAPACITOR COM CÉLULA DA FASE B QUEIMADA EQUIPE 047OP01 INFORMOU QUE JA FIZERAM TESTE E NÃO ACEITOU 
ID#81133777
RDU DE FIGUEIROPOLIS</t>
  </si>
  <si>
    <t>INDISPONIBILIDADE PARA OPERAÇÃO</t>
  </si>
  <si>
    <t>B</t>
  </si>
  <si>
    <t>Quantidade inferida pelas fases citadas na descrição</t>
  </si>
  <si>
    <t>Fev</t>
  </si>
  <si>
    <t>2024</t>
  </si>
  <si>
    <t>ETO-COEP 00018/2024</t>
  </si>
  <si>
    <t>5952243122</t>
  </si>
  <si>
    <t>NATANAEL MELQUIADES DOS SANTOS</t>
  </si>
  <si>
    <t>122</t>
  </si>
  <si>
    <t>AL04059122</t>
  </si>
  <si>
    <t>Favor enviar equipe para verificar banco de capacitor :5952243122 danificado fase B e C na quadra 606 Sul</t>
  </si>
  <si>
    <t>B,C</t>
  </si>
  <si>
    <t>Mar</t>
  </si>
  <si>
    <t>2023</t>
  </si>
  <si>
    <t>ETO-COEP 00030/2023</t>
  </si>
  <si>
    <t>5900438097</t>
  </si>
  <si>
    <t>CRISTIANO WAGNER DA SILVA ROSA</t>
  </si>
  <si>
    <t>97</t>
  </si>
  <si>
    <t>AL02003036</t>
  </si>
  <si>
    <t>Boa Noite !
Segue SS para verificar anomalia no banco capacitor 5900438097.
o mesmo não está aceitando fechamento desarmando RL 7924621097.</t>
  </si>
  <si>
    <t>Sem indicação clara da quantidade de células na descrição</t>
  </si>
  <si>
    <t>ETO-COEP 00047/2026</t>
  </si>
  <si>
    <t>5950106122</t>
  </si>
  <si>
    <t>LAISON OLIVEIRA CARVALHO</t>
  </si>
  <si>
    <t>AL05097122</t>
  </si>
  <si>
    <t>favor verificar banco de capacitor 5950106122, com defeito interno, o mesmo nao foi indentificado aparentemente, porem foi a causa da ocorrencia 20253842360922</t>
  </si>
  <si>
    <t>AVISO DE ANOMALIA</t>
  </si>
  <si>
    <t>Abr</t>
  </si>
  <si>
    <t>ETO-COEP 00058/2024</t>
  </si>
  <si>
    <t>5924849004</t>
  </si>
  <si>
    <t>ALTA</t>
  </si>
  <si>
    <t>SIRDEIS ALVES MONTEIRO</t>
  </si>
  <si>
    <t>4</t>
  </si>
  <si>
    <t>AL03103004</t>
  </si>
  <si>
    <t>por favor deslocar equipe da manutenção pesada nos bancos capacitor 5900326004 , 5900383004 com vazamento de óleo
e os 5924849004 inspecionado com defeito nas fases A,B,C, e o 5900600004 fases A,C com defeito foi informado pela equipe DEC de Araguaína
telefone 6399250-4970</t>
  </si>
  <si>
    <t>A,B,C</t>
  </si>
  <si>
    <t>ETO-COEP 00060/2024</t>
  </si>
  <si>
    <t>5913313004</t>
  </si>
  <si>
    <t>CLEIDSON RODRIGUES VIEIRA</t>
  </si>
  <si>
    <t>AL05010004</t>
  </si>
  <si>
    <t>Nota para manutenção substituir banco capacitor 5913313004 na RDU de Araguina o mesmo não aceitou fechamento</t>
  </si>
  <si>
    <t>2025</t>
  </si>
  <si>
    <t>ETO-COEP 00064/2025</t>
  </si>
  <si>
    <t>5900293123</t>
  </si>
  <si>
    <t>ANTONIO FAGNER ALVES RIBEIRO</t>
  </si>
  <si>
    <t>123</t>
  </si>
  <si>
    <t>AL02055123</t>
  </si>
  <si>
    <t>Corrigir anomalia no BC 5900293123 que atende a Bonasa em Aguiarnopolis. Ao fazer teste no mesmo a fase A não aceitou.</t>
  </si>
  <si>
    <t>A</t>
  </si>
  <si>
    <t>ETO-COEP 00073/2025</t>
  </si>
  <si>
    <t>5900489122</t>
  </si>
  <si>
    <t>SAMUEL PINTO GOMES</t>
  </si>
  <si>
    <t>AL02060122</t>
  </si>
  <si>
    <t>Segue nota para envia equipe linha viva substituir às 3 células do BC-5900489122 de 600 kVAr, Tensão 13.8kv, Cabo AA / 4/0, Local AVE. NS-01, Obs. Foi identificado fase C com elo queimado após fechamento fase B queimou elo, não foi possível identificar qual celular está danificada devido mesmo ser muito antigos favor substituir às 3 do mesmo.</t>
  </si>
  <si>
    <t>Quantidade explícita: substituir 3 células</t>
  </si>
  <si>
    <t>ETO-COEP 00074/2025</t>
  </si>
  <si>
    <t>5952202122</t>
  </si>
  <si>
    <t>AL06059122</t>
  </si>
  <si>
    <t>Segue nota para envia equipe linha viva substituir fase A e B do BC-5952202122 de 300 kVAr, Tensão 13.8kv, Local AVE NS-02 Praça dos Girassóis.</t>
  </si>
  <si>
    <t>A,B</t>
  </si>
  <si>
    <t>ETO-COEP 00075/2025</t>
  </si>
  <si>
    <t>5952327122</t>
  </si>
  <si>
    <t>AL07060122</t>
  </si>
  <si>
    <t>Segue nota para envia equipe linha viva substituir às 3 células do BC-5952327122, Obs. Identificada fase A e C aberta e em campo e curto na fase B, Equipamento ficou isolado para substituição, Tensão 13.8kv, Local próximo QD-409 Norte.</t>
  </si>
  <si>
    <t>Quantidade explícita: substituir 3 células; descrição cita defeito nas três fases</t>
  </si>
  <si>
    <t>ETO-COEP 00076/2025</t>
  </si>
  <si>
    <t>5951650122</t>
  </si>
  <si>
    <t>JANES FERREIRA DA SILVA</t>
  </si>
  <si>
    <t>AL08059122</t>
  </si>
  <si>
    <t>Segue SS para substituição do banco capacitor com defeito fase B,C 5951650122</t>
  </si>
  <si>
    <t>ETO-COEP 00077/2025</t>
  </si>
  <si>
    <t>5907243122</t>
  </si>
  <si>
    <t>Felipe Divino Alves Monteiro</t>
  </si>
  <si>
    <t>AL05060122</t>
  </si>
  <si>
    <t>BC-5907243122  isolado mesmo assim feito teste porém fase B não aceitou 03:13 / 24/04/2025.
Favor verificar disponibilidade de equipamento e encaminhar novamente para subistituição do mesmo.</t>
  </si>
  <si>
    <t>Mai</t>
  </si>
  <si>
    <t>ETO-COEP 00082/2025</t>
  </si>
  <si>
    <t>5901886003</t>
  </si>
  <si>
    <t>WESLEY MARCAL MENDES DE OLIVEI</t>
  </si>
  <si>
    <t>3</t>
  </si>
  <si>
    <t>AL02113003</t>
  </si>
  <si>
    <t>Segundo informações do técnico supervisor Danilo, enviar equipe para dá manutenção nos bancos capacitores 5900358003,5900364003 e 5901886003, ambos ficam na RDU de Gurupi na 13.8kV.</t>
  </si>
  <si>
    <t>Jun</t>
  </si>
  <si>
    <t>ETO-COEP 00083/2024</t>
  </si>
  <si>
    <t>5900064029</t>
  </si>
  <si>
    <t>HERIK BUARQUE DOS SANTOS</t>
  </si>
  <si>
    <t>29</t>
  </si>
  <si>
    <t>AL01061029</t>
  </si>
  <si>
    <t>Segue SS do banco de capacitor 5900064029 com defeito  
5900064029 
RDU de Palmeiropolis 
Fase A com vazamento de oleo 
FAse B e C tambem com defeito.
Por gentileza favor verificar a troca do mesmo</t>
  </si>
  <si>
    <t>Descrição cita defeito/vazamento nas fases A, B e C</t>
  </si>
  <si>
    <t>ETO-COEP 00090/2026</t>
  </si>
  <si>
    <t>5948602003</t>
  </si>
  <si>
    <t>ZELITO ALVES DELGADO</t>
  </si>
  <si>
    <t>AL01041003</t>
  </si>
  <si>
    <t>banco capacitor com defeito 5948602003 não aceito fase a,e b favor verificar.
Substituir fazer A e B</t>
  </si>
  <si>
    <t>Descrição informa defeito nas fases A e B</t>
  </si>
  <si>
    <t>ETO-COEP 00091/2026</t>
  </si>
  <si>
    <t>5953586122</t>
  </si>
  <si>
    <t>AL06097122</t>
  </si>
  <si>
    <t>favor verificar Banco de Capacitor 5953586122com defeito na celula da fase A e C , 300KvA, Plano Av NS 01, proximo da Ulbra 1503 Sul -Palmas
Realizado teste, conformado equipamento quiemado.</t>
  </si>
  <si>
    <t>A,C</t>
  </si>
  <si>
    <t>Out</t>
  </si>
  <si>
    <t>ETO-COEP 00092/2023</t>
  </si>
  <si>
    <t>5902839004</t>
  </si>
  <si>
    <t>PROGRAMAVEL</t>
  </si>
  <si>
    <t>GERALDO JOSE DE FARIA</t>
  </si>
  <si>
    <t>EQUIPE OPERACIONAL FAVOR VERIFICAR A SITUAÇÃO DO BANCO CAPACITOR, CASO ESTEJE COM VAZAMENTO CONFORME INFORMADO, SOLICITAR A ABERTURA JUNTAMENTE AO COI.
EQUIPE DO PLANTÃO AO FAZER INSPEÇÃO NO BANCO CAPACITOR ESTA COM UMA DAS CELULAS COM VAZAMENTO DE OLEO. FAZER INSPEÇÃO MAIS DETALHADA.
CASO NECESSARIO, SOLICITAR A ABERTURA PARA MANUTENÇÃO DO MESMO.</t>
  </si>
  <si>
    <t>Não especificado</t>
  </si>
  <si>
    <t>Quantidade inferida do texto</t>
  </si>
  <si>
    <t>ETO-COEP 00092/2026</t>
  </si>
  <si>
    <t>5900272004</t>
  </si>
  <si>
    <t>DELIO NUNES OSCAR</t>
  </si>
  <si>
    <t>AL03010004</t>
  </si>
  <si>
    <t>Enviar equipe para substituir  celula capacitiva em curto  fase  C , na rdu de Araguaina
Realizado teste, equipamento com celula queimada.</t>
  </si>
  <si>
    <t>C</t>
  </si>
  <si>
    <t>ETO-COEP 00093/2026</t>
  </si>
  <si>
    <t>5922361122</t>
  </si>
  <si>
    <t>CLESIO CARVALHO MOURA</t>
  </si>
  <si>
    <t>Segue para tratativas eito teste na Fase A do banco de capacitor 5922361122, não aceitou.
Realizado teste equipamento com celula queimada Fase A.</t>
  </si>
  <si>
    <t>SOLICITAÇÃO DE SERVIÇO</t>
  </si>
  <si>
    <t>ETO-COEP 00094/2026</t>
  </si>
  <si>
    <t>5959941122</t>
  </si>
  <si>
    <t>AL09097122</t>
  </si>
  <si>
    <t>Segue para tratativas banco de capacitor 5959941122 feito teste não aceitou as fases B e C.</t>
  </si>
  <si>
    <t>ETO-COEP 00095/2025</t>
  </si>
  <si>
    <t>5955192004</t>
  </si>
  <si>
    <t>AL02010004</t>
  </si>
  <si>
    <t>Segue nota para envia equipe linha viva substituir célula no BC-5955192004 fase B danificada dando passa de tensão e corrente se possível refazer aterramento do equipamento, Tensão 13.8kv, Acesso livre, Local RDU de Araguaína Avenida Conego João Lima.</t>
  </si>
  <si>
    <t>NOTA DE SERVIÇO (NS) - LINHA VIVA</t>
  </si>
  <si>
    <t>ETO-COEP 00099/2026</t>
  </si>
  <si>
    <t>5961616059</t>
  </si>
  <si>
    <t>JERES RODRIGUES DE LIMA</t>
  </si>
  <si>
    <t>AL05099059</t>
  </si>
  <si>
    <t>Realizar substituição da celula fase A queimada.</t>
  </si>
  <si>
    <t>ETO-COEP 00100/2026</t>
  </si>
  <si>
    <t>5900109059</t>
  </si>
  <si>
    <t>Realizar susbtituição de celula queimada fase A e C queimadas, realizado teste.</t>
  </si>
  <si>
    <t>ETO-COEP 00101/2026</t>
  </si>
  <si>
    <t>5952342122</t>
  </si>
  <si>
    <t>Banco 5952342122 com fase A e C danificada, feito teste e nao aceitou</t>
  </si>
  <si>
    <t>ETO-COEP 00102/2026</t>
  </si>
  <si>
    <t>5952248122</t>
  </si>
  <si>
    <t>ARTHUR MAGALHAES DAS DORES</t>
  </si>
  <si>
    <t>FEITO TESTE BANCO CAPACITOR 5952248122 E NÃO ACEITOU, ENVIAR EQUIPE PARA SUBSTITUIR CELULA DANIFICADA ABERTO FASE B e C</t>
  </si>
  <si>
    <t>ETO-COEP 00103/2026</t>
  </si>
  <si>
    <t>5900358003</t>
  </si>
  <si>
    <t>VINICIUS DE MORAIS NERY</t>
  </si>
  <si>
    <t>segue ss para Enviar equipe para substituir  celula capacitiva em curto  fase  B do banco capacitor 5900358003 feito teste nao aceitou, na rdu de Gurupi</t>
  </si>
  <si>
    <t>Jul</t>
  </si>
  <si>
    <t>ETO-COEP 00140/2025</t>
  </si>
  <si>
    <t>5900129052</t>
  </si>
  <si>
    <t>JURANDY GOMES DE OLIVEIRA</t>
  </si>
  <si>
    <t>52</t>
  </si>
  <si>
    <t>AL01036052</t>
  </si>
  <si>
    <t>Banco de capacitor de numero 5900129052 celula fase A e B não  aceitou rdu de formoso do araguaia acesso livre tensão 13.8 kv .
verificar em campo possivel defeito ou troca do mesmo.</t>
  </si>
  <si>
    <t>Nov</t>
  </si>
  <si>
    <t>ETO-COEP 00146/2024</t>
  </si>
  <si>
    <t>5900003013</t>
  </si>
  <si>
    <t>13</t>
  </si>
  <si>
    <t>AL03062013</t>
  </si>
  <si>
    <t>bom dia,
segue Ss apara substituiçaõ da fase b do banco capacitor 5900003013 o mesmo não aceita.</t>
  </si>
  <si>
    <t>Ago</t>
  </si>
  <si>
    <t>ETO-COEP 00175/2025</t>
  </si>
  <si>
    <t>5900010002</t>
  </si>
  <si>
    <t>URGENTE</t>
  </si>
  <si>
    <t>2</t>
  </si>
  <si>
    <t>AL01084002</t>
  </si>
  <si>
    <t>Substituir  3 celula do Banco Capacitor-5900010002 - 100 KVAR, com defeito 03  fases em curto por gentileza substituir o mais breve possivél-RDU de Tocantinopolis</t>
  </si>
  <si>
    <t>Quantidade explícita na descrição</t>
  </si>
  <si>
    <t>DESCRIÇÃO_RESUMIDA</t>
  </si>
  <si>
    <t>Substituir 3 celula do Banco Capacitor-5900010002 - 100 KVAR, com defeito 03 fases em curto por gentileza substituir o mais breve possivé...</t>
  </si>
  <si>
    <t>Segue SS do banco de capacitor 5900064029 com defeito 5900064029 RDU de Palmeiropolis Fase A com vazamento de oleo FAse B e C tambem com ...</t>
  </si>
  <si>
    <t>Segue nota para envia equipe linha viva substituir às 3 células do BC-5900489122 de 600 kVAr, Tensão 13.8kv, Cabo AA / 4/0, Local AVE. NS...</t>
  </si>
  <si>
    <t>por favor deslocar equipe da manutenção pesada nos bancos capacitor 5900326004 , 5900383004 com vazamento de óleo e os 5924849004 inspeci...</t>
  </si>
  <si>
    <t>Segue nota para envia equipe linha viva substituir às 3 células do BC-5952327122, Obs. Identificada fase A e C aberta e em campo e curto ...</t>
  </si>
  <si>
    <t>Banco de capacitor de numero 5900129052 celula fase A e B não aceitou rdu de formoso do araguaia acesso livre tensão 13.8 kv . verificar ...</t>
  </si>
  <si>
    <t>banco capacitor com defeito 5948602003 não aceito fase a,e b favor verificar. Substituir fazer A e B</t>
  </si>
  <si>
    <t>Segue nota para envia equipe linha viva substituir fase A e B do BC-5952202122 de 300 kVAr, Tensão 13.8kv, Local AVE NS-02 Praça dos Gira...</t>
  </si>
  <si>
    <t>favor verificar Banco de Capacitor 5953586122com defeito na celula da fase A e C , 300KvA, Plano Av NS 01, proximo da Ulbra 1503 Sul -Pal...</t>
  </si>
  <si>
    <t>bom dia, segue Ss apara substituiçaõ da fase b do banco capacitor 5900003013 o mesmo não aceita.</t>
  </si>
  <si>
    <t>SEGUE SOLICITAÇÃO DE SERVIÇO PARA BANCO CAPACITOR COM CÉLULA DA FASE B QUEIMADA EQUIPE 047OP01 INFORMOU QUE JA FIZERAM TESTE E NÃO ACEITO...</t>
  </si>
  <si>
    <t>Enviar equipe para substituir celula capacitiva em curto fase C , na rdu de Araguaina Realizado teste, equipamento com celula queimada.</t>
  </si>
  <si>
    <t>segue ss para Enviar equipe para substituir celula capacitiva em curto fase B do banco capacitor 5900358003 feito teste nao aceitou, na r...</t>
  </si>
  <si>
    <t>EQUIPE OPERACIONAL FAVOR VERIFICAR A SITUAÇÃO DO BANCO CAPACITOR, CASO ESTEJE COM VAZAMENTO CONFORME INFORMADO, SOLICITAR A ABERTURA JUNT...</t>
  </si>
  <si>
    <t>BC-5907243122 isolado mesmo assim feito teste porém fase B não aceitou 03:13 / 24/04/2025. Favor verificar disponibilidade de equipamento...</t>
  </si>
  <si>
    <t>Segue para tratativas eito teste na Fase A do banco de capacitor 5922361122, não aceitou. Realizado teste equipamento com celula queimada...</t>
  </si>
  <si>
    <t>Segue nota para envia equipe linha viva substituir célula no BC-5955192004 fase B danificada dando passa de tensão e corrente se possível...</t>
  </si>
  <si>
    <t>Boa Noite ! Segue SS para verificar anomalia no banco capacitor 5900438097. o mesmo não está aceitando fechamento desarmando RL 7924621097.</t>
  </si>
  <si>
    <t>Segundo informações do técnico supervisor Danilo, enviar equipe para dá manutenção nos bancos capacitores 5900358003,5900364003 e 5901886...</t>
  </si>
  <si>
    <t>favor verificar banco de capacitor 5950106122, com defeito interno, o mesmo nao foi indentificado aparentemente, porem foi a causa da oco...</t>
  </si>
  <si>
    <t>Observações sobre a leitura das descrições</t>
  </si>
  <si>
    <t>1. A aba Base_Dados reproduz a base enviada e acrescenta 3 colunas: quantidade de células, fases e critério de leitura.</t>
  </si>
  <si>
    <t>2. A aba Celulas_por_Equip resume por equipamento a quantidade de células a trocar com base apenas na descrição do chamado.</t>
  </si>
  <si>
    <t>3. Quando a descrição não informa claramente a quantidade de células, o campo QTD_CELULAS_TROCAR foi deixado em branco.</t>
  </si>
  <si>
    <t>4. Em alguns casos foi feita interpretação pelas fases citadas (ex.: fase A e B = 2 células).</t>
  </si>
  <si>
    <t>5. Casos com ajuste manual por clareza do texto: 5900489122, 5952327122, 5900064029 e 5948602003.</t>
  </si>
  <si>
    <t>Repassar para Operação novamente</t>
  </si>
  <si>
    <t>GURUPI</t>
  </si>
  <si>
    <t>PALMAS</t>
  </si>
  <si>
    <t>-50.698227</t>
  </si>
  <si>
    <t>-11.343148</t>
  </si>
  <si>
    <t>ILHA DO BANANAL</t>
  </si>
  <si>
    <t>-48.438149</t>
  </si>
  <si>
    <t>-10.256191</t>
  </si>
  <si>
    <t>VILA LUZIMANGUES</t>
  </si>
  <si>
    <t>-47.542696</t>
  </si>
  <si>
    <t>-7.857128</t>
  </si>
  <si>
    <t>GOIATINS</t>
  </si>
  <si>
    <t>BARRA DO OURO</t>
  </si>
  <si>
    <t>-46.847957</t>
  </si>
  <si>
    <t>-11.449477</t>
  </si>
  <si>
    <t>RIO DA CONCEICAO</t>
  </si>
  <si>
    <t>PONTE ALTA TOCANTINS</t>
  </si>
  <si>
    <t>SAO FELIX DO TOCANTINS</t>
  </si>
  <si>
    <t>MATEIROS</t>
  </si>
  <si>
    <t>-49.176576</t>
  </si>
  <si>
    <t>-10.142195</t>
  </si>
  <si>
    <t>PARAISO DO TOCANTINS</t>
  </si>
  <si>
    <t>CHAPADA DE AREIA</t>
  </si>
  <si>
    <t>-48.451364</t>
  </si>
  <si>
    <t>-11.258258</t>
  </si>
  <si>
    <t>PORTO NACIONAL</t>
  </si>
  <si>
    <t>IPUEIRAS</t>
  </si>
  <si>
    <t>-47.888682</t>
  </si>
  <si>
    <t>-10.254312</t>
  </si>
  <si>
    <t>TAQUARALTO</t>
  </si>
  <si>
    <t>SANTA TEREZA DO TOCANTINS</t>
  </si>
  <si>
    <t>BURITIRANA</t>
  </si>
  <si>
    <t>-49.156299</t>
  </si>
  <si>
    <t>-9.624897</t>
  </si>
  <si>
    <t>DIVINOPOLIS</t>
  </si>
  <si>
    <t>ABREULANDIA</t>
  </si>
  <si>
    <t>RECURSOLANDIA</t>
  </si>
  <si>
    <t>-48.224882</t>
  </si>
  <si>
    <t>-12.754142</t>
  </si>
  <si>
    <t>PEIXE</t>
  </si>
  <si>
    <t>PALMEIROPOLIS</t>
  </si>
  <si>
    <t>SAO SALVADOR DO TOCANTINS</t>
  </si>
  <si>
    <t>-47.570543</t>
  </si>
  <si>
    <t>-10.301336</t>
  </si>
  <si>
    <t>LAGOA DO TOCANTINS</t>
  </si>
  <si>
    <t>-47.336353</t>
  </si>
  <si>
    <t>-8.956393</t>
  </si>
  <si>
    <t>CENTENARIO</t>
  </si>
  <si>
    <t>CAMPOS LINDOS</t>
  </si>
  <si>
    <t>-46.62257</t>
  </si>
  <si>
    <t>-11.812359</t>
  </si>
  <si>
    <t>NOVO JARDIM</t>
  </si>
  <si>
    <t>-48.561318</t>
  </si>
  <si>
    <t>-13.041183</t>
  </si>
  <si>
    <t>JAU DO TOCANTINS</t>
  </si>
  <si>
    <t>TOCANTINOPOLIS</t>
  </si>
  <si>
    <t>LUZINOPOLIS</t>
  </si>
  <si>
    <t>-48.620255</t>
  </si>
  <si>
    <t>-7.225508</t>
  </si>
  <si>
    <t>SANTA FE DO ARAGUAIA</t>
  </si>
  <si>
    <t>MURICILANDIA</t>
  </si>
  <si>
    <t>-48.201128</t>
  </si>
  <si>
    <t>-7.206407</t>
  </si>
  <si>
    <t>XAMBIOA</t>
  </si>
  <si>
    <t>ARAGUANA</t>
  </si>
  <si>
    <t>-47.92342</t>
  </si>
  <si>
    <t>-6.123915</t>
  </si>
  <si>
    <t>CACHOEIRINHA</t>
  </si>
  <si>
    <t>JUARINA</t>
  </si>
  <si>
    <t>BERNARDO SAYAO</t>
  </si>
  <si>
    <t>SANTA ROSA DO TOCANTINS</t>
  </si>
  <si>
    <t>CASEARA</t>
  </si>
  <si>
    <t>SAO VALERIO DA NATIVIDADE</t>
  </si>
  <si>
    <t>-46.994583</t>
  </si>
  <si>
    <t>-12.194178</t>
  </si>
  <si>
    <t>CONCEICAO DO TOCANTINS</t>
  </si>
  <si>
    <t>TAIPAS DO TOCANTINS</t>
  </si>
  <si>
    <t>-47.758926</t>
  </si>
  <si>
    <t>-8.384778</t>
  </si>
  <si>
    <t>ITACAJA</t>
  </si>
  <si>
    <t>ALTO LINDO</t>
  </si>
  <si>
    <t>-47.50834</t>
  </si>
  <si>
    <t>-5.952566</t>
  </si>
  <si>
    <t>AUGUSTINOPOLIS</t>
  </si>
  <si>
    <t>ITAGUATINS</t>
  </si>
  <si>
    <t>MAURILANDIA DO TOCANTINS</t>
  </si>
  <si>
    <t>-49.370935</t>
  </si>
  <si>
    <t>-7.513524</t>
  </si>
  <si>
    <t>ARAPOEMA</t>
  </si>
  <si>
    <t>PAU D'ARCO</t>
  </si>
  <si>
    <t>ESPERANTINA</t>
  </si>
  <si>
    <t>-47.998224</t>
  </si>
  <si>
    <t>-5.411993</t>
  </si>
  <si>
    <t>CARRASCO BONITO</t>
  </si>
  <si>
    <t>-47.872841</t>
  </si>
  <si>
    <t>-5.354923</t>
  </si>
  <si>
    <t>SAMPAIO</t>
  </si>
  <si>
    <t>-47.653269</t>
  </si>
  <si>
    <t>-5.479146</t>
  </si>
  <si>
    <t>PRAIA NORTE</t>
  </si>
  <si>
    <t>-47.509355</t>
  </si>
  <si>
    <t>-5.541326</t>
  </si>
  <si>
    <t>SITIO NOVO TOCANTINS</t>
  </si>
  <si>
    <t>BELA VISTA</t>
  </si>
  <si>
    <t>-47.786186</t>
  </si>
  <si>
    <t>-6.499621</t>
  </si>
  <si>
    <t>SANTA TEREZINHA DO TOCANTINS</t>
  </si>
  <si>
    <t>-47.546621</t>
  </si>
  <si>
    <t>-6.613135</t>
  </si>
  <si>
    <t>PALMEIRAS DO TOCANTINS</t>
  </si>
  <si>
    <t>-48.055274</t>
  </si>
  <si>
    <t>-6.501822</t>
  </si>
  <si>
    <t>ANANAS</t>
  </si>
  <si>
    <t>RIACHINHO</t>
  </si>
  <si>
    <t>-47.501264</t>
  </si>
  <si>
    <t>-6.559857</t>
  </si>
  <si>
    <t>AGUIARNOPOLIS</t>
  </si>
  <si>
    <t>-48.127884</t>
  </si>
  <si>
    <t>-6.08304</t>
  </si>
  <si>
    <t>SAO BENTO DO TOCANTINS</t>
  </si>
  <si>
    <t>-47.752117</t>
  </si>
  <si>
    <t>-11.61637</t>
  </si>
  <si>
    <t>NATIVIDADE</t>
  </si>
  <si>
    <t>CHAPADA DA NATIVIDADE</t>
  </si>
  <si>
    <t>COUTO MAGALHAES</t>
  </si>
  <si>
    <t>-48.928513</t>
  </si>
  <si>
    <t>-8.596325</t>
  </si>
  <si>
    <t>COLMEIA</t>
  </si>
  <si>
    <t>PEQUIZEIRO</t>
  </si>
  <si>
    <t>-48.905949</t>
  </si>
  <si>
    <t>-10.864431</t>
  </si>
  <si>
    <t>FATIMA</t>
  </si>
  <si>
    <t>SANTA RITA DO TOCANTINS</t>
  </si>
  <si>
    <t>-47.852332</t>
  </si>
  <si>
    <t>-6.412092</t>
  </si>
  <si>
    <t>ANGICO</t>
  </si>
  <si>
    <t>ALVORADA</t>
  </si>
  <si>
    <t>SANDOLANDIA</t>
  </si>
  <si>
    <t>-48.907627</t>
  </si>
  <si>
    <t>-10.711542</t>
  </si>
  <si>
    <t>OLIVEIRA DE FATIMA</t>
  </si>
  <si>
    <t>SANTA MARIA DO TOCANTINS</t>
  </si>
  <si>
    <t>-47.578366</t>
  </si>
  <si>
    <t>-5.556754</t>
  </si>
  <si>
    <t>SAO MIGUEL DO TOCANTINS</t>
  </si>
  <si>
    <t>-47.047884</t>
  </si>
  <si>
    <t>-11.610131</t>
  </si>
  <si>
    <t>ALMAS</t>
  </si>
  <si>
    <t>PORTO ALEGRE DO TOCANTINS</t>
  </si>
  <si>
    <t>-48.156975</t>
  </si>
  <si>
    <t>-10.322162</t>
  </si>
  <si>
    <t>TAQUARUSSU DO PORTO</t>
  </si>
  <si>
    <t>TALISMA</t>
  </si>
  <si>
    <t>-47.581118</t>
  </si>
  <si>
    <t>-11.139072</t>
  </si>
  <si>
    <t>PINDORAMA</t>
  </si>
  <si>
    <t>PINDORAMA DO TOCANTINS</t>
  </si>
  <si>
    <t>-47.771829</t>
  </si>
  <si>
    <t>-10.135408</t>
  </si>
  <si>
    <t>APARECIDA DO RIO NEGRO</t>
  </si>
  <si>
    <t>NOVO ACORDO</t>
  </si>
  <si>
    <t>-47.650534</t>
  </si>
  <si>
    <t>-6.388914</t>
  </si>
  <si>
    <t>NAZARE</t>
  </si>
  <si>
    <t>-48.912292</t>
  </si>
  <si>
    <t>-11.988661</t>
  </si>
  <si>
    <t>SUCUPIRA</t>
  </si>
  <si>
    <t>-47.673299</t>
  </si>
  <si>
    <t>-5.661197</t>
  </si>
  <si>
    <t>SITIO NOVO DO TOCANTINS</t>
  </si>
  <si>
    <t>GOIANORTE</t>
  </si>
  <si>
    <t>MARIANOPOLIS</t>
  </si>
  <si>
    <t>-49.040686</t>
  </si>
  <si>
    <t>-9.97016</t>
  </si>
  <si>
    <t>MONTE SANTO DO TOCANTINS</t>
  </si>
  <si>
    <t>LIZARDA</t>
  </si>
  <si>
    <t>DARCINOPOLIS</t>
  </si>
  <si>
    <t>ITAPIRATINS</t>
  </si>
  <si>
    <t>DUERE</t>
  </si>
  <si>
    <t>-49.064057</t>
  </si>
  <si>
    <t>-9.253909</t>
  </si>
  <si>
    <t>DOIS IRMAOS</t>
  </si>
  <si>
    <t>DOIS IRMAOS DO TOCANTINS</t>
  </si>
  <si>
    <t>LAGOA DA CONFUSAO</t>
  </si>
  <si>
    <t>BREJINHO DE NAZARE</t>
  </si>
  <si>
    <t>RIO SONO</t>
  </si>
  <si>
    <t>-48.202983</t>
  </si>
  <si>
    <t>-5.260507</t>
  </si>
  <si>
    <t>BURITI DO TOCANTINS</t>
  </si>
  <si>
    <t>SAO SEBASTIAO DO TOCANTINS</t>
  </si>
  <si>
    <t>-48.133562</t>
  </si>
  <si>
    <t>-8.402134</t>
  </si>
  <si>
    <t>TUPIRATINS</t>
  </si>
  <si>
    <t>AXIXA DO TOCANTINS</t>
  </si>
  <si>
    <t>-48.481926</t>
  </si>
  <si>
    <t>-8.390048</t>
  </si>
  <si>
    <t>PRESIDENTE KENNEDY</t>
  </si>
  <si>
    <t>BRASILANDIA DO TOCANTINS</t>
  </si>
  <si>
    <t>-48.57788</t>
  </si>
  <si>
    <t>-7.766035</t>
  </si>
  <si>
    <t>NOVA OLINDA</t>
  </si>
  <si>
    <t>BANDEIRANTES DO TOCANTINS</t>
  </si>
  <si>
    <t>-48.293807</t>
  </si>
  <si>
    <t>-10.332852</t>
  </si>
  <si>
    <t>-48.394673</t>
  </si>
  <si>
    <t>-7.039658</t>
  </si>
  <si>
    <t>CARMOLANDIA</t>
  </si>
  <si>
    <t>ARAGUACEMA</t>
  </si>
  <si>
    <t>-48.894153</t>
  </si>
  <si>
    <t>-10.427484</t>
  </si>
  <si>
    <t>NOVA ROSALANDIA</t>
  </si>
  <si>
    <t>PUGMIL</t>
  </si>
  <si>
    <t>PIRAQUE</t>
  </si>
  <si>
    <t>FORMOSO DO ARAGUAIA</t>
  </si>
  <si>
    <t>-46.548462</t>
  </si>
  <si>
    <t>-12.813568</t>
  </si>
  <si>
    <t>COMBINADO</t>
  </si>
  <si>
    <t>LAVANDEIRA</t>
  </si>
  <si>
    <t>-46.406414</t>
  </si>
  <si>
    <t>-12.728154</t>
  </si>
  <si>
    <t>-48.519939</t>
  </si>
  <si>
    <t>-9.057139</t>
  </si>
  <si>
    <t>FORTALEZA DO TABOCAO</t>
  </si>
  <si>
    <t>FIGUEIROPOLIS</t>
  </si>
  <si>
    <t>SILVANOPOLIS</t>
  </si>
  <si>
    <t>-49.162055</t>
  </si>
  <si>
    <t>-11.890137</t>
  </si>
  <si>
    <t>CARIRI DO TOCANTINS</t>
  </si>
  <si>
    <t>-48.920275</t>
  </si>
  <si>
    <t>-11.106699</t>
  </si>
  <si>
    <t>ALIANCA DO TOCANTINS</t>
  </si>
  <si>
    <t>CRIXAS DO TOCANTINS</t>
  </si>
  <si>
    <t>-48.525674</t>
  </si>
  <si>
    <t>-7.172469</t>
  </si>
  <si>
    <t>ARAGOMINAS</t>
  </si>
  <si>
    <t>ARAGUATINS</t>
  </si>
  <si>
    <t>-46.429531</t>
  </si>
  <si>
    <t>-12.416606</t>
  </si>
  <si>
    <t>TAGUATINGA</t>
  </si>
  <si>
    <t>-49.121524</t>
  </si>
  <si>
    <t>-12.486493</t>
  </si>
  <si>
    <t>MONTE DO CARMO</t>
  </si>
  <si>
    <t>-48.505448</t>
  </si>
  <si>
    <t>-8.536023</t>
  </si>
  <si>
    <t>ARAGUACU</t>
  </si>
  <si>
    <t>-48.534218</t>
  </si>
  <si>
    <t>-9.339803</t>
  </si>
  <si>
    <t>MIRACEMA DO TOCANTINS</t>
  </si>
  <si>
    <t>MIRANORTE</t>
  </si>
  <si>
    <t>RIO DOS BOIS</t>
  </si>
  <si>
    <t>-46.481515</t>
  </si>
  <si>
    <t>-12.090182</t>
  </si>
  <si>
    <t>PONTE ALTA DO BOM JESUS</t>
  </si>
  <si>
    <t>PONTE ALTA BOM JESUS</t>
  </si>
  <si>
    <t>-47.538086</t>
  </si>
  <si>
    <t>-10.750268</t>
  </si>
  <si>
    <t>PONTE ALTA DO TOCANTINS</t>
  </si>
  <si>
    <t>-48.689113</t>
  </si>
  <si>
    <t>-8.571522</t>
  </si>
  <si>
    <t>ITAPORA DO TOCANTINS</t>
  </si>
  <si>
    <t>BABACULANDIA</t>
  </si>
  <si>
    <t>-47.767712</t>
  </si>
  <si>
    <t>-13.122635</t>
  </si>
  <si>
    <t>PARANA</t>
  </si>
  <si>
    <t>-46.572515</t>
  </si>
  <si>
    <t>-12.911456</t>
  </si>
  <si>
    <t>NOVO ALEGRE</t>
  </si>
  <si>
    <t>-47.495825</t>
  </si>
  <si>
    <t>-7.333677</t>
  </si>
  <si>
    <t>FILADELFIA</t>
  </si>
  <si>
    <t>-48.166195</t>
  </si>
  <si>
    <t>-8.966282</t>
  </si>
  <si>
    <t>BOM JESUS DO TOCANTINS</t>
  </si>
  <si>
    <t>BARROLANDIA</t>
  </si>
  <si>
    <t>WANDERLANDIA</t>
  </si>
  <si>
    <t>PIUM</t>
  </si>
  <si>
    <t>CRISTALANDIA</t>
  </si>
  <si>
    <t>-48.1899</t>
  </si>
  <si>
    <t>-8.996161</t>
  </si>
  <si>
    <t>TUPIRAMA</t>
  </si>
  <si>
    <t>-48.353633</t>
  </si>
  <si>
    <t>-9.757002</t>
  </si>
  <si>
    <t>LAJEADO</t>
  </si>
  <si>
    <t>TOCANTINIA</t>
  </si>
  <si>
    <t>ARRAIAS</t>
  </si>
  <si>
    <t>Responsável 4</t>
  </si>
  <si>
    <t>Responsável 3</t>
  </si>
  <si>
    <t>Responsável 2</t>
  </si>
  <si>
    <t>Responsável 1</t>
  </si>
  <si>
    <t>LONGITUDE</t>
  </si>
  <si>
    <t>LATITUDE</t>
  </si>
  <si>
    <t>DES_REGI</t>
  </si>
  <si>
    <t>COD_REGI</t>
  </si>
  <si>
    <t>DES_DIST</t>
  </si>
  <si>
    <t>COD_DIST</t>
  </si>
  <si>
    <t>DES_SECC</t>
  </si>
  <si>
    <t>COD_SECC</t>
  </si>
  <si>
    <t>DES_LOC</t>
  </si>
  <si>
    <t>FELIPE DIVINO</t>
  </si>
  <si>
    <t>WALLESON DE OLIVEIRA NUNES</t>
  </si>
  <si>
    <t>JAILTON</t>
  </si>
  <si>
    <t>MARCELO PRIMO</t>
  </si>
  <si>
    <t>LEONARDO SANTOS DA SILVA</t>
  </si>
  <si>
    <t>RICARDO DA CONCEICAO MOURA</t>
  </si>
  <si>
    <t/>
  </si>
  <si>
    <t>DIONE SOUSA MARQUES</t>
  </si>
  <si>
    <t>ALMIR JOSE GOMES</t>
  </si>
  <si>
    <t>OPERAÇÂO</t>
  </si>
  <si>
    <t>Concluído</t>
  </si>
  <si>
    <t>Em processo de compra</t>
  </si>
  <si>
    <t>COCM</t>
  </si>
  <si>
    <t>Em comissionamento</t>
  </si>
  <si>
    <t>Programação COCM</t>
  </si>
  <si>
    <t>Erro controle DMSL</t>
  </si>
  <si>
    <t>Ativo</t>
  </si>
  <si>
    <t>Tensão</t>
  </si>
  <si>
    <t>Potencia</t>
  </si>
  <si>
    <t>SS aberta</t>
  </si>
  <si>
    <t>OS Associada</t>
  </si>
  <si>
    <t>Defeito identificado</t>
  </si>
  <si>
    <t>Responsável</t>
  </si>
  <si>
    <t>Cod Material</t>
  </si>
  <si>
    <t>Não podemos agora</t>
  </si>
  <si>
    <t>Controle + kit comunicação + 3 Celulas</t>
  </si>
  <si>
    <t>Luanderson Martins</t>
  </si>
  <si>
    <t>Vamos requisitar , 3 celulas</t>
  </si>
  <si>
    <t>Celula Fase B</t>
  </si>
  <si>
    <t>Transferir para o COMC, corrigir o aterramento e verificar a possibilidade de corrigir a infiltração do controle com a cola utilizada para vedar vazamento no transformadores</t>
  </si>
  <si>
    <t>Vamos requisitar 1 controle</t>
  </si>
  <si>
    <t>Vamos requisitar, 1 celula</t>
  </si>
  <si>
    <t>ETO-COEP 00115/2026</t>
  </si>
  <si>
    <t>Vamos requisitar 1 celula fase A</t>
  </si>
  <si>
    <t>Vamos requisitar , fase B 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</si>
</sst>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&quot;R$ &quot;#,##0.00;[Red]&quot;-R$ &quot;#,##0.00"/>
  </numFmts>
  <fonts count="47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3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b/>
      <sz val="14"/>
      <color rgb="FF1F3864"/>
      <name val="Arial"/>
      <family val="2"/>
    </font>
    <font>
      <i/>
      <sz val="9"/>
      <color rgb="FF999999"/>
      <name val="Arial"/>
      <family val="2"/>
    </font>
    <font>
      <b/>
      <sz val="10"/>
      <name val="Arial"/>
      <family val="2"/>
    </font>
    <font>
      <b/>
      <sz val="10"/>
      <color rgb="FFBF8F00"/>
      <name val="Arial"/>
      <family val="2"/>
    </font>
    <font>
      <b/>
      <sz val="15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1F3864"/>
      <name val="Arial"/>
      <family val="2"/>
    </font>
    <font>
      <i/>
      <sz val="8"/>
      <color rgb="FF595959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sz val="9"/>
      <color rgb="FF375623"/>
      <name val="Arial"/>
      <family val="2"/>
    </font>
    <font>
      <b/>
      <sz val="9"/>
      <color rgb="FFBF8F00"/>
      <name val="Arial"/>
      <family val="2"/>
    </font>
    <font>
      <sz val="9"/>
      <color rgb="FF843C0C"/>
      <name val="Arial"/>
      <family val="2"/>
    </font>
    <font>
      <b/>
      <sz val="9"/>
      <name val="Arial"/>
      <family val="2"/>
    </font>
    <font>
      <sz val="8"/>
      <color rgb="FF595959"/>
      <name val="Arial"/>
      <family val="2"/>
    </font>
    <font>
      <sz val="9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rgb="FFFF0000"/>
      <name val="Arial"/>
      <family val="2"/>
    </font>
    <font>
      <sz val="11"/>
      <color rgb="FFFF0000"/>
      <name val="Calibri"/>
      <family val="2"/>
      <charset val="1"/>
    </font>
    <font>
      <b/>
      <sz val="9"/>
      <color rgb="FFBF8F00"/>
      <name val="Arial"/>
      <family val="2"/>
    </font>
    <font>
      <sz val="9"/>
      <color rgb="FF375623"/>
      <name val="Arial"/>
      <family val="2"/>
    </font>
    <font>
      <sz val="9"/>
      <color rgb="FF843C0C"/>
      <name val="Arial"/>
      <family val="2"/>
    </font>
    <font>
      <b/>
      <sz val="11"/>
      <color rgb="FF1F3864"/>
      <name val="Arial"/>
      <family val="2"/>
    </font>
    <font>
      <sz val="10"/>
      <color rgb="FFFF0000"/>
      <name val="Arial"/>
      <family val="2"/>
    </font>
    <font>
      <sz val="11"/>
      <name val="Carlito"/>
    </font>
    <font>
      <b/>
      <sz val="11"/>
      <color rgb="FFFFFFFF"/>
      <name val="Carlito"/>
    </font>
    <font>
      <b/>
      <sz val="12"/>
      <color rgb="FF0B3A63"/>
      <name val="Carlito"/>
    </font>
    <font>
      <b/>
      <sz val="11"/>
      <color theme="0"/>
      <name val="Calibri"/>
      <family val="2"/>
      <scheme val="minor"/>
    </font>
    <font>
      <sz val="9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9"/>
      <color theme="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DCE4"/>
        <bgColor rgb="FFE2EFDA"/>
      </patternFill>
    </fill>
    <fill>
      <patternFill patternType="solid">
        <fgColor rgb="FFF2F2F2"/>
        <bgColor rgb="FFFBE9E7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FFDF2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BE9E7"/>
      </patternFill>
    </fill>
    <fill>
      <patternFill patternType="solid">
        <fgColor rgb="FFBF8F00"/>
        <bgColor rgb="FF808000"/>
      </patternFill>
    </fill>
    <fill>
      <patternFill patternType="solid">
        <fgColor rgb="FFFFFDF2"/>
        <bgColor rgb="FFFFFFFF"/>
      </patternFill>
    </fill>
    <fill>
      <patternFill patternType="solid">
        <fgColor rgb="FF843C0C"/>
        <bgColor rgb="FF993366"/>
      </patternFill>
    </fill>
    <fill>
      <patternFill patternType="solid">
        <fgColor rgb="FFFBE9E7"/>
        <bgColor rgb="FFFCE4D6"/>
      </patternFill>
    </fill>
    <fill>
      <patternFill patternType="solid">
        <fgColor rgb="FFF4CCCC"/>
        <bgColor rgb="FFFCE4D6"/>
      </patternFill>
    </fill>
    <fill>
      <patternFill patternType="solid">
        <fgColor rgb="FF0B5CAB"/>
      </patternFill>
    </fill>
    <fill>
      <patternFill patternType="solid">
        <fgColor rgb="FFD9EAF7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4" fontId="27" fillId="0" borderId="0" applyFont="0" applyFill="0" applyBorder="0" applyAlignment="0" applyProtection="0"/>
    <xf numFmtId="0" fontId="38" fillId="0" borderId="0"/>
    <xf numFmtId="0" fontId="1" fillId="0" borderId="0"/>
    <xf numFmtId="0" fontId="43" fillId="0" borderId="0"/>
  </cellStyleXfs>
  <cellXfs count="144">
    <xf numFmtId="0" fontId="0" fillId="0" borderId="0" xfId="0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 vertical="center" indent="1"/>
    </xf>
    <xf numFmtId="164" fontId="5" fillId="3" borderId="1" xfId="0" applyNumberFormat="1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3" fontId="5" fillId="3" borderId="1" xfId="0" applyNumberFormat="1" applyFont="1" applyFill="1" applyBorder="1" applyAlignment="1">
      <alignment horizontal="center" wrapText="1"/>
    </xf>
    <xf numFmtId="0" fontId="6" fillId="0" borderId="1" xfId="0" applyFont="1" applyBorder="1"/>
    <xf numFmtId="164" fontId="7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3" fontId="0" fillId="0" borderId="1" xfId="0" applyNumberForma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0" fontId="10" fillId="4" borderId="1" xfId="0" applyFont="1" applyFill="1" applyBorder="1" applyAlignment="1">
      <alignment horizontal="center" wrapText="1"/>
    </xf>
    <xf numFmtId="164" fontId="10" fillId="4" borderId="1" xfId="0" applyNumberFormat="1" applyFont="1" applyFill="1" applyBorder="1" applyAlignment="1">
      <alignment horizontal="center" wrapText="1"/>
    </xf>
    <xf numFmtId="164" fontId="8" fillId="4" borderId="1" xfId="0" applyNumberFormat="1" applyFont="1" applyFill="1" applyBorder="1" applyAlignment="1">
      <alignment horizontal="center" wrapText="1"/>
    </xf>
    <xf numFmtId="3" fontId="10" fillId="4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/>
    <xf numFmtId="0" fontId="6" fillId="0" borderId="1" xfId="0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 wrapText="1"/>
    </xf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164" fontId="10" fillId="4" borderId="1" xfId="0" applyNumberFormat="1" applyFont="1" applyFill="1" applyBorder="1"/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/>
    </xf>
    <xf numFmtId="0" fontId="6" fillId="0" borderId="0" xfId="0" applyFont="1"/>
    <xf numFmtId="0" fontId="1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7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4" fontId="14" fillId="0" borderId="1" xfId="0" applyNumberFormat="1" applyFont="1" applyBorder="1"/>
    <xf numFmtId="0" fontId="11" fillId="6" borderId="1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164" fontId="18" fillId="0" borderId="0" xfId="0" applyNumberFormat="1" applyFont="1"/>
    <xf numFmtId="0" fontId="17" fillId="7" borderId="1" xfId="0" applyFont="1" applyFill="1" applyBorder="1"/>
    <xf numFmtId="0" fontId="17" fillId="7" borderId="1" xfId="0" applyFont="1" applyFill="1" applyBorder="1" applyAlignment="1">
      <alignment horizontal="center"/>
    </xf>
    <xf numFmtId="164" fontId="17" fillId="7" borderId="1" xfId="0" applyNumberFormat="1" applyFont="1" applyFill="1" applyBorder="1"/>
    <xf numFmtId="0" fontId="19" fillId="8" borderId="1" xfId="0" applyFont="1" applyFill="1" applyBorder="1"/>
    <xf numFmtId="0" fontId="20" fillId="6" borderId="1" xfId="0" applyFont="1" applyFill="1" applyBorder="1" applyAlignment="1">
      <alignment horizontal="center"/>
    </xf>
    <xf numFmtId="0" fontId="17" fillId="5" borderId="1" xfId="0" applyFont="1" applyFill="1" applyBorder="1"/>
    <xf numFmtId="0" fontId="17" fillId="5" borderId="1" xfId="0" applyFont="1" applyFill="1" applyBorder="1" applyAlignment="1">
      <alignment horizontal="center"/>
    </xf>
    <xf numFmtId="164" fontId="17" fillId="5" borderId="1" xfId="0" applyNumberFormat="1" applyFont="1" applyFill="1" applyBorder="1"/>
    <xf numFmtId="0" fontId="21" fillId="9" borderId="1" xfId="0" applyFont="1" applyFill="1" applyBorder="1"/>
    <xf numFmtId="0" fontId="22" fillId="4" borderId="0" xfId="0" applyFont="1" applyFill="1"/>
    <xf numFmtId="164" fontId="22" fillId="4" borderId="0" xfId="0" applyNumberFormat="1" applyFont="1" applyFill="1"/>
    <xf numFmtId="0" fontId="4" fillId="2" borderId="1" xfId="0" applyFont="1" applyFill="1" applyBorder="1" applyAlignment="1">
      <alignment horizontal="center" wrapText="1"/>
    </xf>
    <xf numFmtId="164" fontId="18" fillId="0" borderId="1" xfId="0" applyNumberFormat="1" applyFont="1" applyBorder="1"/>
    <xf numFmtId="164" fontId="17" fillId="0" borderId="1" xfId="0" applyNumberFormat="1" applyFont="1" applyBorder="1"/>
    <xf numFmtId="0" fontId="23" fillId="0" borderId="1" xfId="0" applyFont="1" applyBorder="1" applyAlignment="1">
      <alignment wrapText="1"/>
    </xf>
    <xf numFmtId="0" fontId="24" fillId="5" borderId="1" xfId="0" applyFont="1" applyFill="1" applyBorder="1"/>
    <xf numFmtId="0" fontId="23" fillId="6" borderId="1" xfId="0" applyFont="1" applyFill="1" applyBorder="1" applyAlignment="1">
      <alignment wrapText="1"/>
    </xf>
    <xf numFmtId="164" fontId="22" fillId="4" borderId="1" xfId="0" applyNumberFormat="1" applyFont="1" applyFill="1" applyBorder="1"/>
    <xf numFmtId="0" fontId="4" fillId="10" borderId="1" xfId="0" applyFont="1" applyFill="1" applyBorder="1" applyAlignment="1">
      <alignment horizontal="center" vertical="center" wrapText="1"/>
    </xf>
    <xf numFmtId="0" fontId="17" fillId="11" borderId="1" xfId="0" applyFont="1" applyFill="1" applyBorder="1"/>
    <xf numFmtId="0" fontId="17" fillId="6" borderId="1" xfId="0" applyFont="1" applyFill="1" applyBorder="1"/>
    <xf numFmtId="0" fontId="17" fillId="6" borderId="2" xfId="0" applyFont="1" applyFill="1" applyBorder="1"/>
    <xf numFmtId="0" fontId="17" fillId="11" borderId="1" xfId="0" applyFont="1" applyFill="1" applyBorder="1" applyAlignment="1">
      <alignment wrapText="1"/>
    </xf>
    <xf numFmtId="0" fontId="4" fillId="12" borderId="1" xfId="0" applyFont="1" applyFill="1" applyBorder="1" applyAlignment="1">
      <alignment horizontal="center" vertical="center" wrapText="1"/>
    </xf>
    <xf numFmtId="0" fontId="17" fillId="13" borderId="1" xfId="0" applyFont="1" applyFill="1" applyBorder="1"/>
    <xf numFmtId="0" fontId="24" fillId="13" borderId="2" xfId="0" applyFont="1" applyFill="1" applyBorder="1"/>
    <xf numFmtId="0" fontId="17" fillId="14" borderId="1" xfId="0" applyFont="1" applyFill="1" applyBorder="1"/>
    <xf numFmtId="0" fontId="24" fillId="14" borderId="2" xfId="0" applyFont="1" applyFill="1" applyBorder="1"/>
    <xf numFmtId="0" fontId="26" fillId="0" borderId="0" xfId="0" applyFont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28" fillId="2" borderId="1" xfId="0" applyFont="1" applyFill="1" applyBorder="1" applyAlignment="1">
      <alignment horizontal="center" wrapText="1"/>
    </xf>
    <xf numFmtId="44" fontId="0" fillId="0" borderId="3" xfId="1" applyFont="1" applyBorder="1"/>
    <xf numFmtId="7" fontId="0" fillId="0" borderId="4" xfId="0" applyNumberFormat="1" applyBorder="1"/>
    <xf numFmtId="44" fontId="0" fillId="0" borderId="4" xfId="1" applyFont="1" applyBorder="1"/>
    <xf numFmtId="164" fontId="0" fillId="0" borderId="0" xfId="0" applyNumberFormat="1"/>
    <xf numFmtId="164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vertical="top"/>
    </xf>
    <xf numFmtId="0" fontId="29" fillId="7" borderId="1" xfId="0" applyFont="1" applyFill="1" applyBorder="1" applyAlignment="1">
      <alignment horizontal="center"/>
    </xf>
    <xf numFmtId="0" fontId="30" fillId="5" borderId="1" xfId="0" applyFont="1" applyFill="1" applyBorder="1"/>
    <xf numFmtId="0" fontId="30" fillId="5" borderId="1" xfId="0" applyFont="1" applyFill="1" applyBorder="1" applyAlignment="1">
      <alignment horizontal="center"/>
    </xf>
    <xf numFmtId="0" fontId="31" fillId="7" borderId="1" xfId="0" applyFont="1" applyFill="1" applyBorder="1" applyAlignment="1">
      <alignment horizontal="center"/>
    </xf>
    <xf numFmtId="164" fontId="30" fillId="5" borderId="1" xfId="0" applyNumberFormat="1" applyFont="1" applyFill="1" applyBorder="1"/>
    <xf numFmtId="164" fontId="30" fillId="7" borderId="1" xfId="0" applyNumberFormat="1" applyFont="1" applyFill="1" applyBorder="1"/>
    <xf numFmtId="0" fontId="30" fillId="9" borderId="1" xfId="0" applyFont="1" applyFill="1" applyBorder="1"/>
    <xf numFmtId="0" fontId="32" fillId="0" borderId="0" xfId="0" applyFont="1"/>
    <xf numFmtId="0" fontId="30" fillId="7" borderId="1" xfId="0" applyFont="1" applyFill="1" applyBorder="1" applyAlignment="1">
      <alignment horizontal="center"/>
    </xf>
    <xf numFmtId="0" fontId="33" fillId="6" borderId="1" xfId="0" applyFont="1" applyFill="1" applyBorder="1" applyAlignment="1">
      <alignment horizontal="center"/>
    </xf>
    <xf numFmtId="0" fontId="34" fillId="8" borderId="1" xfId="0" applyFont="1" applyFill="1" applyBorder="1"/>
    <xf numFmtId="164" fontId="29" fillId="7" borderId="1" xfId="0" applyNumberFormat="1" applyFont="1" applyFill="1" applyBorder="1"/>
    <xf numFmtId="0" fontId="29" fillId="7" borderId="1" xfId="0" applyFont="1" applyFill="1" applyBorder="1"/>
    <xf numFmtId="164" fontId="29" fillId="5" borderId="1" xfId="0" applyNumberFormat="1" applyFont="1" applyFill="1" applyBorder="1"/>
    <xf numFmtId="0" fontId="29" fillId="5" borderId="1" xfId="0" applyFont="1" applyFill="1" applyBorder="1" applyAlignment="1">
      <alignment horizontal="center"/>
    </xf>
    <xf numFmtId="0" fontId="29" fillId="5" borderId="1" xfId="0" applyFont="1" applyFill="1" applyBorder="1"/>
    <xf numFmtId="0" fontId="35" fillId="9" borderId="1" xfId="0" applyFont="1" applyFill="1" applyBorder="1"/>
    <xf numFmtId="164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 wrapText="1"/>
    </xf>
    <xf numFmtId="164" fontId="36" fillId="0" borderId="1" xfId="0" applyNumberFormat="1" applyFont="1" applyBorder="1" applyAlignment="1">
      <alignment horizontal="center"/>
    </xf>
    <xf numFmtId="0" fontId="37" fillId="0" borderId="0" xfId="0" applyFont="1"/>
    <xf numFmtId="0" fontId="37" fillId="0" borderId="1" xfId="0" applyFont="1" applyBorder="1" applyAlignment="1">
      <alignment horizontal="center"/>
    </xf>
    <xf numFmtId="164" fontId="37" fillId="0" borderId="1" xfId="0" applyNumberFormat="1" applyFont="1" applyBorder="1" applyAlignment="1">
      <alignment horizontal="right" wrapText="1"/>
    </xf>
    <xf numFmtId="0" fontId="38" fillId="0" borderId="0" xfId="2"/>
    <xf numFmtId="0" fontId="38" fillId="0" borderId="0" xfId="2" applyAlignment="1">
      <alignment wrapText="1"/>
    </xf>
    <xf numFmtId="0" fontId="38" fillId="0" borderId="0" xfId="2" applyAlignment="1">
      <alignment horizontal="center" wrapText="1"/>
    </xf>
    <xf numFmtId="14" fontId="38" fillId="0" borderId="0" xfId="2" applyNumberFormat="1" applyAlignment="1">
      <alignment wrapText="1"/>
    </xf>
    <xf numFmtId="0" fontId="39" fillId="15" borderId="0" xfId="2" applyFont="1" applyFill="1" applyAlignment="1">
      <alignment horizontal="center" vertical="center" wrapText="1"/>
    </xf>
    <xf numFmtId="0" fontId="40" fillId="16" borderId="0" xfId="2" applyFont="1" applyFill="1"/>
    <xf numFmtId="0" fontId="0" fillId="0" borderId="1" xfId="0" applyBorder="1"/>
    <xf numFmtId="0" fontId="19" fillId="8" borderId="0" xfId="0" applyFont="1" applyFill="1"/>
    <xf numFmtId="0" fontId="42" fillId="5" borderId="1" xfId="0" applyFont="1" applyFill="1" applyBorder="1"/>
    <xf numFmtId="0" fontId="42" fillId="5" borderId="1" xfId="0" applyFont="1" applyFill="1" applyBorder="1" applyAlignment="1">
      <alignment horizontal="center"/>
    </xf>
    <xf numFmtId="0" fontId="42" fillId="7" borderId="1" xfId="0" applyFont="1" applyFill="1" applyBorder="1" applyAlignment="1">
      <alignment horizontal="center"/>
    </xf>
    <xf numFmtId="164" fontId="42" fillId="5" borderId="1" xfId="0" applyNumberFormat="1" applyFont="1" applyFill="1" applyBorder="1"/>
    <xf numFmtId="164" fontId="42" fillId="7" borderId="1" xfId="0" applyNumberFormat="1" applyFont="1" applyFill="1" applyBorder="1"/>
    <xf numFmtId="0" fontId="42" fillId="8" borderId="1" xfId="0" applyFont="1" applyFill="1" applyBorder="1"/>
    <xf numFmtId="0" fontId="1" fillId="0" borderId="0" xfId="3"/>
    <xf numFmtId="49" fontId="1" fillId="0" borderId="0" xfId="3" applyNumberFormat="1"/>
    <xf numFmtId="0" fontId="44" fillId="0" borderId="5" xfId="4" applyFont="1" applyBorder="1"/>
    <xf numFmtId="0" fontId="45" fillId="0" borderId="0" xfId="3" applyFont="1"/>
    <xf numFmtId="49" fontId="41" fillId="17" borderId="0" xfId="3" applyNumberFormat="1" applyFont="1" applyFill="1" applyAlignment="1">
      <alignment horizontal="center"/>
    </xf>
    <xf numFmtId="0" fontId="41" fillId="18" borderId="0" xfId="3" applyFont="1" applyFill="1" applyAlignment="1">
      <alignment horizontal="center"/>
    </xf>
    <xf numFmtId="0" fontId="41" fillId="17" borderId="0" xfId="3" applyFont="1" applyFill="1" applyAlignment="1">
      <alignment horizontal="center"/>
    </xf>
    <xf numFmtId="0" fontId="46" fillId="5" borderId="1" xfId="0" applyFont="1" applyFill="1" applyBorder="1"/>
    <xf numFmtId="0" fontId="46" fillId="5" borderId="1" xfId="0" applyFont="1" applyFill="1" applyBorder="1" applyAlignment="1">
      <alignment horizontal="center"/>
    </xf>
    <xf numFmtId="0" fontId="46" fillId="7" borderId="1" xfId="0" applyFont="1" applyFill="1" applyBorder="1" applyAlignment="1">
      <alignment horizontal="center"/>
    </xf>
    <xf numFmtId="164" fontId="46" fillId="5" borderId="1" xfId="0" applyNumberFormat="1" applyFont="1" applyFill="1" applyBorder="1"/>
    <xf numFmtId="164" fontId="46" fillId="7" borderId="1" xfId="0" applyNumberFormat="1" applyFont="1" applyFill="1" applyBorder="1"/>
    <xf numFmtId="0" fontId="46" fillId="8" borderId="1" xfId="0" applyFont="1" applyFill="1" applyBorder="1"/>
    <xf numFmtId="14" fontId="21" fillId="9" borderId="1" xfId="0" applyNumberFormat="1" applyFont="1" applyFill="1" applyBorder="1"/>
    <xf numFmtId="0" fontId="41" fillId="19" borderId="6" xfId="0" applyFont="1" applyFill="1" applyBorder="1" applyAlignment="1">
      <alignment horizontal="center" vertical="center" wrapText="1"/>
    </xf>
    <xf numFmtId="0" fontId="41" fillId="19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20" borderId="6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2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 indent="1"/>
    </xf>
    <xf numFmtId="0" fontId="4" fillId="2" borderId="1" xfId="0" applyFont="1" applyFill="1" applyBorder="1" applyAlignment="1">
      <alignment horizontal="center"/>
    </xf>
    <xf numFmtId="0" fontId="25" fillId="5" borderId="0" xfId="0" applyFont="1" applyFill="1" applyAlignment="1">
      <alignment horizontal="left" vertical="center" indent="1"/>
    </xf>
  </cellXfs>
  <cellStyles count="5">
    <cellStyle name="Moeda" xfId="1" builtinId="4"/>
    <cellStyle name="Normal" xfId="0" builtinId="0"/>
    <cellStyle name="Normal 2" xfId="2" xr:uid="{3D189B44-A216-4953-BB08-506D4F616782}"/>
    <cellStyle name="Normal 2 2" xfId="3" xr:uid="{3E9702A1-C9A2-451D-B9A9-C6038EF7CED1}"/>
    <cellStyle name="Normal_Sheet1" xfId="4" xr:uid="{0D7DAE5D-426B-45EC-84F4-D4D3EE175096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DF2"/>
      <rgbColor rgb="FFE2EFDA"/>
      <rgbColor rgb="FFFCE4D6"/>
      <rgbColor rgb="FFFBE9E7"/>
      <rgbColor rgb="FFFF99CC"/>
      <rgbColor rgb="FFCC99FF"/>
      <rgbColor rgb="FFF4CCCC"/>
      <rgbColor rgb="FF2E75B6"/>
      <rgbColor rgb="FF33CCCC"/>
      <rgbColor rgb="FF99CC00"/>
      <rgbColor rgb="FFFFCC00"/>
      <rgbColor rgb="FFBF8F00"/>
      <rgbColor rgb="FFFF6600"/>
      <rgbColor rgb="FF595959"/>
      <rgbColor rgb="FF999999"/>
      <rgbColor rgb="FF1F3864"/>
      <rgbColor rgb="FF339966"/>
      <rgbColor rgb="FF003300"/>
      <rgbColor rgb="FF333300"/>
      <rgbColor rgb="FF843C0C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114300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929F9011-CB79-B3D4-2487-974D4E670E47}"/>
            </a:ext>
          </a:extLst>
        </xdr:cNvPr>
        <xdr:cNvSpPr>
          <a:spLocks noChangeAspect="1" noChangeArrowheads="1"/>
        </xdr:cNvSpPr>
      </xdr:nvSpPr>
      <xdr:spPr bwMode="auto">
        <a:xfrm>
          <a:off x="0" y="54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152400</xdr:rowOff>
    </xdr:from>
    <xdr:to>
      <xdr:col>8</xdr:col>
      <xdr:colOff>1219200</xdr:colOff>
      <xdr:row>104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F70BEBA-73F1-A62F-7A26-F5D583580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48275"/>
          <a:ext cx="10153650" cy="7019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lms2\Downloads\Rela&#231;&#227;o%20dos%20Equipamentos%20Indispon&#237;veis%20-%20ETO%20(9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isa-my.sharepoint.com/personal/joao_lagares_energisa_com_br/Documents/responsaveis_por_polo.xlsx" TargetMode="External"/><Relationship Id="rId1" Type="http://schemas.openxmlformats.org/officeDocument/2006/relationships/externalLinkPath" Target="responsaveis_por_po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 xml:space="preserve">Filtros aplicados:
ATIVO não é </v>
          </cell>
        </row>
        <row r="2">
          <cell r="A2"/>
        </row>
        <row r="3">
          <cell r="A3" t="str">
            <v>Ativo</v>
          </cell>
          <cell r="F3" t="str">
            <v>Dias Pendente</v>
          </cell>
        </row>
        <row r="4">
          <cell r="A4" t="str">
            <v>7908686014</v>
          </cell>
          <cell r="F4">
            <v>596</v>
          </cell>
        </row>
        <row r="5">
          <cell r="A5" t="str">
            <v>7900535058</v>
          </cell>
          <cell r="F5">
            <v>299</v>
          </cell>
        </row>
        <row r="6">
          <cell r="A6" t="str">
            <v>7953610256</v>
          </cell>
          <cell r="F6">
            <v>107</v>
          </cell>
        </row>
        <row r="7">
          <cell r="A7" t="str">
            <v>7942485096</v>
          </cell>
          <cell r="F7">
            <v>446</v>
          </cell>
        </row>
        <row r="8">
          <cell r="A8" t="str">
            <v>5858783119</v>
          </cell>
          <cell r="F8">
            <v>436</v>
          </cell>
        </row>
        <row r="9">
          <cell r="A9" t="str">
            <v>7900230155</v>
          </cell>
          <cell r="F9">
            <v>431</v>
          </cell>
        </row>
        <row r="10">
          <cell r="A10" t="str">
            <v>5853360007</v>
          </cell>
          <cell r="F10">
            <v>400</v>
          </cell>
        </row>
        <row r="11">
          <cell r="A11" t="str">
            <v>7908206074</v>
          </cell>
          <cell r="F11">
            <v>414</v>
          </cell>
        </row>
        <row r="12">
          <cell r="A12" t="str">
            <v>7900453110</v>
          </cell>
          <cell r="F12">
            <v>407</v>
          </cell>
        </row>
        <row r="13">
          <cell r="A13" t="str">
            <v>7923927122</v>
          </cell>
          <cell r="F13">
            <v>402</v>
          </cell>
        </row>
        <row r="14">
          <cell r="A14" t="str">
            <v>7910027196</v>
          </cell>
          <cell r="F14">
            <v>391</v>
          </cell>
        </row>
        <row r="15">
          <cell r="A15" t="str">
            <v>7957620015</v>
          </cell>
          <cell r="F15">
            <v>391</v>
          </cell>
        </row>
        <row r="16">
          <cell r="A16" t="str">
            <v>7900117013</v>
          </cell>
          <cell r="F16">
            <v>336</v>
          </cell>
        </row>
        <row r="17">
          <cell r="A17" t="str">
            <v>7922995039</v>
          </cell>
          <cell r="F17">
            <v>370</v>
          </cell>
        </row>
        <row r="18">
          <cell r="A18" t="str">
            <v>7943790134</v>
          </cell>
          <cell r="F18">
            <v>370</v>
          </cell>
        </row>
        <row r="19">
          <cell r="A19" t="str">
            <v>7900532053</v>
          </cell>
          <cell r="F19">
            <v>373</v>
          </cell>
        </row>
        <row r="20">
          <cell r="A20" t="str">
            <v>7920024127</v>
          </cell>
          <cell r="F20">
            <v>366</v>
          </cell>
        </row>
        <row r="21">
          <cell r="A21" t="str">
            <v>7928564039</v>
          </cell>
          <cell r="F21">
            <v>370</v>
          </cell>
        </row>
        <row r="22">
          <cell r="A22" t="str">
            <v>7957126085</v>
          </cell>
          <cell r="F22">
            <v>363</v>
          </cell>
        </row>
        <row r="23">
          <cell r="A23" t="str">
            <v>5856156091</v>
          </cell>
          <cell r="F23">
            <v>352</v>
          </cell>
        </row>
        <row r="24">
          <cell r="A24" t="str">
            <v>5854566043</v>
          </cell>
          <cell r="F24">
            <v>315</v>
          </cell>
        </row>
        <row r="25">
          <cell r="A25" t="str">
            <v>7927446001</v>
          </cell>
          <cell r="F25">
            <v>342</v>
          </cell>
        </row>
        <row r="26">
          <cell r="A26" t="str">
            <v>7930428001</v>
          </cell>
          <cell r="F26">
            <v>337</v>
          </cell>
        </row>
        <row r="27">
          <cell r="A27" t="str">
            <v>7928241200</v>
          </cell>
          <cell r="F27">
            <v>334</v>
          </cell>
        </row>
        <row r="28">
          <cell r="A28" t="str">
            <v>5800371025</v>
          </cell>
          <cell r="F28">
            <v>284</v>
          </cell>
        </row>
        <row r="29">
          <cell r="A29" t="str">
            <v>7955520116</v>
          </cell>
          <cell r="F29">
            <v>327</v>
          </cell>
        </row>
        <row r="30">
          <cell r="A30" t="str">
            <v>5844630060</v>
          </cell>
          <cell r="F30">
            <v>301</v>
          </cell>
        </row>
        <row r="31">
          <cell r="A31" t="str">
            <v>7908705049</v>
          </cell>
          <cell r="F31">
            <v>322</v>
          </cell>
        </row>
        <row r="32">
          <cell r="A32" t="str">
            <v>5800438116</v>
          </cell>
          <cell r="F32">
            <v>320</v>
          </cell>
        </row>
        <row r="33">
          <cell r="A33" t="str">
            <v>5856070091</v>
          </cell>
          <cell r="F33">
            <v>320</v>
          </cell>
        </row>
        <row r="34">
          <cell r="A34" t="str">
            <v>7908196047</v>
          </cell>
          <cell r="F34">
            <v>308</v>
          </cell>
        </row>
        <row r="35">
          <cell r="A35" t="str">
            <v>7944319149</v>
          </cell>
          <cell r="F35">
            <v>306</v>
          </cell>
        </row>
        <row r="36">
          <cell r="A36" t="str">
            <v>7900018004</v>
          </cell>
          <cell r="F36">
            <v>286</v>
          </cell>
        </row>
        <row r="37">
          <cell r="A37" t="str">
            <v>5850308009</v>
          </cell>
          <cell r="F37">
            <v>292</v>
          </cell>
        </row>
        <row r="38">
          <cell r="A38" t="str">
            <v>7955430075</v>
          </cell>
          <cell r="F38">
            <v>287</v>
          </cell>
        </row>
        <row r="39">
          <cell r="A39" t="str">
            <v>5827102054</v>
          </cell>
          <cell r="F39">
            <v>280</v>
          </cell>
        </row>
        <row r="40">
          <cell r="A40" t="str">
            <v>7903112004</v>
          </cell>
          <cell r="F40">
            <v>273</v>
          </cell>
        </row>
        <row r="41">
          <cell r="A41" t="str">
            <v>5803327001</v>
          </cell>
          <cell r="F41">
            <v>272</v>
          </cell>
        </row>
        <row r="42">
          <cell r="A42" t="str">
            <v>5855411017</v>
          </cell>
          <cell r="F42">
            <v>273</v>
          </cell>
        </row>
        <row r="43">
          <cell r="A43" t="str">
            <v>7933766059</v>
          </cell>
          <cell r="F43">
            <v>238</v>
          </cell>
        </row>
        <row r="44">
          <cell r="A44" t="str">
            <v>7931610122</v>
          </cell>
          <cell r="F44">
            <v>236</v>
          </cell>
        </row>
        <row r="45">
          <cell r="A45" t="str">
            <v>7900573047</v>
          </cell>
          <cell r="F45">
            <v>237</v>
          </cell>
        </row>
        <row r="46">
          <cell r="A46" t="str">
            <v>7931608059</v>
          </cell>
          <cell r="F46">
            <v>147</v>
          </cell>
        </row>
        <row r="47">
          <cell r="A47" t="str">
            <v>7926089013</v>
          </cell>
          <cell r="F47">
            <v>167</v>
          </cell>
        </row>
        <row r="48">
          <cell r="A48" t="str">
            <v>7947203070</v>
          </cell>
          <cell r="F48">
            <v>192</v>
          </cell>
        </row>
        <row r="49">
          <cell r="A49" t="str">
            <v>5851753086</v>
          </cell>
          <cell r="F49">
            <v>65</v>
          </cell>
        </row>
        <row r="50">
          <cell r="A50" t="str">
            <v>7938137007</v>
          </cell>
          <cell r="F50">
            <v>159</v>
          </cell>
        </row>
        <row r="51">
          <cell r="A51" t="str">
            <v>7925087021</v>
          </cell>
          <cell r="F51">
            <v>177</v>
          </cell>
        </row>
        <row r="52">
          <cell r="A52" t="str">
            <v>5800961074</v>
          </cell>
          <cell r="F52">
            <v>180</v>
          </cell>
        </row>
        <row r="53">
          <cell r="A53" t="str">
            <v>7927713200</v>
          </cell>
          <cell r="F53">
            <v>184</v>
          </cell>
        </row>
        <row r="54">
          <cell r="A54" t="str">
            <v>7937102148</v>
          </cell>
          <cell r="F54">
            <v>167</v>
          </cell>
        </row>
        <row r="55">
          <cell r="A55" t="str">
            <v>5862236091</v>
          </cell>
          <cell r="F55">
            <v>177</v>
          </cell>
        </row>
        <row r="56">
          <cell r="A56" t="str">
            <v>7901110084</v>
          </cell>
          <cell r="F56">
            <v>168</v>
          </cell>
        </row>
        <row r="57">
          <cell r="A57" t="str">
            <v>7962635060</v>
          </cell>
          <cell r="F57">
            <v>163</v>
          </cell>
        </row>
        <row r="58">
          <cell r="A58" t="str">
            <v>7927646026</v>
          </cell>
          <cell r="F58">
            <v>145</v>
          </cell>
        </row>
        <row r="59">
          <cell r="A59" t="str">
            <v>7927169001</v>
          </cell>
          <cell r="F59">
            <v>138</v>
          </cell>
        </row>
        <row r="60">
          <cell r="A60" t="str">
            <v>7908708116</v>
          </cell>
          <cell r="F60">
            <v>132</v>
          </cell>
        </row>
        <row r="61">
          <cell r="A61" t="str">
            <v>7908249152</v>
          </cell>
          <cell r="F61">
            <v>132</v>
          </cell>
        </row>
        <row r="62">
          <cell r="A62" t="str">
            <v>7967181127</v>
          </cell>
          <cell r="F62">
            <v>131</v>
          </cell>
        </row>
        <row r="63">
          <cell r="A63" t="str">
            <v>7933585074</v>
          </cell>
          <cell r="F63">
            <v>127</v>
          </cell>
        </row>
        <row r="64">
          <cell r="A64" t="str">
            <v>7954668084</v>
          </cell>
          <cell r="F64">
            <v>120</v>
          </cell>
        </row>
        <row r="65">
          <cell r="A65" t="str">
            <v>7925744087</v>
          </cell>
          <cell r="F65">
            <v>114</v>
          </cell>
        </row>
        <row r="66">
          <cell r="A66" t="str">
            <v>5865120195</v>
          </cell>
          <cell r="F66">
            <v>112</v>
          </cell>
        </row>
        <row r="67">
          <cell r="A67" t="str">
            <v>7921202014</v>
          </cell>
          <cell r="F67">
            <v>108</v>
          </cell>
        </row>
        <row r="68">
          <cell r="A68" t="str">
            <v>7926442035</v>
          </cell>
          <cell r="F68">
            <v>105</v>
          </cell>
        </row>
        <row r="69">
          <cell r="A69" t="str">
            <v>7927396052</v>
          </cell>
          <cell r="F69">
            <v>106</v>
          </cell>
        </row>
        <row r="70">
          <cell r="A70" t="str">
            <v>7923673004</v>
          </cell>
          <cell r="F70">
            <v>69</v>
          </cell>
        </row>
        <row r="71">
          <cell r="A71" t="str">
            <v>7919270014</v>
          </cell>
          <cell r="F71">
            <v>98</v>
          </cell>
        </row>
        <row r="72">
          <cell r="A72" t="str">
            <v>5801866013</v>
          </cell>
          <cell r="F72">
            <v>93</v>
          </cell>
        </row>
        <row r="73">
          <cell r="A73" t="str">
            <v>7925871077</v>
          </cell>
          <cell r="F73">
            <v>79</v>
          </cell>
        </row>
        <row r="74">
          <cell r="A74" t="str">
            <v>7903569004</v>
          </cell>
          <cell r="F74">
            <v>84</v>
          </cell>
        </row>
        <row r="75">
          <cell r="A75" t="str">
            <v>7936038076</v>
          </cell>
          <cell r="F75">
            <v>93</v>
          </cell>
        </row>
        <row r="76">
          <cell r="A76" t="str">
            <v>7955946007</v>
          </cell>
          <cell r="F76">
            <v>93</v>
          </cell>
        </row>
        <row r="77">
          <cell r="A77" t="str">
            <v>7944559149</v>
          </cell>
          <cell r="F77">
            <v>78</v>
          </cell>
        </row>
        <row r="78">
          <cell r="A78" t="str">
            <v>5836786094</v>
          </cell>
          <cell r="F78">
            <v>48</v>
          </cell>
        </row>
        <row r="79">
          <cell r="A79" t="str">
            <v>7925733015</v>
          </cell>
          <cell r="F79">
            <v>82</v>
          </cell>
        </row>
        <row r="80">
          <cell r="A80" t="str">
            <v>7900525015</v>
          </cell>
          <cell r="F80">
            <v>51</v>
          </cell>
        </row>
        <row r="81">
          <cell r="A81" t="str">
            <v>7926078046</v>
          </cell>
          <cell r="F81">
            <v>68</v>
          </cell>
        </row>
        <row r="82">
          <cell r="A82" t="str">
            <v>5800291035</v>
          </cell>
          <cell r="F82">
            <v>71</v>
          </cell>
        </row>
        <row r="83">
          <cell r="A83" t="str">
            <v>7929376022</v>
          </cell>
          <cell r="F83">
            <v>70</v>
          </cell>
        </row>
        <row r="84">
          <cell r="A84" t="str">
            <v>5800090147</v>
          </cell>
          <cell r="F84">
            <v>62</v>
          </cell>
        </row>
        <row r="85">
          <cell r="A85" t="str">
            <v>7927413001</v>
          </cell>
          <cell r="F85">
            <v>65</v>
          </cell>
        </row>
        <row r="86">
          <cell r="A86" t="str">
            <v>7908302256</v>
          </cell>
          <cell r="F86">
            <v>58</v>
          </cell>
        </row>
        <row r="87">
          <cell r="A87" t="str">
            <v>7955986084</v>
          </cell>
          <cell r="F87">
            <v>64</v>
          </cell>
        </row>
        <row r="88">
          <cell r="A88" t="str">
            <v>7933726256</v>
          </cell>
          <cell r="F88">
            <v>60</v>
          </cell>
        </row>
        <row r="89">
          <cell r="A89" t="str">
            <v>5846328094</v>
          </cell>
          <cell r="F89">
            <v>20</v>
          </cell>
        </row>
        <row r="90">
          <cell r="A90" t="str">
            <v>7907536092</v>
          </cell>
          <cell r="F90">
            <v>48</v>
          </cell>
        </row>
        <row r="91">
          <cell r="A91" t="str">
            <v>7964802072</v>
          </cell>
          <cell r="F91">
            <v>53</v>
          </cell>
        </row>
        <row r="92">
          <cell r="A92" t="str">
            <v>5843904032</v>
          </cell>
          <cell r="F92">
            <v>16</v>
          </cell>
        </row>
        <row r="93">
          <cell r="A93" t="str">
            <v>7964803072</v>
          </cell>
          <cell r="F93">
            <v>49</v>
          </cell>
        </row>
        <row r="94">
          <cell r="A94" t="str">
            <v>7931863074</v>
          </cell>
          <cell r="F94">
            <v>42</v>
          </cell>
        </row>
        <row r="95">
          <cell r="A95" t="str">
            <v>7900654055</v>
          </cell>
          <cell r="F95">
            <v>41</v>
          </cell>
        </row>
        <row r="96">
          <cell r="A96" t="str">
            <v>5800859011</v>
          </cell>
          <cell r="F96">
            <v>7</v>
          </cell>
        </row>
        <row r="97">
          <cell r="A97" t="str">
            <v>7942572059</v>
          </cell>
          <cell r="F97">
            <v>22</v>
          </cell>
        </row>
        <row r="98">
          <cell r="A98" t="str">
            <v>5837543086</v>
          </cell>
          <cell r="F98">
            <v>30</v>
          </cell>
        </row>
        <row r="99">
          <cell r="A99" t="str">
            <v>7925107033</v>
          </cell>
          <cell r="F99">
            <v>24</v>
          </cell>
        </row>
        <row r="100">
          <cell r="A100" t="str">
            <v>7957920111</v>
          </cell>
          <cell r="F100">
            <v>24</v>
          </cell>
        </row>
        <row r="101">
          <cell r="A101" t="str">
            <v>7929763027</v>
          </cell>
          <cell r="F101">
            <v>24</v>
          </cell>
        </row>
        <row r="102">
          <cell r="A102" t="str">
            <v>7955635116</v>
          </cell>
          <cell r="F102">
            <v>22</v>
          </cell>
        </row>
        <row r="103">
          <cell r="A103" t="str">
            <v>7900648055</v>
          </cell>
          <cell r="F103">
            <v>21</v>
          </cell>
        </row>
        <row r="104">
          <cell r="A104" t="str">
            <v>7957021094</v>
          </cell>
          <cell r="F104">
            <v>14</v>
          </cell>
        </row>
        <row r="105">
          <cell r="A105" t="str">
            <v>7926785070</v>
          </cell>
          <cell r="F105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ponsaveis por Polo"/>
      <sheetName val="dSeg_Territorial (2)"/>
    </sheetNames>
    <sheetDataSet>
      <sheetData sheetId="0"/>
      <sheetData sheetId="1">
        <row r="1">
          <cell r="B1" t="str">
            <v>DES_LOC</v>
          </cell>
          <cell r="K1" t="str">
            <v>Responsável 1</v>
          </cell>
        </row>
        <row r="2">
          <cell r="B2" t="str">
            <v>PORTO NACIONAL</v>
          </cell>
          <cell r="K2" t="str">
            <v>FELIPE DIVINO</v>
          </cell>
        </row>
        <row r="3">
          <cell r="B3" t="str">
            <v>TOCANTINOPOLIS</v>
          </cell>
          <cell r="K3" t="str">
            <v>LEONARDO SANTOS DA SILVA</v>
          </cell>
        </row>
        <row r="4">
          <cell r="B4" t="str">
            <v>GURUPI</v>
          </cell>
          <cell r="K4" t="str">
            <v>DIONE SOUSA MARQUES</v>
          </cell>
        </row>
        <row r="5">
          <cell r="B5" t="str">
            <v>ARAGUAINA</v>
          </cell>
          <cell r="K5" t="str">
            <v>LEONARDO SANTOS DA SILVA</v>
          </cell>
        </row>
        <row r="6">
          <cell r="B6" t="str">
            <v>ARRAIAS</v>
          </cell>
          <cell r="K6" t="str">
            <v>DIONE SOUSA MARQUES</v>
          </cell>
        </row>
        <row r="7">
          <cell r="B7" t="str">
            <v>TOCANTINIA</v>
          </cell>
          <cell r="K7" t="str">
            <v>FELIPE DIVINO</v>
          </cell>
        </row>
        <row r="8">
          <cell r="B8" t="str">
            <v>MIRACEMA DO TOCANTINS</v>
          </cell>
          <cell r="K8" t="str">
            <v>FELIPE DIVINO</v>
          </cell>
        </row>
        <row r="9">
          <cell r="B9" t="str">
            <v>MIRANORTE</v>
          </cell>
          <cell r="K9" t="str">
            <v>FELIPE DIVINO</v>
          </cell>
        </row>
        <row r="10">
          <cell r="B10" t="str">
            <v>GUARAI</v>
          </cell>
          <cell r="K10" t="str">
            <v>LEONARDO SANTOS DA SILVA</v>
          </cell>
        </row>
        <row r="11">
          <cell r="B11" t="str">
            <v>LAJEADO</v>
          </cell>
          <cell r="K11" t="str">
            <v>FELIPE DIVINO</v>
          </cell>
        </row>
        <row r="12">
          <cell r="B12" t="str">
            <v>TUPIRAMA</v>
          </cell>
          <cell r="K12" t="str">
            <v>LEONARDO SANTOS DA SILVA</v>
          </cell>
        </row>
        <row r="13">
          <cell r="B13" t="str">
            <v>CRISTALANDIA</v>
          </cell>
          <cell r="K13" t="str">
            <v>FELIPE DIVINO</v>
          </cell>
        </row>
        <row r="14">
          <cell r="B14" t="str">
            <v>PARAISO DO TOCANTINS</v>
          </cell>
          <cell r="K14" t="str">
            <v>FELIPE DIVINO</v>
          </cell>
        </row>
        <row r="15">
          <cell r="B15" t="str">
            <v>PIUM</v>
          </cell>
          <cell r="K15" t="str">
            <v>FELIPE DIVINO</v>
          </cell>
        </row>
        <row r="16">
          <cell r="B16" t="str">
            <v>PEDRO AFONSO</v>
          </cell>
          <cell r="K16" t="str">
            <v>LEONARDO SANTOS DA SILVA</v>
          </cell>
        </row>
        <row r="17">
          <cell r="B17" t="str">
            <v>WANDERLANDIA</v>
          </cell>
          <cell r="K17" t="str">
            <v>LEONARDO SANTOS DA SILVA</v>
          </cell>
        </row>
        <row r="18">
          <cell r="B18" t="str">
            <v>BARROLANDIA</v>
          </cell>
          <cell r="K18" t="str">
            <v>FELIPE DIVINO</v>
          </cell>
        </row>
        <row r="19">
          <cell r="B19" t="str">
            <v>BOM JESUS DO TOCANTINS</v>
          </cell>
          <cell r="K19" t="str">
            <v>LEONARDO SANTOS DA SILVA</v>
          </cell>
        </row>
        <row r="20">
          <cell r="B20" t="str">
            <v>FILADELFIA</v>
          </cell>
          <cell r="K20" t="str">
            <v>LEONARDO SANTOS DA SILVA</v>
          </cell>
        </row>
        <row r="21">
          <cell r="B21" t="str">
            <v>NOVO ALEGRE</v>
          </cell>
          <cell r="K21" t="str">
            <v>DIONE SOUSA MARQUES</v>
          </cell>
        </row>
        <row r="22">
          <cell r="B22" t="str">
            <v>PARANA</v>
          </cell>
          <cell r="K22" t="str">
            <v>DIONE SOUSA MARQUES</v>
          </cell>
        </row>
        <row r="23">
          <cell r="B23" t="str">
            <v>BABACULANDIA</v>
          </cell>
          <cell r="K23" t="str">
            <v>LEONARDO SANTOS DA SILVA</v>
          </cell>
        </row>
        <row r="24">
          <cell r="B24" t="str">
            <v>COLINAS DO TOCANTINS</v>
          </cell>
          <cell r="K24" t="str">
            <v>LEONARDO SANTOS DA SILVA</v>
          </cell>
        </row>
        <row r="25">
          <cell r="B25" t="str">
            <v>ITAPORA DO TOCANTINS</v>
          </cell>
          <cell r="K25" t="str">
            <v>LEONARDO SANTOS DA SILVA</v>
          </cell>
        </row>
        <row r="26">
          <cell r="B26" t="str">
            <v>ARAPOEMA</v>
          </cell>
          <cell r="K26" t="str">
            <v>LEONARDO SANTOS DA SILVA</v>
          </cell>
        </row>
        <row r="27">
          <cell r="B27" t="str">
            <v>PONTE ALTA TOCANTINS</v>
          </cell>
          <cell r="K27" t="str">
            <v>FELIPE DIVINO</v>
          </cell>
        </row>
        <row r="28">
          <cell r="B28" t="str">
            <v>PONTE ALTA BOM JESUS</v>
          </cell>
          <cell r="K28" t="str">
            <v>DIONE SOUSA MARQUES</v>
          </cell>
        </row>
        <row r="29">
          <cell r="B29" t="str">
            <v>NATIVIDADE</v>
          </cell>
          <cell r="K29" t="str">
            <v>DIONE SOUSA MARQUES</v>
          </cell>
        </row>
        <row r="30">
          <cell r="B30" t="str">
            <v>PALMEIROPOLIS</v>
          </cell>
          <cell r="K30" t="str">
            <v>DIONE SOUSA MARQUES</v>
          </cell>
        </row>
        <row r="31">
          <cell r="B31" t="str">
            <v>XAMBIOA</v>
          </cell>
          <cell r="K31" t="str">
            <v>LEONARDO SANTOS DA SILVA</v>
          </cell>
        </row>
        <row r="32">
          <cell r="B32" t="str">
            <v>RIO DOS BOIS</v>
          </cell>
          <cell r="K32" t="str">
            <v>FELIPE DIVINO</v>
          </cell>
        </row>
        <row r="33">
          <cell r="B33" t="str">
            <v>ARAGUACU</v>
          </cell>
          <cell r="K33" t="str">
            <v>DIONE SOUSA MARQUES</v>
          </cell>
        </row>
        <row r="34">
          <cell r="B34" t="str">
            <v>COLMEIA</v>
          </cell>
          <cell r="K34" t="str">
            <v>LEONARDO SANTOS DA SILVA</v>
          </cell>
        </row>
        <row r="35">
          <cell r="B35" t="str">
            <v>PRESIDENTE KENNEDY</v>
          </cell>
          <cell r="K35" t="str">
            <v>LEONARDO SANTOS DA SILVA</v>
          </cell>
        </row>
        <row r="36">
          <cell r="B36" t="str">
            <v>MONTE DO CARMO</v>
          </cell>
          <cell r="K36" t="str">
            <v>FELIPE DIVINO</v>
          </cell>
        </row>
        <row r="37">
          <cell r="B37" t="str">
            <v>ALVORADA</v>
          </cell>
          <cell r="K37" t="str">
            <v>DIONE SOUSA MARQUES</v>
          </cell>
        </row>
        <row r="38">
          <cell r="B38" t="str">
            <v>ALIANCA DO TOCANTINS</v>
          </cell>
          <cell r="K38" t="str">
            <v>DIONE SOUSA MARQUES</v>
          </cell>
        </row>
        <row r="39">
          <cell r="B39" t="str">
            <v>TAGUATINGA</v>
          </cell>
          <cell r="K39" t="str">
            <v>DIONE SOUSA MARQUES</v>
          </cell>
        </row>
        <row r="40">
          <cell r="B40" t="str">
            <v>ARAGUATINS</v>
          </cell>
          <cell r="K40" t="str">
            <v>LEONARDO SANTOS DA SILVA</v>
          </cell>
        </row>
        <row r="41">
          <cell r="B41" t="str">
            <v>ARAGOMINAS</v>
          </cell>
          <cell r="K41" t="str">
            <v>LEONARDO SANTOS DA SILVA</v>
          </cell>
        </row>
        <row r="42">
          <cell r="B42" t="str">
            <v>CRIXAS DO TOCANTINS</v>
          </cell>
          <cell r="K42" t="str">
            <v>DIONE SOUSA MARQUES</v>
          </cell>
        </row>
        <row r="43">
          <cell r="B43" t="str">
            <v>CARIRI DO TOCANTINS</v>
          </cell>
          <cell r="K43" t="str">
            <v>DIONE SOUSA MARQUES</v>
          </cell>
        </row>
        <row r="44">
          <cell r="B44" t="str">
            <v>SILVANOPOLIS</v>
          </cell>
          <cell r="K44" t="str">
            <v>FELIPE DIVINO</v>
          </cell>
        </row>
        <row r="45">
          <cell r="B45" t="str">
            <v>FATIMA</v>
          </cell>
          <cell r="K45" t="str">
            <v>FELIPE DIVINO</v>
          </cell>
        </row>
        <row r="46">
          <cell r="B46" t="str">
            <v>AUGUSTINOPOLIS</v>
          </cell>
          <cell r="K46" t="str">
            <v>LEONARDO SANTOS DA SILVA</v>
          </cell>
        </row>
        <row r="47">
          <cell r="B47" t="str">
            <v>NOVA ROSALANDIA</v>
          </cell>
          <cell r="K47" t="str">
            <v>FELIPE DIVINO</v>
          </cell>
        </row>
        <row r="48">
          <cell r="B48" t="str">
            <v>FIGUEIROPOLIS</v>
          </cell>
          <cell r="K48" t="str">
            <v>DIONE SOUSA MARQUES</v>
          </cell>
        </row>
        <row r="49">
          <cell r="B49" t="str">
            <v>FORTALEZA DO TABOCAO</v>
          </cell>
          <cell r="K49" t="str">
            <v>LEONARDO SANTOS DA SILVA</v>
          </cell>
        </row>
        <row r="50">
          <cell r="B50" t="str">
            <v>AURORA DO TOCANTINS</v>
          </cell>
          <cell r="K50" t="str">
            <v>DIONE SOUSA MARQUES</v>
          </cell>
        </row>
        <row r="51">
          <cell r="B51" t="str">
            <v>COMBINADO</v>
          </cell>
          <cell r="K51" t="str">
            <v>DIONE SOUSA MARQUES</v>
          </cell>
        </row>
        <row r="52">
          <cell r="B52" t="str">
            <v>LAVANDEIRA</v>
          </cell>
          <cell r="K52" t="str">
            <v>DIONE SOUSA MARQUES</v>
          </cell>
        </row>
        <row r="53">
          <cell r="B53" t="str">
            <v>FORMOSO DO ARAGUAIA</v>
          </cell>
          <cell r="K53" t="str">
            <v>DIONE SOUSA MARQUES</v>
          </cell>
        </row>
        <row r="54">
          <cell r="B54" t="str">
            <v>PIRAQUE</v>
          </cell>
          <cell r="K54" t="str">
            <v>LEONARDO SANTOS DA SILVA</v>
          </cell>
        </row>
        <row r="55">
          <cell r="B55" t="str">
            <v>PUGMIL</v>
          </cell>
          <cell r="K55" t="str">
            <v>FELIPE DIVINO</v>
          </cell>
        </row>
        <row r="56">
          <cell r="B56" t="str">
            <v>ARAGUACEMA</v>
          </cell>
          <cell r="K56" t="str">
            <v>FELIPE DIVINO</v>
          </cell>
        </row>
        <row r="57">
          <cell r="B57" t="str">
            <v>CARMOLANDIA</v>
          </cell>
          <cell r="K57" t="str">
            <v>LEONARDO SANTOS DA SILVA</v>
          </cell>
        </row>
        <row r="58">
          <cell r="B58" t="str">
            <v>SANTA FE DO ARAGUAIA</v>
          </cell>
          <cell r="K58" t="str">
            <v>LEONARDO SANTOS DA SILVA</v>
          </cell>
        </row>
        <row r="59">
          <cell r="B59" t="str">
            <v>TAQUARALTO</v>
          </cell>
          <cell r="K59" t="str">
            <v>FELIPE DIVINO</v>
          </cell>
        </row>
        <row r="60">
          <cell r="B60" t="str">
            <v>NOVA OLINDA</v>
          </cell>
          <cell r="K60" t="str">
            <v>LEONARDO SANTOS DA SILVA</v>
          </cell>
        </row>
        <row r="61">
          <cell r="B61" t="str">
            <v>BANDEIRANTES DO TOCANTINS</v>
          </cell>
          <cell r="K61" t="str">
            <v>LEONARDO SANTOS DA SILVA</v>
          </cell>
        </row>
        <row r="62">
          <cell r="B62" t="str">
            <v>BRASILANDIA DO TOCANTINS</v>
          </cell>
          <cell r="K62" t="str">
            <v>LEONARDO SANTOS DA SILVA</v>
          </cell>
        </row>
        <row r="63">
          <cell r="B63" t="str">
            <v>AXIXA DO TOCANTINS</v>
          </cell>
          <cell r="K63" t="str">
            <v>LEONARDO SANTOS DA SILVA</v>
          </cell>
        </row>
        <row r="64">
          <cell r="B64" t="str">
            <v>TUPIRATINS</v>
          </cell>
          <cell r="K64" t="str">
            <v>LEONARDO SANTOS DA SILVA</v>
          </cell>
        </row>
        <row r="65">
          <cell r="B65" t="str">
            <v>BURITI DO TOCANTINS</v>
          </cell>
          <cell r="K65" t="str">
            <v>LEONARDO SANTOS DA SILVA</v>
          </cell>
        </row>
        <row r="66">
          <cell r="B66" t="str">
            <v>SAO SEBASTIAO DO TOCANTINS</v>
          </cell>
          <cell r="K66" t="str">
            <v>LEONARDO SANTOS DA SILVA</v>
          </cell>
        </row>
        <row r="67">
          <cell r="B67" t="str">
            <v>RIO SONO</v>
          </cell>
          <cell r="K67" t="str">
            <v>FELIPE DIVINO</v>
          </cell>
        </row>
        <row r="68">
          <cell r="B68" t="str">
            <v>BREJINHO DE NAZARE</v>
          </cell>
          <cell r="K68" t="str">
            <v>FELIPE DIVINO</v>
          </cell>
        </row>
        <row r="69">
          <cell r="B69" t="str">
            <v>CONCEICAO DO TOCANTINS</v>
          </cell>
          <cell r="K69" t="str">
            <v>DIONE SOUSA MARQUES</v>
          </cell>
        </row>
        <row r="70">
          <cell r="B70" t="str">
            <v>LAGOA DA CONFUSAO</v>
          </cell>
          <cell r="K70" t="str">
            <v>FELIPE DIVINO</v>
          </cell>
        </row>
        <row r="71">
          <cell r="B71" t="str">
            <v>DIANOPOLIS</v>
          </cell>
          <cell r="K71" t="str">
            <v>DIONE SOUSA MARQUES</v>
          </cell>
        </row>
        <row r="72">
          <cell r="B72" t="str">
            <v>DOIS IRMAOS DO TOCANTINS</v>
          </cell>
          <cell r="K72" t="str">
            <v>FELIPE DIVINO</v>
          </cell>
        </row>
        <row r="73">
          <cell r="B73" t="str">
            <v>DUERE</v>
          </cell>
          <cell r="K73" t="str">
            <v>DIONE SOUSA MARQUES</v>
          </cell>
        </row>
        <row r="74">
          <cell r="B74" t="str">
            <v>GOIATINS</v>
          </cell>
          <cell r="K74" t="str">
            <v>LEONARDO SANTOS DA SILVA</v>
          </cell>
        </row>
        <row r="75">
          <cell r="B75" t="str">
            <v>ITACAJA</v>
          </cell>
          <cell r="K75" t="str">
            <v>LEONARDO SANTOS DA SILVA</v>
          </cell>
        </row>
        <row r="76">
          <cell r="B76" t="str">
            <v>ITAPIRATINS</v>
          </cell>
          <cell r="K76" t="str">
            <v>LEONARDO SANTOS DA SILVA</v>
          </cell>
        </row>
        <row r="77">
          <cell r="B77" t="str">
            <v>DARCINOPOLIS</v>
          </cell>
          <cell r="K77" t="str">
            <v>LEONARDO SANTOS DA SILVA</v>
          </cell>
        </row>
        <row r="78">
          <cell r="B78" t="str">
            <v>ITAGUATINS</v>
          </cell>
          <cell r="K78" t="str">
            <v>LEONARDO SANTOS DA SILVA</v>
          </cell>
        </row>
        <row r="79">
          <cell r="B79" t="str">
            <v>LIZARDA</v>
          </cell>
          <cell r="K79" t="str">
            <v>FELIPE DIVINO</v>
          </cell>
        </row>
        <row r="80">
          <cell r="B80" t="str">
            <v>APARECIDA DO RIO NEGRO</v>
          </cell>
          <cell r="K80" t="str">
            <v>FELIPE DIVINO</v>
          </cell>
        </row>
        <row r="81">
          <cell r="B81" t="str">
            <v>DIVINOPOLIS</v>
          </cell>
          <cell r="K81" t="str">
            <v>FELIPE DIVINO</v>
          </cell>
        </row>
        <row r="82">
          <cell r="B82" t="str">
            <v>MONTE SANTO DO TOCANTINS</v>
          </cell>
          <cell r="K82" t="str">
            <v>FELIPE DIVINO</v>
          </cell>
        </row>
        <row r="83">
          <cell r="B83" t="str">
            <v>MARIANOPOLIS</v>
          </cell>
          <cell r="K83" t="str">
            <v>FELIPE DIVINO</v>
          </cell>
        </row>
        <row r="84">
          <cell r="B84" t="str">
            <v>GOIANORTE</v>
          </cell>
          <cell r="K84" t="str">
            <v>LEONARDO SANTOS DA SILVA</v>
          </cell>
        </row>
        <row r="85">
          <cell r="B85" t="str">
            <v>SITIO NOVO DO TOCANTINS</v>
          </cell>
          <cell r="K85" t="str">
            <v>LEONARDO SANTOS DA SILVA</v>
          </cell>
        </row>
        <row r="86">
          <cell r="B86" t="str">
            <v>SUCUPIRA</v>
          </cell>
          <cell r="K86" t="str">
            <v>DIONE SOUSA MARQUES</v>
          </cell>
        </row>
        <row r="87">
          <cell r="B87" t="str">
            <v>NAZARE</v>
          </cell>
          <cell r="K87" t="str">
            <v>LEONARDO SANTOS DA SILVA</v>
          </cell>
        </row>
        <row r="88">
          <cell r="B88" t="str">
            <v>ALMAS</v>
          </cell>
          <cell r="K88" t="str">
            <v>DIONE SOUSA MARQUES</v>
          </cell>
        </row>
        <row r="89">
          <cell r="B89" t="str">
            <v>NOVO ACORDO</v>
          </cell>
          <cell r="K89" t="str">
            <v>FELIPE DIVINO</v>
          </cell>
        </row>
        <row r="90">
          <cell r="B90" t="str">
            <v>PEIXE</v>
          </cell>
          <cell r="K90" t="str">
            <v>DIONE SOUSA MARQUES</v>
          </cell>
        </row>
        <row r="91">
          <cell r="B91" t="str">
            <v>PINDORAMA DO TOCANTINS</v>
          </cell>
          <cell r="K91" t="str">
            <v>FELIPE DIVINO</v>
          </cell>
        </row>
        <row r="92">
          <cell r="B92" t="str">
            <v>TALISMA</v>
          </cell>
          <cell r="K92" t="str">
            <v>DIONE SOUSA MARQUES</v>
          </cell>
        </row>
        <row r="93">
          <cell r="B93" t="str">
            <v>ANANAS</v>
          </cell>
          <cell r="K93" t="str">
            <v>LEONARDO SANTOS DA SILVA</v>
          </cell>
        </row>
        <row r="94">
          <cell r="B94" t="str">
            <v>TAQUARUSSU DO PORTO</v>
          </cell>
          <cell r="K94" t="str">
            <v>FELIPE DIVINO</v>
          </cell>
        </row>
        <row r="95">
          <cell r="B95" t="str">
            <v>PORTO ALEGRE DO TOCANTINS</v>
          </cell>
          <cell r="K95" t="str">
            <v>DIONE SOUSA MARQUES</v>
          </cell>
        </row>
        <row r="96">
          <cell r="B96" t="str">
            <v>SAO MIGUEL DO TOCANTINS</v>
          </cell>
          <cell r="K96" t="str">
            <v>LEONARDO SANTOS DA SILVA</v>
          </cell>
        </row>
        <row r="97">
          <cell r="B97" t="str">
            <v>SANTA MARIA DO TOCANTINS</v>
          </cell>
          <cell r="K97" t="str">
            <v>LEONARDO SANTOS DA SILVA</v>
          </cell>
        </row>
        <row r="98">
          <cell r="B98" t="str">
            <v>OLIVEIRA DE FATIMA</v>
          </cell>
          <cell r="K98" t="str">
            <v>FELIPE DIVINO</v>
          </cell>
        </row>
        <row r="99">
          <cell r="B99" t="str">
            <v>SANDOLANDIA</v>
          </cell>
          <cell r="K99" t="str">
            <v>DIONE SOUSA MARQUES</v>
          </cell>
        </row>
        <row r="100">
          <cell r="B100" t="str">
            <v>ANGICO</v>
          </cell>
          <cell r="K100" t="str">
            <v>LEONARDO SANTOS DA SILVA</v>
          </cell>
        </row>
        <row r="101">
          <cell r="B101" t="str">
            <v>SANTA RITA DO TOCANTINS</v>
          </cell>
          <cell r="K101" t="str">
            <v>FELIPE DIVINO</v>
          </cell>
        </row>
        <row r="102">
          <cell r="B102" t="str">
            <v>PEQUIZEIRO</v>
          </cell>
          <cell r="K102" t="str">
            <v>LEONARDO SANTOS DA SILVA</v>
          </cell>
        </row>
        <row r="103">
          <cell r="B103" t="str">
            <v>COUTO MAGALHAES</v>
          </cell>
          <cell r="K103" t="str">
            <v>LEONARDO SANTOS DA SILVA</v>
          </cell>
        </row>
        <row r="104">
          <cell r="B104" t="str">
            <v>CHAPADA DA NATIVIDADE</v>
          </cell>
          <cell r="K104" t="str">
            <v>DIONE SOUSA MARQUES</v>
          </cell>
        </row>
        <row r="105">
          <cell r="B105" t="str">
            <v>SAO BENTO DO TOCANTINS</v>
          </cell>
          <cell r="K105" t="str">
            <v>LEONARDO SANTOS DA SILVA</v>
          </cell>
        </row>
        <row r="106">
          <cell r="B106" t="str">
            <v>PALMAS</v>
          </cell>
          <cell r="K106" t="str">
            <v>FELIPE DIVINO</v>
          </cell>
        </row>
        <row r="107">
          <cell r="B107" t="str">
            <v>AGUIARNOPOLIS</v>
          </cell>
          <cell r="K107" t="str">
            <v>LEONARDO SANTOS DA SILVA</v>
          </cell>
        </row>
        <row r="108">
          <cell r="B108" t="str">
            <v>RIACHINHO</v>
          </cell>
          <cell r="K108" t="str">
            <v>LEONARDO SANTOS DA SILVA</v>
          </cell>
        </row>
        <row r="109">
          <cell r="B109" t="str">
            <v>PALMEIRAS DO TOCANTINS</v>
          </cell>
          <cell r="K109" t="str">
            <v>LEONARDO SANTOS DA SILVA</v>
          </cell>
        </row>
        <row r="110">
          <cell r="B110" t="str">
            <v>SANTA TEREZINHA DO TOCANTINS</v>
          </cell>
          <cell r="K110" t="str">
            <v>LEONARDO SANTOS DA SILVA</v>
          </cell>
        </row>
        <row r="111">
          <cell r="B111" t="str">
            <v>BELA VISTA</v>
          </cell>
          <cell r="K111" t="str">
            <v>LEONARDO SANTOS DA SILVA</v>
          </cell>
        </row>
        <row r="112">
          <cell r="B112" t="str">
            <v>PRAIA NORTE</v>
          </cell>
          <cell r="K112" t="str">
            <v>LEONARDO SANTOS DA SILVA</v>
          </cell>
        </row>
        <row r="113">
          <cell r="B113" t="str">
            <v>SAMPAIO</v>
          </cell>
          <cell r="K113" t="str">
            <v>LEONARDO SANTOS DA SILVA</v>
          </cell>
        </row>
        <row r="114">
          <cell r="B114" t="str">
            <v>CARRASCO BONITO</v>
          </cell>
          <cell r="K114" t="str">
            <v>LEONARDO SANTOS DA SILVA</v>
          </cell>
        </row>
        <row r="115">
          <cell r="B115" t="str">
            <v>ESPERANTINA</v>
          </cell>
          <cell r="K115" t="str">
            <v>LEONARDO SANTOS DA SILVA</v>
          </cell>
        </row>
        <row r="116">
          <cell r="B116" t="str">
            <v>PAU D'ARCO</v>
          </cell>
          <cell r="K116" t="str">
            <v>LEONARDO SANTOS DA SILVA</v>
          </cell>
        </row>
        <row r="117">
          <cell r="B117" t="str">
            <v>MAURILANDIA DO TOCANTINS</v>
          </cell>
          <cell r="K117" t="str">
            <v>LEONARDO SANTOS DA SILVA</v>
          </cell>
        </row>
        <row r="118">
          <cell r="B118" t="str">
            <v>ALTO LINDO</v>
          </cell>
          <cell r="K118" t="str">
            <v>LEONARDO SANTOS DA SILVA</v>
          </cell>
        </row>
        <row r="119">
          <cell r="B119" t="str">
            <v>TAIPAS DO TOCANTINS</v>
          </cell>
          <cell r="K119" t="str">
            <v>DIONE SOUSA MARQUES</v>
          </cell>
        </row>
        <row r="120">
          <cell r="B120" t="str">
            <v>SAO VALERIO DA NATIVIDADE</v>
          </cell>
          <cell r="K120" t="str">
            <v>DIONE SOUSA MARQUES</v>
          </cell>
        </row>
        <row r="121">
          <cell r="B121" t="str">
            <v>CASEARA</v>
          </cell>
          <cell r="K121" t="str">
            <v>FELIPE DIVINO</v>
          </cell>
        </row>
        <row r="122">
          <cell r="B122" t="str">
            <v>SANTA TEREZA DO TOCANTINS</v>
          </cell>
          <cell r="K122" t="str">
            <v>FELIPE DIVINO</v>
          </cell>
        </row>
        <row r="123">
          <cell r="B123" t="str">
            <v>SANTA ROSA DO TOCANTINS</v>
          </cell>
          <cell r="K123" t="str">
            <v>FELIPE DIVINO</v>
          </cell>
        </row>
        <row r="124">
          <cell r="B124" t="str">
            <v>BERNARDO SAYAO</v>
          </cell>
          <cell r="K124" t="str">
            <v>LEONARDO SANTOS DA SILVA</v>
          </cell>
        </row>
        <row r="125">
          <cell r="B125" t="str">
            <v>JUARINA</v>
          </cell>
          <cell r="K125" t="str">
            <v>LEONARDO SANTOS DA SILVA</v>
          </cell>
        </row>
        <row r="126">
          <cell r="B126" t="str">
            <v>PALMEIRANTE</v>
          </cell>
          <cell r="K126" t="str">
            <v>LEONARDO SANTOS DA SILVA</v>
          </cell>
        </row>
        <row r="127">
          <cell r="B127" t="str">
            <v>CACHOEIRINHA</v>
          </cell>
          <cell r="K127" t="str">
            <v>LEONARDO SANTOS DA SILVA</v>
          </cell>
        </row>
        <row r="128">
          <cell r="B128" t="str">
            <v>ARAGUANA</v>
          </cell>
          <cell r="K128" t="str">
            <v>LEONARDO SANTOS DA SILVA</v>
          </cell>
        </row>
        <row r="129">
          <cell r="B129" t="str">
            <v>MURICILANDIA</v>
          </cell>
          <cell r="K129" t="str">
            <v>LEONARDO SANTOS DA SILVA</v>
          </cell>
        </row>
        <row r="130">
          <cell r="B130" t="str">
            <v>LUZINOPOLIS</v>
          </cell>
          <cell r="K130" t="str">
            <v>LEONARDO SANTOS DA SILVA</v>
          </cell>
        </row>
        <row r="131">
          <cell r="B131" t="str">
            <v>JAU DO TOCANTINS</v>
          </cell>
          <cell r="K131" t="str">
            <v>DIONE SOUSA MARQUES</v>
          </cell>
        </row>
        <row r="132">
          <cell r="B132" t="str">
            <v>NOVO JARDIM</v>
          </cell>
          <cell r="K132" t="str">
            <v>DIONE SOUSA MARQUES</v>
          </cell>
        </row>
        <row r="133">
          <cell r="B133" t="str">
            <v>CAMPOS LINDOS</v>
          </cell>
          <cell r="K133" t="str">
            <v>LEONARDO SANTOS DA SILVA</v>
          </cell>
        </row>
        <row r="134">
          <cell r="B134" t="str">
            <v>CENTENARIO</v>
          </cell>
          <cell r="K134" t="str">
            <v>LEONARDO SANTOS DA SILVA</v>
          </cell>
        </row>
        <row r="135">
          <cell r="B135" t="str">
            <v>LAGOA DO TOCANTINS</v>
          </cell>
          <cell r="K135" t="str">
            <v>FELIPE DIVINO</v>
          </cell>
        </row>
        <row r="136">
          <cell r="B136" t="str">
            <v>SAO SALVADOR DO TOCANTINS</v>
          </cell>
          <cell r="K136" t="str">
            <v>DIONE SOUSA MARQUES</v>
          </cell>
        </row>
        <row r="137">
          <cell r="B137" t="str">
            <v>RECURSOLANDIA</v>
          </cell>
          <cell r="K137" t="str">
            <v>LEONARDO SANTOS DA SILVA</v>
          </cell>
        </row>
        <row r="138">
          <cell r="B138" t="str">
            <v>ABREULANDIA</v>
          </cell>
          <cell r="K138" t="str">
            <v>FELIPE DIVINO</v>
          </cell>
        </row>
        <row r="139">
          <cell r="B139" t="str">
            <v>BURITIRANA</v>
          </cell>
          <cell r="K139" t="str">
            <v>FELIPE DIVINO</v>
          </cell>
        </row>
        <row r="140">
          <cell r="B140" t="str">
            <v>IPUEIRAS</v>
          </cell>
          <cell r="K140" t="str">
            <v>FELIPE DIVINO</v>
          </cell>
        </row>
        <row r="141">
          <cell r="B141" t="str">
            <v>CHAPADA DE AREIA</v>
          </cell>
          <cell r="K141" t="str">
            <v>FELIPE DIVINO</v>
          </cell>
        </row>
        <row r="142">
          <cell r="B142" t="str">
            <v>MATEIROS</v>
          </cell>
          <cell r="K142" t="str">
            <v>FELIPE DIVINO</v>
          </cell>
        </row>
        <row r="143">
          <cell r="B143" t="str">
            <v>SAO FELIX DO TOCANTINS</v>
          </cell>
          <cell r="K143" t="str">
            <v>FELIPE DIVINO</v>
          </cell>
        </row>
        <row r="144">
          <cell r="B144" t="str">
            <v>RIO DA CONCEICAO</v>
          </cell>
          <cell r="K144" t="str">
            <v>DIONE SOUSA MARQUES</v>
          </cell>
        </row>
        <row r="145">
          <cell r="B145" t="str">
            <v>BARRA DO OURO</v>
          </cell>
          <cell r="K145" t="str">
            <v>LEONARDO SANTOS DA SILVA</v>
          </cell>
        </row>
        <row r="146">
          <cell r="B146" t="str">
            <v>VILA LUZIMANGUES</v>
          </cell>
          <cell r="K146" t="str">
            <v>FELIPE DIVINO</v>
          </cell>
        </row>
        <row r="147">
          <cell r="B147" t="str">
            <v>ILHA DO BANANAL</v>
          </cell>
          <cell r="K147" t="str">
            <v>DIONE SOUSA MARQUES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ao Antonio Lagares Milhomem de Souza" id="{F0C82677-5483-4ACB-A9E2-DF959910A197}" userId="S::joao.lagares@energisa.com.br::398807df-e4d5-412e-a012-70e82e4b539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ABA34-7079-4DB5-8463-B5CC410E6083}" name="BaseDadosTable" displayName="BaseDadosTable" ref="A1:U30">
  <autoFilter ref="A1:U30" xr:uid="{66AABA34-7079-4DB5-8463-B5CC410E6083}">
    <filterColumn colId="18">
      <customFilters>
        <customFilter operator="notEqual" val=" "/>
      </customFilters>
    </filterColumn>
  </autoFilter>
  <tableColumns count="21">
    <tableColumn id="1" xr3:uid="{00000000-0010-0000-0000-000001000000}" name="MÊS"/>
    <tableColumn id="2" xr3:uid="{00000000-0010-0000-0000-000002000000}" name="ANO_SS"/>
    <tableColumn id="3" xr3:uid="{00000000-0010-0000-0000-000003000000}" name="SS_ORIGINAL"/>
    <tableColumn id="4" xr3:uid="{00000000-0010-0000-0000-000004000000}" name="POSTO_SGM"/>
    <tableColumn id="5" xr3:uid="{00000000-0010-0000-0000-000005000000}" name="EQUIPAMENTO"/>
    <tableColumn id="6" xr3:uid="{00000000-0010-0000-0000-000006000000}" name="COD_ELE"/>
    <tableColumn id="7" xr3:uid="{00000000-0010-0000-0000-000007000000}" name="TIPO_ATIVO"/>
    <tableColumn id="8" xr3:uid="{00000000-0010-0000-0000-000008000000}" name="DTA_OCORRENCIA"/>
    <tableColumn id="9" xr3:uid="{00000000-0010-0000-0000-000009000000}" name="DTA_ABERTURA"/>
    <tableColumn id="10" xr3:uid="{00000000-0010-0000-0000-00000A000000}" name="DTA_LIMITE"/>
    <tableColumn id="11" xr3:uid="{00000000-0010-0000-0000-00000B000000}" name="PRIORIDADE"/>
    <tableColumn id="12" xr3:uid="{00000000-0010-0000-0000-00000C000000}" name="RESP_ABERTURA"/>
    <tableColumn id="13" xr3:uid="{00000000-0010-0000-0000-00000D000000}" name="STATUS"/>
    <tableColumn id="14" xr3:uid="{00000000-0010-0000-0000-00000E000000}" name="DTA_REPASSE"/>
    <tableColumn id="15" xr3:uid="{00000000-0010-0000-0000-00000F000000}" name="COD_LOC"/>
    <tableColumn id="16" xr3:uid="{00000000-0010-0000-0000-000010000000}" name="COD_ALIMENTADOR"/>
    <tableColumn id="17" xr3:uid="{00000000-0010-0000-0000-000011000000}" name="DESCRIÇÃO"/>
    <tableColumn id="18" xr3:uid="{00000000-0010-0000-0000-000012000000}" name="PENDENCIA_DO_ATIVO"/>
    <tableColumn id="19" xr3:uid="{00000000-0010-0000-0000-000013000000}" name="QTD_CELULAS_TROCAR"/>
    <tableColumn id="20" xr3:uid="{00000000-0010-0000-0000-000014000000}" name="FASES_IDENTIFICADAS"/>
    <tableColumn id="21" xr3:uid="{00000000-0010-0000-0000-000015000000}" name="CRITERIO_LEITU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460373-C31E-448C-B205-CA95C2551A26}" name="ResumoCelulasTable" displayName="ResumoCelulasTable" ref="A1:I30">
  <tableColumns count="9">
    <tableColumn id="1" xr3:uid="{00000000-0010-0000-0100-000001000000}" name="EQUIPAMENTO"/>
    <tableColumn id="2" xr3:uid="{00000000-0010-0000-0100-000002000000}" name="SS_ORIGINAL"/>
    <tableColumn id="3" xr3:uid="{00000000-0010-0000-0100-000003000000}" name="ANO_SS"/>
    <tableColumn id="4" xr3:uid="{00000000-0010-0000-0100-000004000000}" name="PRIORIDADE"/>
    <tableColumn id="5" xr3:uid="{00000000-0010-0000-0100-000005000000}" name="QTD_CELULAS_TROCAR"/>
    <tableColumn id="6" xr3:uid="{00000000-0010-0000-0100-000006000000}" name="FASES_IDENTIFICADAS"/>
    <tableColumn id="7" xr3:uid="{00000000-0010-0000-0100-000007000000}" name="CRITERIO_LEITURA"/>
    <tableColumn id="8" xr3:uid="{00000000-0010-0000-0100-000008000000}" name="PENDENCIA_DO_ATIVO"/>
    <tableColumn id="9" xr3:uid="{00000000-0010-0000-0100-000009000000}" name="DESCRIÇÃO_RESUM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2" dT="2026-06-03T18:20:51.74" personId="{F0C82677-5483-4ACB-A9E2-DF959910A197}" id="{DAAAF77A-0340-45BF-AFFF-13F49071B1D0}">
    <text>Não está no BI , mas está no nosso posto</text>
  </threadedComment>
  <threadedComment ref="A14" dT="2026-06-22T11:07:03.52" personId="{F0C82677-5483-4ACB-A9E2-DF959910A197}" id="{53C6EAC3-0B44-493D-A671-BF05D67FCD51}">
    <text>Avançando só deslocando</text>
  </threadedComment>
  <threadedComment ref="A22" dT="2026-06-03T18:02:40.80" personId="{F0C82677-5483-4ACB-A9E2-DF959910A197}" id="{DE694A0C-3C21-4099-9678-7F182232ADA2}">
    <text>No SGM , porém não no BI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6-06-17T13:09:21.77" personId="{F0C82677-5483-4ACB-A9E2-DF959910A197}" id="{877B6D68-E5B0-4FB6-8EEF-6F06BDDFEBE2}">
    <text>Daria para consertar , levar para definição pois não tem criticidade</text>
  </threadedComment>
  <threadedComment ref="B3" dT="2026-06-17T13:08:59.29" personId="{F0C82677-5483-4ACB-A9E2-DF959910A197}" id="{F863B63E-7DF3-40CB-8E09-065D29D4178D}">
    <text>Levar para definição, pois não tem criticidade</text>
  </threadedComment>
  <threadedComment ref="A11" dT="2026-06-15T17:42:08.71" personId="{F0C82677-5483-4ACB-A9E2-DF959910A197}" id="{283C5327-C857-4C26-92BA-932F371529EA}">
    <text>Confirmar Lara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showGridLines="0" tabSelected="1" topLeftCell="A6" zoomScale="115" zoomScaleNormal="115" workbookViewId="0">
      <selection activeCell="E17" sqref="E17"/>
    </sheetView>
  </sheetViews>
  <sheetFormatPr defaultColWidth="8.7109375" defaultRowHeight="15"/>
  <cols>
    <col min="1" max="1" width="34" customWidth="1"/>
    <col min="2" max="2" width="16.42578125" bestFit="1" customWidth="1"/>
    <col min="3" max="3" width="16" customWidth="1"/>
    <col min="4" max="4" width="22.140625" bestFit="1" customWidth="1"/>
    <col min="5" max="5" width="18" customWidth="1"/>
    <col min="7" max="7" width="10.140625" bestFit="1" customWidth="1"/>
    <col min="8" max="10" width="15.85546875" bestFit="1" customWidth="1"/>
  </cols>
  <sheetData>
    <row r="1" spans="1:10" ht="30" customHeight="1">
      <c r="A1" s="141" t="s">
        <v>0</v>
      </c>
      <c r="B1" s="141"/>
      <c r="C1" s="141"/>
      <c r="D1" s="141"/>
      <c r="E1" s="141"/>
    </row>
    <row r="2" spans="1:10" ht="15.75" customHeight="1">
      <c r="A2" s="2" t="s">
        <v>1</v>
      </c>
    </row>
    <row r="4" spans="1:10" ht="18" customHeight="1">
      <c r="A4" s="140" t="s">
        <v>2</v>
      </c>
      <c r="B4" s="140"/>
      <c r="C4" s="140"/>
      <c r="D4" s="140"/>
      <c r="E4" s="140"/>
      <c r="G4" s="72"/>
      <c r="H4" s="72" t="s">
        <v>3</v>
      </c>
      <c r="I4" s="72" t="s">
        <v>4</v>
      </c>
      <c r="J4" s="72" t="s">
        <v>5</v>
      </c>
    </row>
    <row r="5" spans="1:10" ht="27.75" customHeight="1">
      <c r="A5" s="3" t="s">
        <v>6</v>
      </c>
      <c r="B5" s="4" t="s">
        <v>7</v>
      </c>
      <c r="C5" s="5" t="s">
        <v>8</v>
      </c>
      <c r="D5" s="4" t="s">
        <v>9</v>
      </c>
      <c r="E5" s="4" t="s">
        <v>10</v>
      </c>
      <c r="G5" s="72" t="s">
        <v>11</v>
      </c>
      <c r="H5" s="73">
        <v>4497155.32</v>
      </c>
      <c r="I5" s="73">
        <v>1565168.52</v>
      </c>
      <c r="J5" s="73">
        <f>SUM(H5:I5)</f>
        <v>6062323.8399999999</v>
      </c>
    </row>
    <row r="6" spans="1:10" ht="17.25" customHeight="1">
      <c r="A6" s="70" t="s">
        <v>12</v>
      </c>
      <c r="B6" s="7">
        <f>SUM(C14:C16)</f>
        <v>2104478.0199999996</v>
      </c>
      <c r="C6" s="7">
        <f>SUM(D14:D16)</f>
        <v>645175.14000000025</v>
      </c>
      <c r="D6" s="98">
        <f>SUM(E14:E16)</f>
        <v>2749653.1600000011</v>
      </c>
      <c r="E6" s="8">
        <v>51</v>
      </c>
      <c r="G6" s="72" t="s">
        <v>13</v>
      </c>
      <c r="H6" s="74">
        <v>262922.34999999998</v>
      </c>
      <c r="I6" s="75">
        <v>498815.47</v>
      </c>
      <c r="J6" s="73">
        <f>SUM(H6:I6)</f>
        <v>761737.82</v>
      </c>
    </row>
    <row r="7" spans="1:10" ht="18" customHeight="1">
      <c r="A7" s="78" t="s">
        <v>14</v>
      </c>
      <c r="B7" s="7">
        <f>Reguladores!O17</f>
        <v>1280548.5500000003</v>
      </c>
      <c r="C7" s="7">
        <f>Reguladores!P17</f>
        <v>526882.56000000006</v>
      </c>
      <c r="D7" s="98">
        <f>SUM(B7:C7)</f>
        <v>1807431.1100000003</v>
      </c>
      <c r="E7" s="10">
        <f>COUNTA(Reguladores!$A$5:$A$16)</f>
        <v>12</v>
      </c>
      <c r="G7" s="72" t="s">
        <v>15</v>
      </c>
      <c r="H7" s="76">
        <f>E11</f>
        <v>0</v>
      </c>
    </row>
    <row r="8" spans="1:10" ht="27.75" customHeight="1">
      <c r="A8" s="77" t="s">
        <v>16</v>
      </c>
      <c r="B8" s="9"/>
      <c r="C8" s="9"/>
      <c r="D8" s="9"/>
      <c r="E8" s="11" t="s">
        <v>17</v>
      </c>
      <c r="G8" s="72" t="s">
        <v>18</v>
      </c>
      <c r="H8" s="76">
        <f>E12</f>
        <v>0</v>
      </c>
    </row>
    <row r="9" spans="1:10" ht="15" customHeight="1">
      <c r="A9" s="12" t="s">
        <v>19</v>
      </c>
      <c r="B9" s="13">
        <f>SUM(B6:B8)</f>
        <v>3385026.57</v>
      </c>
      <c r="C9" s="13">
        <f>SUM(C6:C8)</f>
        <v>1172057.7000000002</v>
      </c>
      <c r="D9" s="14">
        <f>SUM(D6:D8)</f>
        <v>4557084.2700000014</v>
      </c>
      <c r="E9" s="15">
        <f>SUM(E6:E8)</f>
        <v>63</v>
      </c>
    </row>
    <row r="10" spans="1:10" ht="15" customHeight="1">
      <c r="A10" s="6"/>
      <c r="B10" s="16"/>
      <c r="C10" s="17"/>
      <c r="D10" s="17"/>
      <c r="E10" s="17"/>
    </row>
    <row r="11" spans="1:10" ht="15" customHeight="1">
      <c r="A11" s="142" t="s">
        <v>20</v>
      </c>
      <c r="B11" s="142"/>
      <c r="C11" s="142"/>
      <c r="D11" s="142"/>
      <c r="E11" s="142"/>
    </row>
    <row r="12" spans="1:10" ht="15" customHeight="1">
      <c r="A12" s="139" t="s">
        <v>21</v>
      </c>
      <c r="B12" s="139"/>
      <c r="C12" s="139"/>
      <c r="D12" s="139"/>
      <c r="E12" s="139"/>
    </row>
    <row r="13" spans="1:10" ht="15" customHeight="1">
      <c r="A13" s="4"/>
      <c r="B13" s="4" t="s">
        <v>10</v>
      </c>
      <c r="C13" s="3" t="s">
        <v>7</v>
      </c>
      <c r="D13" s="3" t="s">
        <v>8</v>
      </c>
      <c r="E13" s="3" t="s">
        <v>9</v>
      </c>
    </row>
    <row r="14" spans="1:10" ht="15" customHeight="1">
      <c r="A14" s="70" t="s">
        <v>22</v>
      </c>
      <c r="B14" s="16">
        <f>COUNTIFS('Detalhe Religadores'!$O$5:$O$64,$A14)</f>
        <v>13</v>
      </c>
      <c r="C14" s="96">
        <f>SUMIFS('Detalhe Religadores'!$M$5:$M$64,'Detalhe Religadores'!$O$5:$O$64,$A14)</f>
        <v>551818.41999999993</v>
      </c>
      <c r="D14" s="96">
        <f>SUMIFS('Detalhe Religadores'!$N$5:$N$64,'Detalhe Religadores'!$O$5:$O$64,$A14)</f>
        <v>156374.62</v>
      </c>
      <c r="E14" s="96">
        <f>SUMIFS('Detalhe Religadores'!$T$5:$T$64,'Detalhe Religadores'!$O$5:$O$64,$A14)</f>
        <v>708193.04</v>
      </c>
    </row>
    <row r="15" spans="1:10" ht="15" customHeight="1">
      <c r="A15" s="70" t="s">
        <v>23</v>
      </c>
      <c r="B15" s="16">
        <f>COUNTIFS('Detalhe Religadores'!$O$5:$O$64,$A15)</f>
        <v>6</v>
      </c>
      <c r="C15" s="96">
        <f>SUMIFS('Detalhe Religadores'!$M$5:$M$64,'Detalhe Religadores'!$O$5:$O$64,$A15)</f>
        <v>258277.52000000005</v>
      </c>
      <c r="D15" s="96">
        <f>SUMIFS('Detalhe Religadores'!$N$5:$N$64,'Detalhe Religadores'!$O$5:$O$64,$A15)</f>
        <v>74871.239999999991</v>
      </c>
      <c r="E15" s="96">
        <f>SUMIFS('Detalhe Religadores'!$T$5:$T$64,'Detalhe Religadores'!$O$5:$O$64,$A15)</f>
        <v>333148.76</v>
      </c>
    </row>
    <row r="16" spans="1:10" ht="15" customHeight="1">
      <c r="A16" s="71" t="s">
        <v>24</v>
      </c>
      <c r="B16" s="16">
        <f>COUNTIFS('Detalhe Religadores'!$O$5:$O$64,$A16)</f>
        <v>32</v>
      </c>
      <c r="C16" s="97">
        <f>SUMIFS('Detalhe Religadores'!$M$5:$M$64,'Detalhe Religadores'!$O$5:$O$64,$A16)</f>
        <v>1294382.0799999996</v>
      </c>
      <c r="D16" s="97">
        <f>SUMIFS('Detalhe Religadores'!$N$5:$N$64,'Detalhe Religadores'!$O$5:$O$64,$A16)</f>
        <v>413929.28000000026</v>
      </c>
      <c r="E16" s="97">
        <f>SUMIFS('Detalhe Religadores'!$T$5:$T$64,'Detalhe Religadores'!$O$5:$O$64,$A16)</f>
        <v>1708311.360000001</v>
      </c>
    </row>
    <row r="17" spans="1:5" ht="15" customHeight="1">
      <c r="A17" s="99" t="s">
        <v>25</v>
      </c>
      <c r="B17" s="100">
        <f>COUNTIFS('Detalhe Religadores'!$O$5:$O$64,$A17)</f>
        <v>9</v>
      </c>
      <c r="C17" s="101">
        <f>SUMIFS('Detalhe Religadores'!$M$5:$M$64,'Detalhe Religadores'!$O$5:$O$64,$A17)</f>
        <v>551287.98</v>
      </c>
      <c r="D17" s="101">
        <f>SUMIFS('Detalhe Religadores'!$N$5:$N$64,'Detalhe Religadores'!$O$5:$O$64,$A17)</f>
        <v>116691.65999999999</v>
      </c>
      <c r="E17" s="101">
        <f>SUMIFS('Detalhe Religadores'!$T$5:$T$64,'Detalhe Religadores'!$O$5:$O$64,$A17)</f>
        <v>667979.64000000013</v>
      </c>
    </row>
    <row r="18" spans="1:5" ht="15" customHeight="1">
      <c r="A18" s="20" t="s">
        <v>26</v>
      </c>
      <c r="B18" s="21">
        <f>SUM(B14:B16)</f>
        <v>51</v>
      </c>
      <c r="C18" s="22">
        <f>SUM(C14:C16)</f>
        <v>2104478.0199999996</v>
      </c>
      <c r="D18" s="22">
        <f>SUM(D14:D16)</f>
        <v>645175.14000000025</v>
      </c>
      <c r="E18" s="22">
        <f>SUM(E14:E16)</f>
        <v>2749653.1600000011</v>
      </c>
    </row>
    <row r="19" spans="1:5" ht="15" customHeight="1">
      <c r="A19" s="23"/>
      <c r="B19" s="16"/>
      <c r="C19" s="24"/>
      <c r="D19" s="19"/>
      <c r="E19" s="19"/>
    </row>
    <row r="20" spans="1:5" ht="15" customHeight="1">
      <c r="A20" s="139" t="s">
        <v>27</v>
      </c>
      <c r="B20" s="139"/>
      <c r="C20" s="139"/>
      <c r="D20" s="139"/>
      <c r="E20" s="139"/>
    </row>
    <row r="21" spans="1:5" ht="15" customHeight="1">
      <c r="A21" s="4"/>
      <c r="B21" s="4" t="s">
        <v>10</v>
      </c>
      <c r="C21" s="3" t="s">
        <v>7</v>
      </c>
      <c r="D21" s="3" t="s">
        <v>8</v>
      </c>
      <c r="E21" s="3" t="s">
        <v>9</v>
      </c>
    </row>
    <row r="22" spans="1:5" ht="15" customHeight="1">
      <c r="A22" s="6" t="s">
        <v>28</v>
      </c>
      <c r="B22" s="16">
        <f>COUNTIFS('Detalhe Religadores'!$H$5:$H$64,$A22)</f>
        <v>20</v>
      </c>
      <c r="C22" s="17">
        <f>SUMIFS('Detalhe Religadores'!$M$5:$M$64,'Detalhe Religadores'!$H$5:$H$64,$A22)</f>
        <v>1401062.0399999998</v>
      </c>
      <c r="D22" s="17">
        <f>SUMIFS('Detalhe Religadores'!$N$5:$N$64,'Detalhe Religadores'!$H$5:$H$64,$A22)</f>
        <v>251032.39999999997</v>
      </c>
      <c r="E22" s="17">
        <f>SUMIFS('Detalhe Religadores'!$T$5:$T$64,'Detalhe Religadores'!$H$5:$H$64,$A22)</f>
        <v>1652094.4400000002</v>
      </c>
    </row>
    <row r="23" spans="1:5" ht="15" customHeight="1">
      <c r="A23" s="6" t="s">
        <v>29</v>
      </c>
      <c r="B23" s="16">
        <f>COUNTIFS('Detalhe Religadores'!$H$5:$H$64,$A23)</f>
        <v>30</v>
      </c>
      <c r="C23" s="17">
        <f>SUMIFS('Detalhe Religadores'!$M$5:$M$64,'Detalhe Religadores'!$H$5:$H$64,$A23)</f>
        <v>1079081.3599999996</v>
      </c>
      <c r="D23" s="17">
        <f>SUMIFS('Detalhe Religadores'!$N$5:$N$64,'Detalhe Religadores'!$H$5:$H$64,$A23)</f>
        <v>387510.60000000015</v>
      </c>
      <c r="E23" s="17">
        <f>SUMIFS('Detalhe Religadores'!$T$5:$T$64,'Detalhe Religadores'!$H$5:$H$64,$A23)</f>
        <v>1466591.9600000009</v>
      </c>
    </row>
    <row r="24" spans="1:5" ht="15" customHeight="1">
      <c r="A24" s="6" t="s">
        <v>30</v>
      </c>
      <c r="B24" s="16">
        <f>COUNTIFS('Detalhe Religadores'!$H$5:$H$64,$A24)</f>
        <v>4</v>
      </c>
      <c r="C24" s="17">
        <f>SUMIFS('Detalhe Religadores'!$M$5:$M$64,'Detalhe Religadores'!$H$5:$H$64,$A24)</f>
        <v>143823.08000000002</v>
      </c>
      <c r="D24" s="17">
        <f>SUMIFS('Detalhe Religadores'!$N$5:$N$64,'Detalhe Religadores'!$H$5:$H$64,$A24)</f>
        <v>48452.560000000005</v>
      </c>
      <c r="E24" s="17">
        <f>SUMIFS('Detalhe Religadores'!$T$5:$T$64,'Detalhe Religadores'!$H$5:$H$64,$A24)</f>
        <v>192275.64</v>
      </c>
    </row>
    <row r="25" spans="1:5" ht="15" customHeight="1">
      <c r="A25" s="6" t="s">
        <v>31</v>
      </c>
      <c r="B25" s="16">
        <f>COUNTIFS('Detalhe Religadores'!$H$5:$H$64,$A25)</f>
        <v>3</v>
      </c>
      <c r="C25" s="17">
        <f>SUMIFS('Detalhe Religadores'!$M$5:$M$64,'Detalhe Religadores'!$H$5:$H$64,$A25)</f>
        <v>5997</v>
      </c>
      <c r="D25" s="17">
        <f>SUMIFS('Detalhe Religadores'!$N$5:$N$64,'Detalhe Religadores'!$H$5:$H$64,$A25)</f>
        <v>39628.020000000004</v>
      </c>
      <c r="E25" s="17">
        <f>SUMIFS('Detalhe Religadores'!$T$5:$T$64,'Detalhe Religadores'!$H$5:$H$64,$A25)</f>
        <v>45625.020000000004</v>
      </c>
    </row>
    <row r="26" spans="1:5" ht="15" customHeight="1">
      <c r="A26" s="16" t="s">
        <v>32</v>
      </c>
      <c r="B26" s="16">
        <f>COUNTIFS('Detalhe Religadores'!$H$5:$H$64,$A26)</f>
        <v>1</v>
      </c>
      <c r="C26" s="17">
        <f>SUMIFS('Detalhe Religadores'!$M$5:$M$64,'Detalhe Religadores'!$H$5:$H$64,$A26)</f>
        <v>10454.01</v>
      </c>
      <c r="D26" s="17">
        <f>SUMIFS('Detalhe Religadores'!$N$5:$N$64,'Detalhe Religadores'!$H$5:$H$64,$A26)</f>
        <v>11016.94</v>
      </c>
      <c r="E26" s="17">
        <f>SUMIFS('Detalhe Religadores'!$T$5:$T$64,'Detalhe Religadores'!$H$5:$H$64,$A26)</f>
        <v>21470.95</v>
      </c>
    </row>
    <row r="27" spans="1:5" ht="15" customHeight="1">
      <c r="A27" s="18" t="s">
        <v>33</v>
      </c>
      <c r="B27" s="16">
        <f>COUNTIFS('Detalhe Religadores'!$H$5:$H$64,$A27)</f>
        <v>2</v>
      </c>
      <c r="C27" s="19">
        <f>SUMIFS('Detalhe Religadores'!$M$5:$M$64,'Detalhe Religadores'!$H$5:$H$64,$A27)</f>
        <v>15348.51</v>
      </c>
      <c r="D27" s="19">
        <f>SUMIFS('Detalhe Religadores'!$N$5:$N$64,'Detalhe Religadores'!$H$5:$H$64,$A27)</f>
        <v>24226.28</v>
      </c>
      <c r="E27" s="19">
        <f>SUMIFS('Detalhe Religadores'!$T$5:$T$64,'Detalhe Religadores'!$H$5:$H$64,$A27)</f>
        <v>39574.79</v>
      </c>
    </row>
    <row r="28" spans="1:5" ht="15" customHeight="1">
      <c r="A28" s="20" t="s">
        <v>26</v>
      </c>
      <c r="B28" s="21">
        <f>SUM(B22:B27)</f>
        <v>60</v>
      </c>
      <c r="C28" s="22">
        <f>SUM(C22:C27)</f>
        <v>2655765.9999999991</v>
      </c>
      <c r="D28" s="22">
        <f>SUM(D22:D27)</f>
        <v>761866.80000000016</v>
      </c>
      <c r="E28" s="22">
        <f>SUM(E22:E27)</f>
        <v>3417632.8000000017</v>
      </c>
    </row>
    <row r="29" spans="1:5" ht="15" customHeight="1">
      <c r="A29" s="23"/>
      <c r="B29" s="16"/>
      <c r="C29" s="24"/>
      <c r="D29" s="19"/>
      <c r="E29" s="19"/>
    </row>
    <row r="30" spans="1:5" ht="15" customHeight="1">
      <c r="A30" s="139" t="s">
        <v>34</v>
      </c>
      <c r="B30" s="139"/>
      <c r="C30" s="139"/>
      <c r="D30" s="139"/>
      <c r="E30" s="139"/>
    </row>
    <row r="31" spans="1:5" ht="15" customHeight="1">
      <c r="A31" s="4"/>
      <c r="B31" s="4" t="s">
        <v>10</v>
      </c>
      <c r="C31" s="3" t="s">
        <v>7</v>
      </c>
      <c r="D31" s="3" t="s">
        <v>8</v>
      </c>
      <c r="E31" s="3" t="s">
        <v>9</v>
      </c>
    </row>
    <row r="32" spans="1:5" ht="15" customHeight="1">
      <c r="A32" s="6" t="s">
        <v>35</v>
      </c>
      <c r="B32" s="16">
        <f>COUNTIFS('Detalhe Religadores'!$E$5:$E$64,$A32)</f>
        <v>8</v>
      </c>
      <c r="C32" s="17">
        <f>SUMIFS('Detalhe Religadores'!$M$5:$M$64,'Detalhe Religadores'!$E$5:$E$64,$A32)</f>
        <v>341142.5</v>
      </c>
      <c r="D32" s="17">
        <f>SUMIFS('Detalhe Religadores'!$N$5:$N$64,'Detalhe Religadores'!$E$5:$E$64,$A32)</f>
        <v>94712.72</v>
      </c>
      <c r="E32" s="17">
        <f>SUMIFS('Detalhe Religadores'!$T$5:$T$64,'Detalhe Religadores'!$E$5:$E$64,$A32)</f>
        <v>435855.22000000003</v>
      </c>
    </row>
    <row r="33" spans="1:5" ht="15" customHeight="1">
      <c r="A33" s="6" t="s">
        <v>36</v>
      </c>
      <c r="B33" s="16">
        <f>COUNTIFS('Detalhe Religadores'!$E$5:$E$64,$A33)</f>
        <v>11</v>
      </c>
      <c r="C33" s="17">
        <f>SUMIFS('Detalhe Religadores'!$M$5:$M$64,'Detalhe Religadores'!$E$5:$E$64,$A33)</f>
        <v>530701.07999999996</v>
      </c>
      <c r="D33" s="17">
        <f>SUMIFS('Detalhe Religadores'!$N$5:$N$64,'Detalhe Religadores'!$E$5:$E$64,$A33)</f>
        <v>138725.53999999998</v>
      </c>
      <c r="E33" s="17">
        <f>SUMIFS('Detalhe Religadores'!$T$5:$T$64,'Detalhe Religadores'!$E$5:$E$64,$A33)</f>
        <v>669426.62000000011</v>
      </c>
    </row>
    <row r="34" spans="1:5" ht="15" customHeight="1">
      <c r="A34" s="6" t="s">
        <v>37</v>
      </c>
      <c r="B34" s="16">
        <f>COUNTIFS('Detalhe Religadores'!$E$5:$E$64,$A34)</f>
        <v>6</v>
      </c>
      <c r="C34" s="17">
        <f>SUMIFS('Detalhe Religadores'!$M$5:$M$64,'Detalhe Religadores'!$E$5:$E$64,$A34)</f>
        <v>343136.27999999997</v>
      </c>
      <c r="D34" s="17">
        <f>SUMIFS('Detalhe Religadores'!$N$5:$N$64,'Detalhe Religadores'!$E$5:$E$64,$A34)</f>
        <v>79256.039999999994</v>
      </c>
      <c r="E34" s="17">
        <f>SUMIFS('Detalhe Religadores'!$T$5:$T$64,'Detalhe Religadores'!$E$5:$E$64,$A34)</f>
        <v>422392.31999999995</v>
      </c>
    </row>
    <row r="35" spans="1:5" ht="15" customHeight="1">
      <c r="A35" s="6" t="s">
        <v>38</v>
      </c>
      <c r="B35" s="16">
        <f>COUNTIFS('Detalhe Religadores'!$E$5:$E$64,$A35)</f>
        <v>8</v>
      </c>
      <c r="C35" s="17">
        <f>SUMIFS('Detalhe Religadores'!$M$5:$M$64,'Detalhe Religadores'!$E$5:$E$64,$A35)</f>
        <v>375312.93999999994</v>
      </c>
      <c r="D35" s="17">
        <f>SUMIFS('Detalhe Religadores'!$N$5:$N$64,'Detalhe Religadores'!$E$5:$E$64,$A35)</f>
        <v>101289.91999999998</v>
      </c>
      <c r="E35" s="17">
        <f>SUMIFS('Detalhe Religadores'!$T$5:$T$64,'Detalhe Religadores'!$E$5:$E$64,$A35)</f>
        <v>476602.86</v>
      </c>
    </row>
    <row r="36" spans="1:5" ht="15" customHeight="1">
      <c r="A36" s="6" t="s">
        <v>39</v>
      </c>
      <c r="B36" s="16">
        <f>COUNTIFS('Detalhe Religadores'!$E$5:$E$64,$A36)</f>
        <v>27</v>
      </c>
      <c r="C36" s="17">
        <f>SUMIFS('Detalhe Religadores'!$M$5:$M$64,'Detalhe Religadores'!$E$5:$E$64,$A36)</f>
        <v>1065473.1999999997</v>
      </c>
      <c r="D36" s="17">
        <f>SUMIFS('Detalhe Religadores'!$N$5:$N$64,'Detalhe Religadores'!$E$5:$E$64,$A36)</f>
        <v>347882.58000000013</v>
      </c>
      <c r="E36" s="17">
        <f>SUMIFS('Detalhe Religadores'!$T$5:$T$64,'Detalhe Religadores'!$E$5:$E$64,$A36)</f>
        <v>1413355.7800000007</v>
      </c>
    </row>
    <row r="37" spans="1:5" ht="15" customHeight="1">
      <c r="A37" s="20" t="s">
        <v>26</v>
      </c>
      <c r="B37" s="25">
        <f>SUM(B32:B36)</f>
        <v>60</v>
      </c>
      <c r="C37" s="22">
        <f>SUM(C32:C36)</f>
        <v>2655765.9999999995</v>
      </c>
      <c r="D37" s="22">
        <f>SUM(D32:D36)</f>
        <v>761866.8</v>
      </c>
      <c r="E37" s="22">
        <f>SUM(E32:E36)</f>
        <v>3417632.8000000007</v>
      </c>
    </row>
    <row r="38" spans="1:5" ht="15" customHeight="1">
      <c r="A38" s="26"/>
      <c r="B38" s="27"/>
    </row>
    <row r="39" spans="1:5" ht="15" customHeight="1">
      <c r="A39" s="140" t="s">
        <v>40</v>
      </c>
      <c r="B39" s="140"/>
      <c r="C39" s="140"/>
      <c r="D39" s="140"/>
      <c r="E39" s="140"/>
    </row>
    <row r="40" spans="1:5" ht="15" customHeight="1">
      <c r="A40" s="138" t="s">
        <v>41</v>
      </c>
      <c r="B40" s="138"/>
      <c r="C40" s="138"/>
      <c r="D40" s="138"/>
      <c r="E40" s="138"/>
    </row>
    <row r="41" spans="1:5" ht="15" customHeight="1">
      <c r="A41" s="4"/>
      <c r="B41" s="4" t="s">
        <v>10</v>
      </c>
      <c r="C41" s="4" t="s">
        <v>7</v>
      </c>
      <c r="D41" s="4" t="s">
        <v>8</v>
      </c>
      <c r="E41" s="4" t="s">
        <v>9</v>
      </c>
    </row>
    <row r="42" spans="1:5" ht="15" customHeight="1">
      <c r="A42" s="6" t="s">
        <v>30</v>
      </c>
      <c r="B42" s="16">
        <f>COUNTIFS(Reguladores!$H$5:$H$16,$A42)</f>
        <v>4</v>
      </c>
      <c r="C42" s="17">
        <f>SUMIFS(Reguladores!$O$5:$O$16,Reguladores!$H$5:$H$16,$A42)</f>
        <v>117781.56</v>
      </c>
      <c r="D42" s="17">
        <f>SUMIFS(Reguladores!$P$5:$P$16,Reguladores!$H$5:$H$16,$A42)</f>
        <v>0</v>
      </c>
      <c r="E42" s="17">
        <f>SUMIFS(Reguladores!$Q$5:$Q$16,Reguladores!$H$5:$H$16,$A42)</f>
        <v>117781.56</v>
      </c>
    </row>
    <row r="43" spans="1:5" ht="15" customHeight="1">
      <c r="A43" s="6" t="s">
        <v>42</v>
      </c>
      <c r="B43" s="16">
        <f>COUNTIFS(Reguladores!$H$5:$H$16,$A43)</f>
        <v>8</v>
      </c>
      <c r="C43" s="17">
        <f>SUMIFS(Reguladores!$O$5:$O$16,Reguladores!$H$5:$H$16,$A43)</f>
        <v>1162766.99</v>
      </c>
      <c r="D43" s="17">
        <f>SUMIFS(Reguladores!$P$5:$P$16,Reguladores!$H$5:$H$16,$A43)</f>
        <v>526882.56000000006</v>
      </c>
      <c r="E43" s="17">
        <f>SUMIFS(Reguladores!$Q$5:$Q$16,Reguladores!$H$5:$H$16,$A43)</f>
        <v>1689649.5499999998</v>
      </c>
    </row>
    <row r="44" spans="1:5" ht="15" customHeight="1">
      <c r="A44" s="20" t="s">
        <v>26</v>
      </c>
      <c r="B44" s="21">
        <f>SUM(B42:B43)</f>
        <v>12</v>
      </c>
      <c r="C44" s="22">
        <f>SUM(C42:C43)</f>
        <v>1280548.55</v>
      </c>
      <c r="D44" s="22">
        <f>SUM(D42:D43)</f>
        <v>526882.56000000006</v>
      </c>
      <c r="E44" s="22">
        <f>SUM(E42:E43)</f>
        <v>1807431.1099999999</v>
      </c>
    </row>
    <row r="46" spans="1:5" ht="15" customHeight="1">
      <c r="A46" s="138" t="s">
        <v>43</v>
      </c>
      <c r="B46" s="138"/>
      <c r="C46" s="138"/>
      <c r="D46" s="138"/>
      <c r="E46" s="138"/>
    </row>
    <row r="47" spans="1:5" ht="15" customHeight="1">
      <c r="A47" s="4"/>
      <c r="B47" s="4" t="s">
        <v>10</v>
      </c>
      <c r="C47" s="4" t="s">
        <v>7</v>
      </c>
      <c r="D47" s="4" t="s">
        <v>8</v>
      </c>
      <c r="E47" s="4" t="s">
        <v>9</v>
      </c>
    </row>
    <row r="48" spans="1:5" ht="15" customHeight="1">
      <c r="A48" s="6" t="s">
        <v>35</v>
      </c>
      <c r="B48" s="16">
        <f>COUNTIFS(Reguladores!$E$5:$E$16,$A48)</f>
        <v>1</v>
      </c>
      <c r="C48" s="17">
        <f>SUMIFS(Reguladores!$O$5:$O$16,Reguladores!$E$5:$E$16,$A48)</f>
        <v>126893.8</v>
      </c>
      <c r="D48" s="17">
        <f>SUMIFS(Reguladores!$P$5:$P$16,Reguladores!$E$5:$E$16,$A48)</f>
        <v>80318.5</v>
      </c>
      <c r="E48" s="17">
        <f>SUMIFS(Reguladores!$Q$5:$Q$16,Reguladores!$E$5:$E$16,$A48)</f>
        <v>207212.3</v>
      </c>
    </row>
    <row r="49" spans="1:5" ht="15" customHeight="1">
      <c r="A49" s="6" t="s">
        <v>36</v>
      </c>
      <c r="B49" s="16">
        <f>COUNTIFS(Reguladores!$E$5:$E$16,$A49)</f>
        <v>2</v>
      </c>
      <c r="C49" s="17">
        <f>SUMIFS(Reguladores!$O$5:$O$16,Reguladores!$E$5:$E$16,$A49)</f>
        <v>202606.62</v>
      </c>
      <c r="D49" s="17">
        <f>SUMIFS(Reguladores!$P$5:$P$16,Reguladores!$E$5:$E$16,$A49)</f>
        <v>80318.5</v>
      </c>
      <c r="E49" s="17">
        <f>SUMIFS(Reguladores!$Q$5:$Q$16,Reguladores!$E$5:$E$16,$A49)</f>
        <v>282925.12</v>
      </c>
    </row>
    <row r="50" spans="1:5" ht="15" customHeight="1">
      <c r="A50" s="6" t="s">
        <v>37</v>
      </c>
      <c r="B50" s="16">
        <f>COUNTIFS(Reguladores!$E$5:$E$16,$A50)</f>
        <v>2</v>
      </c>
      <c r="C50" s="17">
        <f>SUMIFS(Reguladores!$O$5:$O$16,Reguladores!$E$5:$E$16,$A50)</f>
        <v>144886.21000000002</v>
      </c>
      <c r="D50" s="17">
        <f>SUMIFS(Reguladores!$P$5:$P$16,Reguladores!$E$5:$E$16,$A50)</f>
        <v>80318.5</v>
      </c>
      <c r="E50" s="17">
        <f>SUMIFS(Reguladores!$Q$5:$Q$16,Reguladores!$E$5:$E$16,$A50)</f>
        <v>225204.71000000002</v>
      </c>
    </row>
    <row r="51" spans="1:5" ht="15" customHeight="1">
      <c r="A51" s="6" t="s">
        <v>38</v>
      </c>
      <c r="B51" s="16">
        <f>COUNTIFS(Reguladores!$E$5:$E$16,$A51)</f>
        <v>4</v>
      </c>
      <c r="C51" s="17">
        <f>SUMIFS(Reguladores!$O$5:$O$16,Reguladores!$E$5:$E$16,$A51)</f>
        <v>532323.37</v>
      </c>
      <c r="D51" s="17">
        <f>SUMIFS(Reguladores!$P$5:$P$16,Reguladores!$E$5:$E$16,$A51)</f>
        <v>183122.78000000003</v>
      </c>
      <c r="E51" s="17">
        <f>SUMIFS(Reguladores!$Q$5:$Q$16,Reguladores!$E$5:$E$16,$A51)</f>
        <v>715446.14999999991</v>
      </c>
    </row>
    <row r="52" spans="1:5" ht="15" customHeight="1">
      <c r="A52" s="6" t="s">
        <v>39</v>
      </c>
      <c r="B52" s="16">
        <f>COUNTIFS(Reguladores!$E$5:$E$16,$A52)</f>
        <v>3</v>
      </c>
      <c r="C52" s="17">
        <f>SUMIFS(Reguladores!$O$5:$O$16,Reguladores!$E$5:$E$16,$A52)</f>
        <v>273838.55</v>
      </c>
      <c r="D52" s="17">
        <f>SUMIFS(Reguladores!$P$5:$P$16,Reguladores!$E$5:$E$16,$A52)</f>
        <v>102804.28</v>
      </c>
      <c r="E52" s="17">
        <f>SUMIFS(Reguladores!$Q$5:$Q$16,Reguladores!$E$5:$E$16,$A52)</f>
        <v>376642.83</v>
      </c>
    </row>
    <row r="53" spans="1:5" ht="15" customHeight="1">
      <c r="A53" s="20" t="s">
        <v>26</v>
      </c>
      <c r="B53" s="21">
        <f>SUM(B48:B52)</f>
        <v>12</v>
      </c>
      <c r="C53" s="22">
        <f>SUM(C48:C52)</f>
        <v>1280548.55</v>
      </c>
      <c r="D53" s="22">
        <f>SUM(D48:D52)</f>
        <v>526882.56000000006</v>
      </c>
      <c r="E53" s="22">
        <f>SUM(E48:E52)</f>
        <v>1807431.1099999999</v>
      </c>
    </row>
    <row r="55" spans="1:5" ht="15" customHeight="1">
      <c r="A55" s="138" t="s">
        <v>44</v>
      </c>
      <c r="B55" s="138"/>
      <c r="C55" s="138"/>
      <c r="D55" s="138"/>
      <c r="E55" s="138"/>
    </row>
    <row r="56" spans="1:5" ht="15" customHeight="1">
      <c r="A56" s="4"/>
      <c r="B56" s="4" t="s">
        <v>10</v>
      </c>
      <c r="C56" s="4" t="s">
        <v>7</v>
      </c>
      <c r="D56" s="4" t="s">
        <v>8</v>
      </c>
      <c r="E56" s="4" t="s">
        <v>9</v>
      </c>
    </row>
    <row r="57" spans="1:5" ht="15" customHeight="1">
      <c r="A57" s="6" t="s">
        <v>45</v>
      </c>
      <c r="B57" s="16">
        <f>COUNTIFS(Reguladores!$G$5:$G$16,$A57)</f>
        <v>6</v>
      </c>
      <c r="C57" s="17">
        <f>SUMIFS(Reguladores!$O$5:$O$16,Reguladores!$G$5:$G$16,$A57)</f>
        <v>425480.51999999996</v>
      </c>
      <c r="D57" s="17">
        <f>SUMIFS(Reguladores!$P$5:$P$16,Reguladores!$G$5:$G$16,$A57)</f>
        <v>205608.56</v>
      </c>
      <c r="E57" s="17">
        <f>SUMIFS(Reguladores!$Q$5:$Q$16,Reguladores!$G$5:$G$16,$A57)</f>
        <v>631089.08000000007</v>
      </c>
    </row>
    <row r="58" spans="1:5" ht="15" customHeight="1">
      <c r="A58" s="6" t="s">
        <v>46</v>
      </c>
      <c r="B58" s="16">
        <f>COUNTIFS(Reguladores!$G$5:$G$16,$A58)</f>
        <v>6</v>
      </c>
      <c r="C58" s="17">
        <f>SUMIFS(Reguladores!$O$5:$O$16,Reguladores!$G$5:$G$16,$A58)</f>
        <v>855068.03</v>
      </c>
      <c r="D58" s="17">
        <f>SUMIFS(Reguladores!$P$5:$P$16,Reguladores!$G$5:$G$16,$A58)</f>
        <v>321274</v>
      </c>
      <c r="E58" s="17">
        <f>SUMIFS(Reguladores!$Q$5:$Q$16,Reguladores!$G$5:$G$16,$A58)</f>
        <v>1176342.0300000003</v>
      </c>
    </row>
    <row r="59" spans="1:5" ht="15" customHeight="1">
      <c r="A59" s="20" t="s">
        <v>26</v>
      </c>
      <c r="B59" s="21">
        <f>SUM(B57:B58)</f>
        <v>12</v>
      </c>
      <c r="C59" s="22">
        <f>SUM(C57:C58)</f>
        <v>1280548.55</v>
      </c>
      <c r="D59" s="22">
        <f>SUM(D57:D58)</f>
        <v>526882.56000000006</v>
      </c>
      <c r="E59" s="22">
        <f>SUM(E57:E58)</f>
        <v>1807431.1100000003</v>
      </c>
    </row>
    <row r="61" spans="1:5" ht="15" customHeight="1">
      <c r="A61" s="138" t="s">
        <v>47</v>
      </c>
      <c r="B61" s="138"/>
      <c r="C61" s="138"/>
      <c r="D61" s="138"/>
      <c r="E61" s="138"/>
    </row>
    <row r="62" spans="1:5" ht="15" customHeight="1">
      <c r="A62" s="26" t="s">
        <v>48</v>
      </c>
      <c r="B62" s="28">
        <f>COUNTIF('Detalhe Religadores'!$S$5:$S$64,"VERIFICAR")</f>
        <v>5</v>
      </c>
    </row>
    <row r="63" spans="1:5" ht="15" customHeight="1">
      <c r="A63" s="26" t="s">
        <v>49</v>
      </c>
      <c r="B63" s="28">
        <f>COUNTIF(Reguladores!$R$5:$R$16,"*VERIFICAR*")</f>
        <v>3</v>
      </c>
    </row>
    <row r="65" spans="1:1" ht="15" customHeight="1">
      <c r="A65" s="29" t="s">
        <v>50</v>
      </c>
    </row>
    <row r="66" spans="1:1" ht="15" customHeight="1">
      <c r="A66" s="29" t="s">
        <v>51</v>
      </c>
    </row>
    <row r="67" spans="1:1" ht="15" customHeight="1">
      <c r="A67" s="29" t="s">
        <v>52</v>
      </c>
    </row>
    <row r="68" spans="1:1" ht="15" customHeight="1">
      <c r="A68" s="29" t="s">
        <v>53</v>
      </c>
    </row>
    <row r="69" spans="1:1" ht="15" customHeight="1">
      <c r="A69" s="29" t="s">
        <v>54</v>
      </c>
    </row>
  </sheetData>
  <mergeCells count="11">
    <mergeCell ref="A1:E1"/>
    <mergeCell ref="A4:E4"/>
    <mergeCell ref="A11:E11"/>
    <mergeCell ref="A12:E12"/>
    <mergeCell ref="A20:E20"/>
    <mergeCell ref="A61:E61"/>
    <mergeCell ref="A30:E30"/>
    <mergeCell ref="A39:E39"/>
    <mergeCell ref="A40:E40"/>
    <mergeCell ref="A46:E46"/>
    <mergeCell ref="A55:E5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zoomScale="115" zoomScaleNormal="115" workbookViewId="0">
      <selection activeCell="A15" sqref="A15:E15"/>
    </sheetView>
  </sheetViews>
  <sheetFormatPr defaultColWidth="8.7109375" defaultRowHeight="15"/>
  <cols>
    <col min="1" max="1" width="26" customWidth="1"/>
    <col min="2" max="2" width="12" customWidth="1"/>
    <col min="3" max="3" width="46" customWidth="1"/>
    <col min="4" max="4" width="40" customWidth="1"/>
    <col min="5" max="5" width="15.42578125" bestFit="1" customWidth="1"/>
  </cols>
  <sheetData>
    <row r="1" spans="1:5" ht="30" customHeight="1">
      <c r="A1" s="136" t="s">
        <v>55</v>
      </c>
      <c r="B1" s="136"/>
      <c r="C1" s="136"/>
      <c r="D1" s="136"/>
      <c r="E1" s="136"/>
    </row>
    <row r="2" spans="1:5" ht="15.75" customHeight="1">
      <c r="A2" s="137" t="s">
        <v>56</v>
      </c>
      <c r="B2" s="137"/>
      <c r="C2" s="137"/>
      <c r="D2" s="137"/>
      <c r="E2" s="137"/>
    </row>
    <row r="4" spans="1:5" ht="15" customHeight="1">
      <c r="A4" s="30" t="s">
        <v>57</v>
      </c>
    </row>
    <row r="5" spans="1:5" ht="15" customHeight="1">
      <c r="A5" s="31" t="s">
        <v>58</v>
      </c>
      <c r="B5" s="31" t="s">
        <v>59</v>
      </c>
      <c r="C5" s="31" t="s">
        <v>60</v>
      </c>
      <c r="D5" s="31" t="s">
        <v>61</v>
      </c>
      <c r="E5" s="31" t="s">
        <v>62</v>
      </c>
    </row>
    <row r="6" spans="1:5" ht="15" customHeight="1">
      <c r="A6" s="32" t="s">
        <v>28</v>
      </c>
      <c r="B6" s="33" t="s">
        <v>45</v>
      </c>
      <c r="C6" s="34">
        <v>55602.54</v>
      </c>
      <c r="D6" s="32" t="s">
        <v>63</v>
      </c>
      <c r="E6" s="32" t="s">
        <v>64</v>
      </c>
    </row>
    <row r="7" spans="1:5" ht="15" customHeight="1">
      <c r="A7" s="32" t="s">
        <v>28</v>
      </c>
      <c r="B7" s="33" t="s">
        <v>46</v>
      </c>
      <c r="C7" s="34">
        <v>76246.2</v>
      </c>
      <c r="D7" s="32" t="s">
        <v>63</v>
      </c>
      <c r="E7" s="32" t="s">
        <v>65</v>
      </c>
    </row>
    <row r="8" spans="1:5" ht="15" customHeight="1">
      <c r="A8" s="32" t="s">
        <v>29</v>
      </c>
      <c r="B8" s="33" t="s">
        <v>45</v>
      </c>
      <c r="C8" s="34">
        <v>21785.72</v>
      </c>
      <c r="D8" s="32" t="s">
        <v>66</v>
      </c>
      <c r="E8" s="32" t="s">
        <v>67</v>
      </c>
    </row>
    <row r="9" spans="1:5" ht="15" customHeight="1">
      <c r="A9" s="32" t="s">
        <v>29</v>
      </c>
      <c r="B9" s="33" t="s">
        <v>46</v>
      </c>
      <c r="C9" s="34">
        <v>38151.480000000003</v>
      </c>
      <c r="D9" s="32" t="s">
        <v>66</v>
      </c>
      <c r="E9" s="32" t="s">
        <v>68</v>
      </c>
    </row>
    <row r="10" spans="1:5" ht="15" customHeight="1">
      <c r="A10" s="32" t="s">
        <v>30</v>
      </c>
      <c r="B10" s="33" t="s">
        <v>45</v>
      </c>
      <c r="C10" s="34">
        <v>33816.82</v>
      </c>
      <c r="D10" s="32" t="s">
        <v>69</v>
      </c>
      <c r="E10" s="32" t="s">
        <v>70</v>
      </c>
    </row>
    <row r="11" spans="1:5" ht="15" customHeight="1">
      <c r="A11" s="32" t="s">
        <v>30</v>
      </c>
      <c r="B11" s="33" t="s">
        <v>46</v>
      </c>
      <c r="C11" s="34">
        <v>38094.720000000001</v>
      </c>
      <c r="D11" s="32" t="s">
        <v>69</v>
      </c>
      <c r="E11" s="32" t="s">
        <v>71</v>
      </c>
    </row>
    <row r="13" spans="1:5" ht="15" customHeight="1">
      <c r="A13" s="30" t="s">
        <v>72</v>
      </c>
    </row>
    <row r="14" spans="1:5" ht="25.5" customHeight="1">
      <c r="A14" s="31" t="s">
        <v>73</v>
      </c>
      <c r="B14" s="31" t="s">
        <v>74</v>
      </c>
      <c r="C14" s="31" t="s">
        <v>75</v>
      </c>
      <c r="D14" s="31" t="s">
        <v>60</v>
      </c>
      <c r="E14" s="31" t="s">
        <v>76</v>
      </c>
    </row>
    <row r="15" spans="1:5" ht="15" customHeight="1">
      <c r="A15" s="32" t="s">
        <v>77</v>
      </c>
      <c r="B15" s="32" t="s">
        <v>78</v>
      </c>
      <c r="C15" s="32" t="s">
        <v>79</v>
      </c>
      <c r="D15" s="34">
        <v>10454.01</v>
      </c>
      <c r="E15" s="35" t="s">
        <v>80</v>
      </c>
    </row>
    <row r="16" spans="1:5" ht="15" customHeight="1">
      <c r="A16" s="32" t="s">
        <v>81</v>
      </c>
      <c r="B16" s="32" t="s">
        <v>82</v>
      </c>
      <c r="C16" s="32" t="s">
        <v>83</v>
      </c>
      <c r="D16" s="34">
        <v>1999</v>
      </c>
      <c r="E16" s="35" t="s">
        <v>80</v>
      </c>
    </row>
    <row r="17" spans="1:5" ht="15" customHeight="1">
      <c r="A17" s="32" t="s">
        <v>84</v>
      </c>
      <c r="B17" s="32" t="s">
        <v>82</v>
      </c>
      <c r="C17" s="32" t="s">
        <v>83</v>
      </c>
      <c r="D17" s="34">
        <v>1999</v>
      </c>
      <c r="E17" s="35" t="s">
        <v>80</v>
      </c>
    </row>
    <row r="18" spans="1:5" ht="15" customHeight="1">
      <c r="A18" s="32" t="s">
        <v>85</v>
      </c>
      <c r="B18" s="32" t="s">
        <v>82</v>
      </c>
      <c r="C18" s="32" t="s">
        <v>83</v>
      </c>
      <c r="D18" s="34">
        <v>1999</v>
      </c>
      <c r="E18" s="35" t="s">
        <v>80</v>
      </c>
    </row>
    <row r="19" spans="1:5" ht="15" customHeight="1">
      <c r="A19" s="32" t="s">
        <v>86</v>
      </c>
      <c r="B19" s="32" t="s">
        <v>87</v>
      </c>
      <c r="C19" s="32" t="s">
        <v>88</v>
      </c>
      <c r="D19" s="34">
        <v>736.43</v>
      </c>
      <c r="E19" s="33" t="s">
        <v>89</v>
      </c>
    </row>
    <row r="20" spans="1:5" ht="15" customHeight="1">
      <c r="A20" s="32" t="s">
        <v>90</v>
      </c>
      <c r="B20" s="32" t="s">
        <v>91</v>
      </c>
      <c r="C20" s="32" t="s">
        <v>92</v>
      </c>
      <c r="D20" s="34">
        <v>14612.08</v>
      </c>
      <c r="E20" s="35" t="s">
        <v>80</v>
      </c>
    </row>
    <row r="22" spans="1:5" ht="15" customHeight="1">
      <c r="A22" s="36" t="s">
        <v>93</v>
      </c>
    </row>
    <row r="23" spans="1:5" ht="15" customHeight="1">
      <c r="A23" s="37" t="s">
        <v>94</v>
      </c>
    </row>
    <row r="24" spans="1:5" ht="15" customHeight="1">
      <c r="A24" s="1" t="s">
        <v>95</v>
      </c>
      <c r="B24" s="1" t="s">
        <v>59</v>
      </c>
      <c r="C24" s="1" t="s">
        <v>96</v>
      </c>
      <c r="D24" s="1" t="s">
        <v>97</v>
      </c>
    </row>
    <row r="25" spans="1:5" ht="15" customHeight="1">
      <c r="A25" s="38" t="s">
        <v>98</v>
      </c>
      <c r="B25" s="39" t="s">
        <v>45</v>
      </c>
      <c r="C25" s="40">
        <v>11016.94</v>
      </c>
      <c r="D25" s="38" t="s">
        <v>99</v>
      </c>
    </row>
    <row r="26" spans="1:5" ht="15" customHeight="1">
      <c r="A26" s="38" t="s">
        <v>98</v>
      </c>
      <c r="B26" s="39" t="s">
        <v>46</v>
      </c>
      <c r="C26" s="40">
        <v>13209.34</v>
      </c>
      <c r="D26" s="38" t="s">
        <v>99</v>
      </c>
    </row>
    <row r="27" spans="1:5" ht="15" customHeight="1">
      <c r="A27" s="38" t="s">
        <v>100</v>
      </c>
      <c r="B27" s="39" t="s">
        <v>45</v>
      </c>
      <c r="C27" s="40">
        <v>51402.14</v>
      </c>
      <c r="D27" s="38" t="s">
        <v>101</v>
      </c>
    </row>
    <row r="28" spans="1:5" ht="15" customHeight="1">
      <c r="A28" s="38" t="s">
        <v>100</v>
      </c>
      <c r="B28" s="39" t="s">
        <v>46</v>
      </c>
      <c r="C28" s="40">
        <v>80318.5</v>
      </c>
      <c r="D28" s="38" t="s">
        <v>101</v>
      </c>
    </row>
    <row r="30" spans="1:5" ht="15" customHeight="1">
      <c r="A30" s="36" t="s">
        <v>102</v>
      </c>
    </row>
    <row r="31" spans="1:5" ht="15" customHeight="1">
      <c r="A31" s="1" t="s">
        <v>103</v>
      </c>
      <c r="B31" s="1" t="s">
        <v>104</v>
      </c>
      <c r="C31" s="1" t="s">
        <v>105</v>
      </c>
    </row>
    <row r="32" spans="1:5" ht="15" customHeight="1">
      <c r="A32" s="38" t="s">
        <v>106</v>
      </c>
      <c r="B32" s="39" t="s">
        <v>107</v>
      </c>
      <c r="C32" s="40">
        <v>61098.29</v>
      </c>
    </row>
    <row r="33" spans="1:3" ht="15" customHeight="1">
      <c r="A33" s="38" t="s">
        <v>108</v>
      </c>
      <c r="B33" s="39" t="s">
        <v>109</v>
      </c>
      <c r="C33" s="40">
        <v>27616.62</v>
      </c>
    </row>
    <row r="34" spans="1:3" ht="15" customHeight="1">
      <c r="A34" s="38" t="s">
        <v>110</v>
      </c>
      <c r="B34" s="39" t="s">
        <v>111</v>
      </c>
      <c r="C34" s="40">
        <v>57720.41</v>
      </c>
    </row>
    <row r="35" spans="1:3" ht="15" customHeight="1">
      <c r="A35" s="38" t="s">
        <v>112</v>
      </c>
      <c r="B35" s="39" t="s">
        <v>113</v>
      </c>
      <c r="C35" s="40">
        <v>126893.8</v>
      </c>
    </row>
    <row r="36" spans="1:3" ht="15" customHeight="1">
      <c r="A36" s="38" t="s">
        <v>114</v>
      </c>
      <c r="B36" s="39" t="s">
        <v>115</v>
      </c>
      <c r="C36" s="40">
        <v>29445.39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5"/>
  <sheetViews>
    <sheetView zoomScale="85" zoomScaleNormal="85" workbookViewId="0">
      <pane ySplit="4" topLeftCell="A5" activePane="bottomLeft" state="frozen"/>
      <selection activeCell="C1" sqref="C1"/>
      <selection pane="bottomLeft" activeCell="I12" sqref="I12"/>
    </sheetView>
  </sheetViews>
  <sheetFormatPr defaultColWidth="8.7109375" defaultRowHeight="15"/>
  <cols>
    <col min="1" max="1" width="20" customWidth="1"/>
    <col min="2" max="2" width="12" customWidth="1"/>
    <col min="3" max="3" width="22" customWidth="1"/>
    <col min="4" max="4" width="22" bestFit="1" customWidth="1"/>
    <col min="5" max="6" width="13" customWidth="1"/>
    <col min="7" max="7" width="11" customWidth="1"/>
    <col min="8" max="8" width="21" customWidth="1"/>
    <col min="9" max="9" width="56.5703125" customWidth="1"/>
    <col min="10" max="10" width="6" customWidth="1"/>
    <col min="11" max="11" width="16" customWidth="1"/>
    <col min="12" max="12" width="15" customWidth="1"/>
    <col min="13" max="13" width="18.7109375" bestFit="1" customWidth="1"/>
    <col min="14" max="14" width="16" customWidth="1"/>
    <col min="15" max="15" width="24.140625" bestFit="1" customWidth="1"/>
    <col min="16" max="17" width="24.140625" customWidth="1"/>
    <col min="18" max="18" width="18" customWidth="1"/>
    <col min="19" max="19" width="13" bestFit="1" customWidth="1"/>
    <col min="20" max="20" width="18" customWidth="1"/>
  </cols>
  <sheetData>
    <row r="1" spans="1:20" ht="30" customHeight="1">
      <c r="A1" s="136" t="s">
        <v>116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</row>
    <row r="2" spans="1:20" ht="15.75" customHeight="1">
      <c r="A2" s="137" t="s">
        <v>117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</row>
    <row r="4" spans="1:20" ht="25.5" customHeight="1">
      <c r="A4" s="31" t="s">
        <v>73</v>
      </c>
      <c r="B4" s="31" t="s">
        <v>118</v>
      </c>
      <c r="C4" s="31" t="s">
        <v>119</v>
      </c>
      <c r="D4" s="31" t="s">
        <v>120</v>
      </c>
      <c r="E4" s="31" t="s">
        <v>121</v>
      </c>
      <c r="F4" s="31" t="s">
        <v>122</v>
      </c>
      <c r="G4" s="31" t="s">
        <v>59</v>
      </c>
      <c r="H4" s="31" t="s">
        <v>123</v>
      </c>
      <c r="I4" s="31" t="s">
        <v>124</v>
      </c>
      <c r="J4" s="31" t="s">
        <v>125</v>
      </c>
      <c r="K4" s="31" t="s">
        <v>74</v>
      </c>
      <c r="L4" s="31" t="s">
        <v>60</v>
      </c>
      <c r="M4" s="31" t="s">
        <v>126</v>
      </c>
      <c r="N4" s="31" t="s">
        <v>127</v>
      </c>
      <c r="O4" s="31" t="s">
        <v>128</v>
      </c>
      <c r="P4" s="31" t="s">
        <v>985</v>
      </c>
      <c r="Q4" s="31" t="s">
        <v>990</v>
      </c>
      <c r="R4" s="31" t="s">
        <v>129</v>
      </c>
      <c r="S4" s="31" t="s">
        <v>130</v>
      </c>
      <c r="T4" s="31" t="s">
        <v>131</v>
      </c>
    </row>
    <row r="5" spans="1:20" ht="15" customHeight="1">
      <c r="A5" s="41" t="s">
        <v>90</v>
      </c>
      <c r="B5" s="41" t="s">
        <v>132</v>
      </c>
      <c r="C5" s="41" t="s">
        <v>133</v>
      </c>
      <c r="D5" s="41" t="s">
        <v>133</v>
      </c>
      <c r="E5" s="42" t="s">
        <v>38</v>
      </c>
      <c r="F5" s="42">
        <f>_xlfn.XLOOKUP(B5,[1]Sheet1!$A:$A,[1]Sheet1!$F:$F)</f>
        <v>159</v>
      </c>
      <c r="G5" s="42" t="s">
        <v>45</v>
      </c>
      <c r="H5" s="41" t="s">
        <v>33</v>
      </c>
      <c r="I5" s="41" t="s">
        <v>134</v>
      </c>
      <c r="J5" s="42">
        <v>1</v>
      </c>
      <c r="K5" s="41" t="s">
        <v>91</v>
      </c>
      <c r="L5" s="43">
        <f>IFERROR(VLOOKUP(A5,'Premissas e Preços'!$A$15:$D$20,4,FALSE()),SUMIFS('Premissas e Preços'!$C$6:$C$11,'Premissas e Preços'!$A$6:$A$11,H5,'Premissas e Preços'!$B$6:$B$11,G5))</f>
        <v>14612.08</v>
      </c>
      <c r="M5" s="43">
        <f t="shared" ref="M5:M7" si="0">J5*L5</f>
        <v>14612.08</v>
      </c>
      <c r="N5" s="43">
        <f>IF($G5="34,5",'Premissas e Preços'!$C$26,'Premissas e Preços'!$C$25)</f>
        <v>11016.94</v>
      </c>
      <c r="O5" s="44" t="s">
        <v>22</v>
      </c>
      <c r="P5" s="44" t="s">
        <v>989</v>
      </c>
      <c r="Q5" s="44"/>
      <c r="R5" s="41" t="s">
        <v>135</v>
      </c>
      <c r="S5" s="45" t="s">
        <v>80</v>
      </c>
      <c r="T5" s="43">
        <f t="shared" ref="T5:T7" si="1">M5+N5</f>
        <v>25629.02</v>
      </c>
    </row>
    <row r="6" spans="1:20" ht="15" customHeight="1">
      <c r="A6" s="123" t="s">
        <v>136</v>
      </c>
      <c r="B6" s="123" t="s">
        <v>137</v>
      </c>
      <c r="C6" s="123" t="s">
        <v>138</v>
      </c>
      <c r="D6" s="123" t="s">
        <v>139</v>
      </c>
      <c r="E6" s="124" t="s">
        <v>39</v>
      </c>
      <c r="F6" s="125">
        <f>_xlfn.XLOOKUP(B6,[1]Sheet1!$A:$A,[1]Sheet1!$F:$F)</f>
        <v>70</v>
      </c>
      <c r="G6" s="124" t="s">
        <v>46</v>
      </c>
      <c r="H6" s="123" t="s">
        <v>30</v>
      </c>
      <c r="I6" s="123" t="s">
        <v>30</v>
      </c>
      <c r="J6" s="124">
        <v>1</v>
      </c>
      <c r="K6" s="123" t="s">
        <v>140</v>
      </c>
      <c r="L6" s="126">
        <f>IFERROR(VLOOKUP(A6,'Premissas e Preços'!$A$15:$D$20,4,FALSE()),SUMIFS('Premissas e Preços'!$C$6:$C$11,'Premissas e Preços'!$A$6:$A$11,H6,'Premissas e Preços'!$B$6:$B$11,G6))</f>
        <v>38094.720000000001</v>
      </c>
      <c r="M6" s="126">
        <f t="shared" si="0"/>
        <v>38094.720000000001</v>
      </c>
      <c r="N6" s="127">
        <f>IF($G6="34,5",'Premissas e Preços'!$C$26,'Premissas e Preços'!$C$25)</f>
        <v>13209.34</v>
      </c>
      <c r="O6" s="128" t="s">
        <v>23</v>
      </c>
      <c r="P6" s="128" t="s">
        <v>991</v>
      </c>
      <c r="Q6" s="128"/>
      <c r="R6" s="46"/>
      <c r="S6" s="47" t="s">
        <v>89</v>
      </c>
      <c r="T6" s="43">
        <f t="shared" si="1"/>
        <v>51304.06</v>
      </c>
    </row>
    <row r="7" spans="1:20" ht="15" customHeight="1">
      <c r="A7" s="41" t="s">
        <v>141</v>
      </c>
      <c r="B7" s="41" t="s">
        <v>142</v>
      </c>
      <c r="C7" s="41" t="s">
        <v>143</v>
      </c>
      <c r="D7" s="41" t="s">
        <v>144</v>
      </c>
      <c r="E7" s="42" t="s">
        <v>37</v>
      </c>
      <c r="F7" s="42">
        <f>_xlfn.XLOOKUP(B7,[1]Sheet1!$A:$A,[1]Sheet1!$F:$F)</f>
        <v>363</v>
      </c>
      <c r="G7" s="42" t="s">
        <v>46</v>
      </c>
      <c r="H7" s="41" t="s">
        <v>30</v>
      </c>
      <c r="I7" s="41" t="s">
        <v>145</v>
      </c>
      <c r="J7" s="42">
        <v>1</v>
      </c>
      <c r="K7" s="41" t="s">
        <v>140</v>
      </c>
      <c r="L7" s="43">
        <f>IFERROR(VLOOKUP(A7,'Premissas e Preços'!$A$15:$D$20,4,FALSE()),SUMIFS('Premissas e Preços'!$C$6:$C$11,'Premissas e Preços'!$A$6:$A$11,H7,'Premissas e Preços'!$B$6:$B$11,G7))</f>
        <v>38094.720000000001</v>
      </c>
      <c r="M7" s="43">
        <f t="shared" si="0"/>
        <v>38094.720000000001</v>
      </c>
      <c r="N7" s="43">
        <f>IF($G7="34,5",'Premissas e Preços'!$C$26,'Premissas e Preços'!$C$25)</f>
        <v>13209.34</v>
      </c>
      <c r="O7" s="44" t="s">
        <v>22</v>
      </c>
      <c r="P7" s="44"/>
      <c r="Q7" s="44"/>
      <c r="R7" s="41" t="s">
        <v>146</v>
      </c>
      <c r="S7" s="42" t="s">
        <v>89</v>
      </c>
      <c r="T7" s="43">
        <f t="shared" si="1"/>
        <v>51304.06</v>
      </c>
    </row>
    <row r="8" spans="1:20" ht="15" customHeight="1">
      <c r="A8" s="46" t="s">
        <v>147</v>
      </c>
      <c r="B8" s="46" t="s">
        <v>148</v>
      </c>
      <c r="C8" s="46" t="s">
        <v>149</v>
      </c>
      <c r="D8" s="46" t="s">
        <v>150</v>
      </c>
      <c r="E8" s="47" t="s">
        <v>36</v>
      </c>
      <c r="F8" s="79">
        <f>_xlfn.XLOOKUP(B8,[1]Sheet1!$A:$A,[1]Sheet1!$F:$F)</f>
        <v>237</v>
      </c>
      <c r="G8" s="47" t="s">
        <v>45</v>
      </c>
      <c r="H8" s="46" t="s">
        <v>28</v>
      </c>
      <c r="I8" s="46" t="s">
        <v>151</v>
      </c>
      <c r="J8" s="47">
        <v>1</v>
      </c>
      <c r="K8" s="46" t="s">
        <v>140</v>
      </c>
      <c r="L8" s="48">
        <f>IFERROR(VLOOKUP(A8,'Premissas e Preços'!$A$15:$D$20,4,FALSE()),SUMIFS('Premissas e Preços'!$C$6:$C$11,'Premissas e Preços'!$A$6:$A$11,H8,'Premissas e Preços'!$B$6:$B$11,G8))</f>
        <v>55602.54</v>
      </c>
      <c r="M8" s="48">
        <f t="shared" ref="M8:M39" si="2">J8*L8</f>
        <v>55602.54</v>
      </c>
      <c r="N8" s="43">
        <f>IF($G8="34,5",'Premissas e Preços'!$C$26,'Premissas e Preços'!$C$25)</f>
        <v>11016.94</v>
      </c>
      <c r="O8" s="44" t="s">
        <v>22</v>
      </c>
      <c r="P8" s="44"/>
      <c r="Q8" s="44"/>
      <c r="R8" s="46" t="s">
        <v>152</v>
      </c>
      <c r="S8" s="47" t="s">
        <v>89</v>
      </c>
      <c r="T8" s="43">
        <f t="shared" ref="T8:T39" si="3">M8+N8</f>
        <v>66619.48</v>
      </c>
    </row>
    <row r="9" spans="1:20" ht="15" customHeight="1">
      <c r="A9" s="41" t="s">
        <v>153</v>
      </c>
      <c r="B9" s="41" t="s">
        <v>154</v>
      </c>
      <c r="C9" s="41" t="s">
        <v>139</v>
      </c>
      <c r="D9" s="41" t="s">
        <v>139</v>
      </c>
      <c r="E9" s="42" t="s">
        <v>36</v>
      </c>
      <c r="F9" s="42">
        <f>_xlfn.XLOOKUP(B9,[1]Sheet1!$A:$A,[1]Sheet1!$F:$F)</f>
        <v>273</v>
      </c>
      <c r="G9" s="42" t="s">
        <v>46</v>
      </c>
      <c r="H9" s="41" t="s">
        <v>28</v>
      </c>
      <c r="I9" s="41" t="s">
        <v>155</v>
      </c>
      <c r="J9" s="42">
        <v>1</v>
      </c>
      <c r="K9" s="41" t="s">
        <v>140</v>
      </c>
      <c r="L9" s="43">
        <f>IFERROR(VLOOKUP(A9,'Premissas e Preços'!$A$15:$D$20,4,FALSE()),SUMIFS('Premissas e Preços'!$C$6:$C$11,'Premissas e Preços'!$A$6:$A$11,H9,'Premissas e Preços'!$B$6:$B$11,G9))</f>
        <v>76246.2</v>
      </c>
      <c r="M9" s="43">
        <f t="shared" si="2"/>
        <v>76246.2</v>
      </c>
      <c r="N9" s="43">
        <f>IF($G9="34,5",'Premissas e Preços'!$C$26,'Premissas e Preços'!$C$25)</f>
        <v>13209.34</v>
      </c>
      <c r="O9" s="44" t="s">
        <v>22</v>
      </c>
      <c r="P9" s="44"/>
      <c r="Q9" s="44"/>
      <c r="R9" s="41"/>
      <c r="S9" s="42" t="s">
        <v>89</v>
      </c>
      <c r="T9" s="43">
        <f t="shared" si="3"/>
        <v>89455.54</v>
      </c>
    </row>
    <row r="10" spans="1:20" ht="15" customHeight="1">
      <c r="A10" s="46" t="s">
        <v>156</v>
      </c>
      <c r="B10" s="46" t="s">
        <v>157</v>
      </c>
      <c r="C10" s="46" t="s">
        <v>158</v>
      </c>
      <c r="D10" s="46" t="s">
        <v>158</v>
      </c>
      <c r="E10" s="47" t="s">
        <v>36</v>
      </c>
      <c r="F10" s="79">
        <f>_xlfn.XLOOKUP(B10,[1]Sheet1!$A:$A,[1]Sheet1!$F:$F)</f>
        <v>138</v>
      </c>
      <c r="G10" s="47" t="s">
        <v>45</v>
      </c>
      <c r="H10" s="46" t="s">
        <v>29</v>
      </c>
      <c r="I10" s="46" t="s">
        <v>159</v>
      </c>
      <c r="J10" s="47">
        <v>1</v>
      </c>
      <c r="K10" s="46" t="s">
        <v>140</v>
      </c>
      <c r="L10" s="48">
        <f>IFERROR(VLOOKUP(A10,'Premissas e Preços'!$A$15:$D$20,4,FALSE()),SUMIFS('Premissas e Preços'!$C$6:$C$11,'Premissas e Preços'!$A$6:$A$11,H10,'Premissas e Preços'!$B$6:$B$11,G10))</f>
        <v>21785.72</v>
      </c>
      <c r="M10" s="48">
        <f t="shared" si="2"/>
        <v>21785.72</v>
      </c>
      <c r="N10" s="43">
        <f>IF($G10="34,5",'Premissas e Preços'!$C$26,'Premissas e Preços'!$C$25)</f>
        <v>11016.94</v>
      </c>
      <c r="O10" s="44" t="s">
        <v>22</v>
      </c>
      <c r="P10" s="44"/>
      <c r="Q10" s="44"/>
      <c r="R10" s="46" t="s">
        <v>160</v>
      </c>
      <c r="S10" s="47" t="s">
        <v>89</v>
      </c>
      <c r="T10" s="43">
        <f t="shared" si="3"/>
        <v>32802.660000000003</v>
      </c>
    </row>
    <row r="11" spans="1:20" ht="15" customHeight="1">
      <c r="A11" s="46" t="s">
        <v>161</v>
      </c>
      <c r="B11" s="46" t="s">
        <v>162</v>
      </c>
      <c r="C11" s="46" t="s">
        <v>163</v>
      </c>
      <c r="D11" s="46" t="s">
        <v>164</v>
      </c>
      <c r="E11" s="47" t="s">
        <v>36</v>
      </c>
      <c r="F11" s="79">
        <f>_xlfn.XLOOKUP(B11,[1]Sheet1!$A:$A,[1]Sheet1!$F:$F)</f>
        <v>177</v>
      </c>
      <c r="G11" s="47" t="s">
        <v>46</v>
      </c>
      <c r="H11" s="46" t="s">
        <v>29</v>
      </c>
      <c r="I11" s="46" t="s">
        <v>159</v>
      </c>
      <c r="J11" s="47">
        <v>1</v>
      </c>
      <c r="K11" s="46" t="s">
        <v>140</v>
      </c>
      <c r="L11" s="48">
        <f>IFERROR(VLOOKUP(A11,'Premissas e Preços'!$A$15:$D$20,4,FALSE()),SUMIFS('Premissas e Preços'!$C$6:$C$11,'Premissas e Preços'!$A$6:$A$11,H11,'Premissas e Preços'!$B$6:$B$11,G11))</f>
        <v>38151.480000000003</v>
      </c>
      <c r="M11" s="48">
        <f t="shared" si="2"/>
        <v>38151.480000000003</v>
      </c>
      <c r="N11" s="43">
        <f>IF($G11="34,5",'Premissas e Preços'!$C$26,'Premissas e Preços'!$C$25)</f>
        <v>13209.34</v>
      </c>
      <c r="O11" s="44" t="s">
        <v>22</v>
      </c>
      <c r="P11" s="44"/>
      <c r="Q11" s="44"/>
      <c r="R11" s="46" t="s">
        <v>165</v>
      </c>
      <c r="S11" s="47" t="s">
        <v>89</v>
      </c>
      <c r="T11" s="43">
        <f t="shared" si="3"/>
        <v>51360.820000000007</v>
      </c>
    </row>
    <row r="12" spans="1:20" ht="15" customHeight="1">
      <c r="A12" s="80" t="s">
        <v>166</v>
      </c>
      <c r="B12" s="80" t="s">
        <v>167</v>
      </c>
      <c r="C12" s="80" t="s">
        <v>168</v>
      </c>
      <c r="D12" s="80" t="s">
        <v>168</v>
      </c>
      <c r="E12" s="81" t="s">
        <v>36</v>
      </c>
      <c r="F12" s="87" t="e">
        <f>_xlfn.XLOOKUP(B12,[1]Sheet1!$A:$A,[1]Sheet1!$F:$F)</f>
        <v>#N/A</v>
      </c>
      <c r="G12" s="81" t="s">
        <v>45</v>
      </c>
      <c r="H12" s="80" t="s">
        <v>30</v>
      </c>
      <c r="I12" s="80" t="s">
        <v>169</v>
      </c>
      <c r="J12" s="81">
        <v>1</v>
      </c>
      <c r="K12" s="80" t="s">
        <v>140</v>
      </c>
      <c r="L12" s="83">
        <f>IFERROR(VLOOKUP(A12,'Premissas e Preços'!$A$15:$D$20,4,FALSE()),SUMIFS('Premissas e Preços'!$C$6:$C$11,'Premissas e Preços'!$A$6:$A$11,H12,'Premissas e Preços'!$B$6:$B$11,G12))</f>
        <v>33816.82</v>
      </c>
      <c r="M12" s="83">
        <f t="shared" si="2"/>
        <v>33816.82</v>
      </c>
      <c r="N12" s="84">
        <f>IF($G12="34,5",'Premissas e Preços'!$C$26,'Premissas e Preços'!$C$25)</f>
        <v>11016.94</v>
      </c>
      <c r="O12" s="85" t="s">
        <v>23</v>
      </c>
      <c r="P12" s="128" t="s">
        <v>986</v>
      </c>
      <c r="Q12" s="128"/>
      <c r="R12" s="46" t="s">
        <v>170</v>
      </c>
      <c r="S12" s="47" t="s">
        <v>89</v>
      </c>
      <c r="T12" s="43">
        <f t="shared" si="3"/>
        <v>44833.760000000002</v>
      </c>
    </row>
    <row r="13" spans="1:20" ht="15" customHeight="1">
      <c r="A13" s="41" t="s">
        <v>171</v>
      </c>
      <c r="B13" s="41">
        <v>7920024127</v>
      </c>
      <c r="C13" s="41" t="s">
        <v>172</v>
      </c>
      <c r="D13" s="41" t="s">
        <v>168</v>
      </c>
      <c r="E13" s="42" t="s">
        <v>36</v>
      </c>
      <c r="F13" s="42">
        <v>387</v>
      </c>
      <c r="G13" s="42" t="s">
        <v>46</v>
      </c>
      <c r="H13" s="41" t="s">
        <v>28</v>
      </c>
      <c r="I13" s="41" t="s">
        <v>173</v>
      </c>
      <c r="J13" s="42">
        <v>1</v>
      </c>
      <c r="K13" s="41" t="s">
        <v>140</v>
      </c>
      <c r="L13" s="43">
        <f>IFERROR(VLOOKUP(A13,'Premissas e Preços'!$A$15:$D$20,4,FALSE()),SUMIFS('Premissas e Preços'!$C$6:$C$11,'Premissas e Preços'!$A$6:$A$11,H13,'Premissas e Preços'!$B$6:$B$11,G13))</f>
        <v>76246.2</v>
      </c>
      <c r="M13" s="43">
        <f t="shared" si="2"/>
        <v>76246.2</v>
      </c>
      <c r="N13" s="43">
        <f>IF($G13="34,5",'Premissas e Preços'!$C$26,'Premissas e Preços'!$C$25)</f>
        <v>13209.34</v>
      </c>
      <c r="O13" s="108" t="s">
        <v>25</v>
      </c>
      <c r="P13" s="108"/>
      <c r="Q13" s="108"/>
      <c r="R13" s="41"/>
      <c r="S13" s="42" t="s">
        <v>89</v>
      </c>
      <c r="T13" s="43">
        <f t="shared" si="3"/>
        <v>89455.54</v>
      </c>
    </row>
    <row r="14" spans="1:20" ht="15" customHeight="1">
      <c r="A14" s="110" t="s">
        <v>174</v>
      </c>
      <c r="B14" s="110" t="s">
        <v>175</v>
      </c>
      <c r="C14" s="110" t="s">
        <v>176</v>
      </c>
      <c r="D14" s="110" t="s">
        <v>176</v>
      </c>
      <c r="E14" s="111" t="s">
        <v>36</v>
      </c>
      <c r="F14" s="112">
        <f>_xlfn.XLOOKUP(B14,[1]Sheet1!$A:$A,[1]Sheet1!$F:$F)</f>
        <v>145</v>
      </c>
      <c r="G14" s="111" t="s">
        <v>46</v>
      </c>
      <c r="H14" s="110" t="s">
        <v>29</v>
      </c>
      <c r="I14" s="110" t="s">
        <v>177</v>
      </c>
      <c r="J14" s="111">
        <v>1</v>
      </c>
      <c r="K14" s="110" t="s">
        <v>140</v>
      </c>
      <c r="L14" s="113">
        <f>IFERROR(VLOOKUP(A14,'Premissas e Preços'!$A$15:$D$20,4,FALSE()),SUMIFS('Premissas e Preços'!$C$6:$C$11,'Premissas e Preços'!$A$6:$A$11,H14,'Premissas e Preços'!$B$6:$B$11,G14))</f>
        <v>38151.480000000003</v>
      </c>
      <c r="M14" s="113">
        <f t="shared" si="2"/>
        <v>38151.480000000003</v>
      </c>
      <c r="N14" s="114">
        <f>IF($G14="34,5",'Premissas e Preços'!$C$26,'Premissas e Preços'!$C$25)</f>
        <v>13209.34</v>
      </c>
      <c r="O14" s="115" t="s">
        <v>22</v>
      </c>
      <c r="P14" s="115"/>
      <c r="Q14" s="115"/>
      <c r="R14" s="110"/>
      <c r="S14" s="111" t="s">
        <v>89</v>
      </c>
      <c r="T14" s="114">
        <f t="shared" si="3"/>
        <v>51360.820000000007</v>
      </c>
    </row>
    <row r="15" spans="1:20" ht="15" customHeight="1">
      <c r="A15" s="46" t="s">
        <v>178</v>
      </c>
      <c r="B15" s="46" t="s">
        <v>179</v>
      </c>
      <c r="C15" s="46" t="s">
        <v>180</v>
      </c>
      <c r="D15" s="46" t="s">
        <v>181</v>
      </c>
      <c r="E15" s="47" t="s">
        <v>36</v>
      </c>
      <c r="F15" s="79">
        <f>_xlfn.XLOOKUP(B15,[1]Sheet1!$A:$A,[1]Sheet1!$F:$F)</f>
        <v>327</v>
      </c>
      <c r="G15" s="47" t="s">
        <v>46</v>
      </c>
      <c r="H15" s="46" t="s">
        <v>29</v>
      </c>
      <c r="I15" s="46" t="s">
        <v>159</v>
      </c>
      <c r="J15" s="47">
        <v>1</v>
      </c>
      <c r="K15" s="46" t="s">
        <v>140</v>
      </c>
      <c r="L15" s="48">
        <f>IFERROR(VLOOKUP(A15,'Premissas e Preços'!$A$15:$D$20,4,FALSE()),SUMIFS('Premissas e Preços'!$C$6:$C$11,'Premissas e Preços'!$A$6:$A$11,H15,'Premissas e Preços'!$B$6:$B$11,G15))</f>
        <v>38151.480000000003</v>
      </c>
      <c r="M15" s="48">
        <f t="shared" si="2"/>
        <v>38151.480000000003</v>
      </c>
      <c r="N15" s="43">
        <f>IF($G15="34,5",'Premissas e Preços'!$C$26,'Premissas e Preços'!$C$25)</f>
        <v>13209.34</v>
      </c>
      <c r="O15" s="49" t="s">
        <v>24</v>
      </c>
      <c r="P15" s="49" t="s">
        <v>987</v>
      </c>
      <c r="Q15" s="49"/>
      <c r="R15" s="46"/>
      <c r="S15" s="47" t="s">
        <v>89</v>
      </c>
      <c r="T15" s="43">
        <f t="shared" si="3"/>
        <v>51360.820000000007</v>
      </c>
    </row>
    <row r="16" spans="1:20" ht="15" customHeight="1">
      <c r="A16" s="41" t="s">
        <v>182</v>
      </c>
      <c r="B16" s="41" t="s">
        <v>183</v>
      </c>
      <c r="C16" s="41" t="s">
        <v>158</v>
      </c>
      <c r="D16" s="41" t="s">
        <v>158</v>
      </c>
      <c r="E16" s="42" t="s">
        <v>36</v>
      </c>
      <c r="F16" s="42">
        <f>_xlfn.XLOOKUP(B16,[1]Sheet1!$A:$A,[1]Sheet1!$F:$F)</f>
        <v>337</v>
      </c>
      <c r="G16" s="42" t="s">
        <v>46</v>
      </c>
      <c r="H16" s="41" t="s">
        <v>29</v>
      </c>
      <c r="I16" s="41" t="s">
        <v>159</v>
      </c>
      <c r="J16" s="42">
        <v>1</v>
      </c>
      <c r="K16" s="41" t="s">
        <v>140</v>
      </c>
      <c r="L16" s="43">
        <f>IFERROR(VLOOKUP(A16,'Premissas e Preços'!$A$15:$D$20,4,FALSE()),SUMIFS('Premissas e Preços'!$C$6:$C$11,'Premissas e Preços'!$A$6:$A$11,H16,'Premissas e Preços'!$B$6:$B$11,G16))</f>
        <v>38151.480000000003</v>
      </c>
      <c r="M16" s="43">
        <f t="shared" si="2"/>
        <v>38151.480000000003</v>
      </c>
      <c r="N16" s="43">
        <f>IF($G16="34,5",'Premissas e Preços'!$C$26,'Premissas e Preços'!$C$25)</f>
        <v>13209.34</v>
      </c>
      <c r="O16" s="49" t="s">
        <v>24</v>
      </c>
      <c r="P16" s="49" t="s">
        <v>987</v>
      </c>
      <c r="Q16" s="49"/>
      <c r="R16" s="41"/>
      <c r="S16" s="42" t="s">
        <v>89</v>
      </c>
      <c r="T16" s="43">
        <f t="shared" si="3"/>
        <v>51360.820000000007</v>
      </c>
    </row>
    <row r="17" spans="1:20" ht="15" customHeight="1">
      <c r="A17" s="41" t="s">
        <v>86</v>
      </c>
      <c r="B17" s="41" t="s">
        <v>184</v>
      </c>
      <c r="C17" s="41" t="s">
        <v>172</v>
      </c>
      <c r="D17" s="41" t="s">
        <v>168</v>
      </c>
      <c r="E17" s="42" t="s">
        <v>39</v>
      </c>
      <c r="F17" s="42">
        <f>_xlfn.XLOOKUP(B17,[1]Sheet1!$A:$A,[1]Sheet1!$F:$F)</f>
        <v>131</v>
      </c>
      <c r="G17" s="42" t="s">
        <v>46</v>
      </c>
      <c r="H17" s="41" t="s">
        <v>33</v>
      </c>
      <c r="I17" s="41" t="s">
        <v>185</v>
      </c>
      <c r="J17" s="42">
        <v>1</v>
      </c>
      <c r="K17" s="41" t="s">
        <v>87</v>
      </c>
      <c r="L17" s="43">
        <f>IFERROR(VLOOKUP(A17,'Premissas e Preços'!$A$15:$D$20,4,FALSE()),SUMIFS('Premissas e Preços'!$C$6:$C$11,'Premissas e Preços'!$A$6:$A$11,H17,'Premissas e Preços'!$B$6:$B$11,G17))</f>
        <v>736.43</v>
      </c>
      <c r="M17" s="43">
        <f t="shared" si="2"/>
        <v>736.43</v>
      </c>
      <c r="N17" s="43">
        <f>IF($G17="34,5",'Premissas e Preços'!$C$26,'Premissas e Preços'!$C$25)</f>
        <v>13209.34</v>
      </c>
      <c r="O17" s="49" t="s">
        <v>24</v>
      </c>
      <c r="P17" s="49" t="s">
        <v>988</v>
      </c>
      <c r="Q17" s="129">
        <v>46199</v>
      </c>
      <c r="R17" s="41"/>
      <c r="S17" s="42" t="s">
        <v>89</v>
      </c>
      <c r="T17" s="43">
        <f t="shared" si="3"/>
        <v>13945.77</v>
      </c>
    </row>
    <row r="18" spans="1:20" ht="15" customHeight="1">
      <c r="A18" s="91" t="s">
        <v>186</v>
      </c>
      <c r="B18" s="91" t="s">
        <v>187</v>
      </c>
      <c r="C18" s="91" t="s">
        <v>188</v>
      </c>
      <c r="D18" s="91" t="s">
        <v>189</v>
      </c>
      <c r="E18" s="79" t="s">
        <v>36</v>
      </c>
      <c r="F18" s="79">
        <f>_xlfn.XLOOKUP(B18,[1]Sheet1!$A:$A,[1]Sheet1!$F:$F)</f>
        <v>370</v>
      </c>
      <c r="G18" s="79" t="s">
        <v>46</v>
      </c>
      <c r="H18" s="91" t="s">
        <v>29</v>
      </c>
      <c r="I18" s="91" t="s">
        <v>190</v>
      </c>
      <c r="J18" s="79">
        <v>1</v>
      </c>
      <c r="K18" s="91" t="s">
        <v>140</v>
      </c>
      <c r="L18" s="90">
        <f>IFERROR(VLOOKUP(A18,'Premissas e Preços'!$A$15:$D$20,4,FALSE()),SUMIFS('Premissas e Preços'!$C$6:$C$11,'Premissas e Preços'!$A$6:$A$11,H18,'Premissas e Preços'!$B$6:$B$11,G18))</f>
        <v>38151.480000000003</v>
      </c>
      <c r="M18" s="90">
        <f t="shared" si="2"/>
        <v>38151.480000000003</v>
      </c>
      <c r="N18" s="90">
        <f>IF($G18="34,5",'Premissas e Preços'!$C$26,'Premissas e Preços'!$C$25)</f>
        <v>13209.34</v>
      </c>
      <c r="O18" s="95" t="s">
        <v>23</v>
      </c>
      <c r="P18" s="128" t="s">
        <v>986</v>
      </c>
      <c r="Q18" s="128"/>
      <c r="R18" s="91" t="s">
        <v>191</v>
      </c>
      <c r="S18" s="79" t="s">
        <v>89</v>
      </c>
      <c r="T18" s="90">
        <f t="shared" si="3"/>
        <v>51360.820000000007</v>
      </c>
    </row>
    <row r="19" spans="1:20" ht="15" customHeight="1">
      <c r="A19" s="41" t="s">
        <v>192</v>
      </c>
      <c r="B19" s="41" t="s">
        <v>193</v>
      </c>
      <c r="C19" s="41" t="s">
        <v>180</v>
      </c>
      <c r="D19" s="41" t="s">
        <v>181</v>
      </c>
      <c r="E19" s="42" t="s">
        <v>39</v>
      </c>
      <c r="F19" s="42">
        <f>_xlfn.XLOOKUP(B19,[1]Sheet1!$A:$A,[1]Sheet1!$F:$F)</f>
        <v>132</v>
      </c>
      <c r="G19" s="42" t="s">
        <v>46</v>
      </c>
      <c r="H19" s="41" t="s">
        <v>28</v>
      </c>
      <c r="I19" s="41" t="s">
        <v>194</v>
      </c>
      <c r="J19" s="42">
        <v>1</v>
      </c>
      <c r="K19" s="41" t="s">
        <v>140</v>
      </c>
      <c r="L19" s="43">
        <f>IFERROR(VLOOKUP(A19,'Premissas e Preços'!$A$15:$D$20,4,FALSE()),SUMIFS('Premissas e Preços'!$C$6:$C$11,'Premissas e Preços'!$A$6:$A$11,H19,'Premissas e Preços'!$B$6:$B$11,G19))</f>
        <v>76246.2</v>
      </c>
      <c r="M19" s="43">
        <f t="shared" si="2"/>
        <v>76246.2</v>
      </c>
      <c r="N19" s="43">
        <f>IF($G19="34,5",'Premissas e Preços'!$C$26,'Premissas e Preços'!$C$25)</f>
        <v>13209.34</v>
      </c>
      <c r="O19" s="49" t="s">
        <v>24</v>
      </c>
      <c r="P19" s="49" t="s">
        <v>987</v>
      </c>
      <c r="Q19" s="49"/>
      <c r="R19" s="41"/>
      <c r="S19" s="42" t="s">
        <v>89</v>
      </c>
      <c r="T19" s="43">
        <f t="shared" si="3"/>
        <v>89455.54</v>
      </c>
    </row>
    <row r="20" spans="1:20" ht="15" customHeight="1">
      <c r="A20" s="46" t="s">
        <v>195</v>
      </c>
      <c r="B20" s="46" t="s">
        <v>196</v>
      </c>
      <c r="C20" s="46" t="s">
        <v>197</v>
      </c>
      <c r="D20" s="46" t="s">
        <v>198</v>
      </c>
      <c r="E20" s="47" t="s">
        <v>39</v>
      </c>
      <c r="F20" s="79">
        <f>_xlfn.XLOOKUP(B20,[1]Sheet1!$A:$A,[1]Sheet1!$F:$F)</f>
        <v>192</v>
      </c>
      <c r="G20" s="47" t="s">
        <v>46</v>
      </c>
      <c r="H20" s="46" t="s">
        <v>28</v>
      </c>
      <c r="I20" s="46" t="s">
        <v>199</v>
      </c>
      <c r="J20" s="47">
        <v>1</v>
      </c>
      <c r="K20" s="46" t="s">
        <v>140</v>
      </c>
      <c r="L20" s="48">
        <f>IFERROR(VLOOKUP(A20,'Premissas e Preços'!$A$15:$D$20,4,FALSE()),SUMIFS('Premissas e Preços'!$C$6:$C$11,'Premissas e Preços'!$A$6:$A$11,H20,'Premissas e Preços'!$B$6:$B$11,G20))</f>
        <v>76246.2</v>
      </c>
      <c r="M20" s="48">
        <f t="shared" si="2"/>
        <v>76246.2</v>
      </c>
      <c r="N20" s="43">
        <f>IF($G20="34,5",'Premissas e Preços'!$C$26,'Premissas e Preços'!$C$25)</f>
        <v>13209.34</v>
      </c>
      <c r="O20" s="49" t="s">
        <v>24</v>
      </c>
      <c r="P20" s="49" t="s">
        <v>987</v>
      </c>
      <c r="Q20" s="49"/>
      <c r="R20" s="46"/>
      <c r="S20" s="47" t="s">
        <v>89</v>
      </c>
      <c r="T20" s="43">
        <f t="shared" si="3"/>
        <v>89455.54</v>
      </c>
    </row>
    <row r="21" spans="1:20" ht="15" customHeight="1">
      <c r="A21" s="41" t="s">
        <v>200</v>
      </c>
      <c r="B21" s="41" t="s">
        <v>201</v>
      </c>
      <c r="C21" s="41" t="s">
        <v>202</v>
      </c>
      <c r="D21" s="41" t="s">
        <v>158</v>
      </c>
      <c r="E21" s="42" t="s">
        <v>37</v>
      </c>
      <c r="F21" s="42">
        <f>_xlfn.XLOOKUP(B21,[1]Sheet1!$A:$A,[1]Sheet1!$F:$F)</f>
        <v>132</v>
      </c>
      <c r="G21" s="42" t="s">
        <v>46</v>
      </c>
      <c r="H21" s="41" t="s">
        <v>28</v>
      </c>
      <c r="I21" s="41" t="s">
        <v>203</v>
      </c>
      <c r="J21" s="42">
        <v>1</v>
      </c>
      <c r="K21" s="41" t="s">
        <v>140</v>
      </c>
      <c r="L21" s="43">
        <f>IFERROR(VLOOKUP(A21,'Premissas e Preços'!$A$15:$D$20,4,FALSE()),SUMIFS('Premissas e Preços'!$C$6:$C$11,'Premissas e Preços'!$A$6:$A$11,H21,'Premissas e Preços'!$B$6:$B$11,G21))</f>
        <v>76246.2</v>
      </c>
      <c r="M21" s="43">
        <f t="shared" si="2"/>
        <v>76246.2</v>
      </c>
      <c r="N21" s="43">
        <f>IF($G21="34,5",'Premissas e Preços'!$C$26,'Premissas e Preços'!$C$25)</f>
        <v>13209.34</v>
      </c>
      <c r="O21" s="49" t="s">
        <v>24</v>
      </c>
      <c r="P21" s="49" t="s">
        <v>987</v>
      </c>
      <c r="Q21" s="49"/>
      <c r="R21" s="41"/>
      <c r="S21" s="42" t="s">
        <v>89</v>
      </c>
      <c r="T21" s="43">
        <f t="shared" si="3"/>
        <v>89455.54</v>
      </c>
    </row>
    <row r="22" spans="1:20" s="86" customFormat="1" ht="15" customHeight="1">
      <c r="A22" s="80" t="s">
        <v>204</v>
      </c>
      <c r="B22" s="80" t="s">
        <v>205</v>
      </c>
      <c r="C22" s="80" t="s">
        <v>176</v>
      </c>
      <c r="D22" s="80" t="s">
        <v>176</v>
      </c>
      <c r="E22" s="81" t="s">
        <v>38</v>
      </c>
      <c r="F22" s="82" t="e">
        <f>_xlfn.XLOOKUP(B22,[1]Sheet1!$A:$A,[1]Sheet1!$F:$F)</f>
        <v>#N/A</v>
      </c>
      <c r="G22" s="81" t="s">
        <v>46</v>
      </c>
      <c r="H22" s="80" t="s">
        <v>28</v>
      </c>
      <c r="I22" s="80" t="s">
        <v>199</v>
      </c>
      <c r="J22" s="81">
        <v>1</v>
      </c>
      <c r="K22" s="80" t="s">
        <v>140</v>
      </c>
      <c r="L22" s="83">
        <f>IFERROR(VLOOKUP(A22,'Premissas e Preços'!$A$15:$D$20,4,FALSE()),SUMIFS('Premissas e Preços'!$C$6:$C$11,'Premissas e Preços'!$A$6:$A$11,H22,'Premissas e Preços'!$B$6:$B$11,G22))</f>
        <v>76246.2</v>
      </c>
      <c r="M22" s="83">
        <f t="shared" si="2"/>
        <v>76246.2</v>
      </c>
      <c r="N22" s="84">
        <f>IF($G22="34,5",'Premissas e Preços'!$C$26,'Premissas e Preços'!$C$25)</f>
        <v>13209.34</v>
      </c>
      <c r="O22" s="85" t="s">
        <v>25</v>
      </c>
      <c r="P22" s="85" t="s">
        <v>987</v>
      </c>
      <c r="Q22" s="85"/>
      <c r="R22" s="80"/>
      <c r="S22" s="81" t="s">
        <v>89</v>
      </c>
      <c r="T22" s="84">
        <f t="shared" si="3"/>
        <v>89455.54</v>
      </c>
    </row>
    <row r="23" spans="1:20" ht="15" customHeight="1">
      <c r="A23" s="41" t="s">
        <v>206</v>
      </c>
      <c r="B23" s="41" t="s">
        <v>207</v>
      </c>
      <c r="C23" s="41" t="s">
        <v>139</v>
      </c>
      <c r="D23" s="41" t="s">
        <v>139</v>
      </c>
      <c r="E23" s="42" t="s">
        <v>39</v>
      </c>
      <c r="F23" s="42">
        <f>_xlfn.XLOOKUP(B23,[1]Sheet1!$A:$A,[1]Sheet1!$F:$F)</f>
        <v>84</v>
      </c>
      <c r="G23" s="42" t="s">
        <v>45</v>
      </c>
      <c r="H23" s="41" t="s">
        <v>28</v>
      </c>
      <c r="I23" s="41" t="s">
        <v>199</v>
      </c>
      <c r="J23" s="42">
        <v>1</v>
      </c>
      <c r="K23" s="41" t="s">
        <v>140</v>
      </c>
      <c r="L23" s="43">
        <f>IFERROR(VLOOKUP(A23,'Premissas e Preços'!$A$15:$D$20,4,FALSE()),SUMIFS('Premissas e Preços'!$C$6:$C$11,'Premissas e Preços'!$A$6:$A$11,H23,'Premissas e Preços'!$B$6:$B$11,G23))</f>
        <v>55602.54</v>
      </c>
      <c r="M23" s="43">
        <f t="shared" si="2"/>
        <v>55602.54</v>
      </c>
      <c r="N23" s="43">
        <f>IF($G23="34,5",'Premissas e Preços'!$C$26,'Premissas e Preços'!$C$25)</f>
        <v>11016.94</v>
      </c>
      <c r="O23" s="49" t="s">
        <v>24</v>
      </c>
      <c r="P23" s="49" t="s">
        <v>987</v>
      </c>
      <c r="Q23" s="49"/>
      <c r="R23" s="41"/>
      <c r="S23" s="42" t="s">
        <v>89</v>
      </c>
      <c r="T23" s="43">
        <f t="shared" si="3"/>
        <v>66619.48</v>
      </c>
    </row>
    <row r="24" spans="1:20" ht="15" customHeight="1">
      <c r="A24" s="46" t="s">
        <v>208</v>
      </c>
      <c r="B24" s="46" t="s">
        <v>209</v>
      </c>
      <c r="C24" s="46" t="s">
        <v>210</v>
      </c>
      <c r="D24" s="46" t="s">
        <v>144</v>
      </c>
      <c r="E24" s="47" t="s">
        <v>39</v>
      </c>
      <c r="F24" s="79">
        <f>_xlfn.XLOOKUP(B24,[1]Sheet1!$A:$A,[1]Sheet1!$F:$F)</f>
        <v>98</v>
      </c>
      <c r="G24" s="47" t="s">
        <v>46</v>
      </c>
      <c r="H24" s="46" t="s">
        <v>28</v>
      </c>
      <c r="I24" s="46" t="s">
        <v>199</v>
      </c>
      <c r="J24" s="47">
        <v>1</v>
      </c>
      <c r="K24" s="46" t="s">
        <v>140</v>
      </c>
      <c r="L24" s="48">
        <f>IFERROR(VLOOKUP(A24,'Premissas e Preços'!$A$15:$D$20,4,FALSE()),SUMIFS('Premissas e Preços'!$C$6:$C$11,'Premissas e Preços'!$A$6:$A$11,H24,'Premissas e Preços'!$B$6:$B$11,G24))</f>
        <v>76246.2</v>
      </c>
      <c r="M24" s="48">
        <f t="shared" si="2"/>
        <v>76246.2</v>
      </c>
      <c r="N24" s="43">
        <f>IF($G24="34,5",'Premissas e Preços'!$C$26,'Premissas e Preços'!$C$25)</f>
        <v>13209.34</v>
      </c>
      <c r="O24" s="49" t="s">
        <v>24</v>
      </c>
      <c r="P24" s="49" t="s">
        <v>987</v>
      </c>
      <c r="Q24" s="49"/>
      <c r="R24" s="46"/>
      <c r="S24" s="47" t="s">
        <v>89</v>
      </c>
      <c r="T24" s="43">
        <f t="shared" si="3"/>
        <v>89455.54</v>
      </c>
    </row>
    <row r="25" spans="1:20" ht="15" customHeight="1">
      <c r="A25" s="41" t="s">
        <v>211</v>
      </c>
      <c r="B25" s="41" t="s">
        <v>212</v>
      </c>
      <c r="C25" s="41" t="s">
        <v>213</v>
      </c>
      <c r="D25" s="41" t="s">
        <v>168</v>
      </c>
      <c r="E25" s="42" t="s">
        <v>39</v>
      </c>
      <c r="F25" s="42">
        <f>_xlfn.XLOOKUP(B25,[1]Sheet1!$A:$A,[1]Sheet1!$F:$F)</f>
        <v>373</v>
      </c>
      <c r="G25" s="42" t="s">
        <v>46</v>
      </c>
      <c r="H25" s="41" t="s">
        <v>28</v>
      </c>
      <c r="I25" s="41" t="s">
        <v>214</v>
      </c>
      <c r="J25" s="42">
        <v>1</v>
      </c>
      <c r="K25" s="41" t="s">
        <v>140</v>
      </c>
      <c r="L25" s="43">
        <f>IFERROR(VLOOKUP(A25,'Premissas e Preços'!$A$15:$D$20,4,FALSE()),SUMIFS('Premissas e Preços'!$C$6:$C$11,'Premissas e Preços'!$A$6:$A$11,H25,'Premissas e Preços'!$B$6:$B$11,G25))</f>
        <v>76246.2</v>
      </c>
      <c r="M25" s="43">
        <f t="shared" si="2"/>
        <v>76246.2</v>
      </c>
      <c r="N25" s="43">
        <f>IF($G25="34,5",'Premissas e Preços'!$C$26,'Premissas e Preços'!$C$25)</f>
        <v>13209.34</v>
      </c>
      <c r="O25" t="s">
        <v>25</v>
      </c>
      <c r="R25" s="41"/>
      <c r="S25" s="42" t="s">
        <v>89</v>
      </c>
      <c r="T25" s="43">
        <f t="shared" si="3"/>
        <v>89455.54</v>
      </c>
    </row>
    <row r="26" spans="1:20" ht="15" customHeight="1">
      <c r="A26" s="46" t="s">
        <v>215</v>
      </c>
      <c r="B26" s="46" t="s">
        <v>216</v>
      </c>
      <c r="C26" s="46" t="s">
        <v>217</v>
      </c>
      <c r="D26" s="46" t="s">
        <v>198</v>
      </c>
      <c r="E26" s="47" t="s">
        <v>39</v>
      </c>
      <c r="F26" s="79">
        <f>_xlfn.XLOOKUP(B26,[1]Sheet1!$A:$A,[1]Sheet1!$F:$F)</f>
        <v>391</v>
      </c>
      <c r="G26" s="47" t="s">
        <v>46</v>
      </c>
      <c r="H26" s="46" t="s">
        <v>28</v>
      </c>
      <c r="I26" s="46" t="s">
        <v>218</v>
      </c>
      <c r="J26" s="47">
        <v>1</v>
      </c>
      <c r="K26" s="46" t="s">
        <v>140</v>
      </c>
      <c r="L26" s="48">
        <f>IFERROR(VLOOKUP(A26,'Premissas e Preços'!$A$15:$D$20,4,FALSE()),SUMIFS('Premissas e Preços'!$C$6:$C$11,'Premissas e Preços'!$A$6:$A$11,H26,'Premissas e Preços'!$B$6:$B$11,G26))</f>
        <v>76246.2</v>
      </c>
      <c r="M26" s="48">
        <f t="shared" si="2"/>
        <v>76246.2</v>
      </c>
      <c r="N26" s="43">
        <f>IF($G26="34,5",'Premissas e Preços'!$C$26,'Premissas e Preços'!$C$25)</f>
        <v>13209.34</v>
      </c>
      <c r="O26" t="s">
        <v>25</v>
      </c>
      <c r="R26" s="46"/>
      <c r="S26" s="47" t="s">
        <v>89</v>
      </c>
      <c r="T26" s="43">
        <f t="shared" si="3"/>
        <v>89455.54</v>
      </c>
    </row>
    <row r="27" spans="1:20" ht="15" customHeight="1">
      <c r="A27" s="41" t="s">
        <v>219</v>
      </c>
      <c r="B27" s="41" t="s">
        <v>220</v>
      </c>
      <c r="C27" s="41" t="s">
        <v>139</v>
      </c>
      <c r="D27" s="41" t="s">
        <v>139</v>
      </c>
      <c r="E27" s="42" t="s">
        <v>36</v>
      </c>
      <c r="F27" s="42">
        <f>_xlfn.XLOOKUP(B27,[1]Sheet1!$A:$A,[1]Sheet1!$F:$F)</f>
        <v>286</v>
      </c>
      <c r="G27" s="42" t="s">
        <v>46</v>
      </c>
      <c r="H27" s="41" t="s">
        <v>28</v>
      </c>
      <c r="I27" s="41" t="s">
        <v>199</v>
      </c>
      <c r="J27" s="42">
        <v>1</v>
      </c>
      <c r="K27" s="41" t="s">
        <v>140</v>
      </c>
      <c r="L27" s="43">
        <f>IFERROR(VLOOKUP(A27,'Premissas e Preços'!$A$15:$D$20,4,FALSE()),SUMIFS('Premissas e Preços'!$C$6:$C$11,'Premissas e Preços'!$A$6:$A$11,H27,'Premissas e Preços'!$B$6:$B$11,G27))</f>
        <v>76246.2</v>
      </c>
      <c r="M27" s="43">
        <f t="shared" si="2"/>
        <v>76246.2</v>
      </c>
      <c r="N27" s="43">
        <f>IF($G27="34,5",'Premissas e Preços'!$C$26,'Premissas e Preços'!$C$25)</f>
        <v>13209.34</v>
      </c>
      <c r="O27" s="109" t="s">
        <v>23</v>
      </c>
      <c r="P27" s="128" t="s">
        <v>986</v>
      </c>
      <c r="Q27" s="128"/>
      <c r="R27" s="41" t="s">
        <v>222</v>
      </c>
      <c r="S27" s="45" t="s">
        <v>223</v>
      </c>
      <c r="T27" s="43">
        <f t="shared" si="3"/>
        <v>89455.54</v>
      </c>
    </row>
    <row r="28" spans="1:20" ht="15" customHeight="1">
      <c r="A28" s="46" t="s">
        <v>224</v>
      </c>
      <c r="B28" s="46" t="s">
        <v>225</v>
      </c>
      <c r="C28" s="46" t="s">
        <v>158</v>
      </c>
      <c r="D28" s="46" t="s">
        <v>158</v>
      </c>
      <c r="E28" s="47" t="s">
        <v>38</v>
      </c>
      <c r="F28" s="79">
        <f>_xlfn.XLOOKUP(B28,[1]Sheet1!$A:$A,[1]Sheet1!$F:$F)</f>
        <v>342</v>
      </c>
      <c r="G28" s="47" t="s">
        <v>46</v>
      </c>
      <c r="H28" s="46" t="s">
        <v>28</v>
      </c>
      <c r="I28" s="46" t="s">
        <v>199</v>
      </c>
      <c r="J28" s="47">
        <v>1</v>
      </c>
      <c r="K28" s="46" t="s">
        <v>140</v>
      </c>
      <c r="L28" s="48">
        <f>IFERROR(VLOOKUP(A28,'Premissas e Preços'!$A$15:$D$20,4,FALSE()),SUMIFS('Premissas e Preços'!$C$6:$C$11,'Premissas e Preços'!$A$6:$A$11,H28,'Premissas e Preços'!$B$6:$B$11,G28))</f>
        <v>76246.2</v>
      </c>
      <c r="M28" s="48">
        <f t="shared" si="2"/>
        <v>76246.2</v>
      </c>
      <c r="N28" s="43">
        <f>IF($G28="34,5",'Premissas e Preços'!$C$26,'Premissas e Preços'!$C$25)</f>
        <v>13209.34</v>
      </c>
      <c r="O28" s="49" t="s">
        <v>24</v>
      </c>
      <c r="P28" s="49" t="s">
        <v>987</v>
      </c>
      <c r="Q28" s="49"/>
      <c r="R28" s="46"/>
      <c r="S28" s="47" t="s">
        <v>89</v>
      </c>
      <c r="T28" s="43">
        <f t="shared" si="3"/>
        <v>89455.54</v>
      </c>
    </row>
    <row r="29" spans="1:20" ht="15" customHeight="1">
      <c r="A29" s="41" t="s">
        <v>226</v>
      </c>
      <c r="B29" s="41" t="s">
        <v>227</v>
      </c>
      <c r="C29" s="41" t="s">
        <v>228</v>
      </c>
      <c r="D29" s="41" t="s">
        <v>189</v>
      </c>
      <c r="E29" s="42" t="s">
        <v>37</v>
      </c>
      <c r="F29" s="42">
        <f>_xlfn.XLOOKUP(B29,[1]Sheet1!$A:$A,[1]Sheet1!$F:$F)</f>
        <v>370</v>
      </c>
      <c r="G29" s="42" t="s">
        <v>46</v>
      </c>
      <c r="H29" s="41" t="s">
        <v>28</v>
      </c>
      <c r="I29" s="41" t="s">
        <v>199</v>
      </c>
      <c r="J29" s="42">
        <v>1</v>
      </c>
      <c r="K29" s="41" t="s">
        <v>140</v>
      </c>
      <c r="L29" s="43">
        <f>IFERROR(VLOOKUP(A29,'Premissas e Preços'!$A$15:$D$20,4,FALSE()),SUMIFS('Premissas e Preços'!$C$6:$C$11,'Premissas e Preços'!$A$6:$A$11,H29,'Premissas e Preços'!$B$6:$B$11,G29))</f>
        <v>76246.2</v>
      </c>
      <c r="M29" s="43">
        <f t="shared" si="2"/>
        <v>76246.2</v>
      </c>
      <c r="N29" s="43">
        <f>IF($G29="34,5",'Premissas e Preços'!$C$26,'Premissas e Preços'!$C$25)</f>
        <v>13209.34</v>
      </c>
      <c r="O29" t="s">
        <v>25</v>
      </c>
      <c r="R29" s="41"/>
      <c r="S29" s="42" t="s">
        <v>89</v>
      </c>
      <c r="T29" s="43">
        <f t="shared" si="3"/>
        <v>89455.54</v>
      </c>
    </row>
    <row r="30" spans="1:20" ht="15" customHeight="1">
      <c r="A30" s="46" t="s">
        <v>229</v>
      </c>
      <c r="B30" s="46" t="s">
        <v>230</v>
      </c>
      <c r="C30" s="46" t="s">
        <v>149</v>
      </c>
      <c r="D30" s="46" t="s">
        <v>150</v>
      </c>
      <c r="E30" s="47" t="s">
        <v>38</v>
      </c>
      <c r="F30" s="79">
        <f>_xlfn.XLOOKUP(B30,[1]Sheet1!$A:$A,[1]Sheet1!$F:$F)</f>
        <v>308</v>
      </c>
      <c r="G30" s="47" t="s">
        <v>45</v>
      </c>
      <c r="H30" s="46" t="s">
        <v>28</v>
      </c>
      <c r="I30" s="46" t="s">
        <v>199</v>
      </c>
      <c r="J30" s="47">
        <v>1</v>
      </c>
      <c r="K30" s="46" t="s">
        <v>140</v>
      </c>
      <c r="L30" s="48">
        <f>IFERROR(VLOOKUP(A30,'Premissas e Preços'!$A$15:$D$20,4,FALSE()),SUMIFS('Premissas e Preços'!$C$6:$C$11,'Premissas e Preços'!$A$6:$A$11,H30,'Premissas e Preços'!$B$6:$B$11,G30))</f>
        <v>55602.54</v>
      </c>
      <c r="M30" s="48">
        <f t="shared" si="2"/>
        <v>55602.54</v>
      </c>
      <c r="N30" s="43">
        <f>IF($G30="34,5",'Premissas e Preços'!$C$26,'Premissas e Preços'!$C$25)</f>
        <v>11016.94</v>
      </c>
      <c r="O30" s="49" t="s">
        <v>24</v>
      </c>
      <c r="P30" s="49" t="s">
        <v>987</v>
      </c>
      <c r="Q30" s="49"/>
      <c r="R30" s="46"/>
      <c r="S30" s="47" t="s">
        <v>89</v>
      </c>
      <c r="T30" s="43">
        <f t="shared" si="3"/>
        <v>66619.48</v>
      </c>
    </row>
    <row r="31" spans="1:20" ht="15" customHeight="1">
      <c r="A31" s="41" t="s">
        <v>231</v>
      </c>
      <c r="B31" s="41" t="s">
        <v>232</v>
      </c>
      <c r="C31" s="41" t="s">
        <v>233</v>
      </c>
      <c r="D31" s="41" t="s">
        <v>139</v>
      </c>
      <c r="E31" s="42" t="s">
        <v>37</v>
      </c>
      <c r="F31" s="42">
        <f>_xlfn.XLOOKUP(B31,[1]Sheet1!$A:$A,[1]Sheet1!$F:$F)</f>
        <v>299</v>
      </c>
      <c r="G31" s="42" t="s">
        <v>46</v>
      </c>
      <c r="H31" s="41" t="s">
        <v>28</v>
      </c>
      <c r="I31" s="41" t="s">
        <v>234</v>
      </c>
      <c r="J31" s="42">
        <v>1</v>
      </c>
      <c r="K31" s="41" t="s">
        <v>140</v>
      </c>
      <c r="L31" s="43">
        <f>IFERROR(VLOOKUP(A31,'Premissas e Preços'!$A$15:$D$20,4,FALSE()),SUMIFS('Premissas e Preços'!$C$6:$C$11,'Premissas e Preços'!$A$6:$A$11,H31,'Premissas e Preços'!$B$6:$B$11,G31))</f>
        <v>76246.2</v>
      </c>
      <c r="M31" s="43">
        <f t="shared" si="2"/>
        <v>76246.2</v>
      </c>
      <c r="N31" s="43">
        <f>IF($G31="34,5",'Premissas e Preços'!$C$26,'Premissas e Preços'!$C$25)</f>
        <v>13209.34</v>
      </c>
      <c r="O31" s="49" t="s">
        <v>24</v>
      </c>
      <c r="P31" s="49" t="s">
        <v>987</v>
      </c>
      <c r="Q31" s="49"/>
      <c r="R31" s="41"/>
      <c r="S31" s="42" t="s">
        <v>89</v>
      </c>
      <c r="T31" s="43">
        <f t="shared" si="3"/>
        <v>89455.54</v>
      </c>
    </row>
    <row r="32" spans="1:20" ht="15" customHeight="1">
      <c r="A32" s="46" t="s">
        <v>235</v>
      </c>
      <c r="B32" s="46" t="s">
        <v>236</v>
      </c>
      <c r="C32" s="46" t="s">
        <v>228</v>
      </c>
      <c r="D32" s="46" t="s">
        <v>189</v>
      </c>
      <c r="E32" s="47" t="s">
        <v>39</v>
      </c>
      <c r="F32" s="79">
        <f>_xlfn.XLOOKUP(B32,[1]Sheet1!$A:$A,[1]Sheet1!$F:$F)</f>
        <v>370</v>
      </c>
      <c r="G32" s="47" t="s">
        <v>45</v>
      </c>
      <c r="H32" s="46" t="s">
        <v>28</v>
      </c>
      <c r="I32" s="46" t="s">
        <v>199</v>
      </c>
      <c r="J32" s="47">
        <v>1</v>
      </c>
      <c r="K32" s="46" t="s">
        <v>140</v>
      </c>
      <c r="L32" s="48">
        <f>IFERROR(VLOOKUP(A32,'Premissas e Preços'!$A$15:$D$20,4,FALSE()),SUMIFS('Premissas e Preços'!$C$6:$C$11,'Premissas e Preços'!$A$6:$A$11,H32,'Premissas e Preços'!$B$6:$B$11,G32))</f>
        <v>55602.54</v>
      </c>
      <c r="M32" s="48">
        <f t="shared" si="2"/>
        <v>55602.54</v>
      </c>
      <c r="N32" s="43">
        <f>IF($G32="34,5",'Premissas e Preços'!$C$26,'Premissas e Preços'!$C$25)</f>
        <v>11016.94</v>
      </c>
      <c r="O32" t="s">
        <v>25</v>
      </c>
      <c r="R32" s="46"/>
      <c r="S32" s="47" t="s">
        <v>89</v>
      </c>
      <c r="T32" s="43">
        <f t="shared" si="3"/>
        <v>66619.48</v>
      </c>
    </row>
    <row r="33" spans="1:20" ht="15" customHeight="1">
      <c r="A33" s="41" t="s">
        <v>237</v>
      </c>
      <c r="B33" s="41" t="s">
        <v>238</v>
      </c>
      <c r="C33" s="41" t="s">
        <v>181</v>
      </c>
      <c r="D33" s="41" t="s">
        <v>181</v>
      </c>
      <c r="E33" s="42" t="s">
        <v>39</v>
      </c>
      <c r="F33" s="42">
        <f>_xlfn.XLOOKUP(B33,[1]Sheet1!$A:$A,[1]Sheet1!$F:$F)</f>
        <v>127</v>
      </c>
      <c r="G33" s="42" t="s">
        <v>46</v>
      </c>
      <c r="H33" s="41" t="s">
        <v>29</v>
      </c>
      <c r="I33" s="41" t="s">
        <v>159</v>
      </c>
      <c r="J33" s="42">
        <v>1</v>
      </c>
      <c r="K33" s="41" t="s">
        <v>140</v>
      </c>
      <c r="L33" s="43">
        <f>IFERROR(VLOOKUP(A33,'Premissas e Preços'!$A$15:$D$20,4,FALSE()),SUMIFS('Premissas e Preços'!$C$6:$C$11,'Premissas e Preços'!$A$6:$A$11,H33,'Premissas e Preços'!$B$6:$B$11,G33))</f>
        <v>38151.480000000003</v>
      </c>
      <c r="M33" s="43">
        <f t="shared" si="2"/>
        <v>38151.480000000003</v>
      </c>
      <c r="N33" s="43">
        <f>IF($G33="34,5",'Premissas e Preços'!$C$26,'Premissas e Preços'!$C$25)</f>
        <v>13209.34</v>
      </c>
      <c r="O33" s="49" t="s">
        <v>24</v>
      </c>
      <c r="P33" s="49" t="s">
        <v>987</v>
      </c>
      <c r="Q33" s="49"/>
      <c r="R33" s="41"/>
      <c r="S33" s="42" t="s">
        <v>89</v>
      </c>
      <c r="T33" s="43">
        <f t="shared" si="3"/>
        <v>51360.820000000007</v>
      </c>
    </row>
    <row r="34" spans="1:20" ht="15" customHeight="1">
      <c r="A34" s="41" t="s">
        <v>239</v>
      </c>
      <c r="B34" s="41" t="s">
        <v>240</v>
      </c>
      <c r="C34" s="41" t="s">
        <v>144</v>
      </c>
      <c r="D34" s="41" t="s">
        <v>144</v>
      </c>
      <c r="E34" s="42" t="s">
        <v>35</v>
      </c>
      <c r="F34" s="42">
        <f>_xlfn.XLOOKUP(B34,[1]Sheet1!$A:$A,[1]Sheet1!$F:$F)</f>
        <v>336</v>
      </c>
      <c r="G34" s="42" t="s">
        <v>45</v>
      </c>
      <c r="H34" s="41" t="s">
        <v>28</v>
      </c>
      <c r="I34" s="41" t="s">
        <v>241</v>
      </c>
      <c r="J34" s="42">
        <v>1</v>
      </c>
      <c r="K34" s="41" t="s">
        <v>140</v>
      </c>
      <c r="L34" s="43">
        <f>IFERROR(VLOOKUP(A34,'Premissas e Preços'!$A$15:$D$20,4,FALSE()),SUMIFS('Premissas e Preços'!$C$6:$C$11,'Premissas e Preços'!$A$6:$A$11,H34,'Premissas e Preços'!$B$6:$B$11,G34))</f>
        <v>55602.54</v>
      </c>
      <c r="M34" s="43">
        <f t="shared" si="2"/>
        <v>55602.54</v>
      </c>
      <c r="N34" s="43">
        <f>IF($G34="34,5",'Premissas e Preços'!$C$26,'Premissas e Preços'!$C$25)</f>
        <v>11016.94</v>
      </c>
      <c r="O34" s="44" t="s">
        <v>22</v>
      </c>
      <c r="P34" s="44" t="s">
        <v>987</v>
      </c>
      <c r="Q34" s="44"/>
      <c r="R34" s="41" t="s">
        <v>242</v>
      </c>
      <c r="S34" s="42" t="s">
        <v>89</v>
      </c>
      <c r="T34" s="43">
        <f t="shared" si="3"/>
        <v>66619.48</v>
      </c>
    </row>
    <row r="35" spans="1:20" ht="15" customHeight="1">
      <c r="A35" s="41" t="s">
        <v>243</v>
      </c>
      <c r="B35" s="41" t="s">
        <v>244</v>
      </c>
      <c r="C35" s="41" t="s">
        <v>144</v>
      </c>
      <c r="D35" s="41" t="s">
        <v>144</v>
      </c>
      <c r="E35" s="42" t="s">
        <v>39</v>
      </c>
      <c r="F35" s="42">
        <f>_xlfn.XLOOKUP(B35,[1]Sheet1!$A:$A,[1]Sheet1!$F:$F)</f>
        <v>167</v>
      </c>
      <c r="G35" s="42" t="s">
        <v>46</v>
      </c>
      <c r="H35" s="41" t="s">
        <v>29</v>
      </c>
      <c r="I35" s="41" t="s">
        <v>159</v>
      </c>
      <c r="J35" s="42">
        <v>1</v>
      </c>
      <c r="K35" s="41" t="s">
        <v>140</v>
      </c>
      <c r="L35" s="43">
        <f>IFERROR(VLOOKUP(A35,'Premissas e Preços'!$A$15:$D$20,4,FALSE()),SUMIFS('Premissas e Preços'!$C$6:$C$11,'Premissas e Preços'!$A$6:$A$11,H35,'Premissas e Preços'!$B$6:$B$11,G35))</f>
        <v>38151.480000000003</v>
      </c>
      <c r="M35" s="43">
        <f t="shared" si="2"/>
        <v>38151.480000000003</v>
      </c>
      <c r="N35" s="43">
        <f>IF($G35="34,5",'Premissas e Preços'!$C$26,'Premissas e Preços'!$C$25)</f>
        <v>13209.34</v>
      </c>
      <c r="O35" s="49" t="s">
        <v>24</v>
      </c>
      <c r="P35" s="49" t="s">
        <v>987</v>
      </c>
      <c r="Q35" s="49"/>
      <c r="R35" s="41"/>
      <c r="S35" s="42" t="s">
        <v>89</v>
      </c>
      <c r="T35" s="43">
        <f t="shared" si="3"/>
        <v>51360.820000000007</v>
      </c>
    </row>
    <row r="36" spans="1:20" ht="15" customHeight="1">
      <c r="A36" s="46" t="s">
        <v>245</v>
      </c>
      <c r="B36" s="46" t="s">
        <v>246</v>
      </c>
      <c r="C36" s="46" t="s">
        <v>198</v>
      </c>
      <c r="D36" s="46" t="s">
        <v>198</v>
      </c>
      <c r="E36" s="47" t="s">
        <v>39</v>
      </c>
      <c r="F36" s="79">
        <f>_xlfn.XLOOKUP(B36,[1]Sheet1!$A:$A,[1]Sheet1!$F:$F)</f>
        <v>147</v>
      </c>
      <c r="G36" s="47" t="s">
        <v>45</v>
      </c>
      <c r="H36" s="46" t="s">
        <v>29</v>
      </c>
      <c r="I36" s="46" t="s">
        <v>247</v>
      </c>
      <c r="J36" s="47">
        <v>1</v>
      </c>
      <c r="K36" s="46" t="s">
        <v>140</v>
      </c>
      <c r="L36" s="48">
        <f>IFERROR(VLOOKUP(A36,'Premissas e Preços'!$A$15:$D$20,4,FALSE()),SUMIFS('Premissas e Preços'!$C$6:$C$11,'Premissas e Preços'!$A$6:$A$11,H36,'Premissas e Preços'!$B$6:$B$11,G36))</f>
        <v>21785.72</v>
      </c>
      <c r="M36" s="48">
        <f t="shared" si="2"/>
        <v>21785.72</v>
      </c>
      <c r="N36" s="43">
        <f>IF($G36="34,5",'Premissas e Preços'!$C$26,'Premissas e Preços'!$C$25)</f>
        <v>11016.94</v>
      </c>
      <c r="O36" s="49" t="s">
        <v>24</v>
      </c>
      <c r="P36" s="49" t="s">
        <v>987</v>
      </c>
      <c r="Q36" s="49"/>
      <c r="R36" s="46"/>
      <c r="S36" s="47" t="s">
        <v>89</v>
      </c>
      <c r="T36" s="43">
        <f t="shared" si="3"/>
        <v>32802.660000000003</v>
      </c>
    </row>
    <row r="37" spans="1:20" ht="15" customHeight="1">
      <c r="A37" s="41" t="s">
        <v>248</v>
      </c>
      <c r="B37" s="41" t="s">
        <v>249</v>
      </c>
      <c r="C37" s="41" t="s">
        <v>250</v>
      </c>
      <c r="D37" s="41" t="s">
        <v>251</v>
      </c>
      <c r="E37" s="42" t="s">
        <v>39</v>
      </c>
      <c r="F37" s="42">
        <f>_xlfn.XLOOKUP(B37,[1]Sheet1!$A:$A,[1]Sheet1!$F:$F)</f>
        <v>93</v>
      </c>
      <c r="G37" s="42" t="s">
        <v>46</v>
      </c>
      <c r="H37" s="41" t="s">
        <v>29</v>
      </c>
      <c r="I37" s="41" t="s">
        <v>159</v>
      </c>
      <c r="J37" s="42">
        <v>1</v>
      </c>
      <c r="K37" s="41" t="s">
        <v>140</v>
      </c>
      <c r="L37" s="43">
        <f>IFERROR(VLOOKUP(A37,'Premissas e Preços'!$A$15:$D$20,4,FALSE()),SUMIFS('Premissas e Preços'!$C$6:$C$11,'Premissas e Preços'!$A$6:$A$11,H37,'Premissas e Preços'!$B$6:$B$11,G37))</f>
        <v>38151.480000000003</v>
      </c>
      <c r="M37" s="43">
        <f t="shared" si="2"/>
        <v>38151.480000000003</v>
      </c>
      <c r="N37" s="43">
        <f>IF($G37="34,5",'Premissas e Preços'!$C$26,'Premissas e Preços'!$C$25)</f>
        <v>13209.34</v>
      </c>
      <c r="O37" s="49" t="s">
        <v>24</v>
      </c>
      <c r="P37" s="49" t="s">
        <v>987</v>
      </c>
      <c r="Q37" s="49"/>
      <c r="R37" s="41"/>
      <c r="S37" s="42" t="s">
        <v>89</v>
      </c>
      <c r="T37" s="43">
        <f t="shared" si="3"/>
        <v>51360.820000000007</v>
      </c>
    </row>
    <row r="38" spans="1:20" ht="15" customHeight="1">
      <c r="A38" s="46" t="s">
        <v>252</v>
      </c>
      <c r="B38" s="46" t="s">
        <v>253</v>
      </c>
      <c r="C38" s="46" t="s">
        <v>150</v>
      </c>
      <c r="D38" s="46" t="s">
        <v>150</v>
      </c>
      <c r="E38" s="47" t="s">
        <v>39</v>
      </c>
      <c r="F38" s="79">
        <f>_xlfn.XLOOKUP(B38,[1]Sheet1!$A:$A,[1]Sheet1!$F:$F)</f>
        <v>106</v>
      </c>
      <c r="G38" s="47" t="s">
        <v>46</v>
      </c>
      <c r="H38" s="46" t="s">
        <v>29</v>
      </c>
      <c r="I38" s="46" t="s">
        <v>159</v>
      </c>
      <c r="J38" s="47">
        <v>1</v>
      </c>
      <c r="K38" s="46" t="s">
        <v>140</v>
      </c>
      <c r="L38" s="48">
        <f>IFERROR(VLOOKUP(A38,'Premissas e Preços'!$A$15:$D$20,4,FALSE()),SUMIFS('Premissas e Preços'!$C$6:$C$11,'Premissas e Preços'!$A$6:$A$11,H38,'Premissas e Preços'!$B$6:$B$11,G38))</f>
        <v>38151.480000000003</v>
      </c>
      <c r="M38" s="48">
        <f t="shared" si="2"/>
        <v>38151.480000000003</v>
      </c>
      <c r="N38" s="43">
        <f>IF($G38="34,5",'Premissas e Preços'!$C$26,'Premissas e Preços'!$C$25)</f>
        <v>13209.34</v>
      </c>
      <c r="O38" s="49" t="s">
        <v>24</v>
      </c>
      <c r="P38" s="49" t="s">
        <v>987</v>
      </c>
      <c r="Q38" s="49"/>
      <c r="R38" s="46"/>
      <c r="S38" s="47" t="s">
        <v>89</v>
      </c>
      <c r="T38" s="43">
        <f t="shared" si="3"/>
        <v>51360.820000000007</v>
      </c>
    </row>
    <row r="39" spans="1:20" ht="15" customHeight="1">
      <c r="A39" s="41" t="s">
        <v>254</v>
      </c>
      <c r="B39" s="41" t="s">
        <v>255</v>
      </c>
      <c r="C39" s="41" t="s">
        <v>256</v>
      </c>
      <c r="D39" s="41" t="s">
        <v>139</v>
      </c>
      <c r="E39" s="42" t="s">
        <v>39</v>
      </c>
      <c r="F39" s="42">
        <f>_xlfn.XLOOKUP(B39,[1]Sheet1!$A:$A,[1]Sheet1!$F:$F)</f>
        <v>79</v>
      </c>
      <c r="G39" s="42" t="s">
        <v>46</v>
      </c>
      <c r="H39" s="41" t="s">
        <v>29</v>
      </c>
      <c r="I39" s="41" t="s">
        <v>159</v>
      </c>
      <c r="J39" s="42">
        <v>1</v>
      </c>
      <c r="K39" s="41" t="s">
        <v>140</v>
      </c>
      <c r="L39" s="43">
        <f>IFERROR(VLOOKUP(A39,'Premissas e Preços'!$A$15:$D$20,4,FALSE()),SUMIFS('Premissas e Preços'!$C$6:$C$11,'Premissas e Preços'!$A$6:$A$11,H39,'Premissas e Preços'!$B$6:$B$11,G39))</f>
        <v>38151.480000000003</v>
      </c>
      <c r="M39" s="43">
        <f t="shared" si="2"/>
        <v>38151.480000000003</v>
      </c>
      <c r="N39" s="43">
        <f>IF($G39="34,5",'Premissas e Preços'!$C$26,'Premissas e Preços'!$C$25)</f>
        <v>13209.34</v>
      </c>
      <c r="O39" s="49" t="s">
        <v>24</v>
      </c>
      <c r="P39" s="49" t="s">
        <v>987</v>
      </c>
      <c r="Q39" s="49"/>
      <c r="R39" s="41"/>
      <c r="S39" s="42" t="s">
        <v>89</v>
      </c>
      <c r="T39" s="43">
        <f t="shared" si="3"/>
        <v>51360.820000000007</v>
      </c>
    </row>
    <row r="40" spans="1:20" ht="15" customHeight="1">
      <c r="A40" s="46" t="s">
        <v>257</v>
      </c>
      <c r="B40" s="46" t="s">
        <v>258</v>
      </c>
      <c r="C40" s="46" t="s">
        <v>259</v>
      </c>
      <c r="D40" s="46" t="s">
        <v>176</v>
      </c>
      <c r="E40" s="47" t="s">
        <v>39</v>
      </c>
      <c r="F40" s="79">
        <f>_xlfn.XLOOKUP(B40,[1]Sheet1!$A:$A,[1]Sheet1!$F:$F)</f>
        <v>107</v>
      </c>
      <c r="G40" s="47" t="s">
        <v>46</v>
      </c>
      <c r="H40" s="46" t="s">
        <v>29</v>
      </c>
      <c r="I40" s="46" t="s">
        <v>260</v>
      </c>
      <c r="J40" s="47">
        <v>1</v>
      </c>
      <c r="K40" s="46" t="s">
        <v>140</v>
      </c>
      <c r="L40" s="48">
        <f>IFERROR(VLOOKUP(A40,'Premissas e Preços'!$A$15:$D$20,4,FALSE()),SUMIFS('Premissas e Preços'!$C$6:$C$11,'Premissas e Preços'!$A$6:$A$11,H40,'Premissas e Preços'!$B$6:$B$11,G40))</f>
        <v>38151.480000000003</v>
      </c>
      <c r="M40" s="48">
        <f t="shared" ref="M40:M64" si="4">J40*L40</f>
        <v>38151.480000000003</v>
      </c>
      <c r="N40" s="43">
        <f>IF($G40="34,5",'Premissas e Preços'!$C$26,'Premissas e Preços'!$C$25)</f>
        <v>13209.34</v>
      </c>
      <c r="O40" s="49" t="s">
        <v>24</v>
      </c>
      <c r="P40" s="49" t="s">
        <v>987</v>
      </c>
      <c r="Q40" s="49"/>
      <c r="R40" s="46"/>
      <c r="S40" s="47" t="s">
        <v>89</v>
      </c>
      <c r="T40" s="43">
        <f t="shared" ref="T40:T64" si="5">M40+N40</f>
        <v>51360.820000000007</v>
      </c>
    </row>
    <row r="41" spans="1:20" ht="15" customHeight="1">
      <c r="A41" s="41" t="s">
        <v>261</v>
      </c>
      <c r="B41" s="41" t="s">
        <v>262</v>
      </c>
      <c r="C41" s="41" t="s">
        <v>263</v>
      </c>
      <c r="D41" s="41" t="s">
        <v>176</v>
      </c>
      <c r="E41" s="42" t="s">
        <v>39</v>
      </c>
      <c r="F41" s="42">
        <f>_xlfn.XLOOKUP(B41,[1]Sheet1!$A:$A,[1]Sheet1!$F:$F)</f>
        <v>105</v>
      </c>
      <c r="G41" s="42" t="s">
        <v>46</v>
      </c>
      <c r="H41" s="41" t="s">
        <v>29</v>
      </c>
      <c r="I41" s="41" t="s">
        <v>264</v>
      </c>
      <c r="J41" s="42">
        <v>1</v>
      </c>
      <c r="K41" s="41" t="s">
        <v>140</v>
      </c>
      <c r="L41" s="43">
        <f>IFERROR(VLOOKUP(A41,'Premissas e Preços'!$A$15:$D$20,4,FALSE()),SUMIFS('Premissas e Preços'!$C$6:$C$11,'Premissas e Preços'!$A$6:$A$11,H41,'Premissas e Preços'!$B$6:$B$11,G41))</f>
        <v>38151.480000000003</v>
      </c>
      <c r="M41" s="43">
        <f t="shared" si="4"/>
        <v>38151.480000000003</v>
      </c>
      <c r="N41" s="43">
        <f>IF($G41="34,5",'Premissas e Preços'!$C$26,'Premissas e Preços'!$C$25)</f>
        <v>13209.34</v>
      </c>
      <c r="O41" s="49" t="s">
        <v>24</v>
      </c>
      <c r="P41" s="49" t="s">
        <v>987</v>
      </c>
      <c r="Q41" s="49"/>
      <c r="R41" s="41"/>
      <c r="S41" s="42" t="s">
        <v>89</v>
      </c>
      <c r="T41" s="43">
        <f t="shared" si="5"/>
        <v>51360.820000000007</v>
      </c>
    </row>
    <row r="42" spans="1:20" ht="15" customHeight="1">
      <c r="A42" s="46" t="s">
        <v>265</v>
      </c>
      <c r="B42" s="46" t="s">
        <v>266</v>
      </c>
      <c r="C42" s="46" t="s">
        <v>267</v>
      </c>
      <c r="D42" s="46" t="s">
        <v>268</v>
      </c>
      <c r="E42" s="47" t="s">
        <v>39</v>
      </c>
      <c r="F42" s="79">
        <f>_xlfn.XLOOKUP(B42,[1]Sheet1!$A:$A,[1]Sheet1!$F:$F)</f>
        <v>82</v>
      </c>
      <c r="G42" s="47" t="s">
        <v>46</v>
      </c>
      <c r="H42" s="46" t="s">
        <v>29</v>
      </c>
      <c r="I42" s="46" t="s">
        <v>159</v>
      </c>
      <c r="J42" s="47">
        <v>1</v>
      </c>
      <c r="K42" s="46" t="s">
        <v>140</v>
      </c>
      <c r="L42" s="48">
        <f>IFERROR(VLOOKUP(A42,'Premissas e Preços'!$A$15:$D$20,4,FALSE()),SUMIFS('Premissas e Preços'!$C$6:$C$11,'Premissas e Preços'!$A$6:$A$11,H42,'Premissas e Preços'!$B$6:$B$11,G42))</f>
        <v>38151.480000000003</v>
      </c>
      <c r="M42" s="48">
        <f t="shared" si="4"/>
        <v>38151.480000000003</v>
      </c>
      <c r="N42" s="43">
        <f>IF($G42="34,5",'Premissas e Preços'!$C$26,'Premissas e Preços'!$C$25)</f>
        <v>13209.34</v>
      </c>
      <c r="O42" s="49" t="s">
        <v>24</v>
      </c>
      <c r="P42" s="49" t="s">
        <v>987</v>
      </c>
      <c r="Q42" s="49"/>
      <c r="R42" s="46"/>
      <c r="S42" s="47" t="s">
        <v>89</v>
      </c>
      <c r="T42" s="43">
        <f t="shared" si="5"/>
        <v>51360.820000000007</v>
      </c>
    </row>
    <row r="43" spans="1:20" ht="15" customHeight="1">
      <c r="A43" s="41" t="s">
        <v>269</v>
      </c>
      <c r="B43" s="41" t="s">
        <v>270</v>
      </c>
      <c r="C43" s="41" t="s">
        <v>271</v>
      </c>
      <c r="D43" s="41" t="s">
        <v>268</v>
      </c>
      <c r="E43" s="42" t="s">
        <v>39</v>
      </c>
      <c r="F43" s="42">
        <f>_xlfn.XLOOKUP(B43,[1]Sheet1!$A:$A,[1]Sheet1!$F:$F)</f>
        <v>114</v>
      </c>
      <c r="G43" s="42" t="s">
        <v>46</v>
      </c>
      <c r="H43" s="41" t="s">
        <v>29</v>
      </c>
      <c r="I43" s="41" t="s">
        <v>272</v>
      </c>
      <c r="J43" s="42">
        <v>1</v>
      </c>
      <c r="K43" s="41" t="s">
        <v>140</v>
      </c>
      <c r="L43" s="43">
        <f>IFERROR(VLOOKUP(A43,'Premissas e Preços'!$A$15:$D$20,4,FALSE()),SUMIFS('Premissas e Preços'!$C$6:$C$11,'Premissas e Preços'!$A$6:$A$11,H43,'Premissas e Preços'!$B$6:$B$11,G43))</f>
        <v>38151.480000000003</v>
      </c>
      <c r="M43" s="43">
        <f t="shared" si="4"/>
        <v>38151.480000000003</v>
      </c>
      <c r="N43" s="43">
        <f>IF($G43="34,5",'Premissas e Preços'!$C$26,'Premissas e Preços'!$C$25)</f>
        <v>13209.34</v>
      </c>
      <c r="O43" s="49" t="s">
        <v>24</v>
      </c>
      <c r="P43" s="49" t="s">
        <v>987</v>
      </c>
      <c r="Q43" s="49"/>
      <c r="R43" s="41"/>
      <c r="S43" s="42" t="s">
        <v>89</v>
      </c>
      <c r="T43" s="43">
        <f t="shared" si="5"/>
        <v>51360.820000000007</v>
      </c>
    </row>
    <row r="44" spans="1:20" ht="15" customHeight="1">
      <c r="A44" s="46" t="s">
        <v>273</v>
      </c>
      <c r="B44" s="46" t="s">
        <v>274</v>
      </c>
      <c r="C44" s="46" t="s">
        <v>275</v>
      </c>
      <c r="D44" s="46" t="s">
        <v>275</v>
      </c>
      <c r="E44" s="47" t="s">
        <v>39</v>
      </c>
      <c r="F44" s="79">
        <f>_xlfn.XLOOKUP(B44,[1]Sheet1!$A:$A,[1]Sheet1!$F:$F)</f>
        <v>168</v>
      </c>
      <c r="G44" s="47" t="s">
        <v>46</v>
      </c>
      <c r="H44" s="46" t="s">
        <v>29</v>
      </c>
      <c r="I44" s="46" t="s">
        <v>159</v>
      </c>
      <c r="J44" s="47">
        <v>1</v>
      </c>
      <c r="K44" s="46" t="s">
        <v>140</v>
      </c>
      <c r="L44" s="48">
        <f>IFERROR(VLOOKUP(A44,'Premissas e Preços'!$A$15:$D$20,4,FALSE()),SUMIFS('Premissas e Preços'!$C$6:$C$11,'Premissas e Preços'!$A$6:$A$11,H44,'Premissas e Preços'!$B$6:$B$11,G44))</f>
        <v>38151.480000000003</v>
      </c>
      <c r="M44" s="48">
        <f t="shared" si="4"/>
        <v>38151.480000000003</v>
      </c>
      <c r="N44" s="43">
        <f>IF($G44="34,5",'Premissas e Preços'!$C$26,'Premissas e Preços'!$C$25)</f>
        <v>13209.34</v>
      </c>
      <c r="O44" s="49" t="s">
        <v>24</v>
      </c>
      <c r="P44" s="49" t="s">
        <v>987</v>
      </c>
      <c r="Q44" s="49"/>
      <c r="R44" s="46"/>
      <c r="S44" s="47" t="s">
        <v>89</v>
      </c>
      <c r="T44" s="43">
        <f t="shared" si="5"/>
        <v>51360.820000000007</v>
      </c>
    </row>
    <row r="45" spans="1:20" ht="15" customHeight="1">
      <c r="A45" s="41" t="s">
        <v>276</v>
      </c>
      <c r="B45" s="41" t="s">
        <v>277</v>
      </c>
      <c r="C45" s="41" t="s">
        <v>181</v>
      </c>
      <c r="D45" s="41" t="s">
        <v>181</v>
      </c>
      <c r="E45" s="42" t="s">
        <v>39</v>
      </c>
      <c r="F45" s="42">
        <f>_xlfn.XLOOKUP(B45,[1]Sheet1!$A:$A,[1]Sheet1!$F:$F)</f>
        <v>414</v>
      </c>
      <c r="G45" s="42" t="s">
        <v>46</v>
      </c>
      <c r="H45" s="41" t="s">
        <v>29</v>
      </c>
      <c r="I45" s="41" t="s">
        <v>159</v>
      </c>
      <c r="J45" s="42">
        <v>1</v>
      </c>
      <c r="K45" s="41" t="s">
        <v>140</v>
      </c>
      <c r="L45" s="43">
        <f>IFERROR(VLOOKUP(A45,'Premissas e Preços'!$A$15:$D$20,4,FALSE()),SUMIFS('Premissas e Preços'!$C$6:$C$11,'Premissas e Preços'!$A$6:$A$11,H45,'Premissas e Preços'!$B$6:$B$11,G45))</f>
        <v>38151.480000000003</v>
      </c>
      <c r="M45" s="43">
        <f t="shared" si="4"/>
        <v>38151.480000000003</v>
      </c>
      <c r="N45" s="43">
        <f>IF($G45="34,5",'Premissas e Preços'!$C$26,'Premissas e Preços'!$C$25)</f>
        <v>13209.34</v>
      </c>
      <c r="O45" t="s">
        <v>25</v>
      </c>
      <c r="R45" s="41"/>
      <c r="S45" s="42" t="s">
        <v>89</v>
      </c>
      <c r="T45" s="43">
        <f t="shared" si="5"/>
        <v>51360.820000000007</v>
      </c>
    </row>
    <row r="46" spans="1:20" ht="15" customHeight="1">
      <c r="A46" s="46" t="s">
        <v>278</v>
      </c>
      <c r="B46" s="46" t="s">
        <v>279</v>
      </c>
      <c r="C46" s="46" t="s">
        <v>259</v>
      </c>
      <c r="D46" s="46" t="s">
        <v>176</v>
      </c>
      <c r="E46" s="47" t="s">
        <v>39</v>
      </c>
      <c r="F46" s="79">
        <f>_xlfn.XLOOKUP(B46,[1]Sheet1!$A:$A,[1]Sheet1!$F:$F)</f>
        <v>58</v>
      </c>
      <c r="G46" s="47" t="s">
        <v>46</v>
      </c>
      <c r="H46" s="46" t="s">
        <v>29</v>
      </c>
      <c r="I46" s="46" t="s">
        <v>159</v>
      </c>
      <c r="J46" s="47">
        <v>1</v>
      </c>
      <c r="K46" s="46" t="s">
        <v>140</v>
      </c>
      <c r="L46" s="48">
        <f>IFERROR(VLOOKUP(A46,'Premissas e Preços'!$A$15:$D$20,4,FALSE()),SUMIFS('Premissas e Preços'!$C$6:$C$11,'Premissas e Preços'!$A$6:$A$11,H46,'Premissas e Preços'!$B$6:$B$11,G46))</f>
        <v>38151.480000000003</v>
      </c>
      <c r="M46" s="48">
        <f t="shared" si="4"/>
        <v>38151.480000000003</v>
      </c>
      <c r="N46" s="43">
        <f>IF($G46="34,5",'Premissas e Preços'!$C$26,'Premissas e Preços'!$C$25)</f>
        <v>13209.34</v>
      </c>
      <c r="O46" s="49" t="s">
        <v>24</v>
      </c>
      <c r="P46" s="49" t="s">
        <v>987</v>
      </c>
      <c r="Q46" s="49"/>
      <c r="R46" s="46"/>
      <c r="S46" s="47" t="s">
        <v>89</v>
      </c>
      <c r="T46" s="43">
        <f t="shared" si="5"/>
        <v>51360.820000000007</v>
      </c>
    </row>
    <row r="47" spans="1:20" ht="15" customHeight="1">
      <c r="A47" s="41" t="s">
        <v>280</v>
      </c>
      <c r="B47" s="41" t="s">
        <v>281</v>
      </c>
      <c r="C47" s="41" t="s">
        <v>282</v>
      </c>
      <c r="D47" s="41" t="s">
        <v>282</v>
      </c>
      <c r="E47" s="42" t="s">
        <v>38</v>
      </c>
      <c r="F47" s="42">
        <f>_xlfn.XLOOKUP(B47,[1]Sheet1!$A:$A,[1]Sheet1!$F:$F)</f>
        <v>402</v>
      </c>
      <c r="G47" s="42" t="s">
        <v>46</v>
      </c>
      <c r="H47" s="41" t="s">
        <v>29</v>
      </c>
      <c r="I47" s="41" t="s">
        <v>159</v>
      </c>
      <c r="J47" s="42">
        <v>1</v>
      </c>
      <c r="K47" s="41" t="s">
        <v>140</v>
      </c>
      <c r="L47" s="43">
        <f>IFERROR(VLOOKUP(A47,'Premissas e Preços'!$A$15:$D$20,4,FALSE()),SUMIFS('Premissas e Preços'!$C$6:$C$11,'Premissas e Preços'!$A$6:$A$11,H47,'Premissas e Preços'!$B$6:$B$11,G47))</f>
        <v>38151.480000000003</v>
      </c>
      <c r="M47" s="43">
        <f t="shared" si="4"/>
        <v>38151.480000000003</v>
      </c>
      <c r="N47" s="43">
        <f>IF($G47="34,5",'Premissas e Preços'!$C$26,'Premissas e Preços'!$C$25)</f>
        <v>13209.34</v>
      </c>
      <c r="O47" t="s">
        <v>25</v>
      </c>
      <c r="R47" s="41"/>
      <c r="S47" s="42" t="s">
        <v>89</v>
      </c>
      <c r="T47" s="43">
        <f t="shared" si="5"/>
        <v>51360.820000000007</v>
      </c>
    </row>
    <row r="48" spans="1:20" ht="15" customHeight="1">
      <c r="A48" s="46" t="s">
        <v>283</v>
      </c>
      <c r="B48" s="46" t="s">
        <v>284</v>
      </c>
      <c r="C48" s="46" t="s">
        <v>210</v>
      </c>
      <c r="D48" s="46" t="s">
        <v>144</v>
      </c>
      <c r="E48" s="47" t="s">
        <v>39</v>
      </c>
      <c r="F48" s="79">
        <f>_xlfn.XLOOKUP(B48,[1]Sheet1!$A:$A,[1]Sheet1!$F:$F)</f>
        <v>108</v>
      </c>
      <c r="G48" s="47" t="s">
        <v>46</v>
      </c>
      <c r="H48" s="46" t="s">
        <v>29</v>
      </c>
      <c r="I48" s="46" t="s">
        <v>159</v>
      </c>
      <c r="J48" s="47">
        <v>1</v>
      </c>
      <c r="K48" s="46" t="s">
        <v>140</v>
      </c>
      <c r="L48" s="48">
        <f>IFERROR(VLOOKUP(A48,'Premissas e Preços'!$A$15:$D$20,4,FALSE()),SUMIFS('Premissas e Preços'!$C$6:$C$11,'Premissas e Preços'!$A$6:$A$11,H48,'Premissas e Preços'!$B$6:$B$11,G48))</f>
        <v>38151.480000000003</v>
      </c>
      <c r="M48" s="48">
        <f t="shared" si="4"/>
        <v>38151.480000000003</v>
      </c>
      <c r="N48" s="43">
        <f>IF($G48="34,5",'Premissas e Preços'!$C$26,'Premissas e Preços'!$C$25)</f>
        <v>13209.34</v>
      </c>
      <c r="O48" s="49" t="s">
        <v>24</v>
      </c>
      <c r="P48" s="49" t="s">
        <v>987</v>
      </c>
      <c r="Q48" s="49"/>
      <c r="R48" s="46"/>
      <c r="S48" s="47" t="s">
        <v>89</v>
      </c>
      <c r="T48" s="43">
        <f t="shared" si="5"/>
        <v>51360.820000000007</v>
      </c>
    </row>
    <row r="49" spans="1:20" ht="15" customHeight="1">
      <c r="A49" s="41" t="s">
        <v>285</v>
      </c>
      <c r="B49" s="41" t="s">
        <v>286</v>
      </c>
      <c r="C49" s="41" t="s">
        <v>287</v>
      </c>
      <c r="D49" s="41" t="s">
        <v>164</v>
      </c>
      <c r="E49" s="42" t="s">
        <v>38</v>
      </c>
      <c r="F49" s="42">
        <f>_xlfn.XLOOKUP(B49,[1]Sheet1!$A:$A,[1]Sheet1!$F:$F)</f>
        <v>334</v>
      </c>
      <c r="G49" s="42" t="s">
        <v>46</v>
      </c>
      <c r="H49" s="41" t="s">
        <v>29</v>
      </c>
      <c r="I49" s="41" t="s">
        <v>159</v>
      </c>
      <c r="J49" s="42">
        <v>1</v>
      </c>
      <c r="K49" s="41" t="s">
        <v>140</v>
      </c>
      <c r="L49" s="43">
        <f>IFERROR(VLOOKUP(A49,'Premissas e Preços'!$A$15:$D$20,4,FALSE()),SUMIFS('Premissas e Preços'!$C$6:$C$11,'Premissas e Preços'!$A$6:$A$11,H49,'Premissas e Preços'!$B$6:$B$11,G49))</f>
        <v>38151.480000000003</v>
      </c>
      <c r="M49" s="43">
        <f t="shared" si="4"/>
        <v>38151.480000000003</v>
      </c>
      <c r="N49" s="43">
        <f>IF($G49="34,5",'Premissas e Preços'!$C$26,'Premissas e Preços'!$C$25)</f>
        <v>13209.34</v>
      </c>
      <c r="O49" s="49" t="s">
        <v>24</v>
      </c>
      <c r="P49" s="49" t="s">
        <v>987</v>
      </c>
      <c r="Q49" s="49"/>
      <c r="R49" s="41"/>
      <c r="S49" s="42" t="s">
        <v>89</v>
      </c>
      <c r="T49" s="43">
        <f t="shared" si="5"/>
        <v>51360.820000000007</v>
      </c>
    </row>
    <row r="50" spans="1:20" ht="15" customHeight="1">
      <c r="A50" s="94" t="s">
        <v>288</v>
      </c>
      <c r="B50" s="94" t="s">
        <v>289</v>
      </c>
      <c r="C50" s="94" t="s">
        <v>290</v>
      </c>
      <c r="D50" s="94" t="s">
        <v>158</v>
      </c>
      <c r="E50" s="93" t="s">
        <v>35</v>
      </c>
      <c r="F50" s="79">
        <f>_xlfn.XLOOKUP(B50,[1]Sheet1!$A:$A,[1]Sheet1!$F:$F)</f>
        <v>407</v>
      </c>
      <c r="G50" s="93" t="s">
        <v>46</v>
      </c>
      <c r="H50" s="94" t="s">
        <v>28</v>
      </c>
      <c r="I50" s="94" t="s">
        <v>199</v>
      </c>
      <c r="J50" s="93">
        <v>1</v>
      </c>
      <c r="K50" s="94" t="s">
        <v>140</v>
      </c>
      <c r="L50" s="92">
        <f>IFERROR(VLOOKUP(A50,'Premissas e Preços'!$A$15:$D$20,4,FALSE()),SUMIFS('Premissas e Preços'!$C$6:$C$11,'Premissas e Preços'!$A$6:$A$11,H50,'Premissas e Preços'!$B$6:$B$11,G50))</f>
        <v>76246.2</v>
      </c>
      <c r="M50" s="92">
        <f t="shared" si="4"/>
        <v>76246.2</v>
      </c>
      <c r="N50" s="90">
        <f>IF($G50="34,5",'Premissas e Preços'!$C$26,'Premissas e Preços'!$C$25)</f>
        <v>13209.34</v>
      </c>
      <c r="O50" s="89" t="s">
        <v>22</v>
      </c>
      <c r="P50" s="89" t="s">
        <v>987</v>
      </c>
      <c r="Q50" s="89"/>
      <c r="R50" s="94" t="s">
        <v>291</v>
      </c>
      <c r="S50" s="93" t="s">
        <v>89</v>
      </c>
      <c r="T50" s="90">
        <f t="shared" si="5"/>
        <v>89455.54</v>
      </c>
    </row>
    <row r="51" spans="1:20" ht="15" customHeight="1">
      <c r="A51" s="41" t="s">
        <v>292</v>
      </c>
      <c r="B51" s="41" t="s">
        <v>293</v>
      </c>
      <c r="C51" s="41" t="s">
        <v>198</v>
      </c>
      <c r="D51" s="41" t="s">
        <v>198</v>
      </c>
      <c r="E51" s="42" t="s">
        <v>35</v>
      </c>
      <c r="F51" s="42">
        <f>_xlfn.XLOOKUP(B51,[1]Sheet1!$A:$A,[1]Sheet1!$F:$F)</f>
        <v>238</v>
      </c>
      <c r="G51" s="42" t="s">
        <v>45</v>
      </c>
      <c r="H51" s="41" t="s">
        <v>29</v>
      </c>
      <c r="I51" s="41" t="s">
        <v>159</v>
      </c>
      <c r="J51" s="42">
        <v>1</v>
      </c>
      <c r="K51" s="41" t="s">
        <v>140</v>
      </c>
      <c r="L51" s="43">
        <f>IFERROR(VLOOKUP(A51,'Premissas e Preços'!$A$15:$D$20,4,FALSE()),SUMIFS('Premissas e Preços'!$C$6:$C$11,'Premissas e Preços'!$A$6:$A$11,H51,'Premissas e Preços'!$B$6:$B$11,G51))</f>
        <v>21785.72</v>
      </c>
      <c r="M51" s="43">
        <f t="shared" si="4"/>
        <v>21785.72</v>
      </c>
      <c r="N51" s="43">
        <f>IF($G51="34,5",'Premissas e Preços'!$C$26,'Premissas e Preços'!$C$25)</f>
        <v>11016.94</v>
      </c>
      <c r="O51" s="44" t="s">
        <v>22</v>
      </c>
      <c r="P51" s="44" t="s">
        <v>987</v>
      </c>
      <c r="Q51" s="44"/>
      <c r="R51" s="41" t="s">
        <v>294</v>
      </c>
      <c r="S51" s="42" t="s">
        <v>89</v>
      </c>
      <c r="T51" s="43">
        <f t="shared" si="5"/>
        <v>32802.660000000003</v>
      </c>
    </row>
    <row r="52" spans="1:20" ht="15" customHeight="1">
      <c r="A52" s="46" t="s">
        <v>295</v>
      </c>
      <c r="B52" s="46" t="s">
        <v>296</v>
      </c>
      <c r="C52" s="46" t="s">
        <v>297</v>
      </c>
      <c r="D52" s="46" t="s">
        <v>176</v>
      </c>
      <c r="E52" s="47" t="s">
        <v>38</v>
      </c>
      <c r="F52" s="79">
        <f>_xlfn.XLOOKUP(B52,[1]Sheet1!$A:$A,[1]Sheet1!$F:$F)</f>
        <v>446</v>
      </c>
      <c r="G52" s="47" t="s">
        <v>46</v>
      </c>
      <c r="H52" s="46" t="s">
        <v>29</v>
      </c>
      <c r="I52" s="46" t="s">
        <v>159</v>
      </c>
      <c r="J52" s="47">
        <v>1</v>
      </c>
      <c r="K52" s="46" t="s">
        <v>140</v>
      </c>
      <c r="L52" s="48">
        <f>IFERROR(VLOOKUP(A52,'Premissas e Preços'!$A$15:$D$20,4,FALSE()),SUMIFS('Premissas e Preços'!$C$6:$C$11,'Premissas e Preços'!$A$6:$A$11,H52,'Premissas e Preços'!$B$6:$B$11,G52))</f>
        <v>38151.480000000003</v>
      </c>
      <c r="M52" s="48">
        <f t="shared" si="4"/>
        <v>38151.480000000003</v>
      </c>
      <c r="N52" s="43">
        <f>IF($G52="34,5",'Premissas e Preços'!$C$26,'Premissas e Preços'!$C$25)</f>
        <v>13209.34</v>
      </c>
      <c r="O52" t="s">
        <v>25</v>
      </c>
      <c r="R52" s="46"/>
      <c r="S52" s="47" t="s">
        <v>89</v>
      </c>
      <c r="T52" s="43">
        <f t="shared" si="5"/>
        <v>51360.820000000007</v>
      </c>
    </row>
    <row r="53" spans="1:20" ht="15" customHeight="1">
      <c r="A53" s="46" t="s">
        <v>298</v>
      </c>
      <c r="B53" s="46" t="s">
        <v>299</v>
      </c>
      <c r="C53" s="46" t="s">
        <v>282</v>
      </c>
      <c r="D53" s="46" t="s">
        <v>282</v>
      </c>
      <c r="E53" s="47" t="s">
        <v>35</v>
      </c>
      <c r="F53" s="79">
        <f>_xlfn.XLOOKUP(B53,[1]Sheet1!$A:$A,[1]Sheet1!$F:$F)</f>
        <v>236</v>
      </c>
      <c r="G53" s="47" t="s">
        <v>45</v>
      </c>
      <c r="H53" s="46" t="s">
        <v>29</v>
      </c>
      <c r="I53" s="46" t="s">
        <v>300</v>
      </c>
      <c r="J53" s="47">
        <v>1</v>
      </c>
      <c r="K53" s="46" t="s">
        <v>140</v>
      </c>
      <c r="L53" s="48">
        <f>IFERROR(VLOOKUP(A53,'Premissas e Preços'!$A$15:$D$20,4,FALSE()),SUMIFS('Premissas e Preços'!$C$6:$C$11,'Premissas e Preços'!$A$6:$A$11,H53,'Premissas e Preços'!$B$6:$B$11,G53))</f>
        <v>21785.72</v>
      </c>
      <c r="M53" s="48">
        <f t="shared" si="4"/>
        <v>21785.72</v>
      </c>
      <c r="N53" s="43">
        <f>IF($G53="34,5",'Premissas e Preços'!$C$26,'Premissas e Preços'!$C$25)</f>
        <v>11016.94</v>
      </c>
      <c r="O53" s="44" t="s">
        <v>22</v>
      </c>
      <c r="P53" s="44" t="s">
        <v>987</v>
      </c>
      <c r="Q53" s="44"/>
      <c r="R53" s="46" t="s">
        <v>301</v>
      </c>
      <c r="S53" s="47" t="s">
        <v>89</v>
      </c>
      <c r="T53" s="43">
        <f t="shared" si="5"/>
        <v>32802.660000000003</v>
      </c>
    </row>
    <row r="54" spans="1:20" ht="15" customHeight="1">
      <c r="A54" s="46" t="s">
        <v>302</v>
      </c>
      <c r="B54" s="46" t="s">
        <v>303</v>
      </c>
      <c r="C54" s="46" t="s">
        <v>304</v>
      </c>
      <c r="D54" s="46" t="s">
        <v>275</v>
      </c>
      <c r="E54" s="47" t="s">
        <v>38</v>
      </c>
      <c r="F54" s="79">
        <f>_xlfn.XLOOKUP(B54,[1]Sheet1!$A:$A,[1]Sheet1!$F:$F)</f>
        <v>287</v>
      </c>
      <c r="G54" s="47" t="s">
        <v>46</v>
      </c>
      <c r="H54" s="46" t="s">
        <v>29</v>
      </c>
      <c r="I54" s="46" t="s">
        <v>159</v>
      </c>
      <c r="J54" s="47">
        <v>1</v>
      </c>
      <c r="K54" s="46" t="s">
        <v>140</v>
      </c>
      <c r="L54" s="48">
        <f>IFERROR(VLOOKUP(A54,'Premissas e Preços'!$A$15:$D$20,4,FALSE()),SUMIFS('Premissas e Preços'!$C$6:$C$11,'Premissas e Preços'!$A$6:$A$11,H54,'Premissas e Preços'!$B$6:$B$11,G54))</f>
        <v>38151.480000000003</v>
      </c>
      <c r="M54" s="48">
        <f t="shared" si="4"/>
        <v>38151.480000000003</v>
      </c>
      <c r="N54" s="43">
        <f>IF($G54="34,5",'Premissas e Preços'!$C$26,'Premissas e Preços'!$C$25)</f>
        <v>13209.34</v>
      </c>
      <c r="O54" s="49" t="s">
        <v>24</v>
      </c>
      <c r="P54" s="49" t="s">
        <v>987</v>
      </c>
      <c r="Q54" s="49"/>
      <c r="R54" s="46"/>
      <c r="S54" s="47" t="s">
        <v>89</v>
      </c>
      <c r="T54" s="43">
        <f t="shared" si="5"/>
        <v>51360.820000000007</v>
      </c>
    </row>
    <row r="55" spans="1:20" ht="15" customHeight="1">
      <c r="A55" s="41" t="s">
        <v>305</v>
      </c>
      <c r="B55" s="41" t="s">
        <v>306</v>
      </c>
      <c r="C55" s="41" t="s">
        <v>287</v>
      </c>
      <c r="D55" s="41" t="s">
        <v>164</v>
      </c>
      <c r="E55" s="42" t="s">
        <v>37</v>
      </c>
      <c r="F55" s="42">
        <f>_xlfn.XLOOKUP(B55,[1]Sheet1!$A:$A,[1]Sheet1!$F:$F)</f>
        <v>184</v>
      </c>
      <c r="G55" s="42" t="s">
        <v>46</v>
      </c>
      <c r="H55" s="41" t="s">
        <v>29</v>
      </c>
      <c r="I55" s="41" t="s">
        <v>159</v>
      </c>
      <c r="J55" s="42">
        <v>1</v>
      </c>
      <c r="K55" s="41" t="s">
        <v>140</v>
      </c>
      <c r="L55" s="43">
        <f>IFERROR(VLOOKUP(A55,'Premissas e Preços'!$A$15:$D$20,4,FALSE()),SUMIFS('Premissas e Preços'!$C$6:$C$11,'Premissas e Preços'!$A$6:$A$11,H55,'Premissas e Preços'!$B$6:$B$11,G55))</f>
        <v>38151.480000000003</v>
      </c>
      <c r="M55" s="43">
        <f t="shared" si="4"/>
        <v>38151.480000000003</v>
      </c>
      <c r="N55" s="43">
        <f>IF($G55="34,5",'Premissas e Preços'!$C$26,'Premissas e Preços'!$C$25)</f>
        <v>13209.34</v>
      </c>
      <c r="O55" s="49" t="s">
        <v>24</v>
      </c>
      <c r="P55" s="49" t="s">
        <v>987</v>
      </c>
      <c r="Q55" s="49"/>
      <c r="R55" s="41"/>
      <c r="S55" s="42" t="s">
        <v>89</v>
      </c>
      <c r="T55" s="43">
        <f t="shared" si="5"/>
        <v>51360.820000000007</v>
      </c>
    </row>
    <row r="56" spans="1:20" ht="15" customHeight="1">
      <c r="A56" s="46" t="s">
        <v>307</v>
      </c>
      <c r="B56" s="46" t="s">
        <v>308</v>
      </c>
      <c r="C56" s="46" t="s">
        <v>309</v>
      </c>
      <c r="D56" s="46" t="s">
        <v>164</v>
      </c>
      <c r="E56" s="47" t="s">
        <v>37</v>
      </c>
      <c r="F56" s="79">
        <f>_xlfn.XLOOKUP(B56,[1]Sheet1!$A:$A,[1]Sheet1!$F:$F)</f>
        <v>167</v>
      </c>
      <c r="G56" s="47" t="s">
        <v>46</v>
      </c>
      <c r="H56" s="46" t="s">
        <v>29</v>
      </c>
      <c r="I56" s="46" t="s">
        <v>159</v>
      </c>
      <c r="J56" s="47">
        <v>1</v>
      </c>
      <c r="K56" s="46" t="s">
        <v>140</v>
      </c>
      <c r="L56" s="48">
        <f>IFERROR(VLOOKUP(A56,'Premissas e Preços'!$A$15:$D$20,4,FALSE()),SUMIFS('Premissas e Preços'!$C$6:$C$11,'Premissas e Preços'!$A$6:$A$11,H56,'Premissas e Preços'!$B$6:$B$11,G56))</f>
        <v>38151.480000000003</v>
      </c>
      <c r="M56" s="48">
        <f t="shared" si="4"/>
        <v>38151.480000000003</v>
      </c>
      <c r="N56" s="43">
        <f>IF($G56="34,5",'Premissas e Preços'!$C$26,'Premissas e Preços'!$C$25)</f>
        <v>13209.34</v>
      </c>
      <c r="O56" s="49" t="s">
        <v>24</v>
      </c>
      <c r="P56" s="49" t="s">
        <v>987</v>
      </c>
      <c r="Q56" s="49"/>
      <c r="R56" s="46"/>
      <c r="S56" s="47" t="s">
        <v>89</v>
      </c>
      <c r="T56" s="43">
        <f t="shared" si="5"/>
        <v>51360.820000000007</v>
      </c>
    </row>
    <row r="57" spans="1:20" ht="15" customHeight="1">
      <c r="A57" s="41" t="s">
        <v>81</v>
      </c>
      <c r="B57" s="41" t="s">
        <v>310</v>
      </c>
      <c r="C57" s="41" t="s">
        <v>275</v>
      </c>
      <c r="D57" s="41" t="s">
        <v>275</v>
      </c>
      <c r="E57" s="42" t="s">
        <v>39</v>
      </c>
      <c r="F57" s="42">
        <f>_xlfn.XLOOKUP(B57,[1]Sheet1!$A:$A,[1]Sheet1!$F:$F)</f>
        <v>64</v>
      </c>
      <c r="G57" s="42" t="s">
        <v>46</v>
      </c>
      <c r="H57" s="41" t="s">
        <v>31</v>
      </c>
      <c r="I57" s="41" t="s">
        <v>31</v>
      </c>
      <c r="J57" s="42">
        <v>1</v>
      </c>
      <c r="K57" s="41" t="s">
        <v>82</v>
      </c>
      <c r="L57" s="43">
        <f>IFERROR(VLOOKUP(A57,'Premissas e Preços'!$A$15:$D$20,4,FALSE()),SUMIFS('Premissas e Preços'!$C$6:$C$11,'Premissas e Preços'!$A$6:$A$11,H57,'Premissas e Preços'!$B$6:$B$11,G57))</f>
        <v>1999</v>
      </c>
      <c r="M57" s="43">
        <f t="shared" si="4"/>
        <v>1999</v>
      </c>
      <c r="N57" s="43">
        <f>IF($G57="34,5",'Premissas e Preços'!$C$26,'Premissas e Preços'!$C$25)</f>
        <v>13209.34</v>
      </c>
      <c r="O57" s="49" t="s">
        <v>24</v>
      </c>
      <c r="P57" s="49" t="s">
        <v>987</v>
      </c>
      <c r="Q57" s="49"/>
      <c r="R57" s="41"/>
      <c r="S57" s="45" t="s">
        <v>80</v>
      </c>
      <c r="T57" s="43">
        <f t="shared" si="5"/>
        <v>15208.34</v>
      </c>
    </row>
    <row r="58" spans="1:20" ht="15" customHeight="1">
      <c r="A58" s="46" t="s">
        <v>84</v>
      </c>
      <c r="B58" s="46" t="s">
        <v>311</v>
      </c>
      <c r="C58" s="46" t="s">
        <v>312</v>
      </c>
      <c r="D58" s="46" t="s">
        <v>275</v>
      </c>
      <c r="E58" s="47" t="s">
        <v>39</v>
      </c>
      <c r="F58" s="79">
        <f>_xlfn.XLOOKUP(B58,[1]Sheet1!$A:$A,[1]Sheet1!$F:$F)</f>
        <v>78</v>
      </c>
      <c r="G58" s="47" t="s">
        <v>46</v>
      </c>
      <c r="H58" s="46" t="s">
        <v>31</v>
      </c>
      <c r="I58" s="46" t="s">
        <v>31</v>
      </c>
      <c r="J58" s="47">
        <v>1</v>
      </c>
      <c r="K58" s="46" t="s">
        <v>82</v>
      </c>
      <c r="L58" s="48">
        <f>IFERROR(VLOOKUP(A58,'Premissas e Preços'!$A$15:$D$20,4,FALSE()),SUMIFS('Premissas e Preços'!$C$6:$C$11,'Premissas e Preços'!$A$6:$A$11,H58,'Premissas e Preços'!$B$6:$B$11,G58))</f>
        <v>1999</v>
      </c>
      <c r="M58" s="48">
        <f t="shared" si="4"/>
        <v>1999</v>
      </c>
      <c r="N58" s="43">
        <f>IF($G58="34,5",'Premissas e Preços'!$C$26,'Premissas e Preços'!$C$25)</f>
        <v>13209.34</v>
      </c>
      <c r="O58" s="49" t="s">
        <v>24</v>
      </c>
      <c r="P58" s="49" t="s">
        <v>987</v>
      </c>
      <c r="Q58" s="49"/>
      <c r="R58" s="46"/>
      <c r="S58" s="45" t="s">
        <v>80</v>
      </c>
      <c r="T58" s="43">
        <f t="shared" si="5"/>
        <v>15208.34</v>
      </c>
    </row>
    <row r="59" spans="1:20" ht="15" customHeight="1">
      <c r="A59" s="41" t="s">
        <v>85</v>
      </c>
      <c r="B59" s="41" t="s">
        <v>313</v>
      </c>
      <c r="C59" s="41" t="s">
        <v>133</v>
      </c>
      <c r="D59" s="41" t="s">
        <v>133</v>
      </c>
      <c r="E59" s="42" t="s">
        <v>39</v>
      </c>
      <c r="F59" s="42">
        <f>_xlfn.XLOOKUP(B59,[1]Sheet1!$A:$A,[1]Sheet1!$F:$F)</f>
        <v>93</v>
      </c>
      <c r="G59" s="42" t="s">
        <v>46</v>
      </c>
      <c r="H59" s="41" t="s">
        <v>31</v>
      </c>
      <c r="I59" s="41" t="s">
        <v>31</v>
      </c>
      <c r="J59" s="42">
        <v>1</v>
      </c>
      <c r="K59" s="41" t="s">
        <v>82</v>
      </c>
      <c r="L59" s="43">
        <f>IFERROR(VLOOKUP(A59,'Premissas e Preços'!$A$15:$D$20,4,FALSE()),SUMIFS('Premissas e Preços'!$C$6:$C$11,'Premissas e Preços'!$A$6:$A$11,H59,'Premissas e Preços'!$B$6:$B$11,G59))</f>
        <v>1999</v>
      </c>
      <c r="M59" s="43">
        <f t="shared" si="4"/>
        <v>1999</v>
      </c>
      <c r="N59" s="43">
        <f>IF($G59="34,5",'Premissas e Preços'!$C$26,'Premissas e Preços'!$C$25)</f>
        <v>13209.34</v>
      </c>
      <c r="O59" s="49" t="s">
        <v>24</v>
      </c>
      <c r="P59" s="49" t="s">
        <v>987</v>
      </c>
      <c r="Q59" s="49"/>
      <c r="R59" s="41"/>
      <c r="S59" s="45" t="s">
        <v>80</v>
      </c>
      <c r="T59" s="43">
        <f t="shared" si="5"/>
        <v>15208.34</v>
      </c>
    </row>
    <row r="60" spans="1:20" ht="15" customHeight="1">
      <c r="A60" s="46" t="s">
        <v>77</v>
      </c>
      <c r="B60" s="46" t="s">
        <v>314</v>
      </c>
      <c r="C60" s="46" t="s">
        <v>139</v>
      </c>
      <c r="D60" s="46" t="s">
        <v>139</v>
      </c>
      <c r="E60" s="47" t="s">
        <v>39</v>
      </c>
      <c r="F60" s="79">
        <f>_xlfn.XLOOKUP(B60,[1]Sheet1!$A:$A,[1]Sheet1!$F:$F)</f>
        <v>69</v>
      </c>
      <c r="G60" s="47" t="s">
        <v>45</v>
      </c>
      <c r="H60" s="46" t="s">
        <v>32</v>
      </c>
      <c r="I60" s="46" t="s">
        <v>32</v>
      </c>
      <c r="J60" s="47">
        <v>1</v>
      </c>
      <c r="K60" s="46" t="s">
        <v>78</v>
      </c>
      <c r="L60" s="48">
        <f>IFERROR(VLOOKUP(A60,'Premissas e Preços'!$A$15:$D$20,4,FALSE()),SUMIFS('Premissas e Preços'!$C$6:$C$11,'Premissas e Preços'!$A$6:$A$11,H60,'Premissas e Preços'!$B$6:$B$11,G60))</f>
        <v>10454.01</v>
      </c>
      <c r="M60" s="48">
        <f t="shared" si="4"/>
        <v>10454.01</v>
      </c>
      <c r="N60" s="43">
        <f>IF($G60="34,5",'Premissas e Preços'!$C$26,'Premissas e Preços'!$C$25)</f>
        <v>11016.94</v>
      </c>
      <c r="O60" s="49" t="s">
        <v>24</v>
      </c>
      <c r="P60" s="49" t="s">
        <v>991</v>
      </c>
      <c r="Q60" s="49"/>
      <c r="R60" s="46"/>
      <c r="S60" s="45" t="s">
        <v>80</v>
      </c>
      <c r="T60" s="43">
        <f t="shared" si="5"/>
        <v>21470.95</v>
      </c>
    </row>
    <row r="61" spans="1:20" ht="15" customHeight="1">
      <c r="A61" s="91" t="s">
        <v>315</v>
      </c>
      <c r="B61" s="91" t="s">
        <v>316</v>
      </c>
      <c r="C61" s="91" t="s">
        <v>210</v>
      </c>
      <c r="D61" s="91" t="s">
        <v>144</v>
      </c>
      <c r="E61" s="79" t="s">
        <v>35</v>
      </c>
      <c r="F61" s="79">
        <f>_xlfn.XLOOKUP(B61,[1]Sheet1!$A:$A,[1]Sheet1!$F:$F)</f>
        <v>596</v>
      </c>
      <c r="G61" s="79" t="s">
        <v>46</v>
      </c>
      <c r="H61" s="91" t="s">
        <v>29</v>
      </c>
      <c r="I61" s="91" t="s">
        <v>159</v>
      </c>
      <c r="J61" s="79">
        <v>1</v>
      </c>
      <c r="K61" s="91" t="s">
        <v>140</v>
      </c>
      <c r="L61" s="90">
        <f>IFERROR(VLOOKUP(A61,'Premissas e Preços'!$A$15:$D$20,4,FALSE()),SUMIFS('Premissas e Preços'!$C$6:$C$11,'Premissas e Preços'!$A$6:$A$11,H61,'Premissas e Preços'!$B$6:$B$11,G61))</f>
        <v>38151.480000000003</v>
      </c>
      <c r="M61" s="90">
        <f t="shared" si="4"/>
        <v>38151.480000000003</v>
      </c>
      <c r="N61" s="90">
        <f>IF($G61="34,5",'Premissas e Preços'!$C$26,'Premissas e Preços'!$C$25)</f>
        <v>13209.34</v>
      </c>
      <c r="O61" s="89" t="s">
        <v>22</v>
      </c>
      <c r="P61" s="89"/>
      <c r="Q61" s="89"/>
      <c r="R61" s="91" t="s">
        <v>317</v>
      </c>
      <c r="S61" s="79" t="s">
        <v>89</v>
      </c>
      <c r="T61" s="90">
        <f t="shared" si="5"/>
        <v>51360.820000000007</v>
      </c>
    </row>
    <row r="62" spans="1:20" ht="15" customHeight="1">
      <c r="A62" s="41" t="s">
        <v>318</v>
      </c>
      <c r="B62" s="41" t="s">
        <v>319</v>
      </c>
      <c r="C62" s="41" t="s">
        <v>320</v>
      </c>
      <c r="D62" s="41" t="s">
        <v>321</v>
      </c>
      <c r="E62" s="42" t="s">
        <v>35</v>
      </c>
      <c r="F62" s="42">
        <f>_xlfn.XLOOKUP(B62,[1]Sheet1!$A:$A,[1]Sheet1!$F:$F)</f>
        <v>322</v>
      </c>
      <c r="G62" s="42" t="s">
        <v>45</v>
      </c>
      <c r="H62" s="41" t="s">
        <v>28</v>
      </c>
      <c r="I62" s="41" t="s">
        <v>199</v>
      </c>
      <c r="J62" s="42">
        <v>1</v>
      </c>
      <c r="K62" s="41" t="s">
        <v>140</v>
      </c>
      <c r="L62" s="43">
        <f>IFERROR(VLOOKUP(A62,'Premissas e Preços'!$A$15:$D$20,4,FALSE()),SUMIFS('Premissas e Preços'!$C$6:$C$11,'Premissas e Preços'!$A$6:$A$11,H62,'Premissas e Preços'!$B$6:$B$11,G62))</f>
        <v>55602.54</v>
      </c>
      <c r="M62" s="43">
        <f t="shared" si="4"/>
        <v>55602.54</v>
      </c>
      <c r="N62" s="43">
        <f>IF($G62="34,5",'Premissas e Preços'!$C$26,'Premissas e Preços'!$C$25)</f>
        <v>11016.94</v>
      </c>
      <c r="O62" s="44" t="s">
        <v>22</v>
      </c>
      <c r="P62" s="44"/>
      <c r="Q62" s="44"/>
      <c r="R62" s="41" t="s">
        <v>322</v>
      </c>
      <c r="S62" s="45" t="s">
        <v>223</v>
      </c>
      <c r="T62" s="43">
        <f t="shared" si="5"/>
        <v>66619.48</v>
      </c>
    </row>
    <row r="63" spans="1:20" ht="15" customHeight="1">
      <c r="A63" s="91" t="s">
        <v>323</v>
      </c>
      <c r="B63" s="91" t="s">
        <v>324</v>
      </c>
      <c r="C63" s="91" t="s">
        <v>325</v>
      </c>
      <c r="D63" s="91" t="s">
        <v>326</v>
      </c>
      <c r="E63" s="79" t="s">
        <v>35</v>
      </c>
      <c r="F63" s="79">
        <f>_xlfn.XLOOKUP(B63,[1]Sheet1!$A:$A,[1]Sheet1!$F:$F)</f>
        <v>431</v>
      </c>
      <c r="G63" s="79" t="s">
        <v>46</v>
      </c>
      <c r="H63" s="91" t="s">
        <v>29</v>
      </c>
      <c r="I63" s="91" t="s">
        <v>159</v>
      </c>
      <c r="J63" s="79">
        <v>1</v>
      </c>
      <c r="K63" s="91" t="s">
        <v>140</v>
      </c>
      <c r="L63" s="90">
        <f>IFERROR(VLOOKUP(A63,'Premissas e Preços'!$A$15:$D$20,4,FALSE()),SUMIFS('Premissas e Preços'!$C$6:$C$11,'Premissas e Preços'!$A$6:$A$11,H63,'Premissas e Preços'!$B$6:$B$11,G63))</f>
        <v>38151.480000000003</v>
      </c>
      <c r="M63" s="90">
        <f t="shared" si="4"/>
        <v>38151.480000000003</v>
      </c>
      <c r="N63" s="90">
        <f>IF($G63="34,5",'Premissas e Preços'!$C$26,'Premissas e Preços'!$C$25)</f>
        <v>13209.34</v>
      </c>
      <c r="O63" s="89" t="s">
        <v>23</v>
      </c>
      <c r="P63" s="128" t="s">
        <v>986</v>
      </c>
      <c r="Q63" s="128"/>
      <c r="R63" s="91" t="s">
        <v>327</v>
      </c>
      <c r="S63" s="88" t="s">
        <v>223</v>
      </c>
      <c r="T63" s="90">
        <f t="shared" si="5"/>
        <v>51360.820000000007</v>
      </c>
    </row>
    <row r="64" spans="1:20" ht="15" customHeight="1">
      <c r="A64" s="91" t="s">
        <v>328</v>
      </c>
      <c r="B64" s="91" t="s">
        <v>329</v>
      </c>
      <c r="C64" s="91" t="s">
        <v>330</v>
      </c>
      <c r="D64" s="91" t="s">
        <v>331</v>
      </c>
      <c r="E64" s="79" t="s">
        <v>35</v>
      </c>
      <c r="F64" s="79">
        <f>_xlfn.XLOOKUP(B64,[1]Sheet1!$A:$A,[1]Sheet1!$F:$F)</f>
        <v>391</v>
      </c>
      <c r="G64" s="79" t="s">
        <v>45</v>
      </c>
      <c r="H64" s="91" t="s">
        <v>30</v>
      </c>
      <c r="I64" s="91" t="s">
        <v>30</v>
      </c>
      <c r="J64" s="79">
        <v>1</v>
      </c>
      <c r="K64" s="91" t="s">
        <v>140</v>
      </c>
      <c r="L64" s="90">
        <f>IFERROR(VLOOKUP(A64,'Premissas e Preços'!$A$15:$D$20,4,FALSE()),SUMIFS('Premissas e Preços'!$C$6:$C$11,'Premissas e Preços'!$A$6:$A$11,H64,'Premissas e Preços'!$B$6:$B$11,G64))</f>
        <v>33816.82</v>
      </c>
      <c r="M64" s="90">
        <f t="shared" si="4"/>
        <v>33816.82</v>
      </c>
      <c r="N64" s="90">
        <f>IF($G64="34,5",'Premissas e Preços'!$C$26,'Premissas e Preços'!$C$25)</f>
        <v>11016.94</v>
      </c>
      <c r="O64" s="89" t="s">
        <v>23</v>
      </c>
      <c r="P64" s="128" t="s">
        <v>986</v>
      </c>
      <c r="Q64" s="128"/>
      <c r="R64" s="91" t="s">
        <v>332</v>
      </c>
      <c r="S64" s="88" t="s">
        <v>223</v>
      </c>
      <c r="T64" s="90">
        <f t="shared" si="5"/>
        <v>44833.760000000002</v>
      </c>
    </row>
    <row r="65" spans="9:20" ht="15" customHeight="1">
      <c r="I65" s="50" t="s">
        <v>26</v>
      </c>
      <c r="M65" s="51">
        <f>SUM(M5:M64)</f>
        <v>2655765.9999999995</v>
      </c>
      <c r="N65" s="51">
        <f>SUM(N5:N64)</f>
        <v>761866.7999999997</v>
      </c>
      <c r="T65" s="51">
        <f>SUM(T5:T64)</f>
        <v>3417632.7999999975</v>
      </c>
    </row>
  </sheetData>
  <autoFilter ref="A4:T65" xr:uid="{00000000-0001-0000-0300-000000000000}"/>
  <mergeCells count="2">
    <mergeCell ref="A1:S1"/>
    <mergeCell ref="A2:S2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AB95-55EE-4B0B-9579-728482D43C6C}">
  <sheetPr filterMode="1"/>
  <dimension ref="A1:N147"/>
  <sheetViews>
    <sheetView showGridLines="0" workbookViewId="0">
      <selection activeCell="B172" sqref="B172"/>
    </sheetView>
  </sheetViews>
  <sheetFormatPr defaultRowHeight="15"/>
  <cols>
    <col min="1" max="1" width="13.85546875" style="116" bestFit="1" customWidth="1"/>
    <col min="2" max="2" width="31.7109375" style="116" bestFit="1" customWidth="1"/>
    <col min="3" max="3" width="18.7109375" style="116" customWidth="1"/>
    <col min="4" max="4" width="28.28515625" style="116" bestFit="1" customWidth="1"/>
    <col min="5" max="5" width="14.28515625" style="116" bestFit="1" customWidth="1"/>
    <col min="6" max="6" width="25.140625" style="116" bestFit="1" customWidth="1"/>
    <col min="7" max="7" width="14.5703125" style="116" bestFit="1" customWidth="1"/>
    <col min="8" max="8" width="22" style="116" customWidth="1"/>
    <col min="9" max="10" width="10.5703125" style="117" bestFit="1" customWidth="1"/>
    <col min="11" max="11" width="27.42578125" style="116" bestFit="1" customWidth="1"/>
    <col min="12" max="12" width="31" style="116" bestFit="1" customWidth="1"/>
    <col min="13" max="13" width="13.5703125" style="116" bestFit="1" customWidth="1"/>
    <col min="14" max="16384" width="9.140625" style="116"/>
  </cols>
  <sheetData>
    <row r="1" spans="1:14">
      <c r="A1" s="122" t="s">
        <v>462</v>
      </c>
      <c r="B1" s="121" t="s">
        <v>975</v>
      </c>
      <c r="C1" s="122" t="s">
        <v>974</v>
      </c>
      <c r="D1" s="122" t="s">
        <v>973</v>
      </c>
      <c r="E1" s="122" t="s">
        <v>972</v>
      </c>
      <c r="F1" s="121" t="s">
        <v>971</v>
      </c>
      <c r="G1" s="122" t="s">
        <v>970</v>
      </c>
      <c r="H1" s="121" t="s">
        <v>969</v>
      </c>
      <c r="I1" s="120" t="s">
        <v>968</v>
      </c>
      <c r="J1" s="120" t="s">
        <v>967</v>
      </c>
      <c r="K1" s="116" t="s">
        <v>966</v>
      </c>
      <c r="L1" s="116" t="s">
        <v>965</v>
      </c>
      <c r="M1" s="116" t="s">
        <v>964</v>
      </c>
      <c r="N1" s="116" t="s">
        <v>963</v>
      </c>
    </row>
    <row r="2" spans="1:14" hidden="1">
      <c r="A2" s="118">
        <v>1</v>
      </c>
      <c r="B2" s="118" t="s">
        <v>703</v>
      </c>
      <c r="C2" s="118">
        <v>1</v>
      </c>
      <c r="D2" s="118" t="s">
        <v>703</v>
      </c>
      <c r="E2" s="118">
        <v>1</v>
      </c>
      <c r="F2" s="118" t="s">
        <v>703</v>
      </c>
      <c r="G2" s="118">
        <v>122</v>
      </c>
      <c r="H2" s="118" t="s">
        <v>680</v>
      </c>
      <c r="I2" s="117">
        <v>-10.702650050000001</v>
      </c>
      <c r="J2" s="117">
        <v>-48.39850534</v>
      </c>
      <c r="K2" s="116" t="s">
        <v>976</v>
      </c>
      <c r="L2" s="116" t="s">
        <v>977</v>
      </c>
      <c r="M2" s="116" t="s">
        <v>978</v>
      </c>
      <c r="N2" s="116" t="s">
        <v>979</v>
      </c>
    </row>
    <row r="3" spans="1:14" hidden="1">
      <c r="A3" s="118">
        <v>2</v>
      </c>
      <c r="B3" s="118" t="s">
        <v>733</v>
      </c>
      <c r="C3" s="118">
        <v>2</v>
      </c>
      <c r="D3" s="118" t="s">
        <v>733</v>
      </c>
      <c r="E3" s="118">
        <v>2</v>
      </c>
      <c r="F3" s="118" t="s">
        <v>733</v>
      </c>
      <c r="G3" s="118">
        <v>4</v>
      </c>
      <c r="H3" s="118" t="s">
        <v>221</v>
      </c>
      <c r="I3" s="117">
        <v>-6.3299196039999996</v>
      </c>
      <c r="J3" s="117">
        <v>-47.420835609999997</v>
      </c>
      <c r="K3" s="116" t="s">
        <v>980</v>
      </c>
      <c r="L3" s="116" t="s">
        <v>981</v>
      </c>
      <c r="M3" s="116" t="s">
        <v>982</v>
      </c>
      <c r="N3" s="116" t="s">
        <v>982</v>
      </c>
    </row>
    <row r="4" spans="1:14" hidden="1">
      <c r="A4" s="118">
        <v>3</v>
      </c>
      <c r="B4" s="118" t="s">
        <v>679</v>
      </c>
      <c r="C4" s="118">
        <v>3</v>
      </c>
      <c r="D4" s="118" t="s">
        <v>679</v>
      </c>
      <c r="E4" s="118">
        <v>3</v>
      </c>
      <c r="F4" s="118" t="s">
        <v>679</v>
      </c>
      <c r="G4" s="118">
        <v>3</v>
      </c>
      <c r="H4" s="118" t="s">
        <v>679</v>
      </c>
      <c r="I4" s="117">
        <v>-11.71213835</v>
      </c>
      <c r="J4" s="117">
        <v>-49.055892559999997</v>
      </c>
      <c r="K4" s="116" t="s">
        <v>983</v>
      </c>
      <c r="L4" s="116" t="s">
        <v>984</v>
      </c>
      <c r="M4" s="116" t="s">
        <v>982</v>
      </c>
      <c r="N4" s="116" t="s">
        <v>982</v>
      </c>
    </row>
    <row r="5" spans="1:14" hidden="1">
      <c r="A5" s="118">
        <v>4</v>
      </c>
      <c r="B5" s="118" t="s">
        <v>221</v>
      </c>
      <c r="C5" s="118">
        <v>4</v>
      </c>
      <c r="D5" s="118" t="s">
        <v>221</v>
      </c>
      <c r="E5" s="118">
        <v>4</v>
      </c>
      <c r="F5" s="118" t="s">
        <v>221</v>
      </c>
      <c r="G5" s="118">
        <v>4</v>
      </c>
      <c r="H5" s="118" t="s">
        <v>221</v>
      </c>
      <c r="I5" s="117">
        <v>-7.1886007410000001</v>
      </c>
      <c r="J5" s="117">
        <v>-48.209284179999997</v>
      </c>
      <c r="K5" s="116" t="s">
        <v>980</v>
      </c>
      <c r="L5" s="116" t="s">
        <v>981</v>
      </c>
      <c r="M5" s="116" t="s">
        <v>982</v>
      </c>
      <c r="N5" s="116" t="s">
        <v>982</v>
      </c>
    </row>
    <row r="6" spans="1:14" hidden="1">
      <c r="A6" s="118">
        <v>5</v>
      </c>
      <c r="B6" s="118" t="s">
        <v>962</v>
      </c>
      <c r="C6" s="118">
        <v>5</v>
      </c>
      <c r="D6" s="118" t="s">
        <v>962</v>
      </c>
      <c r="E6" s="118">
        <v>74</v>
      </c>
      <c r="F6" s="118" t="s">
        <v>321</v>
      </c>
      <c r="G6" s="118">
        <v>3</v>
      </c>
      <c r="H6" s="118" t="s">
        <v>679</v>
      </c>
      <c r="I6" s="117">
        <v>-12.93506917</v>
      </c>
      <c r="J6" s="117">
        <v>-46.935685169999999</v>
      </c>
      <c r="K6" s="116" t="s">
        <v>983</v>
      </c>
      <c r="L6" s="116" t="s">
        <v>984</v>
      </c>
      <c r="M6" s="116" t="s">
        <v>982</v>
      </c>
      <c r="N6" s="116" t="s">
        <v>982</v>
      </c>
    </row>
    <row r="7" spans="1:14" hidden="1">
      <c r="A7" s="118">
        <v>6</v>
      </c>
      <c r="B7" s="118" t="s">
        <v>961</v>
      </c>
      <c r="C7" s="118">
        <v>6</v>
      </c>
      <c r="D7" s="118" t="s">
        <v>961</v>
      </c>
      <c r="E7" s="118">
        <v>122</v>
      </c>
      <c r="F7" s="119" t="s">
        <v>707</v>
      </c>
      <c r="G7" s="118">
        <v>122</v>
      </c>
      <c r="H7" s="118" t="s">
        <v>680</v>
      </c>
      <c r="I7" s="117">
        <v>-9.5645885610000008</v>
      </c>
      <c r="J7" s="117">
        <v>-48.375645249999998</v>
      </c>
      <c r="K7" s="116" t="s">
        <v>976</v>
      </c>
      <c r="L7" s="116" t="s">
        <v>977</v>
      </c>
      <c r="M7" s="116" t="s">
        <v>978</v>
      </c>
      <c r="N7" s="116" t="s">
        <v>979</v>
      </c>
    </row>
    <row r="8" spans="1:14" hidden="1">
      <c r="A8" s="118">
        <v>7</v>
      </c>
      <c r="B8" s="118" t="s">
        <v>925</v>
      </c>
      <c r="C8" s="118">
        <v>7</v>
      </c>
      <c r="D8" s="118" t="s">
        <v>925</v>
      </c>
      <c r="E8" s="118">
        <v>7</v>
      </c>
      <c r="F8" s="118" t="s">
        <v>925</v>
      </c>
      <c r="G8" s="118">
        <v>122</v>
      </c>
      <c r="H8" s="118" t="s">
        <v>680</v>
      </c>
      <c r="I8" s="117">
        <v>-9.5682592389999996</v>
      </c>
      <c r="J8" s="117">
        <v>-48.39151201</v>
      </c>
      <c r="K8" s="116" t="s">
        <v>976</v>
      </c>
      <c r="L8" s="116" t="s">
        <v>977</v>
      </c>
      <c r="M8" s="116" t="s">
        <v>978</v>
      </c>
      <c r="N8" s="116" t="s">
        <v>979</v>
      </c>
    </row>
    <row r="9" spans="1:14" hidden="1">
      <c r="A9" s="118">
        <v>8</v>
      </c>
      <c r="B9" s="118" t="s">
        <v>926</v>
      </c>
      <c r="C9" s="118">
        <v>8</v>
      </c>
      <c r="D9" s="118" t="s">
        <v>926</v>
      </c>
      <c r="E9" s="118">
        <v>7</v>
      </c>
      <c r="F9" s="118" t="s">
        <v>925</v>
      </c>
      <c r="G9" s="118">
        <v>122</v>
      </c>
      <c r="H9" s="118" t="s">
        <v>680</v>
      </c>
      <c r="I9" s="117">
        <v>-9.5246641929999996</v>
      </c>
      <c r="J9" s="117">
        <v>-48.590293209999999</v>
      </c>
      <c r="K9" s="116" t="s">
        <v>976</v>
      </c>
      <c r="L9" s="116" t="s">
        <v>977</v>
      </c>
      <c r="M9" s="116" t="s">
        <v>978</v>
      </c>
      <c r="N9" s="116" t="s">
        <v>979</v>
      </c>
    </row>
    <row r="10" spans="1:14" hidden="1">
      <c r="A10" s="118">
        <v>9</v>
      </c>
      <c r="B10" s="118" t="s">
        <v>331</v>
      </c>
      <c r="C10" s="118">
        <v>9</v>
      </c>
      <c r="D10" s="118" t="s">
        <v>331</v>
      </c>
      <c r="E10" s="118">
        <v>9</v>
      </c>
      <c r="F10" s="118" t="s">
        <v>331</v>
      </c>
      <c r="G10" s="118">
        <v>4</v>
      </c>
      <c r="H10" s="118" t="s">
        <v>221</v>
      </c>
      <c r="I10" s="117">
        <v>-8.8420770879999999</v>
      </c>
      <c r="J10" s="117">
        <v>-48.506494570000001</v>
      </c>
      <c r="K10" s="116" t="s">
        <v>980</v>
      </c>
      <c r="L10" s="116" t="s">
        <v>981</v>
      </c>
      <c r="M10" s="116" t="s">
        <v>982</v>
      </c>
      <c r="N10" s="116" t="s">
        <v>982</v>
      </c>
    </row>
    <row r="11" spans="1:14" hidden="1">
      <c r="A11" s="118">
        <v>10</v>
      </c>
      <c r="B11" s="118" t="s">
        <v>960</v>
      </c>
      <c r="C11" s="118">
        <v>10</v>
      </c>
      <c r="D11" s="118" t="s">
        <v>960</v>
      </c>
      <c r="E11" s="118">
        <v>122</v>
      </c>
      <c r="F11" s="118" t="s">
        <v>707</v>
      </c>
      <c r="G11" s="118">
        <v>122</v>
      </c>
      <c r="H11" s="118" t="s">
        <v>680</v>
      </c>
      <c r="I11" s="117" t="s">
        <v>959</v>
      </c>
      <c r="J11" s="117" t="s">
        <v>958</v>
      </c>
      <c r="K11" s="116" t="s">
        <v>976</v>
      </c>
      <c r="L11" s="116" t="s">
        <v>977</v>
      </c>
      <c r="M11" s="116" t="s">
        <v>978</v>
      </c>
      <c r="N11" s="116" t="s">
        <v>979</v>
      </c>
    </row>
    <row r="12" spans="1:14" hidden="1">
      <c r="A12" s="118">
        <v>11</v>
      </c>
      <c r="B12" s="118" t="s">
        <v>957</v>
      </c>
      <c r="C12" s="118">
        <v>15</v>
      </c>
      <c r="D12" s="118" t="s">
        <v>330</v>
      </c>
      <c r="E12" s="118">
        <v>9</v>
      </c>
      <c r="F12" s="118" t="s">
        <v>331</v>
      </c>
      <c r="G12" s="118">
        <v>4</v>
      </c>
      <c r="H12" s="118" t="s">
        <v>221</v>
      </c>
      <c r="I12" s="117" t="s">
        <v>956</v>
      </c>
      <c r="J12" s="117" t="s">
        <v>955</v>
      </c>
      <c r="K12" s="116" t="s">
        <v>980</v>
      </c>
      <c r="L12" s="116" t="s">
        <v>981</v>
      </c>
      <c r="M12" s="116" t="s">
        <v>982</v>
      </c>
      <c r="N12" s="116" t="s">
        <v>982</v>
      </c>
    </row>
    <row r="13" spans="1:14" hidden="1">
      <c r="A13" s="118">
        <v>12</v>
      </c>
      <c r="B13" s="118" t="s">
        <v>954</v>
      </c>
      <c r="C13" s="118">
        <v>12</v>
      </c>
      <c r="D13" s="118" t="s">
        <v>954</v>
      </c>
      <c r="E13" s="118">
        <v>13</v>
      </c>
      <c r="F13" s="118" t="s">
        <v>699</v>
      </c>
      <c r="G13" s="118">
        <v>122</v>
      </c>
      <c r="H13" s="118" t="s">
        <v>680</v>
      </c>
      <c r="I13" s="117">
        <v>-10.599733069999999</v>
      </c>
      <c r="J13" s="117">
        <v>-49.194339939999999</v>
      </c>
      <c r="K13" s="116" t="s">
        <v>976</v>
      </c>
      <c r="L13" s="116" t="s">
        <v>977</v>
      </c>
      <c r="M13" s="116" t="s">
        <v>978</v>
      </c>
      <c r="N13" s="116" t="s">
        <v>979</v>
      </c>
    </row>
    <row r="14" spans="1:14" hidden="1">
      <c r="A14" s="118">
        <v>13</v>
      </c>
      <c r="B14" s="118" t="s">
        <v>699</v>
      </c>
      <c r="C14" s="118">
        <v>13</v>
      </c>
      <c r="D14" s="118" t="s">
        <v>699</v>
      </c>
      <c r="E14" s="118">
        <v>13</v>
      </c>
      <c r="F14" s="118" t="s">
        <v>699</v>
      </c>
      <c r="G14" s="118">
        <v>122</v>
      </c>
      <c r="H14" s="118" t="s">
        <v>680</v>
      </c>
      <c r="I14" s="117">
        <v>-10.1732874</v>
      </c>
      <c r="J14" s="117">
        <v>-48.881288169999998</v>
      </c>
      <c r="K14" s="116" t="s">
        <v>976</v>
      </c>
      <c r="L14" s="116" t="s">
        <v>977</v>
      </c>
      <c r="M14" s="116" t="s">
        <v>978</v>
      </c>
      <c r="N14" s="116" t="s">
        <v>979</v>
      </c>
    </row>
    <row r="15" spans="1:14" hidden="1">
      <c r="A15" s="118">
        <v>14</v>
      </c>
      <c r="B15" s="118" t="s">
        <v>953</v>
      </c>
      <c r="C15" s="118">
        <v>14</v>
      </c>
      <c r="D15" s="118" t="s">
        <v>953</v>
      </c>
      <c r="E15" s="118">
        <v>13</v>
      </c>
      <c r="F15" s="118" t="s">
        <v>699</v>
      </c>
      <c r="G15" s="118">
        <v>122</v>
      </c>
      <c r="H15" s="118" t="s">
        <v>680</v>
      </c>
      <c r="I15" s="117">
        <v>-10.441579989999999</v>
      </c>
      <c r="J15" s="117">
        <v>-49.175688219999998</v>
      </c>
      <c r="K15" s="116" t="s">
        <v>976</v>
      </c>
      <c r="L15" s="116" t="s">
        <v>977</v>
      </c>
      <c r="M15" s="116" t="s">
        <v>978</v>
      </c>
      <c r="N15" s="116" t="s">
        <v>979</v>
      </c>
    </row>
    <row r="16" spans="1:14" hidden="1">
      <c r="A16" s="118">
        <v>15</v>
      </c>
      <c r="B16" s="118" t="s">
        <v>330</v>
      </c>
      <c r="C16" s="118">
        <v>15</v>
      </c>
      <c r="D16" s="118" t="s">
        <v>330</v>
      </c>
      <c r="E16" s="118">
        <v>9</v>
      </c>
      <c r="F16" s="118" t="s">
        <v>331</v>
      </c>
      <c r="G16" s="118">
        <v>4</v>
      </c>
      <c r="H16" s="118" t="s">
        <v>221</v>
      </c>
      <c r="I16" s="117">
        <v>-8.9745545329999992</v>
      </c>
      <c r="J16" s="117">
        <v>-48.174876189999999</v>
      </c>
      <c r="K16" s="116" t="s">
        <v>980</v>
      </c>
      <c r="L16" s="116" t="s">
        <v>981</v>
      </c>
      <c r="M16" s="116" t="s">
        <v>982</v>
      </c>
      <c r="N16" s="116" t="s">
        <v>982</v>
      </c>
    </row>
    <row r="17" spans="1:14" hidden="1">
      <c r="A17" s="118">
        <v>16</v>
      </c>
      <c r="B17" s="118" t="s">
        <v>952</v>
      </c>
      <c r="C17" s="118">
        <v>16</v>
      </c>
      <c r="D17" s="118" t="s">
        <v>952</v>
      </c>
      <c r="E17" s="118">
        <v>2</v>
      </c>
      <c r="F17" s="118" t="s">
        <v>733</v>
      </c>
      <c r="G17" s="118">
        <v>4</v>
      </c>
      <c r="H17" s="118" t="s">
        <v>221</v>
      </c>
      <c r="I17" s="117">
        <v>-6.8531520739999996</v>
      </c>
      <c r="J17" s="117">
        <v>-47.961097709999997</v>
      </c>
      <c r="K17" s="116" t="s">
        <v>980</v>
      </c>
      <c r="L17" s="116" t="s">
        <v>981</v>
      </c>
      <c r="M17" s="116" t="s">
        <v>982</v>
      </c>
      <c r="N17" s="116" t="s">
        <v>982</v>
      </c>
    </row>
    <row r="18" spans="1:14" hidden="1">
      <c r="A18" s="118">
        <v>17</v>
      </c>
      <c r="B18" s="118" t="s">
        <v>951</v>
      </c>
      <c r="C18" s="118">
        <v>17</v>
      </c>
      <c r="D18" s="118" t="s">
        <v>951</v>
      </c>
      <c r="E18" s="118">
        <v>7</v>
      </c>
      <c r="F18" s="118" t="s">
        <v>925</v>
      </c>
      <c r="G18" s="118">
        <v>122</v>
      </c>
      <c r="H18" s="118" t="s">
        <v>680</v>
      </c>
      <c r="I18" s="117">
        <v>-9.8335614959999997</v>
      </c>
      <c r="J18" s="117">
        <v>-48.724532340000003</v>
      </c>
      <c r="K18" s="116" t="s">
        <v>976</v>
      </c>
      <c r="L18" s="116" t="s">
        <v>977</v>
      </c>
      <c r="M18" s="116" t="s">
        <v>978</v>
      </c>
      <c r="N18" s="116" t="s">
        <v>979</v>
      </c>
    </row>
    <row r="19" spans="1:14" hidden="1">
      <c r="A19" s="118">
        <v>18</v>
      </c>
      <c r="B19" s="118" t="s">
        <v>950</v>
      </c>
      <c r="C19" s="118">
        <v>15</v>
      </c>
      <c r="D19" s="118" t="s">
        <v>330</v>
      </c>
      <c r="E19" s="118">
        <v>9</v>
      </c>
      <c r="F19" s="118" t="s">
        <v>331</v>
      </c>
      <c r="G19" s="118">
        <v>4</v>
      </c>
      <c r="H19" s="118" t="s">
        <v>221</v>
      </c>
      <c r="I19" s="117" t="s">
        <v>949</v>
      </c>
      <c r="J19" s="117" t="s">
        <v>948</v>
      </c>
      <c r="K19" s="116" t="s">
        <v>980</v>
      </c>
      <c r="L19" s="116" t="s">
        <v>981</v>
      </c>
      <c r="M19" s="116" t="s">
        <v>982</v>
      </c>
      <c r="N19" s="116" t="s">
        <v>982</v>
      </c>
    </row>
    <row r="20" spans="1:14" hidden="1">
      <c r="A20" s="118">
        <v>19</v>
      </c>
      <c r="B20" s="118" t="s">
        <v>947</v>
      </c>
      <c r="C20" s="118">
        <v>19</v>
      </c>
      <c r="D20" s="118" t="s">
        <v>947</v>
      </c>
      <c r="E20" s="118">
        <v>4</v>
      </c>
      <c r="F20" s="118" t="s">
        <v>221</v>
      </c>
      <c r="G20" s="118">
        <v>4</v>
      </c>
      <c r="H20" s="118" t="s">
        <v>221</v>
      </c>
      <c r="I20" s="117" t="s">
        <v>946</v>
      </c>
      <c r="J20" s="117" t="s">
        <v>945</v>
      </c>
      <c r="K20" s="116" t="s">
        <v>980</v>
      </c>
      <c r="L20" s="116" t="s">
        <v>981</v>
      </c>
      <c r="M20" s="116" t="s">
        <v>982</v>
      </c>
      <c r="N20" s="116" t="s">
        <v>982</v>
      </c>
    </row>
    <row r="21" spans="1:14" hidden="1">
      <c r="A21" s="118">
        <v>20</v>
      </c>
      <c r="B21" s="118" t="s">
        <v>944</v>
      </c>
      <c r="C21" s="118">
        <v>50</v>
      </c>
      <c r="D21" s="118" t="s">
        <v>894</v>
      </c>
      <c r="E21" s="118">
        <v>74</v>
      </c>
      <c r="F21" s="118" t="s">
        <v>321</v>
      </c>
      <c r="G21" s="118">
        <v>3</v>
      </c>
      <c r="H21" s="118" t="s">
        <v>679</v>
      </c>
      <c r="I21" s="117" t="s">
        <v>943</v>
      </c>
      <c r="J21" s="117" t="s">
        <v>942</v>
      </c>
      <c r="K21" s="116" t="s">
        <v>983</v>
      </c>
      <c r="L21" s="116" t="s">
        <v>984</v>
      </c>
      <c r="M21" s="116" t="s">
        <v>982</v>
      </c>
      <c r="N21" s="116" t="s">
        <v>982</v>
      </c>
    </row>
    <row r="22" spans="1:14" hidden="1">
      <c r="A22" s="118">
        <v>21</v>
      </c>
      <c r="B22" s="118" t="s">
        <v>941</v>
      </c>
      <c r="C22" s="118">
        <v>21</v>
      </c>
      <c r="D22" s="118" t="s">
        <v>941</v>
      </c>
      <c r="E22" s="118">
        <v>94</v>
      </c>
      <c r="F22" s="118" t="s">
        <v>717</v>
      </c>
      <c r="G22" s="118">
        <v>3</v>
      </c>
      <c r="H22" s="118" t="s">
        <v>679</v>
      </c>
      <c r="I22" s="117" t="s">
        <v>940</v>
      </c>
      <c r="J22" s="117" t="s">
        <v>939</v>
      </c>
      <c r="K22" s="116" t="s">
        <v>983</v>
      </c>
      <c r="L22" s="116" t="s">
        <v>984</v>
      </c>
      <c r="M22" s="116" t="s">
        <v>982</v>
      </c>
      <c r="N22" s="116" t="s">
        <v>982</v>
      </c>
    </row>
    <row r="23" spans="1:14" hidden="1">
      <c r="A23" s="118">
        <v>22</v>
      </c>
      <c r="B23" s="118" t="s">
        <v>938</v>
      </c>
      <c r="C23" s="118">
        <v>22</v>
      </c>
      <c r="D23" s="118" t="s">
        <v>938</v>
      </c>
      <c r="E23" s="118">
        <v>2</v>
      </c>
      <c r="F23" s="118" t="s">
        <v>733</v>
      </c>
      <c r="G23" s="118">
        <v>4</v>
      </c>
      <c r="H23" s="118" t="s">
        <v>221</v>
      </c>
      <c r="I23" s="117">
        <v>-7.2032773509999997</v>
      </c>
      <c r="J23" s="117">
        <v>-47.758940699999997</v>
      </c>
      <c r="K23" s="116" t="s">
        <v>980</v>
      </c>
      <c r="L23" s="116" t="s">
        <v>981</v>
      </c>
      <c r="M23" s="116" t="s">
        <v>982</v>
      </c>
      <c r="N23" s="116" t="s">
        <v>982</v>
      </c>
    </row>
    <row r="24" spans="1:14" hidden="1">
      <c r="A24" s="118">
        <v>23</v>
      </c>
      <c r="B24" s="118" t="s">
        <v>326</v>
      </c>
      <c r="C24" s="118">
        <v>23</v>
      </c>
      <c r="D24" s="118" t="s">
        <v>326</v>
      </c>
      <c r="E24" s="118">
        <v>23</v>
      </c>
      <c r="F24" s="118" t="s">
        <v>326</v>
      </c>
      <c r="G24" s="118">
        <v>4</v>
      </c>
      <c r="H24" s="118" t="s">
        <v>221</v>
      </c>
      <c r="I24" s="117">
        <v>-8.0520134760000008</v>
      </c>
      <c r="J24" s="117">
        <v>-48.483321050000001</v>
      </c>
      <c r="K24" s="116" t="s">
        <v>980</v>
      </c>
      <c r="L24" s="116" t="s">
        <v>981</v>
      </c>
      <c r="M24" s="116" t="s">
        <v>982</v>
      </c>
      <c r="N24" s="116" t="s">
        <v>982</v>
      </c>
    </row>
    <row r="25" spans="1:14" hidden="1">
      <c r="A25" s="118">
        <v>24</v>
      </c>
      <c r="B25" s="118" t="s">
        <v>937</v>
      </c>
      <c r="C25" s="118">
        <v>34</v>
      </c>
      <c r="D25" s="118" t="s">
        <v>874</v>
      </c>
      <c r="E25" s="118">
        <v>9</v>
      </c>
      <c r="F25" s="118" t="s">
        <v>331</v>
      </c>
      <c r="G25" s="118">
        <v>4</v>
      </c>
      <c r="H25" s="118" t="s">
        <v>221</v>
      </c>
      <c r="I25" s="117" t="s">
        <v>936</v>
      </c>
      <c r="J25" s="117" t="s">
        <v>935</v>
      </c>
      <c r="K25" s="116" t="s">
        <v>980</v>
      </c>
      <c r="L25" s="116" t="s">
        <v>981</v>
      </c>
      <c r="M25" s="116" t="s">
        <v>982</v>
      </c>
      <c r="N25" s="116" t="s">
        <v>982</v>
      </c>
    </row>
    <row r="26" spans="1:14" hidden="1">
      <c r="A26" s="118">
        <v>25</v>
      </c>
      <c r="B26" s="118" t="s">
        <v>766</v>
      </c>
      <c r="C26" s="118">
        <v>25</v>
      </c>
      <c r="D26" s="118" t="s">
        <v>766</v>
      </c>
      <c r="E26" s="118">
        <v>23</v>
      </c>
      <c r="F26" s="118" t="s">
        <v>326</v>
      </c>
      <c r="G26" s="118">
        <v>4</v>
      </c>
      <c r="H26" s="118" t="s">
        <v>221</v>
      </c>
      <c r="I26" s="117">
        <v>-7.6576597499999997</v>
      </c>
      <c r="J26" s="117">
        <v>-49.065939739999997</v>
      </c>
      <c r="K26" s="116" t="s">
        <v>980</v>
      </c>
      <c r="L26" s="116" t="s">
        <v>981</v>
      </c>
      <c r="M26" s="116" t="s">
        <v>982</v>
      </c>
      <c r="N26" s="116" t="s">
        <v>982</v>
      </c>
    </row>
    <row r="27" spans="1:14" hidden="1">
      <c r="A27" s="118">
        <v>26</v>
      </c>
      <c r="B27" s="118" t="s">
        <v>694</v>
      </c>
      <c r="C27" s="118">
        <v>26</v>
      </c>
      <c r="D27" s="118" t="s">
        <v>934</v>
      </c>
      <c r="E27" s="118">
        <v>26</v>
      </c>
      <c r="F27" s="118" t="s">
        <v>694</v>
      </c>
      <c r="G27" s="118">
        <v>122</v>
      </c>
      <c r="H27" s="118" t="s">
        <v>680</v>
      </c>
      <c r="I27" s="117" t="s">
        <v>933</v>
      </c>
      <c r="J27" s="117" t="s">
        <v>932</v>
      </c>
      <c r="K27" s="116" t="s">
        <v>976</v>
      </c>
      <c r="L27" s="116" t="s">
        <v>977</v>
      </c>
      <c r="M27" s="116" t="s">
        <v>978</v>
      </c>
      <c r="N27" s="116" t="s">
        <v>979</v>
      </c>
    </row>
    <row r="28" spans="1:14" hidden="1">
      <c r="A28" s="118">
        <v>27</v>
      </c>
      <c r="B28" s="118" t="s">
        <v>931</v>
      </c>
      <c r="C28" s="118">
        <v>27</v>
      </c>
      <c r="D28" s="118" t="s">
        <v>930</v>
      </c>
      <c r="E28" s="118">
        <v>74</v>
      </c>
      <c r="F28" s="118" t="s">
        <v>321</v>
      </c>
      <c r="G28" s="118">
        <v>3</v>
      </c>
      <c r="H28" s="118" t="s">
        <v>679</v>
      </c>
      <c r="I28" s="117" t="s">
        <v>929</v>
      </c>
      <c r="J28" s="117" t="s">
        <v>928</v>
      </c>
      <c r="K28" s="116" t="s">
        <v>983</v>
      </c>
      <c r="L28" s="116" t="s">
        <v>984</v>
      </c>
      <c r="M28" s="116" t="s">
        <v>982</v>
      </c>
      <c r="N28" s="116" t="s">
        <v>982</v>
      </c>
    </row>
    <row r="29" spans="1:14" hidden="1">
      <c r="A29" s="118">
        <v>28</v>
      </c>
      <c r="B29" s="118" t="s">
        <v>800</v>
      </c>
      <c r="C29" s="118">
        <v>28</v>
      </c>
      <c r="D29" s="118" t="s">
        <v>800</v>
      </c>
      <c r="E29" s="118">
        <v>74</v>
      </c>
      <c r="F29" s="118" t="s">
        <v>321</v>
      </c>
      <c r="G29" s="118">
        <v>3</v>
      </c>
      <c r="H29" s="118" t="s">
        <v>679</v>
      </c>
      <c r="I29" s="117">
        <v>-11.70131787</v>
      </c>
      <c r="J29" s="117">
        <v>-47.721822420000002</v>
      </c>
      <c r="K29" s="116" t="s">
        <v>983</v>
      </c>
      <c r="L29" s="116" t="s">
        <v>984</v>
      </c>
      <c r="M29" s="116" t="s">
        <v>982</v>
      </c>
      <c r="N29" s="116" t="s">
        <v>982</v>
      </c>
    </row>
    <row r="30" spans="1:14" hidden="1">
      <c r="A30" s="118">
        <v>29</v>
      </c>
      <c r="B30" s="118" t="s">
        <v>718</v>
      </c>
      <c r="C30" s="118">
        <v>29</v>
      </c>
      <c r="D30" s="118" t="s">
        <v>718</v>
      </c>
      <c r="E30" s="118">
        <v>94</v>
      </c>
      <c r="F30" s="118" t="s">
        <v>717</v>
      </c>
      <c r="G30" s="118">
        <v>3</v>
      </c>
      <c r="H30" s="118" t="s">
        <v>679</v>
      </c>
      <c r="I30" s="117">
        <v>-13.04374943</v>
      </c>
      <c r="J30" s="117">
        <v>-48.402880600000003</v>
      </c>
      <c r="K30" s="116" t="s">
        <v>983</v>
      </c>
      <c r="L30" s="116" t="s">
        <v>984</v>
      </c>
      <c r="M30" s="116" t="s">
        <v>982</v>
      </c>
      <c r="N30" s="116" t="s">
        <v>982</v>
      </c>
    </row>
    <row r="31" spans="1:14" ht="21" hidden="1" customHeight="1">
      <c r="A31" s="118">
        <v>30</v>
      </c>
      <c r="B31" s="118" t="s">
        <v>741</v>
      </c>
      <c r="C31" s="118">
        <v>30</v>
      </c>
      <c r="D31" s="118" t="s">
        <v>741</v>
      </c>
      <c r="E31" s="118">
        <v>2</v>
      </c>
      <c r="F31" s="118" t="s">
        <v>733</v>
      </c>
      <c r="G31" s="118">
        <v>4</v>
      </c>
      <c r="H31" s="118" t="s">
        <v>221</v>
      </c>
      <c r="I31" s="117">
        <v>-6.4084444100000004</v>
      </c>
      <c r="J31" s="117">
        <v>-48.535016239999997</v>
      </c>
      <c r="K31" s="116" t="s">
        <v>980</v>
      </c>
      <c r="L31" s="116" t="s">
        <v>981</v>
      </c>
      <c r="M31" s="116" t="s">
        <v>982</v>
      </c>
      <c r="N31" s="116" t="s">
        <v>982</v>
      </c>
    </row>
    <row r="32" spans="1:14" hidden="1">
      <c r="A32" s="118">
        <v>31</v>
      </c>
      <c r="B32" s="118" t="s">
        <v>927</v>
      </c>
      <c r="C32" s="118">
        <v>8</v>
      </c>
      <c r="D32" s="118" t="s">
        <v>926</v>
      </c>
      <c r="E32" s="118">
        <v>7</v>
      </c>
      <c r="F32" s="118" t="s">
        <v>925</v>
      </c>
      <c r="G32" s="118">
        <v>122</v>
      </c>
      <c r="H32" s="118" t="s">
        <v>680</v>
      </c>
      <c r="I32" s="117" t="s">
        <v>924</v>
      </c>
      <c r="J32" s="117" t="s">
        <v>923</v>
      </c>
      <c r="K32" s="116" t="s">
        <v>976</v>
      </c>
      <c r="L32" s="116" t="s">
        <v>977</v>
      </c>
      <c r="M32" s="116" t="s">
        <v>978</v>
      </c>
      <c r="N32" s="116" t="s">
        <v>979</v>
      </c>
    </row>
    <row r="33" spans="1:14" hidden="1">
      <c r="A33" s="118">
        <v>32</v>
      </c>
      <c r="B33" s="118" t="s">
        <v>922</v>
      </c>
      <c r="C33" s="118">
        <v>32</v>
      </c>
      <c r="D33" s="118" t="s">
        <v>922</v>
      </c>
      <c r="E33" s="118">
        <v>36</v>
      </c>
      <c r="F33" s="118" t="s">
        <v>814</v>
      </c>
      <c r="G33" s="118">
        <v>3</v>
      </c>
      <c r="H33" s="118" t="s">
        <v>679</v>
      </c>
      <c r="I33" s="117">
        <v>-12.92773088</v>
      </c>
      <c r="J33" s="117">
        <v>-49.828658519999998</v>
      </c>
      <c r="K33" s="116" t="s">
        <v>983</v>
      </c>
      <c r="L33" s="116" t="s">
        <v>984</v>
      </c>
      <c r="M33" s="116" t="s">
        <v>982</v>
      </c>
      <c r="N33" s="116" t="s">
        <v>982</v>
      </c>
    </row>
    <row r="34" spans="1:14" hidden="1">
      <c r="A34" s="118">
        <v>33</v>
      </c>
      <c r="B34" s="118" t="s">
        <v>805</v>
      </c>
      <c r="C34" s="118">
        <v>33</v>
      </c>
      <c r="D34" s="118" t="s">
        <v>805</v>
      </c>
      <c r="E34" s="118">
        <v>9</v>
      </c>
      <c r="F34" s="118" t="s">
        <v>331</v>
      </c>
      <c r="G34" s="118">
        <v>4</v>
      </c>
      <c r="H34" s="118" t="s">
        <v>221</v>
      </c>
      <c r="I34" s="117">
        <v>-8.7310899840000005</v>
      </c>
      <c r="J34" s="117">
        <v>-48.759133759999997</v>
      </c>
      <c r="K34" s="116" t="s">
        <v>980</v>
      </c>
      <c r="L34" s="116" t="s">
        <v>981</v>
      </c>
      <c r="M34" s="116" t="s">
        <v>982</v>
      </c>
      <c r="N34" s="116" t="s">
        <v>982</v>
      </c>
    </row>
    <row r="35" spans="1:14" hidden="1">
      <c r="A35" s="118">
        <v>34</v>
      </c>
      <c r="B35" s="118" t="s">
        <v>874</v>
      </c>
      <c r="C35" s="118">
        <v>34</v>
      </c>
      <c r="D35" s="118" t="s">
        <v>874</v>
      </c>
      <c r="E35" s="118">
        <v>9</v>
      </c>
      <c r="F35" s="118" t="s">
        <v>331</v>
      </c>
      <c r="G35" s="118">
        <v>4</v>
      </c>
      <c r="H35" s="118" t="s">
        <v>221</v>
      </c>
      <c r="I35" s="117" t="s">
        <v>921</v>
      </c>
      <c r="J35" s="117" t="s">
        <v>920</v>
      </c>
      <c r="K35" s="116" t="s">
        <v>980</v>
      </c>
      <c r="L35" s="116" t="s">
        <v>981</v>
      </c>
      <c r="M35" s="116" t="s">
        <v>982</v>
      </c>
      <c r="N35" s="116" t="s">
        <v>982</v>
      </c>
    </row>
    <row r="36" spans="1:14" hidden="1">
      <c r="A36" s="118">
        <v>35</v>
      </c>
      <c r="B36" s="118" t="s">
        <v>919</v>
      </c>
      <c r="C36" s="118">
        <v>35</v>
      </c>
      <c r="D36" s="118" t="s">
        <v>919</v>
      </c>
      <c r="E36" s="118">
        <v>26</v>
      </c>
      <c r="F36" s="118" t="s">
        <v>694</v>
      </c>
      <c r="G36" s="118">
        <v>122</v>
      </c>
      <c r="H36" s="118" t="s">
        <v>680</v>
      </c>
      <c r="I36" s="117">
        <v>-10.76372338</v>
      </c>
      <c r="J36" s="117">
        <v>-48.110156809999999</v>
      </c>
      <c r="K36" s="116" t="s">
        <v>976</v>
      </c>
      <c r="L36" s="116" t="s">
        <v>977</v>
      </c>
      <c r="M36" s="116" t="s">
        <v>978</v>
      </c>
      <c r="N36" s="116" t="s">
        <v>979</v>
      </c>
    </row>
    <row r="37" spans="1:14" hidden="1">
      <c r="A37" s="118">
        <v>36</v>
      </c>
      <c r="B37" s="118" t="s">
        <v>814</v>
      </c>
      <c r="C37" s="118">
        <v>36</v>
      </c>
      <c r="D37" s="118" t="s">
        <v>814</v>
      </c>
      <c r="E37" s="118">
        <v>36</v>
      </c>
      <c r="F37" s="118" t="s">
        <v>814</v>
      </c>
      <c r="G37" s="118">
        <v>3</v>
      </c>
      <c r="H37" s="118" t="s">
        <v>679</v>
      </c>
      <c r="I37" s="117" t="s">
        <v>918</v>
      </c>
      <c r="J37" s="117" t="s">
        <v>917</v>
      </c>
      <c r="K37" s="116" t="s">
        <v>983</v>
      </c>
      <c r="L37" s="116" t="s">
        <v>984</v>
      </c>
      <c r="M37" s="116" t="s">
        <v>982</v>
      </c>
      <c r="N37" s="116" t="s">
        <v>982</v>
      </c>
    </row>
    <row r="38" spans="1:14" hidden="1">
      <c r="A38" s="118">
        <v>37</v>
      </c>
      <c r="B38" s="118" t="s">
        <v>908</v>
      </c>
      <c r="C38" s="118">
        <v>37</v>
      </c>
      <c r="D38" s="118" t="s">
        <v>908</v>
      </c>
      <c r="E38" s="118">
        <v>3</v>
      </c>
      <c r="F38" s="118" t="s">
        <v>679</v>
      </c>
      <c r="G38" s="118">
        <v>3</v>
      </c>
      <c r="H38" s="118" t="s">
        <v>679</v>
      </c>
      <c r="I38" s="117">
        <v>-11.303374140000001</v>
      </c>
      <c r="J38" s="117">
        <v>-48.930511619999997</v>
      </c>
      <c r="K38" s="116" t="s">
        <v>983</v>
      </c>
      <c r="L38" s="116" t="s">
        <v>984</v>
      </c>
      <c r="M38" s="116" t="s">
        <v>982</v>
      </c>
      <c r="N38" s="116" t="s">
        <v>982</v>
      </c>
    </row>
    <row r="39" spans="1:14" hidden="1">
      <c r="A39" s="118">
        <v>38</v>
      </c>
      <c r="B39" s="118" t="s">
        <v>916</v>
      </c>
      <c r="C39" s="118">
        <v>38</v>
      </c>
      <c r="D39" s="118" t="s">
        <v>916</v>
      </c>
      <c r="E39" s="118">
        <v>74</v>
      </c>
      <c r="F39" s="118" t="s">
        <v>321</v>
      </c>
      <c r="G39" s="118">
        <v>3</v>
      </c>
      <c r="H39" s="118" t="s">
        <v>679</v>
      </c>
      <c r="I39" s="117" t="s">
        <v>915</v>
      </c>
      <c r="J39" s="117" t="s">
        <v>914</v>
      </c>
      <c r="K39" s="116" t="s">
        <v>983</v>
      </c>
      <c r="L39" s="116" t="s">
        <v>984</v>
      </c>
      <c r="M39" s="116" t="s">
        <v>982</v>
      </c>
      <c r="N39" s="116" t="s">
        <v>982</v>
      </c>
    </row>
    <row r="40" spans="1:14" hidden="1">
      <c r="A40" s="118">
        <v>39</v>
      </c>
      <c r="B40" s="118" t="s">
        <v>913</v>
      </c>
      <c r="C40" s="118">
        <v>39</v>
      </c>
      <c r="D40" s="118" t="s">
        <v>913</v>
      </c>
      <c r="E40" s="118">
        <v>45</v>
      </c>
      <c r="F40" s="118" t="s">
        <v>761</v>
      </c>
      <c r="G40" s="118">
        <v>4</v>
      </c>
      <c r="H40" s="118" t="s">
        <v>221</v>
      </c>
      <c r="I40" s="117">
        <v>-5.6538555349999999</v>
      </c>
      <c r="J40" s="117">
        <v>-48.122381490000002</v>
      </c>
      <c r="K40" s="116" t="s">
        <v>980</v>
      </c>
      <c r="L40" s="116" t="s">
        <v>981</v>
      </c>
      <c r="M40" s="116" t="s">
        <v>982</v>
      </c>
      <c r="N40" s="116" t="s">
        <v>982</v>
      </c>
    </row>
    <row r="41" spans="1:14" hidden="1">
      <c r="A41" s="118">
        <v>40</v>
      </c>
      <c r="B41" s="118" t="s">
        <v>912</v>
      </c>
      <c r="C41" s="118">
        <v>58</v>
      </c>
      <c r="D41" s="118" t="s">
        <v>737</v>
      </c>
      <c r="E41" s="118">
        <v>4</v>
      </c>
      <c r="F41" s="118" t="s">
        <v>221</v>
      </c>
      <c r="G41" s="118">
        <v>4</v>
      </c>
      <c r="H41" s="118" t="s">
        <v>221</v>
      </c>
      <c r="I41" s="117" t="s">
        <v>911</v>
      </c>
      <c r="J41" s="117" t="s">
        <v>910</v>
      </c>
      <c r="K41" s="116" t="s">
        <v>980</v>
      </c>
      <c r="L41" s="116" t="s">
        <v>981</v>
      </c>
      <c r="M41" s="116" t="s">
        <v>982</v>
      </c>
      <c r="N41" s="116" t="s">
        <v>982</v>
      </c>
    </row>
    <row r="42" spans="1:14" hidden="1">
      <c r="A42" s="118">
        <v>41</v>
      </c>
      <c r="B42" s="118" t="s">
        <v>909</v>
      </c>
      <c r="C42" s="118">
        <v>37</v>
      </c>
      <c r="D42" s="118" t="s">
        <v>908</v>
      </c>
      <c r="E42" s="118">
        <v>3</v>
      </c>
      <c r="F42" s="118" t="s">
        <v>679</v>
      </c>
      <c r="G42" s="118">
        <v>3</v>
      </c>
      <c r="H42" s="118" t="s">
        <v>679</v>
      </c>
      <c r="I42" s="117" t="s">
        <v>907</v>
      </c>
      <c r="J42" s="117" t="s">
        <v>906</v>
      </c>
      <c r="K42" s="116" t="s">
        <v>983</v>
      </c>
      <c r="L42" s="116" t="s">
        <v>984</v>
      </c>
      <c r="M42" s="116" t="s">
        <v>982</v>
      </c>
      <c r="N42" s="116" t="s">
        <v>982</v>
      </c>
    </row>
    <row r="43" spans="1:14" hidden="1">
      <c r="A43" s="118">
        <v>42</v>
      </c>
      <c r="B43" s="118" t="s">
        <v>905</v>
      </c>
      <c r="C43" s="118">
        <v>3</v>
      </c>
      <c r="D43" s="118" t="s">
        <v>679</v>
      </c>
      <c r="E43" s="118">
        <v>3</v>
      </c>
      <c r="F43" s="118" t="s">
        <v>679</v>
      </c>
      <c r="G43" s="118">
        <v>3</v>
      </c>
      <c r="H43" s="118" t="s">
        <v>679</v>
      </c>
      <c r="I43" s="117" t="s">
        <v>904</v>
      </c>
      <c r="J43" s="117" t="s">
        <v>903</v>
      </c>
      <c r="K43" s="116" t="s">
        <v>983</v>
      </c>
      <c r="L43" s="116" t="s">
        <v>984</v>
      </c>
      <c r="M43" s="116" t="s">
        <v>982</v>
      </c>
      <c r="N43" s="116" t="s">
        <v>982</v>
      </c>
    </row>
    <row r="44" spans="1:14" hidden="1">
      <c r="A44" s="118">
        <v>43</v>
      </c>
      <c r="B44" s="118" t="s">
        <v>902</v>
      </c>
      <c r="C44" s="118">
        <v>43</v>
      </c>
      <c r="D44" s="118" t="s">
        <v>902</v>
      </c>
      <c r="E44" s="118">
        <v>1</v>
      </c>
      <c r="F44" s="118" t="s">
        <v>703</v>
      </c>
      <c r="G44" s="118">
        <v>122</v>
      </c>
      <c r="H44" s="118" t="s">
        <v>680</v>
      </c>
      <c r="I44" s="117">
        <v>-11.15012984</v>
      </c>
      <c r="J44" s="117">
        <v>-48.169751040000001</v>
      </c>
      <c r="K44" s="116" t="s">
        <v>976</v>
      </c>
      <c r="L44" s="116" t="s">
        <v>977</v>
      </c>
      <c r="M44" s="116" t="s">
        <v>978</v>
      </c>
      <c r="N44" s="116" t="s">
        <v>979</v>
      </c>
    </row>
    <row r="45" spans="1:14" hidden="1">
      <c r="A45" s="118">
        <v>44</v>
      </c>
      <c r="B45" s="118" t="s">
        <v>809</v>
      </c>
      <c r="C45" s="118">
        <v>44</v>
      </c>
      <c r="D45" s="118" t="s">
        <v>809</v>
      </c>
      <c r="E45" s="118">
        <v>1</v>
      </c>
      <c r="F45" s="118" t="s">
        <v>703</v>
      </c>
      <c r="G45" s="118">
        <v>122</v>
      </c>
      <c r="H45" s="118" t="s">
        <v>680</v>
      </c>
      <c r="I45" s="117">
        <v>-10.75938667</v>
      </c>
      <c r="J45" s="117">
        <v>-48.901107019999998</v>
      </c>
      <c r="K45" s="116" t="s">
        <v>976</v>
      </c>
      <c r="L45" s="116" t="s">
        <v>977</v>
      </c>
      <c r="M45" s="116" t="s">
        <v>978</v>
      </c>
      <c r="N45" s="116" t="s">
        <v>979</v>
      </c>
    </row>
    <row r="46" spans="1:14" hidden="1">
      <c r="A46" s="118">
        <v>45</v>
      </c>
      <c r="B46" s="118" t="s">
        <v>761</v>
      </c>
      <c r="C46" s="118">
        <v>45</v>
      </c>
      <c r="D46" s="118" t="s">
        <v>761</v>
      </c>
      <c r="E46" s="118">
        <v>45</v>
      </c>
      <c r="F46" s="118" t="s">
        <v>761</v>
      </c>
      <c r="G46" s="118">
        <v>4</v>
      </c>
      <c r="H46" s="118" t="s">
        <v>221</v>
      </c>
      <c r="I46" s="117">
        <v>-5.4696888670000003</v>
      </c>
      <c r="J46" s="117">
        <v>-47.888589000000003</v>
      </c>
      <c r="K46" s="116" t="s">
        <v>980</v>
      </c>
      <c r="L46" s="116" t="s">
        <v>981</v>
      </c>
      <c r="M46" s="116" t="s">
        <v>982</v>
      </c>
      <c r="N46" s="116" t="s">
        <v>982</v>
      </c>
    </row>
    <row r="47" spans="1:14" hidden="1">
      <c r="A47" s="118">
        <v>46</v>
      </c>
      <c r="B47" s="118" t="s">
        <v>888</v>
      </c>
      <c r="C47" s="118">
        <v>46</v>
      </c>
      <c r="D47" s="118" t="s">
        <v>888</v>
      </c>
      <c r="E47" s="118">
        <v>13</v>
      </c>
      <c r="F47" s="118" t="s">
        <v>699</v>
      </c>
      <c r="G47" s="118">
        <v>122</v>
      </c>
      <c r="H47" s="118" t="s">
        <v>680</v>
      </c>
      <c r="I47" s="117">
        <v>-10.56774817</v>
      </c>
      <c r="J47" s="117">
        <v>-48.911336300000002</v>
      </c>
      <c r="K47" s="116" t="s">
        <v>976</v>
      </c>
      <c r="L47" s="116" t="s">
        <v>977</v>
      </c>
      <c r="M47" s="116" t="s">
        <v>978</v>
      </c>
      <c r="N47" s="116" t="s">
        <v>979</v>
      </c>
    </row>
    <row r="48" spans="1:14" hidden="1">
      <c r="A48" s="118">
        <v>47</v>
      </c>
      <c r="B48" s="118" t="s">
        <v>901</v>
      </c>
      <c r="C48" s="118">
        <v>47</v>
      </c>
      <c r="D48" s="118" t="s">
        <v>901</v>
      </c>
      <c r="E48" s="118">
        <v>36</v>
      </c>
      <c r="F48" s="118" t="s">
        <v>814</v>
      </c>
      <c r="G48" s="118">
        <v>3</v>
      </c>
      <c r="H48" s="118" t="s">
        <v>679</v>
      </c>
      <c r="I48" s="117">
        <v>-12.133989440000001</v>
      </c>
      <c r="J48" s="117">
        <v>-49.167326789999997</v>
      </c>
      <c r="K48" s="116" t="s">
        <v>983</v>
      </c>
      <c r="L48" s="116" t="s">
        <v>984</v>
      </c>
      <c r="M48" s="116" t="s">
        <v>982</v>
      </c>
      <c r="N48" s="116" t="s">
        <v>982</v>
      </c>
    </row>
    <row r="49" spans="1:14" hidden="1">
      <c r="A49" s="118">
        <v>48</v>
      </c>
      <c r="B49" s="118" t="s">
        <v>900</v>
      </c>
      <c r="C49" s="118">
        <v>9</v>
      </c>
      <c r="D49" s="118" t="s">
        <v>331</v>
      </c>
      <c r="E49" s="118">
        <v>9</v>
      </c>
      <c r="F49" s="118" t="s">
        <v>331</v>
      </c>
      <c r="G49" s="118">
        <v>4</v>
      </c>
      <c r="H49" s="118" t="s">
        <v>221</v>
      </c>
      <c r="I49" s="117" t="s">
        <v>899</v>
      </c>
      <c r="J49" s="117" t="s">
        <v>898</v>
      </c>
      <c r="K49" s="116" t="s">
        <v>980</v>
      </c>
      <c r="L49" s="116" t="s">
        <v>981</v>
      </c>
      <c r="M49" s="116" t="s">
        <v>982</v>
      </c>
      <c r="N49" s="116" t="s">
        <v>982</v>
      </c>
    </row>
    <row r="50" spans="1:14" hidden="1">
      <c r="A50" s="118">
        <v>49</v>
      </c>
      <c r="B50" s="118" t="s">
        <v>320</v>
      </c>
      <c r="C50" s="118">
        <v>50</v>
      </c>
      <c r="D50" s="118" t="s">
        <v>894</v>
      </c>
      <c r="E50" s="118">
        <v>74</v>
      </c>
      <c r="F50" s="118" t="s">
        <v>321</v>
      </c>
      <c r="G50" s="118">
        <v>3</v>
      </c>
      <c r="H50" s="118" t="s">
        <v>679</v>
      </c>
      <c r="I50" s="117" t="s">
        <v>897</v>
      </c>
      <c r="J50" s="117" t="s">
        <v>896</v>
      </c>
      <c r="K50" s="116" t="s">
        <v>983</v>
      </c>
      <c r="L50" s="116" t="s">
        <v>984</v>
      </c>
      <c r="M50" s="116" t="s">
        <v>982</v>
      </c>
      <c r="N50" s="116" t="s">
        <v>982</v>
      </c>
    </row>
    <row r="51" spans="1:14" hidden="1">
      <c r="A51" s="118">
        <v>50</v>
      </c>
      <c r="B51" s="118" t="s">
        <v>894</v>
      </c>
      <c r="C51" s="118">
        <v>50</v>
      </c>
      <c r="D51" s="118" t="s">
        <v>894</v>
      </c>
      <c r="E51" s="118">
        <v>74</v>
      </c>
      <c r="F51" s="118" t="s">
        <v>321</v>
      </c>
      <c r="G51" s="118">
        <v>3</v>
      </c>
      <c r="H51" s="118" t="s">
        <v>679</v>
      </c>
      <c r="I51" s="117">
        <v>-12.81212946</v>
      </c>
      <c r="J51" s="117">
        <v>-46.549076370000002</v>
      </c>
      <c r="K51" s="116" t="s">
        <v>983</v>
      </c>
      <c r="L51" s="116" t="s">
        <v>984</v>
      </c>
      <c r="M51" s="116" t="s">
        <v>982</v>
      </c>
      <c r="N51" s="116" t="s">
        <v>982</v>
      </c>
    </row>
    <row r="52" spans="1:14" hidden="1">
      <c r="A52" s="118">
        <v>51</v>
      </c>
      <c r="B52" s="118" t="s">
        <v>895</v>
      </c>
      <c r="C52" s="118">
        <v>50</v>
      </c>
      <c r="D52" s="118" t="s">
        <v>894</v>
      </c>
      <c r="E52" s="118">
        <v>74</v>
      </c>
      <c r="F52" s="118" t="s">
        <v>321</v>
      </c>
      <c r="G52" s="118">
        <v>3</v>
      </c>
      <c r="H52" s="118" t="s">
        <v>679</v>
      </c>
      <c r="I52" s="117" t="s">
        <v>893</v>
      </c>
      <c r="J52" s="117" t="s">
        <v>892</v>
      </c>
      <c r="K52" s="116" t="s">
        <v>983</v>
      </c>
      <c r="L52" s="116" t="s">
        <v>984</v>
      </c>
      <c r="M52" s="116" t="s">
        <v>982</v>
      </c>
      <c r="N52" s="116" t="s">
        <v>982</v>
      </c>
    </row>
    <row r="53" spans="1:14" hidden="1">
      <c r="A53" s="118">
        <v>52</v>
      </c>
      <c r="B53" s="118" t="s">
        <v>891</v>
      </c>
      <c r="C53" s="118">
        <v>52</v>
      </c>
      <c r="D53" s="118" t="s">
        <v>891</v>
      </c>
      <c r="E53" s="118">
        <v>36</v>
      </c>
      <c r="F53" s="118" t="s">
        <v>814</v>
      </c>
      <c r="G53" s="118">
        <v>3</v>
      </c>
      <c r="H53" s="118" t="s">
        <v>679</v>
      </c>
      <c r="I53" s="117">
        <v>-11.806749119999999</v>
      </c>
      <c r="J53" s="117">
        <v>-49.526868260000001</v>
      </c>
      <c r="K53" s="116" t="s">
        <v>983</v>
      </c>
      <c r="L53" s="116" t="s">
        <v>984</v>
      </c>
      <c r="M53" s="116" t="s">
        <v>982</v>
      </c>
      <c r="N53" s="116" t="s">
        <v>982</v>
      </c>
    </row>
    <row r="54" spans="1:14" hidden="1">
      <c r="A54" s="118">
        <v>53</v>
      </c>
      <c r="B54" s="118" t="s">
        <v>890</v>
      </c>
      <c r="C54" s="118">
        <v>53</v>
      </c>
      <c r="D54" s="118" t="s">
        <v>890</v>
      </c>
      <c r="E54" s="118">
        <v>2</v>
      </c>
      <c r="F54" s="118" t="s">
        <v>733</v>
      </c>
      <c r="G54" s="118">
        <v>4</v>
      </c>
      <c r="H54" s="118" t="s">
        <v>221</v>
      </c>
      <c r="I54" s="117">
        <v>-6.7669124209999998</v>
      </c>
      <c r="J54" s="117">
        <v>-48.295060110000001</v>
      </c>
      <c r="K54" s="116" t="s">
        <v>980</v>
      </c>
      <c r="L54" s="116" t="s">
        <v>981</v>
      </c>
      <c r="M54" s="116" t="s">
        <v>982</v>
      </c>
      <c r="N54" s="116" t="s">
        <v>982</v>
      </c>
    </row>
    <row r="55" spans="1:14" hidden="1">
      <c r="A55" s="118">
        <v>54</v>
      </c>
      <c r="B55" s="118" t="s">
        <v>889</v>
      </c>
      <c r="C55" s="118">
        <v>46</v>
      </c>
      <c r="D55" s="118" t="s">
        <v>888</v>
      </c>
      <c r="E55" s="118">
        <v>13</v>
      </c>
      <c r="F55" s="118" t="s">
        <v>699</v>
      </c>
      <c r="G55" s="118">
        <v>122</v>
      </c>
      <c r="H55" s="118" t="s">
        <v>680</v>
      </c>
      <c r="I55" s="117" t="s">
        <v>887</v>
      </c>
      <c r="J55" s="117" t="s">
        <v>886</v>
      </c>
      <c r="K55" s="116" t="s">
        <v>976</v>
      </c>
      <c r="L55" s="116" t="s">
        <v>977</v>
      </c>
      <c r="M55" s="116" t="s">
        <v>978</v>
      </c>
      <c r="N55" s="116" t="s">
        <v>979</v>
      </c>
    </row>
    <row r="56" spans="1:14" hidden="1">
      <c r="A56" s="118">
        <v>55</v>
      </c>
      <c r="B56" s="118" t="s">
        <v>885</v>
      </c>
      <c r="C56" s="118">
        <v>55</v>
      </c>
      <c r="D56" s="118" t="s">
        <v>885</v>
      </c>
      <c r="E56" s="118">
        <v>84</v>
      </c>
      <c r="F56" s="118" t="s">
        <v>712</v>
      </c>
      <c r="G56" s="118">
        <v>122</v>
      </c>
      <c r="H56" s="118" t="s">
        <v>680</v>
      </c>
      <c r="I56" s="117">
        <v>-8.8192350019999992</v>
      </c>
      <c r="J56" s="117">
        <v>-49.560050009999998</v>
      </c>
      <c r="K56" s="116" t="s">
        <v>976</v>
      </c>
      <c r="L56" s="116" t="s">
        <v>977</v>
      </c>
      <c r="M56" s="116" t="s">
        <v>978</v>
      </c>
      <c r="N56" s="116" t="s">
        <v>979</v>
      </c>
    </row>
    <row r="57" spans="1:14" hidden="1">
      <c r="A57" s="118">
        <v>56</v>
      </c>
      <c r="B57" s="118" t="s">
        <v>884</v>
      </c>
      <c r="C57" s="118">
        <v>4</v>
      </c>
      <c r="D57" s="118" t="s">
        <v>221</v>
      </c>
      <c r="E57" s="118">
        <v>4</v>
      </c>
      <c r="F57" s="118" t="s">
        <v>221</v>
      </c>
      <c r="G57" s="118">
        <v>4</v>
      </c>
      <c r="H57" s="118" t="s">
        <v>221</v>
      </c>
      <c r="I57" s="117" t="s">
        <v>883</v>
      </c>
      <c r="J57" s="117" t="s">
        <v>882</v>
      </c>
      <c r="K57" s="116" t="s">
        <v>980</v>
      </c>
      <c r="L57" s="116" t="s">
        <v>981</v>
      </c>
      <c r="M57" s="116" t="s">
        <v>982</v>
      </c>
      <c r="N57" s="116" t="s">
        <v>982</v>
      </c>
    </row>
    <row r="58" spans="1:14" hidden="1">
      <c r="A58" s="118">
        <v>58</v>
      </c>
      <c r="B58" s="118" t="s">
        <v>737</v>
      </c>
      <c r="C58" s="118">
        <v>58</v>
      </c>
      <c r="D58" s="118" t="s">
        <v>737</v>
      </c>
      <c r="E58" s="118">
        <v>4</v>
      </c>
      <c r="F58" s="118" t="s">
        <v>221</v>
      </c>
      <c r="G58" s="118">
        <v>4</v>
      </c>
      <c r="H58" s="118" t="s">
        <v>221</v>
      </c>
      <c r="I58" s="117">
        <v>-7.1537621749999998</v>
      </c>
      <c r="J58" s="117">
        <v>-48.69452296</v>
      </c>
      <c r="K58" s="116" t="s">
        <v>980</v>
      </c>
      <c r="L58" s="116" t="s">
        <v>981</v>
      </c>
      <c r="M58" s="116" t="s">
        <v>982</v>
      </c>
      <c r="N58" s="116" t="s">
        <v>982</v>
      </c>
    </row>
    <row r="59" spans="1:14" hidden="1">
      <c r="A59" s="118">
        <v>59</v>
      </c>
      <c r="B59" s="118" t="s">
        <v>707</v>
      </c>
      <c r="C59" s="118">
        <v>59</v>
      </c>
      <c r="D59" s="118" t="s">
        <v>707</v>
      </c>
      <c r="E59" s="118">
        <v>59</v>
      </c>
      <c r="F59" s="118" t="s">
        <v>707</v>
      </c>
      <c r="G59" s="118">
        <v>122</v>
      </c>
      <c r="H59" s="118" t="s">
        <v>680</v>
      </c>
      <c r="I59" s="117" t="s">
        <v>881</v>
      </c>
      <c r="J59" s="117" t="s">
        <v>880</v>
      </c>
      <c r="K59" s="116" t="s">
        <v>976</v>
      </c>
      <c r="L59" s="116" t="s">
        <v>977</v>
      </c>
      <c r="M59" s="116" t="s">
        <v>978</v>
      </c>
      <c r="N59" s="116" t="s">
        <v>979</v>
      </c>
    </row>
    <row r="60" spans="1:14" hidden="1">
      <c r="A60" s="118">
        <v>60</v>
      </c>
      <c r="B60" s="118" t="s">
        <v>878</v>
      </c>
      <c r="C60" s="118">
        <v>60</v>
      </c>
      <c r="D60" s="118" t="s">
        <v>878</v>
      </c>
      <c r="E60" s="118">
        <v>23</v>
      </c>
      <c r="F60" s="118" t="s">
        <v>326</v>
      </c>
      <c r="G60" s="118">
        <v>4</v>
      </c>
      <c r="H60" s="118" t="s">
        <v>221</v>
      </c>
      <c r="I60" s="117">
        <v>-7.6324565929999997</v>
      </c>
      <c r="J60" s="117">
        <v>-48.420744540000001</v>
      </c>
      <c r="K60" s="116" t="s">
        <v>980</v>
      </c>
      <c r="L60" s="116" t="s">
        <v>981</v>
      </c>
      <c r="M60" s="116" t="s">
        <v>982</v>
      </c>
      <c r="N60" s="116" t="s">
        <v>982</v>
      </c>
    </row>
    <row r="61" spans="1:14" hidden="1">
      <c r="A61" s="118">
        <v>63</v>
      </c>
      <c r="B61" s="118" t="s">
        <v>879</v>
      </c>
      <c r="C61" s="118">
        <v>60</v>
      </c>
      <c r="D61" s="118" t="s">
        <v>878</v>
      </c>
      <c r="E61" s="118">
        <v>23</v>
      </c>
      <c r="F61" s="118" t="s">
        <v>326</v>
      </c>
      <c r="G61" s="118">
        <v>4</v>
      </c>
      <c r="H61" s="118" t="s">
        <v>221</v>
      </c>
      <c r="I61" s="117" t="s">
        <v>877</v>
      </c>
      <c r="J61" s="117" t="s">
        <v>876</v>
      </c>
      <c r="K61" s="116" t="s">
        <v>980</v>
      </c>
      <c r="L61" s="116" t="s">
        <v>981</v>
      </c>
      <c r="M61" s="116" t="s">
        <v>982</v>
      </c>
      <c r="N61" s="116" t="s">
        <v>982</v>
      </c>
    </row>
    <row r="62" spans="1:14" hidden="1">
      <c r="A62" s="118">
        <v>64</v>
      </c>
      <c r="B62" s="118" t="s">
        <v>875</v>
      </c>
      <c r="C62" s="118">
        <v>34</v>
      </c>
      <c r="D62" s="118" t="s">
        <v>874</v>
      </c>
      <c r="E62" s="118">
        <v>9</v>
      </c>
      <c r="F62" s="118" t="s">
        <v>331</v>
      </c>
      <c r="G62" s="118">
        <v>4</v>
      </c>
      <c r="H62" s="118" t="s">
        <v>221</v>
      </c>
      <c r="I62" s="117" t="s">
        <v>873</v>
      </c>
      <c r="J62" s="117" t="s">
        <v>872</v>
      </c>
      <c r="K62" s="116" t="s">
        <v>980</v>
      </c>
      <c r="L62" s="116" t="s">
        <v>981</v>
      </c>
      <c r="M62" s="116" t="s">
        <v>982</v>
      </c>
      <c r="N62" s="116" t="s">
        <v>982</v>
      </c>
    </row>
    <row r="63" spans="1:14" hidden="1">
      <c r="A63" s="118">
        <v>65</v>
      </c>
      <c r="B63" s="118" t="s">
        <v>871</v>
      </c>
      <c r="C63" s="118">
        <v>65</v>
      </c>
      <c r="D63" s="118" t="s">
        <v>871</v>
      </c>
      <c r="E63" s="118">
        <v>45</v>
      </c>
      <c r="F63" s="118" t="s">
        <v>761</v>
      </c>
      <c r="G63" s="118">
        <v>4</v>
      </c>
      <c r="H63" s="118" t="s">
        <v>221</v>
      </c>
      <c r="I63" s="117">
        <v>-5.6165465530000001</v>
      </c>
      <c r="J63" s="117">
        <v>-47.772836529999999</v>
      </c>
      <c r="K63" s="116" t="s">
        <v>980</v>
      </c>
      <c r="L63" s="116" t="s">
        <v>981</v>
      </c>
      <c r="M63" s="116" t="s">
        <v>982</v>
      </c>
      <c r="N63" s="116" t="s">
        <v>982</v>
      </c>
    </row>
    <row r="64" spans="1:14" hidden="1">
      <c r="A64" s="118">
        <v>66</v>
      </c>
      <c r="B64" s="118" t="s">
        <v>870</v>
      </c>
      <c r="C64" s="118">
        <v>79</v>
      </c>
      <c r="D64" s="118" t="s">
        <v>855</v>
      </c>
      <c r="E64" s="118">
        <v>9</v>
      </c>
      <c r="F64" s="118" t="s">
        <v>331</v>
      </c>
      <c r="G64" s="118">
        <v>4</v>
      </c>
      <c r="H64" s="118" t="s">
        <v>221</v>
      </c>
      <c r="I64" s="117" t="s">
        <v>869</v>
      </c>
      <c r="J64" s="117" t="s">
        <v>868</v>
      </c>
      <c r="K64" s="116" t="s">
        <v>980</v>
      </c>
      <c r="L64" s="116" t="s">
        <v>981</v>
      </c>
      <c r="M64" s="116" t="s">
        <v>982</v>
      </c>
      <c r="N64" s="116" t="s">
        <v>982</v>
      </c>
    </row>
    <row r="65" spans="1:14" hidden="1">
      <c r="A65" s="118">
        <v>68</v>
      </c>
      <c r="B65" s="118" t="s">
        <v>866</v>
      </c>
      <c r="C65" s="118">
        <v>68</v>
      </c>
      <c r="D65" s="118" t="s">
        <v>866</v>
      </c>
      <c r="E65" s="118">
        <v>45</v>
      </c>
      <c r="F65" s="118" t="s">
        <v>761</v>
      </c>
      <c r="G65" s="118">
        <v>4</v>
      </c>
      <c r="H65" s="118" t="s">
        <v>221</v>
      </c>
      <c r="I65" s="117">
        <v>-5.3147264649999997</v>
      </c>
      <c r="J65" s="117">
        <v>-48.228375759999999</v>
      </c>
      <c r="K65" s="116" t="s">
        <v>980</v>
      </c>
      <c r="L65" s="116" t="s">
        <v>981</v>
      </c>
      <c r="M65" s="116" t="s">
        <v>982</v>
      </c>
      <c r="N65" s="116" t="s">
        <v>982</v>
      </c>
    </row>
    <row r="66" spans="1:14" hidden="1">
      <c r="A66" s="118">
        <v>69</v>
      </c>
      <c r="B66" s="118" t="s">
        <v>867</v>
      </c>
      <c r="C66" s="118">
        <v>68</v>
      </c>
      <c r="D66" s="118" t="s">
        <v>866</v>
      </c>
      <c r="E66" s="118">
        <v>45</v>
      </c>
      <c r="F66" s="118" t="s">
        <v>761</v>
      </c>
      <c r="G66" s="118">
        <v>4</v>
      </c>
      <c r="H66" s="118" t="s">
        <v>221</v>
      </c>
      <c r="I66" s="117" t="s">
        <v>865</v>
      </c>
      <c r="J66" s="117" t="s">
        <v>864</v>
      </c>
      <c r="K66" s="116" t="s">
        <v>980</v>
      </c>
      <c r="L66" s="116" t="s">
        <v>981</v>
      </c>
      <c r="M66" s="116" t="s">
        <v>982</v>
      </c>
      <c r="N66" s="116" t="s">
        <v>982</v>
      </c>
    </row>
    <row r="67" spans="1:14" hidden="1">
      <c r="A67" s="118">
        <v>70</v>
      </c>
      <c r="B67" s="118" t="s">
        <v>863</v>
      </c>
      <c r="C67" s="118">
        <v>70</v>
      </c>
      <c r="D67" s="118" t="s">
        <v>863</v>
      </c>
      <c r="E67" s="118">
        <v>122</v>
      </c>
      <c r="F67" s="119" t="s">
        <v>707</v>
      </c>
      <c r="G67" s="118">
        <v>122</v>
      </c>
      <c r="H67" s="118" t="s">
        <v>680</v>
      </c>
      <c r="I67" s="117">
        <v>-9.3455986679999992</v>
      </c>
      <c r="J67" s="117">
        <v>-47.899759279999998</v>
      </c>
      <c r="K67" s="116" t="s">
        <v>976</v>
      </c>
      <c r="L67" s="116" t="s">
        <v>977</v>
      </c>
      <c r="M67" s="116" t="s">
        <v>978</v>
      </c>
      <c r="N67" s="116" t="s">
        <v>979</v>
      </c>
    </row>
    <row r="68" spans="1:14" hidden="1">
      <c r="A68" s="118">
        <v>71</v>
      </c>
      <c r="B68" s="118" t="s">
        <v>862</v>
      </c>
      <c r="C68" s="118">
        <v>71</v>
      </c>
      <c r="D68" s="118" t="s">
        <v>862</v>
      </c>
      <c r="E68" s="118">
        <v>1</v>
      </c>
      <c r="F68" s="118" t="s">
        <v>703</v>
      </c>
      <c r="G68" s="118">
        <v>122</v>
      </c>
      <c r="H68" s="118" t="s">
        <v>680</v>
      </c>
      <c r="I68" s="117">
        <v>-11.018758849999999</v>
      </c>
      <c r="J68" s="117">
        <v>-48.564740579999999</v>
      </c>
      <c r="K68" s="116" t="s">
        <v>976</v>
      </c>
      <c r="L68" s="116" t="s">
        <v>977</v>
      </c>
      <c r="M68" s="116" t="s">
        <v>978</v>
      </c>
      <c r="N68" s="116" t="s">
        <v>979</v>
      </c>
    </row>
    <row r="69" spans="1:14" hidden="1">
      <c r="A69" s="118">
        <v>72</v>
      </c>
      <c r="B69" s="118" t="s">
        <v>753</v>
      </c>
      <c r="C69" s="118">
        <v>72</v>
      </c>
      <c r="D69" s="118" t="s">
        <v>753</v>
      </c>
      <c r="E69" s="118">
        <v>74</v>
      </c>
      <c r="F69" s="118" t="s">
        <v>321</v>
      </c>
      <c r="G69" s="118">
        <v>3</v>
      </c>
      <c r="H69" s="118" t="s">
        <v>679</v>
      </c>
      <c r="I69" s="117">
        <v>-12.224459169999999</v>
      </c>
      <c r="J69" s="117">
        <v>-47.293662449999999</v>
      </c>
      <c r="K69" s="116" t="s">
        <v>983</v>
      </c>
      <c r="L69" s="116" t="s">
        <v>984</v>
      </c>
      <c r="M69" s="116" t="s">
        <v>982</v>
      </c>
      <c r="N69" s="116" t="s">
        <v>982</v>
      </c>
    </row>
    <row r="70" spans="1:14" hidden="1">
      <c r="A70" s="118">
        <v>73</v>
      </c>
      <c r="B70" s="118" t="s">
        <v>861</v>
      </c>
      <c r="C70" s="118">
        <v>73</v>
      </c>
      <c r="D70" s="118" t="s">
        <v>861</v>
      </c>
      <c r="E70" s="118">
        <v>13</v>
      </c>
      <c r="F70" s="118" t="s">
        <v>699</v>
      </c>
      <c r="G70" s="118">
        <v>122</v>
      </c>
      <c r="H70" s="118" t="s">
        <v>680</v>
      </c>
      <c r="I70" s="117">
        <v>-10.784217180000001</v>
      </c>
      <c r="J70" s="117">
        <v>-49.61681119</v>
      </c>
      <c r="K70" s="116" t="s">
        <v>976</v>
      </c>
      <c r="L70" s="116" t="s">
        <v>977</v>
      </c>
      <c r="M70" s="116" t="s">
        <v>978</v>
      </c>
      <c r="N70" s="116" t="s">
        <v>979</v>
      </c>
    </row>
    <row r="71" spans="1:14" hidden="1">
      <c r="A71" s="118">
        <v>74</v>
      </c>
      <c r="B71" s="118" t="s">
        <v>321</v>
      </c>
      <c r="C71" s="118">
        <v>74</v>
      </c>
      <c r="D71" s="118" t="s">
        <v>321</v>
      </c>
      <c r="E71" s="118">
        <v>74</v>
      </c>
      <c r="F71" s="118" t="s">
        <v>321</v>
      </c>
      <c r="G71" s="118">
        <v>3</v>
      </c>
      <c r="H71" s="118" t="s">
        <v>679</v>
      </c>
      <c r="I71" s="117">
        <v>-11.62589075</v>
      </c>
      <c r="J71" s="117">
        <v>-46.813033990000001</v>
      </c>
      <c r="K71" s="116" t="s">
        <v>983</v>
      </c>
      <c r="L71" s="116" t="s">
        <v>984</v>
      </c>
      <c r="M71" s="116" t="s">
        <v>982</v>
      </c>
      <c r="N71" s="116" t="s">
        <v>982</v>
      </c>
    </row>
    <row r="72" spans="1:14" hidden="1">
      <c r="A72" s="118">
        <v>75</v>
      </c>
      <c r="B72" s="118" t="s">
        <v>860</v>
      </c>
      <c r="C72" s="118">
        <v>75</v>
      </c>
      <c r="D72" s="118" t="s">
        <v>859</v>
      </c>
      <c r="E72" s="118">
        <v>84</v>
      </c>
      <c r="F72" s="118" t="s">
        <v>712</v>
      </c>
      <c r="G72" s="118">
        <v>122</v>
      </c>
      <c r="H72" s="118" t="s">
        <v>680</v>
      </c>
      <c r="I72" s="117" t="s">
        <v>858</v>
      </c>
      <c r="J72" s="117" t="s">
        <v>857</v>
      </c>
      <c r="K72" s="116" t="s">
        <v>976</v>
      </c>
      <c r="L72" s="116" t="s">
        <v>977</v>
      </c>
      <c r="M72" s="116" t="s">
        <v>978</v>
      </c>
      <c r="N72" s="116" t="s">
        <v>979</v>
      </c>
    </row>
    <row r="73" spans="1:14" hidden="1">
      <c r="A73" s="118">
        <v>76</v>
      </c>
      <c r="B73" s="118" t="s">
        <v>856</v>
      </c>
      <c r="C73" s="118">
        <v>76</v>
      </c>
      <c r="D73" s="118" t="s">
        <v>856</v>
      </c>
      <c r="E73" s="118">
        <v>3</v>
      </c>
      <c r="F73" s="118" t="s">
        <v>679</v>
      </c>
      <c r="G73" s="118">
        <v>3</v>
      </c>
      <c r="H73" s="118" t="s">
        <v>679</v>
      </c>
      <c r="I73" s="117">
        <v>-11.3423962</v>
      </c>
      <c r="J73" s="117">
        <v>-49.267890379999997</v>
      </c>
      <c r="K73" s="116" t="s">
        <v>983</v>
      </c>
      <c r="L73" s="116" t="s">
        <v>984</v>
      </c>
      <c r="M73" s="116" t="s">
        <v>982</v>
      </c>
      <c r="N73" s="116" t="s">
        <v>982</v>
      </c>
    </row>
    <row r="74" spans="1:14" hidden="1">
      <c r="A74" s="118">
        <v>77</v>
      </c>
      <c r="B74" s="118" t="s">
        <v>689</v>
      </c>
      <c r="C74" s="118">
        <v>77</v>
      </c>
      <c r="D74" s="118" t="s">
        <v>689</v>
      </c>
      <c r="E74" s="118">
        <v>23</v>
      </c>
      <c r="F74" s="118" t="s">
        <v>326</v>
      </c>
      <c r="G74" s="118">
        <v>4</v>
      </c>
      <c r="H74" s="118" t="s">
        <v>221</v>
      </c>
      <c r="I74" s="117">
        <v>-7.7124934390000002</v>
      </c>
      <c r="J74" s="117">
        <v>-47.316710829999998</v>
      </c>
      <c r="K74" s="116" t="s">
        <v>980</v>
      </c>
      <c r="L74" s="116" t="s">
        <v>981</v>
      </c>
      <c r="M74" s="116" t="s">
        <v>982</v>
      </c>
      <c r="N74" s="116" t="s">
        <v>982</v>
      </c>
    </row>
    <row r="75" spans="1:14" hidden="1">
      <c r="A75" s="118">
        <v>78</v>
      </c>
      <c r="B75" s="118" t="s">
        <v>757</v>
      </c>
      <c r="C75" s="118">
        <v>78</v>
      </c>
      <c r="D75" s="118" t="s">
        <v>757</v>
      </c>
      <c r="E75" s="118">
        <v>9</v>
      </c>
      <c r="F75" s="118" t="s">
        <v>331</v>
      </c>
      <c r="G75" s="118">
        <v>4</v>
      </c>
      <c r="H75" s="118" t="s">
        <v>221</v>
      </c>
      <c r="I75" s="117">
        <v>-8.3897629130000002</v>
      </c>
      <c r="J75" s="117">
        <v>-47.768740229999999</v>
      </c>
      <c r="K75" s="116" t="s">
        <v>980</v>
      </c>
      <c r="L75" s="116" t="s">
        <v>981</v>
      </c>
      <c r="M75" s="116" t="s">
        <v>982</v>
      </c>
      <c r="N75" s="116" t="s">
        <v>982</v>
      </c>
    </row>
    <row r="76" spans="1:14" hidden="1">
      <c r="A76" s="118">
        <v>79</v>
      </c>
      <c r="B76" s="118" t="s">
        <v>855</v>
      </c>
      <c r="C76" s="118">
        <v>79</v>
      </c>
      <c r="D76" s="118" t="s">
        <v>855</v>
      </c>
      <c r="E76" s="118">
        <v>9</v>
      </c>
      <c r="F76" s="118" t="s">
        <v>331</v>
      </c>
      <c r="G76" s="118">
        <v>4</v>
      </c>
      <c r="H76" s="118" t="s">
        <v>221</v>
      </c>
      <c r="I76" s="117">
        <v>-8.3846024440000004</v>
      </c>
      <c r="J76" s="117">
        <v>-48.106646310000002</v>
      </c>
      <c r="K76" s="116" t="s">
        <v>980</v>
      </c>
      <c r="L76" s="116" t="s">
        <v>981</v>
      </c>
      <c r="M76" s="116" t="s">
        <v>982</v>
      </c>
      <c r="N76" s="116" t="s">
        <v>982</v>
      </c>
    </row>
    <row r="77" spans="1:14" hidden="1">
      <c r="A77" s="118">
        <v>80</v>
      </c>
      <c r="B77" s="118" t="s">
        <v>854</v>
      </c>
      <c r="C77" s="118">
        <v>80</v>
      </c>
      <c r="D77" s="118" t="s">
        <v>854</v>
      </c>
      <c r="E77" s="118">
        <v>2</v>
      </c>
      <c r="F77" s="118" t="s">
        <v>733</v>
      </c>
      <c r="G77" s="118">
        <v>4</v>
      </c>
      <c r="H77" s="118" t="s">
        <v>221</v>
      </c>
      <c r="I77" s="117">
        <v>-6.708222997</v>
      </c>
      <c r="J77" s="117">
        <v>-47.751929509999997</v>
      </c>
      <c r="K77" s="116" t="s">
        <v>980</v>
      </c>
      <c r="L77" s="116" t="s">
        <v>981</v>
      </c>
      <c r="M77" s="116" t="s">
        <v>982</v>
      </c>
      <c r="N77" s="116" t="s">
        <v>982</v>
      </c>
    </row>
    <row r="78" spans="1:14" hidden="1">
      <c r="A78" s="118">
        <v>81</v>
      </c>
      <c r="B78" s="118" t="s">
        <v>762</v>
      </c>
      <c r="C78" s="118">
        <v>81</v>
      </c>
      <c r="D78" s="118" t="s">
        <v>762</v>
      </c>
      <c r="E78" s="118">
        <v>45</v>
      </c>
      <c r="F78" s="118" t="s">
        <v>761</v>
      </c>
      <c r="G78" s="118">
        <v>4</v>
      </c>
      <c r="H78" s="118" t="s">
        <v>221</v>
      </c>
      <c r="I78" s="117">
        <v>-5.772062483</v>
      </c>
      <c r="J78" s="117">
        <v>-47.480716149999999</v>
      </c>
      <c r="K78" s="116" t="s">
        <v>980</v>
      </c>
      <c r="L78" s="116" t="s">
        <v>981</v>
      </c>
      <c r="M78" s="116" t="s">
        <v>982</v>
      </c>
      <c r="N78" s="116" t="s">
        <v>982</v>
      </c>
    </row>
    <row r="79" spans="1:14" hidden="1">
      <c r="A79" s="118">
        <v>82</v>
      </c>
      <c r="B79" s="118" t="s">
        <v>853</v>
      </c>
      <c r="C79" s="118">
        <v>82</v>
      </c>
      <c r="D79" s="118" t="s">
        <v>853</v>
      </c>
      <c r="E79" s="118">
        <v>59</v>
      </c>
      <c r="F79" s="118" t="s">
        <v>707</v>
      </c>
      <c r="G79" s="118">
        <v>122</v>
      </c>
      <c r="H79" s="118" t="s">
        <v>680</v>
      </c>
      <c r="I79" s="117">
        <v>-9.5968679720000001</v>
      </c>
      <c r="J79" s="117">
        <v>-46.675072100000001</v>
      </c>
      <c r="K79" s="116" t="s">
        <v>976</v>
      </c>
      <c r="L79" s="116" t="s">
        <v>977</v>
      </c>
      <c r="M79" s="116" t="s">
        <v>978</v>
      </c>
      <c r="N79" s="116" t="s">
        <v>979</v>
      </c>
    </row>
    <row r="80" spans="1:14" hidden="1">
      <c r="A80" s="118">
        <v>83</v>
      </c>
      <c r="B80" s="118" t="s">
        <v>837</v>
      </c>
      <c r="C80" s="118">
        <v>83</v>
      </c>
      <c r="D80" s="118" t="s">
        <v>837</v>
      </c>
      <c r="E80" s="118">
        <v>59</v>
      </c>
      <c r="F80" s="118" t="s">
        <v>707</v>
      </c>
      <c r="G80" s="118">
        <v>122</v>
      </c>
      <c r="H80" s="118" t="s">
        <v>680</v>
      </c>
      <c r="I80" s="117">
        <v>-9.9485723190000002</v>
      </c>
      <c r="J80" s="117">
        <v>-47.974175700000004</v>
      </c>
      <c r="K80" s="116" t="s">
        <v>976</v>
      </c>
      <c r="L80" s="116" t="s">
        <v>977</v>
      </c>
      <c r="M80" s="116" t="s">
        <v>978</v>
      </c>
      <c r="N80" s="116" t="s">
        <v>979</v>
      </c>
    </row>
    <row r="81" spans="1:14" hidden="1">
      <c r="A81" s="118">
        <v>84</v>
      </c>
      <c r="B81" s="118" t="s">
        <v>712</v>
      </c>
      <c r="C81" s="118">
        <v>84</v>
      </c>
      <c r="D81" s="118" t="s">
        <v>712</v>
      </c>
      <c r="E81" s="118">
        <v>84</v>
      </c>
      <c r="F81" s="118" t="s">
        <v>712</v>
      </c>
      <c r="G81" s="118">
        <v>122</v>
      </c>
      <c r="H81" s="118" t="s">
        <v>680</v>
      </c>
      <c r="I81" s="117">
        <v>-9.7987775500000005</v>
      </c>
      <c r="J81" s="117">
        <v>-49.209211170000003</v>
      </c>
      <c r="K81" s="116" t="s">
        <v>976</v>
      </c>
      <c r="L81" s="116" t="s">
        <v>977</v>
      </c>
      <c r="M81" s="116" t="s">
        <v>978</v>
      </c>
      <c r="N81" s="116" t="s">
        <v>979</v>
      </c>
    </row>
    <row r="82" spans="1:14" hidden="1">
      <c r="A82" s="118">
        <v>85</v>
      </c>
      <c r="B82" s="118" t="s">
        <v>852</v>
      </c>
      <c r="C82" s="118">
        <v>13</v>
      </c>
      <c r="D82" s="118" t="s">
        <v>699</v>
      </c>
      <c r="E82" s="118">
        <v>13</v>
      </c>
      <c r="F82" s="118" t="s">
        <v>699</v>
      </c>
      <c r="G82" s="118">
        <v>122</v>
      </c>
      <c r="H82" s="118" t="s">
        <v>680</v>
      </c>
      <c r="I82" s="117" t="s">
        <v>851</v>
      </c>
      <c r="J82" s="117" t="s">
        <v>850</v>
      </c>
      <c r="K82" s="116" t="s">
        <v>976</v>
      </c>
      <c r="L82" s="116" t="s">
        <v>977</v>
      </c>
      <c r="M82" s="116" t="s">
        <v>978</v>
      </c>
      <c r="N82" s="116" t="s">
        <v>979</v>
      </c>
    </row>
    <row r="83" spans="1:14" hidden="1">
      <c r="A83" s="118">
        <v>86</v>
      </c>
      <c r="B83" s="118" t="s">
        <v>849</v>
      </c>
      <c r="C83" s="118">
        <v>86</v>
      </c>
      <c r="D83" s="118" t="s">
        <v>849</v>
      </c>
      <c r="E83" s="118">
        <v>84</v>
      </c>
      <c r="F83" s="118" t="s">
        <v>712</v>
      </c>
      <c r="G83" s="118">
        <v>122</v>
      </c>
      <c r="H83" s="118" t="s">
        <v>680</v>
      </c>
      <c r="I83" s="117">
        <v>-9.7935932290000007</v>
      </c>
      <c r="J83" s="117">
        <v>-49.656927369999998</v>
      </c>
      <c r="K83" s="116" t="s">
        <v>976</v>
      </c>
      <c r="L83" s="116" t="s">
        <v>977</v>
      </c>
      <c r="M83" s="116" t="s">
        <v>978</v>
      </c>
      <c r="N83" s="116" t="s">
        <v>979</v>
      </c>
    </row>
    <row r="84" spans="1:14" hidden="1">
      <c r="A84" s="118">
        <v>87</v>
      </c>
      <c r="B84" s="118" t="s">
        <v>848</v>
      </c>
      <c r="C84" s="118">
        <v>87</v>
      </c>
      <c r="D84" s="118" t="s">
        <v>848</v>
      </c>
      <c r="E84" s="118">
        <v>9</v>
      </c>
      <c r="F84" s="118" t="s">
        <v>331</v>
      </c>
      <c r="G84" s="118">
        <v>4</v>
      </c>
      <c r="H84" s="118" t="s">
        <v>221</v>
      </c>
      <c r="I84" s="117">
        <v>-8.7741005570000006</v>
      </c>
      <c r="J84" s="117">
        <v>-48.934304599999997</v>
      </c>
      <c r="K84" s="116" t="s">
        <v>980</v>
      </c>
      <c r="L84" s="116" t="s">
        <v>981</v>
      </c>
      <c r="M84" s="116" t="s">
        <v>982</v>
      </c>
      <c r="N84" s="116" t="s">
        <v>982</v>
      </c>
    </row>
    <row r="85" spans="1:14" hidden="1">
      <c r="A85" s="118">
        <v>88</v>
      </c>
      <c r="B85" s="118" t="s">
        <v>847</v>
      </c>
      <c r="C85" s="118">
        <v>88</v>
      </c>
      <c r="D85" s="118" t="s">
        <v>780</v>
      </c>
      <c r="E85" s="118">
        <v>45</v>
      </c>
      <c r="F85" s="118" t="s">
        <v>761</v>
      </c>
      <c r="G85" s="118">
        <v>4</v>
      </c>
      <c r="H85" s="118" t="s">
        <v>221</v>
      </c>
      <c r="I85" s="117" t="s">
        <v>846</v>
      </c>
      <c r="J85" s="117" t="s">
        <v>845</v>
      </c>
      <c r="K85" s="116" t="s">
        <v>980</v>
      </c>
      <c r="L85" s="116" t="s">
        <v>981</v>
      </c>
      <c r="M85" s="116" t="s">
        <v>982</v>
      </c>
      <c r="N85" s="116" t="s">
        <v>982</v>
      </c>
    </row>
    <row r="86" spans="1:14" hidden="1">
      <c r="A86" s="118">
        <v>89</v>
      </c>
      <c r="B86" s="118" t="s">
        <v>844</v>
      </c>
      <c r="C86" s="118">
        <v>3</v>
      </c>
      <c r="D86" s="118" t="s">
        <v>679</v>
      </c>
      <c r="E86" s="118">
        <v>3</v>
      </c>
      <c r="F86" s="118" t="s">
        <v>679</v>
      </c>
      <c r="G86" s="118">
        <v>3</v>
      </c>
      <c r="H86" s="118" t="s">
        <v>679</v>
      </c>
      <c r="I86" s="117" t="s">
        <v>843</v>
      </c>
      <c r="J86" s="117" t="s">
        <v>842</v>
      </c>
      <c r="K86" s="116" t="s">
        <v>983</v>
      </c>
      <c r="L86" s="116" t="s">
        <v>984</v>
      </c>
      <c r="M86" s="116" t="s">
        <v>982</v>
      </c>
      <c r="N86" s="116" t="s">
        <v>982</v>
      </c>
    </row>
    <row r="87" spans="1:14" hidden="1">
      <c r="A87" s="118">
        <v>90</v>
      </c>
      <c r="B87" s="118" t="s">
        <v>841</v>
      </c>
      <c r="C87" s="118">
        <v>2</v>
      </c>
      <c r="D87" s="118" t="s">
        <v>733</v>
      </c>
      <c r="E87" s="118">
        <v>2</v>
      </c>
      <c r="F87" s="118" t="s">
        <v>733</v>
      </c>
      <c r="G87" s="118">
        <v>4</v>
      </c>
      <c r="H87" s="118" t="s">
        <v>221</v>
      </c>
      <c r="I87" s="117" t="s">
        <v>840</v>
      </c>
      <c r="J87" s="117" t="s">
        <v>839</v>
      </c>
      <c r="K87" s="116" t="s">
        <v>980</v>
      </c>
      <c r="L87" s="116" t="s">
        <v>981</v>
      </c>
      <c r="M87" s="116" t="s">
        <v>982</v>
      </c>
      <c r="N87" s="116" t="s">
        <v>982</v>
      </c>
    </row>
    <row r="88" spans="1:14" hidden="1">
      <c r="A88" s="118">
        <v>91</v>
      </c>
      <c r="B88" s="118" t="s">
        <v>825</v>
      </c>
      <c r="C88" s="118">
        <v>91</v>
      </c>
      <c r="D88" s="118" t="s">
        <v>825</v>
      </c>
      <c r="E88" s="118">
        <v>74</v>
      </c>
      <c r="F88" s="118" t="s">
        <v>321</v>
      </c>
      <c r="G88" s="118">
        <v>3</v>
      </c>
      <c r="H88" s="118" t="s">
        <v>679</v>
      </c>
      <c r="I88" s="117">
        <v>-11.57134121</v>
      </c>
      <c r="J88" s="117">
        <v>-47.169260080000001</v>
      </c>
      <c r="K88" s="116" t="s">
        <v>983</v>
      </c>
      <c r="L88" s="116" t="s">
        <v>984</v>
      </c>
      <c r="M88" s="116" t="s">
        <v>982</v>
      </c>
      <c r="N88" s="116" t="s">
        <v>982</v>
      </c>
    </row>
    <row r="89" spans="1:14" hidden="1">
      <c r="A89" s="118">
        <v>92</v>
      </c>
      <c r="B89" s="118" t="s">
        <v>838</v>
      </c>
      <c r="C89" s="118">
        <v>83</v>
      </c>
      <c r="D89" s="118" t="s">
        <v>837</v>
      </c>
      <c r="E89" s="118">
        <v>59</v>
      </c>
      <c r="F89" s="118" t="s">
        <v>707</v>
      </c>
      <c r="G89" s="118">
        <v>122</v>
      </c>
      <c r="H89" s="118" t="s">
        <v>680</v>
      </c>
      <c r="I89" s="117" t="s">
        <v>836</v>
      </c>
      <c r="J89" s="117" t="s">
        <v>835</v>
      </c>
      <c r="K89" s="116" t="s">
        <v>976</v>
      </c>
      <c r="L89" s="116" t="s">
        <v>977</v>
      </c>
      <c r="M89" s="116" t="s">
        <v>978</v>
      </c>
      <c r="N89" s="116" t="s">
        <v>979</v>
      </c>
    </row>
    <row r="90" spans="1:14" hidden="1">
      <c r="A90" s="118">
        <v>94</v>
      </c>
      <c r="B90" s="118" t="s">
        <v>717</v>
      </c>
      <c r="C90" s="118">
        <v>94</v>
      </c>
      <c r="D90" s="118" t="s">
        <v>717</v>
      </c>
      <c r="E90" s="118">
        <v>94</v>
      </c>
      <c r="F90" s="118" t="s">
        <v>717</v>
      </c>
      <c r="G90" s="118">
        <v>3</v>
      </c>
      <c r="H90" s="118" t="s">
        <v>679</v>
      </c>
      <c r="I90" s="117">
        <v>-12.03249179</v>
      </c>
      <c r="J90" s="117">
        <v>-48.538016050000003</v>
      </c>
      <c r="K90" s="116" t="s">
        <v>983</v>
      </c>
      <c r="L90" s="116" t="s">
        <v>984</v>
      </c>
      <c r="M90" s="116" t="s">
        <v>982</v>
      </c>
      <c r="N90" s="116" t="s">
        <v>982</v>
      </c>
    </row>
    <row r="91" spans="1:14" hidden="1">
      <c r="A91" s="118">
        <v>96</v>
      </c>
      <c r="B91" s="118" t="s">
        <v>834</v>
      </c>
      <c r="C91" s="118">
        <v>96</v>
      </c>
      <c r="D91" s="118" t="s">
        <v>833</v>
      </c>
      <c r="E91" s="118">
        <v>26</v>
      </c>
      <c r="F91" s="118" t="s">
        <v>694</v>
      </c>
      <c r="G91" s="118">
        <v>122</v>
      </c>
      <c r="H91" s="118" t="s">
        <v>680</v>
      </c>
      <c r="I91" s="117" t="s">
        <v>832</v>
      </c>
      <c r="J91" s="117" t="s">
        <v>831</v>
      </c>
      <c r="K91" s="116" t="s">
        <v>976</v>
      </c>
      <c r="L91" s="116" t="s">
        <v>977</v>
      </c>
      <c r="M91" s="116" t="s">
        <v>978</v>
      </c>
      <c r="N91" s="116" t="s">
        <v>979</v>
      </c>
    </row>
    <row r="92" spans="1:14" hidden="1">
      <c r="A92" s="118">
        <v>97</v>
      </c>
      <c r="B92" s="118" t="s">
        <v>830</v>
      </c>
      <c r="C92" s="118">
        <v>36</v>
      </c>
      <c r="D92" s="118" t="s">
        <v>814</v>
      </c>
      <c r="E92" s="118">
        <v>36</v>
      </c>
      <c r="F92" s="118" t="s">
        <v>814</v>
      </c>
      <c r="G92" s="118">
        <v>3</v>
      </c>
      <c r="H92" s="118" t="s">
        <v>679</v>
      </c>
      <c r="I92" s="117">
        <v>-12.804474040000001</v>
      </c>
      <c r="J92" s="117">
        <v>-49.09378117</v>
      </c>
      <c r="K92" s="116" t="s">
        <v>983</v>
      </c>
      <c r="L92" s="116" t="s">
        <v>984</v>
      </c>
      <c r="M92" s="116" t="s">
        <v>982</v>
      </c>
      <c r="N92" s="116" t="s">
        <v>982</v>
      </c>
    </row>
    <row r="93" spans="1:14" hidden="1">
      <c r="A93" s="118">
        <v>98</v>
      </c>
      <c r="B93" s="118" t="s">
        <v>790</v>
      </c>
      <c r="C93" s="118">
        <v>98</v>
      </c>
      <c r="D93" s="118" t="s">
        <v>790</v>
      </c>
      <c r="E93" s="118">
        <v>2</v>
      </c>
      <c r="F93" s="118" t="s">
        <v>733</v>
      </c>
      <c r="G93" s="118">
        <v>4</v>
      </c>
      <c r="H93" s="118" t="s">
        <v>221</v>
      </c>
      <c r="I93" s="117">
        <v>-6.3722615679999999</v>
      </c>
      <c r="J93" s="117">
        <v>-48.068073030000001</v>
      </c>
      <c r="K93" s="116" t="s">
        <v>980</v>
      </c>
      <c r="L93" s="116" t="s">
        <v>981</v>
      </c>
      <c r="M93" s="116" t="s">
        <v>982</v>
      </c>
      <c r="N93" s="116" t="s">
        <v>982</v>
      </c>
    </row>
    <row r="94" spans="1:14" hidden="1">
      <c r="A94" s="118">
        <v>100</v>
      </c>
      <c r="B94" s="118" t="s">
        <v>829</v>
      </c>
      <c r="C94" s="118">
        <v>59</v>
      </c>
      <c r="D94" s="118" t="s">
        <v>707</v>
      </c>
      <c r="E94" s="118">
        <v>59</v>
      </c>
      <c r="F94" s="118" t="s">
        <v>707</v>
      </c>
      <c r="G94" s="118">
        <v>122</v>
      </c>
      <c r="H94" s="118" t="s">
        <v>680</v>
      </c>
      <c r="I94" s="117" t="s">
        <v>828</v>
      </c>
      <c r="J94" s="117" t="s">
        <v>827</v>
      </c>
      <c r="K94" s="116" t="s">
        <v>976</v>
      </c>
      <c r="L94" s="116" t="s">
        <v>977</v>
      </c>
      <c r="M94" s="116" t="s">
        <v>978</v>
      </c>
      <c r="N94" s="116" t="s">
        <v>979</v>
      </c>
    </row>
    <row r="95" spans="1:14" hidden="1">
      <c r="A95" s="118">
        <v>101</v>
      </c>
      <c r="B95" s="118" t="s">
        <v>826</v>
      </c>
      <c r="C95" s="118">
        <v>91</v>
      </c>
      <c r="D95" s="118" t="s">
        <v>825</v>
      </c>
      <c r="E95" s="118">
        <v>74</v>
      </c>
      <c r="F95" s="118" t="s">
        <v>321</v>
      </c>
      <c r="G95" s="118">
        <v>3</v>
      </c>
      <c r="H95" s="118" t="s">
        <v>679</v>
      </c>
      <c r="I95" s="117" t="s">
        <v>824</v>
      </c>
      <c r="J95" s="117" t="s">
        <v>823</v>
      </c>
      <c r="K95" s="116" t="s">
        <v>983</v>
      </c>
      <c r="L95" s="116" t="s">
        <v>984</v>
      </c>
      <c r="M95" s="116" t="s">
        <v>982</v>
      </c>
      <c r="N95" s="116" t="s">
        <v>982</v>
      </c>
    </row>
    <row r="96" spans="1:14" hidden="1">
      <c r="A96" s="118">
        <v>103</v>
      </c>
      <c r="B96" s="118" t="s">
        <v>822</v>
      </c>
      <c r="C96" s="118">
        <v>88</v>
      </c>
      <c r="D96" s="118" t="s">
        <v>780</v>
      </c>
      <c r="E96" s="118">
        <v>45</v>
      </c>
      <c r="F96" s="118" t="s">
        <v>761</v>
      </c>
      <c r="G96" s="118">
        <v>4</v>
      </c>
      <c r="H96" s="118" t="s">
        <v>221</v>
      </c>
      <c r="I96" s="117" t="s">
        <v>821</v>
      </c>
      <c r="J96" s="117" t="s">
        <v>820</v>
      </c>
      <c r="K96" s="116" t="s">
        <v>980</v>
      </c>
      <c r="L96" s="116" t="s">
        <v>981</v>
      </c>
      <c r="M96" s="116" t="s">
        <v>982</v>
      </c>
      <c r="N96" s="116" t="s">
        <v>982</v>
      </c>
    </row>
    <row r="97" spans="1:14" hidden="1">
      <c r="A97" s="118">
        <v>104</v>
      </c>
      <c r="B97" s="118" t="s">
        <v>819</v>
      </c>
      <c r="C97" s="118">
        <v>104</v>
      </c>
      <c r="D97" s="118" t="s">
        <v>819</v>
      </c>
      <c r="E97" s="118">
        <v>9</v>
      </c>
      <c r="F97" s="118" t="s">
        <v>331</v>
      </c>
      <c r="G97" s="118">
        <v>4</v>
      </c>
      <c r="H97" s="118" t="s">
        <v>221</v>
      </c>
      <c r="I97" s="117">
        <v>-8.7746749170000005</v>
      </c>
      <c r="J97" s="117">
        <v>-47.74908447</v>
      </c>
      <c r="K97" s="116" t="s">
        <v>980</v>
      </c>
      <c r="L97" s="116" t="s">
        <v>981</v>
      </c>
      <c r="M97" s="116" t="s">
        <v>982</v>
      </c>
      <c r="N97" s="116" t="s">
        <v>982</v>
      </c>
    </row>
    <row r="98" spans="1:14" hidden="1">
      <c r="A98" s="118">
        <v>105</v>
      </c>
      <c r="B98" s="118" t="s">
        <v>818</v>
      </c>
      <c r="C98" s="118">
        <v>44</v>
      </c>
      <c r="D98" s="118" t="s">
        <v>809</v>
      </c>
      <c r="E98" s="118">
        <v>1</v>
      </c>
      <c r="F98" s="118" t="s">
        <v>703</v>
      </c>
      <c r="G98" s="118">
        <v>122</v>
      </c>
      <c r="H98" s="118" t="s">
        <v>680</v>
      </c>
      <c r="I98" s="117" t="s">
        <v>817</v>
      </c>
      <c r="J98" s="117" t="s">
        <v>816</v>
      </c>
      <c r="K98" s="116" t="s">
        <v>976</v>
      </c>
      <c r="L98" s="116" t="s">
        <v>977</v>
      </c>
      <c r="M98" s="116" t="s">
        <v>978</v>
      </c>
      <c r="N98" s="116" t="s">
        <v>979</v>
      </c>
    </row>
    <row r="99" spans="1:14" hidden="1">
      <c r="A99" s="118">
        <v>107</v>
      </c>
      <c r="B99" s="118" t="s">
        <v>815</v>
      </c>
      <c r="C99" s="118">
        <v>107</v>
      </c>
      <c r="D99" s="118" t="s">
        <v>815</v>
      </c>
      <c r="E99" s="118">
        <v>36</v>
      </c>
      <c r="F99" s="118" t="s">
        <v>814</v>
      </c>
      <c r="G99" s="118">
        <v>3</v>
      </c>
      <c r="H99" s="118" t="s">
        <v>679</v>
      </c>
      <c r="I99" s="117">
        <v>-12.541585299999999</v>
      </c>
      <c r="J99" s="117">
        <v>-49.93108702</v>
      </c>
      <c r="K99" s="116" t="s">
        <v>983</v>
      </c>
      <c r="L99" s="116" t="s">
        <v>984</v>
      </c>
      <c r="M99" s="116" t="s">
        <v>982</v>
      </c>
      <c r="N99" s="116" t="s">
        <v>982</v>
      </c>
    </row>
    <row r="100" spans="1:14" hidden="1">
      <c r="A100" s="118">
        <v>109</v>
      </c>
      <c r="B100" s="118" t="s">
        <v>813</v>
      </c>
      <c r="C100" s="118">
        <v>98</v>
      </c>
      <c r="D100" s="118" t="s">
        <v>790</v>
      </c>
      <c r="E100" s="118">
        <v>2</v>
      </c>
      <c r="F100" s="118" t="s">
        <v>733</v>
      </c>
      <c r="G100" s="118">
        <v>4</v>
      </c>
      <c r="H100" s="118" t="s">
        <v>221</v>
      </c>
      <c r="I100" s="117" t="s">
        <v>812</v>
      </c>
      <c r="J100" s="117" t="s">
        <v>811</v>
      </c>
      <c r="K100" s="116" t="s">
        <v>980</v>
      </c>
      <c r="L100" s="116" t="s">
        <v>981</v>
      </c>
      <c r="M100" s="116" t="s">
        <v>982</v>
      </c>
      <c r="N100" s="116" t="s">
        <v>982</v>
      </c>
    </row>
    <row r="101" spans="1:14" hidden="1">
      <c r="A101" s="118">
        <v>110</v>
      </c>
      <c r="B101" s="118" t="s">
        <v>810</v>
      </c>
      <c r="C101" s="118">
        <v>44</v>
      </c>
      <c r="D101" s="118" t="s">
        <v>809</v>
      </c>
      <c r="E101" s="118">
        <v>1</v>
      </c>
      <c r="F101" s="118" t="s">
        <v>703</v>
      </c>
      <c r="G101" s="118">
        <v>122</v>
      </c>
      <c r="H101" s="118" t="s">
        <v>680</v>
      </c>
      <c r="I101" s="117" t="s">
        <v>808</v>
      </c>
      <c r="J101" s="117" t="s">
        <v>807</v>
      </c>
      <c r="K101" s="116" t="s">
        <v>976</v>
      </c>
      <c r="L101" s="116" t="s">
        <v>977</v>
      </c>
      <c r="M101" s="116" t="s">
        <v>978</v>
      </c>
      <c r="N101" s="116" t="s">
        <v>979</v>
      </c>
    </row>
    <row r="102" spans="1:14" hidden="1">
      <c r="A102" s="118">
        <v>111</v>
      </c>
      <c r="B102" s="118" t="s">
        <v>806</v>
      </c>
      <c r="C102" s="118">
        <v>33</v>
      </c>
      <c r="D102" s="118" t="s">
        <v>805</v>
      </c>
      <c r="E102" s="118">
        <v>9</v>
      </c>
      <c r="F102" s="118" t="s">
        <v>331</v>
      </c>
      <c r="G102" s="118">
        <v>4</v>
      </c>
      <c r="H102" s="118" t="s">
        <v>221</v>
      </c>
      <c r="I102" s="117" t="s">
        <v>804</v>
      </c>
      <c r="J102" s="117" t="s">
        <v>803</v>
      </c>
      <c r="K102" s="116" t="s">
        <v>980</v>
      </c>
      <c r="L102" s="116" t="s">
        <v>981</v>
      </c>
      <c r="M102" s="116" t="s">
        <v>982</v>
      </c>
      <c r="N102" s="116" t="s">
        <v>982</v>
      </c>
    </row>
    <row r="103" spans="1:14" hidden="1">
      <c r="A103" s="118">
        <v>113</v>
      </c>
      <c r="B103" s="118" t="s">
        <v>802</v>
      </c>
      <c r="C103" s="118">
        <v>113</v>
      </c>
      <c r="D103" s="118" t="s">
        <v>802</v>
      </c>
      <c r="E103" s="118">
        <v>9</v>
      </c>
      <c r="F103" s="118" t="s">
        <v>331</v>
      </c>
      <c r="G103" s="118">
        <v>4</v>
      </c>
      <c r="H103" s="118" t="s">
        <v>221</v>
      </c>
      <c r="I103" s="117">
        <v>-8.3599825110000001</v>
      </c>
      <c r="J103" s="117">
        <v>-49.178156020000003</v>
      </c>
      <c r="K103" s="116" t="s">
        <v>980</v>
      </c>
      <c r="L103" s="116" t="s">
        <v>981</v>
      </c>
      <c r="M103" s="116" t="s">
        <v>982</v>
      </c>
      <c r="N103" s="116" t="s">
        <v>982</v>
      </c>
    </row>
    <row r="104" spans="1:14" hidden="1">
      <c r="A104" s="118">
        <v>116</v>
      </c>
      <c r="B104" s="118" t="s">
        <v>801</v>
      </c>
      <c r="C104" s="118">
        <v>28</v>
      </c>
      <c r="D104" s="118" t="s">
        <v>800</v>
      </c>
      <c r="E104" s="118">
        <v>74</v>
      </c>
      <c r="F104" s="118" t="s">
        <v>321</v>
      </c>
      <c r="G104" s="118">
        <v>3</v>
      </c>
      <c r="H104" s="118" t="s">
        <v>679</v>
      </c>
      <c r="I104" s="117" t="s">
        <v>799</v>
      </c>
      <c r="J104" s="117" t="s">
        <v>798</v>
      </c>
      <c r="K104" s="116" t="s">
        <v>983</v>
      </c>
      <c r="L104" s="116" t="s">
        <v>984</v>
      </c>
      <c r="M104" s="116" t="s">
        <v>982</v>
      </c>
      <c r="N104" s="116" t="s">
        <v>982</v>
      </c>
    </row>
    <row r="105" spans="1:14" hidden="1">
      <c r="A105" s="118">
        <v>119</v>
      </c>
      <c r="B105" s="118" t="s">
        <v>797</v>
      </c>
      <c r="C105" s="118">
        <v>171</v>
      </c>
      <c r="D105" s="118" t="s">
        <v>734</v>
      </c>
      <c r="E105" s="118">
        <v>2</v>
      </c>
      <c r="F105" s="118" t="s">
        <v>733</v>
      </c>
      <c r="G105" s="118">
        <v>4</v>
      </c>
      <c r="H105" s="118" t="s">
        <v>221</v>
      </c>
      <c r="I105" s="117" t="s">
        <v>796</v>
      </c>
      <c r="J105" s="117" t="s">
        <v>795</v>
      </c>
      <c r="K105" s="116" t="s">
        <v>980</v>
      </c>
      <c r="L105" s="116" t="s">
        <v>981</v>
      </c>
      <c r="M105" s="116" t="s">
        <v>982</v>
      </c>
      <c r="N105" s="116" t="s">
        <v>982</v>
      </c>
    </row>
    <row r="106" spans="1:14" hidden="1">
      <c r="A106" s="118">
        <v>122</v>
      </c>
      <c r="B106" s="118" t="s">
        <v>680</v>
      </c>
      <c r="C106" s="118">
        <v>122</v>
      </c>
      <c r="D106" s="118" t="s">
        <v>680</v>
      </c>
      <c r="E106" s="118">
        <v>122</v>
      </c>
      <c r="F106" s="118" t="s">
        <v>680</v>
      </c>
      <c r="G106" s="118">
        <v>122</v>
      </c>
      <c r="H106" s="118" t="s">
        <v>680</v>
      </c>
      <c r="I106" s="117">
        <v>-10.177605229999999</v>
      </c>
      <c r="J106" s="117">
        <v>-48.328064060000003</v>
      </c>
      <c r="K106" s="116" t="s">
        <v>976</v>
      </c>
      <c r="L106" s="116" t="s">
        <v>977</v>
      </c>
      <c r="M106" s="116" t="s">
        <v>978</v>
      </c>
      <c r="N106" s="116" t="s">
        <v>979</v>
      </c>
    </row>
    <row r="107" spans="1:14" hidden="1">
      <c r="A107" s="118">
        <v>123</v>
      </c>
      <c r="B107" s="118" t="s">
        <v>794</v>
      </c>
      <c r="C107" s="118">
        <v>2</v>
      </c>
      <c r="D107" s="118" t="s">
        <v>733</v>
      </c>
      <c r="E107" s="118">
        <v>2</v>
      </c>
      <c r="F107" s="118" t="s">
        <v>733</v>
      </c>
      <c r="G107" s="118">
        <v>4</v>
      </c>
      <c r="H107" s="118" t="s">
        <v>221</v>
      </c>
      <c r="I107" s="117" t="s">
        <v>793</v>
      </c>
      <c r="J107" s="117" t="s">
        <v>792</v>
      </c>
      <c r="K107" s="116" t="s">
        <v>980</v>
      </c>
      <c r="L107" s="116" t="s">
        <v>981</v>
      </c>
      <c r="M107" s="116" t="s">
        <v>982</v>
      </c>
      <c r="N107" s="116" t="s">
        <v>982</v>
      </c>
    </row>
    <row r="108" spans="1:14" hidden="1">
      <c r="A108" s="118">
        <v>124</v>
      </c>
      <c r="B108" s="118" t="s">
        <v>791</v>
      </c>
      <c r="C108" s="118">
        <v>98</v>
      </c>
      <c r="D108" s="118" t="s">
        <v>790</v>
      </c>
      <c r="E108" s="118">
        <v>2</v>
      </c>
      <c r="F108" s="118" t="s">
        <v>733</v>
      </c>
      <c r="G108" s="118">
        <v>4</v>
      </c>
      <c r="H108" s="118" t="s">
        <v>221</v>
      </c>
      <c r="I108" s="117" t="s">
        <v>789</v>
      </c>
      <c r="J108" s="117" t="s">
        <v>788</v>
      </c>
      <c r="K108" s="116" t="s">
        <v>980</v>
      </c>
      <c r="L108" s="116" t="s">
        <v>981</v>
      </c>
      <c r="M108" s="116" t="s">
        <v>982</v>
      </c>
      <c r="N108" s="116" t="s">
        <v>982</v>
      </c>
    </row>
    <row r="109" spans="1:14">
      <c r="A109" s="118">
        <v>127</v>
      </c>
      <c r="B109" s="118" t="s">
        <v>787</v>
      </c>
      <c r="C109" s="118">
        <v>2</v>
      </c>
      <c r="D109" s="118" t="s">
        <v>733</v>
      </c>
      <c r="E109" s="118">
        <v>2</v>
      </c>
      <c r="F109" s="118" t="s">
        <v>733</v>
      </c>
      <c r="G109" s="118">
        <v>4</v>
      </c>
      <c r="H109" s="118" t="s">
        <v>221</v>
      </c>
      <c r="I109" s="117" t="s">
        <v>786</v>
      </c>
      <c r="J109" s="117" t="s">
        <v>785</v>
      </c>
      <c r="K109" s="116" t="s">
        <v>980</v>
      </c>
      <c r="L109" s="116" t="s">
        <v>981</v>
      </c>
      <c r="M109" s="116" t="s">
        <v>982</v>
      </c>
      <c r="N109" s="116" t="s">
        <v>982</v>
      </c>
    </row>
    <row r="110" spans="1:14" hidden="1">
      <c r="A110" s="118">
        <v>129</v>
      </c>
      <c r="B110" s="118" t="s">
        <v>784</v>
      </c>
      <c r="C110" s="118">
        <v>2</v>
      </c>
      <c r="D110" s="118" t="s">
        <v>733</v>
      </c>
      <c r="E110" s="118">
        <v>2</v>
      </c>
      <c r="F110" s="118" t="s">
        <v>733</v>
      </c>
      <c r="G110" s="118">
        <v>4</v>
      </c>
      <c r="H110" s="118" t="s">
        <v>221</v>
      </c>
      <c r="I110" s="117" t="s">
        <v>783</v>
      </c>
      <c r="J110" s="117" t="s">
        <v>782</v>
      </c>
      <c r="K110" s="116" t="s">
        <v>980</v>
      </c>
      <c r="L110" s="116" t="s">
        <v>981</v>
      </c>
      <c r="M110" s="116" t="s">
        <v>982</v>
      </c>
      <c r="N110" s="116" t="s">
        <v>982</v>
      </c>
    </row>
    <row r="111" spans="1:14" hidden="1">
      <c r="A111" s="118">
        <v>130</v>
      </c>
      <c r="B111" s="118" t="s">
        <v>781</v>
      </c>
      <c r="C111" s="118">
        <v>88</v>
      </c>
      <c r="D111" s="118" t="s">
        <v>780</v>
      </c>
      <c r="E111" s="118">
        <v>45</v>
      </c>
      <c r="F111" s="118" t="s">
        <v>761</v>
      </c>
      <c r="G111" s="118">
        <v>4</v>
      </c>
      <c r="H111" s="118" t="s">
        <v>221</v>
      </c>
      <c r="I111" s="117" t="s">
        <v>779</v>
      </c>
      <c r="J111" s="117" t="s">
        <v>778</v>
      </c>
      <c r="K111" s="116" t="s">
        <v>980</v>
      </c>
      <c r="L111" s="116" t="s">
        <v>981</v>
      </c>
      <c r="M111" s="116" t="s">
        <v>982</v>
      </c>
      <c r="N111" s="116" t="s">
        <v>982</v>
      </c>
    </row>
    <row r="112" spans="1:14" hidden="1">
      <c r="A112" s="118">
        <v>131</v>
      </c>
      <c r="B112" s="118" t="s">
        <v>777</v>
      </c>
      <c r="C112" s="118">
        <v>45</v>
      </c>
      <c r="D112" s="118" t="s">
        <v>761</v>
      </c>
      <c r="E112" s="118">
        <v>45</v>
      </c>
      <c r="F112" s="118" t="s">
        <v>761</v>
      </c>
      <c r="G112" s="118">
        <v>4</v>
      </c>
      <c r="H112" s="118" t="s">
        <v>221</v>
      </c>
      <c r="I112" s="117" t="s">
        <v>776</v>
      </c>
      <c r="J112" s="117" t="s">
        <v>775</v>
      </c>
      <c r="K112" s="116" t="s">
        <v>980</v>
      </c>
      <c r="L112" s="116" t="s">
        <v>981</v>
      </c>
      <c r="M112" s="116" t="s">
        <v>982</v>
      </c>
      <c r="N112" s="116" t="s">
        <v>982</v>
      </c>
    </row>
    <row r="113" spans="1:14" hidden="1">
      <c r="A113" s="118">
        <v>132</v>
      </c>
      <c r="B113" s="118" t="s">
        <v>774</v>
      </c>
      <c r="C113" s="118">
        <v>45</v>
      </c>
      <c r="D113" s="118" t="s">
        <v>761</v>
      </c>
      <c r="E113" s="118">
        <v>45</v>
      </c>
      <c r="F113" s="118" t="s">
        <v>761</v>
      </c>
      <c r="G113" s="118">
        <v>4</v>
      </c>
      <c r="H113" s="118" t="s">
        <v>221</v>
      </c>
      <c r="I113" s="117" t="s">
        <v>773</v>
      </c>
      <c r="J113" s="117" t="s">
        <v>772</v>
      </c>
      <c r="K113" s="116" t="s">
        <v>980</v>
      </c>
      <c r="L113" s="116" t="s">
        <v>981</v>
      </c>
      <c r="M113" s="116" t="s">
        <v>982</v>
      </c>
      <c r="N113" s="116" t="s">
        <v>982</v>
      </c>
    </row>
    <row r="114" spans="1:14" hidden="1">
      <c r="A114" s="118">
        <v>133</v>
      </c>
      <c r="B114" s="118" t="s">
        <v>771</v>
      </c>
      <c r="C114" s="118">
        <v>45</v>
      </c>
      <c r="D114" s="118" t="s">
        <v>761</v>
      </c>
      <c r="E114" s="118">
        <v>45</v>
      </c>
      <c r="F114" s="118" t="s">
        <v>761</v>
      </c>
      <c r="G114" s="118">
        <v>4</v>
      </c>
      <c r="H114" s="118" t="s">
        <v>221</v>
      </c>
      <c r="I114" s="117" t="s">
        <v>770</v>
      </c>
      <c r="J114" s="117" t="s">
        <v>769</v>
      </c>
      <c r="K114" s="116" t="s">
        <v>980</v>
      </c>
      <c r="L114" s="116" t="s">
        <v>981</v>
      </c>
      <c r="M114" s="116" t="s">
        <v>982</v>
      </c>
      <c r="N114" s="116" t="s">
        <v>982</v>
      </c>
    </row>
    <row r="115" spans="1:14" hidden="1">
      <c r="A115" s="118">
        <v>134</v>
      </c>
      <c r="B115" s="118" t="s">
        <v>768</v>
      </c>
      <c r="C115" s="118">
        <v>134</v>
      </c>
      <c r="D115" s="118" t="s">
        <v>768</v>
      </c>
      <c r="E115" s="118">
        <v>45</v>
      </c>
      <c r="F115" s="118" t="s">
        <v>761</v>
      </c>
      <c r="G115" s="118">
        <v>4</v>
      </c>
      <c r="H115" s="118" t="s">
        <v>221</v>
      </c>
      <c r="I115" s="117">
        <v>-5.3637335339999996</v>
      </c>
      <c r="J115" s="117">
        <v>-48.537561869999998</v>
      </c>
      <c r="K115" s="116" t="s">
        <v>980</v>
      </c>
      <c r="L115" s="116" t="s">
        <v>981</v>
      </c>
      <c r="M115" s="116" t="s">
        <v>982</v>
      </c>
      <c r="N115" s="116" t="s">
        <v>982</v>
      </c>
    </row>
    <row r="116" spans="1:14" hidden="1">
      <c r="A116" s="118">
        <v>136</v>
      </c>
      <c r="B116" s="118" t="s">
        <v>767</v>
      </c>
      <c r="C116" s="118">
        <v>25</v>
      </c>
      <c r="D116" s="118" t="s">
        <v>766</v>
      </c>
      <c r="E116" s="118">
        <v>23</v>
      </c>
      <c r="F116" s="118" t="s">
        <v>326</v>
      </c>
      <c r="G116" s="118">
        <v>4</v>
      </c>
      <c r="H116" s="118" t="s">
        <v>221</v>
      </c>
      <c r="I116" s="117" t="s">
        <v>765</v>
      </c>
      <c r="J116" s="117" t="s">
        <v>764</v>
      </c>
      <c r="K116" s="116" t="s">
        <v>980</v>
      </c>
      <c r="L116" s="116" t="s">
        <v>981</v>
      </c>
      <c r="M116" s="116" t="s">
        <v>982</v>
      </c>
      <c r="N116" s="116" t="s">
        <v>982</v>
      </c>
    </row>
    <row r="117" spans="1:14" hidden="1">
      <c r="A117" s="118">
        <v>145</v>
      </c>
      <c r="B117" s="118" t="s">
        <v>763</v>
      </c>
      <c r="C117" s="118">
        <v>81</v>
      </c>
      <c r="D117" s="118" t="s">
        <v>762</v>
      </c>
      <c r="E117" s="118">
        <v>45</v>
      </c>
      <c r="F117" s="118" t="s">
        <v>761</v>
      </c>
      <c r="G117" s="118">
        <v>4</v>
      </c>
      <c r="H117" s="118" t="s">
        <v>221</v>
      </c>
      <c r="I117" s="117" t="s">
        <v>760</v>
      </c>
      <c r="J117" s="117" t="s">
        <v>759</v>
      </c>
      <c r="K117" s="116" t="s">
        <v>980</v>
      </c>
      <c r="L117" s="116" t="s">
        <v>981</v>
      </c>
      <c r="M117" s="116" t="s">
        <v>982</v>
      </c>
      <c r="N117" s="116" t="s">
        <v>982</v>
      </c>
    </row>
    <row r="118" spans="1:14" hidden="1">
      <c r="A118" s="118">
        <v>146</v>
      </c>
      <c r="B118" s="118" t="s">
        <v>758</v>
      </c>
      <c r="C118" s="118">
        <v>78</v>
      </c>
      <c r="D118" s="118" t="s">
        <v>757</v>
      </c>
      <c r="E118" s="118">
        <v>9</v>
      </c>
      <c r="F118" s="118" t="s">
        <v>331</v>
      </c>
      <c r="G118" s="118">
        <v>4</v>
      </c>
      <c r="H118" s="118" t="s">
        <v>221</v>
      </c>
      <c r="I118" s="117" t="s">
        <v>756</v>
      </c>
      <c r="J118" s="117" t="s">
        <v>755</v>
      </c>
      <c r="K118" s="116" t="s">
        <v>980</v>
      </c>
      <c r="L118" s="116" t="s">
        <v>981</v>
      </c>
      <c r="M118" s="116" t="s">
        <v>982</v>
      </c>
      <c r="N118" s="116" t="s">
        <v>982</v>
      </c>
    </row>
    <row r="119" spans="1:14" hidden="1">
      <c r="A119" s="118">
        <v>147</v>
      </c>
      <c r="B119" s="118" t="s">
        <v>754</v>
      </c>
      <c r="C119" s="118">
        <v>72</v>
      </c>
      <c r="D119" s="118" t="s">
        <v>753</v>
      </c>
      <c r="E119" s="118">
        <v>74</v>
      </c>
      <c r="F119" s="118" t="s">
        <v>321</v>
      </c>
      <c r="G119" s="118">
        <v>3</v>
      </c>
      <c r="H119" s="118" t="s">
        <v>679</v>
      </c>
      <c r="I119" s="117" t="s">
        <v>752</v>
      </c>
      <c r="J119" s="117" t="s">
        <v>751</v>
      </c>
      <c r="K119" s="116" t="s">
        <v>983</v>
      </c>
      <c r="L119" s="116" t="s">
        <v>984</v>
      </c>
      <c r="M119" s="116" t="s">
        <v>982</v>
      </c>
      <c r="N119" s="116" t="s">
        <v>982</v>
      </c>
    </row>
    <row r="120" spans="1:14" hidden="1">
      <c r="A120" s="118">
        <v>148</v>
      </c>
      <c r="B120" s="118" t="s">
        <v>750</v>
      </c>
      <c r="C120" s="118">
        <v>148</v>
      </c>
      <c r="D120" s="118" t="s">
        <v>750</v>
      </c>
      <c r="E120" s="118">
        <v>94</v>
      </c>
      <c r="F120" s="118" t="s">
        <v>717</v>
      </c>
      <c r="G120" s="118">
        <v>3</v>
      </c>
      <c r="H120" s="118" t="s">
        <v>679</v>
      </c>
      <c r="I120" s="117">
        <v>-11.97580393</v>
      </c>
      <c r="J120" s="117">
        <v>-48.233154339999999</v>
      </c>
      <c r="K120" s="116" t="s">
        <v>983</v>
      </c>
      <c r="L120" s="116" t="s">
        <v>984</v>
      </c>
      <c r="M120" s="116" t="s">
        <v>982</v>
      </c>
      <c r="N120" s="116" t="s">
        <v>982</v>
      </c>
    </row>
    <row r="121" spans="1:14" hidden="1">
      <c r="A121" s="118">
        <v>149</v>
      </c>
      <c r="B121" s="118" t="s">
        <v>749</v>
      </c>
      <c r="C121" s="118">
        <v>149</v>
      </c>
      <c r="D121" s="118" t="s">
        <v>749</v>
      </c>
      <c r="E121" s="118">
        <v>84</v>
      </c>
      <c r="F121" s="118" t="s">
        <v>712</v>
      </c>
      <c r="G121" s="118">
        <v>122</v>
      </c>
      <c r="H121" s="118" t="s">
        <v>680</v>
      </c>
      <c r="I121" s="117">
        <v>-9.2732624389999998</v>
      </c>
      <c r="J121" s="117">
        <v>-49.95437287</v>
      </c>
      <c r="K121" s="116" t="s">
        <v>976</v>
      </c>
      <c r="L121" s="116" t="s">
        <v>977</v>
      </c>
      <c r="M121" s="116" t="s">
        <v>978</v>
      </c>
      <c r="N121" s="116" t="s">
        <v>979</v>
      </c>
    </row>
    <row r="122" spans="1:14" hidden="1">
      <c r="A122" s="118">
        <v>151</v>
      </c>
      <c r="B122" s="118" t="s">
        <v>708</v>
      </c>
      <c r="C122" s="118">
        <v>151</v>
      </c>
      <c r="D122" s="118" t="s">
        <v>708</v>
      </c>
      <c r="E122" s="118">
        <v>59</v>
      </c>
      <c r="F122" s="118" t="s">
        <v>707</v>
      </c>
      <c r="G122" s="118">
        <v>122</v>
      </c>
      <c r="H122" s="118" t="s">
        <v>680</v>
      </c>
      <c r="I122" s="117">
        <v>-10.28009962</v>
      </c>
      <c r="J122" s="117">
        <v>-47.810871830000004</v>
      </c>
      <c r="K122" s="116" t="s">
        <v>976</v>
      </c>
      <c r="L122" s="116" t="s">
        <v>977</v>
      </c>
      <c r="M122" s="116" t="s">
        <v>978</v>
      </c>
      <c r="N122" s="116" t="s">
        <v>979</v>
      </c>
    </row>
    <row r="123" spans="1:14" hidden="1">
      <c r="A123" s="118">
        <v>152</v>
      </c>
      <c r="B123" s="118" t="s">
        <v>748</v>
      </c>
      <c r="C123" s="118">
        <v>152</v>
      </c>
      <c r="D123" s="118" t="s">
        <v>748</v>
      </c>
      <c r="E123" s="118">
        <v>1</v>
      </c>
      <c r="F123" s="118" t="s">
        <v>703</v>
      </c>
      <c r="G123" s="118">
        <v>122</v>
      </c>
      <c r="H123" s="118" t="s">
        <v>680</v>
      </c>
      <c r="I123" s="117">
        <v>-11.447710369999999</v>
      </c>
      <c r="J123" s="117">
        <v>-48.11769074</v>
      </c>
      <c r="K123" s="116" t="s">
        <v>976</v>
      </c>
      <c r="L123" s="116" t="s">
        <v>977</v>
      </c>
      <c r="M123" s="116" t="s">
        <v>978</v>
      </c>
      <c r="N123" s="116" t="s">
        <v>979</v>
      </c>
    </row>
    <row r="124" spans="1:14" hidden="1">
      <c r="A124" s="118">
        <v>153</v>
      </c>
      <c r="B124" s="118" t="s">
        <v>747</v>
      </c>
      <c r="C124" s="118">
        <v>153</v>
      </c>
      <c r="D124" s="118" t="s">
        <v>747</v>
      </c>
      <c r="E124" s="118">
        <v>23</v>
      </c>
      <c r="F124" s="118" t="s">
        <v>326</v>
      </c>
      <c r="G124" s="118">
        <v>4</v>
      </c>
      <c r="H124" s="118" t="s">
        <v>221</v>
      </c>
      <c r="I124" s="117">
        <v>-7.8832960749999996</v>
      </c>
      <c r="J124" s="117">
        <v>-48.895382660000003</v>
      </c>
      <c r="K124" s="116" t="s">
        <v>980</v>
      </c>
      <c r="L124" s="116" t="s">
        <v>981</v>
      </c>
      <c r="M124" s="116" t="s">
        <v>982</v>
      </c>
      <c r="N124" s="116" t="s">
        <v>982</v>
      </c>
    </row>
    <row r="125" spans="1:14" hidden="1">
      <c r="A125" s="118">
        <v>154</v>
      </c>
      <c r="B125" s="118" t="s">
        <v>746</v>
      </c>
      <c r="C125" s="118">
        <v>154</v>
      </c>
      <c r="D125" s="118" t="s">
        <v>746</v>
      </c>
      <c r="E125" s="118">
        <v>23</v>
      </c>
      <c r="F125" s="118" t="s">
        <v>326</v>
      </c>
      <c r="G125" s="118">
        <v>4</v>
      </c>
      <c r="H125" s="118" t="s">
        <v>221</v>
      </c>
      <c r="I125" s="117">
        <v>-8.1195504520000004</v>
      </c>
      <c r="J125" s="117">
        <v>-49.096206469999998</v>
      </c>
      <c r="K125" s="116" t="s">
        <v>980</v>
      </c>
      <c r="L125" s="116" t="s">
        <v>981</v>
      </c>
      <c r="M125" s="116" t="s">
        <v>982</v>
      </c>
      <c r="N125" s="116" t="s">
        <v>982</v>
      </c>
    </row>
    <row r="126" spans="1:14" hidden="1">
      <c r="A126" s="118">
        <v>155</v>
      </c>
      <c r="B126" s="118" t="s">
        <v>325</v>
      </c>
      <c r="C126" s="118">
        <v>155</v>
      </c>
      <c r="D126" s="118" t="s">
        <v>325</v>
      </c>
      <c r="E126" s="118">
        <v>23</v>
      </c>
      <c r="F126" s="118" t="s">
        <v>326</v>
      </c>
      <c r="G126" s="118">
        <v>4</v>
      </c>
      <c r="H126" s="118" t="s">
        <v>221</v>
      </c>
      <c r="I126" s="117">
        <v>-7.8581418640000003</v>
      </c>
      <c r="J126" s="117">
        <v>-47.925721449999998</v>
      </c>
      <c r="K126" s="116" t="s">
        <v>980</v>
      </c>
      <c r="L126" s="116" t="s">
        <v>981</v>
      </c>
      <c r="M126" s="116" t="s">
        <v>982</v>
      </c>
      <c r="N126" s="116" t="s">
        <v>982</v>
      </c>
    </row>
    <row r="127" spans="1:14" hidden="1">
      <c r="A127" s="118">
        <v>156</v>
      </c>
      <c r="B127" s="118" t="s">
        <v>745</v>
      </c>
      <c r="C127" s="118">
        <v>171</v>
      </c>
      <c r="D127" s="118" t="s">
        <v>734</v>
      </c>
      <c r="E127" s="118">
        <v>2</v>
      </c>
      <c r="F127" s="118" t="s">
        <v>733</v>
      </c>
      <c r="G127" s="118">
        <v>4</v>
      </c>
      <c r="H127" s="118" t="s">
        <v>221</v>
      </c>
      <c r="I127" s="117" t="s">
        <v>744</v>
      </c>
      <c r="J127" s="117" t="s">
        <v>743</v>
      </c>
      <c r="K127" s="116" t="s">
        <v>980</v>
      </c>
      <c r="L127" s="116" t="s">
        <v>981</v>
      </c>
      <c r="M127" s="116" t="s">
        <v>982</v>
      </c>
      <c r="N127" s="116" t="s">
        <v>982</v>
      </c>
    </row>
    <row r="128" spans="1:14" hidden="1">
      <c r="A128" s="118">
        <v>157</v>
      </c>
      <c r="B128" s="118" t="s">
        <v>742</v>
      </c>
      <c r="C128" s="118">
        <v>30</v>
      </c>
      <c r="D128" s="118" t="s">
        <v>741</v>
      </c>
      <c r="E128" s="118">
        <v>2</v>
      </c>
      <c r="F128" s="118" t="s">
        <v>733</v>
      </c>
      <c r="G128" s="118">
        <v>4</v>
      </c>
      <c r="H128" s="118" t="s">
        <v>221</v>
      </c>
      <c r="I128" s="117" t="s">
        <v>740</v>
      </c>
      <c r="J128" s="117" t="s">
        <v>739</v>
      </c>
      <c r="K128" s="116" t="s">
        <v>980</v>
      </c>
      <c r="L128" s="116" t="s">
        <v>981</v>
      </c>
      <c r="M128" s="116" t="s">
        <v>982</v>
      </c>
      <c r="N128" s="116" t="s">
        <v>982</v>
      </c>
    </row>
    <row r="129" spans="1:14" hidden="1">
      <c r="A129" s="118">
        <v>159</v>
      </c>
      <c r="B129" s="118" t="s">
        <v>738</v>
      </c>
      <c r="C129" s="118">
        <v>58</v>
      </c>
      <c r="D129" s="118" t="s">
        <v>737</v>
      </c>
      <c r="E129" s="118">
        <v>4</v>
      </c>
      <c r="F129" s="118" t="s">
        <v>221</v>
      </c>
      <c r="G129" s="118">
        <v>4</v>
      </c>
      <c r="H129" s="118" t="s">
        <v>221</v>
      </c>
      <c r="I129" s="117" t="s">
        <v>736</v>
      </c>
      <c r="J129" s="117" t="s">
        <v>735</v>
      </c>
      <c r="K129" s="116" t="s">
        <v>980</v>
      </c>
      <c r="L129" s="116" t="s">
        <v>981</v>
      </c>
      <c r="M129" s="116" t="s">
        <v>982</v>
      </c>
      <c r="N129" s="116" t="s">
        <v>982</v>
      </c>
    </row>
    <row r="130" spans="1:14" hidden="1">
      <c r="A130" s="118">
        <v>171</v>
      </c>
      <c r="B130" s="118" t="s">
        <v>734</v>
      </c>
      <c r="C130" s="118">
        <v>171</v>
      </c>
      <c r="D130" s="118" t="s">
        <v>734</v>
      </c>
      <c r="E130" s="118">
        <v>2</v>
      </c>
      <c r="F130" s="118" t="s">
        <v>733</v>
      </c>
      <c r="G130" s="118">
        <v>4</v>
      </c>
      <c r="H130" s="118" t="s">
        <v>221</v>
      </c>
      <c r="I130" s="117">
        <v>-6.1917331850000004</v>
      </c>
      <c r="J130" s="117">
        <v>-47.853754600000002</v>
      </c>
      <c r="K130" s="116" t="s">
        <v>980</v>
      </c>
      <c r="L130" s="116" t="s">
        <v>981</v>
      </c>
      <c r="M130" s="116" t="s">
        <v>982</v>
      </c>
      <c r="N130" s="116" t="s">
        <v>982</v>
      </c>
    </row>
    <row r="131" spans="1:14" hidden="1">
      <c r="A131" s="118">
        <v>186</v>
      </c>
      <c r="B131" s="118" t="s">
        <v>732</v>
      </c>
      <c r="C131" s="118">
        <v>29</v>
      </c>
      <c r="D131" s="118" t="s">
        <v>718</v>
      </c>
      <c r="E131" s="118">
        <v>94</v>
      </c>
      <c r="F131" s="118" t="s">
        <v>717</v>
      </c>
      <c r="G131" s="118">
        <v>3</v>
      </c>
      <c r="H131" s="118" t="s">
        <v>679</v>
      </c>
      <c r="I131" s="117" t="s">
        <v>731</v>
      </c>
      <c r="J131" s="117" t="s">
        <v>730</v>
      </c>
      <c r="K131" s="116" t="s">
        <v>983</v>
      </c>
      <c r="L131" s="116" t="s">
        <v>984</v>
      </c>
      <c r="M131" s="116" t="s">
        <v>982</v>
      </c>
      <c r="N131" s="116" t="s">
        <v>982</v>
      </c>
    </row>
    <row r="132" spans="1:14" hidden="1">
      <c r="A132" s="118">
        <v>190</v>
      </c>
      <c r="B132" s="118" t="s">
        <v>729</v>
      </c>
      <c r="C132" s="118">
        <v>74</v>
      </c>
      <c r="D132" s="118" t="s">
        <v>321</v>
      </c>
      <c r="E132" s="118">
        <v>74</v>
      </c>
      <c r="F132" s="118" t="s">
        <v>321</v>
      </c>
      <c r="G132" s="118">
        <v>3</v>
      </c>
      <c r="H132" s="118" t="s">
        <v>679</v>
      </c>
      <c r="I132" s="117" t="s">
        <v>728</v>
      </c>
      <c r="J132" s="117" t="s">
        <v>727</v>
      </c>
      <c r="K132" s="116" t="s">
        <v>983</v>
      </c>
      <c r="L132" s="116" t="s">
        <v>984</v>
      </c>
      <c r="M132" s="116" t="s">
        <v>982</v>
      </c>
      <c r="N132" s="116" t="s">
        <v>982</v>
      </c>
    </row>
    <row r="133" spans="1:14" hidden="1">
      <c r="A133" s="118">
        <v>193</v>
      </c>
      <c r="B133" s="118" t="s">
        <v>726</v>
      </c>
      <c r="C133" s="118">
        <v>193</v>
      </c>
      <c r="D133" s="118" t="s">
        <v>726</v>
      </c>
      <c r="E133" s="118">
        <v>23</v>
      </c>
      <c r="F133" s="118" t="s">
        <v>221</v>
      </c>
      <c r="G133" s="118">
        <v>4</v>
      </c>
      <c r="H133" s="118" t="s">
        <v>221</v>
      </c>
      <c r="I133" s="117">
        <v>-7.9734579400000003</v>
      </c>
      <c r="J133" s="117">
        <v>-46.802940649999996</v>
      </c>
      <c r="K133" s="116" t="s">
        <v>980</v>
      </c>
      <c r="L133" s="116" t="s">
        <v>981</v>
      </c>
      <c r="M133" s="116" t="s">
        <v>982</v>
      </c>
      <c r="N133" s="116" t="s">
        <v>982</v>
      </c>
    </row>
    <row r="134" spans="1:14" hidden="1">
      <c r="A134" s="118">
        <v>195</v>
      </c>
      <c r="B134" s="118" t="s">
        <v>725</v>
      </c>
      <c r="C134" s="118">
        <v>227</v>
      </c>
      <c r="D134" s="118" t="s">
        <v>714</v>
      </c>
      <c r="E134" s="118">
        <v>9</v>
      </c>
      <c r="F134" s="118" t="s">
        <v>331</v>
      </c>
      <c r="G134" s="118">
        <v>4</v>
      </c>
      <c r="H134" s="118" t="s">
        <v>221</v>
      </c>
      <c r="I134" s="117" t="s">
        <v>724</v>
      </c>
      <c r="J134" s="117" t="s">
        <v>723</v>
      </c>
      <c r="K134" s="116" t="s">
        <v>980</v>
      </c>
      <c r="L134" s="116" t="s">
        <v>981</v>
      </c>
      <c r="M134" s="116" t="s">
        <v>982</v>
      </c>
      <c r="N134" s="116" t="s">
        <v>982</v>
      </c>
    </row>
    <row r="135" spans="1:14" hidden="1">
      <c r="A135" s="118">
        <v>196</v>
      </c>
      <c r="B135" s="118" t="s">
        <v>722</v>
      </c>
      <c r="C135" s="118">
        <v>151</v>
      </c>
      <c r="D135" s="118" t="s">
        <v>708</v>
      </c>
      <c r="E135" s="118">
        <v>59</v>
      </c>
      <c r="F135" s="118" t="s">
        <v>707</v>
      </c>
      <c r="G135" s="118">
        <v>122</v>
      </c>
      <c r="H135" s="118" t="s">
        <v>680</v>
      </c>
      <c r="I135" s="117" t="s">
        <v>721</v>
      </c>
      <c r="J135" s="117" t="s">
        <v>720</v>
      </c>
      <c r="K135" s="116" t="s">
        <v>976</v>
      </c>
      <c r="L135" s="116" t="s">
        <v>977</v>
      </c>
      <c r="M135" s="116" t="s">
        <v>978</v>
      </c>
      <c r="N135" s="116" t="s">
        <v>979</v>
      </c>
    </row>
    <row r="136" spans="1:14" hidden="1">
      <c r="A136" s="118">
        <v>200</v>
      </c>
      <c r="B136" s="118" t="s">
        <v>719</v>
      </c>
      <c r="C136" s="118">
        <v>29</v>
      </c>
      <c r="D136" s="118" t="s">
        <v>718</v>
      </c>
      <c r="E136" s="118">
        <v>94</v>
      </c>
      <c r="F136" s="118" t="s">
        <v>717</v>
      </c>
      <c r="G136" s="118">
        <v>3</v>
      </c>
      <c r="H136" s="118" t="s">
        <v>679</v>
      </c>
      <c r="I136" s="117" t="s">
        <v>716</v>
      </c>
      <c r="J136" s="117" t="s">
        <v>715</v>
      </c>
      <c r="K136" s="116" t="s">
        <v>983</v>
      </c>
      <c r="L136" s="116" t="s">
        <v>984</v>
      </c>
      <c r="M136" s="116" t="s">
        <v>982</v>
      </c>
      <c r="N136" s="116" t="s">
        <v>982</v>
      </c>
    </row>
    <row r="137" spans="1:14" hidden="1">
      <c r="A137" s="118">
        <v>227</v>
      </c>
      <c r="B137" s="118" t="s">
        <v>714</v>
      </c>
      <c r="C137" s="118">
        <v>227</v>
      </c>
      <c r="D137" s="118" t="s">
        <v>714</v>
      </c>
      <c r="E137" s="118">
        <v>9</v>
      </c>
      <c r="F137" s="118" t="s">
        <v>331</v>
      </c>
      <c r="G137" s="118">
        <v>4</v>
      </c>
      <c r="H137" s="118" t="s">
        <v>221</v>
      </c>
      <c r="I137" s="117">
        <v>-8.7353107100000003</v>
      </c>
      <c r="J137" s="117">
        <v>-47.240965940000002</v>
      </c>
      <c r="K137" s="116" t="s">
        <v>980</v>
      </c>
      <c r="L137" s="116" t="s">
        <v>981</v>
      </c>
      <c r="M137" s="116" t="s">
        <v>982</v>
      </c>
      <c r="N137" s="116" t="s">
        <v>982</v>
      </c>
    </row>
    <row r="138" spans="1:14" hidden="1">
      <c r="A138" s="118">
        <v>233</v>
      </c>
      <c r="B138" s="118" t="s">
        <v>713</v>
      </c>
      <c r="C138" s="118">
        <v>84</v>
      </c>
      <c r="D138" s="118" t="s">
        <v>712</v>
      </c>
      <c r="E138" s="118">
        <v>84</v>
      </c>
      <c r="F138" s="118" t="s">
        <v>712</v>
      </c>
      <c r="G138" s="118">
        <v>122</v>
      </c>
      <c r="H138" s="118" t="s">
        <v>680</v>
      </c>
      <c r="I138" s="117" t="s">
        <v>711</v>
      </c>
      <c r="J138" s="117" t="s">
        <v>710</v>
      </c>
      <c r="K138" s="116" t="s">
        <v>976</v>
      </c>
      <c r="L138" s="116" t="s">
        <v>977</v>
      </c>
      <c r="M138" s="116" t="s">
        <v>978</v>
      </c>
      <c r="N138" s="116" t="s">
        <v>979</v>
      </c>
    </row>
    <row r="139" spans="1:14" hidden="1">
      <c r="A139" s="118">
        <v>240</v>
      </c>
      <c r="B139" s="118" t="s">
        <v>709</v>
      </c>
      <c r="C139" s="118">
        <v>151</v>
      </c>
      <c r="D139" s="118" t="s">
        <v>708</v>
      </c>
      <c r="E139" s="118">
        <v>59</v>
      </c>
      <c r="F139" s="118" t="s">
        <v>707</v>
      </c>
      <c r="G139" s="118">
        <v>122</v>
      </c>
      <c r="H139" s="118" t="s">
        <v>680</v>
      </c>
      <c r="I139" s="117" t="s">
        <v>706</v>
      </c>
      <c r="J139" s="117" t="s">
        <v>705</v>
      </c>
      <c r="K139" s="116" t="s">
        <v>976</v>
      </c>
      <c r="L139" s="116" t="s">
        <v>977</v>
      </c>
      <c r="M139" s="116" t="s">
        <v>978</v>
      </c>
      <c r="N139" s="116" t="s">
        <v>979</v>
      </c>
    </row>
    <row r="140" spans="1:14" hidden="1">
      <c r="A140" s="118">
        <v>250</v>
      </c>
      <c r="B140" s="118" t="s">
        <v>704</v>
      </c>
      <c r="C140" s="118">
        <v>1</v>
      </c>
      <c r="D140" s="118" t="s">
        <v>703</v>
      </c>
      <c r="E140" s="118">
        <v>1</v>
      </c>
      <c r="F140" s="118" t="s">
        <v>703</v>
      </c>
      <c r="G140" s="118">
        <v>122</v>
      </c>
      <c r="H140" s="118" t="s">
        <v>680</v>
      </c>
      <c r="I140" s="117" t="s">
        <v>702</v>
      </c>
      <c r="J140" s="117" t="s">
        <v>701</v>
      </c>
      <c r="K140" s="116" t="s">
        <v>976</v>
      </c>
      <c r="L140" s="116" t="s">
        <v>977</v>
      </c>
      <c r="M140" s="116" t="s">
        <v>978</v>
      </c>
      <c r="N140" s="116" t="s">
        <v>979</v>
      </c>
    </row>
    <row r="141" spans="1:14" hidden="1">
      <c r="A141" s="118">
        <v>253</v>
      </c>
      <c r="B141" s="118" t="s">
        <v>700</v>
      </c>
      <c r="C141" s="118">
        <v>13</v>
      </c>
      <c r="D141" s="118" t="s">
        <v>699</v>
      </c>
      <c r="E141" s="118">
        <v>13</v>
      </c>
      <c r="F141" s="118" t="s">
        <v>699</v>
      </c>
      <c r="G141" s="118">
        <v>122</v>
      </c>
      <c r="H141" s="118" t="s">
        <v>680</v>
      </c>
      <c r="I141" s="117" t="s">
        <v>698</v>
      </c>
      <c r="J141" s="117" t="s">
        <v>697</v>
      </c>
      <c r="K141" s="116" t="s">
        <v>976</v>
      </c>
      <c r="L141" s="116" t="s">
        <v>977</v>
      </c>
      <c r="M141" s="116" t="s">
        <v>978</v>
      </c>
      <c r="N141" s="116" t="s">
        <v>979</v>
      </c>
    </row>
    <row r="142" spans="1:14" hidden="1">
      <c r="A142" s="118">
        <v>256</v>
      </c>
      <c r="B142" s="118" t="s">
        <v>696</v>
      </c>
      <c r="C142" s="118">
        <v>256</v>
      </c>
      <c r="D142" s="118" t="s">
        <v>696</v>
      </c>
      <c r="E142" s="118">
        <v>26</v>
      </c>
      <c r="F142" s="118" t="s">
        <v>694</v>
      </c>
      <c r="G142" s="118">
        <v>122</v>
      </c>
      <c r="H142" s="118" t="s">
        <v>680</v>
      </c>
      <c r="I142" s="117">
        <v>-10.546435089999999</v>
      </c>
      <c r="J142" s="117">
        <v>-46.413419769999997</v>
      </c>
      <c r="K142" s="116" t="s">
        <v>976</v>
      </c>
      <c r="L142" s="116" t="s">
        <v>977</v>
      </c>
      <c r="M142" s="116" t="s">
        <v>978</v>
      </c>
      <c r="N142" s="116" t="s">
        <v>979</v>
      </c>
    </row>
    <row r="143" spans="1:14" hidden="1">
      <c r="A143" s="118">
        <v>257</v>
      </c>
      <c r="B143" s="118" t="s">
        <v>695</v>
      </c>
      <c r="C143" s="118">
        <v>257</v>
      </c>
      <c r="D143" s="118" t="s">
        <v>695</v>
      </c>
      <c r="E143" s="118">
        <v>26</v>
      </c>
      <c r="F143" s="118" t="s">
        <v>694</v>
      </c>
      <c r="G143" s="118">
        <v>122</v>
      </c>
      <c r="H143" s="118" t="s">
        <v>680</v>
      </c>
      <c r="I143" s="117">
        <v>-10.159059790000001</v>
      </c>
      <c r="J143" s="117">
        <v>-46.66672672</v>
      </c>
      <c r="K143" s="116" t="s">
        <v>976</v>
      </c>
      <c r="L143" s="116" t="s">
        <v>977</v>
      </c>
      <c r="M143" s="116" t="s">
        <v>978</v>
      </c>
      <c r="N143" s="116" t="s">
        <v>979</v>
      </c>
    </row>
    <row r="144" spans="1:14" hidden="1">
      <c r="A144" s="118">
        <v>263</v>
      </c>
      <c r="B144" s="118" t="s">
        <v>693</v>
      </c>
      <c r="C144" s="118">
        <v>74</v>
      </c>
      <c r="D144" s="118" t="s">
        <v>321</v>
      </c>
      <c r="E144" s="118">
        <v>74</v>
      </c>
      <c r="F144" s="118" t="s">
        <v>321</v>
      </c>
      <c r="G144" s="118">
        <v>3</v>
      </c>
      <c r="H144" s="118" t="s">
        <v>679</v>
      </c>
      <c r="I144" s="117" t="s">
        <v>692</v>
      </c>
      <c r="J144" s="117" t="s">
        <v>691</v>
      </c>
      <c r="K144" s="116" t="s">
        <v>983</v>
      </c>
      <c r="L144" s="116" t="s">
        <v>984</v>
      </c>
      <c r="M144" s="116" t="s">
        <v>982</v>
      </c>
      <c r="N144" s="116" t="s">
        <v>982</v>
      </c>
    </row>
    <row r="145" spans="1:14" hidden="1">
      <c r="A145" s="118">
        <v>265</v>
      </c>
      <c r="B145" s="118" t="s">
        <v>690</v>
      </c>
      <c r="C145" s="118">
        <v>77</v>
      </c>
      <c r="D145" s="118" t="s">
        <v>689</v>
      </c>
      <c r="E145" s="118">
        <v>23</v>
      </c>
      <c r="F145" s="118" t="s">
        <v>221</v>
      </c>
      <c r="G145" s="118">
        <v>4</v>
      </c>
      <c r="H145" s="118" t="s">
        <v>221</v>
      </c>
      <c r="I145" s="117" t="s">
        <v>688</v>
      </c>
      <c r="J145" s="117" t="s">
        <v>687</v>
      </c>
      <c r="K145" s="116" t="s">
        <v>980</v>
      </c>
      <c r="L145" s="116" t="s">
        <v>981</v>
      </c>
      <c r="M145" s="116" t="s">
        <v>982</v>
      </c>
      <c r="N145" s="116" t="s">
        <v>982</v>
      </c>
    </row>
    <row r="146" spans="1:14" hidden="1">
      <c r="A146" s="118">
        <v>271</v>
      </c>
      <c r="B146" s="118" t="s">
        <v>686</v>
      </c>
      <c r="C146" s="118">
        <v>271</v>
      </c>
      <c r="D146" s="118" t="s">
        <v>686</v>
      </c>
      <c r="E146" s="118">
        <v>122</v>
      </c>
      <c r="F146" s="118" t="s">
        <v>680</v>
      </c>
      <c r="G146" s="118">
        <v>122</v>
      </c>
      <c r="H146" s="118" t="s">
        <v>680</v>
      </c>
      <c r="I146" s="117" t="s">
        <v>685</v>
      </c>
      <c r="J146" s="117" t="s">
        <v>684</v>
      </c>
      <c r="K146" s="116" t="s">
        <v>976</v>
      </c>
      <c r="L146" s="116" t="s">
        <v>977</v>
      </c>
      <c r="M146" s="116" t="s">
        <v>978</v>
      </c>
      <c r="N146" s="116" t="s">
        <v>979</v>
      </c>
    </row>
    <row r="147" spans="1:14" hidden="1">
      <c r="A147" s="118">
        <v>275</v>
      </c>
      <c r="B147" s="118" t="s">
        <v>683</v>
      </c>
      <c r="C147" s="118">
        <v>275</v>
      </c>
      <c r="D147" s="118" t="s">
        <v>683</v>
      </c>
      <c r="E147" s="118">
        <v>3</v>
      </c>
      <c r="F147" s="118" t="s">
        <v>679</v>
      </c>
      <c r="G147" s="118">
        <v>3</v>
      </c>
      <c r="H147" s="118" t="s">
        <v>679</v>
      </c>
      <c r="I147" s="117" t="s">
        <v>682</v>
      </c>
      <c r="J147" s="117" t="s">
        <v>681</v>
      </c>
      <c r="K147" s="116" t="s">
        <v>983</v>
      </c>
      <c r="L147" s="116" t="s">
        <v>984</v>
      </c>
      <c r="M147" s="116" t="s">
        <v>982</v>
      </c>
      <c r="N147" s="116" t="s">
        <v>982</v>
      </c>
    </row>
  </sheetData>
  <autoFilter ref="A1:J147" xr:uid="{00000000-0001-0000-0000-000000000000}">
    <filterColumn colId="1">
      <filters>
        <filter val="PALMEIRAS DO TOCANTINS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8"/>
  <sheetViews>
    <sheetView zoomScale="70" zoomScaleNormal="70" workbookViewId="0">
      <pane ySplit="4" topLeftCell="A5" activePane="bottomLeft" state="frozen"/>
      <selection pane="bottomLeft" activeCell="G50" sqref="G50"/>
    </sheetView>
  </sheetViews>
  <sheetFormatPr defaultColWidth="8.7109375" defaultRowHeight="15"/>
  <cols>
    <col min="1" max="1" width="20" customWidth="1"/>
    <col min="2" max="2" width="12" customWidth="1"/>
    <col min="3" max="3" width="22" customWidth="1"/>
    <col min="4" max="4" width="19.85546875" customWidth="1"/>
    <col min="5" max="5" width="13" customWidth="1"/>
    <col min="6" max="6" width="13" hidden="1" customWidth="1"/>
    <col min="7" max="7" width="11" customWidth="1"/>
    <col min="8" max="8" width="20" customWidth="1"/>
    <col min="9" max="9" width="34.5703125" customWidth="1"/>
    <col min="10" max="10" width="6" customWidth="1"/>
    <col min="11" max="11" width="20" hidden="1" customWidth="1"/>
    <col min="12" max="12" width="16" hidden="1" customWidth="1"/>
    <col min="13" max="13" width="41" hidden="1" customWidth="1"/>
    <col min="14" max="14" width="15" customWidth="1"/>
    <col min="15" max="17" width="18" customWidth="1"/>
    <col min="18" max="18" width="34" customWidth="1"/>
  </cols>
  <sheetData>
    <row r="1" spans="1:18" ht="30" customHeight="1">
      <c r="A1" s="136" t="s">
        <v>333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</row>
    <row r="2" spans="1:18" ht="15.75" customHeight="1">
      <c r="A2" s="137" t="s">
        <v>334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</row>
    <row r="4" spans="1:18" ht="25.5" customHeight="1">
      <c r="A4" s="31" t="s">
        <v>73</v>
      </c>
      <c r="B4" s="31" t="s">
        <v>118</v>
      </c>
      <c r="C4" s="31" t="s">
        <v>119</v>
      </c>
      <c r="D4" s="31" t="s">
        <v>120</v>
      </c>
      <c r="E4" s="31" t="s">
        <v>121</v>
      </c>
      <c r="F4" s="31"/>
      <c r="G4" s="31" t="s">
        <v>59</v>
      </c>
      <c r="H4" s="31" t="s">
        <v>58</v>
      </c>
      <c r="I4" s="31" t="s">
        <v>124</v>
      </c>
      <c r="J4" s="31" t="s">
        <v>125</v>
      </c>
      <c r="K4" s="31" t="s">
        <v>128</v>
      </c>
      <c r="L4" s="31" t="s">
        <v>129</v>
      </c>
      <c r="M4" s="31" t="s">
        <v>97</v>
      </c>
      <c r="N4" s="52" t="s">
        <v>335</v>
      </c>
      <c r="O4" s="52" t="s">
        <v>336</v>
      </c>
      <c r="P4" s="52" t="s">
        <v>337</v>
      </c>
      <c r="Q4" s="52" t="s">
        <v>9</v>
      </c>
      <c r="R4" s="52" t="s">
        <v>338</v>
      </c>
    </row>
    <row r="5" spans="1:18" ht="15" customHeight="1">
      <c r="A5" s="41" t="s">
        <v>339</v>
      </c>
      <c r="B5" s="41" t="s">
        <v>340</v>
      </c>
      <c r="C5" s="41" t="s">
        <v>341</v>
      </c>
      <c r="D5" s="41" t="s">
        <v>158</v>
      </c>
      <c r="E5" s="41" t="s">
        <v>35</v>
      </c>
      <c r="F5" s="41">
        <v>1</v>
      </c>
      <c r="G5" s="42" t="s">
        <v>46</v>
      </c>
      <c r="H5" s="41" t="s">
        <v>42</v>
      </c>
      <c r="I5" s="41" t="s">
        <v>342</v>
      </c>
      <c r="J5" s="42">
        <v>1</v>
      </c>
      <c r="K5" s="41" t="s">
        <v>343</v>
      </c>
      <c r="L5" s="41"/>
      <c r="M5" s="41" t="s">
        <v>344</v>
      </c>
      <c r="N5" s="53">
        <v>126893.8</v>
      </c>
      <c r="O5" s="54">
        <f t="shared" ref="O5:O16" si="0">J5*N5</f>
        <v>126893.8</v>
      </c>
      <c r="P5" s="53">
        <v>80318.5</v>
      </c>
      <c r="Q5" s="54">
        <f t="shared" ref="Q5:Q16" si="1">O5+P5</f>
        <v>207212.3</v>
      </c>
      <c r="R5" s="55" t="s">
        <v>345</v>
      </c>
    </row>
    <row r="6" spans="1:18" ht="15" customHeight="1">
      <c r="A6" s="46" t="s">
        <v>346</v>
      </c>
      <c r="B6" s="46" t="s">
        <v>347</v>
      </c>
      <c r="C6" s="46" t="s">
        <v>348</v>
      </c>
      <c r="D6" s="46" t="s">
        <v>349</v>
      </c>
      <c r="E6" s="46" t="s">
        <v>36</v>
      </c>
      <c r="F6" s="46">
        <v>2</v>
      </c>
      <c r="G6" s="47" t="s">
        <v>46</v>
      </c>
      <c r="H6" s="46" t="s">
        <v>30</v>
      </c>
      <c r="I6" s="56" t="s">
        <v>350</v>
      </c>
      <c r="J6" s="47">
        <v>1</v>
      </c>
      <c r="K6" s="46" t="s">
        <v>343</v>
      </c>
      <c r="L6" s="46"/>
      <c r="M6" s="46" t="s">
        <v>351</v>
      </c>
      <c r="N6" s="53">
        <v>29445.39</v>
      </c>
      <c r="O6" s="54">
        <f t="shared" si="0"/>
        <v>29445.39</v>
      </c>
      <c r="P6" s="53">
        <v>0</v>
      </c>
      <c r="Q6" s="54">
        <f t="shared" si="1"/>
        <v>29445.39</v>
      </c>
      <c r="R6" s="55" t="s">
        <v>352</v>
      </c>
    </row>
    <row r="7" spans="1:18" ht="15" customHeight="1">
      <c r="A7" s="46" t="s">
        <v>346</v>
      </c>
      <c r="B7" s="46" t="s">
        <v>347</v>
      </c>
      <c r="C7" s="46" t="s">
        <v>348</v>
      </c>
      <c r="D7" s="46" t="s">
        <v>349</v>
      </c>
      <c r="E7" s="46" t="s">
        <v>36</v>
      </c>
      <c r="F7" s="46">
        <v>3</v>
      </c>
      <c r="G7" s="47" t="s">
        <v>46</v>
      </c>
      <c r="H7" s="46" t="s">
        <v>42</v>
      </c>
      <c r="I7" s="56" t="s">
        <v>353</v>
      </c>
      <c r="J7" s="47">
        <v>3</v>
      </c>
      <c r="K7" s="46" t="s">
        <v>343</v>
      </c>
      <c r="L7" s="46"/>
      <c r="M7" s="46" t="s">
        <v>351</v>
      </c>
      <c r="N7" s="53">
        <v>57720.41</v>
      </c>
      <c r="O7" s="54">
        <f t="shared" si="0"/>
        <v>173161.23</v>
      </c>
      <c r="P7" s="53">
        <v>80318.5</v>
      </c>
      <c r="Q7" s="54">
        <f t="shared" si="1"/>
        <v>253479.73</v>
      </c>
      <c r="R7" s="55" t="s">
        <v>354</v>
      </c>
    </row>
    <row r="8" spans="1:18" ht="15" customHeight="1">
      <c r="A8" s="46" t="s">
        <v>355</v>
      </c>
      <c r="B8" s="46" t="s">
        <v>356</v>
      </c>
      <c r="C8" s="46" t="s">
        <v>357</v>
      </c>
      <c r="D8" s="46" t="s">
        <v>144</v>
      </c>
      <c r="E8" s="46" t="s">
        <v>37</v>
      </c>
      <c r="F8" s="46"/>
      <c r="G8" s="47" t="s">
        <v>46</v>
      </c>
      <c r="H8" s="46" t="s">
        <v>30</v>
      </c>
      <c r="I8" s="46" t="s">
        <v>30</v>
      </c>
      <c r="J8" s="47">
        <v>1</v>
      </c>
      <c r="K8" s="46" t="s">
        <v>343</v>
      </c>
      <c r="L8" s="46"/>
      <c r="M8" s="46" t="s">
        <v>358</v>
      </c>
      <c r="N8" s="53">
        <v>29445.39</v>
      </c>
      <c r="O8" s="54">
        <f t="shared" si="0"/>
        <v>29445.39</v>
      </c>
      <c r="P8" s="53">
        <v>0</v>
      </c>
      <c r="Q8" s="54">
        <f t="shared" si="1"/>
        <v>29445.39</v>
      </c>
      <c r="R8" s="55" t="s">
        <v>352</v>
      </c>
    </row>
    <row r="9" spans="1:18" ht="15" customHeight="1">
      <c r="A9" s="41" t="s">
        <v>359</v>
      </c>
      <c r="B9" s="41" t="s">
        <v>360</v>
      </c>
      <c r="C9" s="41" t="s">
        <v>180</v>
      </c>
      <c r="D9" s="41" t="s">
        <v>181</v>
      </c>
      <c r="E9" s="41" t="s">
        <v>37</v>
      </c>
      <c r="F9" s="41"/>
      <c r="G9" s="42" t="s">
        <v>46</v>
      </c>
      <c r="H9" s="41" t="s">
        <v>42</v>
      </c>
      <c r="I9" s="41" t="s">
        <v>361</v>
      </c>
      <c r="J9" s="42">
        <v>2</v>
      </c>
      <c r="K9" s="41" t="s">
        <v>343</v>
      </c>
      <c r="L9" s="41"/>
      <c r="M9" s="41" t="s">
        <v>362</v>
      </c>
      <c r="N9" s="53">
        <v>57720.41</v>
      </c>
      <c r="O9" s="54">
        <f t="shared" si="0"/>
        <v>115440.82</v>
      </c>
      <c r="P9" s="53">
        <v>80318.5</v>
      </c>
      <c r="Q9" s="54">
        <f t="shared" si="1"/>
        <v>195759.32</v>
      </c>
      <c r="R9" s="55" t="s">
        <v>363</v>
      </c>
    </row>
    <row r="10" spans="1:18" ht="15" customHeight="1">
      <c r="A10" s="41" t="s">
        <v>364</v>
      </c>
      <c r="B10" s="41" t="s">
        <v>365</v>
      </c>
      <c r="C10" s="41" t="s">
        <v>268</v>
      </c>
      <c r="D10" s="41" t="s">
        <v>268</v>
      </c>
      <c r="E10" s="41" t="s">
        <v>39</v>
      </c>
      <c r="F10" s="41"/>
      <c r="G10" s="42" t="s">
        <v>45</v>
      </c>
      <c r="H10" s="41" t="s">
        <v>30</v>
      </c>
      <c r="I10" s="41" t="s">
        <v>30</v>
      </c>
      <c r="J10" s="42">
        <v>1</v>
      </c>
      <c r="K10" s="41" t="s">
        <v>343</v>
      </c>
      <c r="L10" s="41"/>
      <c r="M10" s="41" t="s">
        <v>100</v>
      </c>
      <c r="N10" s="53">
        <v>29445.39</v>
      </c>
      <c r="O10" s="54">
        <f t="shared" si="0"/>
        <v>29445.39</v>
      </c>
      <c r="P10" s="53">
        <v>0</v>
      </c>
      <c r="Q10" s="54">
        <f t="shared" si="1"/>
        <v>29445.39</v>
      </c>
      <c r="R10" s="55" t="s">
        <v>352</v>
      </c>
    </row>
    <row r="11" spans="1:18" ht="15" customHeight="1">
      <c r="A11" s="41" t="s">
        <v>366</v>
      </c>
      <c r="B11" s="41" t="s">
        <v>367</v>
      </c>
      <c r="C11" s="41" t="s">
        <v>144</v>
      </c>
      <c r="D11" s="41" t="s">
        <v>144</v>
      </c>
      <c r="E11" s="41" t="s">
        <v>39</v>
      </c>
      <c r="F11" s="41"/>
      <c r="G11" s="42" t="s">
        <v>45</v>
      </c>
      <c r="H11" s="41" t="s">
        <v>42</v>
      </c>
      <c r="I11" s="41" t="s">
        <v>368</v>
      </c>
      <c r="J11" s="42">
        <v>1</v>
      </c>
      <c r="K11" s="41" t="s">
        <v>343</v>
      </c>
      <c r="L11" s="41"/>
      <c r="M11" s="41" t="s">
        <v>369</v>
      </c>
      <c r="N11" s="53">
        <v>61098.29</v>
      </c>
      <c r="O11" s="54">
        <f t="shared" si="0"/>
        <v>61098.29</v>
      </c>
      <c r="P11" s="53">
        <v>51402.14</v>
      </c>
      <c r="Q11" s="54">
        <f t="shared" si="1"/>
        <v>112500.43</v>
      </c>
      <c r="R11" s="57" t="s">
        <v>370</v>
      </c>
    </row>
    <row r="12" spans="1:18" ht="15" customHeight="1">
      <c r="A12" s="46" t="s">
        <v>371</v>
      </c>
      <c r="B12" s="46" t="s">
        <v>372</v>
      </c>
      <c r="C12" s="46" t="s">
        <v>181</v>
      </c>
      <c r="D12" s="46" t="s">
        <v>181</v>
      </c>
      <c r="E12" s="46" t="s">
        <v>39</v>
      </c>
      <c r="F12" s="46"/>
      <c r="G12" s="47" t="s">
        <v>45</v>
      </c>
      <c r="H12" s="46" t="s">
        <v>42</v>
      </c>
      <c r="I12" s="46" t="s">
        <v>373</v>
      </c>
      <c r="J12" s="47">
        <v>3</v>
      </c>
      <c r="K12" s="46"/>
      <c r="L12" s="46"/>
      <c r="M12" s="46" t="s">
        <v>374</v>
      </c>
      <c r="N12" s="53">
        <v>61098.29</v>
      </c>
      <c r="O12" s="54">
        <f t="shared" si="0"/>
        <v>183294.87</v>
      </c>
      <c r="P12" s="53">
        <v>51402.14</v>
      </c>
      <c r="Q12" s="54">
        <f t="shared" si="1"/>
        <v>234697.01</v>
      </c>
      <c r="R12" s="57" t="s">
        <v>370</v>
      </c>
    </row>
    <row r="13" spans="1:18" ht="15" customHeight="1">
      <c r="A13" s="41" t="s">
        <v>375</v>
      </c>
      <c r="B13" s="41" t="s">
        <v>376</v>
      </c>
      <c r="C13" s="41" t="s">
        <v>377</v>
      </c>
      <c r="D13" s="41" t="s">
        <v>133</v>
      </c>
      <c r="E13" s="41" t="s">
        <v>38</v>
      </c>
      <c r="F13" s="41"/>
      <c r="G13" s="42" t="s">
        <v>45</v>
      </c>
      <c r="H13" s="41" t="s">
        <v>30</v>
      </c>
      <c r="I13" s="41" t="s">
        <v>30</v>
      </c>
      <c r="J13" s="42">
        <v>1</v>
      </c>
      <c r="K13" s="41" t="s">
        <v>343</v>
      </c>
      <c r="L13" s="41"/>
      <c r="M13" s="41"/>
      <c r="N13" s="53">
        <v>29445.39</v>
      </c>
      <c r="O13" s="54">
        <f t="shared" si="0"/>
        <v>29445.39</v>
      </c>
      <c r="P13" s="53">
        <v>0</v>
      </c>
      <c r="Q13" s="54">
        <f t="shared" si="1"/>
        <v>29445.39</v>
      </c>
      <c r="R13" s="55" t="s">
        <v>352</v>
      </c>
    </row>
    <row r="14" spans="1:18" ht="15" customHeight="1">
      <c r="A14" s="46" t="s">
        <v>378</v>
      </c>
      <c r="B14" s="46" t="s">
        <v>379</v>
      </c>
      <c r="C14" s="46" t="s">
        <v>380</v>
      </c>
      <c r="D14" s="46" t="s">
        <v>168</v>
      </c>
      <c r="E14" s="46" t="s">
        <v>38</v>
      </c>
      <c r="F14" s="46"/>
      <c r="G14" s="47" t="s">
        <v>46</v>
      </c>
      <c r="H14" s="46" t="s">
        <v>42</v>
      </c>
      <c r="I14" s="46" t="s">
        <v>373</v>
      </c>
      <c r="J14" s="47">
        <v>3</v>
      </c>
      <c r="K14" s="46" t="s">
        <v>343</v>
      </c>
      <c r="L14" s="46"/>
      <c r="M14" s="46" t="s">
        <v>381</v>
      </c>
      <c r="N14" s="53">
        <v>126893.8</v>
      </c>
      <c r="O14" s="54">
        <f t="shared" si="0"/>
        <v>380681.4</v>
      </c>
      <c r="P14" s="53">
        <v>80318.5</v>
      </c>
      <c r="Q14" s="54">
        <f t="shared" si="1"/>
        <v>460999.9</v>
      </c>
      <c r="R14" s="55" t="s">
        <v>382</v>
      </c>
    </row>
    <row r="15" spans="1:18" ht="15" customHeight="1">
      <c r="A15" s="46" t="s">
        <v>383</v>
      </c>
      <c r="B15" s="46" t="s">
        <v>384</v>
      </c>
      <c r="C15" s="46" t="s">
        <v>385</v>
      </c>
      <c r="D15" s="46" t="s">
        <v>349</v>
      </c>
      <c r="E15" s="46" t="s">
        <v>38</v>
      </c>
      <c r="F15" s="46"/>
      <c r="G15" s="47" t="s">
        <v>45</v>
      </c>
      <c r="H15" s="46" t="s">
        <v>42</v>
      </c>
      <c r="I15" s="46" t="s">
        <v>386</v>
      </c>
      <c r="J15" s="47">
        <v>1</v>
      </c>
      <c r="K15" s="46" t="s">
        <v>343</v>
      </c>
      <c r="L15" s="46"/>
      <c r="M15" s="46" t="s">
        <v>387</v>
      </c>
      <c r="N15" s="53">
        <v>61098.29</v>
      </c>
      <c r="O15" s="54">
        <f t="shared" si="0"/>
        <v>61098.29</v>
      </c>
      <c r="P15" s="53">
        <v>51402.14</v>
      </c>
      <c r="Q15" s="54">
        <f t="shared" si="1"/>
        <v>112500.43</v>
      </c>
      <c r="R15" s="55" t="s">
        <v>388</v>
      </c>
    </row>
    <row r="16" spans="1:18" ht="15" customHeight="1">
      <c r="A16" s="41" t="s">
        <v>389</v>
      </c>
      <c r="B16" s="41" t="s">
        <v>390</v>
      </c>
      <c r="C16" s="41" t="s">
        <v>391</v>
      </c>
      <c r="D16" s="41" t="s">
        <v>181</v>
      </c>
      <c r="E16" s="41" t="s">
        <v>38</v>
      </c>
      <c r="F16" s="41"/>
      <c r="G16" s="42" t="s">
        <v>45</v>
      </c>
      <c r="H16" s="41" t="s">
        <v>42</v>
      </c>
      <c r="I16" s="41" t="s">
        <v>342</v>
      </c>
      <c r="J16" s="42">
        <v>1</v>
      </c>
      <c r="K16" s="41" t="s">
        <v>343</v>
      </c>
      <c r="L16" s="41"/>
      <c r="M16" s="41" t="s">
        <v>100</v>
      </c>
      <c r="N16" s="53">
        <v>61098.29</v>
      </c>
      <c r="O16" s="54">
        <f t="shared" si="0"/>
        <v>61098.29</v>
      </c>
      <c r="P16" s="53">
        <v>51402.14</v>
      </c>
      <c r="Q16" s="54">
        <f t="shared" si="1"/>
        <v>112500.43</v>
      </c>
      <c r="R16" s="57" t="s">
        <v>370</v>
      </c>
    </row>
    <row r="17" spans="9:17" ht="15" customHeight="1">
      <c r="I17" s="50"/>
      <c r="M17" s="50" t="s">
        <v>26</v>
      </c>
      <c r="N17" s="51"/>
      <c r="O17" s="58">
        <f>SUM(O5:O16)</f>
        <v>1280548.5500000003</v>
      </c>
      <c r="P17" s="58">
        <f>SUM(P5:P16)</f>
        <v>526882.56000000006</v>
      </c>
      <c r="Q17" s="58">
        <f>SUM(Q5:Q16)</f>
        <v>1807431.1099999999</v>
      </c>
    </row>
    <row r="18" spans="9:17" ht="15" customHeight="1">
      <c r="M18" s="37" t="s">
        <v>392</v>
      </c>
      <c r="N18" s="37"/>
    </row>
  </sheetData>
  <autoFilter ref="A4:R18" xr:uid="{00000000-0001-0000-0400-000000000000}"/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zoomScale="115" zoomScaleNormal="115" workbookViewId="0">
      <pane ySplit="4" topLeftCell="A5" activePane="bottomLeft" state="frozen"/>
      <selection pane="bottomLeft" activeCell="A6" sqref="A6:G6"/>
    </sheetView>
  </sheetViews>
  <sheetFormatPr defaultColWidth="8.7109375" defaultRowHeight="15"/>
  <cols>
    <col min="1" max="1" width="20" customWidth="1"/>
    <col min="2" max="2" width="12" customWidth="1"/>
    <col min="3" max="3" width="22" customWidth="1"/>
    <col min="4" max="4" width="16" customWidth="1"/>
    <col min="5" max="5" width="13" customWidth="1"/>
    <col min="6" max="6" width="64.42578125" customWidth="1"/>
    <col min="7" max="7" width="30" customWidth="1"/>
  </cols>
  <sheetData>
    <row r="1" spans="1:7" ht="30" customHeight="1">
      <c r="A1" s="136" t="s">
        <v>393</v>
      </c>
      <c r="B1" s="136"/>
      <c r="C1" s="136"/>
      <c r="D1" s="136"/>
      <c r="E1" s="136"/>
      <c r="F1" s="136"/>
      <c r="G1" s="136"/>
    </row>
    <row r="2" spans="1:7" ht="15.75" customHeight="1">
      <c r="A2" s="137" t="s">
        <v>394</v>
      </c>
      <c r="B2" s="137"/>
      <c r="C2" s="137"/>
      <c r="D2" s="137"/>
      <c r="E2" s="137"/>
      <c r="F2" s="137"/>
      <c r="G2" s="137"/>
    </row>
    <row r="4" spans="1:7" ht="15" customHeight="1">
      <c r="A4" s="59" t="s">
        <v>73</v>
      </c>
      <c r="B4" s="59" t="s">
        <v>118</v>
      </c>
      <c r="C4" s="59" t="s">
        <v>119</v>
      </c>
      <c r="D4" s="59" t="s">
        <v>120</v>
      </c>
      <c r="E4" s="59" t="s">
        <v>121</v>
      </c>
      <c r="F4" s="59" t="s">
        <v>395</v>
      </c>
      <c r="G4" s="59" t="s">
        <v>396</v>
      </c>
    </row>
    <row r="5" spans="1:7" ht="15" customHeight="1">
      <c r="A5" s="60" t="s">
        <v>397</v>
      </c>
      <c r="B5" s="60" t="s">
        <v>398</v>
      </c>
      <c r="C5" s="60" t="s">
        <v>158</v>
      </c>
      <c r="D5" s="60" t="s">
        <v>158</v>
      </c>
      <c r="E5" s="60" t="s">
        <v>36</v>
      </c>
      <c r="F5" s="60" t="s">
        <v>399</v>
      </c>
      <c r="G5" s="60" t="s">
        <v>400</v>
      </c>
    </row>
    <row r="6" spans="1:7" ht="15" customHeight="1">
      <c r="A6" s="61" t="s">
        <v>401</v>
      </c>
      <c r="B6" s="61" t="s">
        <v>402</v>
      </c>
      <c r="C6" s="61" t="s">
        <v>275</v>
      </c>
      <c r="D6" s="61" t="s">
        <v>275</v>
      </c>
      <c r="E6" s="61" t="s">
        <v>39</v>
      </c>
      <c r="F6" s="61" t="s">
        <v>403</v>
      </c>
      <c r="G6" s="62" t="s">
        <v>404</v>
      </c>
    </row>
    <row r="7" spans="1:7" ht="15" customHeight="1">
      <c r="A7" s="60" t="s">
        <v>405</v>
      </c>
      <c r="B7" s="60" t="s">
        <v>406</v>
      </c>
      <c r="C7" s="60" t="s">
        <v>391</v>
      </c>
      <c r="D7" s="60" t="s">
        <v>181</v>
      </c>
      <c r="E7" s="60" t="s">
        <v>39</v>
      </c>
      <c r="F7" s="60" t="s">
        <v>407</v>
      </c>
      <c r="G7" s="60" t="s">
        <v>408</v>
      </c>
    </row>
    <row r="8" spans="1:7" ht="15" customHeight="1">
      <c r="A8" s="61" t="s">
        <v>409</v>
      </c>
      <c r="B8" s="61" t="s">
        <v>410</v>
      </c>
      <c r="C8" s="61" t="s">
        <v>391</v>
      </c>
      <c r="D8" s="61" t="s">
        <v>181</v>
      </c>
      <c r="E8" s="61" t="s">
        <v>35</v>
      </c>
      <c r="F8" s="61" t="s">
        <v>411</v>
      </c>
      <c r="G8" s="61" t="s">
        <v>408</v>
      </c>
    </row>
    <row r="9" spans="1:7" ht="24.75" customHeight="1">
      <c r="A9" s="60" t="s">
        <v>412</v>
      </c>
      <c r="B9" s="60" t="s">
        <v>413</v>
      </c>
      <c r="C9" s="60" t="s">
        <v>267</v>
      </c>
      <c r="D9" s="60" t="s">
        <v>268</v>
      </c>
      <c r="E9" s="60" t="s">
        <v>39</v>
      </c>
      <c r="F9" s="60" t="s">
        <v>414</v>
      </c>
      <c r="G9" s="63" t="s">
        <v>415</v>
      </c>
    </row>
    <row r="10" spans="1:7" ht="15" customHeight="1">
      <c r="A10" s="61" t="s">
        <v>416</v>
      </c>
      <c r="B10" s="61" t="s">
        <v>417</v>
      </c>
      <c r="C10" s="61" t="s">
        <v>312</v>
      </c>
      <c r="D10" s="61" t="s">
        <v>275</v>
      </c>
      <c r="E10" s="61" t="s">
        <v>39</v>
      </c>
      <c r="F10" s="61" t="s">
        <v>418</v>
      </c>
      <c r="G10" s="61" t="s">
        <v>419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zoomScale="85" zoomScaleNormal="85" workbookViewId="0">
      <pane ySplit="4" topLeftCell="A5" activePane="bottomLeft" state="frozen"/>
      <selection pane="bottomLeft" activeCell="I8" sqref="A7:I8"/>
    </sheetView>
  </sheetViews>
  <sheetFormatPr defaultColWidth="8.7109375" defaultRowHeight="15"/>
  <cols>
    <col min="1" max="1" width="20" customWidth="1"/>
    <col min="2" max="2" width="12" customWidth="1"/>
    <col min="3" max="3" width="22" customWidth="1"/>
    <col min="4" max="4" width="16" customWidth="1"/>
    <col min="5" max="5" width="13" customWidth="1"/>
    <col min="6" max="6" width="22" customWidth="1"/>
    <col min="7" max="7" width="36.85546875" customWidth="1"/>
    <col min="8" max="8" width="35.85546875" customWidth="1"/>
    <col min="9" max="9" width="42.7109375" customWidth="1"/>
  </cols>
  <sheetData>
    <row r="1" spans="1:10" ht="30" customHeight="1">
      <c r="A1" s="136" t="s">
        <v>420</v>
      </c>
      <c r="B1" s="136"/>
      <c r="C1" s="136"/>
      <c r="D1" s="136"/>
      <c r="E1" s="136"/>
      <c r="F1" s="136"/>
      <c r="G1" s="136"/>
      <c r="H1" s="136"/>
    </row>
    <row r="2" spans="1:10" ht="15.75" customHeight="1">
      <c r="A2" s="143" t="s">
        <v>421</v>
      </c>
      <c r="B2" s="143"/>
      <c r="C2" s="143"/>
      <c r="D2" s="143"/>
      <c r="E2" s="143"/>
      <c r="F2" s="143"/>
      <c r="G2" s="143"/>
      <c r="H2" s="143"/>
    </row>
    <row r="4" spans="1:10" ht="15" customHeight="1">
      <c r="A4" s="64" t="s">
        <v>73</v>
      </c>
      <c r="B4" s="64" t="s">
        <v>118</v>
      </c>
      <c r="C4" s="64" t="s">
        <v>119</v>
      </c>
      <c r="D4" s="64" t="s">
        <v>120</v>
      </c>
      <c r="E4" s="64" t="s">
        <v>121</v>
      </c>
      <c r="F4" s="64" t="s">
        <v>58</v>
      </c>
      <c r="G4" s="64" t="s">
        <v>422</v>
      </c>
      <c r="H4" s="64" t="s">
        <v>97</v>
      </c>
    </row>
    <row r="5" spans="1:10" ht="15" customHeight="1">
      <c r="A5" s="65" t="s">
        <v>323</v>
      </c>
      <c r="B5" s="65" t="s">
        <v>324</v>
      </c>
      <c r="C5" s="65" t="s">
        <v>423</v>
      </c>
      <c r="D5" s="65" t="s">
        <v>349</v>
      </c>
      <c r="E5" s="65" t="s">
        <v>35</v>
      </c>
      <c r="F5" s="65" t="s">
        <v>28</v>
      </c>
      <c r="G5" s="65" t="s">
        <v>151</v>
      </c>
      <c r="H5" s="65" t="s">
        <v>424</v>
      </c>
      <c r="I5" s="66" t="s">
        <v>425</v>
      </c>
      <c r="J5" s="66" t="s">
        <v>426</v>
      </c>
    </row>
    <row r="6" spans="1:10" ht="15" customHeight="1">
      <c r="A6" s="67" t="s">
        <v>219</v>
      </c>
      <c r="B6" s="67" t="s">
        <v>220</v>
      </c>
      <c r="C6" s="67" t="s">
        <v>139</v>
      </c>
      <c r="D6" s="67" t="s">
        <v>139</v>
      </c>
      <c r="E6" s="67" t="s">
        <v>36</v>
      </c>
      <c r="F6" s="67" t="s">
        <v>28</v>
      </c>
      <c r="G6" s="67" t="s">
        <v>234</v>
      </c>
      <c r="H6" s="67" t="s">
        <v>427</v>
      </c>
      <c r="I6" s="68" t="s">
        <v>428</v>
      </c>
      <c r="J6" s="68" t="s">
        <v>429</v>
      </c>
    </row>
    <row r="7" spans="1:10" ht="15" customHeight="1">
      <c r="A7" s="65" t="s">
        <v>430</v>
      </c>
      <c r="B7" s="65" t="s">
        <v>329</v>
      </c>
      <c r="C7" s="65" t="s">
        <v>267</v>
      </c>
      <c r="D7" s="65" t="s">
        <v>268</v>
      </c>
      <c r="E7" s="65" t="s">
        <v>35</v>
      </c>
      <c r="F7" s="65" t="s">
        <v>30</v>
      </c>
      <c r="G7" s="65" t="s">
        <v>431</v>
      </c>
      <c r="H7" s="65" t="s">
        <v>432</v>
      </c>
      <c r="I7" s="66" t="s">
        <v>433</v>
      </c>
    </row>
    <row r="8" spans="1:10" ht="15" customHeight="1">
      <c r="A8" s="67" t="s">
        <v>434</v>
      </c>
      <c r="B8" s="67" t="s">
        <v>435</v>
      </c>
      <c r="C8" s="67" t="s">
        <v>256</v>
      </c>
      <c r="D8" s="67" t="s">
        <v>139</v>
      </c>
      <c r="E8" s="67" t="s">
        <v>39</v>
      </c>
      <c r="F8" s="67" t="s">
        <v>42</v>
      </c>
      <c r="G8" s="67" t="s">
        <v>342</v>
      </c>
      <c r="H8" s="67" t="s">
        <v>436</v>
      </c>
      <c r="I8" s="68" t="s">
        <v>437</v>
      </c>
    </row>
    <row r="9" spans="1:10" ht="15" customHeight="1">
      <c r="A9" s="65" t="s">
        <v>438</v>
      </c>
      <c r="B9" s="65" t="s">
        <v>439</v>
      </c>
      <c r="C9" s="65" t="s">
        <v>440</v>
      </c>
      <c r="D9" s="65" t="s">
        <v>168</v>
      </c>
      <c r="E9" s="65" t="s">
        <v>39</v>
      </c>
      <c r="F9" s="65" t="s">
        <v>33</v>
      </c>
      <c r="G9" s="65" t="s">
        <v>441</v>
      </c>
      <c r="H9" s="65" t="s">
        <v>442</v>
      </c>
      <c r="I9" s="66" t="s">
        <v>443</v>
      </c>
    </row>
    <row r="10" spans="1:10" ht="15" customHeight="1">
      <c r="A10" s="67" t="s">
        <v>444</v>
      </c>
      <c r="B10" s="67" t="s">
        <v>445</v>
      </c>
      <c r="C10" s="67" t="s">
        <v>385</v>
      </c>
      <c r="D10" s="67" t="s">
        <v>349</v>
      </c>
      <c r="E10" s="67" t="s">
        <v>39</v>
      </c>
      <c r="F10" s="67" t="s">
        <v>33</v>
      </c>
      <c r="G10" s="67" t="s">
        <v>446</v>
      </c>
      <c r="H10" s="67" t="s">
        <v>447</v>
      </c>
      <c r="I10" s="69" t="s">
        <v>443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1DD1-7C1E-4B8B-9C42-BB36FC3C99E9}">
  <dimension ref="A1:U30"/>
  <sheetViews>
    <sheetView topLeftCell="A8" zoomScale="55" zoomScaleNormal="55" workbookViewId="0">
      <selection activeCell="S2" sqref="S2:S30"/>
    </sheetView>
  </sheetViews>
  <sheetFormatPr defaultRowHeight="14.25"/>
  <cols>
    <col min="1" max="2" width="9.140625" style="102" customWidth="1"/>
    <col min="3" max="3" width="22.85546875" style="102" customWidth="1"/>
    <col min="4" max="4" width="13.7109375" style="102" customWidth="1"/>
    <col min="5" max="5" width="16" style="102" customWidth="1"/>
    <col min="6" max="6" width="9.140625" style="102" customWidth="1"/>
    <col min="7" max="7" width="22" style="102" bestFit="1" customWidth="1"/>
    <col min="8" max="10" width="13.7109375" style="102" hidden="1" customWidth="1"/>
    <col min="11" max="11" width="16" style="102" hidden="1" customWidth="1"/>
    <col min="12" max="12" width="27.42578125" style="102" hidden="1" customWidth="1"/>
    <col min="13" max="13" width="16" style="102" hidden="1" customWidth="1"/>
    <col min="14" max="14" width="13.7109375" style="102" hidden="1" customWidth="1"/>
    <col min="15" max="15" width="9.140625" style="102" hidden="1" customWidth="1"/>
    <col min="16" max="16" width="16" style="102" hidden="1" customWidth="1"/>
    <col min="17" max="17" width="57.140625" style="102" hidden="1" customWidth="1"/>
    <col min="18" max="18" width="29.7109375" style="102" hidden="1" customWidth="1"/>
    <col min="19" max="19" width="13.7109375" style="102" customWidth="1"/>
    <col min="20" max="20" width="16" style="102" customWidth="1"/>
    <col min="21" max="21" width="43.42578125" style="102" customWidth="1"/>
    <col min="22" max="16384" width="9.140625" style="102"/>
  </cols>
  <sheetData>
    <row r="1" spans="1:21" ht="45">
      <c r="A1" s="106" t="s">
        <v>448</v>
      </c>
      <c r="B1" s="106" t="s">
        <v>449</v>
      </c>
      <c r="C1" s="106" t="s">
        <v>450</v>
      </c>
      <c r="D1" s="106" t="s">
        <v>451</v>
      </c>
      <c r="E1" s="106" t="s">
        <v>452</v>
      </c>
      <c r="F1" s="106" t="s">
        <v>453</v>
      </c>
      <c r="G1" s="106" t="s">
        <v>454</v>
      </c>
      <c r="H1" s="106" t="s">
        <v>455</v>
      </c>
      <c r="I1" s="106" t="s">
        <v>456</v>
      </c>
      <c r="J1" s="106" t="s">
        <v>457</v>
      </c>
      <c r="K1" s="106" t="s">
        <v>458</v>
      </c>
      <c r="L1" s="106" t="s">
        <v>459</v>
      </c>
      <c r="M1" s="106" t="s">
        <v>460</v>
      </c>
      <c r="N1" s="106" t="s">
        <v>461</v>
      </c>
      <c r="O1" s="106" t="s">
        <v>462</v>
      </c>
      <c r="P1" s="106" t="s">
        <v>463</v>
      </c>
      <c r="Q1" s="106" t="s">
        <v>464</v>
      </c>
      <c r="R1" s="106" t="s">
        <v>465</v>
      </c>
      <c r="S1" s="106" t="s">
        <v>466</v>
      </c>
      <c r="T1" s="106" t="s">
        <v>467</v>
      </c>
      <c r="U1" s="106" t="s">
        <v>468</v>
      </c>
    </row>
    <row r="2" spans="1:21" ht="85.5">
      <c r="A2" s="103" t="s">
        <v>469</v>
      </c>
      <c r="B2" s="103" t="s">
        <v>470</v>
      </c>
      <c r="C2" s="103" t="s">
        <v>471</v>
      </c>
      <c r="D2" s="103" t="s">
        <v>472</v>
      </c>
      <c r="E2" s="103" t="s">
        <v>473</v>
      </c>
      <c r="F2" s="103" t="s">
        <v>474</v>
      </c>
      <c r="G2" s="103" t="s">
        <v>475</v>
      </c>
      <c r="H2" s="105">
        <v>46028</v>
      </c>
      <c r="I2" s="105">
        <v>46028</v>
      </c>
      <c r="J2" s="105">
        <v>46031</v>
      </c>
      <c r="K2" s="103" t="s">
        <v>476</v>
      </c>
      <c r="L2" s="103" t="s">
        <v>477</v>
      </c>
      <c r="M2" s="103" t="s">
        <v>478</v>
      </c>
      <c r="N2" s="105">
        <v>46028</v>
      </c>
      <c r="O2" s="103" t="s">
        <v>479</v>
      </c>
      <c r="P2" s="103" t="s">
        <v>480</v>
      </c>
      <c r="Q2" s="103" t="s">
        <v>481</v>
      </c>
      <c r="R2" s="103" t="s">
        <v>482</v>
      </c>
      <c r="S2" s="104">
        <v>1</v>
      </c>
      <c r="T2" s="104" t="s">
        <v>483</v>
      </c>
      <c r="U2" s="103" t="s">
        <v>484</v>
      </c>
    </row>
    <row r="3" spans="1:21" ht="28.5">
      <c r="A3" s="103" t="s">
        <v>485</v>
      </c>
      <c r="B3" s="103" t="s">
        <v>486</v>
      </c>
      <c r="C3" s="103" t="s">
        <v>487</v>
      </c>
      <c r="D3" s="103" t="s">
        <v>472</v>
      </c>
      <c r="E3" s="103" t="s">
        <v>488</v>
      </c>
      <c r="F3" s="103" t="s">
        <v>474</v>
      </c>
      <c r="G3" s="103" t="s">
        <v>475</v>
      </c>
      <c r="H3" s="105">
        <v>45340</v>
      </c>
      <c r="I3" s="105">
        <v>45341</v>
      </c>
      <c r="J3" s="105">
        <v>45344</v>
      </c>
      <c r="K3" s="103" t="s">
        <v>476</v>
      </c>
      <c r="L3" s="103" t="s">
        <v>489</v>
      </c>
      <c r="M3" s="103" t="s">
        <v>478</v>
      </c>
      <c r="N3" s="105">
        <v>45341</v>
      </c>
      <c r="O3" s="103" t="s">
        <v>490</v>
      </c>
      <c r="P3" s="103" t="s">
        <v>491</v>
      </c>
      <c r="Q3" s="103" t="s">
        <v>492</v>
      </c>
      <c r="R3" s="103" t="s">
        <v>482</v>
      </c>
      <c r="S3" s="104">
        <v>2</v>
      </c>
      <c r="T3" s="104" t="s">
        <v>493</v>
      </c>
      <c r="U3" s="103" t="s">
        <v>484</v>
      </c>
    </row>
    <row r="4" spans="1:21" ht="85.5" hidden="1">
      <c r="A4" s="103" t="s">
        <v>494</v>
      </c>
      <c r="B4" s="103" t="s">
        <v>495</v>
      </c>
      <c r="C4" s="103" t="s">
        <v>496</v>
      </c>
      <c r="D4" s="103" t="s">
        <v>472</v>
      </c>
      <c r="E4" s="103" t="s">
        <v>497</v>
      </c>
      <c r="F4" s="103" t="s">
        <v>474</v>
      </c>
      <c r="G4" s="103" t="s">
        <v>475</v>
      </c>
      <c r="H4" s="105">
        <v>44948</v>
      </c>
      <c r="I4" s="105">
        <v>45003</v>
      </c>
      <c r="J4" s="105">
        <v>45006</v>
      </c>
      <c r="K4" s="103" t="s">
        <v>476</v>
      </c>
      <c r="L4" s="103" t="s">
        <v>498</v>
      </c>
      <c r="M4" s="103" t="s">
        <v>478</v>
      </c>
      <c r="N4" s="105">
        <v>45003</v>
      </c>
      <c r="O4" s="103" t="s">
        <v>499</v>
      </c>
      <c r="P4" s="103" t="s">
        <v>500</v>
      </c>
      <c r="Q4" s="103" t="s">
        <v>501</v>
      </c>
      <c r="R4" s="103" t="s">
        <v>482</v>
      </c>
      <c r="S4" s="104"/>
      <c r="T4" s="104" t="s">
        <v>678</v>
      </c>
      <c r="U4" s="103" t="s">
        <v>502</v>
      </c>
    </row>
    <row r="5" spans="1:21" ht="57" hidden="1">
      <c r="A5" s="103" t="s">
        <v>494</v>
      </c>
      <c r="B5" s="103" t="s">
        <v>470</v>
      </c>
      <c r="C5" s="103" t="s">
        <v>503</v>
      </c>
      <c r="D5" s="103" t="s">
        <v>472</v>
      </c>
      <c r="E5" s="103" t="s">
        <v>504</v>
      </c>
      <c r="F5" s="103" t="s">
        <v>474</v>
      </c>
      <c r="G5" s="103" t="s">
        <v>475</v>
      </c>
      <c r="H5" s="105">
        <v>45920</v>
      </c>
      <c r="I5" s="105">
        <v>46092</v>
      </c>
      <c r="J5" s="105">
        <v>46095</v>
      </c>
      <c r="K5" s="103" t="s">
        <v>476</v>
      </c>
      <c r="L5" s="103" t="s">
        <v>505</v>
      </c>
      <c r="M5" s="103" t="s">
        <v>478</v>
      </c>
      <c r="N5" s="105">
        <v>46092</v>
      </c>
      <c r="O5" s="103" t="s">
        <v>490</v>
      </c>
      <c r="P5" s="103" t="s">
        <v>506</v>
      </c>
      <c r="Q5" s="103" t="s">
        <v>507</v>
      </c>
      <c r="R5" s="103" t="s">
        <v>508</v>
      </c>
      <c r="S5" s="104"/>
      <c r="T5" s="104" t="s">
        <v>678</v>
      </c>
      <c r="U5" s="103" t="s">
        <v>502</v>
      </c>
    </row>
    <row r="6" spans="1:21" ht="99.75">
      <c r="A6" s="103" t="s">
        <v>509</v>
      </c>
      <c r="B6" s="103" t="s">
        <v>486</v>
      </c>
      <c r="C6" s="103" t="s">
        <v>510</v>
      </c>
      <c r="D6" s="103" t="s">
        <v>472</v>
      </c>
      <c r="E6" s="103" t="s">
        <v>511</v>
      </c>
      <c r="F6" s="103" t="s">
        <v>474</v>
      </c>
      <c r="G6" s="103" t="s">
        <v>475</v>
      </c>
      <c r="H6" s="105">
        <v>45406</v>
      </c>
      <c r="I6" s="105">
        <v>45412</v>
      </c>
      <c r="J6" s="105">
        <v>45472</v>
      </c>
      <c r="K6" s="103" t="s">
        <v>512</v>
      </c>
      <c r="L6" s="103" t="s">
        <v>513</v>
      </c>
      <c r="M6" s="103" t="s">
        <v>478</v>
      </c>
      <c r="N6" s="105">
        <v>45412</v>
      </c>
      <c r="O6" s="103" t="s">
        <v>514</v>
      </c>
      <c r="P6" s="103" t="s">
        <v>515</v>
      </c>
      <c r="Q6" s="103" t="s">
        <v>516</v>
      </c>
      <c r="R6" s="103" t="s">
        <v>482</v>
      </c>
      <c r="S6" s="104">
        <v>3</v>
      </c>
      <c r="T6" s="104" t="s">
        <v>517</v>
      </c>
      <c r="U6" s="103" t="s">
        <v>484</v>
      </c>
    </row>
    <row r="7" spans="1:21" ht="42.75" hidden="1">
      <c r="A7" s="103" t="s">
        <v>509</v>
      </c>
      <c r="B7" s="103" t="s">
        <v>486</v>
      </c>
      <c r="C7" s="103" t="s">
        <v>518</v>
      </c>
      <c r="D7" s="103" t="s">
        <v>472</v>
      </c>
      <c r="E7" s="103" t="s">
        <v>519</v>
      </c>
      <c r="F7" s="103" t="s">
        <v>474</v>
      </c>
      <c r="G7" s="103" t="s">
        <v>475</v>
      </c>
      <c r="H7" s="105">
        <v>45408</v>
      </c>
      <c r="I7" s="105">
        <v>45412</v>
      </c>
      <c r="J7" s="105">
        <v>45415</v>
      </c>
      <c r="K7" s="103" t="s">
        <v>476</v>
      </c>
      <c r="L7" s="103" t="s">
        <v>520</v>
      </c>
      <c r="M7" s="103" t="s">
        <v>478</v>
      </c>
      <c r="N7" s="105">
        <v>45412</v>
      </c>
      <c r="O7" s="103" t="s">
        <v>514</v>
      </c>
      <c r="P7" s="103" t="s">
        <v>521</v>
      </c>
      <c r="Q7" s="103" t="s">
        <v>522</v>
      </c>
      <c r="R7" s="103" t="s">
        <v>482</v>
      </c>
      <c r="S7" s="104"/>
      <c r="T7" s="104" t="s">
        <v>678</v>
      </c>
      <c r="U7" s="103" t="s">
        <v>502</v>
      </c>
    </row>
    <row r="8" spans="1:21" ht="42.75">
      <c r="A8" s="103" t="s">
        <v>509</v>
      </c>
      <c r="B8" s="103" t="s">
        <v>523</v>
      </c>
      <c r="C8" s="103" t="s">
        <v>524</v>
      </c>
      <c r="D8" s="103" t="s">
        <v>472</v>
      </c>
      <c r="E8" s="103" t="s">
        <v>525</v>
      </c>
      <c r="F8" s="103" t="s">
        <v>474</v>
      </c>
      <c r="G8" s="103" t="s">
        <v>475</v>
      </c>
      <c r="H8" s="105">
        <v>45759</v>
      </c>
      <c r="I8" s="105">
        <v>45763</v>
      </c>
      <c r="J8" s="105">
        <v>45823</v>
      </c>
      <c r="K8" s="103" t="s">
        <v>512</v>
      </c>
      <c r="L8" s="103" t="s">
        <v>526</v>
      </c>
      <c r="M8" s="103" t="s">
        <v>478</v>
      </c>
      <c r="N8" s="105">
        <v>45763</v>
      </c>
      <c r="O8" s="103" t="s">
        <v>527</v>
      </c>
      <c r="P8" s="103" t="s">
        <v>528</v>
      </c>
      <c r="Q8" s="103" t="s">
        <v>529</v>
      </c>
      <c r="R8" s="103" t="s">
        <v>482</v>
      </c>
      <c r="S8" s="104">
        <v>1</v>
      </c>
      <c r="T8" s="104" t="s">
        <v>530</v>
      </c>
      <c r="U8" s="103" t="s">
        <v>484</v>
      </c>
    </row>
    <row r="9" spans="1:21" ht="99.75">
      <c r="A9" s="103" t="s">
        <v>509</v>
      </c>
      <c r="B9" s="103" t="s">
        <v>523</v>
      </c>
      <c r="C9" s="103" t="s">
        <v>531</v>
      </c>
      <c r="D9" s="103" t="s">
        <v>472</v>
      </c>
      <c r="E9" s="103" t="s">
        <v>532</v>
      </c>
      <c r="F9" s="103" t="s">
        <v>474</v>
      </c>
      <c r="G9" s="103" t="s">
        <v>475</v>
      </c>
      <c r="H9" s="105">
        <v>45770</v>
      </c>
      <c r="I9" s="105">
        <v>45775</v>
      </c>
      <c r="J9" s="105">
        <v>45778</v>
      </c>
      <c r="K9" s="103" t="s">
        <v>476</v>
      </c>
      <c r="L9" s="103" t="s">
        <v>533</v>
      </c>
      <c r="M9" s="103" t="s">
        <v>478</v>
      </c>
      <c r="N9" s="105">
        <v>45775</v>
      </c>
      <c r="O9" s="103" t="s">
        <v>490</v>
      </c>
      <c r="P9" s="103" t="s">
        <v>534</v>
      </c>
      <c r="Q9" s="103" t="s">
        <v>535</v>
      </c>
      <c r="R9" s="103" t="s">
        <v>482</v>
      </c>
      <c r="S9" s="104">
        <v>3</v>
      </c>
      <c r="T9" s="104" t="s">
        <v>517</v>
      </c>
      <c r="U9" s="103" t="s">
        <v>536</v>
      </c>
    </row>
    <row r="10" spans="1:21" ht="42.75">
      <c r="A10" s="103" t="s">
        <v>509</v>
      </c>
      <c r="B10" s="103" t="s">
        <v>523</v>
      </c>
      <c r="C10" s="103" t="s">
        <v>537</v>
      </c>
      <c r="D10" s="103" t="s">
        <v>472</v>
      </c>
      <c r="E10" s="103" t="s">
        <v>538</v>
      </c>
      <c r="F10" s="103" t="s">
        <v>474</v>
      </c>
      <c r="G10" s="103" t="s">
        <v>475</v>
      </c>
      <c r="H10" s="105">
        <v>45771</v>
      </c>
      <c r="I10" s="105">
        <v>45775</v>
      </c>
      <c r="J10" s="105">
        <v>45778</v>
      </c>
      <c r="K10" s="103" t="s">
        <v>476</v>
      </c>
      <c r="L10" s="103" t="s">
        <v>533</v>
      </c>
      <c r="M10" s="103" t="s">
        <v>478</v>
      </c>
      <c r="N10" s="105">
        <v>45775</v>
      </c>
      <c r="O10" s="103" t="s">
        <v>490</v>
      </c>
      <c r="P10" s="103" t="s">
        <v>539</v>
      </c>
      <c r="Q10" s="103" t="s">
        <v>540</v>
      </c>
      <c r="R10" s="103" t="s">
        <v>482</v>
      </c>
      <c r="S10" s="104">
        <v>2</v>
      </c>
      <c r="T10" s="104" t="s">
        <v>541</v>
      </c>
      <c r="U10" s="103" t="s">
        <v>484</v>
      </c>
    </row>
    <row r="11" spans="1:21" ht="71.25">
      <c r="A11" s="103" t="s">
        <v>509</v>
      </c>
      <c r="B11" s="103" t="s">
        <v>523</v>
      </c>
      <c r="C11" s="103" t="s">
        <v>542</v>
      </c>
      <c r="D11" s="103" t="s">
        <v>472</v>
      </c>
      <c r="E11" s="103" t="s">
        <v>543</v>
      </c>
      <c r="F11" s="103" t="s">
        <v>474</v>
      </c>
      <c r="G11" s="103" t="s">
        <v>475</v>
      </c>
      <c r="H11" s="105">
        <v>45771</v>
      </c>
      <c r="I11" s="105">
        <v>45775</v>
      </c>
      <c r="J11" s="105">
        <v>45778</v>
      </c>
      <c r="K11" s="103" t="s">
        <v>476</v>
      </c>
      <c r="L11" s="103" t="s">
        <v>533</v>
      </c>
      <c r="M11" s="103" t="s">
        <v>478</v>
      </c>
      <c r="N11" s="105">
        <v>45775</v>
      </c>
      <c r="O11" s="103" t="s">
        <v>490</v>
      </c>
      <c r="P11" s="103" t="s">
        <v>544</v>
      </c>
      <c r="Q11" s="103" t="s">
        <v>545</v>
      </c>
      <c r="R11" s="103" t="s">
        <v>482</v>
      </c>
      <c r="S11" s="104">
        <v>3</v>
      </c>
      <c r="T11" s="104" t="s">
        <v>517</v>
      </c>
      <c r="U11" s="103" t="s">
        <v>546</v>
      </c>
    </row>
    <row r="12" spans="1:21" ht="28.5">
      <c r="A12" s="103" t="s">
        <v>509</v>
      </c>
      <c r="B12" s="103" t="s">
        <v>523</v>
      </c>
      <c r="C12" s="103" t="s">
        <v>547</v>
      </c>
      <c r="D12" s="103" t="s">
        <v>472</v>
      </c>
      <c r="E12" s="103" t="s">
        <v>548</v>
      </c>
      <c r="F12" s="103" t="s">
        <v>474</v>
      </c>
      <c r="G12" s="103" t="s">
        <v>475</v>
      </c>
      <c r="H12" s="105">
        <v>45772</v>
      </c>
      <c r="I12" s="105">
        <v>45775</v>
      </c>
      <c r="J12" s="105">
        <v>45778</v>
      </c>
      <c r="K12" s="103" t="s">
        <v>476</v>
      </c>
      <c r="L12" s="103" t="s">
        <v>549</v>
      </c>
      <c r="M12" s="103" t="s">
        <v>478</v>
      </c>
      <c r="N12" s="105">
        <v>45775</v>
      </c>
      <c r="O12" s="103" t="s">
        <v>490</v>
      </c>
      <c r="P12" s="103" t="s">
        <v>550</v>
      </c>
      <c r="Q12" s="103" t="s">
        <v>551</v>
      </c>
      <c r="R12" s="103" t="s">
        <v>482</v>
      </c>
      <c r="S12" s="104">
        <v>2</v>
      </c>
      <c r="T12" s="104" t="s">
        <v>493</v>
      </c>
      <c r="U12" s="103" t="s">
        <v>484</v>
      </c>
    </row>
    <row r="13" spans="1:21" ht="71.25">
      <c r="A13" s="103" t="s">
        <v>509</v>
      </c>
      <c r="B13" s="103" t="s">
        <v>523</v>
      </c>
      <c r="C13" s="103" t="s">
        <v>552</v>
      </c>
      <c r="D13" s="103" t="s">
        <v>472</v>
      </c>
      <c r="E13" s="103" t="s">
        <v>553</v>
      </c>
      <c r="F13" s="103" t="s">
        <v>474</v>
      </c>
      <c r="G13" s="103" t="s">
        <v>475</v>
      </c>
      <c r="H13" s="105">
        <v>45775</v>
      </c>
      <c r="I13" s="105">
        <v>45775</v>
      </c>
      <c r="J13" s="105">
        <v>45778</v>
      </c>
      <c r="K13" s="103" t="s">
        <v>476</v>
      </c>
      <c r="L13" s="103" t="s">
        <v>554</v>
      </c>
      <c r="M13" s="103" t="s">
        <v>478</v>
      </c>
      <c r="N13" s="105">
        <v>45775</v>
      </c>
      <c r="O13" s="103" t="s">
        <v>490</v>
      </c>
      <c r="P13" s="103" t="s">
        <v>555</v>
      </c>
      <c r="Q13" s="103" t="s">
        <v>556</v>
      </c>
      <c r="R13" s="103" t="s">
        <v>482</v>
      </c>
      <c r="S13" s="104">
        <v>1</v>
      </c>
      <c r="T13" s="104" t="s">
        <v>483</v>
      </c>
      <c r="U13" s="103" t="s">
        <v>484</v>
      </c>
    </row>
    <row r="14" spans="1:21" ht="57" hidden="1">
      <c r="A14" s="103" t="s">
        <v>557</v>
      </c>
      <c r="B14" s="103" t="s">
        <v>523</v>
      </c>
      <c r="C14" s="103" t="s">
        <v>558</v>
      </c>
      <c r="D14" s="103" t="s">
        <v>472</v>
      </c>
      <c r="E14" s="103" t="s">
        <v>559</v>
      </c>
      <c r="F14" s="103" t="s">
        <v>474</v>
      </c>
      <c r="G14" s="103" t="s">
        <v>475</v>
      </c>
      <c r="H14" s="105">
        <v>45397</v>
      </c>
      <c r="I14" s="105">
        <v>45785</v>
      </c>
      <c r="J14" s="105">
        <v>45788</v>
      </c>
      <c r="K14" s="103" t="s">
        <v>476</v>
      </c>
      <c r="L14" s="103" t="s">
        <v>560</v>
      </c>
      <c r="M14" s="103" t="s">
        <v>478</v>
      </c>
      <c r="N14" s="105">
        <v>45785</v>
      </c>
      <c r="O14" s="103" t="s">
        <v>561</v>
      </c>
      <c r="P14" s="103" t="s">
        <v>562</v>
      </c>
      <c r="Q14" s="103" t="s">
        <v>563</v>
      </c>
      <c r="R14" s="103" t="s">
        <v>482</v>
      </c>
      <c r="S14" s="104"/>
      <c r="T14" s="104" t="s">
        <v>678</v>
      </c>
      <c r="U14" s="103" t="s">
        <v>502</v>
      </c>
    </row>
    <row r="15" spans="1:21" ht="85.5">
      <c r="A15" s="103" t="s">
        <v>564</v>
      </c>
      <c r="B15" s="103" t="s">
        <v>486</v>
      </c>
      <c r="C15" s="103" t="s">
        <v>565</v>
      </c>
      <c r="D15" s="103" t="s">
        <v>472</v>
      </c>
      <c r="E15" s="103" t="s">
        <v>566</v>
      </c>
      <c r="F15" s="103" t="s">
        <v>474</v>
      </c>
      <c r="G15" s="103" t="s">
        <v>475</v>
      </c>
      <c r="H15" s="105">
        <v>45432</v>
      </c>
      <c r="I15" s="105">
        <v>45469</v>
      </c>
      <c r="J15" s="105">
        <v>45529</v>
      </c>
      <c r="K15" s="103" t="s">
        <v>512</v>
      </c>
      <c r="L15" s="103" t="s">
        <v>567</v>
      </c>
      <c r="M15" s="103" t="s">
        <v>478</v>
      </c>
      <c r="N15" s="105">
        <v>45469</v>
      </c>
      <c r="O15" s="103" t="s">
        <v>568</v>
      </c>
      <c r="P15" s="103" t="s">
        <v>569</v>
      </c>
      <c r="Q15" s="103" t="s">
        <v>570</v>
      </c>
      <c r="R15" s="103" t="s">
        <v>482</v>
      </c>
      <c r="S15" s="104">
        <v>3</v>
      </c>
      <c r="T15" s="104" t="s">
        <v>517</v>
      </c>
      <c r="U15" s="103" t="s">
        <v>571</v>
      </c>
    </row>
    <row r="16" spans="1:21" ht="57">
      <c r="A16" s="103" t="s">
        <v>557</v>
      </c>
      <c r="B16" s="103" t="s">
        <v>470</v>
      </c>
      <c r="C16" s="103" t="s">
        <v>572</v>
      </c>
      <c r="D16" s="103" t="s">
        <v>472</v>
      </c>
      <c r="E16" s="103" t="s">
        <v>573</v>
      </c>
      <c r="F16" s="103" t="s">
        <v>474</v>
      </c>
      <c r="G16" s="103" t="s">
        <v>475</v>
      </c>
      <c r="H16" s="105">
        <v>46155</v>
      </c>
      <c r="I16" s="105">
        <v>46155</v>
      </c>
      <c r="J16" s="105">
        <v>46158</v>
      </c>
      <c r="K16" s="103" t="s">
        <v>476</v>
      </c>
      <c r="L16" s="103" t="s">
        <v>574</v>
      </c>
      <c r="M16" s="103" t="s">
        <v>478</v>
      </c>
      <c r="N16" s="105">
        <v>46155</v>
      </c>
      <c r="O16" s="103" t="s">
        <v>561</v>
      </c>
      <c r="P16" s="103" t="s">
        <v>575</v>
      </c>
      <c r="Q16" s="103" t="s">
        <v>576</v>
      </c>
      <c r="R16" s="103" t="s">
        <v>508</v>
      </c>
      <c r="S16" s="104">
        <v>2</v>
      </c>
      <c r="T16" s="104" t="s">
        <v>541</v>
      </c>
      <c r="U16" s="103" t="s">
        <v>577</v>
      </c>
    </row>
    <row r="17" spans="1:21" ht="71.25">
      <c r="A17" s="103" t="s">
        <v>557</v>
      </c>
      <c r="B17" s="103" t="s">
        <v>470</v>
      </c>
      <c r="C17" s="103" t="s">
        <v>578</v>
      </c>
      <c r="D17" s="103" t="s">
        <v>472</v>
      </c>
      <c r="E17" s="103" t="s">
        <v>579</v>
      </c>
      <c r="F17" s="103" t="s">
        <v>474</v>
      </c>
      <c r="G17" s="103" t="s">
        <v>475</v>
      </c>
      <c r="H17" s="105">
        <v>46155</v>
      </c>
      <c r="I17" s="105">
        <v>46155</v>
      </c>
      <c r="J17" s="105">
        <v>46158</v>
      </c>
      <c r="K17" s="103" t="s">
        <v>476</v>
      </c>
      <c r="L17" s="103" t="s">
        <v>505</v>
      </c>
      <c r="M17" s="103" t="s">
        <v>478</v>
      </c>
      <c r="N17" s="105">
        <v>46155</v>
      </c>
      <c r="O17" s="103" t="s">
        <v>490</v>
      </c>
      <c r="P17" s="103" t="s">
        <v>580</v>
      </c>
      <c r="Q17" s="103" t="s">
        <v>581</v>
      </c>
      <c r="R17" s="103" t="s">
        <v>508</v>
      </c>
      <c r="S17" s="104">
        <v>2</v>
      </c>
      <c r="T17" s="104" t="s">
        <v>582</v>
      </c>
      <c r="U17" s="103" t="s">
        <v>484</v>
      </c>
    </row>
    <row r="18" spans="1:21" ht="171">
      <c r="A18" s="103" t="s">
        <v>583</v>
      </c>
      <c r="B18" s="103" t="s">
        <v>495</v>
      </c>
      <c r="C18" s="103" t="s">
        <v>584</v>
      </c>
      <c r="D18" s="103" t="s">
        <v>472</v>
      </c>
      <c r="E18" s="103" t="s">
        <v>585</v>
      </c>
      <c r="F18" s="103" t="s">
        <v>474</v>
      </c>
      <c r="G18" s="103" t="s">
        <v>475</v>
      </c>
      <c r="H18" s="105">
        <v>44822</v>
      </c>
      <c r="I18" s="105">
        <v>45230</v>
      </c>
      <c r="J18" s="105">
        <v>45630</v>
      </c>
      <c r="K18" s="103" t="s">
        <v>586</v>
      </c>
      <c r="L18" s="103" t="s">
        <v>587</v>
      </c>
      <c r="M18" s="103" t="s">
        <v>478</v>
      </c>
      <c r="N18" s="105">
        <v>45230</v>
      </c>
      <c r="O18" s="103" t="s">
        <v>514</v>
      </c>
      <c r="P18" s="103" t="s">
        <v>521</v>
      </c>
      <c r="Q18" s="103" t="s">
        <v>588</v>
      </c>
      <c r="R18" s="103" t="s">
        <v>482</v>
      </c>
      <c r="S18" s="104">
        <v>1</v>
      </c>
      <c r="T18" s="104" t="s">
        <v>589</v>
      </c>
      <c r="U18" s="103" t="s">
        <v>590</v>
      </c>
    </row>
    <row r="19" spans="1:21" ht="57">
      <c r="A19" s="103" t="s">
        <v>557</v>
      </c>
      <c r="B19" s="103" t="s">
        <v>470</v>
      </c>
      <c r="C19" s="103" t="s">
        <v>591</v>
      </c>
      <c r="D19" s="103" t="s">
        <v>472</v>
      </c>
      <c r="E19" s="103" t="s">
        <v>592</v>
      </c>
      <c r="F19" s="103" t="s">
        <v>474</v>
      </c>
      <c r="G19" s="103" t="s">
        <v>475</v>
      </c>
      <c r="H19" s="105">
        <v>46157</v>
      </c>
      <c r="I19" s="105">
        <v>46157</v>
      </c>
      <c r="J19" s="105">
        <v>46160</v>
      </c>
      <c r="K19" s="103" t="s">
        <v>476</v>
      </c>
      <c r="L19" s="103" t="s">
        <v>593</v>
      </c>
      <c r="M19" s="103" t="s">
        <v>478</v>
      </c>
      <c r="N19" s="105">
        <v>46157</v>
      </c>
      <c r="O19" s="103" t="s">
        <v>514</v>
      </c>
      <c r="P19" s="103" t="s">
        <v>594</v>
      </c>
      <c r="Q19" s="103" t="s">
        <v>595</v>
      </c>
      <c r="R19" s="103" t="s">
        <v>482</v>
      </c>
      <c r="S19" s="104">
        <v>1</v>
      </c>
      <c r="T19" s="104" t="s">
        <v>596</v>
      </c>
      <c r="U19" s="103" t="s">
        <v>484</v>
      </c>
    </row>
    <row r="20" spans="1:21" ht="71.25">
      <c r="A20" s="103" t="s">
        <v>557</v>
      </c>
      <c r="B20" s="103" t="s">
        <v>470</v>
      </c>
      <c r="C20" s="103" t="s">
        <v>597</v>
      </c>
      <c r="D20" s="103" t="s">
        <v>472</v>
      </c>
      <c r="E20" s="103" t="s">
        <v>598</v>
      </c>
      <c r="F20" s="103" t="s">
        <v>474</v>
      </c>
      <c r="G20" s="103" t="s">
        <v>475</v>
      </c>
      <c r="H20" s="105">
        <v>46157</v>
      </c>
      <c r="I20" s="105">
        <v>46157</v>
      </c>
      <c r="J20" s="105">
        <v>46217</v>
      </c>
      <c r="K20" s="103" t="s">
        <v>512</v>
      </c>
      <c r="L20" s="103" t="s">
        <v>599</v>
      </c>
      <c r="M20" s="103" t="s">
        <v>478</v>
      </c>
      <c r="N20" s="105">
        <v>46157</v>
      </c>
      <c r="O20" s="103" t="s">
        <v>490</v>
      </c>
      <c r="P20" s="103" t="s">
        <v>534</v>
      </c>
      <c r="Q20" s="103" t="s">
        <v>600</v>
      </c>
      <c r="R20" s="103" t="s">
        <v>601</v>
      </c>
      <c r="S20" s="104">
        <v>1</v>
      </c>
      <c r="T20" s="104" t="s">
        <v>530</v>
      </c>
      <c r="U20" s="103" t="s">
        <v>484</v>
      </c>
    </row>
    <row r="21" spans="1:21" ht="28.5">
      <c r="A21" s="103" t="s">
        <v>557</v>
      </c>
      <c r="B21" s="103" t="s">
        <v>470</v>
      </c>
      <c r="C21" s="103" t="s">
        <v>602</v>
      </c>
      <c r="D21" s="103" t="s">
        <v>472</v>
      </c>
      <c r="E21" s="103" t="s">
        <v>603</v>
      </c>
      <c r="F21" s="103" t="s">
        <v>474</v>
      </c>
      <c r="G21" s="103" t="s">
        <v>475</v>
      </c>
      <c r="H21" s="105">
        <v>46158</v>
      </c>
      <c r="I21" s="105">
        <v>46160</v>
      </c>
      <c r="J21" s="105">
        <v>46220</v>
      </c>
      <c r="K21" s="103" t="s">
        <v>512</v>
      </c>
      <c r="L21" s="103" t="s">
        <v>599</v>
      </c>
      <c r="M21" s="103" t="s">
        <v>478</v>
      </c>
      <c r="N21" s="105">
        <v>46160</v>
      </c>
      <c r="O21" s="103" t="s">
        <v>490</v>
      </c>
      <c r="P21" s="103" t="s">
        <v>604</v>
      </c>
      <c r="Q21" s="103" t="s">
        <v>605</v>
      </c>
      <c r="R21" s="103" t="s">
        <v>601</v>
      </c>
      <c r="S21" s="104">
        <v>2</v>
      </c>
      <c r="T21" s="104" t="s">
        <v>493</v>
      </c>
      <c r="U21" s="103" t="s">
        <v>484</v>
      </c>
    </row>
    <row r="22" spans="1:21" ht="71.25">
      <c r="A22" s="103" t="s">
        <v>557</v>
      </c>
      <c r="B22" s="103" t="s">
        <v>523</v>
      </c>
      <c r="C22" s="103" t="s">
        <v>606</v>
      </c>
      <c r="D22" s="103" t="s">
        <v>472</v>
      </c>
      <c r="E22" s="103" t="s">
        <v>607</v>
      </c>
      <c r="F22" s="103" t="s">
        <v>474</v>
      </c>
      <c r="G22" s="103" t="s">
        <v>475</v>
      </c>
      <c r="H22" s="105">
        <v>45790</v>
      </c>
      <c r="I22" s="105">
        <v>45790</v>
      </c>
      <c r="J22" s="105">
        <v>45793</v>
      </c>
      <c r="K22" s="103" t="s">
        <v>476</v>
      </c>
      <c r="L22" s="103" t="s">
        <v>533</v>
      </c>
      <c r="M22" s="103" t="s">
        <v>478</v>
      </c>
      <c r="N22" s="105">
        <v>45790</v>
      </c>
      <c r="O22" s="103" t="s">
        <v>514</v>
      </c>
      <c r="P22" s="103" t="s">
        <v>608</v>
      </c>
      <c r="Q22" s="103" t="s">
        <v>609</v>
      </c>
      <c r="R22" s="103" t="s">
        <v>610</v>
      </c>
      <c r="S22" s="104">
        <v>1</v>
      </c>
      <c r="T22" s="104" t="s">
        <v>483</v>
      </c>
      <c r="U22" s="103" t="s">
        <v>484</v>
      </c>
    </row>
    <row r="23" spans="1:21" ht="28.5">
      <c r="A23" s="103" t="s">
        <v>557</v>
      </c>
      <c r="B23" s="103" t="s">
        <v>470</v>
      </c>
      <c r="C23" s="103" t="s">
        <v>611</v>
      </c>
      <c r="D23" s="103" t="s">
        <v>472</v>
      </c>
      <c r="E23" s="103" t="s">
        <v>612</v>
      </c>
      <c r="F23" s="103" t="s">
        <v>474</v>
      </c>
      <c r="G23" s="103" t="s">
        <v>475</v>
      </c>
      <c r="H23" s="105">
        <v>46163</v>
      </c>
      <c r="I23" s="105">
        <v>46163</v>
      </c>
      <c r="J23" s="105">
        <v>46223</v>
      </c>
      <c r="K23" s="103" t="s">
        <v>512</v>
      </c>
      <c r="L23" s="103" t="s">
        <v>613</v>
      </c>
      <c r="M23" s="103" t="s">
        <v>478</v>
      </c>
      <c r="N23" s="105">
        <v>46163</v>
      </c>
      <c r="O23" s="103" t="s">
        <v>474</v>
      </c>
      <c r="P23" s="103" t="s">
        <v>614</v>
      </c>
      <c r="Q23" s="103" t="s">
        <v>615</v>
      </c>
      <c r="R23" s="103" t="s">
        <v>601</v>
      </c>
      <c r="S23" s="104">
        <v>1</v>
      </c>
      <c r="T23" s="104" t="s">
        <v>530</v>
      </c>
      <c r="U23" s="103" t="s">
        <v>484</v>
      </c>
    </row>
    <row r="24" spans="1:21" ht="28.5">
      <c r="A24" s="103" t="s">
        <v>557</v>
      </c>
      <c r="B24" s="103" t="s">
        <v>470</v>
      </c>
      <c r="C24" s="103" t="s">
        <v>616</v>
      </c>
      <c r="D24" s="103" t="s">
        <v>472</v>
      </c>
      <c r="E24" s="103" t="s">
        <v>617</v>
      </c>
      <c r="F24" s="103" t="s">
        <v>474</v>
      </c>
      <c r="G24" s="103" t="s">
        <v>475</v>
      </c>
      <c r="H24" s="105">
        <v>46163</v>
      </c>
      <c r="I24" s="105">
        <v>46163</v>
      </c>
      <c r="J24" s="105">
        <v>46223</v>
      </c>
      <c r="K24" s="103" t="s">
        <v>512</v>
      </c>
      <c r="L24" s="103" t="s">
        <v>613</v>
      </c>
      <c r="M24" s="103" t="s">
        <v>478</v>
      </c>
      <c r="N24" s="105">
        <v>46163</v>
      </c>
      <c r="O24" s="103" t="s">
        <v>474</v>
      </c>
      <c r="P24" s="103" t="s">
        <v>614</v>
      </c>
      <c r="Q24" s="103" t="s">
        <v>618</v>
      </c>
      <c r="R24" s="103" t="s">
        <v>601</v>
      </c>
      <c r="S24" s="104">
        <v>2</v>
      </c>
      <c r="T24" s="104" t="s">
        <v>582</v>
      </c>
      <c r="U24" s="103" t="s">
        <v>484</v>
      </c>
    </row>
    <row r="25" spans="1:21" ht="28.5">
      <c r="A25" s="103" t="s">
        <v>557</v>
      </c>
      <c r="B25" s="103" t="s">
        <v>470</v>
      </c>
      <c r="C25" s="103" t="s">
        <v>619</v>
      </c>
      <c r="D25" s="103" t="s">
        <v>472</v>
      </c>
      <c r="E25" s="103" t="s">
        <v>620</v>
      </c>
      <c r="F25" s="103" t="s">
        <v>474</v>
      </c>
      <c r="G25" s="103" t="s">
        <v>475</v>
      </c>
      <c r="H25" s="105">
        <v>46164</v>
      </c>
      <c r="I25" s="105">
        <v>46167</v>
      </c>
      <c r="J25" s="105">
        <v>46170</v>
      </c>
      <c r="K25" s="103" t="s">
        <v>476</v>
      </c>
      <c r="L25" s="103" t="s">
        <v>505</v>
      </c>
      <c r="M25" s="103" t="s">
        <v>478</v>
      </c>
      <c r="N25" s="105">
        <v>46167</v>
      </c>
      <c r="O25" s="103" t="s">
        <v>490</v>
      </c>
      <c r="P25" s="103" t="s">
        <v>550</v>
      </c>
      <c r="Q25" s="103" t="s">
        <v>621</v>
      </c>
      <c r="R25" s="103" t="s">
        <v>508</v>
      </c>
      <c r="S25" s="104">
        <v>2</v>
      </c>
      <c r="T25" s="104" t="s">
        <v>582</v>
      </c>
      <c r="U25" s="103" t="s">
        <v>484</v>
      </c>
    </row>
    <row r="26" spans="1:21" ht="42.75">
      <c r="A26" s="103" t="s">
        <v>557</v>
      </c>
      <c r="B26" s="103" t="s">
        <v>470</v>
      </c>
      <c r="C26" s="103" t="s">
        <v>622</v>
      </c>
      <c r="D26" s="103" t="s">
        <v>472</v>
      </c>
      <c r="E26" s="103" t="s">
        <v>623</v>
      </c>
      <c r="F26" s="103" t="s">
        <v>474</v>
      </c>
      <c r="G26" s="103" t="s">
        <v>475</v>
      </c>
      <c r="H26" s="105">
        <v>46168</v>
      </c>
      <c r="I26" s="105">
        <v>46168</v>
      </c>
      <c r="J26" s="105">
        <v>46171</v>
      </c>
      <c r="K26" s="103" t="s">
        <v>476</v>
      </c>
      <c r="L26" s="103" t="s">
        <v>624</v>
      </c>
      <c r="M26" s="103" t="s">
        <v>478</v>
      </c>
      <c r="N26" s="105">
        <v>46168</v>
      </c>
      <c r="O26" s="103" t="s">
        <v>490</v>
      </c>
      <c r="P26" s="103" t="s">
        <v>491</v>
      </c>
      <c r="Q26" s="103" t="s">
        <v>625</v>
      </c>
      <c r="R26" s="103" t="s">
        <v>508</v>
      </c>
      <c r="S26" s="104">
        <v>2</v>
      </c>
      <c r="T26" s="104" t="s">
        <v>493</v>
      </c>
      <c r="U26" s="103" t="s">
        <v>484</v>
      </c>
    </row>
    <row r="27" spans="1:21" ht="42.75">
      <c r="A27" s="103" t="s">
        <v>557</v>
      </c>
      <c r="B27" s="103" t="s">
        <v>470</v>
      </c>
      <c r="C27" s="103" t="s">
        <v>626</v>
      </c>
      <c r="D27" s="103" t="s">
        <v>472</v>
      </c>
      <c r="E27" s="103" t="s">
        <v>627</v>
      </c>
      <c r="F27" s="103" t="s">
        <v>474</v>
      </c>
      <c r="G27" s="103" t="s">
        <v>475</v>
      </c>
      <c r="H27" s="105">
        <v>46168</v>
      </c>
      <c r="I27" s="105">
        <v>46168</v>
      </c>
      <c r="J27" s="105">
        <v>46171</v>
      </c>
      <c r="K27" s="103" t="s">
        <v>476</v>
      </c>
      <c r="L27" s="103" t="s">
        <v>628</v>
      </c>
      <c r="M27" s="103" t="s">
        <v>478</v>
      </c>
      <c r="N27" s="105">
        <v>46168</v>
      </c>
      <c r="O27" s="103" t="s">
        <v>561</v>
      </c>
      <c r="P27" s="103" t="s">
        <v>562</v>
      </c>
      <c r="Q27" s="103" t="s">
        <v>629</v>
      </c>
      <c r="R27" s="103" t="s">
        <v>508</v>
      </c>
      <c r="S27" s="104">
        <v>1</v>
      </c>
      <c r="T27" s="104" t="s">
        <v>483</v>
      </c>
      <c r="U27" s="103" t="s">
        <v>484</v>
      </c>
    </row>
    <row r="28" spans="1:21" ht="71.25">
      <c r="A28" s="103" t="s">
        <v>630</v>
      </c>
      <c r="B28" s="103" t="s">
        <v>523</v>
      </c>
      <c r="C28" s="103" t="s">
        <v>631</v>
      </c>
      <c r="D28" s="103" t="s">
        <v>472</v>
      </c>
      <c r="E28" s="103" t="s">
        <v>632</v>
      </c>
      <c r="F28" s="103" t="s">
        <v>474</v>
      </c>
      <c r="G28" s="103" t="s">
        <v>475</v>
      </c>
      <c r="H28" s="105">
        <v>45845</v>
      </c>
      <c r="I28" s="105">
        <v>45845</v>
      </c>
      <c r="J28" s="105">
        <v>45848</v>
      </c>
      <c r="K28" s="103" t="s">
        <v>476</v>
      </c>
      <c r="L28" s="103" t="s">
        <v>633</v>
      </c>
      <c r="M28" s="103" t="s">
        <v>478</v>
      </c>
      <c r="N28" s="105">
        <v>45845</v>
      </c>
      <c r="O28" s="103" t="s">
        <v>634</v>
      </c>
      <c r="P28" s="103" t="s">
        <v>635</v>
      </c>
      <c r="Q28" s="103" t="s">
        <v>636</v>
      </c>
      <c r="R28" s="103" t="s">
        <v>508</v>
      </c>
      <c r="S28" s="104">
        <v>2</v>
      </c>
      <c r="T28" s="104" t="s">
        <v>541</v>
      </c>
      <c r="U28" s="103" t="s">
        <v>484</v>
      </c>
    </row>
    <row r="29" spans="1:21" ht="42.75">
      <c r="A29" s="103" t="s">
        <v>637</v>
      </c>
      <c r="B29" s="103" t="s">
        <v>486</v>
      </c>
      <c r="C29" s="103" t="s">
        <v>638</v>
      </c>
      <c r="D29" s="103" t="s">
        <v>472</v>
      </c>
      <c r="E29" s="103" t="s">
        <v>639</v>
      </c>
      <c r="F29" s="103" t="s">
        <v>474</v>
      </c>
      <c r="G29" s="103" t="s">
        <v>475</v>
      </c>
      <c r="H29" s="105">
        <v>45537</v>
      </c>
      <c r="I29" s="105">
        <v>45615</v>
      </c>
      <c r="J29" s="105">
        <v>45675</v>
      </c>
      <c r="K29" s="103" t="s">
        <v>512</v>
      </c>
      <c r="L29" s="103" t="s">
        <v>549</v>
      </c>
      <c r="M29" s="103" t="s">
        <v>478</v>
      </c>
      <c r="N29" s="105">
        <v>45615</v>
      </c>
      <c r="O29" s="103" t="s">
        <v>640</v>
      </c>
      <c r="P29" s="103" t="s">
        <v>641</v>
      </c>
      <c r="Q29" s="103" t="s">
        <v>642</v>
      </c>
      <c r="R29" s="103" t="s">
        <v>482</v>
      </c>
      <c r="S29" s="104">
        <v>1</v>
      </c>
      <c r="T29" s="104" t="s">
        <v>483</v>
      </c>
      <c r="U29" s="103" t="s">
        <v>484</v>
      </c>
    </row>
    <row r="30" spans="1:21" ht="42.75">
      <c r="A30" s="103" t="s">
        <v>643</v>
      </c>
      <c r="B30" s="103" t="s">
        <v>523</v>
      </c>
      <c r="C30" s="103" t="s">
        <v>644</v>
      </c>
      <c r="D30" s="103" t="s">
        <v>472</v>
      </c>
      <c r="E30" s="103" t="s">
        <v>645</v>
      </c>
      <c r="F30" s="103" t="s">
        <v>474</v>
      </c>
      <c r="G30" s="103" t="s">
        <v>475</v>
      </c>
      <c r="H30" s="105">
        <v>45850</v>
      </c>
      <c r="I30" s="105">
        <v>45896</v>
      </c>
      <c r="J30" s="105">
        <v>45903</v>
      </c>
      <c r="K30" s="103" t="s">
        <v>646</v>
      </c>
      <c r="L30" s="103" t="s">
        <v>593</v>
      </c>
      <c r="M30" s="103" t="s">
        <v>478</v>
      </c>
      <c r="N30" s="105">
        <v>45896</v>
      </c>
      <c r="O30" s="103" t="s">
        <v>647</v>
      </c>
      <c r="P30" s="103" t="s">
        <v>648</v>
      </c>
      <c r="Q30" s="103" t="s">
        <v>649</v>
      </c>
      <c r="R30" s="103" t="s">
        <v>508</v>
      </c>
      <c r="S30" s="104">
        <v>3</v>
      </c>
      <c r="T30" s="104" t="s">
        <v>517</v>
      </c>
      <c r="U30" s="103" t="s">
        <v>650</v>
      </c>
    </row>
  </sheetData>
  <conditionalFormatting sqref="S2:S3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B447-AAA5-4664-8BCD-249EB96D05B1}">
  <dimension ref="A1:I30"/>
  <sheetViews>
    <sheetView zoomScale="85" zoomScaleNormal="85" workbookViewId="0">
      <selection activeCell="F2" sqref="F2:F30"/>
    </sheetView>
  </sheetViews>
  <sheetFormatPr defaultRowHeight="14.25"/>
  <cols>
    <col min="1" max="1" width="16" style="102" customWidth="1"/>
    <col min="2" max="2" width="22.85546875" style="102" customWidth="1"/>
    <col min="3" max="3" width="9.140625" style="102" customWidth="1"/>
    <col min="4" max="4" width="16" style="102" customWidth="1"/>
    <col min="5" max="6" width="13.7109375" style="102" customWidth="1"/>
    <col min="7" max="7" width="45.7109375" style="102" customWidth="1"/>
    <col min="8" max="8" width="27.42578125" style="102" customWidth="1"/>
    <col min="9" max="9" width="57.140625" style="102" customWidth="1"/>
    <col min="10" max="16384" width="9.140625" style="102"/>
  </cols>
  <sheetData>
    <row r="1" spans="1:9" ht="45">
      <c r="A1" s="106" t="s">
        <v>452</v>
      </c>
      <c r="B1" s="106" t="s">
        <v>450</v>
      </c>
      <c r="C1" s="106" t="s">
        <v>449</v>
      </c>
      <c r="D1" s="106" t="s">
        <v>458</v>
      </c>
      <c r="E1" s="106" t="s">
        <v>466</v>
      </c>
      <c r="F1" s="106" t="s">
        <v>467</v>
      </c>
      <c r="G1" s="106" t="s">
        <v>468</v>
      </c>
      <c r="H1" s="106" t="s">
        <v>465</v>
      </c>
      <c r="I1" s="106" t="s">
        <v>651</v>
      </c>
    </row>
    <row r="2" spans="1:9" ht="42.75">
      <c r="A2" s="103" t="s">
        <v>645</v>
      </c>
      <c r="B2" s="103" t="s">
        <v>644</v>
      </c>
      <c r="C2" s="103" t="s">
        <v>523</v>
      </c>
      <c r="D2" s="103" t="s">
        <v>646</v>
      </c>
      <c r="E2" s="104">
        <v>3</v>
      </c>
      <c r="F2" s="104" t="s">
        <v>517</v>
      </c>
      <c r="G2" s="103" t="s">
        <v>650</v>
      </c>
      <c r="H2" s="103" t="s">
        <v>508</v>
      </c>
      <c r="I2" s="103" t="s">
        <v>652</v>
      </c>
    </row>
    <row r="3" spans="1:9" ht="42.75">
      <c r="A3" s="103" t="s">
        <v>566</v>
      </c>
      <c r="B3" s="103" t="s">
        <v>565</v>
      </c>
      <c r="C3" s="103" t="s">
        <v>486</v>
      </c>
      <c r="D3" s="103" t="s">
        <v>512</v>
      </c>
      <c r="E3" s="104">
        <v>3</v>
      </c>
      <c r="F3" s="104" t="s">
        <v>517</v>
      </c>
      <c r="G3" s="103" t="s">
        <v>571</v>
      </c>
      <c r="H3" s="103" t="s">
        <v>482</v>
      </c>
      <c r="I3" s="103" t="s">
        <v>653</v>
      </c>
    </row>
    <row r="4" spans="1:9" ht="42.75">
      <c r="A4" s="103" t="s">
        <v>532</v>
      </c>
      <c r="B4" s="103" t="s">
        <v>531</v>
      </c>
      <c r="C4" s="103" t="s">
        <v>523</v>
      </c>
      <c r="D4" s="103" t="s">
        <v>476</v>
      </c>
      <c r="E4" s="104">
        <v>3</v>
      </c>
      <c r="F4" s="104" t="s">
        <v>517</v>
      </c>
      <c r="G4" s="103" t="s">
        <v>536</v>
      </c>
      <c r="H4" s="103" t="s">
        <v>482</v>
      </c>
      <c r="I4" s="103" t="s">
        <v>654</v>
      </c>
    </row>
    <row r="5" spans="1:9" ht="42.75">
      <c r="A5" s="103" t="s">
        <v>511</v>
      </c>
      <c r="B5" s="103" t="s">
        <v>510</v>
      </c>
      <c r="C5" s="103" t="s">
        <v>486</v>
      </c>
      <c r="D5" s="103" t="s">
        <v>512</v>
      </c>
      <c r="E5" s="104">
        <v>3</v>
      </c>
      <c r="F5" s="104" t="s">
        <v>517</v>
      </c>
      <c r="G5" s="103" t="s">
        <v>484</v>
      </c>
      <c r="H5" s="103" t="s">
        <v>482</v>
      </c>
      <c r="I5" s="103" t="s">
        <v>655</v>
      </c>
    </row>
    <row r="6" spans="1:9" ht="42.75">
      <c r="A6" s="103" t="s">
        <v>543</v>
      </c>
      <c r="B6" s="103" t="s">
        <v>542</v>
      </c>
      <c r="C6" s="103" t="s">
        <v>523</v>
      </c>
      <c r="D6" s="103" t="s">
        <v>476</v>
      </c>
      <c r="E6" s="104">
        <v>3</v>
      </c>
      <c r="F6" s="104" t="s">
        <v>517</v>
      </c>
      <c r="G6" s="103" t="s">
        <v>546</v>
      </c>
      <c r="H6" s="103" t="s">
        <v>482</v>
      </c>
      <c r="I6" s="103" t="s">
        <v>656</v>
      </c>
    </row>
    <row r="7" spans="1:9" ht="28.5">
      <c r="A7" s="103" t="s">
        <v>617</v>
      </c>
      <c r="B7" s="103" t="s">
        <v>616</v>
      </c>
      <c r="C7" s="103" t="s">
        <v>470</v>
      </c>
      <c r="D7" s="103" t="s">
        <v>512</v>
      </c>
      <c r="E7" s="104">
        <v>2</v>
      </c>
      <c r="F7" s="104" t="s">
        <v>582</v>
      </c>
      <c r="G7" s="103" t="s">
        <v>484</v>
      </c>
      <c r="H7" s="103" t="s">
        <v>601</v>
      </c>
      <c r="I7" s="103" t="s">
        <v>618</v>
      </c>
    </row>
    <row r="8" spans="1:9" ht="42.75">
      <c r="A8" s="103" t="s">
        <v>632</v>
      </c>
      <c r="B8" s="103" t="s">
        <v>631</v>
      </c>
      <c r="C8" s="103" t="s">
        <v>523</v>
      </c>
      <c r="D8" s="103" t="s">
        <v>476</v>
      </c>
      <c r="E8" s="104">
        <v>2</v>
      </c>
      <c r="F8" s="104" t="s">
        <v>541</v>
      </c>
      <c r="G8" s="103" t="s">
        <v>484</v>
      </c>
      <c r="H8" s="103" t="s">
        <v>508</v>
      </c>
      <c r="I8" s="103" t="s">
        <v>657</v>
      </c>
    </row>
    <row r="9" spans="1:9" ht="28.5">
      <c r="A9" s="103" t="s">
        <v>573</v>
      </c>
      <c r="B9" s="103" t="s">
        <v>572</v>
      </c>
      <c r="C9" s="103" t="s">
        <v>470</v>
      </c>
      <c r="D9" s="103" t="s">
        <v>476</v>
      </c>
      <c r="E9" s="104">
        <v>2</v>
      </c>
      <c r="F9" s="104" t="s">
        <v>541</v>
      </c>
      <c r="G9" s="103" t="s">
        <v>577</v>
      </c>
      <c r="H9" s="103" t="s">
        <v>508</v>
      </c>
      <c r="I9" s="103" t="s">
        <v>658</v>
      </c>
    </row>
    <row r="10" spans="1:9" ht="28.5">
      <c r="A10" s="103" t="s">
        <v>548</v>
      </c>
      <c r="B10" s="103" t="s">
        <v>547</v>
      </c>
      <c r="C10" s="103" t="s">
        <v>523</v>
      </c>
      <c r="D10" s="103" t="s">
        <v>476</v>
      </c>
      <c r="E10" s="104">
        <v>2</v>
      </c>
      <c r="F10" s="104" t="s">
        <v>493</v>
      </c>
      <c r="G10" s="103" t="s">
        <v>484</v>
      </c>
      <c r="H10" s="103" t="s">
        <v>482</v>
      </c>
      <c r="I10" s="103" t="s">
        <v>551</v>
      </c>
    </row>
    <row r="11" spans="1:9" ht="42.75">
      <c r="A11" s="103" t="s">
        <v>538</v>
      </c>
      <c r="B11" s="103" t="s">
        <v>537</v>
      </c>
      <c r="C11" s="103" t="s">
        <v>523</v>
      </c>
      <c r="D11" s="103" t="s">
        <v>476</v>
      </c>
      <c r="E11" s="104">
        <v>2</v>
      </c>
      <c r="F11" s="104" t="s">
        <v>541</v>
      </c>
      <c r="G11" s="103" t="s">
        <v>484</v>
      </c>
      <c r="H11" s="103" t="s">
        <v>482</v>
      </c>
      <c r="I11" s="103" t="s">
        <v>659</v>
      </c>
    </row>
    <row r="12" spans="1:9" ht="28.5">
      <c r="A12" s="103" t="s">
        <v>488</v>
      </c>
      <c r="B12" s="103" t="s">
        <v>487</v>
      </c>
      <c r="C12" s="103" t="s">
        <v>486</v>
      </c>
      <c r="D12" s="103" t="s">
        <v>476</v>
      </c>
      <c r="E12" s="104">
        <v>2</v>
      </c>
      <c r="F12" s="104" t="s">
        <v>493</v>
      </c>
      <c r="G12" s="103" t="s">
        <v>484</v>
      </c>
      <c r="H12" s="103" t="s">
        <v>482</v>
      </c>
      <c r="I12" s="103" t="s">
        <v>492</v>
      </c>
    </row>
    <row r="13" spans="1:9" ht="42.75">
      <c r="A13" s="103" t="s">
        <v>623</v>
      </c>
      <c r="B13" s="103" t="s">
        <v>622</v>
      </c>
      <c r="C13" s="103" t="s">
        <v>470</v>
      </c>
      <c r="D13" s="103" t="s">
        <v>476</v>
      </c>
      <c r="E13" s="104">
        <v>2</v>
      </c>
      <c r="F13" s="104" t="s">
        <v>493</v>
      </c>
      <c r="G13" s="103" t="s">
        <v>484</v>
      </c>
      <c r="H13" s="103" t="s">
        <v>508</v>
      </c>
      <c r="I13" s="103" t="s">
        <v>625</v>
      </c>
    </row>
    <row r="14" spans="1:9" ht="28.5">
      <c r="A14" s="103" t="s">
        <v>620</v>
      </c>
      <c r="B14" s="103" t="s">
        <v>619</v>
      </c>
      <c r="C14" s="103" t="s">
        <v>470</v>
      </c>
      <c r="D14" s="103" t="s">
        <v>476</v>
      </c>
      <c r="E14" s="104">
        <v>2</v>
      </c>
      <c r="F14" s="104" t="s">
        <v>582</v>
      </c>
      <c r="G14" s="103" t="s">
        <v>484</v>
      </c>
      <c r="H14" s="103" t="s">
        <v>508</v>
      </c>
      <c r="I14" s="103" t="s">
        <v>621</v>
      </c>
    </row>
    <row r="15" spans="1:9" ht="42.75">
      <c r="A15" s="103" t="s">
        <v>579</v>
      </c>
      <c r="B15" s="103" t="s">
        <v>578</v>
      </c>
      <c r="C15" s="103" t="s">
        <v>470</v>
      </c>
      <c r="D15" s="103" t="s">
        <v>476</v>
      </c>
      <c r="E15" s="104">
        <v>2</v>
      </c>
      <c r="F15" s="104" t="s">
        <v>582</v>
      </c>
      <c r="G15" s="103" t="s">
        <v>484</v>
      </c>
      <c r="H15" s="103" t="s">
        <v>508</v>
      </c>
      <c r="I15" s="103" t="s">
        <v>660</v>
      </c>
    </row>
    <row r="16" spans="1:9" ht="28.5">
      <c r="A16" s="103" t="s">
        <v>603</v>
      </c>
      <c r="B16" s="103" t="s">
        <v>602</v>
      </c>
      <c r="C16" s="103" t="s">
        <v>470</v>
      </c>
      <c r="D16" s="103" t="s">
        <v>512</v>
      </c>
      <c r="E16" s="104">
        <v>2</v>
      </c>
      <c r="F16" s="104" t="s">
        <v>493</v>
      </c>
      <c r="G16" s="103" t="s">
        <v>484</v>
      </c>
      <c r="H16" s="103" t="s">
        <v>601</v>
      </c>
      <c r="I16" s="103" t="s">
        <v>605</v>
      </c>
    </row>
    <row r="17" spans="1:9" ht="28.5">
      <c r="A17" s="103" t="s">
        <v>639</v>
      </c>
      <c r="B17" s="103" t="s">
        <v>638</v>
      </c>
      <c r="C17" s="103" t="s">
        <v>486</v>
      </c>
      <c r="D17" s="103" t="s">
        <v>512</v>
      </c>
      <c r="E17" s="104">
        <v>1</v>
      </c>
      <c r="F17" s="104" t="s">
        <v>483</v>
      </c>
      <c r="G17" s="103" t="s">
        <v>484</v>
      </c>
      <c r="H17" s="103" t="s">
        <v>482</v>
      </c>
      <c r="I17" s="103" t="s">
        <v>661</v>
      </c>
    </row>
    <row r="18" spans="1:9" ht="57">
      <c r="A18" s="103" t="s">
        <v>473</v>
      </c>
      <c r="B18" s="103" t="s">
        <v>471</v>
      </c>
      <c r="C18" s="103" t="s">
        <v>470</v>
      </c>
      <c r="D18" s="103" t="s">
        <v>476</v>
      </c>
      <c r="E18" s="104">
        <v>1</v>
      </c>
      <c r="F18" s="104" t="s">
        <v>483</v>
      </c>
      <c r="G18" s="103" t="s">
        <v>484</v>
      </c>
      <c r="H18" s="103" t="s">
        <v>482</v>
      </c>
      <c r="I18" s="103" t="s">
        <v>662</v>
      </c>
    </row>
    <row r="19" spans="1:9" ht="42.75">
      <c r="A19" s="103" t="s">
        <v>592</v>
      </c>
      <c r="B19" s="103" t="s">
        <v>591</v>
      </c>
      <c r="C19" s="103" t="s">
        <v>470</v>
      </c>
      <c r="D19" s="103" t="s">
        <v>476</v>
      </c>
      <c r="E19" s="104">
        <v>1</v>
      </c>
      <c r="F19" s="104" t="s">
        <v>596</v>
      </c>
      <c r="G19" s="103" t="s">
        <v>484</v>
      </c>
      <c r="H19" s="103" t="s">
        <v>482</v>
      </c>
      <c r="I19" s="103" t="s">
        <v>663</v>
      </c>
    </row>
    <row r="20" spans="1:9" ht="42.75">
      <c r="A20" s="103" t="s">
        <v>525</v>
      </c>
      <c r="B20" s="103" t="s">
        <v>524</v>
      </c>
      <c r="C20" s="103" t="s">
        <v>523</v>
      </c>
      <c r="D20" s="103" t="s">
        <v>512</v>
      </c>
      <c r="E20" s="104">
        <v>1</v>
      </c>
      <c r="F20" s="104" t="s">
        <v>530</v>
      </c>
      <c r="G20" s="103" t="s">
        <v>484</v>
      </c>
      <c r="H20" s="103" t="s">
        <v>482</v>
      </c>
      <c r="I20" s="103" t="s">
        <v>529</v>
      </c>
    </row>
    <row r="21" spans="1:9" ht="42.75">
      <c r="A21" s="103" t="s">
        <v>627</v>
      </c>
      <c r="B21" s="103" t="s">
        <v>626</v>
      </c>
      <c r="C21" s="103" t="s">
        <v>470</v>
      </c>
      <c r="D21" s="103" t="s">
        <v>476</v>
      </c>
      <c r="E21" s="104">
        <v>1</v>
      </c>
      <c r="F21" s="104" t="s">
        <v>483</v>
      </c>
      <c r="G21" s="103" t="s">
        <v>484</v>
      </c>
      <c r="H21" s="103" t="s">
        <v>508</v>
      </c>
      <c r="I21" s="103" t="s">
        <v>664</v>
      </c>
    </row>
    <row r="22" spans="1:9" ht="57">
      <c r="A22" s="103" t="s">
        <v>585</v>
      </c>
      <c r="B22" s="103" t="s">
        <v>584</v>
      </c>
      <c r="C22" s="103" t="s">
        <v>495</v>
      </c>
      <c r="D22" s="103" t="s">
        <v>586</v>
      </c>
      <c r="E22" s="104">
        <v>1</v>
      </c>
      <c r="F22" s="104" t="s">
        <v>589</v>
      </c>
      <c r="G22" s="103" t="s">
        <v>590</v>
      </c>
      <c r="H22" s="103" t="s">
        <v>482</v>
      </c>
      <c r="I22" s="103" t="s">
        <v>665</v>
      </c>
    </row>
    <row r="23" spans="1:9" ht="42.75">
      <c r="A23" s="103" t="s">
        <v>553</v>
      </c>
      <c r="B23" s="103" t="s">
        <v>552</v>
      </c>
      <c r="C23" s="103" t="s">
        <v>523</v>
      </c>
      <c r="D23" s="103" t="s">
        <v>476</v>
      </c>
      <c r="E23" s="104">
        <v>1</v>
      </c>
      <c r="F23" s="104" t="s">
        <v>483</v>
      </c>
      <c r="G23" s="103" t="s">
        <v>484</v>
      </c>
      <c r="H23" s="103" t="s">
        <v>482</v>
      </c>
      <c r="I23" s="103" t="s">
        <v>666</v>
      </c>
    </row>
    <row r="24" spans="1:9" ht="42.75">
      <c r="A24" s="103" t="s">
        <v>598</v>
      </c>
      <c r="B24" s="103" t="s">
        <v>597</v>
      </c>
      <c r="C24" s="103" t="s">
        <v>470</v>
      </c>
      <c r="D24" s="103" t="s">
        <v>512</v>
      </c>
      <c r="E24" s="104">
        <v>1</v>
      </c>
      <c r="F24" s="104" t="s">
        <v>530</v>
      </c>
      <c r="G24" s="103" t="s">
        <v>484</v>
      </c>
      <c r="H24" s="103" t="s">
        <v>601</v>
      </c>
      <c r="I24" s="103" t="s">
        <v>667</v>
      </c>
    </row>
    <row r="25" spans="1:9" ht="42.75">
      <c r="A25" s="103" t="s">
        <v>607</v>
      </c>
      <c r="B25" s="103" t="s">
        <v>606</v>
      </c>
      <c r="C25" s="103" t="s">
        <v>523</v>
      </c>
      <c r="D25" s="103" t="s">
        <v>476</v>
      </c>
      <c r="E25" s="104">
        <v>1</v>
      </c>
      <c r="F25" s="104" t="s">
        <v>483</v>
      </c>
      <c r="G25" s="103" t="s">
        <v>484</v>
      </c>
      <c r="H25" s="103" t="s">
        <v>610</v>
      </c>
      <c r="I25" s="103" t="s">
        <v>668</v>
      </c>
    </row>
    <row r="26" spans="1:9" ht="28.5">
      <c r="A26" s="103" t="s">
        <v>612</v>
      </c>
      <c r="B26" s="103" t="s">
        <v>611</v>
      </c>
      <c r="C26" s="103" t="s">
        <v>470</v>
      </c>
      <c r="D26" s="103" t="s">
        <v>512</v>
      </c>
      <c r="E26" s="104">
        <v>1</v>
      </c>
      <c r="F26" s="104" t="s">
        <v>530</v>
      </c>
      <c r="G26" s="103" t="s">
        <v>484</v>
      </c>
      <c r="H26" s="103" t="s">
        <v>601</v>
      </c>
      <c r="I26" s="103" t="s">
        <v>615</v>
      </c>
    </row>
    <row r="27" spans="1:9" ht="42.75">
      <c r="A27" s="103" t="s">
        <v>497</v>
      </c>
      <c r="B27" s="103" t="s">
        <v>496</v>
      </c>
      <c r="C27" s="103" t="s">
        <v>495</v>
      </c>
      <c r="D27" s="103" t="s">
        <v>476</v>
      </c>
      <c r="E27" s="104"/>
      <c r="F27" s="104"/>
      <c r="G27" s="103" t="s">
        <v>502</v>
      </c>
      <c r="H27" s="103" t="s">
        <v>482</v>
      </c>
      <c r="I27" s="103" t="s">
        <v>669</v>
      </c>
    </row>
    <row r="28" spans="1:9" ht="42.75">
      <c r="A28" s="103" t="s">
        <v>559</v>
      </c>
      <c r="B28" s="103" t="s">
        <v>558</v>
      </c>
      <c r="C28" s="103" t="s">
        <v>523</v>
      </c>
      <c r="D28" s="103" t="s">
        <v>476</v>
      </c>
      <c r="E28" s="104"/>
      <c r="F28" s="104"/>
      <c r="G28" s="103" t="s">
        <v>502</v>
      </c>
      <c r="H28" s="103" t="s">
        <v>482</v>
      </c>
      <c r="I28" s="103" t="s">
        <v>670</v>
      </c>
    </row>
    <row r="29" spans="1:9" ht="42.75">
      <c r="A29" s="103" t="s">
        <v>519</v>
      </c>
      <c r="B29" s="103" t="s">
        <v>518</v>
      </c>
      <c r="C29" s="103" t="s">
        <v>486</v>
      </c>
      <c r="D29" s="103" t="s">
        <v>476</v>
      </c>
      <c r="E29" s="104"/>
      <c r="F29" s="104"/>
      <c r="G29" s="103" t="s">
        <v>502</v>
      </c>
      <c r="H29" s="103" t="s">
        <v>482</v>
      </c>
      <c r="I29" s="103" t="s">
        <v>522</v>
      </c>
    </row>
    <row r="30" spans="1:9" ht="42.75">
      <c r="A30" s="103" t="s">
        <v>504</v>
      </c>
      <c r="B30" s="103" t="s">
        <v>503</v>
      </c>
      <c r="C30" s="103" t="s">
        <v>470</v>
      </c>
      <c r="D30" s="103" t="s">
        <v>476</v>
      </c>
      <c r="E30" s="104"/>
      <c r="F30" s="104"/>
      <c r="G30" s="103" t="s">
        <v>502</v>
      </c>
      <c r="H30" s="103" t="s">
        <v>508</v>
      </c>
      <c r="I30" s="103" t="s">
        <v>671</v>
      </c>
    </row>
  </sheetData>
  <conditionalFormatting sqref="E2:E30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F2:F30">
    <cfRule type="duplicateValues" dxfId="15" priority="1"/>
  </conditionalFormatting>
  <conditionalFormatting sqref="I1:I1048576">
    <cfRule type="duplicateValues" dxfId="14" priority="2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2471-3E8C-4DF5-BBD0-87825235009B}">
  <dimension ref="A1:L13"/>
  <sheetViews>
    <sheetView zoomScale="85" zoomScaleNormal="85" workbookViewId="0">
      <selection activeCell="C1" sqref="B1:C1"/>
    </sheetView>
  </sheetViews>
  <sheetFormatPr defaultRowHeight="15"/>
  <cols>
    <col min="1" max="1" width="13.140625" bestFit="1" customWidth="1"/>
    <col min="2" max="2" width="14" bestFit="1" customWidth="1"/>
    <col min="5" max="5" width="23.5703125" bestFit="1" customWidth="1"/>
    <col min="7" max="7" width="0" hidden="1" customWidth="1"/>
    <col min="8" max="8" width="14" bestFit="1" customWidth="1"/>
    <col min="9" max="9" width="33.42578125" customWidth="1"/>
    <col min="10" max="10" width="26.7109375" customWidth="1"/>
    <col min="11" max="11" width="46.28515625" customWidth="1"/>
    <col min="12" max="12" width="15.85546875" bestFit="1" customWidth="1"/>
  </cols>
  <sheetData>
    <row r="1" spans="1:12" ht="45">
      <c r="A1" s="130" t="s">
        <v>95</v>
      </c>
      <c r="B1" s="130" t="s">
        <v>992</v>
      </c>
      <c r="C1" s="130" t="s">
        <v>993</v>
      </c>
      <c r="D1" s="130" t="s">
        <v>994</v>
      </c>
      <c r="E1" s="130" t="s">
        <v>119</v>
      </c>
      <c r="F1" s="130" t="s">
        <v>995</v>
      </c>
      <c r="G1" s="130" t="s">
        <v>996</v>
      </c>
      <c r="H1" s="130" t="s">
        <v>992</v>
      </c>
      <c r="I1" s="130" t="s">
        <v>997</v>
      </c>
      <c r="J1" s="130" t="s">
        <v>998</v>
      </c>
      <c r="K1" s="130"/>
      <c r="L1" s="131" t="s">
        <v>999</v>
      </c>
    </row>
    <row r="2" spans="1:12" ht="60">
      <c r="A2" s="132" t="s">
        <v>100</v>
      </c>
      <c r="B2" s="134">
        <v>5862236091</v>
      </c>
      <c r="C2" s="132">
        <v>13.8</v>
      </c>
      <c r="D2" s="132">
        <v>400</v>
      </c>
      <c r="E2" s="132" t="s">
        <v>825</v>
      </c>
      <c r="F2" s="132" t="s">
        <v>389</v>
      </c>
      <c r="G2" s="132"/>
      <c r="H2" s="132">
        <v>5862236091</v>
      </c>
      <c r="I2" s="132" t="s">
        <v>342</v>
      </c>
      <c r="J2" s="133" t="str">
        <f>_xlfn.XLOOKUP(E2,'[2]dSeg_Territorial (2)'!$B:$B,'[2]dSeg_Territorial (2)'!$K:$K)</f>
        <v>DIONE SOUSA MARQUES</v>
      </c>
      <c r="K2" t="s">
        <v>1000</v>
      </c>
    </row>
    <row r="3" spans="1:12" ht="60">
      <c r="A3" s="132" t="s">
        <v>100</v>
      </c>
      <c r="B3" s="134">
        <v>5858783119</v>
      </c>
      <c r="C3" s="132">
        <v>34.5</v>
      </c>
      <c r="D3" s="132">
        <v>400</v>
      </c>
      <c r="E3" s="132" t="s">
        <v>797</v>
      </c>
      <c r="F3" s="132" t="s">
        <v>378</v>
      </c>
      <c r="G3" s="132"/>
      <c r="H3" s="132">
        <v>5858783119</v>
      </c>
      <c r="I3" s="132" t="s">
        <v>373</v>
      </c>
      <c r="J3" s="133" t="s">
        <v>1002</v>
      </c>
      <c r="K3" t="s">
        <v>1003</v>
      </c>
      <c r="L3">
        <v>690241</v>
      </c>
    </row>
    <row r="4" spans="1:12" ht="60">
      <c r="A4" s="132" t="s">
        <v>100</v>
      </c>
      <c r="B4" s="132">
        <v>5854566043</v>
      </c>
      <c r="C4" s="132">
        <v>34.5</v>
      </c>
      <c r="D4" s="132">
        <v>400</v>
      </c>
      <c r="E4" s="132" t="s">
        <v>902</v>
      </c>
      <c r="F4" s="132" t="s">
        <v>339</v>
      </c>
      <c r="G4" s="132"/>
      <c r="H4" s="132">
        <v>5854566043</v>
      </c>
      <c r="I4" s="132" t="s">
        <v>1004</v>
      </c>
      <c r="J4" s="132"/>
      <c r="K4" t="s">
        <v>1000</v>
      </c>
    </row>
    <row r="5" spans="1:12" ht="60">
      <c r="A5" s="132" t="s">
        <v>100</v>
      </c>
      <c r="B5" s="132">
        <v>5850308009</v>
      </c>
      <c r="C5" s="132">
        <v>13.8</v>
      </c>
      <c r="D5" s="132">
        <v>239</v>
      </c>
      <c r="E5" s="132" t="s">
        <v>331</v>
      </c>
      <c r="F5" s="132" t="s">
        <v>364</v>
      </c>
      <c r="G5" s="132"/>
      <c r="H5" s="132">
        <v>5850308009</v>
      </c>
      <c r="I5" s="132"/>
      <c r="J5" s="132"/>
      <c r="K5" t="s">
        <v>1006</v>
      </c>
      <c r="L5">
        <v>651638</v>
      </c>
    </row>
    <row r="6" spans="1:12" ht="60">
      <c r="A6" s="132" t="s">
        <v>100</v>
      </c>
      <c r="B6" s="132">
        <v>5855411017</v>
      </c>
      <c r="C6" s="132">
        <v>13.8</v>
      </c>
      <c r="D6" s="132">
        <v>239</v>
      </c>
      <c r="E6" s="132" t="s">
        <v>951</v>
      </c>
      <c r="F6" s="132" t="s">
        <v>375</v>
      </c>
      <c r="G6" s="132"/>
      <c r="H6" s="132">
        <v>5855411017</v>
      </c>
      <c r="I6" s="132"/>
      <c r="J6" s="132"/>
      <c r="K6" t="s">
        <v>1006</v>
      </c>
      <c r="L6">
        <v>651638</v>
      </c>
    </row>
    <row r="7" spans="1:12" ht="60">
      <c r="A7" s="132" t="s">
        <v>100</v>
      </c>
      <c r="B7" s="132">
        <v>5827102054</v>
      </c>
      <c r="C7" s="132">
        <v>34.5</v>
      </c>
      <c r="D7" s="132">
        <v>200</v>
      </c>
      <c r="E7" s="132" t="s">
        <v>889</v>
      </c>
      <c r="F7" s="132" t="s">
        <v>355</v>
      </c>
      <c r="G7" s="132"/>
      <c r="H7" s="132">
        <v>5827102054</v>
      </c>
      <c r="I7" s="132"/>
      <c r="J7" s="132"/>
      <c r="K7" s="135" t="s">
        <v>1005</v>
      </c>
      <c r="L7">
        <v>0</v>
      </c>
    </row>
    <row r="8" spans="1:12" ht="60">
      <c r="A8" s="132" t="s">
        <v>100</v>
      </c>
      <c r="B8" s="132" t="s">
        <v>384</v>
      </c>
      <c r="C8" s="132">
        <v>13.8</v>
      </c>
      <c r="D8" s="132">
        <v>239</v>
      </c>
      <c r="E8" s="132" t="s">
        <v>878</v>
      </c>
      <c r="F8" s="132" t="s">
        <v>383</v>
      </c>
      <c r="G8" s="132"/>
      <c r="H8" s="132" t="s">
        <v>384</v>
      </c>
      <c r="I8" s="132"/>
      <c r="J8" s="132"/>
      <c r="K8" t="s">
        <v>1009</v>
      </c>
      <c r="L8">
        <v>690236</v>
      </c>
    </row>
    <row r="9" spans="1:12" ht="60">
      <c r="A9" s="132" t="s">
        <v>100</v>
      </c>
      <c r="B9" s="132">
        <v>5800859011</v>
      </c>
      <c r="C9" s="132">
        <v>13.8</v>
      </c>
      <c r="D9" s="132">
        <v>219</v>
      </c>
      <c r="E9" s="132" t="s">
        <v>957</v>
      </c>
      <c r="F9" s="132" t="s">
        <v>1008</v>
      </c>
      <c r="G9" s="132"/>
      <c r="H9" s="132">
        <v>5800859011</v>
      </c>
      <c r="I9" s="132"/>
      <c r="J9" s="132"/>
      <c r="K9" t="s">
        <v>1006</v>
      </c>
      <c r="L9">
        <v>651638</v>
      </c>
    </row>
    <row r="10" spans="1:12" ht="60">
      <c r="A10" s="132" t="s">
        <v>100</v>
      </c>
      <c r="B10" s="132" t="s">
        <v>372</v>
      </c>
      <c r="C10" s="132">
        <v>13.8</v>
      </c>
      <c r="D10" s="132">
        <v>200</v>
      </c>
      <c r="E10" s="132" t="s">
        <v>321</v>
      </c>
      <c r="F10" s="132" t="s">
        <v>371</v>
      </c>
      <c r="G10" s="132"/>
      <c r="H10" s="132" t="s">
        <v>372</v>
      </c>
      <c r="I10" s="132" t="s">
        <v>373</v>
      </c>
      <c r="J10" s="133" t="str">
        <f>_xlfn.XLOOKUP(E10,'[2]dSeg_Territorial (2)'!$B:$B,'[2]dSeg_Territorial (2)'!$K:$K)</f>
        <v>DIONE SOUSA MARQUES</v>
      </c>
    </row>
    <row r="11" spans="1:12" ht="60">
      <c r="A11" s="132" t="s">
        <v>100</v>
      </c>
      <c r="B11" s="132">
        <v>5800371025</v>
      </c>
      <c r="C11" s="132">
        <v>34.5</v>
      </c>
      <c r="D11" s="132">
        <v>200</v>
      </c>
      <c r="E11" s="132" t="s">
        <v>766</v>
      </c>
      <c r="F11" s="132" t="s">
        <v>346</v>
      </c>
      <c r="G11" s="132"/>
      <c r="H11" s="132">
        <v>5800371025</v>
      </c>
      <c r="I11" s="132" t="s">
        <v>1001</v>
      </c>
      <c r="J11" s="133" t="str">
        <f>_xlfn.XLOOKUP(E11,'[2]dSeg_Territorial (2)'!$B:$B,'[2]dSeg_Territorial (2)'!$K:$K)</f>
        <v>LEONARDO SANTOS DA SILVA</v>
      </c>
    </row>
    <row r="12" spans="1:12" ht="60">
      <c r="A12" s="132" t="s">
        <v>100</v>
      </c>
      <c r="B12" s="132" t="s">
        <v>360</v>
      </c>
      <c r="C12" s="132">
        <v>34.5</v>
      </c>
      <c r="D12" s="132">
        <v>200</v>
      </c>
      <c r="E12" s="132" t="s">
        <v>801</v>
      </c>
      <c r="F12" s="132" t="s">
        <v>359</v>
      </c>
      <c r="G12" s="132"/>
      <c r="H12" s="132" t="s">
        <v>360</v>
      </c>
      <c r="I12" s="132"/>
      <c r="J12" s="132"/>
      <c r="K12" t="s">
        <v>1010</v>
      </c>
      <c r="L12">
        <v>690240</v>
      </c>
    </row>
    <row r="13" spans="1:12" ht="60">
      <c r="A13" s="132" t="s">
        <v>100</v>
      </c>
      <c r="B13" s="132">
        <v>5801866013</v>
      </c>
      <c r="C13" s="132">
        <v>13.8</v>
      </c>
      <c r="D13" s="132">
        <v>167</v>
      </c>
      <c r="E13" s="132" t="s">
        <v>699</v>
      </c>
      <c r="F13" s="132" t="s">
        <v>366</v>
      </c>
      <c r="G13" s="132"/>
      <c r="H13" s="132">
        <v>5801866013</v>
      </c>
      <c r="I13" s="132"/>
      <c r="J13" s="132"/>
      <c r="K13" t="s">
        <v>1007</v>
      </c>
      <c r="L13">
        <v>690669</v>
      </c>
    </row>
  </sheetData>
  <autoFilter ref="A1:L13" xr:uid="{92A52471-3E8C-4DF5-BBD0-87825235009B}">
    <sortState xmlns:xlrd2="http://schemas.microsoft.com/office/spreadsheetml/2017/richdata2" ref="A2:L13">
      <sortCondition descending="1" ref="D1:D13"/>
    </sortState>
  </autoFilter>
  <conditionalFormatting sqref="B1">
    <cfRule type="duplicateValues" dxfId="13" priority="10"/>
  </conditionalFormatting>
  <conditionalFormatting sqref="B2">
    <cfRule type="duplicateValues" dxfId="12" priority="13"/>
  </conditionalFormatting>
  <conditionalFormatting sqref="B3">
    <cfRule type="duplicateValues" dxfId="11" priority="8"/>
  </conditionalFormatting>
  <conditionalFormatting sqref="B4">
    <cfRule type="duplicateValues" dxfId="10" priority="5"/>
  </conditionalFormatting>
  <conditionalFormatting sqref="B5">
    <cfRule type="duplicateValues" dxfId="9" priority="1"/>
  </conditionalFormatting>
  <conditionalFormatting sqref="F1">
    <cfRule type="duplicateValues" dxfId="8" priority="11"/>
  </conditionalFormatting>
  <conditionalFormatting sqref="F2">
    <cfRule type="duplicateValues" dxfId="7" priority="14"/>
  </conditionalFormatting>
  <conditionalFormatting sqref="F3">
    <cfRule type="duplicateValues" dxfId="6" priority="9"/>
  </conditionalFormatting>
  <conditionalFormatting sqref="F4">
    <cfRule type="duplicateValues" dxfId="5" priority="6"/>
  </conditionalFormatting>
  <conditionalFormatting sqref="F5">
    <cfRule type="duplicateValues" dxfId="4" priority="2"/>
  </conditionalFormatting>
  <conditionalFormatting sqref="G2">
    <cfRule type="duplicateValues" dxfId="3" priority="12"/>
  </conditionalFormatting>
  <conditionalFormatting sqref="G3">
    <cfRule type="duplicateValues" dxfId="2" priority="7"/>
  </conditionalFormatting>
  <conditionalFormatting sqref="G4">
    <cfRule type="duplicateValues" dxfId="1" priority="4"/>
  </conditionalFormatting>
  <conditionalFormatting sqref="G5">
    <cfRule type="duplicateValues" dxfId="0" priority="3"/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AA42-BA05-40C0-A25E-863C10FD9D4C}">
  <dimension ref="A1:A10"/>
  <sheetViews>
    <sheetView workbookViewId="0">
      <selection activeCell="A42" sqref="A42"/>
    </sheetView>
  </sheetViews>
  <sheetFormatPr defaultRowHeight="14.25"/>
  <cols>
    <col min="1" max="1" width="125.7109375" style="102" customWidth="1"/>
    <col min="2" max="16384" width="9.140625" style="102"/>
  </cols>
  <sheetData>
    <row r="1" spans="1:1" ht="15.75">
      <c r="A1" s="107" t="s">
        <v>672</v>
      </c>
    </row>
    <row r="2" spans="1:1">
      <c r="A2" s="103" t="s">
        <v>673</v>
      </c>
    </row>
    <row r="3" spans="1:1" ht="28.5">
      <c r="A3" s="103" t="s">
        <v>674</v>
      </c>
    </row>
    <row r="4" spans="1:1" ht="28.5">
      <c r="A4" s="103" t="s">
        <v>675</v>
      </c>
    </row>
    <row r="5" spans="1:1">
      <c r="A5" s="103" t="s">
        <v>676</v>
      </c>
    </row>
    <row r="6" spans="1:1">
      <c r="A6" s="103" t="s">
        <v>677</v>
      </c>
    </row>
    <row r="7" spans="1:1">
      <c r="A7" s="103"/>
    </row>
    <row r="8" spans="1:1">
      <c r="A8" s="103"/>
    </row>
    <row r="9" spans="1:1">
      <c r="A9" s="103"/>
    </row>
    <row r="10" spans="1:1">
      <c r="A10" s="10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4FABDF80A6C8469C5AC2362FC08824" ma:contentTypeVersion="10" ma:contentTypeDescription="Crie um novo documento." ma:contentTypeScope="" ma:versionID="7ea4f6a3d1f329f5197d7f059be601c6">
  <xsd:schema xmlns:xsd="http://www.w3.org/2001/XMLSchema" xmlns:xs="http://www.w3.org/2001/XMLSchema" xmlns:p="http://schemas.microsoft.com/office/2006/metadata/properties" xmlns:ns3="62459d6c-b23e-46e9-a623-2ab63764bb90" targetNamespace="http://schemas.microsoft.com/office/2006/metadata/properties" ma:root="true" ma:fieldsID="5699ea69873d52bd191354390a9dfb65" ns3:_="">
    <xsd:import namespace="62459d6c-b23e-46e9-a623-2ab63764bb9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59d6c-b23e-46e9-a623-2ab63764bb9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459d6c-b23e-46e9-a623-2ab63764bb9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2DD5AA-13E8-4F92-979D-DF5CE2F3FF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459d6c-b23e-46e9-a623-2ab63764bb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4F79C0-7E0F-4BC4-B3BF-0DF61AB82201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62459d6c-b23e-46e9-a623-2ab63764bb90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420CA5F-5E7A-4993-9AE0-9254221678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Dinâmica</vt:lpstr>
      <vt:lpstr>Premissas e Preços</vt:lpstr>
      <vt:lpstr>Detalhe Religadores</vt:lpstr>
      <vt:lpstr>dSeg_Territorial (3)</vt:lpstr>
      <vt:lpstr>Reguladores</vt:lpstr>
      <vt:lpstr>Em Análise</vt:lpstr>
      <vt:lpstr>Repassados</vt:lpstr>
      <vt:lpstr>Banco de capacitor</vt:lpstr>
      <vt:lpstr>Celulas_por_Equip</vt:lpstr>
      <vt:lpstr>Planilha1</vt:lpstr>
      <vt:lpstr>Observacoes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Joao Antonio Lagares Milhomem de Souza</cp:lastModifiedBy>
  <cp:revision>0</cp:revision>
  <dcterms:created xsi:type="dcterms:W3CDTF">2026-06-01T19:45:41Z</dcterms:created>
  <dcterms:modified xsi:type="dcterms:W3CDTF">2026-07-10T11:59:40Z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0x010100AE4FABDF80A6C8469C5AC2362FC08824</vt:lpwstr>
  </property>
</Properties>
</file>